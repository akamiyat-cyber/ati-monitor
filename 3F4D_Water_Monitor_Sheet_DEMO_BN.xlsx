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<sst xmlns="http://schemas.openxmlformats.org/spreadsheetml/2006/main" count="1193" uniqueCount="583">
  <si>
    <t xml:space="preserve">3F4D Water Monitor - শিট সংস্করণ (বাংলা)</t>
  </si>
  <si>
    <t xml:space="preserve">FP প্লট ও 3F4D+MD প্লটের পানির স্তরের রেকর্ড। তথ্য লিখবেন মাত্র দুটি ট্যাবে (হলুদ ট্যাব)। বাকি সব ট্যাব স্বয়ংক্রিয়।</t>
  </si>
  <si>
    <t xml:space="preserve">মাত্র দুটি ট্যাবে (হলুদ ট্যাব) তথ্য দিন। বাকি সব ট্যাব স্বয়ংক্রিয়।</t>
  </si>
  <si>
    <t xml:space="preserve">কোথায় লিখবেন</t>
  </si>
  <si>
    <t xml:space="preserve">1_Settings  -  মৌসুমের শুরুতে একবার: সাইট, বীজ বপনের তারিখ, চারার বয়স, প্লটের আয়তন, TP ও b, বীজ ভেজানো / চাষ / কাদা করার পরিকল্পিত তারিখ।</t>
  </si>
  <si>
    <t xml:space="preserve">2_Daily_input  -  প্রতিদিন: প্রতি দিনের জন্য একটি কলাম। দুই প্লটের টেপের মাপ m (প্রতিদিন), সেচের আগে ও পরে m, বৃষ্টি ও আবহাওয়া, মাঠের অবস্থা ও কাজ। মাঝে মাঝে: কুশি, TP ও b আবার মাপা, সময়সূচির কাজ, সার ও বালাইনাশক।</t>
  </si>
  <si>
    <t xml:space="preserve">রং</t>
  </si>
  <si>
    <t xml:space="preserve">হলুদ ঘর = এখানে লিখুন।  ধূসর ঘর = স্বয়ংক্রিয়, পরিবর্তন করবেন না।  লাল ঘর = দরকার কিন্তু এখনও খালি।  নীল / বাদামি সংখ্যা = মাটির উপরে / নিচে পানি।</t>
  </si>
  <si>
    <t xml:space="preserve">2_Daily_input - উপর থেকে নিচে অংশগুলো</t>
  </si>
  <si>
    <t xml:space="preserve">প্রতিদিন: পাইপে টেপের মাপ m: FP ও 3F4D+MD-এর m। পানির স্তর ও পরীক্ষা নিচে স্বয়ংক্রিয়ভাবে দেখা যাবে।</t>
  </si>
  <si>
    <t xml:space="preserve">সেচ দিলে: সেচের আগে ও পরে m: একই দিনে সেচের আগে ও পরে দুটোই লিখুন। সেচ (মিমি) স্বয়ংক্রিয়ভাবে আসবে।</t>
  </si>
  <si>
    <t xml:space="preserve">আবহাওয়া, মাঠ ও কাজ, মন্তব্য: লেখার মতো কিছু থাকলে।</t>
  </si>
  <si>
    <t xml:space="preserve">কুশি: Calendar-এ দেখানো দিনে প্রতি প্লটের ৫টি গোছা গুনুন।</t>
  </si>
  <si>
    <t xml:space="preserve">TP ও b আবার মাপা হলে: পিটান ও মধ্য-মৌসুমে পানি শুকানোর পরে মাটি বসে যায়; TP ও b আবার মেপে সেই দিনে দুটোই লিখুন। সেই দিন থেকে পানির স্তর নতুন মান দিয়ে হিসাব হবে।</t>
  </si>
  <si>
    <t xml:space="preserve">সময়সূচির কাজ সম্পন্ন: সময়সূচির কোনো কাজ যেদিন হয়েছে (যেমন চারা রোপণ, পিটান শুরু, এমডি শুরু, 3F4D-1 শুরু, ধান কাটা), সেই দিনে তালিকা থেকে বেছে নিন। এটি Schedule_Farmer ও Calendar-এ প্রকৃত তারিখ হবে।</t>
  </si>
  <si>
    <t xml:space="preserve">বীজতলা / মূল জমি: যেদিন দেওয়া হয়েছে সেদিন সার (কেজি), বালাইনাশক ও অন্যান্য কাজ। প্রতি ১০ আর-এ N ও P হিসাব হবে Other_info-তে।</t>
  </si>
  <si>
    <t xml:space="preserve">স্বয়ংক্রিয় ট্যাব</t>
  </si>
  <si>
    <t xml:space="preserve">Today: আজকের কাজ, সর্বশেষ পানির স্তর, মোট হিসাব, পরের কাজ।  Graphs: পানির স্তর, বৃষ্টি, মোট সেচ, দৈনিক হ্রাস, কুশি।  Calendar ও Schedule_Farmer: পরিকল্পিত ও প্রকৃত তারিখ।  Data_Farmer: সব দৈনিক তথ্য ও হিসাব (মাঠের সেচ-সময়সূচির ফাইলের মতো)।  Other_info: মোট সার, N ও P।  Viewer_export: 3F4D Site Viewer এটি পড়ে।</t>
  </si>
  <si>
    <t xml:space="preserve">প্রশাসকের জন্য (প্রতি সাইটে একবার)</t>
  </si>
  <si>
    <t xml:space="preserve">ফাইলটি Google Drive-এ আপলোড করে খুলুন, তারপর File &gt; Save as Google Sheets বেছে নিন। প্রতি সাইটের জন্য একটি কপি (File &gt; Make a copy)। সাইটের ব্যবহারকারীদের সাথে Editor হিসেবে শেয়ার করুন।</t>
  </si>
  <si>
    <t xml:space="preserve">3F4D Site Viewer-এ এই সাইট দেখাতে: Share &gt; General access &gt; Anyone with the link &gt; Viewer, তারপর লিংকটি সমন্বয়কারীকে পাঠান।</t>
  </si>
  <si>
    <t xml:space="preserve">ড্রপডাউনের তালিকা "pull-down list" ট্যাবে বদলানো যায় (তালিকার শেষে নতুন আইটেম যোগ করুন)।</t>
  </si>
  <si>
    <t xml:space="preserve">নিয়ম</t>
  </si>
  <si>
    <t xml:space="preserve">সারি বা কলাম যোগ বা মুছবেন না, ট্যাবের নাম বদলাবেন না। তথ্য লেখা শুরু হওয়ার পরে দৈনিক শিটের প্রথম তারিখ (1_Settings) বদলাবেন না।</t>
  </si>
  <si>
    <t xml:space="preserve">পানির স্তর (সেমি) = m - TP + b। সেচ (মিমি) = (সেচের পরে স্তর - max(সেচের আগে স্তর, 0)) x 10। দৈনিক হ্রাস (মিমি) = (আগের দিনের শেষ স্তর - আজকের স্তর) x 10। প্রতি গোছায় কুশি = ৫টি গোছার ২য়, ৩য় ও ৪র্থ বড় সংখ্যার গড়।</t>
  </si>
  <si>
    <t xml:space="preserve">সময়সূচির নিয়ম 3F4D+MD সময়সূচি অ্যাপের (Professional mode) মতো; দিনের সংখ্যা 1_Settings (অংশ ঙ)-এ আছে। 3F4D ম্যানুয়াল: ইংরেজি https://doi.org/10.5281/zenodo.22932287 , বাংলা https://doi.org/10.5281/zenodo.23075395</t>
  </si>
  <si>
    <t xml:space="preserve">1  মৌলিক সেটআপ (Basic settings)</t>
  </si>
  <si>
    <t xml:space="preserve">মৌসুমের শুরুতে একবার, শুধু হলুদ ঘরে লিখুন। লাল = দরকারি কিন্তু খালি। ধূসর = স্বয়ংক্রিয় হিসাব। দৈনিক তথ্য লিখুন 2_Daily_input ট্যাবে।</t>
  </si>
  <si>
    <t xml:space="preserve">ক. সাইট</t>
  </si>
  <si>
    <t xml:space="preserve">1</t>
  </si>
  <si>
    <t xml:space="preserve">সাইটের নাম *</t>
  </si>
  <si>
    <t xml:space="preserve">Demo Site-01</t>
  </si>
  <si>
    <t xml:space="preserve">যেমন Chougachha-01</t>
  </si>
  <si>
    <t xml:space="preserve">2</t>
  </si>
  <si>
    <t xml:space="preserve">স্থান (জেলা / উপজেলা) *</t>
  </si>
  <si>
    <t xml:space="preserve">Chougachha, Jashore</t>
  </si>
  <si>
    <t xml:space="preserve">যেমন Chougachha, Jashore</t>
  </si>
  <si>
    <t xml:space="preserve">3</t>
  </si>
  <si>
    <t xml:space="preserve">অক্ষাংশ (ঐচ্ছিক)</t>
  </si>
  <si>
    <t xml:space="preserve">যেমন 23.27</t>
  </si>
  <si>
    <t xml:space="preserve">4</t>
  </si>
  <si>
    <t xml:space="preserve">দ্রাঘিমাংশ (ঐচ্ছিক)</t>
  </si>
  <si>
    <t xml:space="preserve">যেমন 89.25</t>
  </si>
  <si>
    <t xml:space="preserve">5</t>
  </si>
  <si>
    <t xml:space="preserve">জাত</t>
  </si>
  <si>
    <t xml:space="preserve">Rod miniket</t>
  </si>
  <si>
    <t xml:space="preserve">যেমন Rod miniket</t>
  </si>
  <si>
    <t xml:space="preserve">খ. ফসলের তারিখ</t>
  </si>
  <si>
    <t xml:space="preserve">6</t>
  </si>
  <si>
    <t xml:space="preserve">বীজ বপনের তারিখ (বীজতলা) *</t>
  </si>
  <si>
    <t xml:space="preserve">যেমন 02 Dec 2025</t>
  </si>
  <si>
    <t xml:space="preserve">7</t>
  </si>
  <si>
    <t xml:space="preserve">রোপণের সময় চারার বয়স (দিন) *</t>
  </si>
  <si>
    <t xml:space="preserve">যেমন 49</t>
  </si>
  <si>
    <t xml:space="preserve">চারা রোপণের তারিখ (স্বয়ংক্রিয়)</t>
  </si>
  <si>
    <t xml:space="preserve">বপনের তারিখ + চারার বয়স</t>
  </si>
  <si>
    <t xml:space="preserve">সময়সূচির দিন 0 (স্বয়ংক্রিয়)</t>
  </si>
  <si>
    <t xml:space="preserve">রোপণের তারিখ - 35 (3F4D+MD সময়সূচি অ্যাপের মতো)</t>
  </si>
  <si>
    <t xml:space="preserve">8</t>
  </si>
  <si>
    <t xml:space="preserve">দৈনিক শিটের প্রথম তারিখ (ঐচ্ছিক)</t>
  </si>
  <si>
    <t xml:space="preserve">খালি রাখলে = বপনের ৩ দিন আগে (বীজ ভেজানো)। তথ্য লেখা শুরু হলে আর বদলাবেন না।</t>
  </si>
  <si>
    <t xml:space="preserve">ব্যবহৃত প্রথম তারিখ (স্বয়ংক্রিয়)</t>
  </si>
  <si>
    <t xml:space="preserve">গ. প্লট: আয়তন ও পানি মাপার পাইপ</t>
  </si>
  <si>
    <t xml:space="preserve">প্লট</t>
  </si>
  <si>
    <t xml:space="preserve">প্লট আইডি</t>
  </si>
  <si>
    <t xml:space="preserve">আয়তন (শতাংশ) *</t>
  </si>
  <si>
    <t xml:space="preserve">TP (সেমি) *</t>
  </si>
  <si>
    <t xml:space="preserve">b (সেমি) *</t>
  </si>
  <si>
    <t xml:space="preserve">আয়তন (বর্গমিটার, স্বয়ংক্রিয়)</t>
  </si>
  <si>
    <t xml:space="preserve">TP = পাইপের মাথায় টেপের মাপ; b = মাটি থেকে পাইপের মাথার উচ্চতা (How_to_measure দেখুন)</t>
  </si>
  <si>
    <t xml:space="preserve">9</t>
  </si>
  <si>
    <t xml:space="preserve">FP (কৃষকের পদ্ধতি)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</si>
  <si>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</si>
  <si>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</si>
  <si>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</si>
  <si>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</si>
  <si>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</si>
  <si>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TP ও b মাপার তারিখ</t>
  </si>
  <si>
    <t xml:space="preserve">সাধারণত রোপণের দিন। পরে আবার মাপলে (পিটান / এমডির পরে) 2_Daily_input-এ লিখুন।</t>
  </si>
  <si>
    <t xml:space="preserve">ঘ. নিজে ঠিক করা পরিকল্পিত তারিখ</t>
  </si>
  <si>
    <t xml:space="preserve">12</t>
  </si>
  <si>
    <t xml:space="preserve">বীজ ভেজানো - পরিকল্পিত তারিখ</t>
  </si>
  <si>
    <t xml:space="preserve">অন্যান্য পরিকল্পিত তারিখ স্বয়ংক্রিয়ভাবে হিসাব হয় (Schedule_Farmer)।</t>
  </si>
  <si>
    <t xml:space="preserve">13</t>
  </si>
  <si>
    <t xml:space="preserve">চাষ - পরিকল্পিত তারিখ</t>
  </si>
  <si>
    <t xml:space="preserve">14</t>
  </si>
  <si>
    <t xml:space="preserve">কাদা করা - পরিকল্পিত তারিখ</t>
  </si>
  <si>
    <t xml:space="preserve">ঙ. সময়সূচির নিয়ম (দিন) - সাধারণত বদলাবেন না</t>
  </si>
  <si>
    <t xml:space="preserve">বপন থেকে রোপণ পর্যন্ত দিন (অ্যাপ)</t>
  </si>
  <si>
    <t xml:space="preserve">পিটান শুরু: রোপণের কত দিন পরে</t>
  </si>
  <si>
    <t xml:space="preserve">পিটানের সময়কাল (দিন)</t>
  </si>
  <si>
    <t xml:space="preserve">এমডি শুরু: বপনের কত দিন পরে (অ্যাপ)</t>
  </si>
  <si>
    <t xml:space="preserve">এমডির সময়কাল (দিন)</t>
  </si>
  <si>
    <t xml:space="preserve">পিআই পরীক্ষা: এমডি শুরুর কত দিন পরে</t>
  </si>
  <si>
    <t xml:space="preserve">শীষ বের হওয়া: বপনের কত দিন পরে (অ্যাপ)</t>
  </si>
  <si>
    <t xml:space="preserve">শীষ বের হওয়ার কত দিন আগে প্লাবন</t>
  </si>
  <si>
    <t xml:space="preserve">শীষ বের হওয়ার কত দিন আগে 3F4D শুরু</t>
  </si>
  <si>
    <t xml:space="preserve">ধান কাটা: শীষ বের হওয়ার কত দিন পরে</t>
  </si>
  <si>
    <t xml:space="preserve">FP: পিটানের সময়কাল (দিন)</t>
  </si>
  <si>
    <t xml:space="preserve">FP: ধান কাটার কত দিন আগে শেষ সেচ</t>
  </si>
  <si>
    <t xml:space="preserve">পিটান / এমডি শুরুর কত দিন আগে শেষ সেচ</t>
  </si>
  <si>
    <t xml:space="preserve">3F4D চক্রের দৈর্ঘ্য (দিন; একদিন নষ্ট হলে 8)</t>
  </si>
  <si>
    <t xml:space="preserve">চ. সারে N ও P-এর পরিমাণ (ভগ্নাংশ) - সাধারণত বদলাবেন না</t>
  </si>
  <si>
    <t xml:space="preserve">সার</t>
  </si>
  <si>
    <t xml:space="preserve">N (ভগ্নাংশ)</t>
  </si>
  <si>
    <t xml:space="preserve">P (ভগ্নাংশ)</t>
  </si>
  <si>
    <t xml:space="preserve">ইউরিয়া</t>
  </si>
  <si>
    <t xml:space="preserve">টিএসপি</t>
  </si>
  <si>
    <t xml:space="preserve">ডিএপি</t>
  </si>
  <si>
    <t xml:space="preserve">জিপসাম</t>
  </si>
  <si>
    <t xml:space="preserve">এমওপি</t>
  </si>
  <si>
    <t xml:space="preserve">বোরন</t>
  </si>
  <si>
    <t xml:space="preserve">জিংক</t>
  </si>
  <si>
    <t xml:space="preserve">ম্যাগনেসিয়াম</t>
  </si>
  <si>
    <t xml:space="preserve">সালফেট</t>
  </si>
  <si>
    <t xml:space="preserve">থিওভিট</t>
  </si>
  <si>
    <t xml:space="preserve">গোবর</t>
  </si>
  <si>
    <t xml:space="preserve">খড়</t>
  </si>
  <si>
    <t xml:space="preserve">P = মৌলিক P (P2O5 x 0.436)</t>
  </si>
  <si>
    <t xml:space="preserve">2  দৈনিক তথ্য (Daily input)</t>
  </si>
  <si>
    <t xml:space="preserve">তারিখ</t>
  </si>
  <si>
    <t xml:space="preserve">প্রতি দিনের জন্য একটি কলাম। শুধু হলুদ ঘরে লিখুন।</t>
  </si>
  <si>
    <t xml:space="preserve">বার</t>
  </si>
  <si>
    <t xml:space="preserve">রোপণের পর দিন</t>
  </si>
  <si>
    <t xml:space="preserve">লাল ঘর = দরকার কিন্তু খালি।  ধূসর = স্বয়ংক্রিয়।</t>
  </si>
  <si>
    <t xml:space="preserve">পর্যায় (সময়সূচি)</t>
  </si>
  <si>
    <t xml:space="preserve">প্রতিদিন: পাইপে টেপের মাপ m</t>
  </si>
  <si>
    <t xml:space="preserve">FP: m (সেমি) *</t>
  </si>
  <si>
    <t xml:space="preserve">প্রতিদিন</t>
  </si>
  <si>
    <t xml:space="preserve">3F4D+MD: m (সেমি) *</t>
  </si>
  <si>
    <t xml:space="preserve">FP: পানির স্তর (সেমি)</t>
  </si>
  <si>
    <t xml:space="preserve">স্বয়ংক্রিয়</t>
  </si>
  <si>
    <t xml:space="preserve">3F4D+MD: পানির স্তর (সেমি)</t>
  </si>
  <si>
    <t xml:space="preserve">FP: পরীক্ষা</t>
  </si>
  <si>
    <t xml:space="preserve">3F4D+MD: পরীক্ষা</t>
  </si>
  <si>
    <t xml:space="preserve">সেচ দিলে: সেচের আগে ও পরে m</t>
  </si>
  <si>
    <t xml:space="preserve">FP: সেচের আগে m (সেমি)</t>
  </si>
  <si>
    <t xml:space="preserve">শুধু সেচের দিনে</t>
  </si>
  <si>
    <t xml:space="preserve">FP: সেচের পরে m (সেমি)</t>
  </si>
  <si>
    <t xml:space="preserve">FP: সেচের সময় (মিনিট:সেকেন্ড)</t>
  </si>
  <si>
    <t xml:space="preserve">ঐচ্ছিক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</si>
  <si>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</si>
  <si>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</si>
  <si>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</si>
  <si>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</si>
  <si>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</si>
  <si>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</si>
  <si>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সেচের আগে m (সেমি)</t>
  </si>
  <si>
    <t xml:space="preserve">3F4D+MD: সেচের পরে m (সেমি)</t>
  </si>
  <si>
    <t xml:space="preserve">3F4D+MD: সেচের সময় (মিনিট:সেকেন্ড)</t>
  </si>
  <si>
    <t xml:space="preserve">35:00</t>
  </si>
  <si>
    <t xml:space="preserve">FP: সেচ (মিমি)</t>
  </si>
  <si>
    <t xml:space="preserve">3F4D+MD: সেচ (মিমি)</t>
  </si>
  <si>
    <t xml:space="preserve">আবহাওয়া (দুই প্লট)</t>
  </si>
  <si>
    <t xml:space="preserve">বৃষ্টিপাত (মিমি)</t>
  </si>
  <si>
    <t xml:space="preserve">বৃষ্টি হলে</t>
  </si>
  <si>
    <t xml:space="preserve">তাপমাত্রা (°C)</t>
  </si>
  <si>
    <t xml:space="preserve">আর্দ্রতা (%)</t>
  </si>
  <si>
    <t xml:space="preserve">আবহাওয়ার অবস্থা</t>
  </si>
  <si>
    <t xml:space="preserve">তালিকা</t>
  </si>
  <si>
    <t xml:space="preserve">পাম্প ও অন্যান্য</t>
  </si>
  <si>
    <t xml:space="preserve">তালিকা, সমস্যা হলে</t>
  </si>
  <si>
    <t xml:space="preserve">মাঠ ও কাজ - FP প্লট</t>
  </si>
  <si>
    <t xml:space="preserve">মাঠের অবস্থা</t>
  </si>
  <si>
    <t xml:space="preserve">অবস্থা</t>
  </si>
  <si>
    <t xml:space="preserve">ভালো</t>
  </si>
  <si>
    <t xml:space="preserve">কৃষকের (জমির মালিক) কাজের সময় (মিনিট)</t>
  </si>
  <si>
    <t xml:space="preserve">সংখ্যা</t>
  </si>
  <si>
    <t xml:space="preserve">কৃষকের কাজ</t>
  </si>
  <si>
    <t xml:space="preserve">সেচ</t>
  </si>
  <si>
    <t xml:space="preserve">শ্রমিকের খরচ (টাকা)</t>
  </si>
  <si>
    <t xml:space="preserve">শ্রমিকের কাজ</t>
  </si>
  <si>
    <t xml:space="preserve">মাঠ ও কাজ - 3F4D+MD প্লট</t>
  </si>
  <si>
    <t xml:space="preserve">মন্তব্য</t>
  </si>
  <si>
    <t xml:space="preserve">মন্তব্য (যেকোনো)</t>
  </si>
  <si>
    <t xml:space="preserve">যেকোনো লেখা</t>
  </si>
  <si>
    <t xml:space="preserve">পানি বের করা</t>
  </si>
  <si>
    <t xml:space="preserve">100%</t>
  </si>
  <si>
    <t xml:space="preserve">কুশি: নির্দিষ্ট দিনে ৫টি গোছা গুনুন (Calendar দেখুন)</t>
  </si>
  <si>
    <t xml:space="preserve">FP: গোছা 1</t>
  </si>
  <si>
    <t xml:space="preserve">কুশির সংখ্যা</t>
  </si>
  <si>
    <t xml:space="preserve">FP: গোছা 2</t>
  </si>
  <si>
    <t xml:space="preserve">FP: গোছা 3</t>
  </si>
  <si>
    <t xml:space="preserve">FP: গোছা 4</t>
  </si>
  <si>
    <t xml:space="preserve">FP: গোছা 5</t>
  </si>
  <si>
    <t xml:space="preserve">FP: প্রতি গোছায় কুশি</t>
  </si>
  <si>
    <t xml:space="preserve">3F4D+MD: গোছা 1</t>
  </si>
  <si>
    <t xml:space="preserve">3F4D+MD: গোছা 2</t>
  </si>
  <si>
    <t xml:space="preserve">3F4D+MD: গোছা 3</t>
  </si>
  <si>
    <t xml:space="preserve">3F4D+MD: গোছা 4</t>
  </si>
  <si>
    <t xml:space="preserve">3F4D+MD: গোছা 5</t>
  </si>
  <si>
    <t xml:space="preserve">3F4D+MD: প্রতি গোছায় কুশি</t>
  </si>
  <si>
    <t xml:space="preserve">TP ও b আবার মাপা হলে (পিটান / এমডির পরে)</t>
  </si>
  <si>
    <t xml:space="preserve">FP: TP (সেমি)</t>
  </si>
  <si>
    <t xml:space="preserve">যেদিন মাপা হয়েছে, TP ও b একসাথে</t>
  </si>
  <si>
    <t xml:space="preserve">FP: b (সেমি)</t>
  </si>
  <si>
    <t xml:space="preserve">যেদিন মাপা হয়েছে</t>
  </si>
  <si>
    <t xml:space="preserve">3F4D+MD: TP (সেমি)</t>
  </si>
  <si>
    <t xml:space="preserve">3F4D+MD: b (সেমি)</t>
  </si>
  <si>
    <t xml:space="preserve">সময়সূচির কাজ সম্পন্ন: যেদিন কাজ হয়েছে সেদিন বেছে নিন</t>
  </si>
  <si>
    <t xml:space="preserve">3F4D+MD: সম্পন্ন কাজ</t>
  </si>
  <si>
    <t xml:space="preserve">তালিকা (সময়সূচির প্রকৃত তারিখ)</t>
  </si>
  <si>
    <t xml:space="preserve">বীজ ভেজানো</t>
  </si>
  <si>
    <t xml:space="preserve">বীজ বপন</t>
  </si>
  <si>
    <t xml:space="preserve">চারা রোপণ</t>
  </si>
  <si>
    <t xml:space="preserve">3F4D-5 শুরু</t>
  </si>
  <si>
    <t xml:space="preserve">3F4D-6 শুরু</t>
  </si>
  <si>
    <t xml:space="preserve">3F4D শেষ</t>
  </si>
  <si>
    <t xml:space="preserve">3F4D+MD: সম্পন্ন কাজ (২য়)</t>
  </si>
  <si>
    <t xml:space="preserve">একই দিনে দুটি হলে</t>
  </si>
  <si>
    <t xml:space="preserve">FP: সম্পন্ন কাজ</t>
  </si>
  <si>
    <t xml:space="preserve">FP: সম্পন্ন কাজ (২য়)</t>
  </si>
  <si>
    <t xml:space="preserve">বীজতলা: কাজ, সার (কেজি), বালাইনাশক</t>
  </si>
  <si>
    <t xml:space="preserve">বীজতলা: কাজ</t>
  </si>
  <si>
    <t xml:space="preserve">বীজতলা: ইউরিয়া (কেজি)</t>
  </si>
  <si>
    <t xml:space="preserve">কেজি</t>
  </si>
  <si>
    <t xml:space="preserve">বীজতলা: টিএসপি (কেজি)</t>
  </si>
  <si>
    <t xml:space="preserve">বীজতলা: ডিএপি (কেজি)</t>
  </si>
  <si>
    <t xml:space="preserve">বীজতলা: জিপসাম (কেজি)</t>
  </si>
  <si>
    <t xml:space="preserve">বীজতলা: এমওপি (কেজি)</t>
  </si>
  <si>
    <t xml:space="preserve">বীজতলা: বোরন (কেজি)</t>
  </si>
  <si>
    <t xml:space="preserve">বীজতলা: জিংক (কেজি)</t>
  </si>
  <si>
    <t xml:space="preserve">বীজতলা: ম্যাগনেসিয়াম (কেজি)</t>
  </si>
  <si>
    <t xml:space="preserve">বীজতলা: থিওভিট (কেজি)</t>
  </si>
  <si>
    <t xml:space="preserve">বীজতলা: বালাইনাশকের ধরন</t>
  </si>
  <si>
    <t xml:space="preserve">বীজতলা: বালাইনাশকের নাম</t>
  </si>
  <si>
    <t xml:space="preserve">লেখা</t>
  </si>
  <si>
    <t xml:space="preserve">বীজতলা: উদ্দেশ্য</t>
  </si>
  <si>
    <t xml:space="preserve">মূল জমি FP: কাজ, সার (কেজি), বালাইনাশক</t>
  </si>
  <si>
    <t xml:space="preserve">FP: কাজ</t>
  </si>
  <si>
    <t xml:space="preserve">স্প্রে</t>
  </si>
  <si>
    <t xml:space="preserve">FP: ইউরিয়া (কেজি)</t>
  </si>
  <si>
    <t xml:space="preserve">FP: টিএসপি (কেজি)</t>
  </si>
  <si>
    <t xml:space="preserve">FP: ডিএপি (কেজি)</t>
  </si>
  <si>
    <t xml:space="preserve">FP: জিপসাম (কেজি)</t>
  </si>
  <si>
    <t xml:space="preserve">FP: এমওপি (কেজি)</t>
  </si>
  <si>
    <t xml:space="preserve">FP: বোরন (কেজি)</t>
  </si>
  <si>
    <t xml:space="preserve">FP: জিংক (কেজি)</t>
  </si>
  <si>
    <t xml:space="preserve">FP: ম্যাগনেসিয়াম (কেজি)</t>
  </si>
  <si>
    <t xml:space="preserve">FP: সালফেট (কেজি)</t>
  </si>
  <si>
    <t xml:space="preserve">FP: থিওভিট (কেজি)</t>
  </si>
  <si>
    <t xml:space="preserve">FP: গোবর (কেজি)</t>
  </si>
  <si>
    <t xml:space="preserve">FP: খড় (কেজি)</t>
  </si>
  <si>
    <t xml:space="preserve">FP: বালাইনাশকের ধরন</t>
  </si>
  <si>
    <t xml:space="preserve">কীটনাশক</t>
  </si>
  <si>
    <t xml:space="preserve">ছত্রাকনাশক</t>
  </si>
  <si>
    <t xml:space="preserve">FP: বালাইনাশকের নাম</t>
  </si>
  <si>
    <t xml:space="preserve">Demo-Insecticide</t>
  </si>
  <si>
    <t xml:space="preserve">Demo-Fungicide</t>
  </si>
  <si>
    <t xml:space="preserve">FP: উদ্দেশ্য</t>
  </si>
  <si>
    <t xml:space="preserve">stem borer</t>
  </si>
  <si>
    <t xml:space="preserve">sheath blight</t>
  </si>
  <si>
    <t xml:space="preserve">FP: বালাইনাশকের পরিমাণ</t>
  </si>
  <si>
    <t xml:space="preserve">FP: একক দাম (টাকা)</t>
  </si>
  <si>
    <t xml:space="preserve">FP: মন্তব্য</t>
  </si>
  <si>
    <t xml:space="preserve">basal</t>
  </si>
  <si>
    <t xml:space="preserve">1st top dressing</t>
  </si>
  <si>
    <t xml:space="preserve">2nd top dressing</t>
  </si>
  <si>
    <t xml:space="preserve">মূল জমি 3F4D+MD: কাজ, সার (কেজি), বালাইনাশক</t>
  </si>
  <si>
    <t xml:space="preserve">3F4D+MD: কাজ</t>
  </si>
  <si>
    <t xml:space="preserve">3F4D+MD: ইউরিয়া (কেজি)</t>
  </si>
  <si>
    <t xml:space="preserve">3F4D+MD: টিএসপি (কেজি)</t>
  </si>
  <si>
    <t xml:space="preserve">3F4D+MD: ডিএপি (কেজি)</t>
  </si>
  <si>
    <t xml:space="preserve">3F4D+MD: জিপসাম (কেজি)</t>
  </si>
  <si>
    <t xml:space="preserve">3F4D+MD: এমওপি (কেজি)</t>
  </si>
  <si>
    <t xml:space="preserve">3F4D+MD: বোরন (কেজি)</t>
  </si>
  <si>
    <t xml:space="preserve">3F4D+MD: জিংক (কেজি)</t>
  </si>
  <si>
    <t xml:space="preserve">3F4D+MD: ম্যাগনেসিয়াম (কেজি)</t>
  </si>
  <si>
    <t xml:space="preserve">3F4D+MD: সালফেট (কেজি)</t>
  </si>
  <si>
    <t xml:space="preserve">3F4D+MD: থিওভিট (কেজি)</t>
  </si>
  <si>
    <t xml:space="preserve">3F4D+MD: গোবর (কেজি)</t>
  </si>
  <si>
    <t xml:space="preserve">3F4D+MD: খড় (কেজি)</t>
  </si>
  <si>
    <t xml:space="preserve">3F4D+MD: বালাইনাশকের ধরন</t>
  </si>
  <si>
    <t xml:space="preserve">3F4D+MD: বালাইনাশকের নাম</t>
  </si>
  <si>
    <t xml:space="preserve">3F4D+MD: উদ্দেশ্য</t>
  </si>
  <si>
    <t xml:space="preserve">3F4D+MD: বালাইনাশকের পরিমাণ</t>
  </si>
  <si>
    <t xml:space="preserve">3F4D+MD: একক দাম (টাকা)</t>
  </si>
  <si>
    <t xml:space="preserve">3F4D+MD: মন্তব্য</t>
  </si>
  <si>
    <t xml:space="preserve">ক্যালেন্ডার</t>
  </si>
  <si>
    <t xml:space="preserve">3F4D+MD-এর কাজ</t>
  </si>
  <si>
    <t xml:space="preserve">পরিকল্পিত</t>
  </si>
  <si>
    <t xml:space="preserve">প্রকৃত</t>
  </si>
  <si>
    <t xml:space="preserve">FP-এর কাজ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</si>
  <si>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</si>
  <si>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</si>
  <si>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</si>
  <si>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</si>
  <si>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</si>
  <si>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</si>
  <si>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</si>
  <si>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</si>
  <si>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</si>
  <si>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</si>
  <si>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</si>
  <si>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</si>
  <si>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</si>
  <si>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</si>
  <si>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</si>
  <si>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</si>
  <si>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</si>
  <si>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</si>
  <si>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</si>
  <si>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</si>
  <si>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</si>
  <si>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পিটান ও শেষ সেচ ঐচ্ছিক, করা বা না করা যায়। প্রকৃত তারিখ: 2_Daily_input, "সময়সূচির কাজ সম্পন্ন" সারি।</t>
  </si>
  <si>
    <t xml:space="preserve">কুশির সংখ্যা গোনা</t>
  </si>
  <si>
    <t xml:space="preserve">বপনের 50 দিন পরে</t>
  </si>
  <si>
    <t xml:space="preserve">বপনের 60 দিন পরে</t>
  </si>
  <si>
    <t xml:space="preserve">বপনের 70 দিন পরে</t>
  </si>
  <si>
    <t xml:space="preserve">বপনের 80 দিন পরে</t>
  </si>
  <si>
    <t xml:space="preserve">বপনের 90 দিন পরে</t>
  </si>
  <si>
    <t xml:space="preserve">পানির নমুনা: সপ্তাহে একবার</t>
  </si>
  <si>
    <t xml:space="preserve">আজ</t>
  </si>
  <si>
    <t xml:space="preserve">আজকের পানির স্তর</t>
  </si>
  <si>
    <t xml:space="preserve">শেষ লেখা</t>
  </si>
  <si>
    <t xml:space="preserve">যত দিন লেখা হয়নি</t>
  </si>
  <si>
    <t xml:space="preserve">আজকের পর্যায়</t>
  </si>
  <si>
    <t xml:space="preserve">FP</t>
  </si>
  <si>
    <t xml:space="preserve">সর্বশেষ পানির স্তর - তারিখ</t>
  </si>
  <si>
    <t xml:space="preserve">পানির স্তর (সেমি, সেচ দিলে সেচের পরে)</t>
  </si>
  <si>
    <t xml:space="preserve">মোট সেচ (মিমি)</t>
  </si>
  <si>
    <t xml:space="preserve">সেচের সংখ্যা</t>
  </si>
  <si>
    <t xml:space="preserve">3F4D+MD-এ পানি সাশ্রয়</t>
  </si>
  <si>
    <t xml:space="preserve">কৃষকের কাজের সময় (মিনিট)</t>
  </si>
  <si>
    <t xml:space="preserve">শ্রমিক (টাকা)</t>
  </si>
  <si>
    <t xml:space="preserve">প্রয়োগ করা N (কেজি/১০ আর)</t>
  </si>
  <si>
    <t xml:space="preserve">প্রয়োগ করা P (কেজি/১০ আর)</t>
  </si>
  <si>
    <t xml:space="preserve">পরের কাজ (সময়সূচি)</t>
  </si>
  <si>
    <t xml:space="preserve">পরের ১</t>
  </si>
  <si>
    <t xml:space="preserve">পরের ২</t>
  </si>
  <si>
    <t xml:space="preserve">পরের ৩</t>
  </si>
  <si>
    <t xml:space="preserve">পরের ৪</t>
  </si>
  <si>
    <t xml:space="preserve">প্রকৃত তারিখ লেখা হয়নি (সময় পেরোনো কাজ)</t>
  </si>
  <si>
    <t xml:space="preserve">গ্রাফ  (এমডি, পিটান ও 3F4D-এর সময় পানির স্তরের গ্রাফের উপরে রেখা হিসেবে দেখানো হয়)</t>
  </si>
  <si>
    <t xml:space="preserve">সময়সূচি  (স্বয়ংক্রিয় - এখানে লিখবেন না। প্রকৃত তারিখ আসে 2_Daily_input-এর "সময়সূচির কাজ সম্পন্ন" সারি থেকে)</t>
  </si>
  <si>
    <t xml:space="preserve">কাজ</t>
  </si>
  <si>
    <t xml:space="preserve">ঘটনা</t>
  </si>
  <si>
    <t xml:space="preserve">পরিকল্পিত শুরু</t>
  </si>
  <si>
    <t xml:space="preserve">পরিকল্পিত শেষ</t>
  </si>
  <si>
    <t xml:space="preserve">প্রকৃত শুরু</t>
  </si>
  <si>
    <t xml:space="preserve">প্রকৃত শেষ</t>
  </si>
  <si>
    <t xml:space="preserve">দেরি (দিন)</t>
  </si>
  <si>
    <t xml:space="preserve">ব্যবহৃত শুরু</t>
  </si>
  <si>
    <t xml:space="preserve">ব্যবহৃত শেষ</t>
  </si>
  <si>
    <t xml:space="preserve">পরের</t>
  </si>
  <si>
    <t xml:space="preserve">3F4D+MD প্লট</t>
  </si>
  <si>
    <t xml:space="preserve">বপন</t>
  </si>
  <si>
    <t xml:space="preserve">চাষ</t>
  </si>
  <si>
    <t xml:space="preserve">কাদা করা</t>
  </si>
  <si>
    <t xml:space="preserve">রোপণ</t>
  </si>
  <si>
    <t xml:space="preserve">পিটানের আগে শেষ সেচ</t>
  </si>
  <si>
    <t xml:space="preserve">পিটান (প্রচলিত মধ্য-মৌসুম পানি শুকানো)</t>
  </si>
  <si>
    <t xml:space="preserve">পিটান</t>
  </si>
  <si>
    <t xml:space="preserve">এমডি শুরুর আগে শেষ সেচ</t>
  </si>
  <si>
    <t xml:space="preserve">এমডির আগে শেষ সেচ</t>
  </si>
  <si>
    <t xml:space="preserve">মধ্য-মৌসুম পানি শুকানো (এমডি; শুরু = উপরের পানি শেষ)</t>
  </si>
  <si>
    <t xml:space="preserve">এমডি</t>
  </si>
  <si>
    <t xml:space="preserve">শীষ গঠন পরীক্ষা (পিআই পরীক্ষা)</t>
  </si>
  <si>
    <t xml:space="preserve">পিআই পরীক্ষা</t>
  </si>
  <si>
    <t xml:space="preserve">প্লাবন (শীষ গঠন)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</si>
  <si>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</si>
  <si>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</si>
  <si>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</si>
  <si>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</si>
  <si>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</si>
  <si>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</si>
  <si>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</si>
  <si>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</si>
  <si>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</si>
  <si>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</si>
  <si>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</si>
  <si>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</si>
  <si>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</si>
  <si>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</si>
  <si>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</si>
  <si>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শেষ সেচ</t>
  </si>
  <si>
    <t xml:space="preserve">ধান কাটা</t>
  </si>
  <si>
    <t xml:space="preserve">FP প্লট (কৃষকের পদ্ধতি)</t>
  </si>
  <si>
    <t xml:space="preserve">পিটান (FP)</t>
  </si>
  <si>
    <t xml:space="preserve">পিটানের পরে প্লাবন</t>
  </si>
  <si>
    <t xml:space="preserve">হলুদ দাগ = পরিকল্পিত (হিসাব)। সবুজ দাগ = প্রকৃত। লাল রেখা = আজ। প্রকৃত তারিখ: 2_Daily_input-এর "সময়সূচির কাজ সম্পন্ন" সারিতে যেদিন কাজ হয়েছে সেদিন বেছে নিন। বীজ ভেজানো, চাষ ও কাদা করার পরিকল্পিত তারিখ: 1_Settings।</t>
  </si>
  <si>
    <t xml:space="preserve">Date / তারিখ  (automatic - enter in 2_Daily_input)</t>
  </si>
  <si>
    <t xml:space="preserve">Season</t>
  </si>
  <si>
    <t xml:space="preserve">Weekday</t>
  </si>
  <si>
    <t xml:space="preserve">Days after transplanting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</si>
  <si>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</si>
  <si>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</si>
  <si>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</si>
  <si>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</si>
  <si>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</si>
  <si>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</si>
  <si>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</si>
  <si>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</si>
  <si>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</si>
  <si>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</si>
  <si>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</si>
  <si>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</si>
  <si>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</si>
  <si>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</si>
  <si>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</si>
  <si>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</si>
  <si>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</si>
  <si>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</si>
  <si>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</si>
  <si>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</si>
  <si>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</si>
  <si>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</si>
  <si>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</si>
  <si>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</si>
  <si>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</si>
  <si>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</si>
  <si>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</si>
  <si>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</si>
  <si>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</si>
  <si>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</si>
  <si>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</si>
  <si>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</si>
  <si>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</si>
  <si>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</si>
  <si>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</si>
  <si>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</si>
  <si>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</si>
  <si>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</si>
  <si>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</si>
  <si>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</si>
  <si>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</si>
  <si>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</si>
  <si>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</si>
  <si>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</si>
  <si>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</si>
  <si>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</si>
  <si>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</si>
  <si>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</si>
  <si>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</si>
  <si>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</si>
  <si>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</si>
  <si>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</si>
  <si>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</si>
  <si>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</si>
  <si>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</si>
  <si>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</si>
  <si>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</si>
  <si>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</si>
  <si>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</si>
  <si>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</si>
  <si>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</si>
  <si>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</si>
  <si>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</si>
  <si>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</si>
  <si>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</si>
  <si>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</si>
  <si>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</si>
  <si>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</si>
  <si>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</si>
  <si>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</si>
  <si>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</si>
  <si>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</si>
  <si>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</si>
  <si>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অন্যান্য তথ্য  (স্বয়ংক্রিয় - সার ও বালাইনাশক লিখুন 2_Daily_input-এ)</t>
  </si>
  <si>
    <t xml:space="preserve">বীজতলা (কেজি)</t>
  </si>
  <si>
    <t xml:space="preserve">FP (কেজি)</t>
  </si>
  <si>
    <t xml:space="preserve">3F4D+MD (কেজি)</t>
  </si>
  <si>
    <t xml:space="preserve">মূল জমি</t>
  </si>
  <si>
    <t xml:space="preserve">N (কেজি/১০ আর)</t>
  </si>
  <si>
    <t xml:space="preserve">P (কেজি/১০ আর)</t>
  </si>
  <si>
    <t xml:space="preserve">বালাইনাশক প্রয়োগ (বার)</t>
  </si>
  <si>
    <t xml:space="preserve">বালাইনাশকের খরচ (টাকা)</t>
  </si>
  <si>
    <t xml:space="preserve">প্রতি ১০ আর-এ N ও P হিসাব হয় 1_Settings-এর প্লটের আয়তন ও প্রতিটি সারের N / P পরিমাণ (1_Settings, অংশ চ) থেকে।</t>
  </si>
  <si>
    <t xml:space="preserve">পানির স্তর মাপার পদ্ধতি</t>
  </si>
  <si>
    <t xml:space="preserve">উদাহরণ</t>
  </si>
  <si>
    <t xml:space="preserve">মান</t>
  </si>
  <si>
    <t xml:space="preserve">মাপার টেপের দৈর্ঘ্য (মোট)</t>
  </si>
  <si>
    <t xml:space="preserve">b = মাটি থেকে পাইপের মাথার উচ্চতা (সেমি)</t>
  </si>
  <si>
    <t xml:space="preserve">c = মাটির নিচে পাইপের দৈর্ঘ্য (সেমি)</t>
  </si>
  <si>
    <t xml:space="preserve">m = পানির উপরিতলে টেপের মাপ (সেমি)</t>
  </si>
  <si>
    <t xml:space="preserve">TP = পাইপের মাথায় টেপের মাপ (সেমি)</t>
  </si>
  <si>
    <t xml:space="preserve">পানির স্তর = m - TP + b (সেমি)</t>
  </si>
  <si>
    <t xml:space="preserve">• পানির স্তর ঋণাত্মক = মাটির নিচে পানি।</t>
  </si>
  <si>
    <t xml:space="preserve">• পাইপের সবচেয়ে উপরের ছিদ্রটি মাটির সমতলে আছে কিনা দেখুন।</t>
  </si>
  <si>
    <t xml:space="preserve">• পাইপগুলো কি প্লটের গড় অবস্থানে বসানো? পিটান বা মধ্য-মৌসুমে পানি পুরো শুকানোর আগে, পাইপের পানি যখন মাটির সমতলে আসে, তখন মাঠের কত শতাংশে এখনও পানি আছে দেখুন।</t>
  </si>
  <si>
    <t xml:space="preserve">• b কি ঠিকমতো মাপা হয়েছে? পিটান বা মধ্য-মৌসুমে মাটি বসে গেলে b বদলে যায়। তখন TP ও b আবার মেপে 2_Daily_input-এ লিখুন ("TP ও b আবার মাপা হলে" সারি)।</t>
  </si>
  <si>
    <t xml:space="preserve">ড্রপডাউন তালিকা  (প্রশাসক তালিকার শেষে আইটেম যোগ করতে পারেন)</t>
  </si>
  <si>
    <t xml:space="preserve">মাঠের অবস্থা (প্রতি প্লট)</t>
  </si>
  <si>
    <t xml:space="preserve">পাম্প ও অন্যান্য (দুই প্লট)</t>
  </si>
  <si>
    <t xml:space="preserve">অবস্থা (প্রতি প্লট)</t>
  </si>
  <si>
    <t xml:space="preserve">শ্রমিক / কৃষকের কাজ</t>
  </si>
  <si>
    <t xml:space="preserve">কাজ (বীজতলা / মূল জমি)</t>
  </si>
  <si>
    <t xml:space="preserve">বালাইনাশকের ধরন</t>
  </si>
  <si>
    <t xml:space="preserve">সময়সূচির কাজ 3F4D+MD</t>
  </si>
  <si>
    <t xml:space="preserve">সময়সূচির কাজ FP</t>
  </si>
  <si>
    <t xml:space="preserve">বৃষ্টি</t>
  </si>
  <si>
    <t xml:space="preserve">বৃদ্ধি কম</t>
  </si>
  <si>
    <t xml:space="preserve">বিদ্যুৎ নেই</t>
  </si>
  <si>
    <t xml:space="preserve">বন্যা</t>
  </si>
  <si>
    <t xml:space="preserve">শিকড় গজায়নি</t>
  </si>
  <si>
    <t xml:space="preserve">পাম্প বা বোরিংয়ের সমস্যা</t>
  </si>
  <si>
    <t xml:space="preserve">নজর রাখা দরকার</t>
  </si>
  <si>
    <t xml:space="preserve">আগাছা পরিষ্কার</t>
  </si>
  <si>
    <t xml:space="preserve">শৈত্যপ্রবাহ</t>
  </si>
  <si>
    <t xml:space="preserve">পোকা</t>
  </si>
  <si>
    <t xml:space="preserve">ব্যক্তিগত কারণ</t>
  </si>
  <si>
    <t xml:space="preserve">এখনই পরামর্শ দরকার</t>
  </si>
  <si>
    <t xml:space="preserve">সার প্রয়োগ</t>
  </si>
  <si>
    <t xml:space="preserve">গোবর প্রয়োগ</t>
  </si>
  <si>
    <t xml:space="preserve">আগাছানাশক</t>
  </si>
  <si>
    <t xml:space="preserve">তাপপ্রবাহ</t>
  </si>
  <si>
    <t xml:space="preserve">শেওলা</t>
  </si>
  <si>
    <t xml:space="preserve">অন্যান্য</t>
  </si>
  <si>
    <t xml:space="preserve">আগাছানাশক প্রয়োগ</t>
  </si>
  <si>
    <t xml:space="preserve">খড় প্রয়োগ</t>
  </si>
  <si>
    <t xml:space="preserve">ঝড়ো বাতাস</t>
  </si>
  <si>
    <t xml:space="preserve">রোগ</t>
  </si>
  <si>
    <t xml:space="preserve">বালাই দমন</t>
  </si>
  <si>
    <t xml:space="preserve">শিলাবৃষ্টি</t>
  </si>
  <si>
    <t xml:space="preserve">ধানক্ষেতের পানি দূষিত</t>
  </si>
  <si>
    <t xml:space="preserve">ঝড়</t>
  </si>
  <si>
    <t xml:space="preserve">ভবিষ্যতে পানির অভাবের আশঙ্কা</t>
  </si>
  <si>
    <t xml:space="preserve">ফসল কাটা</t>
  </si>
  <si>
    <t xml:space="preserve">পিটান শুরু</t>
  </si>
  <si>
    <t xml:space="preserve">পানির অভাব</t>
  </si>
  <si>
    <t xml:space="preserve">পিটান শেষ</t>
  </si>
  <si>
    <t xml:space="preserve">মাটি ফাটার ঝুঁকি</t>
  </si>
  <si>
    <t xml:space="preserve">জমি সমান করা</t>
  </si>
  <si>
    <t xml:space="preserve">আগাছা বেশি</t>
  </si>
  <si>
    <t xml:space="preserve">আইল মেরামত</t>
  </si>
  <si>
    <t xml:space="preserve">এমডি শুরু</t>
  </si>
  <si>
    <t xml:space="preserve">পাতা হলুদ হচ্ছে</t>
  </si>
  <si>
    <t xml:space="preserve">জমির অন্যান্য কাজ</t>
  </si>
  <si>
    <t xml:space="preserve">এমডি শেষ</t>
  </si>
  <si>
    <t xml:space="preserve">লাল পোকা</t>
  </si>
  <si>
    <t xml:space="preserve">পাতায় বাদামি দাগ</t>
  </si>
  <si>
    <t xml:space="preserve">H2S পরীক্ষা</t>
  </si>
  <si>
    <t xml:space="preserve">প্লাবন শুরু</t>
  </si>
  <si>
    <t xml:space="preserve">সেচ ও আগাছা পরিষ্কার</t>
  </si>
  <si>
    <t xml:space="preserve">প্লাবন শেষ</t>
  </si>
  <si>
    <t xml:space="preserve">সেচ ও সার</t>
  </si>
  <si>
    <t xml:space="preserve">3F4D-1 শুরু</t>
  </si>
  <si>
    <t xml:space="preserve">3F4D-2 শুরু</t>
  </si>
  <si>
    <t xml:space="preserve">3F4D-3 শুরু</t>
  </si>
  <si>
    <t xml:space="preserve">3F4D-4 শুরু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</si>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</sst>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পানির স্তর (সেমি) / 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76448804"/>
        <c:axId val="45995227"/>
      </c:scatterChart>
      <c:valAx>
        <c:axId val="7644880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95227"/>
        <c:crosses val="autoZero"/>
        <c:crossBetween val="midCat"/>
      </c:valAx>
      <c:valAx>
        <c:axId val="459952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4880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বৃষ্টি (মিমি) / 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17628409"/>
        <c:axId val="70985769"/>
      </c:scatterChart>
      <c:valAx>
        <c:axId val="1762840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85769"/>
        <c:crosses val="autoZero"/>
        <c:crossBetween val="midCat"/>
      </c:valAx>
      <c:valAx>
        <c:axId val="709857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2840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মোট সেচ (মিমি) / 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46484568"/>
        <c:axId val="44082656"/>
      </c:scatterChart>
      <c:valAx>
        <c:axId val="4648456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82656"/>
        <c:crosses val="autoZero"/>
        <c:crossBetween val="midCat"/>
      </c:valAx>
      <c:valAx>
        <c:axId val="440826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8456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দৈনিক পানির স্তর হ্রাস (মিমি/দিন) / 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90309268"/>
        <c:axId val="62686274"/>
      </c:scatterChart>
      <c:valAx>
        <c:axId val="9030926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86274"/>
        <c:crosses val="autoZero"/>
        <c:crossBetween val="midCat"/>
      </c:valAx>
      <c:valAx>
        <c:axId val="626862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0926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প্রতি গোছায় কুশি / 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82959536"/>
        <c:axId val="10291629"/>
      </c:scatterChart>
      <c:valAx>
        <c:axId val="8295953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91629"/>
        <c:crosses val="autoZero"/>
        <c:crossBetween val="midCat"/>
      </c:valAx>
      <c:valAx>
        <c:axId val="10291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5953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160560</xdr:rowOff>
    </xdr:from>
    <xdr:to>
      <xdr:col>10</xdr:col>
      <xdr:colOff>344520</xdr:colOff>
      <xdr:row>28</xdr:row>
      <xdr:rowOff>7920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 t="s">
        <v>31</v>
      </c>
      <c r="D5" s="12" t="s">
        <v>32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33</v>
      </c>
      <c r="B6" s="10" t="s">
        <v>34</v>
      </c>
      <c r="C6" s="11" t="s">
        <v>35</v>
      </c>
      <c r="D6" s="12" t="s">
        <v>36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37</v>
      </c>
      <c r="B7" s="10" t="s">
        <v>38</v>
      </c>
      <c r="C7" s="11" t="n">
        <v>23.1</v>
      </c>
      <c r="D7" s="12" t="s">
        <v>39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40</v>
      </c>
      <c r="B8" s="10" t="s">
        <v>41</v>
      </c>
      <c r="C8" s="11" t="n">
        <v>89</v>
      </c>
      <c r="D8" s="12" t="s">
        <v>42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43</v>
      </c>
      <c r="B9" s="10" t="s">
        <v>44</v>
      </c>
      <c r="C9" s="11" t="s">
        <v>45</v>
      </c>
      <c r="D9" s="12" t="s">
        <v>46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47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48</v>
      </c>
      <c r="B12" s="10" t="s">
        <v>49</v>
      </c>
      <c r="C12" s="13" t="n">
        <v>45993</v>
      </c>
      <c r="D12" s="12" t="s">
        <v>50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51</v>
      </c>
      <c r="B13" s="10" t="s">
        <v>52</v>
      </c>
      <c r="C13" s="11" t="n">
        <v>49</v>
      </c>
      <c r="D13" s="12" t="s">
        <v>53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54</v>
      </c>
      <c r="C14" s="14" t="n">
        <f aca="false">IF(AND(ISNUMBER(C12),ISNUMBER(C13)),C12+C13,"")</f>
        <v>46042</v>
      </c>
      <c r="D14" s="12" t="s">
        <v>55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56</v>
      </c>
      <c r="C15" s="14" t="n">
        <f aca="false">IF(C14="","",C14-35)</f>
        <v>46007</v>
      </c>
      <c r="D15" s="12" t="s">
        <v>57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58</v>
      </c>
      <c r="B16" s="10" t="s">
        <v>59</v>
      </c>
      <c r="C16" s="13"/>
      <c r="D16" s="12" t="s">
        <v>60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61</v>
      </c>
      <c r="C17" s="14" t="n">
        <f aca="false">IF(ISNUMBER(C16),C16,IF(ISNUMBER(C12),C12-3,""))</f>
        <v>45990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62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63</v>
      </c>
      <c r="C20" s="15" t="s">
        <v>64</v>
      </c>
      <c r="D20" s="15" t="s">
        <v>65</v>
      </c>
      <c r="E20" s="15" t="s">
        <v>66</v>
      </c>
      <c r="F20" s="15" t="s">
        <v>67</v>
      </c>
      <c r="G20" s="15" t="s">
        <v>68</v>
      </c>
      <c r="H20" s="16" t="s">
        <v>69</v>
      </c>
    </row>
    <row r="21" customFormat="false" ht="15" hidden="false" customHeight="false" outlineLevel="0" collapsed="false">
      <c r="A21" s="9" t="s">
        <v>70</v>
      </c>
      <c r="B21" s="17" t="s">
        <v>71</v>
      </c>
      <c r="C21" s="18" t="s">
        <v>72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73</v>
      </c>
      <c r="B22" s="20" t="s">
        <v>74</v>
      </c>
      <c r="C22" s="18" t="s">
        <v>75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76</v>
      </c>
      <c r="B23" s="10" t="s">
        <v>77</v>
      </c>
      <c r="C23" s="13" t="n">
        <v>46042</v>
      </c>
      <c r="D23" s="12" t="s">
        <v>78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79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80</v>
      </c>
      <c r="B26" s="10" t="s">
        <v>81</v>
      </c>
      <c r="C26" s="13" t="n">
        <v>45990</v>
      </c>
      <c r="D26" s="12" t="s">
        <v>82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83</v>
      </c>
      <c r="B27" s="10" t="s">
        <v>84</v>
      </c>
      <c r="C27" s="13" t="n">
        <v>45999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85</v>
      </c>
      <c r="B28" s="10" t="s">
        <v>86</v>
      </c>
      <c r="C28" s="13" t="n">
        <v>46029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87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88</v>
      </c>
      <c r="C31" s="18" t="n">
        <v>35</v>
      </c>
    </row>
    <row r="32" customFormat="false" ht="15" hidden="false" customHeight="false" outlineLevel="0" collapsed="false">
      <c r="A32" s="10"/>
      <c r="B32" s="10" t="s">
        <v>89</v>
      </c>
      <c r="C32" s="18" t="n">
        <v>30</v>
      </c>
    </row>
    <row r="33" customFormat="false" ht="15" hidden="false" customHeight="false" outlineLevel="0" collapsed="false">
      <c r="A33" s="10"/>
      <c r="B33" s="10" t="s">
        <v>90</v>
      </c>
      <c r="C33" s="18" t="n">
        <v>3</v>
      </c>
    </row>
    <row r="34" customFormat="false" ht="15" hidden="false" customHeight="false" outlineLevel="0" collapsed="false">
      <c r="A34" s="10"/>
      <c r="B34" s="10" t="s">
        <v>91</v>
      </c>
      <c r="C34" s="18" t="n">
        <v>66</v>
      </c>
    </row>
    <row r="35" customFormat="false" ht="15" hidden="false" customHeight="false" outlineLevel="0" collapsed="false">
      <c r="A35" s="10"/>
      <c r="B35" s="10" t="s">
        <v>92</v>
      </c>
      <c r="C35" s="18" t="n">
        <v>8</v>
      </c>
    </row>
    <row r="36" customFormat="false" ht="15" hidden="false" customHeight="false" outlineLevel="0" collapsed="false">
      <c r="A36" s="10"/>
      <c r="B36" s="10" t="s">
        <v>93</v>
      </c>
      <c r="C36" s="18" t="n">
        <v>6</v>
      </c>
    </row>
    <row r="37" customFormat="false" ht="15" hidden="false" customHeight="false" outlineLevel="0" collapsed="false">
      <c r="A37" s="10"/>
      <c r="B37" s="10" t="s">
        <v>94</v>
      </c>
      <c r="C37" s="18" t="n">
        <v>111</v>
      </c>
    </row>
    <row r="38" customFormat="false" ht="15" hidden="false" customHeight="false" outlineLevel="0" collapsed="false">
      <c r="A38" s="10"/>
      <c r="B38" s="10" t="s">
        <v>95</v>
      </c>
      <c r="C38" s="18" t="n">
        <v>25</v>
      </c>
    </row>
    <row r="39" customFormat="false" ht="15" hidden="false" customHeight="false" outlineLevel="0" collapsed="false">
      <c r="A39" s="10"/>
      <c r="B39" s="10" t="s">
        <v>96</v>
      </c>
      <c r="C39" s="18" t="n">
        <v>21</v>
      </c>
    </row>
    <row r="40" customFormat="false" ht="15" hidden="false" customHeight="false" outlineLevel="0" collapsed="false">
      <c r="A40" s="10"/>
      <c r="B40" s="10" t="s">
        <v>97</v>
      </c>
      <c r="C40" s="18" t="n">
        <v>28</v>
      </c>
    </row>
    <row r="41" customFormat="false" ht="15" hidden="false" customHeight="false" outlineLevel="0" collapsed="false">
      <c r="A41" s="10"/>
      <c r="B41" s="10" t="s">
        <v>98</v>
      </c>
      <c r="C41" s="18" t="n">
        <v>8</v>
      </c>
    </row>
    <row r="42" customFormat="false" ht="15" hidden="false" customHeight="false" outlineLevel="0" collapsed="false">
      <c r="A42" s="10"/>
      <c r="B42" s="10" t="s">
        <v>99</v>
      </c>
      <c r="C42" s="18" t="n">
        <v>15</v>
      </c>
    </row>
    <row r="43" customFormat="false" ht="15" hidden="false" customHeight="false" outlineLevel="0" collapsed="false">
      <c r="A43" s="10"/>
      <c r="B43" s="10" t="s">
        <v>100</v>
      </c>
      <c r="C43" s="18" t="n">
        <v>4</v>
      </c>
    </row>
    <row r="44" customFormat="false" ht="15" hidden="false" customHeight="false" outlineLevel="0" collapsed="false">
      <c r="A44" s="10"/>
      <c r="B44" s="10" t="s">
        <v>101</v>
      </c>
      <c r="C44" s="18" t="n">
        <v>7</v>
      </c>
    </row>
    <row r="46" customFormat="false" ht="15" hidden="false" customHeight="false" outlineLevel="0" collapsed="false">
      <c r="A46" s="7" t="s">
        <v>102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103</v>
      </c>
      <c r="C47" s="15" t="s">
        <v>104</v>
      </c>
      <c r="D47" s="15" t="s">
        <v>105</v>
      </c>
    </row>
    <row r="48" customFormat="false" ht="15" hidden="false" customHeight="false" outlineLevel="0" collapsed="false">
      <c r="B48" s="21" t="s">
        <v>106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107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108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109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110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111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112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113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114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115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116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117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118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তারিখ লিখুন, যেমন 02 Dec 2025।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দিন, 10-90।" errorStyle="stop" operator="between" showDropDown="false" showErrorMessage="true" showInputMessage="false" sqref="C13" type="whole">
      <formula1>10</formula1>
      <formula2>90</formula2>
    </dataValidation>
    <dataValidation allowBlank="false" error="সংখ্যা লিখুন (সেমি)।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119</v>
      </c>
      <c r="C1" s="24" t="s">
        <v>120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26" t="s">
        <v>121</v>
      </c>
      <c r="C2" s="27" t="s">
        <v>122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28" t="str">
        <f aca="true">IFERROR("আজ: কলাম "&amp;SUBSTITUTE(ADDRESS(1,MATCH(TODAY(),$D$1:$FQ$1,0)+3,4),"1",""),"আজকের তারিখ এই শিটে নেই")</f>
        <v>আজকের তারিখ এই শিটে নেই</v>
      </c>
      <c r="C3" s="27" t="s">
        <v>123</v>
      </c>
      <c r="D3" s="27" t="n">
        <f aca="false">IF(OR(D1="",NOT(ISNUMBER(TransDate))),"",D1-TransDate)</f>
        <v>-52</v>
      </c>
      <c r="E3" s="27" t="n">
        <f aca="false">IF(OR(E1="",NOT(ISNUMBER(TransDate))),"",E1-TransDate)</f>
        <v>-51</v>
      </c>
      <c r="F3" s="27" t="n">
        <f aca="false">IF(OR(F1="",NOT(ISNUMBER(TransDate))),"",F1-TransDate)</f>
        <v>-50</v>
      </c>
      <c r="G3" s="27" t="n">
        <f aca="false">IF(OR(G1="",NOT(ISNUMBER(TransDate))),"",G1-TransDate)</f>
        <v>-49</v>
      </c>
      <c r="H3" s="27" t="n">
        <f aca="false">IF(OR(H1="",NOT(ISNUMBER(TransDate))),"",H1-TransDate)</f>
        <v>-48</v>
      </c>
      <c r="I3" s="27" t="n">
        <f aca="false">IF(OR(I1="",NOT(ISNUMBER(TransDate))),"",I1-TransDate)</f>
        <v>-47</v>
      </c>
      <c r="J3" s="27" t="n">
        <f aca="false">IF(OR(J1="",NOT(ISNUMBER(TransDate))),"",J1-TransDate)</f>
        <v>-46</v>
      </c>
      <c r="K3" s="27" t="n">
        <f aca="false">IF(OR(K1="",NOT(ISNUMBER(TransDate))),"",K1-TransDate)</f>
        <v>-45</v>
      </c>
      <c r="L3" s="27" t="n">
        <f aca="false">IF(OR(L1="",NOT(ISNUMBER(TransDate))),"",L1-TransDate)</f>
        <v>-44</v>
      </c>
      <c r="M3" s="27" t="n">
        <f aca="false">IF(OR(M1="",NOT(ISNUMBER(TransDate))),"",M1-TransDate)</f>
        <v>-43</v>
      </c>
      <c r="N3" s="27" t="n">
        <f aca="false">IF(OR(N1="",NOT(ISNUMBER(TransDate))),"",N1-TransDate)</f>
        <v>-42</v>
      </c>
      <c r="O3" s="27" t="n">
        <f aca="false">IF(OR(O1="",NOT(ISNUMBER(TransDate))),"",O1-TransDate)</f>
        <v>-41</v>
      </c>
      <c r="P3" s="27" t="n">
        <f aca="false">IF(OR(P1="",NOT(ISNUMBER(TransDate))),"",P1-TransDate)</f>
        <v>-40</v>
      </c>
      <c r="Q3" s="27" t="n">
        <f aca="false">IF(OR(Q1="",NOT(ISNUMBER(TransDate))),"",Q1-TransDate)</f>
        <v>-39</v>
      </c>
      <c r="R3" s="27" t="n">
        <f aca="false">IF(OR(R1="",NOT(ISNUMBER(TransDate))),"",R1-TransDate)</f>
        <v>-38</v>
      </c>
      <c r="S3" s="27" t="n">
        <f aca="false">IF(OR(S1="",NOT(ISNUMBER(TransDate))),"",S1-TransDate)</f>
        <v>-37</v>
      </c>
      <c r="T3" s="27" t="n">
        <f aca="false">IF(OR(T1="",NOT(ISNUMBER(TransDate))),"",T1-TransDate)</f>
        <v>-36</v>
      </c>
      <c r="U3" s="27" t="n">
        <f aca="false">IF(OR(U1="",NOT(ISNUMBER(TransDate))),"",U1-TransDate)</f>
        <v>-35</v>
      </c>
      <c r="V3" s="27" t="n">
        <f aca="false">IF(OR(V1="",NOT(ISNUMBER(TransDate))),"",V1-TransDate)</f>
        <v>-34</v>
      </c>
      <c r="W3" s="27" t="n">
        <f aca="false">IF(OR(W1="",NOT(ISNUMBER(TransDate))),"",W1-TransDate)</f>
        <v>-33</v>
      </c>
      <c r="X3" s="27" t="n">
        <f aca="false">IF(OR(X1="",NOT(ISNUMBER(TransDate))),"",X1-TransDate)</f>
        <v>-32</v>
      </c>
      <c r="Y3" s="27" t="n">
        <f aca="false">IF(OR(Y1="",NOT(ISNUMBER(TransDate))),"",Y1-TransDate)</f>
        <v>-31</v>
      </c>
      <c r="Z3" s="27" t="n">
        <f aca="false">IF(OR(Z1="",NOT(ISNUMBER(TransDate))),"",Z1-TransDate)</f>
        <v>-30</v>
      </c>
      <c r="AA3" s="27" t="n">
        <f aca="false">IF(OR(AA1="",NOT(ISNUMBER(TransDate))),"",AA1-TransDate)</f>
        <v>-29</v>
      </c>
      <c r="AB3" s="27" t="n">
        <f aca="false">IF(OR(AB1="",NOT(ISNUMBER(TransDate))),"",AB1-TransDate)</f>
        <v>-28</v>
      </c>
      <c r="AC3" s="27" t="n">
        <f aca="false">IF(OR(AC1="",NOT(ISNUMBER(TransDate))),"",AC1-TransDate)</f>
        <v>-27</v>
      </c>
      <c r="AD3" s="27" t="n">
        <f aca="false">IF(OR(AD1="",NOT(ISNUMBER(TransDate))),"",AD1-TransDate)</f>
        <v>-26</v>
      </c>
      <c r="AE3" s="27" t="n">
        <f aca="false">IF(OR(AE1="",NOT(ISNUMBER(TransDate))),"",AE1-TransDate)</f>
        <v>-25</v>
      </c>
      <c r="AF3" s="27" t="n">
        <f aca="false">IF(OR(AF1="",NOT(ISNUMBER(TransDate))),"",AF1-TransDate)</f>
        <v>-24</v>
      </c>
      <c r="AG3" s="27" t="n">
        <f aca="false">IF(OR(AG1="",NOT(ISNUMBER(TransDate))),"",AG1-TransDate)</f>
        <v>-23</v>
      </c>
      <c r="AH3" s="27" t="n">
        <f aca="false">IF(OR(AH1="",NOT(ISNUMBER(TransDate))),"",AH1-TransDate)</f>
        <v>-22</v>
      </c>
      <c r="AI3" s="27" t="n">
        <f aca="false">IF(OR(AI1="",NOT(ISNUMBER(TransDate))),"",AI1-TransDate)</f>
        <v>-21</v>
      </c>
      <c r="AJ3" s="27" t="n">
        <f aca="false">IF(OR(AJ1="",NOT(ISNUMBER(TransDate))),"",AJ1-TransDate)</f>
        <v>-20</v>
      </c>
      <c r="AK3" s="27" t="n">
        <f aca="false">IF(OR(AK1="",NOT(ISNUMBER(TransDate))),"",AK1-TransDate)</f>
        <v>-19</v>
      </c>
      <c r="AL3" s="27" t="n">
        <f aca="false">IF(OR(AL1="",NOT(ISNUMBER(TransDate))),"",AL1-TransDate)</f>
        <v>-18</v>
      </c>
      <c r="AM3" s="27" t="n">
        <f aca="false">IF(OR(AM1="",NOT(ISNUMBER(TransDate))),"",AM1-TransDate)</f>
        <v>-17</v>
      </c>
      <c r="AN3" s="27" t="n">
        <f aca="false">IF(OR(AN1="",NOT(ISNUMBER(TransDate))),"",AN1-TransDate)</f>
        <v>-16</v>
      </c>
      <c r="AO3" s="27" t="n">
        <f aca="false">IF(OR(AO1="",NOT(ISNUMBER(TransDate))),"",AO1-TransDate)</f>
        <v>-15</v>
      </c>
      <c r="AP3" s="27" t="n">
        <f aca="false">IF(OR(AP1="",NOT(ISNUMBER(TransDate))),"",AP1-TransDate)</f>
        <v>-14</v>
      </c>
      <c r="AQ3" s="27" t="n">
        <f aca="false">IF(OR(AQ1="",NOT(ISNUMBER(TransDate))),"",AQ1-TransDate)</f>
        <v>-13</v>
      </c>
      <c r="AR3" s="27" t="n">
        <f aca="false">IF(OR(AR1="",NOT(ISNUMBER(TransDate))),"",AR1-TransDate)</f>
        <v>-12</v>
      </c>
      <c r="AS3" s="27" t="n">
        <f aca="false">IF(OR(AS1="",NOT(ISNUMBER(TransDate))),"",AS1-TransDate)</f>
        <v>-11</v>
      </c>
      <c r="AT3" s="27" t="n">
        <f aca="false">IF(OR(AT1="",NOT(ISNUMBER(TransDate))),"",AT1-TransDate)</f>
        <v>-10</v>
      </c>
      <c r="AU3" s="27" t="n">
        <f aca="false">IF(OR(AU1="",NOT(ISNUMBER(TransDate))),"",AU1-TransDate)</f>
        <v>-9</v>
      </c>
      <c r="AV3" s="27" t="n">
        <f aca="false">IF(OR(AV1="",NOT(ISNUMBER(TransDate))),"",AV1-TransDate)</f>
        <v>-8</v>
      </c>
      <c r="AW3" s="27" t="n">
        <f aca="false">IF(OR(AW1="",NOT(ISNUMBER(TransDate))),"",AW1-TransDate)</f>
        <v>-7</v>
      </c>
      <c r="AX3" s="27" t="n">
        <f aca="false">IF(OR(AX1="",NOT(ISNUMBER(TransDate))),"",AX1-TransDate)</f>
        <v>-6</v>
      </c>
      <c r="AY3" s="27" t="n">
        <f aca="false">IF(OR(AY1="",NOT(ISNUMBER(TransDate))),"",AY1-TransDate)</f>
        <v>-5</v>
      </c>
      <c r="AZ3" s="27" t="n">
        <f aca="false">IF(OR(AZ1="",NOT(ISNUMBER(TransDate))),"",AZ1-TransDate)</f>
        <v>-4</v>
      </c>
      <c r="BA3" s="27" t="n">
        <f aca="false">IF(OR(BA1="",NOT(ISNUMBER(TransDate))),"",BA1-TransDate)</f>
        <v>-3</v>
      </c>
      <c r="BB3" s="27" t="n">
        <f aca="false">IF(OR(BB1="",NOT(ISNUMBER(TransDate))),"",BB1-TransDate)</f>
        <v>-2</v>
      </c>
      <c r="BC3" s="27" t="n">
        <f aca="false">IF(OR(BC1="",NOT(ISNUMBER(TransDate))),"",BC1-TransDate)</f>
        <v>-1</v>
      </c>
      <c r="BD3" s="27" t="n">
        <f aca="false">IF(OR(BD1="",NOT(ISNUMBER(TransDate))),"",BD1-TransDate)</f>
        <v>0</v>
      </c>
      <c r="BE3" s="27" t="n">
        <f aca="false">IF(OR(BE1="",NOT(ISNUMBER(TransDate))),"",BE1-TransDate)</f>
        <v>1</v>
      </c>
      <c r="BF3" s="27" t="n">
        <f aca="false">IF(OR(BF1="",NOT(ISNUMBER(TransDate))),"",BF1-TransDate)</f>
        <v>2</v>
      </c>
      <c r="BG3" s="27" t="n">
        <f aca="false">IF(OR(BG1="",NOT(ISNUMBER(TransDate))),"",BG1-TransDate)</f>
        <v>3</v>
      </c>
      <c r="BH3" s="27" t="n">
        <f aca="false">IF(OR(BH1="",NOT(ISNUMBER(TransDate))),"",BH1-TransDate)</f>
        <v>4</v>
      </c>
      <c r="BI3" s="27" t="n">
        <f aca="false">IF(OR(BI1="",NOT(ISNUMBER(TransDate))),"",BI1-TransDate)</f>
        <v>5</v>
      </c>
      <c r="BJ3" s="27" t="n">
        <f aca="false">IF(OR(BJ1="",NOT(ISNUMBER(TransDate))),"",BJ1-TransDate)</f>
        <v>6</v>
      </c>
      <c r="BK3" s="27" t="n">
        <f aca="false">IF(OR(BK1="",NOT(ISNUMBER(TransDate))),"",BK1-TransDate)</f>
        <v>7</v>
      </c>
      <c r="BL3" s="27" t="n">
        <f aca="false">IF(OR(BL1="",NOT(ISNUMBER(TransDate))),"",BL1-TransDate)</f>
        <v>8</v>
      </c>
      <c r="BM3" s="27" t="n">
        <f aca="false">IF(OR(BM1="",NOT(ISNUMBER(TransDate))),"",BM1-TransDate)</f>
        <v>9</v>
      </c>
      <c r="BN3" s="27" t="n">
        <f aca="false">IF(OR(BN1="",NOT(ISNUMBER(TransDate))),"",BN1-TransDate)</f>
        <v>10</v>
      </c>
      <c r="BO3" s="27" t="n">
        <f aca="false">IF(OR(BO1="",NOT(ISNUMBER(TransDate))),"",BO1-TransDate)</f>
        <v>11</v>
      </c>
      <c r="BP3" s="27" t="n">
        <f aca="false">IF(OR(BP1="",NOT(ISNUMBER(TransDate))),"",BP1-TransDate)</f>
        <v>12</v>
      </c>
      <c r="BQ3" s="27" t="n">
        <f aca="false">IF(OR(BQ1="",NOT(ISNUMBER(TransDate))),"",BQ1-TransDate)</f>
        <v>13</v>
      </c>
      <c r="BR3" s="27" t="n">
        <f aca="false">IF(OR(BR1="",NOT(ISNUMBER(TransDate))),"",BR1-TransDate)</f>
        <v>14</v>
      </c>
      <c r="BS3" s="27" t="n">
        <f aca="false">IF(OR(BS1="",NOT(ISNUMBER(TransDate))),"",BS1-TransDate)</f>
        <v>15</v>
      </c>
      <c r="BT3" s="27" t="n">
        <f aca="false">IF(OR(BT1="",NOT(ISNUMBER(TransDate))),"",BT1-TransDate)</f>
        <v>16</v>
      </c>
      <c r="BU3" s="27" t="n">
        <f aca="false">IF(OR(BU1="",NOT(ISNUMBER(TransDate))),"",BU1-TransDate)</f>
        <v>17</v>
      </c>
      <c r="BV3" s="27" t="n">
        <f aca="false">IF(OR(BV1="",NOT(ISNUMBER(TransDate))),"",BV1-TransDate)</f>
        <v>18</v>
      </c>
      <c r="BW3" s="27" t="n">
        <f aca="false">IF(OR(BW1="",NOT(ISNUMBER(TransDate))),"",BW1-TransDate)</f>
        <v>19</v>
      </c>
      <c r="BX3" s="27" t="n">
        <f aca="false">IF(OR(BX1="",NOT(ISNUMBER(TransDate))),"",BX1-TransDate)</f>
        <v>20</v>
      </c>
      <c r="BY3" s="27" t="n">
        <f aca="false">IF(OR(BY1="",NOT(ISNUMBER(TransDate))),"",BY1-TransDate)</f>
        <v>21</v>
      </c>
      <c r="BZ3" s="27" t="n">
        <f aca="false">IF(OR(BZ1="",NOT(ISNUMBER(TransDate))),"",BZ1-TransDate)</f>
        <v>22</v>
      </c>
      <c r="CA3" s="27" t="n">
        <f aca="false">IF(OR(CA1="",NOT(ISNUMBER(TransDate))),"",CA1-TransDate)</f>
        <v>23</v>
      </c>
      <c r="CB3" s="27" t="n">
        <f aca="false">IF(OR(CB1="",NOT(ISNUMBER(TransDate))),"",CB1-TransDate)</f>
        <v>24</v>
      </c>
      <c r="CC3" s="27" t="n">
        <f aca="false">IF(OR(CC1="",NOT(ISNUMBER(TransDate))),"",CC1-TransDate)</f>
        <v>25</v>
      </c>
      <c r="CD3" s="27" t="n">
        <f aca="false">IF(OR(CD1="",NOT(ISNUMBER(TransDate))),"",CD1-TransDate)</f>
        <v>26</v>
      </c>
      <c r="CE3" s="27" t="n">
        <f aca="false">IF(OR(CE1="",NOT(ISNUMBER(TransDate))),"",CE1-TransDate)</f>
        <v>27</v>
      </c>
      <c r="CF3" s="27" t="n">
        <f aca="false">IF(OR(CF1="",NOT(ISNUMBER(TransDate))),"",CF1-TransDate)</f>
        <v>28</v>
      </c>
      <c r="CG3" s="27" t="n">
        <f aca="false">IF(OR(CG1="",NOT(ISNUMBER(TransDate))),"",CG1-TransDate)</f>
        <v>29</v>
      </c>
      <c r="CH3" s="27" t="n">
        <f aca="false">IF(OR(CH1="",NOT(ISNUMBER(TransDate))),"",CH1-TransDate)</f>
        <v>30</v>
      </c>
      <c r="CI3" s="27" t="n">
        <f aca="false">IF(OR(CI1="",NOT(ISNUMBER(TransDate))),"",CI1-TransDate)</f>
        <v>31</v>
      </c>
      <c r="CJ3" s="27" t="n">
        <f aca="false">IF(OR(CJ1="",NOT(ISNUMBER(TransDate))),"",CJ1-TransDate)</f>
        <v>32</v>
      </c>
      <c r="CK3" s="27" t="n">
        <f aca="false">IF(OR(CK1="",NOT(ISNUMBER(TransDate))),"",CK1-TransDate)</f>
        <v>33</v>
      </c>
      <c r="CL3" s="27" t="n">
        <f aca="false">IF(OR(CL1="",NOT(ISNUMBER(TransDate))),"",CL1-TransDate)</f>
        <v>34</v>
      </c>
      <c r="CM3" s="27" t="n">
        <f aca="false">IF(OR(CM1="",NOT(ISNUMBER(TransDate))),"",CM1-TransDate)</f>
        <v>35</v>
      </c>
      <c r="CN3" s="27" t="n">
        <f aca="false">IF(OR(CN1="",NOT(ISNUMBER(TransDate))),"",CN1-TransDate)</f>
        <v>36</v>
      </c>
      <c r="CO3" s="27" t="n">
        <f aca="false">IF(OR(CO1="",NOT(ISNUMBER(TransDate))),"",CO1-TransDate)</f>
        <v>37</v>
      </c>
      <c r="CP3" s="27" t="n">
        <f aca="false">IF(OR(CP1="",NOT(ISNUMBER(TransDate))),"",CP1-TransDate)</f>
        <v>38</v>
      </c>
      <c r="CQ3" s="27" t="n">
        <f aca="false">IF(OR(CQ1="",NOT(ISNUMBER(TransDate))),"",CQ1-TransDate)</f>
        <v>39</v>
      </c>
      <c r="CR3" s="27" t="n">
        <f aca="false">IF(OR(CR1="",NOT(ISNUMBER(TransDate))),"",CR1-TransDate)</f>
        <v>40</v>
      </c>
      <c r="CS3" s="27" t="n">
        <f aca="false">IF(OR(CS1="",NOT(ISNUMBER(TransDate))),"",CS1-TransDate)</f>
        <v>41</v>
      </c>
      <c r="CT3" s="27" t="n">
        <f aca="false">IF(OR(CT1="",NOT(ISNUMBER(TransDate))),"",CT1-TransDate)</f>
        <v>42</v>
      </c>
      <c r="CU3" s="27" t="n">
        <f aca="false">IF(OR(CU1="",NOT(ISNUMBER(TransDate))),"",CU1-TransDate)</f>
        <v>43</v>
      </c>
      <c r="CV3" s="27" t="n">
        <f aca="false">IF(OR(CV1="",NOT(ISNUMBER(TransDate))),"",CV1-TransDate)</f>
        <v>44</v>
      </c>
      <c r="CW3" s="27" t="n">
        <f aca="false">IF(OR(CW1="",NOT(ISNUMBER(TransDate))),"",CW1-TransDate)</f>
        <v>45</v>
      </c>
      <c r="CX3" s="27" t="n">
        <f aca="false">IF(OR(CX1="",NOT(ISNUMBER(TransDate))),"",CX1-TransDate)</f>
        <v>46</v>
      </c>
      <c r="CY3" s="27" t="n">
        <f aca="false">IF(OR(CY1="",NOT(ISNUMBER(TransDate))),"",CY1-TransDate)</f>
        <v>47</v>
      </c>
      <c r="CZ3" s="27" t="n">
        <f aca="false">IF(OR(CZ1="",NOT(ISNUMBER(TransDate))),"",CZ1-TransDate)</f>
        <v>48</v>
      </c>
      <c r="DA3" s="27" t="n">
        <f aca="false">IF(OR(DA1="",NOT(ISNUMBER(TransDate))),"",DA1-TransDate)</f>
        <v>49</v>
      </c>
      <c r="DB3" s="27" t="n">
        <f aca="false">IF(OR(DB1="",NOT(ISNUMBER(TransDate))),"",DB1-TransDate)</f>
        <v>50</v>
      </c>
      <c r="DC3" s="27" t="n">
        <f aca="false">IF(OR(DC1="",NOT(ISNUMBER(TransDate))),"",DC1-TransDate)</f>
        <v>51</v>
      </c>
      <c r="DD3" s="27" t="n">
        <f aca="false">IF(OR(DD1="",NOT(ISNUMBER(TransDate))),"",DD1-TransDate)</f>
        <v>52</v>
      </c>
      <c r="DE3" s="27" t="n">
        <f aca="false">IF(OR(DE1="",NOT(ISNUMBER(TransDate))),"",DE1-TransDate)</f>
        <v>53</v>
      </c>
      <c r="DF3" s="27" t="n">
        <f aca="false">IF(OR(DF1="",NOT(ISNUMBER(TransDate))),"",DF1-TransDate)</f>
        <v>54</v>
      </c>
      <c r="DG3" s="27" t="n">
        <f aca="false">IF(OR(DG1="",NOT(ISNUMBER(TransDate))),"",DG1-TransDate)</f>
        <v>55</v>
      </c>
      <c r="DH3" s="27" t="n">
        <f aca="false">IF(OR(DH1="",NOT(ISNUMBER(TransDate))),"",DH1-TransDate)</f>
        <v>56</v>
      </c>
      <c r="DI3" s="27" t="n">
        <f aca="false">IF(OR(DI1="",NOT(ISNUMBER(TransDate))),"",DI1-TransDate)</f>
        <v>57</v>
      </c>
      <c r="DJ3" s="27" t="n">
        <f aca="false">IF(OR(DJ1="",NOT(ISNUMBER(TransDate))),"",DJ1-TransDate)</f>
        <v>58</v>
      </c>
      <c r="DK3" s="27" t="n">
        <f aca="false">IF(OR(DK1="",NOT(ISNUMBER(TransDate))),"",DK1-TransDate)</f>
        <v>59</v>
      </c>
      <c r="DL3" s="27" t="n">
        <f aca="false">IF(OR(DL1="",NOT(ISNUMBER(TransDate))),"",DL1-TransDate)</f>
        <v>60</v>
      </c>
      <c r="DM3" s="27" t="n">
        <f aca="false">IF(OR(DM1="",NOT(ISNUMBER(TransDate))),"",DM1-TransDate)</f>
        <v>61</v>
      </c>
      <c r="DN3" s="27" t="n">
        <f aca="false">IF(OR(DN1="",NOT(ISNUMBER(TransDate))),"",DN1-TransDate)</f>
        <v>62</v>
      </c>
      <c r="DO3" s="27" t="n">
        <f aca="false">IF(OR(DO1="",NOT(ISNUMBER(TransDate))),"",DO1-TransDate)</f>
        <v>63</v>
      </c>
      <c r="DP3" s="27" t="n">
        <f aca="false">IF(OR(DP1="",NOT(ISNUMBER(TransDate))),"",DP1-TransDate)</f>
        <v>64</v>
      </c>
      <c r="DQ3" s="27" t="n">
        <f aca="false">IF(OR(DQ1="",NOT(ISNUMBER(TransDate))),"",DQ1-TransDate)</f>
        <v>65</v>
      </c>
      <c r="DR3" s="27" t="n">
        <f aca="false">IF(OR(DR1="",NOT(ISNUMBER(TransDate))),"",DR1-TransDate)</f>
        <v>66</v>
      </c>
      <c r="DS3" s="27" t="n">
        <f aca="false">IF(OR(DS1="",NOT(ISNUMBER(TransDate))),"",DS1-TransDate)</f>
        <v>67</v>
      </c>
      <c r="DT3" s="27" t="n">
        <f aca="false">IF(OR(DT1="",NOT(ISNUMBER(TransDate))),"",DT1-TransDate)</f>
        <v>68</v>
      </c>
      <c r="DU3" s="27" t="n">
        <f aca="false">IF(OR(DU1="",NOT(ISNUMBER(TransDate))),"",DU1-TransDate)</f>
        <v>69</v>
      </c>
      <c r="DV3" s="27" t="n">
        <f aca="false">IF(OR(DV1="",NOT(ISNUMBER(TransDate))),"",DV1-TransDate)</f>
        <v>70</v>
      </c>
      <c r="DW3" s="27" t="n">
        <f aca="false">IF(OR(DW1="",NOT(ISNUMBER(TransDate))),"",DW1-TransDate)</f>
        <v>71</v>
      </c>
      <c r="DX3" s="27" t="n">
        <f aca="false">IF(OR(DX1="",NOT(ISNUMBER(TransDate))),"",DX1-TransDate)</f>
        <v>72</v>
      </c>
      <c r="DY3" s="27" t="n">
        <f aca="false">IF(OR(DY1="",NOT(ISNUMBER(TransDate))),"",DY1-TransDate)</f>
        <v>73</v>
      </c>
      <c r="DZ3" s="27" t="n">
        <f aca="false">IF(OR(DZ1="",NOT(ISNUMBER(TransDate))),"",DZ1-TransDate)</f>
        <v>74</v>
      </c>
      <c r="EA3" s="27" t="n">
        <f aca="false">IF(OR(EA1="",NOT(ISNUMBER(TransDate))),"",EA1-TransDate)</f>
        <v>75</v>
      </c>
      <c r="EB3" s="27" t="n">
        <f aca="false">IF(OR(EB1="",NOT(ISNUMBER(TransDate))),"",EB1-TransDate)</f>
        <v>76</v>
      </c>
      <c r="EC3" s="27" t="n">
        <f aca="false">IF(OR(EC1="",NOT(ISNUMBER(TransDate))),"",EC1-TransDate)</f>
        <v>77</v>
      </c>
      <c r="ED3" s="27" t="n">
        <f aca="false">IF(OR(ED1="",NOT(ISNUMBER(TransDate))),"",ED1-TransDate)</f>
        <v>78</v>
      </c>
      <c r="EE3" s="27" t="n">
        <f aca="false">IF(OR(EE1="",NOT(ISNUMBER(TransDate))),"",EE1-TransDate)</f>
        <v>79</v>
      </c>
      <c r="EF3" s="27" t="n">
        <f aca="false">IF(OR(EF1="",NOT(ISNUMBER(TransDate))),"",EF1-TransDate)</f>
        <v>80</v>
      </c>
      <c r="EG3" s="27" t="n">
        <f aca="false">IF(OR(EG1="",NOT(ISNUMBER(TransDate))),"",EG1-TransDate)</f>
        <v>81</v>
      </c>
      <c r="EH3" s="27" t="n">
        <f aca="false">IF(OR(EH1="",NOT(ISNUMBER(TransDate))),"",EH1-TransDate)</f>
        <v>82</v>
      </c>
      <c r="EI3" s="27" t="n">
        <f aca="false">IF(OR(EI1="",NOT(ISNUMBER(TransDate))),"",EI1-TransDate)</f>
        <v>83</v>
      </c>
      <c r="EJ3" s="27" t="n">
        <f aca="false">IF(OR(EJ1="",NOT(ISNUMBER(TransDate))),"",EJ1-TransDate)</f>
        <v>84</v>
      </c>
      <c r="EK3" s="27" t="n">
        <f aca="false">IF(OR(EK1="",NOT(ISNUMBER(TransDate))),"",EK1-TransDate)</f>
        <v>85</v>
      </c>
      <c r="EL3" s="27" t="n">
        <f aca="false">IF(OR(EL1="",NOT(ISNUMBER(TransDate))),"",EL1-TransDate)</f>
        <v>86</v>
      </c>
      <c r="EM3" s="27" t="n">
        <f aca="false">IF(OR(EM1="",NOT(ISNUMBER(TransDate))),"",EM1-TransDate)</f>
        <v>87</v>
      </c>
      <c r="EN3" s="27" t="n">
        <f aca="false">IF(OR(EN1="",NOT(ISNUMBER(TransDate))),"",EN1-TransDate)</f>
        <v>88</v>
      </c>
      <c r="EO3" s="27" t="n">
        <f aca="false">IF(OR(EO1="",NOT(ISNUMBER(TransDate))),"",EO1-TransDate)</f>
        <v>89</v>
      </c>
      <c r="EP3" s="27" t="n">
        <f aca="false">IF(OR(EP1="",NOT(ISNUMBER(TransDate))),"",EP1-TransDate)</f>
        <v>90</v>
      </c>
      <c r="EQ3" s="27" t="n">
        <f aca="false">IF(OR(EQ1="",NOT(ISNUMBER(TransDate))),"",EQ1-TransDate)</f>
        <v>91</v>
      </c>
      <c r="ER3" s="27" t="n">
        <f aca="false">IF(OR(ER1="",NOT(ISNUMBER(TransDate))),"",ER1-TransDate)</f>
        <v>92</v>
      </c>
      <c r="ES3" s="27" t="n">
        <f aca="false">IF(OR(ES1="",NOT(ISNUMBER(TransDate))),"",ES1-TransDate)</f>
        <v>93</v>
      </c>
      <c r="ET3" s="27" t="n">
        <f aca="false">IF(OR(ET1="",NOT(ISNUMBER(TransDate))),"",ET1-TransDate)</f>
        <v>94</v>
      </c>
      <c r="EU3" s="27" t="n">
        <f aca="false">IF(OR(EU1="",NOT(ISNUMBER(TransDate))),"",EU1-TransDate)</f>
        <v>95</v>
      </c>
      <c r="EV3" s="27" t="n">
        <f aca="false">IF(OR(EV1="",NOT(ISNUMBER(TransDate))),"",EV1-TransDate)</f>
        <v>96</v>
      </c>
      <c r="EW3" s="27" t="n">
        <f aca="false">IF(OR(EW1="",NOT(ISNUMBER(TransDate))),"",EW1-TransDate)</f>
        <v>97</v>
      </c>
      <c r="EX3" s="27" t="n">
        <f aca="false">IF(OR(EX1="",NOT(ISNUMBER(TransDate))),"",EX1-TransDate)</f>
        <v>98</v>
      </c>
      <c r="EY3" s="27" t="n">
        <f aca="false">IF(OR(EY1="",NOT(ISNUMBER(TransDate))),"",EY1-TransDate)</f>
        <v>99</v>
      </c>
      <c r="EZ3" s="27" t="n">
        <f aca="false">IF(OR(EZ1="",NOT(ISNUMBER(TransDate))),"",EZ1-TransDate)</f>
        <v>100</v>
      </c>
      <c r="FA3" s="27" t="n">
        <f aca="false">IF(OR(FA1="",NOT(ISNUMBER(TransDate))),"",FA1-TransDate)</f>
        <v>101</v>
      </c>
      <c r="FB3" s="27" t="n">
        <f aca="false">IF(OR(FB1="",NOT(ISNUMBER(TransDate))),"",FB1-TransDate)</f>
        <v>102</v>
      </c>
      <c r="FC3" s="27" t="n">
        <f aca="false">IF(OR(FC1="",NOT(ISNUMBER(TransDate))),"",FC1-TransDate)</f>
        <v>103</v>
      </c>
      <c r="FD3" s="27" t="n">
        <f aca="false">IF(OR(FD1="",NOT(ISNUMBER(TransDate))),"",FD1-TransDate)</f>
        <v>104</v>
      </c>
      <c r="FE3" s="27" t="n">
        <f aca="false">IF(OR(FE1="",NOT(ISNUMBER(TransDate))),"",FE1-TransDate)</f>
        <v>105</v>
      </c>
      <c r="FF3" s="27" t="n">
        <f aca="false">IF(OR(FF1="",NOT(ISNUMBER(TransDate))),"",FF1-TransDate)</f>
        <v>106</v>
      </c>
      <c r="FG3" s="27" t="n">
        <f aca="false">IF(OR(FG1="",NOT(ISNUMBER(TransDate))),"",FG1-TransDate)</f>
        <v>107</v>
      </c>
      <c r="FH3" s="27" t="n">
        <f aca="false">IF(OR(FH1="",NOT(ISNUMBER(TransDate))),"",FH1-TransDate)</f>
        <v>108</v>
      </c>
      <c r="FI3" s="27" t="n">
        <f aca="false">IF(OR(FI1="",NOT(ISNUMBER(TransDate))),"",FI1-TransDate)</f>
        <v>109</v>
      </c>
      <c r="FJ3" s="27" t="n">
        <f aca="false">IF(OR(FJ1="",NOT(ISNUMBER(TransDate))),"",FJ1-TransDate)</f>
        <v>110</v>
      </c>
      <c r="FK3" s="27" t="n">
        <f aca="false">IF(OR(FK1="",NOT(ISNUMBER(TransDate))),"",FK1-TransDate)</f>
        <v>111</v>
      </c>
      <c r="FL3" s="27" t="n">
        <f aca="false">IF(OR(FL1="",NOT(ISNUMBER(TransDate))),"",FL1-TransDate)</f>
        <v>112</v>
      </c>
      <c r="FM3" s="27" t="n">
        <f aca="false">IF(OR(FM1="",NOT(ISNUMBER(TransDate))),"",FM1-TransDate)</f>
        <v>113</v>
      </c>
      <c r="FN3" s="27" t="n">
        <f aca="false">IF(OR(FN1="",NOT(ISNUMBER(TransDate))),"",FN1-TransDate)</f>
        <v>114</v>
      </c>
      <c r="FO3" s="27" t="n">
        <f aca="false">IF(OR(FO1="",NOT(ISNUMBER(TransDate))),"",FO1-TransDate)</f>
        <v>115</v>
      </c>
      <c r="FP3" s="27" t="n">
        <f aca="false">IF(OR(FP1="",NOT(ISNUMBER(TransDate))),"",FP1-TransDate)</f>
        <v>116</v>
      </c>
      <c r="FQ3" s="27" t="n">
        <f aca="false">IF(OR(FQ1="",NOT(ISNUMBER(TransDate))),"",FQ1-TransDate)</f>
        <v>117</v>
      </c>
    </row>
    <row r="4" customFormat="false" ht="15" hidden="false" customHeight="false" outlineLevel="0" collapsed="false">
      <c r="B4" s="26" t="s">
        <v>124</v>
      </c>
      <c r="C4" s="27" t="s">
        <v>125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>Pitan</v>
      </c>
      <c r="CI4" s="29" t="str">
        <f aca="false">Data_Farmer!CI6</f>
        <v>Pitan MD</v>
      </c>
      <c r="CJ4" s="29" t="str">
        <f aca="false">Data_Farmer!CJ6</f>
        <v>Pitan MD</v>
      </c>
      <c r="CK4" s="29" t="str">
        <f aca="false">Data_Farmer!CK6</f>
        <v>Pitan MD</v>
      </c>
      <c r="CL4" s="29" t="str">
        <f aca="false">Data_Farmer!CL6</f>
        <v>MD</v>
      </c>
      <c r="CM4" s="29" t="str">
        <f aca="false">Data_Farmer!CM6</f>
        <v>MD</v>
      </c>
      <c r="CN4" s="29" t="str">
        <f aca="false">Data_Farmer!CN6</f>
        <v>MD</v>
      </c>
      <c r="CO4" s="29" t="str">
        <f aca="false">Data_Farmer!CO6</f>
        <v>MD</v>
      </c>
      <c r="CP4" s="29" t="str">
        <f aca="false">Data_Farmer!CP6</f>
        <v>MD</v>
      </c>
      <c r="CQ4" s="29" t="str">
        <f aca="false">Data_Farmer!CQ6</f>
        <v>MD</v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>PI-flood</v>
      </c>
      <c r="DD4" s="29" t="str">
        <f aca="false">Data_Farmer!DD6</f>
        <v>PI-flood</v>
      </c>
      <c r="DE4" s="29" t="str">
        <f aca="false">Data_Farmer!DE6</f>
        <v>PI-flood</v>
      </c>
      <c r="DF4" s="29" t="str">
        <f aca="false">Data_Farmer!DF6</f>
        <v>PI-flood</v>
      </c>
      <c r="DG4" s="29" t="str">
        <f aca="false">Data_Farmer!DG6</f>
        <v>3F4D-1</v>
      </c>
      <c r="DH4" s="29" t="str">
        <f aca="false">Data_Farmer!DH6</f>
        <v>3F4D-1</v>
      </c>
      <c r="DI4" s="29" t="str">
        <f aca="false">Data_Farmer!DI6</f>
        <v>3F4D-1</v>
      </c>
      <c r="DJ4" s="29" t="str">
        <f aca="false">Data_Farmer!DJ6</f>
        <v>3F4D-1</v>
      </c>
      <c r="DK4" s="29" t="str">
        <f aca="false">Data_Farmer!DK6</f>
        <v>3F4D-1</v>
      </c>
      <c r="DL4" s="29" t="str">
        <f aca="false">Data_Farmer!DL6</f>
        <v>3F4D-1</v>
      </c>
      <c r="DM4" s="29" t="str">
        <f aca="false">Data_Farmer!DM6</f>
        <v>3F4D-1</v>
      </c>
      <c r="DN4" s="29" t="str">
        <f aca="false">Data_Farmer!DN6</f>
        <v>3F4D-2</v>
      </c>
      <c r="DO4" s="29" t="str">
        <f aca="false">Data_Farmer!DO6</f>
        <v>3F4D-2</v>
      </c>
      <c r="DP4" s="29" t="str">
        <f aca="false">Data_Farmer!DP6</f>
        <v>3F4D-2</v>
      </c>
      <c r="DQ4" s="29" t="str">
        <f aca="false">Data_Farmer!DQ6</f>
        <v>3F4D-2</v>
      </c>
      <c r="DR4" s="29" t="str">
        <f aca="false">Data_Farmer!DR6</f>
        <v>3F4D-2</v>
      </c>
      <c r="DS4" s="29" t="str">
        <f aca="false">Data_Farmer!DS6</f>
        <v>3F4D-2</v>
      </c>
      <c r="DT4" s="29" t="str">
        <f aca="false">Data_Farmer!DT6</f>
        <v>3F4D-2</v>
      </c>
      <c r="DU4" s="29" t="str">
        <f aca="false">Data_Farmer!DU6</f>
        <v>3F4D-3</v>
      </c>
      <c r="DV4" s="29" t="str">
        <f aca="false">Data_Farmer!DV6</f>
        <v>3F4D-3</v>
      </c>
      <c r="DW4" s="29" t="str">
        <f aca="false">Data_Farmer!DW6</f>
        <v>3F4D-3</v>
      </c>
      <c r="DX4" s="29" t="str">
        <f aca="false">Data_Farmer!DX6</f>
        <v>3F4D-3</v>
      </c>
      <c r="DY4" s="29" t="str">
        <f aca="false">Data_Farmer!DY6</f>
        <v>3F4D-3</v>
      </c>
      <c r="DZ4" s="29" t="str">
        <f aca="false">Data_Farmer!DZ6</f>
        <v>3F4D-3</v>
      </c>
      <c r="EA4" s="29" t="str">
        <f aca="false">Data_Farmer!EA6</f>
        <v>3F4D-3</v>
      </c>
      <c r="EB4" s="29" t="str">
        <f aca="false">Data_Farmer!EB6</f>
        <v>3F4D-4 শীষ বের হওয়া</v>
      </c>
      <c r="EC4" s="29" t="str">
        <f aca="false">Data_Farmer!EC6</f>
        <v>3F4D-4</v>
      </c>
      <c r="ED4" s="29" t="str">
        <f aca="false">Data_Farmer!ED6</f>
        <v>3F4D-4</v>
      </c>
      <c r="EE4" s="29" t="str">
        <f aca="false">Data_Farmer!EE6</f>
        <v>3F4D-4</v>
      </c>
      <c r="EF4" s="29" t="str">
        <f aca="false">Data_Farmer!EF6</f>
        <v>3F4D-4</v>
      </c>
      <c r="EG4" s="29" t="str">
        <f aca="false">Data_Farmer!EG6</f>
        <v>3F4D-4</v>
      </c>
      <c r="EH4" s="29" t="str">
        <f aca="false">Data_Farmer!EH6</f>
        <v>3F4D-4</v>
      </c>
      <c r="EI4" s="29" t="str">
        <f aca="false">Data_Farmer!EI6</f>
        <v>3F4D-5</v>
      </c>
      <c r="EJ4" s="29" t="str">
        <f aca="false">Data_Farmer!EJ6</f>
        <v>3F4D-5</v>
      </c>
      <c r="EK4" s="29" t="str">
        <f aca="false">Data_Farmer!EK6</f>
        <v>3F4D-5</v>
      </c>
      <c r="EL4" s="29" t="str">
        <f aca="false">Data_Farmer!EL6</f>
        <v>3F4D-5</v>
      </c>
      <c r="EM4" s="29" t="str">
        <f aca="false">Data_Farmer!EM6</f>
        <v>3F4D-5</v>
      </c>
      <c r="EN4" s="29" t="str">
        <f aca="false">Data_Farmer!EN6</f>
        <v>3F4D-5</v>
      </c>
      <c r="EO4" s="29" t="str">
        <f aca="false">Data_Farmer!EO6</f>
        <v>3F4D-5</v>
      </c>
      <c r="EP4" s="29" t="str">
        <f aca="false">Data_Farmer!EP6</f>
        <v>3F4D-6</v>
      </c>
      <c r="EQ4" s="29" t="str">
        <f aca="false">Data_Farmer!EQ6</f>
        <v>3F4D-6</v>
      </c>
      <c r="ER4" s="29" t="str">
        <f aca="false">Data_Farmer!ER6</f>
        <v>3F4D-6</v>
      </c>
      <c r="ES4" s="29" t="str">
        <f aca="false">Data_Farmer!ES6</f>
        <v>3F4D-6</v>
      </c>
      <c r="ET4" s="29" t="str">
        <f aca="false">Data_Farmer!ET6</f>
        <v>3F4D-6</v>
      </c>
      <c r="EU4" s="29" t="str">
        <f aca="false">Data_Farmer!EU6</f>
        <v>3F4D-6</v>
      </c>
      <c r="EV4" s="29" t="str">
        <f aca="false">Data_Farmer!EV6</f>
        <v>3F4D-6</v>
      </c>
      <c r="EW4" s="29" t="str">
        <f aca="false">Data_Farmer!EW6</f>
        <v>3F4D-6</v>
      </c>
      <c r="EX4" s="29" t="str">
        <f aca="false">Data_Farmer!EX6</f>
        <v>3F4D-6</v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126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127</v>
      </c>
      <c r="C7" s="32" t="s">
        <v>128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129</v>
      </c>
      <c r="C8" s="34" t="s">
        <v>128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130</v>
      </c>
      <c r="C9" s="32" t="s">
        <v>131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n">
        <f aca="false">IF(Data_Farmer!BD13="","",Data_Farmer!BD13)</f>
        <v>1</v>
      </c>
      <c r="BE9" s="35" t="n">
        <f aca="false">IF(Data_Farmer!BE13="","",Data_Farmer!BE13)</f>
        <v>0.9</v>
      </c>
      <c r="BF9" s="35" t="n">
        <f aca="false">IF(Data_Farmer!BF13="","",Data_Farmer!BF13)</f>
        <v>1.5</v>
      </c>
      <c r="BG9" s="35" t="n">
        <f aca="false">IF(Data_Farmer!BG13="","",Data_Farmer!BG13)</f>
        <v>1</v>
      </c>
      <c r="BH9" s="35" t="n">
        <f aca="false">IF(Data_Farmer!BH13="","",Data_Farmer!BH13)</f>
        <v>3.1</v>
      </c>
      <c r="BI9" s="35" t="n">
        <f aca="false">IF(Data_Farmer!BI13="","",Data_Farmer!BI13)</f>
        <v>2.4</v>
      </c>
      <c r="BJ9" s="35" t="n">
        <f aca="false">IF(Data_Farmer!BJ13="","",Data_Farmer!BJ13)</f>
        <v>2.2</v>
      </c>
      <c r="BK9" s="35" t="n">
        <f aca="false">IF(Data_Farmer!BK13="","",Data_Farmer!BK13)</f>
        <v>1.5</v>
      </c>
      <c r="BL9" s="35" t="n">
        <f aca="false">IF(Data_Farmer!BL13="","",Data_Farmer!BL13)</f>
        <v>2.8</v>
      </c>
      <c r="BM9" s="35" t="n">
        <f aca="false">IF(Data_Farmer!BM13="","",Data_Farmer!BM13)</f>
        <v>2.5</v>
      </c>
      <c r="BN9" s="35" t="n">
        <f aca="false">IF(Data_Farmer!BN13="","",Data_Farmer!BN13)</f>
        <v>2.1</v>
      </c>
      <c r="BO9" s="35" t="n">
        <f aca="false">IF(Data_Farmer!BO13="","",Data_Farmer!BO13)</f>
        <v>1.5</v>
      </c>
      <c r="BP9" s="35" t="n">
        <f aca="false">IF(Data_Farmer!BP13="","",Data_Farmer!BP13)</f>
        <v>1.3</v>
      </c>
      <c r="BQ9" s="35" t="n">
        <f aca="false">IF(Data_Farmer!BQ13="","",Data_Farmer!BQ13)</f>
        <v>2.5</v>
      </c>
      <c r="BR9" s="35" t="n">
        <f aca="false">IF(Data_Farmer!BR13="","",Data_Farmer!BR13)</f>
        <v>2.1</v>
      </c>
      <c r="BS9" s="35" t="n">
        <f aca="false">IF(Data_Farmer!BS13="","",Data_Farmer!BS13)</f>
        <v>1.4</v>
      </c>
      <c r="BT9" s="35" t="n">
        <f aca="false">IF(Data_Farmer!BT13="","",Data_Farmer!BT13)</f>
        <v>1.2</v>
      </c>
      <c r="BU9" s="35" t="n">
        <f aca="false">IF(Data_Farmer!BU13="","",Data_Farmer!BU13)</f>
        <v>1</v>
      </c>
      <c r="BV9" s="35" t="n">
        <f aca="false">IF(Data_Farmer!BV13="","",Data_Farmer!BV13)</f>
        <v>0.9</v>
      </c>
      <c r="BW9" s="35" t="n">
        <f aca="false">IF(Data_Farmer!BW13="","",Data_Farmer!BW13)</f>
        <v>0.7</v>
      </c>
      <c r="BX9" s="35" t="n">
        <f aca="false">IF(Data_Farmer!BX13="","",Data_Farmer!BX13)</f>
        <v>2.6</v>
      </c>
      <c r="BY9" s="35" t="n">
        <f aca="false">IF(Data_Farmer!BY13="","",Data_Farmer!BY13)</f>
        <v>2.4</v>
      </c>
      <c r="BZ9" s="35" t="n">
        <f aca="false">IF(Data_Farmer!BZ13="","",Data_Farmer!BZ13)</f>
        <v>1.9</v>
      </c>
      <c r="CA9" s="35" t="str">
        <f aca="false">IF(Data_Farmer!CA13="","",Data_Farmer!CA13)</f>
        <v/>
      </c>
      <c r="CB9" s="35" t="n">
        <f aca="false">IF(Data_Farmer!CB13="","",Data_Farmer!CB13)</f>
        <v>1.1</v>
      </c>
      <c r="CC9" s="35" t="n">
        <f aca="false">IF(Data_Farmer!CC13="","",Data_Farmer!CC13)</f>
        <v>0.5</v>
      </c>
      <c r="CD9" s="35" t="n">
        <f aca="false">IF(Data_Farmer!CD13="","",Data_Farmer!CD13)</f>
        <v>-0.5</v>
      </c>
      <c r="CE9" s="35" t="n">
        <f aca="false">IF(Data_Farmer!CE13="","",Data_Farmer!CE13)</f>
        <v>2</v>
      </c>
      <c r="CF9" s="35" t="n">
        <f aca="false">IF(Data_Farmer!CF13="","",Data_Farmer!CF13)</f>
        <v>1.5</v>
      </c>
      <c r="CG9" s="35" t="n">
        <f aca="false">IF(Data_Farmer!CG13="","",Data_Farmer!CG13)</f>
        <v>1.3</v>
      </c>
      <c r="CH9" s="35" t="n">
        <f aca="false">IF(Data_Farmer!CH13="","",Data_Farmer!CH13)</f>
        <v>0.9</v>
      </c>
      <c r="CI9" s="35" t="n">
        <f aca="false">IF(Data_Farmer!CI13="","",Data_Farmer!CI13)</f>
        <v>3.8</v>
      </c>
      <c r="CJ9" s="35" t="n">
        <f aca="false">IF(Data_Farmer!CJ13="","",Data_Farmer!CJ13)</f>
        <v>3.3</v>
      </c>
      <c r="CK9" s="35" t="n">
        <f aca="false">IF(Data_Farmer!CK13="","",Data_Farmer!CK13)</f>
        <v>1.5</v>
      </c>
      <c r="CL9" s="35" t="n">
        <f aca="false">IF(Data_Farmer!CL13="","",Data_Farmer!CL13)</f>
        <v>0</v>
      </c>
      <c r="CM9" s="35" t="n">
        <f aca="false">IF(Data_Farmer!CM13="","",Data_Farmer!CM13)</f>
        <v>-0.3</v>
      </c>
      <c r="CN9" s="35" t="n">
        <f aca="false">IF(Data_Farmer!CN13="","",Data_Farmer!CN13)</f>
        <v>-1</v>
      </c>
      <c r="CO9" s="35" t="n">
        <f aca="false">IF(Data_Farmer!CO13="","",Data_Farmer!CO13)</f>
        <v>-3</v>
      </c>
      <c r="CP9" s="35" t="n">
        <f aca="false">IF(Data_Farmer!CP13="","",Data_Farmer!CP13)</f>
        <v>-5</v>
      </c>
      <c r="CQ9" s="35" t="n">
        <f aca="false">IF(Data_Farmer!CQ13="","",Data_Farmer!CQ13)</f>
        <v>-8</v>
      </c>
      <c r="CR9" s="35" t="n">
        <f aca="false">IF(Data_Farmer!CR13="","",Data_Farmer!CR13)</f>
        <v>-15</v>
      </c>
      <c r="CS9" s="35" t="n">
        <f aca="false">IF(Data_Farmer!CS13="","",Data_Farmer!CS13)</f>
        <v>-15</v>
      </c>
      <c r="CT9" s="35" t="n">
        <f aca="false">IF(Data_Farmer!CT13="","",Data_Farmer!CT13)</f>
        <v>-15</v>
      </c>
      <c r="CU9" s="35" t="n">
        <f aca="false">IF(Data_Farmer!CU13="","",Data_Farmer!CU13)</f>
        <v>-15</v>
      </c>
      <c r="CV9" s="35" t="n">
        <f aca="false">IF(Data_Farmer!CV13="","",Data_Farmer!CV13)</f>
        <v>-15</v>
      </c>
      <c r="CW9" s="35" t="n">
        <f aca="false">IF(Data_Farmer!CW13="","",Data_Farmer!CW13)</f>
        <v>-15</v>
      </c>
      <c r="CX9" s="35" t="n">
        <f aca="false">IF(Data_Farmer!CX13="","",Data_Farmer!CX13)</f>
        <v>1</v>
      </c>
      <c r="CY9" s="35" t="n">
        <f aca="false">IF(Data_Farmer!CY13="","",Data_Farmer!CY13)</f>
        <v>0.7</v>
      </c>
      <c r="CZ9" s="35" t="n">
        <f aca="false">IF(Data_Farmer!CZ13="","",Data_Farmer!CZ13)</f>
        <v>0.2</v>
      </c>
      <c r="DA9" s="35" t="n">
        <f aca="false">IF(Data_Farmer!DA13="","",Data_Farmer!DA13)</f>
        <v>1.7</v>
      </c>
      <c r="DB9" s="35" t="n">
        <f aca="false">IF(Data_Farmer!DB13="","",Data_Farmer!DB13)</f>
        <v>1</v>
      </c>
      <c r="DC9" s="35" t="n">
        <f aca="false">IF(Data_Farmer!DC13="","",Data_Farmer!DC13)</f>
        <v>0.5</v>
      </c>
      <c r="DD9" s="35" t="n">
        <f aca="false">IF(Data_Farmer!DD13="","",Data_Farmer!DD13)</f>
        <v>2.5</v>
      </c>
      <c r="DE9" s="35" t="n">
        <f aca="false">IF(Data_Farmer!DE13="","",Data_Farmer!DE13)</f>
        <v>2</v>
      </c>
      <c r="DF9" s="35" t="n">
        <f aca="false">IF(Data_Farmer!DF13="","",Data_Farmer!DF13)</f>
        <v>1.5</v>
      </c>
      <c r="DG9" s="35" t="n">
        <f aca="false">IF(Data_Farmer!DG13="","",Data_Farmer!DG13)</f>
        <v>1</v>
      </c>
      <c r="DH9" s="35" t="n">
        <f aca="false">IF(Data_Farmer!DH13="","",Data_Farmer!DH13)</f>
        <v>0.7</v>
      </c>
      <c r="DI9" s="35" t="n">
        <f aca="false">IF(Data_Farmer!DI13="","",Data_Farmer!DI13)</f>
        <v>0.1</v>
      </c>
      <c r="DJ9" s="35" t="n">
        <f aca="false">IF(Data_Farmer!DJ13="","",Data_Farmer!DJ13)</f>
        <v>0</v>
      </c>
      <c r="DK9" s="35" t="n">
        <f aca="false">IF(Data_Farmer!DK13="","",Data_Farmer!DK13)</f>
        <v>1</v>
      </c>
      <c r="DL9" s="35" t="str">
        <f aca="false">IF(Data_Farmer!DL13="","",Data_Farmer!DL13)</f>
        <v/>
      </c>
      <c r="DM9" s="35" t="n">
        <f aca="false">IF(Data_Farmer!DM13="","",Data_Farmer!DM13)</f>
        <v>0.2</v>
      </c>
      <c r="DN9" s="35" t="n">
        <f aca="false">IF(Data_Farmer!DN13="","",Data_Farmer!DN13)</f>
        <v>0.9</v>
      </c>
      <c r="DO9" s="35" t="n">
        <f aca="false">IF(Data_Farmer!DO13="","",Data_Farmer!DO13)</f>
        <v>0</v>
      </c>
      <c r="DP9" s="35" t="n">
        <f aca="false">IF(Data_Farmer!DP13="","",Data_Farmer!DP13)</f>
        <v>1</v>
      </c>
      <c r="DQ9" s="35" t="n">
        <f aca="false">IF(Data_Farmer!DQ13="","",Data_Farmer!DQ13)</f>
        <v>0.7</v>
      </c>
      <c r="DR9" s="35" t="n">
        <f aca="false">IF(Data_Farmer!DR13="","",Data_Farmer!DR13)</f>
        <v>0.3</v>
      </c>
      <c r="DS9" s="35" t="n">
        <f aca="false">IF(Data_Farmer!DS13="","",Data_Farmer!DS13)</f>
        <v>0.5</v>
      </c>
      <c r="DT9" s="35" t="n">
        <f aca="false">IF(Data_Farmer!DT13="","",Data_Farmer!DT13)</f>
        <v>0</v>
      </c>
      <c r="DU9" s="35" t="n">
        <f aca="false">IF(Data_Farmer!DU13="","",Data_Farmer!DU13)</f>
        <v>1</v>
      </c>
      <c r="DV9" s="35" t="n">
        <f aca="false">IF(Data_Farmer!DV13="","",Data_Farmer!DV13)</f>
        <v>0.7</v>
      </c>
      <c r="DW9" s="35" t="n">
        <f aca="false">IF(Data_Farmer!DW13="","",Data_Farmer!DW13)</f>
        <v>0.5</v>
      </c>
      <c r="DX9" s="35" t="n">
        <f aca="false">IF(Data_Farmer!DX13="","",Data_Farmer!DX13)</f>
        <v>1</v>
      </c>
      <c r="DY9" s="35" t="n">
        <f aca="false">IF(Data_Farmer!DY13="","",Data_Farmer!DY13)</f>
        <v>0.7</v>
      </c>
      <c r="DZ9" s="35" t="n">
        <f aca="false">IF(Data_Farmer!DZ13="","",Data_Farmer!DZ13)</f>
        <v>0.5</v>
      </c>
      <c r="EA9" s="35" t="n">
        <f aca="false">IF(Data_Farmer!EA13="","",Data_Farmer!EA13)</f>
        <v>0.1</v>
      </c>
      <c r="EB9" s="35" t="n">
        <f aca="false">IF(Data_Farmer!EB13="","",Data_Farmer!EB13)</f>
        <v>1.5</v>
      </c>
      <c r="EC9" s="35" t="n">
        <f aca="false">IF(Data_Farmer!EC13="","",Data_Farmer!EC13)</f>
        <v>1</v>
      </c>
      <c r="ED9" s="35" t="n">
        <f aca="false">IF(Data_Farmer!ED13="","",Data_Farmer!ED13)</f>
        <v>0.7</v>
      </c>
      <c r="EE9" s="35" t="n">
        <f aca="false">IF(Data_Farmer!EE13="","",Data_Farmer!EE13)</f>
        <v>2</v>
      </c>
      <c r="EF9" s="35" t="n">
        <f aca="false">IF(Data_Farmer!EF13="","",Data_Farmer!EF13)</f>
        <v>1.7</v>
      </c>
      <c r="EG9" s="35" t="n">
        <f aca="false">IF(Data_Farmer!EG13="","",Data_Farmer!EG13)</f>
        <v>1</v>
      </c>
      <c r="EH9" s="35" t="n">
        <f aca="false">IF(Data_Farmer!EH13="","",Data_Farmer!EH13)</f>
        <v>0.6</v>
      </c>
      <c r="EI9" s="35" t="n">
        <f aca="false">IF(Data_Farmer!EI13="","",Data_Farmer!EI13)</f>
        <v>1.5</v>
      </c>
      <c r="EJ9" s="35" t="n">
        <f aca="false">IF(Data_Farmer!EJ13="","",Data_Farmer!EJ13)</f>
        <v>1</v>
      </c>
      <c r="EK9" s="35" t="n">
        <f aca="false">IF(Data_Farmer!EK13="","",Data_Farmer!EK13)</f>
        <v>2.5</v>
      </c>
      <c r="EL9" s="35" t="n">
        <f aca="false">IF(Data_Farmer!EL13="","",Data_Farmer!EL13)</f>
        <v>1.5</v>
      </c>
      <c r="EM9" s="35" t="n">
        <f aca="false">IF(Data_Farmer!EM13="","",Data_Farmer!EM13)</f>
        <v>2.5</v>
      </c>
      <c r="EN9" s="35" t="n">
        <f aca="false">IF(Data_Farmer!EN13="","",Data_Farmer!EN13)</f>
        <v>2</v>
      </c>
      <c r="EO9" s="35" t="n">
        <f aca="false">IF(Data_Farmer!EO13="","",Data_Farmer!EO13)</f>
        <v>1.5</v>
      </c>
      <c r="EP9" s="35" t="n">
        <f aca="false">IF(Data_Farmer!EP13="","",Data_Farmer!EP13)</f>
        <v>0.5</v>
      </c>
      <c r="EQ9" s="35" t="n">
        <f aca="false">IF(Data_Farmer!EQ13="","",Data_Farmer!EQ13)</f>
        <v>1.5</v>
      </c>
      <c r="ER9" s="35" t="n">
        <f aca="false">IF(Data_Farmer!ER13="","",Data_Farmer!ER13)</f>
        <v>0</v>
      </c>
      <c r="ES9" s="35" t="n">
        <f aca="false">IF(Data_Farmer!ES13="","",Data_Farmer!ES13)</f>
        <v>-6.5</v>
      </c>
      <c r="ET9" s="35" t="n">
        <f aca="false">IF(Data_Farmer!ET13="","",Data_Farmer!ET13)</f>
        <v>-15</v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132</v>
      </c>
      <c r="C10" s="34" t="s">
        <v>131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n">
        <f aca="false">IF(Data_Farmer!BD38="","",Data_Farmer!BD38)</f>
        <v>1.3</v>
      </c>
      <c r="BE10" s="35" t="n">
        <f aca="false">IF(Data_Farmer!BE38="","",Data_Farmer!BE38)</f>
        <v>1</v>
      </c>
      <c r="BF10" s="35" t="n">
        <f aca="false">IF(Data_Farmer!BF38="","",Data_Farmer!BF38)</f>
        <v>1.3</v>
      </c>
      <c r="BG10" s="35" t="n">
        <f aca="false">IF(Data_Farmer!BG38="","",Data_Farmer!BG38)</f>
        <v>1</v>
      </c>
      <c r="BH10" s="35" t="n">
        <f aca="false">IF(Data_Farmer!BH38="","",Data_Farmer!BH38)</f>
        <v>3.2</v>
      </c>
      <c r="BI10" s="35" t="n">
        <f aca="false">IF(Data_Farmer!BI38="","",Data_Farmer!BI38)</f>
        <v>2.3</v>
      </c>
      <c r="BJ10" s="35" t="n">
        <f aca="false">IF(Data_Farmer!BJ38="","",Data_Farmer!BJ38)</f>
        <v>2.1</v>
      </c>
      <c r="BK10" s="35" t="n">
        <f aca="false">IF(Data_Farmer!BK38="","",Data_Farmer!BK38)</f>
        <v>1.5</v>
      </c>
      <c r="BL10" s="35" t="n">
        <f aca="false">IF(Data_Farmer!BL38="","",Data_Farmer!BL38)</f>
        <v>3</v>
      </c>
      <c r="BM10" s="35" t="n">
        <f aca="false">IF(Data_Farmer!BM38="","",Data_Farmer!BM38)</f>
        <v>2.5</v>
      </c>
      <c r="BN10" s="35" t="n">
        <f aca="false">IF(Data_Farmer!BN38="","",Data_Farmer!BN38)</f>
        <v>2</v>
      </c>
      <c r="BO10" s="35" t="n">
        <f aca="false">IF(Data_Farmer!BO38="","",Data_Farmer!BO38)</f>
        <v>1.5</v>
      </c>
      <c r="BP10" s="35" t="n">
        <f aca="false">IF(Data_Farmer!BP38="","",Data_Farmer!BP38)</f>
        <v>1.3</v>
      </c>
      <c r="BQ10" s="35" t="n">
        <f aca="false">IF(Data_Farmer!BQ38="","",Data_Farmer!BQ38)</f>
        <v>2.5</v>
      </c>
      <c r="BR10" s="35" t="n">
        <f aca="false">IF(Data_Farmer!BR38="","",Data_Farmer!BR38)</f>
        <v>2</v>
      </c>
      <c r="BS10" s="35" t="n">
        <f aca="false">IF(Data_Farmer!BS38="","",Data_Farmer!BS38)</f>
        <v>1.5</v>
      </c>
      <c r="BT10" s="35" t="n">
        <f aca="false">IF(Data_Farmer!BT38="","",Data_Farmer!BT38)</f>
        <v>1.3</v>
      </c>
      <c r="BU10" s="35" t="n">
        <f aca="false">IF(Data_Farmer!BU38="","",Data_Farmer!BU38)</f>
        <v>1.1</v>
      </c>
      <c r="BV10" s="35" t="n">
        <f aca="false">IF(Data_Farmer!BV38="","",Data_Farmer!BV38)</f>
        <v>1</v>
      </c>
      <c r="BW10" s="35" t="n">
        <f aca="false">IF(Data_Farmer!BW38="","",Data_Farmer!BW38)</f>
        <v>0.5</v>
      </c>
      <c r="BX10" s="35" t="n">
        <f aca="false">IF(Data_Farmer!BX38="","",Data_Farmer!BX38)</f>
        <v>2.3</v>
      </c>
      <c r="BY10" s="35" t="n">
        <f aca="false">IF(Data_Farmer!BY38="","",Data_Farmer!BY38)</f>
        <v>2</v>
      </c>
      <c r="BZ10" s="35" t="n">
        <f aca="false">IF(Data_Farmer!BZ38="","",Data_Farmer!BZ38)</f>
        <v>1.5</v>
      </c>
      <c r="CA10" s="35" t="str">
        <f aca="false">IF(Data_Farmer!CA38="","",Data_Farmer!CA38)</f>
        <v/>
      </c>
      <c r="CB10" s="35" t="n">
        <f aca="false">IF(Data_Farmer!CB38="","",Data_Farmer!CB38)</f>
        <v>1</v>
      </c>
      <c r="CC10" s="35" t="n">
        <f aca="false">IF(Data_Farmer!CC38="","",Data_Farmer!CC38)</f>
        <v>-0.2</v>
      </c>
      <c r="CD10" s="35" t="n">
        <f aca="false">IF(Data_Farmer!CD38="","",Data_Farmer!CD38)</f>
        <v>-0.7</v>
      </c>
      <c r="CE10" s="35" t="n">
        <f aca="false">IF(Data_Farmer!CE38="","",Data_Farmer!CE38)</f>
        <v>2</v>
      </c>
      <c r="CF10" s="35" t="n">
        <f aca="false">IF(Data_Farmer!CF38="","",Data_Farmer!CF38)</f>
        <v>1.7</v>
      </c>
      <c r="CG10" s="35" t="n">
        <f aca="false">IF(Data_Farmer!CG38="","",Data_Farmer!CG38)</f>
        <v>1.5</v>
      </c>
      <c r="CH10" s="35" t="n">
        <f aca="false">IF(Data_Farmer!CH38="","",Data_Farmer!CH38)</f>
        <v>1</v>
      </c>
      <c r="CI10" s="35" t="n">
        <f aca="false">IF(Data_Farmer!CI38="","",Data_Farmer!CI38)</f>
        <v>3.8</v>
      </c>
      <c r="CJ10" s="35" t="n">
        <f aca="false">IF(Data_Farmer!CJ38="","",Data_Farmer!CJ38)</f>
        <v>3.2</v>
      </c>
      <c r="CK10" s="35" t="n">
        <f aca="false">IF(Data_Farmer!CK38="","",Data_Farmer!CK38)</f>
        <v>1.5</v>
      </c>
      <c r="CL10" s="35" t="n">
        <f aca="false">IF(Data_Farmer!CL38="","",Data_Farmer!CL38)</f>
        <v>0</v>
      </c>
      <c r="CM10" s="35" t="n">
        <f aca="false">IF(Data_Farmer!CM38="","",Data_Farmer!CM38)</f>
        <v>-0.3</v>
      </c>
      <c r="CN10" s="35" t="n">
        <f aca="false">IF(Data_Farmer!CN38="","",Data_Farmer!CN38)</f>
        <v>-1</v>
      </c>
      <c r="CO10" s="35" t="n">
        <f aca="false">IF(Data_Farmer!CO38="","",Data_Farmer!CO38)</f>
        <v>-5</v>
      </c>
      <c r="CP10" s="35" t="n">
        <f aca="false">IF(Data_Farmer!CP38="","",Data_Farmer!CP38)</f>
        <v>-8</v>
      </c>
      <c r="CQ10" s="35" t="n">
        <f aca="false">IF(Data_Farmer!CQ38="","",Data_Farmer!CQ38)</f>
        <v>-15</v>
      </c>
      <c r="CR10" s="35" t="n">
        <f aca="false">IF(Data_Farmer!CR38="","",Data_Farmer!CR38)</f>
        <v>-15</v>
      </c>
      <c r="CS10" s="35" t="n">
        <f aca="false">IF(Data_Farmer!CS38="","",Data_Farmer!CS38)</f>
        <v>-15</v>
      </c>
      <c r="CT10" s="35" t="n">
        <f aca="false">IF(Data_Farmer!CT38="","",Data_Farmer!CT38)</f>
        <v>-15</v>
      </c>
      <c r="CU10" s="35" t="n">
        <f aca="false">IF(Data_Farmer!CU38="","",Data_Farmer!CU38)</f>
        <v>-15</v>
      </c>
      <c r="CV10" s="35" t="n">
        <f aca="false">IF(Data_Farmer!CV38="","",Data_Farmer!CV38)</f>
        <v>-15</v>
      </c>
      <c r="CW10" s="35" t="n">
        <f aca="false">IF(Data_Farmer!CW38="","",Data_Farmer!CW38)</f>
        <v>-15</v>
      </c>
      <c r="CX10" s="35" t="n">
        <f aca="false">IF(Data_Farmer!CX38="","",Data_Farmer!CX38)</f>
        <v>1</v>
      </c>
      <c r="CY10" s="35" t="n">
        <f aca="false">IF(Data_Farmer!CY38="","",Data_Farmer!CY38)</f>
        <v>0.7</v>
      </c>
      <c r="CZ10" s="35" t="n">
        <f aca="false">IF(Data_Farmer!CZ38="","",Data_Farmer!CZ38)</f>
        <v>0.2</v>
      </c>
      <c r="DA10" s="35" t="n">
        <f aca="false">IF(Data_Farmer!DA38="","",Data_Farmer!DA38)</f>
        <v>1.7</v>
      </c>
      <c r="DB10" s="35" t="n">
        <f aca="false">IF(Data_Farmer!DB38="","",Data_Farmer!DB38)</f>
        <v>1</v>
      </c>
      <c r="DC10" s="35" t="n">
        <f aca="false">IF(Data_Farmer!DC38="","",Data_Farmer!DC38)</f>
        <v>0.5</v>
      </c>
      <c r="DD10" s="35" t="n">
        <f aca="false">IF(Data_Farmer!DD38="","",Data_Farmer!DD38)</f>
        <v>1.6</v>
      </c>
      <c r="DE10" s="35" t="n">
        <f aca="false">IF(Data_Farmer!DE38="","",Data_Farmer!DE38)</f>
        <v>1</v>
      </c>
      <c r="DF10" s="35" t="n">
        <f aca="false">IF(Data_Farmer!DF38="","",Data_Farmer!DF38)</f>
        <v>0.7</v>
      </c>
      <c r="DG10" s="35" t="n">
        <f aca="false">IF(Data_Farmer!DG38="","",Data_Farmer!DG38)</f>
        <v>0.3</v>
      </c>
      <c r="DH10" s="35" t="n">
        <f aca="false">IF(Data_Farmer!DH38="","",Data_Farmer!DH38)</f>
        <v>0.8</v>
      </c>
      <c r="DI10" s="35" t="n">
        <f aca="false">IF(Data_Farmer!DI38="","",Data_Farmer!DI38)</f>
        <v>0.4</v>
      </c>
      <c r="DJ10" s="35" t="n">
        <f aca="false">IF(Data_Farmer!DJ38="","",Data_Farmer!DJ38)</f>
        <v>-3</v>
      </c>
      <c r="DK10" s="35" t="n">
        <f aca="false">IF(Data_Farmer!DK38="","",Data_Farmer!DK38)</f>
        <v>-6</v>
      </c>
      <c r="DL10" s="35" t="str">
        <f aca="false">IF(Data_Farmer!DL38="","",Data_Farmer!DL38)</f>
        <v/>
      </c>
      <c r="DM10" s="35" t="n">
        <f aca="false">IF(Data_Farmer!DM38="","",Data_Farmer!DM38)</f>
        <v>-11</v>
      </c>
      <c r="DN10" s="35" t="n">
        <f aca="false">IF(Data_Farmer!DN38="","",Data_Farmer!DN38)</f>
        <v>-12</v>
      </c>
      <c r="DO10" s="35" t="n">
        <f aca="false">IF(Data_Farmer!DO38="","",Data_Farmer!DO38)</f>
        <v>1</v>
      </c>
      <c r="DP10" s="35" t="n">
        <f aca="false">IF(Data_Farmer!DP38="","",Data_Farmer!DP38)</f>
        <v>0.5</v>
      </c>
      <c r="DQ10" s="35" t="n">
        <f aca="false">IF(Data_Farmer!DQ38="","",Data_Farmer!DQ38)</f>
        <v>-4</v>
      </c>
      <c r="DR10" s="35" t="n">
        <f aca="false">IF(Data_Farmer!DR38="","",Data_Farmer!DR38)</f>
        <v>-9</v>
      </c>
      <c r="DS10" s="35" t="n">
        <f aca="false">IF(Data_Farmer!DS38="","",Data_Farmer!DS38)</f>
        <v>-12</v>
      </c>
      <c r="DT10" s="35" t="n">
        <f aca="false">IF(Data_Farmer!DT38="","",Data_Farmer!DT38)</f>
        <v>-15</v>
      </c>
      <c r="DU10" s="35" t="n">
        <f aca="false">IF(Data_Farmer!DU38="","",Data_Farmer!DU38)</f>
        <v>-15</v>
      </c>
      <c r="DV10" s="35" t="n">
        <f aca="false">IF(Data_Farmer!DV38="","",Data_Farmer!DV38)</f>
        <v>1</v>
      </c>
      <c r="DW10" s="35" t="n">
        <f aca="false">IF(Data_Farmer!DW38="","",Data_Farmer!DW38)</f>
        <v>0.5</v>
      </c>
      <c r="DX10" s="35" t="n">
        <f aca="false">IF(Data_Farmer!DX38="","",Data_Farmer!DX38)</f>
        <v>-2</v>
      </c>
      <c r="DY10" s="35" t="n">
        <f aca="false">IF(Data_Farmer!DY38="","",Data_Farmer!DY38)</f>
        <v>-7</v>
      </c>
      <c r="DZ10" s="35" t="n">
        <f aca="false">IF(Data_Farmer!DZ38="","",Data_Farmer!DZ38)</f>
        <v>-12</v>
      </c>
      <c r="EA10" s="35" t="n">
        <f aca="false">IF(Data_Farmer!EA38="","",Data_Farmer!EA38)</f>
        <v>-15</v>
      </c>
      <c r="EB10" s="35" t="n">
        <f aca="false">IF(Data_Farmer!EB38="","",Data_Farmer!EB38)</f>
        <v>-15</v>
      </c>
      <c r="EC10" s="35" t="n">
        <f aca="false">IF(Data_Farmer!EC38="","",Data_Farmer!EC38)</f>
        <v>1.5</v>
      </c>
      <c r="ED10" s="35" t="n">
        <f aca="false">IF(Data_Farmer!ED38="","",Data_Farmer!ED38)</f>
        <v>0.3</v>
      </c>
      <c r="EE10" s="35" t="n">
        <f aca="false">IF(Data_Farmer!EE38="","",Data_Farmer!EE38)</f>
        <v>2</v>
      </c>
      <c r="EF10" s="35" t="n">
        <f aca="false">IF(Data_Farmer!EF38="","",Data_Farmer!EF38)</f>
        <v>-1</v>
      </c>
      <c r="EG10" s="35" t="n">
        <f aca="false">IF(Data_Farmer!EG38="","",Data_Farmer!EG38)</f>
        <v>-5.7</v>
      </c>
      <c r="EH10" s="35" t="n">
        <f aca="false">IF(Data_Farmer!EH38="","",Data_Farmer!EH38)</f>
        <v>-11</v>
      </c>
      <c r="EI10" s="35" t="n">
        <f aca="false">IF(Data_Farmer!EI38="","",Data_Farmer!EI38)</f>
        <v>-14</v>
      </c>
      <c r="EJ10" s="35" t="n">
        <f aca="false">IF(Data_Farmer!EJ38="","",Data_Farmer!EJ38)</f>
        <v>-15</v>
      </c>
      <c r="EK10" s="35" t="n">
        <f aca="false">IF(Data_Farmer!EK38="","",Data_Farmer!EK38)</f>
        <v>3</v>
      </c>
      <c r="EL10" s="35" t="n">
        <f aca="false">IF(Data_Farmer!EL38="","",Data_Farmer!EL38)</f>
        <v>2</v>
      </c>
      <c r="EM10" s="35" t="n">
        <f aca="false">IF(Data_Farmer!EM38="","",Data_Farmer!EM38)</f>
        <v>3</v>
      </c>
      <c r="EN10" s="35" t="n">
        <f aca="false">IF(Data_Farmer!EN38="","",Data_Farmer!EN38)</f>
        <v>2</v>
      </c>
      <c r="EO10" s="35" t="n">
        <f aca="false">IF(Data_Farmer!EO38="","",Data_Farmer!EO38)</f>
        <v>0</v>
      </c>
      <c r="EP10" s="35" t="n">
        <f aca="false">IF(Data_Farmer!EP38="","",Data_Farmer!EP38)</f>
        <v>-3</v>
      </c>
      <c r="EQ10" s="35" t="n">
        <f aca="false">IF(Data_Farmer!EQ38="","",Data_Farmer!EQ38)</f>
        <v>-10</v>
      </c>
      <c r="ER10" s="35" t="n">
        <f aca="false">IF(Data_Farmer!ER38="","",Data_Farmer!ER38)</f>
        <v>-15</v>
      </c>
      <c r="ES10" s="35" t="n">
        <f aca="false">IF(Data_Farmer!ES38="","",Data_Farmer!ES38)</f>
        <v>-15</v>
      </c>
      <c r="ET10" s="35" t="n">
        <f aca="false">IF(Data_Farmer!ET38="","",Data_Farmer!ET38)</f>
        <v>-15</v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133</v>
      </c>
      <c r="C11" s="32" t="s">
        <v>131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>পানির স্তর হঠাৎ &gt;5 সেমি বদল; </v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>পানির স্তর হঠাৎ &gt;5 সেমি বদল; </v>
      </c>
      <c r="ET11" s="36" t="str">
        <f aca="false">IF(Data_Farmer!ET30="","",Data_Farmer!ET30)</f>
        <v>পানির স্তর হঠাৎ &gt;5 সেমি বদল; </v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134</v>
      </c>
      <c r="C12" s="34" t="s">
        <v>131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>পানির স্তর হঠাৎ &gt;5 সেমি বদল; </v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>পানির স্তর হঠাৎ &gt;5 সেমি বদল; </v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>পানির স্তর হঠাৎ &gt;5 সেমি বদল; </v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135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136</v>
      </c>
      <c r="C15" s="32" t="s">
        <v>137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138</v>
      </c>
      <c r="C16" s="32" t="s">
        <v>137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280.6</v>
      </c>
      <c r="BF16" s="18"/>
      <c r="BG16" s="18" t="n">
        <v>282.5</v>
      </c>
      <c r="BH16" s="18"/>
      <c r="BI16" s="18"/>
      <c r="BJ16" s="18"/>
      <c r="BK16" s="18" t="n">
        <v>282.4</v>
      </c>
      <c r="BL16" s="18"/>
      <c r="BM16" s="18"/>
      <c r="BN16" s="18"/>
      <c r="BO16" s="18"/>
      <c r="BP16" s="18" t="n">
        <v>282</v>
      </c>
      <c r="BQ16" s="18"/>
      <c r="BR16" s="18"/>
      <c r="BS16" s="18"/>
      <c r="BT16" s="18"/>
      <c r="BU16" s="18"/>
      <c r="BV16" s="18"/>
      <c r="BW16" s="18" t="n">
        <v>282.5</v>
      </c>
      <c r="BX16" s="18"/>
      <c r="BY16" s="18"/>
      <c r="BZ16" s="18"/>
      <c r="CA16" s="18"/>
      <c r="CB16" s="18"/>
      <c r="CC16" s="18"/>
      <c r="CD16" s="18" t="n">
        <v>281.4</v>
      </c>
      <c r="CE16" s="18"/>
      <c r="CF16" s="18"/>
      <c r="CG16" s="18"/>
      <c r="CH16" s="18" t="n">
        <v>283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281.5</v>
      </c>
      <c r="CX16" s="18"/>
      <c r="CY16" s="18"/>
      <c r="CZ16" s="18" t="n">
        <v>282</v>
      </c>
      <c r="DA16" s="18"/>
      <c r="DB16" s="18"/>
      <c r="DC16" s="18" t="n">
        <v>283.5</v>
      </c>
      <c r="DD16" s="18"/>
      <c r="DE16" s="18"/>
      <c r="DF16" s="18"/>
      <c r="DG16" s="18"/>
      <c r="DH16" s="18"/>
      <c r="DI16" s="18" t="n">
        <v>282.5</v>
      </c>
      <c r="DJ16" s="18" t="n">
        <v>282</v>
      </c>
      <c r="DK16" s="18"/>
      <c r="DL16" s="18"/>
      <c r="DM16" s="18" t="n">
        <v>281</v>
      </c>
      <c r="DN16" s="18"/>
      <c r="DO16" s="18" t="n">
        <v>282</v>
      </c>
      <c r="DP16" s="18"/>
      <c r="DQ16" s="18"/>
      <c r="DR16" s="18" t="n">
        <v>281</v>
      </c>
      <c r="DS16" s="18"/>
      <c r="DT16" s="18" t="n">
        <v>282</v>
      </c>
      <c r="DU16" s="18"/>
      <c r="DV16" s="18"/>
      <c r="DW16" s="18" t="n">
        <v>282</v>
      </c>
      <c r="DX16" s="18"/>
      <c r="DY16" s="18"/>
      <c r="DZ16" s="18"/>
      <c r="EA16" s="18" t="n">
        <v>282.2</v>
      </c>
      <c r="EB16" s="18"/>
      <c r="EC16" s="18"/>
      <c r="ED16" s="18"/>
      <c r="EE16" s="18"/>
      <c r="EF16" s="18"/>
      <c r="EG16" s="18"/>
      <c r="EH16" s="18" t="n">
        <v>282</v>
      </c>
      <c r="EI16" s="18"/>
      <c r="EJ16" s="18" t="n">
        <v>283.5</v>
      </c>
      <c r="EK16" s="18"/>
      <c r="EL16" s="18"/>
      <c r="EM16" s="18"/>
      <c r="EN16" s="18"/>
      <c r="EO16" s="18"/>
      <c r="EP16" s="18" t="n">
        <v>282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139</v>
      </c>
      <c r="C17" s="32" t="s">
        <v>140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141</v>
      </c>
      <c r="BF17" s="18"/>
      <c r="BG17" s="18" t="s">
        <v>142</v>
      </c>
      <c r="BH17" s="18"/>
      <c r="BI17" s="18"/>
      <c r="BJ17" s="18"/>
      <c r="BK17" s="18" t="s">
        <v>142</v>
      </c>
      <c r="BL17" s="18"/>
      <c r="BM17" s="18"/>
      <c r="BN17" s="18"/>
      <c r="BO17" s="18"/>
      <c r="BP17" s="18" t="s">
        <v>143</v>
      </c>
      <c r="BQ17" s="18"/>
      <c r="BR17" s="18"/>
      <c r="BS17" s="18"/>
      <c r="BT17" s="18"/>
      <c r="BU17" s="18"/>
      <c r="BV17" s="18"/>
      <c r="BW17" s="18" t="s">
        <v>144</v>
      </c>
      <c r="BX17" s="18"/>
      <c r="BY17" s="18"/>
      <c r="BZ17" s="18"/>
      <c r="CA17" s="18"/>
      <c r="CB17" s="18"/>
      <c r="CC17" s="18"/>
      <c r="CD17" s="18" t="s">
        <v>145</v>
      </c>
      <c r="CE17" s="18"/>
      <c r="CF17" s="18"/>
      <c r="CG17" s="18"/>
      <c r="CH17" s="18" t="s">
        <v>142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143</v>
      </c>
      <c r="CX17" s="18"/>
      <c r="CY17" s="18"/>
      <c r="CZ17" s="18" t="s">
        <v>143</v>
      </c>
      <c r="DA17" s="18"/>
      <c r="DB17" s="18"/>
      <c r="DC17" s="18" t="s">
        <v>142</v>
      </c>
      <c r="DD17" s="18"/>
      <c r="DE17" s="18"/>
      <c r="DF17" s="18"/>
      <c r="DG17" s="18"/>
      <c r="DH17" s="18"/>
      <c r="DI17" s="18" t="s">
        <v>144</v>
      </c>
      <c r="DJ17" s="18" t="s">
        <v>144</v>
      </c>
      <c r="DK17" s="18"/>
      <c r="DL17" s="18"/>
      <c r="DM17" s="18" t="s">
        <v>146</v>
      </c>
      <c r="DN17" s="18"/>
      <c r="DO17" s="18" t="s">
        <v>144</v>
      </c>
      <c r="DP17" s="18"/>
      <c r="DQ17" s="18"/>
      <c r="DR17" s="18" t="s">
        <v>144</v>
      </c>
      <c r="DS17" s="18"/>
      <c r="DT17" s="18" t="s">
        <v>143</v>
      </c>
      <c r="DU17" s="18"/>
      <c r="DV17" s="18"/>
      <c r="DW17" s="18" t="s">
        <v>144</v>
      </c>
      <c r="DX17" s="18"/>
      <c r="DY17" s="18"/>
      <c r="DZ17" s="18"/>
      <c r="EA17" s="18" t="s">
        <v>144</v>
      </c>
      <c r="EB17" s="18"/>
      <c r="EC17" s="18"/>
      <c r="ED17" s="18"/>
      <c r="EE17" s="18"/>
      <c r="EF17" s="18"/>
      <c r="EG17" s="18"/>
      <c r="EH17" s="18" t="s">
        <v>145</v>
      </c>
      <c r="EI17" s="18"/>
      <c r="EJ17" s="18" t="s">
        <v>145</v>
      </c>
      <c r="EK17" s="18"/>
      <c r="EL17" s="18"/>
      <c r="EM17" s="18"/>
      <c r="EN17" s="18"/>
      <c r="EO17" s="18"/>
      <c r="EP17" s="18" t="s">
        <v>144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147</v>
      </c>
      <c r="C18" s="34" t="s">
        <v>137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148</v>
      </c>
      <c r="C19" s="34" t="s">
        <v>137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400.5</v>
      </c>
      <c r="BF19" s="18"/>
      <c r="BG19" s="18" t="n">
        <v>402.5</v>
      </c>
      <c r="BH19" s="18"/>
      <c r="BI19" s="18"/>
      <c r="BJ19" s="18"/>
      <c r="BK19" s="18" t="n">
        <v>402.4</v>
      </c>
      <c r="BL19" s="18"/>
      <c r="BM19" s="18"/>
      <c r="BN19" s="18"/>
      <c r="BO19" s="18"/>
      <c r="BP19" s="18" t="n">
        <v>402</v>
      </c>
      <c r="BQ19" s="18"/>
      <c r="BR19" s="18"/>
      <c r="BS19" s="18"/>
      <c r="BT19" s="18"/>
      <c r="BU19" s="18"/>
      <c r="BV19" s="18"/>
      <c r="BW19" s="18" t="n">
        <v>401.5</v>
      </c>
      <c r="BX19" s="18"/>
      <c r="BY19" s="18"/>
      <c r="BZ19" s="18"/>
      <c r="CA19" s="18"/>
      <c r="CB19" s="18"/>
      <c r="CC19" s="18"/>
      <c r="CD19" s="18" t="n">
        <v>401.3</v>
      </c>
      <c r="CE19" s="18"/>
      <c r="CF19" s="18"/>
      <c r="CG19" s="18"/>
      <c r="CH19" s="18" t="n">
        <v>403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401.5</v>
      </c>
      <c r="CX19" s="18"/>
      <c r="CY19" s="18"/>
      <c r="CZ19" s="18" t="n">
        <v>402</v>
      </c>
      <c r="DA19" s="18"/>
      <c r="DB19" s="18"/>
      <c r="DC19" s="18" t="n">
        <v>402.7</v>
      </c>
      <c r="DD19" s="18"/>
      <c r="DE19" s="18"/>
      <c r="DF19" s="18"/>
      <c r="DG19" s="18" t="n">
        <v>401.3</v>
      </c>
      <c r="DH19" s="18"/>
      <c r="DI19" s="18"/>
      <c r="DJ19" s="18"/>
      <c r="DK19" s="18"/>
      <c r="DL19" s="18"/>
      <c r="DM19" s="18"/>
      <c r="DN19" s="18" t="n">
        <v>401.5</v>
      </c>
      <c r="DO19" s="18"/>
      <c r="DP19" s="18"/>
      <c r="DQ19" s="18"/>
      <c r="DR19" s="18"/>
      <c r="DS19" s="18"/>
      <c r="DT19" s="18"/>
      <c r="DU19" s="18" t="n">
        <v>402</v>
      </c>
      <c r="DV19" s="18"/>
      <c r="DW19" s="18"/>
      <c r="DX19" s="18"/>
      <c r="DY19" s="18"/>
      <c r="DZ19" s="18"/>
      <c r="EA19" s="18"/>
      <c r="EB19" s="18" t="n">
        <v>402</v>
      </c>
      <c r="EC19" s="18"/>
      <c r="ED19" s="18"/>
      <c r="EE19" s="18"/>
      <c r="EF19" s="18"/>
      <c r="EG19" s="18"/>
      <c r="EH19" s="18"/>
      <c r="EI19" s="18"/>
      <c r="EJ19" s="18" t="n">
        <v>404.5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149</v>
      </c>
      <c r="C20" s="34" t="s">
        <v>140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141</v>
      </c>
      <c r="BF20" s="18"/>
      <c r="BG20" s="18" t="s">
        <v>142</v>
      </c>
      <c r="BH20" s="18"/>
      <c r="BI20" s="18"/>
      <c r="BJ20" s="18"/>
      <c r="BK20" s="18" t="s">
        <v>142</v>
      </c>
      <c r="BL20" s="18"/>
      <c r="BM20" s="18"/>
      <c r="BN20" s="18"/>
      <c r="BO20" s="18"/>
      <c r="BP20" s="18" t="s">
        <v>143</v>
      </c>
      <c r="BQ20" s="18"/>
      <c r="BR20" s="18"/>
      <c r="BS20" s="18"/>
      <c r="BT20" s="18"/>
      <c r="BU20" s="18"/>
      <c r="BV20" s="18"/>
      <c r="BW20" s="18" t="s">
        <v>144</v>
      </c>
      <c r="BX20" s="18"/>
      <c r="BY20" s="18"/>
      <c r="BZ20" s="18"/>
      <c r="CA20" s="18"/>
      <c r="CB20" s="18"/>
      <c r="CC20" s="18"/>
      <c r="CD20" s="18" t="s">
        <v>145</v>
      </c>
      <c r="CE20" s="18"/>
      <c r="CF20" s="18"/>
      <c r="CG20" s="18"/>
      <c r="CH20" s="18" t="s">
        <v>142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143</v>
      </c>
      <c r="CX20" s="18"/>
      <c r="CY20" s="18"/>
      <c r="CZ20" s="18" t="s">
        <v>143</v>
      </c>
      <c r="DA20" s="18"/>
      <c r="DB20" s="18"/>
      <c r="DC20" s="18" t="s">
        <v>142</v>
      </c>
      <c r="DD20" s="18"/>
      <c r="DE20" s="18"/>
      <c r="DF20" s="18"/>
      <c r="DG20" s="18" t="s">
        <v>144</v>
      </c>
      <c r="DH20" s="18"/>
      <c r="DI20" s="18"/>
      <c r="DJ20" s="18"/>
      <c r="DK20" s="18"/>
      <c r="DL20" s="18"/>
      <c r="DM20" s="18"/>
      <c r="DN20" s="18" t="s">
        <v>144</v>
      </c>
      <c r="DO20" s="18"/>
      <c r="DP20" s="18"/>
      <c r="DQ20" s="18"/>
      <c r="DR20" s="18"/>
      <c r="DS20" s="18"/>
      <c r="DT20" s="18"/>
      <c r="DU20" s="18" t="s">
        <v>143</v>
      </c>
      <c r="DV20" s="18"/>
      <c r="DW20" s="18"/>
      <c r="DX20" s="18"/>
      <c r="DY20" s="18"/>
      <c r="DZ20" s="18"/>
      <c r="EA20" s="18"/>
      <c r="EB20" s="18" t="s">
        <v>143</v>
      </c>
      <c r="EC20" s="18"/>
      <c r="ED20" s="18"/>
      <c r="EE20" s="18"/>
      <c r="EF20" s="18"/>
      <c r="EG20" s="18"/>
      <c r="EH20" s="18"/>
      <c r="EI20" s="18"/>
      <c r="EJ20" s="18" t="s">
        <v>150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151</v>
      </c>
      <c r="C21" s="32" t="s">
        <v>131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n">
        <f aca="false">IF(Data_Farmer!BE21="","",Data_Farmer!BE21)</f>
        <v>7</v>
      </c>
      <c r="BF21" s="35" t="str">
        <f aca="false">IF(Data_Farmer!BF21="","",Data_Farmer!BF21)</f>
        <v/>
      </c>
      <c r="BG21" s="35" t="n">
        <f aca="false">IF(Data_Farmer!BG21="","",Data_Farmer!BG21)</f>
        <v>25</v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n">
        <f aca="false">IF(Data_Farmer!BK21="","",Data_Farmer!BK21)</f>
        <v>19</v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n">
        <f aca="false">IF(Data_Farmer!BP21="","",Data_Farmer!BP21)</f>
        <v>17</v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n">
        <f aca="false">IF(Data_Farmer!BW21="","",Data_Farmer!BW21)</f>
        <v>28</v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n">
        <f aca="false">IF(Data_Farmer!CD21="","",Data_Farmer!CD21)</f>
        <v>24</v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n">
        <f aca="false">IF(Data_Farmer!CH21="","",Data_Farmer!CH21)</f>
        <v>31</v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n">
        <f aca="false">IF(Data_Farmer!CW21="","",Data_Farmer!CW21)</f>
        <v>15</v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n">
        <f aca="false">IF(Data_Farmer!CZ21="","",Data_Farmer!CZ21)</f>
        <v>18</v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n">
        <f aca="false">IF(Data_Farmer!DC21="","",Data_Farmer!DC21)</f>
        <v>30</v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n">
        <f aca="false">IF(Data_Farmer!DI21="","",Data_Farmer!DI21)</f>
        <v>24</v>
      </c>
      <c r="DJ21" s="35" t="n">
        <f aca="false">IF(Data_Farmer!DJ21="","",Data_Farmer!DJ21)</f>
        <v>20</v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n">
        <f aca="false">IF(Data_Farmer!DM21="","",Data_Farmer!DM21)</f>
        <v>8</v>
      </c>
      <c r="DN21" s="35" t="str">
        <f aca="false">IF(Data_Farmer!DN21="","",Data_Farmer!DN21)</f>
        <v/>
      </c>
      <c r="DO21" s="35" t="n">
        <f aca="false">IF(Data_Farmer!DO21="","",Data_Farmer!DO21)</f>
        <v>20</v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n">
        <f aca="false">IF(Data_Farmer!DR21="","",Data_Farmer!DR21)</f>
        <v>7</v>
      </c>
      <c r="DS21" s="35" t="str">
        <f aca="false">IF(Data_Farmer!DS21="","",Data_Farmer!DS21)</f>
        <v/>
      </c>
      <c r="DT21" s="35" t="n">
        <f aca="false">IF(Data_Farmer!DT21="","",Data_Farmer!DT21)</f>
        <v>20</v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n">
        <f aca="false">IF(Data_Farmer!DW21="","",Data_Farmer!DW21)</f>
        <v>15</v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n">
        <f aca="false">IF(Data_Farmer!EA21="","",Data_Farmer!EA21)</f>
        <v>21</v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n">
        <f aca="false">IF(Data_Farmer!EH21="","",Data_Farmer!EH21)</f>
        <v>14</v>
      </c>
      <c r="EI21" s="35" t="str">
        <f aca="false">IF(Data_Farmer!EI21="","",Data_Farmer!EI21)</f>
        <v/>
      </c>
      <c r="EJ21" s="35" t="n">
        <f aca="false">IF(Data_Farmer!EJ21="","",Data_Farmer!EJ21)</f>
        <v>25</v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n">
        <f aca="false">IF(Data_Farmer!EP21="","",Data_Farmer!EP21)</f>
        <v>15</v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152</v>
      </c>
      <c r="C22" s="34" t="s">
        <v>131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n">
        <f aca="false">IF(Data_Farmer!BE46="","",Data_Farmer!BE46)</f>
        <v>5</v>
      </c>
      <c r="BF22" s="35" t="str">
        <f aca="false">IF(Data_Farmer!BF46="","",Data_Farmer!BF46)</f>
        <v/>
      </c>
      <c r="BG22" s="35" t="n">
        <f aca="false">IF(Data_Farmer!BG46="","",Data_Farmer!BG46)</f>
        <v>25</v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n">
        <f aca="false">IF(Data_Farmer!BK46="","",Data_Farmer!BK46)</f>
        <v>19</v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n">
        <f aca="false">IF(Data_Farmer!BP46="","",Data_Farmer!BP46)</f>
        <v>17</v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n">
        <f aca="false">IF(Data_Farmer!BW46="","",Data_Farmer!BW46)</f>
        <v>20</v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n">
        <f aca="false">IF(Data_Farmer!CD46="","",Data_Farmer!CD46)</f>
        <v>23</v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n">
        <f aca="false">IF(Data_Farmer!CH46="","",Data_Farmer!CH46)</f>
        <v>30</v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n">
        <f aca="false">IF(Data_Farmer!CW46="","",Data_Farmer!CW46)</f>
        <v>15</v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n">
        <f aca="false">IF(Data_Farmer!CZ46="","",Data_Farmer!CZ46)</f>
        <v>18</v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n">
        <f aca="false">IF(Data_Farmer!DC46="","",Data_Farmer!DC46)</f>
        <v>22</v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n">
        <f aca="false">IF(Data_Farmer!DG46="","",Data_Farmer!DG46)</f>
        <v>10</v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n">
        <f aca="false">IF(Data_Farmer!DN46="","",Data_Farmer!DN46)</f>
        <v>15</v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n">
        <f aca="false">IF(Data_Farmer!DU46="","",Data_Farmer!DU46)</f>
        <v>20</v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n">
        <f aca="false">IF(Data_Farmer!EB46="","",Data_Farmer!EB46)</f>
        <v>20</v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n">
        <f aca="false">IF(Data_Farmer!EJ46="","",Data_Farmer!EJ46)</f>
        <v>45</v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153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154</v>
      </c>
      <c r="C25" s="39" t="s">
        <v>155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156</v>
      </c>
      <c r="C26" s="39" t="s">
        <v>140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157</v>
      </c>
      <c r="C27" s="39" t="s">
        <v>140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158</v>
      </c>
      <c r="C28" s="39" t="s">
        <v>159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160</v>
      </c>
      <c r="C29" s="39" t="s">
        <v>161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162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163</v>
      </c>
      <c r="C32" s="32" t="s">
        <v>159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164</v>
      </c>
      <c r="C33" s="32" t="s">
        <v>159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165</v>
      </c>
      <c r="BE33" s="18" t="s">
        <v>165</v>
      </c>
      <c r="BF33" s="18" t="s">
        <v>165</v>
      </c>
      <c r="BG33" s="18" t="s">
        <v>165</v>
      </c>
      <c r="BH33" s="18" t="s">
        <v>165</v>
      </c>
      <c r="BI33" s="18" t="s">
        <v>165</v>
      </c>
      <c r="BJ33" s="18" t="s">
        <v>165</v>
      </c>
      <c r="BK33" s="18" t="s">
        <v>165</v>
      </c>
      <c r="BL33" s="18" t="s">
        <v>165</v>
      </c>
      <c r="BM33" s="18" t="s">
        <v>165</v>
      </c>
      <c r="BN33" s="18" t="s">
        <v>165</v>
      </c>
      <c r="BO33" s="18" t="s">
        <v>165</v>
      </c>
      <c r="BP33" s="18" t="s">
        <v>165</v>
      </c>
      <c r="BQ33" s="18" t="s">
        <v>165</v>
      </c>
      <c r="BR33" s="18" t="s">
        <v>165</v>
      </c>
      <c r="BS33" s="18" t="s">
        <v>165</v>
      </c>
      <c r="BT33" s="18" t="s">
        <v>165</v>
      </c>
      <c r="BU33" s="18" t="s">
        <v>165</v>
      </c>
      <c r="BV33" s="18" t="s">
        <v>165</v>
      </c>
      <c r="BW33" s="18" t="s">
        <v>165</v>
      </c>
      <c r="BX33" s="18" t="s">
        <v>165</v>
      </c>
      <c r="BY33" s="18" t="s">
        <v>165</v>
      </c>
      <c r="BZ33" s="18" t="s">
        <v>165</v>
      </c>
      <c r="CA33" s="18"/>
      <c r="CB33" s="18" t="s">
        <v>165</v>
      </c>
      <c r="CC33" s="18" t="s">
        <v>165</v>
      </c>
      <c r="CD33" s="18" t="s">
        <v>165</v>
      </c>
      <c r="CE33" s="18" t="s">
        <v>165</v>
      </c>
      <c r="CF33" s="18" t="s">
        <v>165</v>
      </c>
      <c r="CG33" s="18" t="s">
        <v>165</v>
      </c>
      <c r="CH33" s="18" t="s">
        <v>165</v>
      </c>
      <c r="CI33" s="18" t="s">
        <v>165</v>
      </c>
      <c r="CJ33" s="18" t="s">
        <v>165</v>
      </c>
      <c r="CK33" s="18" t="s">
        <v>165</v>
      </c>
      <c r="CL33" s="18" t="s">
        <v>165</v>
      </c>
      <c r="CM33" s="18" t="s">
        <v>165</v>
      </c>
      <c r="CN33" s="18" t="s">
        <v>165</v>
      </c>
      <c r="CO33" s="18" t="s">
        <v>165</v>
      </c>
      <c r="CP33" s="18" t="s">
        <v>165</v>
      </c>
      <c r="CQ33" s="18" t="s">
        <v>165</v>
      </c>
      <c r="CR33" s="18" t="s">
        <v>165</v>
      </c>
      <c r="CS33" s="18" t="s">
        <v>165</v>
      </c>
      <c r="CT33" s="18" t="s">
        <v>165</v>
      </c>
      <c r="CU33" s="18" t="s">
        <v>165</v>
      </c>
      <c r="CV33" s="18" t="s">
        <v>165</v>
      </c>
      <c r="CW33" s="18" t="s">
        <v>165</v>
      </c>
      <c r="CX33" s="18" t="s">
        <v>165</v>
      </c>
      <c r="CY33" s="18" t="s">
        <v>165</v>
      </c>
      <c r="CZ33" s="18" t="s">
        <v>165</v>
      </c>
      <c r="DA33" s="18" t="s">
        <v>165</v>
      </c>
      <c r="DB33" s="18" t="s">
        <v>165</v>
      </c>
      <c r="DC33" s="18" t="s">
        <v>165</v>
      </c>
      <c r="DD33" s="18" t="s">
        <v>165</v>
      </c>
      <c r="DE33" s="18" t="s">
        <v>165</v>
      </c>
      <c r="DF33" s="18" t="s">
        <v>165</v>
      </c>
      <c r="DG33" s="18" t="s">
        <v>165</v>
      </c>
      <c r="DH33" s="18" t="s">
        <v>165</v>
      </c>
      <c r="DI33" s="18" t="s">
        <v>165</v>
      </c>
      <c r="DJ33" s="18" t="s">
        <v>165</v>
      </c>
      <c r="DK33" s="18" t="s">
        <v>165</v>
      </c>
      <c r="DL33" s="18"/>
      <c r="DM33" s="18" t="s">
        <v>165</v>
      </c>
      <c r="DN33" s="18" t="s">
        <v>165</v>
      </c>
      <c r="DO33" s="18" t="s">
        <v>165</v>
      </c>
      <c r="DP33" s="18" t="s">
        <v>165</v>
      </c>
      <c r="DQ33" s="18" t="s">
        <v>165</v>
      </c>
      <c r="DR33" s="18" t="s">
        <v>165</v>
      </c>
      <c r="DS33" s="18" t="s">
        <v>165</v>
      </c>
      <c r="DT33" s="18" t="s">
        <v>165</v>
      </c>
      <c r="DU33" s="18" t="s">
        <v>165</v>
      </c>
      <c r="DV33" s="18" t="s">
        <v>165</v>
      </c>
      <c r="DW33" s="18" t="s">
        <v>165</v>
      </c>
      <c r="DX33" s="18" t="s">
        <v>165</v>
      </c>
      <c r="DY33" s="18" t="s">
        <v>165</v>
      </c>
      <c r="DZ33" s="18" t="s">
        <v>165</v>
      </c>
      <c r="EA33" s="18" t="s">
        <v>165</v>
      </c>
      <c r="EB33" s="18" t="s">
        <v>165</v>
      </c>
      <c r="EC33" s="18" t="s">
        <v>165</v>
      </c>
      <c r="ED33" s="18" t="s">
        <v>165</v>
      </c>
      <c r="EE33" s="18" t="s">
        <v>165</v>
      </c>
      <c r="EF33" s="18" t="s">
        <v>165</v>
      </c>
      <c r="EG33" s="18" t="s">
        <v>165</v>
      </c>
      <c r="EH33" s="18" t="s">
        <v>165</v>
      </c>
      <c r="EI33" s="18" t="s">
        <v>165</v>
      </c>
      <c r="EJ33" s="18" t="s">
        <v>165</v>
      </c>
      <c r="EK33" s="18" t="s">
        <v>165</v>
      </c>
      <c r="EL33" s="18" t="s">
        <v>165</v>
      </c>
      <c r="EM33" s="18" t="s">
        <v>165</v>
      </c>
      <c r="EN33" s="18" t="s">
        <v>165</v>
      </c>
      <c r="EO33" s="18" t="s">
        <v>165</v>
      </c>
      <c r="EP33" s="18" t="s">
        <v>165</v>
      </c>
      <c r="EQ33" s="18" t="s">
        <v>165</v>
      </c>
      <c r="ER33" s="18" t="s">
        <v>165</v>
      </c>
      <c r="ES33" s="18" t="s">
        <v>165</v>
      </c>
      <c r="ET33" s="18" t="s">
        <v>165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166</v>
      </c>
      <c r="C34" s="32" t="s">
        <v>167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168</v>
      </c>
      <c r="C35" s="32" t="s">
        <v>159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169</v>
      </c>
      <c r="BF35" s="18"/>
      <c r="BG35" s="18" t="s">
        <v>169</v>
      </c>
      <c r="BH35" s="18"/>
      <c r="BI35" s="18"/>
      <c r="BJ35" s="18"/>
      <c r="BK35" s="18" t="s">
        <v>169</v>
      </c>
      <c r="BL35" s="18"/>
      <c r="BM35" s="18"/>
      <c r="BN35" s="18"/>
      <c r="BO35" s="18"/>
      <c r="BP35" s="18" t="s">
        <v>169</v>
      </c>
      <c r="BQ35" s="18"/>
      <c r="BR35" s="18"/>
      <c r="BS35" s="18"/>
      <c r="BT35" s="18"/>
      <c r="BU35" s="18"/>
      <c r="BV35" s="18"/>
      <c r="BW35" s="18" t="s">
        <v>169</v>
      </c>
      <c r="BX35" s="18"/>
      <c r="BY35" s="18"/>
      <c r="BZ35" s="18"/>
      <c r="CA35" s="18"/>
      <c r="CB35" s="18"/>
      <c r="CC35" s="18"/>
      <c r="CD35" s="18" t="s">
        <v>169</v>
      </c>
      <c r="CE35" s="18"/>
      <c r="CF35" s="18"/>
      <c r="CG35" s="18"/>
      <c r="CH35" s="18" t="s">
        <v>169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169</v>
      </c>
      <c r="CX35" s="18"/>
      <c r="CY35" s="18"/>
      <c r="CZ35" s="18" t="s">
        <v>169</v>
      </c>
      <c r="DA35" s="18"/>
      <c r="DB35" s="18"/>
      <c r="DC35" s="18" t="s">
        <v>169</v>
      </c>
      <c r="DD35" s="18"/>
      <c r="DE35" s="18"/>
      <c r="DF35" s="18"/>
      <c r="DG35" s="18"/>
      <c r="DH35" s="18"/>
      <c r="DI35" s="18" t="s">
        <v>169</v>
      </c>
      <c r="DJ35" s="18" t="s">
        <v>169</v>
      </c>
      <c r="DK35" s="18"/>
      <c r="DL35" s="18"/>
      <c r="DM35" s="18" t="s">
        <v>169</v>
      </c>
      <c r="DN35" s="18"/>
      <c r="DO35" s="18" t="s">
        <v>169</v>
      </c>
      <c r="DP35" s="18"/>
      <c r="DQ35" s="18"/>
      <c r="DR35" s="18" t="s">
        <v>169</v>
      </c>
      <c r="DS35" s="18"/>
      <c r="DT35" s="18" t="s">
        <v>169</v>
      </c>
      <c r="DU35" s="18"/>
      <c r="DV35" s="18"/>
      <c r="DW35" s="18" t="s">
        <v>169</v>
      </c>
      <c r="DX35" s="18"/>
      <c r="DY35" s="18"/>
      <c r="DZ35" s="18"/>
      <c r="EA35" s="18" t="s">
        <v>169</v>
      </c>
      <c r="EB35" s="18"/>
      <c r="EC35" s="18"/>
      <c r="ED35" s="18"/>
      <c r="EE35" s="18"/>
      <c r="EF35" s="18"/>
      <c r="EG35" s="18"/>
      <c r="EH35" s="18" t="s">
        <v>169</v>
      </c>
      <c r="EI35" s="18"/>
      <c r="EJ35" s="18" t="s">
        <v>169</v>
      </c>
      <c r="EK35" s="18"/>
      <c r="EL35" s="18"/>
      <c r="EM35" s="18"/>
      <c r="EN35" s="18"/>
      <c r="EO35" s="18"/>
      <c r="EP35" s="18" t="s">
        <v>169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170</v>
      </c>
      <c r="C36" s="32" t="s">
        <v>167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171</v>
      </c>
      <c r="C37" s="32" t="s">
        <v>159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172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163</v>
      </c>
      <c r="C40" s="34" t="s">
        <v>159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164</v>
      </c>
      <c r="C41" s="34" t="s">
        <v>159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165</v>
      </c>
      <c r="BE41" s="18" t="s">
        <v>165</v>
      </c>
      <c r="BF41" s="18" t="s">
        <v>165</v>
      </c>
      <c r="BG41" s="18" t="s">
        <v>165</v>
      </c>
      <c r="BH41" s="18" t="s">
        <v>165</v>
      </c>
      <c r="BI41" s="18" t="s">
        <v>165</v>
      </c>
      <c r="BJ41" s="18" t="s">
        <v>165</v>
      </c>
      <c r="BK41" s="18" t="s">
        <v>165</v>
      </c>
      <c r="BL41" s="18" t="s">
        <v>165</v>
      </c>
      <c r="BM41" s="18" t="s">
        <v>165</v>
      </c>
      <c r="BN41" s="18" t="s">
        <v>165</v>
      </c>
      <c r="BO41" s="18" t="s">
        <v>165</v>
      </c>
      <c r="BP41" s="18" t="s">
        <v>165</v>
      </c>
      <c r="BQ41" s="18" t="s">
        <v>165</v>
      </c>
      <c r="BR41" s="18" t="s">
        <v>165</v>
      </c>
      <c r="BS41" s="18" t="s">
        <v>165</v>
      </c>
      <c r="BT41" s="18" t="s">
        <v>165</v>
      </c>
      <c r="BU41" s="18" t="s">
        <v>165</v>
      </c>
      <c r="BV41" s="18" t="s">
        <v>165</v>
      </c>
      <c r="BW41" s="18" t="s">
        <v>165</v>
      </c>
      <c r="BX41" s="18" t="s">
        <v>165</v>
      </c>
      <c r="BY41" s="18" t="s">
        <v>165</v>
      </c>
      <c r="BZ41" s="18" t="s">
        <v>165</v>
      </c>
      <c r="CA41" s="18"/>
      <c r="CB41" s="18" t="s">
        <v>165</v>
      </c>
      <c r="CC41" s="18" t="s">
        <v>165</v>
      </c>
      <c r="CD41" s="18" t="s">
        <v>165</v>
      </c>
      <c r="CE41" s="18" t="s">
        <v>165</v>
      </c>
      <c r="CF41" s="18" t="s">
        <v>165</v>
      </c>
      <c r="CG41" s="18" t="s">
        <v>165</v>
      </c>
      <c r="CH41" s="18" t="s">
        <v>165</v>
      </c>
      <c r="CI41" s="18" t="s">
        <v>165</v>
      </c>
      <c r="CJ41" s="18" t="s">
        <v>165</v>
      </c>
      <c r="CK41" s="18" t="s">
        <v>165</v>
      </c>
      <c r="CL41" s="18" t="s">
        <v>165</v>
      </c>
      <c r="CM41" s="18" t="s">
        <v>165</v>
      </c>
      <c r="CN41" s="18" t="s">
        <v>165</v>
      </c>
      <c r="CO41" s="18" t="s">
        <v>165</v>
      </c>
      <c r="CP41" s="18" t="s">
        <v>165</v>
      </c>
      <c r="CQ41" s="18" t="s">
        <v>165</v>
      </c>
      <c r="CR41" s="18" t="s">
        <v>165</v>
      </c>
      <c r="CS41" s="18" t="s">
        <v>165</v>
      </c>
      <c r="CT41" s="18" t="s">
        <v>165</v>
      </c>
      <c r="CU41" s="18" t="s">
        <v>165</v>
      </c>
      <c r="CV41" s="18" t="s">
        <v>165</v>
      </c>
      <c r="CW41" s="18" t="s">
        <v>165</v>
      </c>
      <c r="CX41" s="18" t="s">
        <v>165</v>
      </c>
      <c r="CY41" s="18" t="s">
        <v>165</v>
      </c>
      <c r="CZ41" s="18" t="s">
        <v>165</v>
      </c>
      <c r="DA41" s="18" t="s">
        <v>165</v>
      </c>
      <c r="DB41" s="18" t="s">
        <v>165</v>
      </c>
      <c r="DC41" s="18" t="s">
        <v>165</v>
      </c>
      <c r="DD41" s="18" t="s">
        <v>165</v>
      </c>
      <c r="DE41" s="18" t="s">
        <v>165</v>
      </c>
      <c r="DF41" s="18" t="s">
        <v>165</v>
      </c>
      <c r="DG41" s="18" t="s">
        <v>165</v>
      </c>
      <c r="DH41" s="18" t="s">
        <v>165</v>
      </c>
      <c r="DI41" s="18" t="s">
        <v>165</v>
      </c>
      <c r="DJ41" s="18" t="s">
        <v>165</v>
      </c>
      <c r="DK41" s="18" t="s">
        <v>165</v>
      </c>
      <c r="DL41" s="18"/>
      <c r="DM41" s="18" t="s">
        <v>165</v>
      </c>
      <c r="DN41" s="18" t="s">
        <v>165</v>
      </c>
      <c r="DO41" s="18" t="s">
        <v>165</v>
      </c>
      <c r="DP41" s="18" t="s">
        <v>165</v>
      </c>
      <c r="DQ41" s="18" t="s">
        <v>165</v>
      </c>
      <c r="DR41" s="18" t="s">
        <v>165</v>
      </c>
      <c r="DS41" s="18" t="s">
        <v>165</v>
      </c>
      <c r="DT41" s="18" t="s">
        <v>165</v>
      </c>
      <c r="DU41" s="18" t="s">
        <v>165</v>
      </c>
      <c r="DV41" s="18" t="s">
        <v>165</v>
      </c>
      <c r="DW41" s="18" t="s">
        <v>165</v>
      </c>
      <c r="DX41" s="18" t="s">
        <v>165</v>
      </c>
      <c r="DY41" s="18" t="s">
        <v>165</v>
      </c>
      <c r="DZ41" s="18" t="s">
        <v>165</v>
      </c>
      <c r="EA41" s="18" t="s">
        <v>165</v>
      </c>
      <c r="EB41" s="18" t="s">
        <v>165</v>
      </c>
      <c r="EC41" s="18" t="s">
        <v>165</v>
      </c>
      <c r="ED41" s="18" t="s">
        <v>165</v>
      </c>
      <c r="EE41" s="18" t="s">
        <v>165</v>
      </c>
      <c r="EF41" s="18" t="s">
        <v>165</v>
      </c>
      <c r="EG41" s="18" t="s">
        <v>165</v>
      </c>
      <c r="EH41" s="18" t="s">
        <v>165</v>
      </c>
      <c r="EI41" s="18" t="s">
        <v>165</v>
      </c>
      <c r="EJ41" s="18" t="s">
        <v>165</v>
      </c>
      <c r="EK41" s="18" t="s">
        <v>165</v>
      </c>
      <c r="EL41" s="18" t="s">
        <v>165</v>
      </c>
      <c r="EM41" s="18" t="s">
        <v>165</v>
      </c>
      <c r="EN41" s="18" t="s">
        <v>165</v>
      </c>
      <c r="EO41" s="18" t="s">
        <v>165</v>
      </c>
      <c r="EP41" s="18" t="s">
        <v>165</v>
      </c>
      <c r="EQ41" s="18" t="s">
        <v>165</v>
      </c>
      <c r="ER41" s="18" t="s">
        <v>165</v>
      </c>
      <c r="ES41" s="18" t="s">
        <v>165</v>
      </c>
      <c r="ET41" s="18" t="s">
        <v>165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166</v>
      </c>
      <c r="C42" s="34" t="s">
        <v>167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168</v>
      </c>
      <c r="C43" s="34" t="s">
        <v>159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169</v>
      </c>
      <c r="BF43" s="18"/>
      <c r="BG43" s="18" t="s">
        <v>169</v>
      </c>
      <c r="BH43" s="18"/>
      <c r="BI43" s="18"/>
      <c r="BJ43" s="18"/>
      <c r="BK43" s="18" t="s">
        <v>169</v>
      </c>
      <c r="BL43" s="18"/>
      <c r="BM43" s="18"/>
      <c r="BN43" s="18"/>
      <c r="BO43" s="18"/>
      <c r="BP43" s="18" t="s">
        <v>169</v>
      </c>
      <c r="BQ43" s="18"/>
      <c r="BR43" s="18"/>
      <c r="BS43" s="18"/>
      <c r="BT43" s="18"/>
      <c r="BU43" s="18"/>
      <c r="BV43" s="18"/>
      <c r="BW43" s="18" t="s">
        <v>169</v>
      </c>
      <c r="BX43" s="18"/>
      <c r="BY43" s="18"/>
      <c r="BZ43" s="18"/>
      <c r="CA43" s="18"/>
      <c r="CB43" s="18"/>
      <c r="CC43" s="18"/>
      <c r="CD43" s="18" t="s">
        <v>169</v>
      </c>
      <c r="CE43" s="18"/>
      <c r="CF43" s="18"/>
      <c r="CG43" s="18"/>
      <c r="CH43" s="18" t="s">
        <v>169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169</v>
      </c>
      <c r="CX43" s="18"/>
      <c r="CY43" s="18"/>
      <c r="CZ43" s="18" t="s">
        <v>169</v>
      </c>
      <c r="DA43" s="18"/>
      <c r="DB43" s="18"/>
      <c r="DC43" s="18" t="s">
        <v>169</v>
      </c>
      <c r="DD43" s="18"/>
      <c r="DE43" s="18"/>
      <c r="DF43" s="18"/>
      <c r="DG43" s="18" t="s">
        <v>169</v>
      </c>
      <c r="DH43" s="18"/>
      <c r="DI43" s="18"/>
      <c r="DJ43" s="18"/>
      <c r="DK43" s="18"/>
      <c r="DL43" s="18"/>
      <c r="DM43" s="18"/>
      <c r="DN43" s="18" t="s">
        <v>169</v>
      </c>
      <c r="DO43" s="18"/>
      <c r="DP43" s="18"/>
      <c r="DQ43" s="18"/>
      <c r="DR43" s="18"/>
      <c r="DS43" s="18"/>
      <c r="DT43" s="18"/>
      <c r="DU43" s="18" t="s">
        <v>169</v>
      </c>
      <c r="DV43" s="18"/>
      <c r="DW43" s="18"/>
      <c r="DX43" s="18"/>
      <c r="DY43" s="18"/>
      <c r="DZ43" s="18"/>
      <c r="EA43" s="18"/>
      <c r="EB43" s="18" t="s">
        <v>169</v>
      </c>
      <c r="EC43" s="18"/>
      <c r="ED43" s="18"/>
      <c r="EE43" s="18"/>
      <c r="EF43" s="18"/>
      <c r="EG43" s="18"/>
      <c r="EH43" s="18"/>
      <c r="EI43" s="18"/>
      <c r="EJ43" s="18" t="s">
        <v>169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170</v>
      </c>
      <c r="C44" s="34" t="s">
        <v>167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171</v>
      </c>
      <c r="C45" s="34" t="s">
        <v>159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173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174</v>
      </c>
      <c r="C48" s="39" t="s">
        <v>175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176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177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178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179</v>
      </c>
      <c r="C51" s="32" t="s">
        <v>180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6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12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16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15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181</v>
      </c>
      <c r="C52" s="32" t="s">
        <v>180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8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14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18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17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182</v>
      </c>
      <c r="C53" s="32" t="s">
        <v>180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7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13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15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16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183</v>
      </c>
      <c r="C54" s="32" t="s">
        <v>180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9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15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17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14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184</v>
      </c>
      <c r="C55" s="32" t="s">
        <v>180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7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12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19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18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185</v>
      </c>
      <c r="C56" s="32" t="s">
        <v>131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n">
        <f aca="false">IF(Data_Farmer!BY66="","",Data_Farmer!BY66)</f>
        <v>7.3</v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n">
        <f aca="false">IF(Data_Farmer!CN66="","",Data_Farmer!CN66)</f>
        <v>13</v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n">
        <f aca="false">IF(Data_Farmer!DC66="","",Data_Farmer!DC66)</f>
        <v>17</v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n">
        <f aca="false">IF(Data_Farmer!DR66="","",Data_Farmer!DR66)</f>
        <v>16</v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186</v>
      </c>
      <c r="C57" s="34" t="s">
        <v>180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6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11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18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19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187</v>
      </c>
      <c r="C58" s="34" t="s">
        <v>180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7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13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20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22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188</v>
      </c>
      <c r="C59" s="34" t="s">
        <v>180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7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14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17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20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189</v>
      </c>
      <c r="C60" s="34" t="s">
        <v>180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8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12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19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18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190</v>
      </c>
      <c r="C61" s="34" t="s">
        <v>180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6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13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21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21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191</v>
      </c>
      <c r="C62" s="34" t="s">
        <v>131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n">
        <f aca="false">IF(Data_Farmer!BY73="","",Data_Farmer!BY73)</f>
        <v>6.7</v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n">
        <f aca="false">IF(Data_Farmer!CN73="","",Data_Farmer!CN73)</f>
        <v>12.7</v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n">
        <f aca="false">IF(Data_Farmer!DC73="","",Data_Farmer!DC73)</f>
        <v>19</v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n">
        <f aca="false">IF(Data_Farmer!DR73="","",Data_Farmer!DR73)</f>
        <v>20</v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192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193</v>
      </c>
      <c r="C65" s="32" t="s">
        <v>194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195</v>
      </c>
      <c r="C66" s="32" t="s">
        <v>196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197</v>
      </c>
      <c r="C67" s="34" t="s">
        <v>194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198</v>
      </c>
      <c r="C68" s="34" t="s">
        <v>196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199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200</v>
      </c>
      <c r="C71" s="34" t="s">
        <v>201</v>
      </c>
      <c r="D71" s="18" t="s">
        <v>202</v>
      </c>
      <c r="E71" s="18"/>
      <c r="F71" s="18"/>
      <c r="G71" s="18" t="s">
        <v>203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204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205</v>
      </c>
      <c r="EK71" s="18"/>
      <c r="EL71" s="18"/>
      <c r="EM71" s="18"/>
      <c r="EN71" s="18"/>
      <c r="EO71" s="18"/>
      <c r="EP71" s="18"/>
      <c r="EQ71" s="18" t="s">
        <v>206</v>
      </c>
      <c r="ER71" s="18"/>
      <c r="ES71" s="18"/>
      <c r="ET71" s="18"/>
      <c r="EU71" s="18"/>
      <c r="EV71" s="18"/>
      <c r="EW71" s="18"/>
      <c r="EX71" s="18" t="s">
        <v>207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208</v>
      </c>
      <c r="C72" s="34" t="s">
        <v>209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210</v>
      </c>
      <c r="C73" s="32" t="s">
        <v>201</v>
      </c>
      <c r="D73" s="18" t="s">
        <v>202</v>
      </c>
      <c r="E73" s="18"/>
      <c r="F73" s="18"/>
      <c r="G73" s="18" t="s">
        <v>203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204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211</v>
      </c>
      <c r="C74" s="32" t="s">
        <v>209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212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213</v>
      </c>
      <c r="C77" s="39" t="s">
        <v>159</v>
      </c>
      <c r="D77" s="18" t="s">
        <v>202</v>
      </c>
      <c r="E77" s="18"/>
      <c r="F77" s="18"/>
      <c r="G77" s="18" t="s">
        <v>203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214</v>
      </c>
      <c r="C78" s="39" t="s">
        <v>215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216</v>
      </c>
      <c r="C79" s="39" t="s">
        <v>215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217</v>
      </c>
      <c r="C80" s="39" t="s">
        <v>215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218</v>
      </c>
      <c r="C81" s="39" t="s">
        <v>215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219</v>
      </c>
      <c r="C82" s="39" t="s">
        <v>215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220</v>
      </c>
      <c r="C83" s="39" t="s">
        <v>215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221</v>
      </c>
      <c r="C84" s="39" t="s">
        <v>215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222</v>
      </c>
      <c r="C85" s="39" t="s">
        <v>215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223</v>
      </c>
      <c r="C86" s="39" t="s">
        <v>215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224</v>
      </c>
      <c r="C87" s="39" t="s">
        <v>159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225</v>
      </c>
      <c r="C88" s="39" t="s">
        <v>226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227</v>
      </c>
      <c r="C89" s="39" t="s">
        <v>226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228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229</v>
      </c>
      <c r="C92" s="32" t="s">
        <v>159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103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103</v>
      </c>
      <c r="CB92" s="18"/>
      <c r="CC92" s="18"/>
      <c r="CD92" s="18"/>
      <c r="CE92" s="18"/>
      <c r="CF92" s="18"/>
      <c r="CG92" s="18"/>
      <c r="CH92" s="18"/>
      <c r="CI92" s="18" t="s">
        <v>230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103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230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231</v>
      </c>
      <c r="C93" s="32" t="s">
        <v>215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232</v>
      </c>
      <c r="C94" s="32" t="s">
        <v>215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233</v>
      </c>
      <c r="C95" s="32" t="s">
        <v>215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234</v>
      </c>
      <c r="C96" s="32" t="s">
        <v>215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235</v>
      </c>
      <c r="C97" s="32" t="s">
        <v>215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236</v>
      </c>
      <c r="C98" s="32" t="s">
        <v>215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237</v>
      </c>
      <c r="C99" s="32" t="s">
        <v>215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238</v>
      </c>
      <c r="C100" s="32" t="s">
        <v>215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239</v>
      </c>
      <c r="C101" s="32" t="s">
        <v>215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240</v>
      </c>
      <c r="C102" s="32" t="s">
        <v>215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241</v>
      </c>
      <c r="C103" s="32" t="s">
        <v>215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242</v>
      </c>
      <c r="C104" s="32" t="s">
        <v>215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243</v>
      </c>
      <c r="C105" s="32" t="s">
        <v>159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244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245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246</v>
      </c>
      <c r="C106" s="32" t="s">
        <v>226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247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248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249</v>
      </c>
      <c r="C107" s="32" t="s">
        <v>226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250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251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252</v>
      </c>
      <c r="C108" s="32" t="s">
        <v>167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253</v>
      </c>
      <c r="C109" s="32" t="s">
        <v>167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254</v>
      </c>
      <c r="C110" s="32" t="s">
        <v>226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255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256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257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258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259</v>
      </c>
      <c r="C113" s="34" t="s">
        <v>159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103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103</v>
      </c>
      <c r="CB113" s="18"/>
      <c r="CC113" s="18"/>
      <c r="CD113" s="18"/>
      <c r="CE113" s="18"/>
      <c r="CF113" s="18"/>
      <c r="CG113" s="18"/>
      <c r="CH113" s="18"/>
      <c r="CI113" s="18" t="s">
        <v>230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103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260</v>
      </c>
      <c r="C114" s="34" t="s">
        <v>215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261</v>
      </c>
      <c r="C115" s="34" t="s">
        <v>215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262</v>
      </c>
      <c r="C116" s="34" t="s">
        <v>215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263</v>
      </c>
      <c r="C117" s="34" t="s">
        <v>215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264</v>
      </c>
      <c r="C118" s="34" t="s">
        <v>215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265</v>
      </c>
      <c r="C119" s="34" t="s">
        <v>215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266</v>
      </c>
      <c r="C120" s="34" t="s">
        <v>215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267</v>
      </c>
      <c r="C121" s="34" t="s">
        <v>215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268</v>
      </c>
      <c r="C122" s="34" t="s">
        <v>215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269</v>
      </c>
      <c r="C123" s="34" t="s">
        <v>215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270</v>
      </c>
      <c r="C124" s="34" t="s">
        <v>215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271</v>
      </c>
      <c r="C125" s="34" t="s">
        <v>215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272</v>
      </c>
      <c r="C126" s="34" t="s">
        <v>159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244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273</v>
      </c>
      <c r="C127" s="34" t="s">
        <v>226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247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274</v>
      </c>
      <c r="C128" s="34" t="s">
        <v>226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250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275</v>
      </c>
      <c r="C129" s="34" t="s">
        <v>167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276</v>
      </c>
      <c r="C130" s="34" t="s">
        <v>167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277</v>
      </c>
      <c r="C131" s="34" t="s">
        <v>226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255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256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257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সংখ্যা লিখুন (সেমি)।" errorStyle="stop" operator="between" showDropDown="false" showErrorMessage="true" showInputMessage="false" sqref="D7:FQ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8:FQ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5:FQ1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6:FQ1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8:FQ1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9:FQ19" type="decimal">
      <formula1>-500</formula1>
      <formula2>2000</formula2>
    </dataValidation>
    <dataValidation allowBlank="false" error="সংখ্যা লিখুন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সংখ্যা লিখুন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সংখ্যা লিখুন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সংখ্যা লিখুন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পূর্ণসংখ্যা 0-200।" errorStyle="stop" operator="between" showDropDown="false" showErrorMessage="true" showInputMessage="false" sqref="D51:FQ55 D57:FQ61" type="whole">
      <formula1>0</formula1>
      <formula2>200</formula2>
    </dataValidation>
    <dataValidation allowBlank="false" error="সংখ্যা লিখুন (সেমি)।" errorStyle="stop" operator="between" showDropDown="false" showErrorMessage="true" showInputMessage="false" sqref="D65:FQ6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6:FQ6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7:FQ6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23" t="s">
        <v>278</v>
      </c>
    </row>
    <row r="2" customFormat="false" ht="15" hidden="false" customHeight="false" outlineLevel="0" collapsed="false">
      <c r="A2" s="44" t="str">
        <f aca="false">IF(SiteName="","",SiteName&amp;IF(Place="",""," - "&amp;Place))</f>
        <v>Demo Site-01 - Chougachha, Jashore</v>
      </c>
      <c r="F2" s="9" t="str">
        <f aca="false">IF(Variety="","","Variety: "&amp;Variety)</f>
        <v>Variety: Rod miniket</v>
      </c>
    </row>
    <row r="4" customFormat="false" ht="15" hidden="false" customHeight="false" outlineLevel="0" collapsed="false">
      <c r="B4" s="15" t="s">
        <v>279</v>
      </c>
      <c r="C4" s="15" t="s">
        <v>280</v>
      </c>
      <c r="D4" s="15" t="s">
        <v>281</v>
      </c>
      <c r="G4" s="15" t="s">
        <v>282</v>
      </c>
      <c r="H4" s="15" t="s">
        <v>280</v>
      </c>
      <c r="I4" s="15" t="s">
        <v>281</v>
      </c>
    </row>
    <row r="5" customFormat="false" ht="15" hidden="false" customHeight="false" outlineLevel="0" collapsed="false">
      <c r="A5" s="45" t="s">
        <v>283</v>
      </c>
      <c r="B5" s="21" t="str">
        <f aca="false">Schedule_Farmer!A5&amp;IF(Schedule_Farmer!E5&lt;&gt;Schedule_Farmer!D5,"  (- "&amp;TEXT(Schedule_Farmer!E5,"dd mmm")&amp;")","")</f>
        <v>বীজ ভেজানো</v>
      </c>
      <c r="C5" s="46" t="n">
        <f aca="false">IF(Schedule_Farmer!D5="","",Schedule_Farmer!D5)</f>
        <v>45990</v>
      </c>
      <c r="D5" s="46" t="n">
        <f aca="false">IF(Schedule_Farmer!F5="","",Schedule_Farmer!F5)</f>
        <v>45990</v>
      </c>
      <c r="F5" s="45" t="s">
        <v>283</v>
      </c>
      <c r="G5" s="21" t="str">
        <f aca="false">Schedule_Farmer!A28&amp;IF(Schedule_Farmer!E28&lt;&gt;Schedule_Farmer!D28,"  (- "&amp;TEXT(Schedule_Farmer!E28,"dd mmm")&amp;")","")</f>
        <v>বীজ ভেজানো</v>
      </c>
      <c r="H5" s="46" t="n">
        <f aca="false">IF(Schedule_Farmer!D28="","",Schedule_Farmer!D28)</f>
        <v>45990</v>
      </c>
      <c r="I5" s="46" t="n">
        <f aca="false">IF(Schedule_Farmer!F28="","",Schedule_Farmer!F28)</f>
        <v>45990</v>
      </c>
    </row>
    <row r="6" customFormat="false" ht="15" hidden="false" customHeight="false" outlineLevel="0" collapsed="false">
      <c r="A6" s="45" t="s">
        <v>284</v>
      </c>
      <c r="B6" s="21" t="str">
        <f aca="false">Schedule_Farmer!A6&amp;IF(Schedule_Farmer!E6&lt;&gt;Schedule_Farmer!D6,"  (- "&amp;TEXT(Schedule_Farmer!E6,"dd mmm")&amp;")","")</f>
        <v>বীজ বপন</v>
      </c>
      <c r="C6" s="46" t="n">
        <f aca="false">IF(Schedule_Farmer!D6="","",Schedule_Farmer!D6)</f>
        <v>45993</v>
      </c>
      <c r="D6" s="46" t="n">
        <f aca="false">IF(Schedule_Farmer!F6="","",Schedule_Farmer!F6)</f>
        <v>45993</v>
      </c>
      <c r="F6" s="45" t="s">
        <v>284</v>
      </c>
      <c r="G6" s="21" t="str">
        <f aca="false">Schedule_Farmer!A29&amp;IF(Schedule_Farmer!E29&lt;&gt;Schedule_Farmer!D29,"  (- "&amp;TEXT(Schedule_Farmer!E29,"dd mmm")&amp;")","")</f>
        <v>বীজ বপন</v>
      </c>
      <c r="H6" s="46" t="n">
        <f aca="false">IF(Schedule_Farmer!D29="","",Schedule_Farmer!D29)</f>
        <v>45993</v>
      </c>
      <c r="I6" s="46" t="n">
        <f aca="false">IF(Schedule_Farmer!F29="","",Schedule_Farmer!F29)</f>
        <v>45993</v>
      </c>
    </row>
    <row r="7" customFormat="false" ht="15" hidden="false" customHeight="false" outlineLevel="0" collapsed="false">
      <c r="A7" s="45" t="s">
        <v>285</v>
      </c>
      <c r="B7" s="21" t="str">
        <f aca="false">Schedule_Farmer!A7&amp;IF(Schedule_Farmer!E7&lt;&gt;Schedule_Farmer!D7,"  (- "&amp;TEXT(Schedule_Farmer!E7,"dd mmm")&amp;")","")</f>
        <v>চাষ</v>
      </c>
      <c r="C7" s="46" t="n">
        <f aca="false">IF(Schedule_Farmer!D7="","",Schedule_Farmer!D7)</f>
        <v>45999</v>
      </c>
      <c r="D7" s="46" t="str">
        <f aca="false">IF(Schedule_Farmer!F7="","",Schedule_Farmer!F7)</f>
        <v/>
      </c>
      <c r="F7" s="45" t="s">
        <v>285</v>
      </c>
      <c r="G7" s="21" t="str">
        <f aca="false">Schedule_Farmer!A30&amp;IF(Schedule_Farmer!E30&lt;&gt;Schedule_Farmer!D30,"  (- "&amp;TEXT(Schedule_Farmer!E30,"dd mmm")&amp;")","")</f>
        <v>চাষ</v>
      </c>
      <c r="H7" s="46" t="n">
        <f aca="false">IF(Schedule_Farmer!D30="","",Schedule_Farmer!D30)</f>
        <v>45999</v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286</v>
      </c>
      <c r="B8" s="21" t="str">
        <f aca="false">Schedule_Farmer!A8&amp;IF(Schedule_Farmer!E8&lt;&gt;Schedule_Farmer!D8,"  (- "&amp;TEXT(Schedule_Farmer!E8,"dd mmm")&amp;")","")</f>
        <v>কাদা করা</v>
      </c>
      <c r="C8" s="46" t="n">
        <f aca="false">IF(Schedule_Farmer!D8="","",Schedule_Farmer!D8)</f>
        <v>46029</v>
      </c>
      <c r="D8" s="46" t="str">
        <f aca="false">IF(Schedule_Farmer!F8="","",Schedule_Farmer!F8)</f>
        <v/>
      </c>
      <c r="F8" s="45" t="s">
        <v>286</v>
      </c>
      <c r="G8" s="21" t="str">
        <f aca="false">Schedule_Farmer!A31&amp;IF(Schedule_Farmer!E31&lt;&gt;Schedule_Farmer!D31,"  (- "&amp;TEXT(Schedule_Farmer!E31,"dd mmm")&amp;")","")</f>
        <v>কাদা করা</v>
      </c>
      <c r="H8" s="46" t="n">
        <f aca="false">IF(Schedule_Farmer!D31="","",Schedule_Farmer!D31)</f>
        <v>46029</v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287</v>
      </c>
      <c r="B9" s="21" t="str">
        <f aca="false">Schedule_Farmer!A9&amp;IF(Schedule_Farmer!E9&lt;&gt;Schedule_Farmer!D9,"  (- "&amp;TEXT(Schedule_Farmer!E9,"dd mmm")&amp;")","")</f>
        <v>চারা রোপণ</v>
      </c>
      <c r="C9" s="46" t="n">
        <f aca="false">IF(Schedule_Farmer!D9="","",Schedule_Farmer!D9)</f>
        <v>46042</v>
      </c>
      <c r="D9" s="46" t="n">
        <f aca="false">IF(Schedule_Farmer!F9="","",Schedule_Farmer!F9)</f>
        <v>46042</v>
      </c>
      <c r="F9" s="45" t="s">
        <v>287</v>
      </c>
      <c r="G9" s="21" t="str">
        <f aca="false">Schedule_Farmer!A32&amp;IF(Schedule_Farmer!E32&lt;&gt;Schedule_Farmer!D32,"  (- "&amp;TEXT(Schedule_Farmer!E32,"dd mmm")&amp;")","")</f>
        <v>চারা রোপণ</v>
      </c>
      <c r="H9" s="46" t="n">
        <f aca="false">IF(Schedule_Farmer!D32="","",Schedule_Farmer!D32)</f>
        <v>46042</v>
      </c>
      <c r="I9" s="46" t="n">
        <f aca="false">IF(Schedule_Farmer!F32="","",Schedule_Farmer!F32)</f>
        <v>46042</v>
      </c>
    </row>
    <row r="10" customFormat="false" ht="15" hidden="false" customHeight="false" outlineLevel="0" collapsed="false">
      <c r="A10" s="45" t="s">
        <v>288</v>
      </c>
      <c r="B10" s="21" t="str">
        <f aca="false">Schedule_Farmer!A10&amp;IF(Schedule_Farmer!E10&lt;&gt;Schedule_Farmer!D10,"  (- "&amp;TEXT(Schedule_Farmer!E10,"dd mmm")&amp;")","")</f>
        <v>পিটানের আগে শেষ সেচ</v>
      </c>
      <c r="C10" s="46" t="n">
        <f aca="false">IF(Schedule_Farmer!D10="","",Schedule_Farmer!D10)</f>
        <v>46068</v>
      </c>
      <c r="D10" s="46" t="str">
        <f aca="false">IF(Schedule_Farmer!F10="","",Schedule_Farmer!F10)</f>
        <v/>
      </c>
      <c r="F10" s="45" t="s">
        <v>288</v>
      </c>
      <c r="G10" s="21" t="str">
        <f aca="false">Schedule_Farmer!A33&amp;IF(Schedule_Farmer!E33&lt;&gt;Schedule_Farmer!D33,"  (- "&amp;TEXT(Schedule_Farmer!E33,"dd mmm")&amp;")","")</f>
        <v>পিটানের আগে শেষ সেচ</v>
      </c>
      <c r="H10" s="46" t="n">
        <f aca="false">IF(Schedule_Farmer!D33="","",Schedule_Farmer!D33)</f>
        <v>46068</v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289</v>
      </c>
      <c r="B11" s="21" t="str">
        <f aca="false">Schedule_Farmer!A11&amp;IF(Schedule_Farmer!E11&lt;&gt;Schedule_Farmer!D11,"  (- "&amp;TEXT(Schedule_Farmer!E11,"dd mmm")&amp;")","")</f>
        <v>পিটান (প্রচলিত মধ্য-মৌসুম পানি শুকানো)  (- 22 Feb)</v>
      </c>
      <c r="C11" s="46" t="n">
        <f aca="false">IF(Schedule_Farmer!D11="","",Schedule_Farmer!D11)</f>
        <v>46072</v>
      </c>
      <c r="D11" s="46" t="str">
        <f aca="false">IF(Schedule_Farmer!F11="","",Schedule_Farmer!F11)</f>
        <v/>
      </c>
      <c r="F11" s="45" t="s">
        <v>289</v>
      </c>
      <c r="G11" s="21" t="str">
        <f aca="false">Schedule_Farmer!A34&amp;IF(Schedule_Farmer!E34&lt;&gt;Schedule_Farmer!D34,"  (- "&amp;TEXT(Schedule_Farmer!E34,"dd mmm")&amp;")","")</f>
        <v>পিটান (FP)  (- 27 Feb)</v>
      </c>
      <c r="H11" s="46" t="n">
        <f aca="false">IF(Schedule_Farmer!D34="","",Schedule_Farmer!D34)</f>
        <v>46072</v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290</v>
      </c>
      <c r="B12" s="21" t="str">
        <f aca="false">Schedule_Farmer!A12&amp;IF(Schedule_Farmer!E12&lt;&gt;Schedule_Farmer!D12,"  (- "&amp;TEXT(Schedule_Farmer!E12,"dd mmm")&amp;")","")</f>
        <v>এমডি শুরুর আগে শেষ সেচ</v>
      </c>
      <c r="C12" s="46" t="n">
        <f aca="false">IF(Schedule_Farmer!D12="","",Schedule_Farmer!D12)</f>
        <v>46069</v>
      </c>
      <c r="D12" s="46" t="str">
        <f aca="false">IF(Schedule_Farmer!F12="","",Schedule_Farmer!F12)</f>
        <v/>
      </c>
      <c r="F12" s="45" t="s">
        <v>290</v>
      </c>
      <c r="G12" s="21" t="str">
        <f aca="false">Schedule_Farmer!A35&amp;IF(Schedule_Farmer!E35&lt;&gt;Schedule_Farmer!D35,"  (- "&amp;TEXT(Schedule_Farmer!E35,"dd mmm")&amp;")","")</f>
        <v>পিটানের পরে প্লাবন</v>
      </c>
      <c r="H12" s="46" t="n">
        <f aca="false">IF(Schedule_Farmer!D35="","",Schedule_Farmer!D35)</f>
        <v>46080</v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291</v>
      </c>
      <c r="B13" s="21" t="str">
        <f aca="false">Schedule_Farmer!A13&amp;IF(Schedule_Farmer!E13&lt;&gt;Schedule_Farmer!D13,"  (- "&amp;TEXT(Schedule_Farmer!E13,"dd mmm")&amp;")","")</f>
        <v>মধ্য-মৌসুম পানি শুকানো (এমডি; শুরু = উপরের পানি শেষ)  (- 28 Feb)</v>
      </c>
      <c r="C13" s="46" t="n">
        <f aca="false">IF(Schedule_Farmer!D13="","",Schedule_Farmer!D13)</f>
        <v>46073</v>
      </c>
      <c r="D13" s="46" t="str">
        <f aca="false">IF(Schedule_Farmer!F13="","",Schedule_Farmer!F13)</f>
        <v/>
      </c>
      <c r="F13" s="45" t="s">
        <v>291</v>
      </c>
      <c r="G13" s="21" t="str">
        <f aca="false">Schedule_Farmer!A36&amp;IF(Schedule_Farmer!E36&lt;&gt;Schedule_Farmer!D36,"  (- "&amp;TEXT(Schedule_Farmer!E36,"dd mmm")&amp;")","")</f>
        <v>শীষ বের হওয়া</v>
      </c>
      <c r="H13" s="46" t="n">
        <f aca="false">IF(Schedule_Farmer!D36="","",Schedule_Farmer!D36)</f>
        <v>46118</v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292</v>
      </c>
      <c r="B14" s="21" t="str">
        <f aca="false">Schedule_Farmer!A14&amp;IF(Schedule_Farmer!E14&lt;&gt;Schedule_Farmer!D14,"  (- "&amp;TEXT(Schedule_Farmer!E14,"dd mmm")&amp;")","")</f>
        <v>শীষ গঠন পরীক্ষা (পিআই পরীক্ষা)</v>
      </c>
      <c r="C14" s="46" t="n">
        <f aca="false">IF(Schedule_Farmer!D14="","",Schedule_Farmer!D14)</f>
        <v>46079</v>
      </c>
      <c r="D14" s="46" t="str">
        <f aca="false">IF(Schedule_Farmer!F14="","",Schedule_Farmer!F14)</f>
        <v/>
      </c>
      <c r="F14" s="45" t="s">
        <v>292</v>
      </c>
      <c r="G14" s="21" t="str">
        <f aca="false">Schedule_Farmer!A37&amp;IF(Schedule_Farmer!E37&lt;&gt;Schedule_Farmer!D37,"  (- "&amp;TEXT(Schedule_Farmer!E37,"dd mmm")&amp;")","")</f>
        <v>শেষ সেচ</v>
      </c>
      <c r="H14" s="46" t="n">
        <f aca="false">IF(Schedule_Farmer!D37="","",Schedule_Farmer!D37)</f>
        <v>46131</v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293</v>
      </c>
      <c r="B15" s="21" t="str">
        <f aca="false">Schedule_Farmer!A15&amp;IF(Schedule_Farmer!E15&lt;&gt;Schedule_Farmer!D15,"  (- "&amp;TEXT(Schedule_Farmer!E15,"dd mmm")&amp;")","")</f>
        <v>প্লাবন (শীষ গঠন)  (- 16 Mar)</v>
      </c>
      <c r="C15" s="46" t="n">
        <f aca="false">IF(Schedule_Farmer!D15="","",Schedule_Farmer!D15)</f>
        <v>46093</v>
      </c>
      <c r="D15" s="46" t="str">
        <f aca="false">IF(Schedule_Farmer!F15="","",Schedule_Farmer!F15)</f>
        <v/>
      </c>
      <c r="F15" s="45" t="s">
        <v>293</v>
      </c>
      <c r="G15" s="21" t="str">
        <f aca="false">Schedule_Farmer!A38&amp;IF(Schedule_Farmer!E38&lt;&gt;Schedule_Farmer!D38,"  (- "&amp;TEXT(Schedule_Farmer!E38,"dd mmm")&amp;")","")</f>
        <v>ধান কাটা</v>
      </c>
      <c r="H15" s="46" t="n">
        <f aca="false">IF(Schedule_Farmer!D38="","",Schedule_Farmer!D38)</f>
        <v>46146</v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294</v>
      </c>
      <c r="B16" s="21" t="str">
        <f aca="false">Schedule_Farmer!A16&amp;IF(Schedule_Farmer!E16&lt;&gt;Schedule_Farmer!D16,"  (- "&amp;TEXT(Schedule_Farmer!E16,"dd mmm")&amp;")","")</f>
        <v>3F4D-1  (- 23 Mar)</v>
      </c>
      <c r="C16" s="46" t="n">
        <f aca="false">IF(Schedule_Farmer!D16="","",Schedule_Farmer!D16)</f>
        <v>46097</v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295</v>
      </c>
      <c r="B17" s="21" t="str">
        <f aca="false">Schedule_Farmer!A17&amp;IF(Schedule_Farmer!E17&lt;&gt;Schedule_Farmer!D17,"  (- "&amp;TEXT(Schedule_Farmer!E17,"dd mmm")&amp;")","")</f>
        <v>3F4D-2  (- 30 Mar)</v>
      </c>
      <c r="C17" s="46" t="n">
        <f aca="false">IF(Schedule_Farmer!D17="","",Schedule_Farmer!D17)</f>
        <v>46104</v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296</v>
      </c>
      <c r="B18" s="21" t="str">
        <f aca="false">Schedule_Farmer!A18&amp;IF(Schedule_Farmer!E18&lt;&gt;Schedule_Farmer!D18,"  (- "&amp;TEXT(Schedule_Farmer!E18,"dd mmm")&amp;")","")</f>
        <v>3F4D-3  (- 06 Apr)</v>
      </c>
      <c r="C18" s="46" t="n">
        <f aca="false">IF(Schedule_Farmer!D18="","",Schedule_Farmer!D18)</f>
        <v>46111</v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297</v>
      </c>
      <c r="B19" s="21" t="str">
        <f aca="false">Schedule_Farmer!A19&amp;IF(Schedule_Farmer!E19&lt;&gt;Schedule_Farmer!D19,"  (- "&amp;TEXT(Schedule_Farmer!E19,"dd mmm")&amp;")","")</f>
        <v>শীষ বের হওয়া</v>
      </c>
      <c r="C19" s="46" t="n">
        <f aca="false">IF(Schedule_Farmer!D19="","",Schedule_Farmer!D19)</f>
        <v>46118</v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298</v>
      </c>
      <c r="B20" s="21" t="str">
        <f aca="false">Schedule_Farmer!A20&amp;IF(Schedule_Farmer!E20&lt;&gt;Schedule_Farmer!D20,"  (- "&amp;TEXT(Schedule_Farmer!E20,"dd mmm")&amp;")","")</f>
        <v>3F4D-4  (- 13 Apr)</v>
      </c>
      <c r="C20" s="46" t="n">
        <f aca="false">IF(Schedule_Farmer!D20="","",Schedule_Farmer!D20)</f>
        <v>46118</v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299</v>
      </c>
      <c r="B21" s="21" t="str">
        <f aca="false">Schedule_Farmer!A21&amp;IF(Schedule_Farmer!E21&lt;&gt;Schedule_Farmer!D21,"  (- "&amp;TEXT(Schedule_Farmer!E21,"dd mmm")&amp;")","")</f>
        <v>3F4D-5  (- 20 Apr)</v>
      </c>
      <c r="C21" s="46" t="n">
        <f aca="false">IF(Schedule_Farmer!D21="","",Schedule_Farmer!D21)</f>
        <v>46125</v>
      </c>
      <c r="D21" s="46" t="n">
        <f aca="false">IF(Schedule_Farmer!F21="","",Schedule_Farmer!F21)</f>
        <v>46126</v>
      </c>
    </row>
    <row r="22" customFormat="false" ht="15" hidden="false" customHeight="false" outlineLevel="0" collapsed="false">
      <c r="A22" s="45" t="s">
        <v>300</v>
      </c>
      <c r="B22" s="21" t="str">
        <f aca="false">Schedule_Farmer!A22&amp;IF(Schedule_Farmer!E22&lt;&gt;Schedule_Farmer!D22,"  (- "&amp;TEXT(Schedule_Farmer!E22,"dd mmm")&amp;")","")</f>
        <v>3F4D-6  (- 27 Apr)</v>
      </c>
      <c r="C22" s="46" t="n">
        <f aca="false">IF(Schedule_Farmer!D22="","",Schedule_Farmer!D22)</f>
        <v>46132</v>
      </c>
      <c r="D22" s="46" t="n">
        <f aca="false">IF(Schedule_Farmer!F22="","",Schedule_Farmer!F22)</f>
        <v>46133</v>
      </c>
    </row>
    <row r="23" customFormat="false" ht="15" hidden="false" customHeight="false" outlineLevel="0" collapsed="false">
      <c r="A23" s="45" t="s">
        <v>301</v>
      </c>
      <c r="B23" s="21" t="str">
        <f aca="false">Schedule_Farmer!A23&amp;IF(Schedule_Farmer!E23&lt;&gt;Schedule_Farmer!D23,"  (- "&amp;TEXT(Schedule_Farmer!E23,"dd mmm")&amp;")","")</f>
        <v>3F4D শেষ</v>
      </c>
      <c r="C23" s="46" t="n">
        <f aca="false">IF(Schedule_Farmer!D23="","",Schedule_Farmer!D23)</f>
        <v>46139</v>
      </c>
      <c r="D23" s="46" t="n">
        <f aca="false">IF(Schedule_Farmer!F23="","",Schedule_Farmer!F23)</f>
        <v>46140</v>
      </c>
    </row>
    <row r="24" customFormat="false" ht="15" hidden="false" customHeight="false" outlineLevel="0" collapsed="false">
      <c r="A24" s="45" t="s">
        <v>302</v>
      </c>
      <c r="B24" s="21" t="str">
        <f aca="false">Schedule_Farmer!A24&amp;IF(Schedule_Farmer!E24&lt;&gt;Schedule_Farmer!D24,"  (- "&amp;TEXT(Schedule_Farmer!E24,"dd mmm")&amp;")","")</f>
        <v>শেষ সেচ</v>
      </c>
      <c r="C24" s="46" t="n">
        <f aca="false">IF(Schedule_Farmer!D24="","",Schedule_Farmer!D24)</f>
        <v>46140</v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303</v>
      </c>
      <c r="B25" s="21" t="str">
        <f aca="false">Schedule_Farmer!A25&amp;IF(Schedule_Farmer!E25&lt;&gt;Schedule_Farmer!D25,"  (- "&amp;TEXT(Schedule_Farmer!E25,"dd mmm")&amp;")","")</f>
        <v>ধান কাটা</v>
      </c>
      <c r="C25" s="46" t="n">
        <f aca="false">IF(Schedule_Farmer!D25="","",Schedule_Farmer!D25)</f>
        <v>46146</v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304</v>
      </c>
    </row>
    <row r="29" customFormat="false" ht="15" hidden="false" customHeight="false" outlineLevel="0" collapsed="false">
      <c r="B29" s="24" t="s">
        <v>305</v>
      </c>
      <c r="C29" s="24" t="s">
        <v>120</v>
      </c>
    </row>
    <row r="30" customFormat="false" ht="15" hidden="false" customHeight="false" outlineLevel="0" collapsed="false">
      <c r="B30" s="21" t="s">
        <v>306</v>
      </c>
      <c r="C30" s="46" t="n">
        <f aca="false">IF(ISNUMBER(SowDate),SowDate+50,"")</f>
        <v>46043</v>
      </c>
    </row>
    <row r="31" customFormat="false" ht="15" hidden="false" customHeight="false" outlineLevel="0" collapsed="false">
      <c r="B31" s="21" t="s">
        <v>307</v>
      </c>
      <c r="C31" s="46" t="n">
        <f aca="false">IF(ISNUMBER(SowDate),SowDate+60,"")</f>
        <v>46053</v>
      </c>
    </row>
    <row r="32" customFormat="false" ht="15" hidden="false" customHeight="false" outlineLevel="0" collapsed="false">
      <c r="B32" s="21" t="s">
        <v>308</v>
      </c>
      <c r="C32" s="46" t="n">
        <f aca="false">IF(ISNUMBER(SowDate),SowDate+70,"")</f>
        <v>46063</v>
      </c>
    </row>
    <row r="33" customFormat="false" ht="15" hidden="false" customHeight="false" outlineLevel="0" collapsed="false">
      <c r="B33" s="21" t="s">
        <v>309</v>
      </c>
      <c r="C33" s="46" t="n">
        <f aca="false">IF(ISNUMBER(SowDate),SowDate+80,"")</f>
        <v>46073</v>
      </c>
    </row>
    <row r="34" customFormat="false" ht="15" hidden="false" customHeight="false" outlineLevel="0" collapsed="false">
      <c r="B34" s="21" t="s">
        <v>310</v>
      </c>
      <c r="C34" s="46" t="n">
        <f aca="false">IF(ISNUMBER(SowDate),SowDate+90,"")</f>
        <v>46083</v>
      </c>
    </row>
    <row r="36" customFormat="false" ht="15" hidden="false" customHeight="false" outlineLevel="0" collapsed="false">
      <c r="B36" s="9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10" t="s">
        <v>312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123</v>
      </c>
      <c r="B4" s="48" t="n">
        <f aca="true">IF(ISNUMBER(TransDate),TODAY()-TransDate,"")</f>
        <v>271</v>
      </c>
    </row>
    <row r="5" customFormat="false" ht="15" hidden="false" customHeight="false" outlineLevel="0" collapsed="false">
      <c r="A5" s="10" t="s">
        <v>313</v>
      </c>
      <c r="B5" s="49" t="str">
        <f aca="true">IF(ISNA(MATCH(TODAY(),Data_Farmer!$D$1:$FQ$1,0)),"(আজকের তারিখ 2_Daily_input-এ নেই)",IF(AND(ISNUMBER(INDEX(Data_Farmer!$D$12:$FQ$12,MATCH(TODAY(),Data_Farmer!$D$1:$FQ$1,0))),ISNUMBER(INDEX(Data_Farmer!$D$37:$FQ$37,MATCH(TODAY(),Data_Farmer!$D$1:$FQ$1,0)))),"লেখা হয়েছে","এখনও লেখা হয়নি"))</f>
        <v>(আজকের তারিখ 2_Daily_input-এ নেই)</v>
      </c>
    </row>
    <row r="6" customFormat="false" ht="15" hidden="false" customHeight="false" outlineLevel="0" collapsed="false">
      <c r="A6" s="10" t="s">
        <v>314</v>
      </c>
      <c r="B6" s="14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10" t="s">
        <v>315</v>
      </c>
      <c r="B7" s="48" t="n">
        <f aca="true">IF(B6="","",MAX(0,TODAY()-B6-1))</f>
        <v>176</v>
      </c>
    </row>
    <row r="8" customFormat="false" ht="15" hidden="false" customHeight="false" outlineLevel="0" collapsed="false">
      <c r="A8" s="10" t="s">
        <v>316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317</v>
      </c>
      <c r="C10" s="15" t="s">
        <v>74</v>
      </c>
    </row>
    <row r="11" customFormat="false" ht="15" hidden="false" customHeight="false" outlineLevel="0" collapsed="false">
      <c r="A11" s="10" t="s">
        <v>318</v>
      </c>
      <c r="B11" s="14" t="n">
        <f aca="false">IF(_xlfn.MAXIFS(Data_Farmer!$D$1:$FQ$1,Data_Farmer!$D$33:$FQ$33,1)=0,"",_xlfn.MAXIFS(Data_Farmer!$D$1:$FQ$1,Data_Farmer!$D$33:$FQ$33,1))</f>
        <v>46136</v>
      </c>
      <c r="C11" s="14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10" t="s">
        <v>319</v>
      </c>
      <c r="B12" s="48" t="n">
        <f aca="false">IF(B11="","",INDEX(Data_Farmer!$D$32:$FQ$32,MATCH(B11,Data_Farmer!$D$1:$FQ$1,0)))</f>
        <v>-15</v>
      </c>
      <c r="C12" s="48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164</v>
      </c>
      <c r="B13" s="48" t="str">
        <f aca="false">IF(B12="","",IF(B12&gt;0,"মাটির উপরে পানি",IF(B12&lt;0,"মাটির নিচে পানি","মাটির সমতলে")))</f>
        <v>মাটির নিচে পানি</v>
      </c>
      <c r="C13" s="48" t="str">
        <f aca="false">IF(C12="","",IF(C12&gt;0,"মাটির উপরে পানি",IF(C12&lt;0,"মাটির নিচে পানি","মাটির সমতলে")))</f>
        <v>মাটির নিচে পানি</v>
      </c>
    </row>
    <row r="14" customFormat="false" ht="15" hidden="false" customHeight="false" outlineLevel="0" collapsed="false">
      <c r="A14" s="10" t="s">
        <v>320</v>
      </c>
      <c r="B14" s="48" t="n">
        <f aca="false">ROUND(SUM(Data_Farmer!$D$21:$FQ$21),0)</f>
        <v>403</v>
      </c>
      <c r="C14" s="48" t="n">
        <f aca="false">ROUND(SUM(Data_Farmer!$D$46:$FQ$46),0)</f>
        <v>304</v>
      </c>
    </row>
    <row r="15" customFormat="false" ht="15" hidden="false" customHeight="false" outlineLevel="0" collapsed="false">
      <c r="A15" s="10" t="s">
        <v>321</v>
      </c>
      <c r="B15" s="48" t="n">
        <f aca="false">COUNT(Data_Farmer!$D$21:$FQ$21)</f>
        <v>21</v>
      </c>
      <c r="C15" s="48" t="n">
        <f aca="false">COUNT(Data_Farmer!$D$46:$FQ$46)</f>
        <v>15</v>
      </c>
    </row>
    <row r="16" customFormat="false" ht="15" hidden="false" customHeight="false" outlineLevel="0" collapsed="false">
      <c r="A16" s="10" t="s">
        <v>322</v>
      </c>
      <c r="B16" s="48" t="str">
        <f aca="false">IF(B14=0,"",B14-C14&amp;" mm")</f>
        <v>99 mm</v>
      </c>
      <c r="C16" s="48" t="str">
        <f aca="false">IF(B14=0,"",ROUND(100*(B14-C14)/B14,0)&amp;" %")</f>
        <v>25 %</v>
      </c>
    </row>
    <row r="17" customFormat="false" ht="15" hidden="false" customHeight="false" outlineLevel="0" collapsed="false">
      <c r="A17" s="10" t="s">
        <v>323</v>
      </c>
      <c r="B17" s="48" t="n">
        <f aca="false">SUM(Data_Farmer!$D$26:$FQ$26)</f>
        <v>420</v>
      </c>
      <c r="C17" s="48" t="n">
        <f aca="false">SUM(Data_Farmer!$D$51:$FQ$51)</f>
        <v>300</v>
      </c>
    </row>
    <row r="18" customFormat="false" ht="15" hidden="false" customHeight="false" outlineLevel="0" collapsed="false">
      <c r="A18" s="10" t="s">
        <v>324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325</v>
      </c>
      <c r="B19" s="48" t="n">
        <f aca="false">Other_info!$B$18</f>
        <v>20.2</v>
      </c>
      <c r="C19" s="48" t="n">
        <f aca="false">Other_info!$B$19</f>
        <v>20.2</v>
      </c>
    </row>
    <row r="20" customFormat="false" ht="15" hidden="false" customHeight="false" outlineLevel="0" collapsed="false">
      <c r="A20" s="10" t="s">
        <v>326</v>
      </c>
      <c r="B20" s="48" t="n">
        <f aca="false">Other_info!$C$18</f>
        <v>2.3</v>
      </c>
      <c r="C20" s="48" t="n">
        <f aca="false">Other_info!$C$19</f>
        <v>2.3</v>
      </c>
    </row>
    <row r="22" customFormat="false" ht="15" hidden="false" customHeight="false" outlineLevel="0" collapsed="false">
      <c r="A22" s="15"/>
      <c r="B22" s="15" t="s">
        <v>327</v>
      </c>
      <c r="C22" s="15" t="s">
        <v>120</v>
      </c>
    </row>
    <row r="23" customFormat="false" ht="15" hidden="false" customHeight="false" outlineLevel="0" collapsed="false">
      <c r="A23" s="10" t="s">
        <v>328</v>
      </c>
      <c r="B23" s="50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1" t="str">
        <f aca="false">IFERROR(INT(SMALL(Schedule_Farmer!$L$5:$L$38,1)),"")</f>
        <v/>
      </c>
      <c r="D23" s="50" t="str">
        <f aca="true">IF(C23="","",IF(C23-TODAY()=0,"আজ",""&amp;(C23-TODAY())&amp;" দিন পরে"))</f>
        <v/>
      </c>
    </row>
    <row r="24" customFormat="false" ht="15" hidden="false" customHeight="false" outlineLevel="0" collapsed="false">
      <c r="A24" s="10" t="s">
        <v>329</v>
      </c>
      <c r="B24" s="50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1" t="str">
        <f aca="false">IFERROR(INT(SMALL(Schedule_Farmer!$L$5:$L$38,2)),"")</f>
        <v/>
      </c>
      <c r="D24" s="50" t="str">
        <f aca="true">IF(C24="","",IF(C24-TODAY()=0,"আজ",""&amp;(C24-TODAY())&amp;" দিন পরে"))</f>
        <v/>
      </c>
    </row>
    <row r="25" customFormat="false" ht="15" hidden="false" customHeight="false" outlineLevel="0" collapsed="false">
      <c r="A25" s="10" t="s">
        <v>330</v>
      </c>
      <c r="B25" s="50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1" t="str">
        <f aca="false">IFERROR(INT(SMALL(Schedule_Farmer!$L$5:$L$38,3)),"")</f>
        <v/>
      </c>
      <c r="D25" s="50" t="str">
        <f aca="true">IF(C25="","",IF(C25-TODAY()=0,"আজ",""&amp;(C25-TODAY())&amp;" দিন পরে"))</f>
        <v/>
      </c>
    </row>
    <row r="26" customFormat="false" ht="15" hidden="false" customHeight="false" outlineLevel="0" collapsed="false">
      <c r="A26" s="10" t="s">
        <v>331</v>
      </c>
      <c r="B26" s="50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1" t="str">
        <f aca="false">IFERROR(INT(SMALL(Schedule_Farmer!$L$5:$L$38,4)),"")</f>
        <v/>
      </c>
      <c r="D26" s="50" t="str">
        <f aca="true">IF(C26="","",IF(C26-TODAY()=0,"আজ",""&amp;(C26-TODAY())&amp;" দিন পরে"))</f>
        <v/>
      </c>
    </row>
    <row r="28" customFormat="false" ht="15" hidden="false" customHeight="false" outlineLevel="0" collapsed="false">
      <c r="A28" s="10" t="s">
        <v>332</v>
      </c>
      <c r="B28" s="48" t="n">
        <f aca="false">COUNTIF(Schedule_Farmer!$H$5:$H$38,"সময় পেরিয়েছে")</f>
        <v>23</v>
      </c>
    </row>
  </sheetData>
  <conditionalFormatting sqref="B5">
    <cfRule type="expression" priority="2" aboveAverage="0" equalAverage="0" bottom="0" percent="0" rank="0" text="" dxfId="5">
      <formula>B5="এখনও লেখা হয়নি"</formula>
    </cfRule>
    <cfRule type="expression" priority="3" aboveAverage="0" equalAverage="0" bottom="0" percent="0" rank="0" text="" dxfId="6">
      <formula>B5="লেখা হয়েছে"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334</v>
      </c>
    </row>
    <row r="2" customFormat="false" ht="15" hidden="false" customHeight="false" outlineLevel="0" collapsed="false">
      <c r="M2" s="52" t="n">
        <f aca="false">IF(ISNUMBER(SowDate),SowDate-3+0,"")</f>
        <v>45990</v>
      </c>
      <c r="N2" s="52" t="n">
        <f aca="false">IF(ISNUMBER(SowDate),SowDate-3+1,"")</f>
        <v>45991</v>
      </c>
      <c r="O2" s="52" t="n">
        <f aca="false">IF(ISNUMBER(SowDate),SowDate-3+2,"")</f>
        <v>45992</v>
      </c>
      <c r="P2" s="52" t="n">
        <f aca="false">IF(ISNUMBER(SowDate),SowDate-3+3,"")</f>
        <v>45993</v>
      </c>
      <c r="Q2" s="52" t="n">
        <f aca="false">IF(ISNUMBER(SowDate),SowDate-3+4,"")</f>
        <v>45994</v>
      </c>
      <c r="R2" s="52" t="n">
        <f aca="false">IF(ISNUMBER(SowDate),SowDate-3+5,"")</f>
        <v>45995</v>
      </c>
      <c r="S2" s="52" t="n">
        <f aca="false">IF(ISNUMBER(SowDate),SowDate-3+6,"")</f>
        <v>45996</v>
      </c>
      <c r="T2" s="52" t="n">
        <f aca="false">IF(ISNUMBER(SowDate),SowDate-3+7,"")</f>
        <v>45997</v>
      </c>
      <c r="U2" s="52" t="n">
        <f aca="false">IF(ISNUMBER(SowDate),SowDate-3+8,"")</f>
        <v>45998</v>
      </c>
      <c r="V2" s="52" t="n">
        <f aca="false">IF(ISNUMBER(SowDate),SowDate-3+9,"")</f>
        <v>45999</v>
      </c>
      <c r="W2" s="52" t="n">
        <f aca="false">IF(ISNUMBER(SowDate),SowDate-3+10,"")</f>
        <v>46000</v>
      </c>
      <c r="X2" s="52" t="n">
        <f aca="false">IF(ISNUMBER(SowDate),SowDate-3+11,"")</f>
        <v>46001</v>
      </c>
      <c r="Y2" s="52" t="n">
        <f aca="false">IF(ISNUMBER(SowDate),SowDate-3+12,"")</f>
        <v>46002</v>
      </c>
      <c r="Z2" s="52" t="n">
        <f aca="false">IF(ISNUMBER(SowDate),SowDate-3+13,"")</f>
        <v>46003</v>
      </c>
      <c r="AA2" s="52" t="n">
        <f aca="false">IF(ISNUMBER(SowDate),SowDate-3+14,"")</f>
        <v>46004</v>
      </c>
      <c r="AB2" s="52" t="n">
        <f aca="false">IF(ISNUMBER(SowDate),SowDate-3+15,"")</f>
        <v>46005</v>
      </c>
      <c r="AC2" s="52" t="n">
        <f aca="false">IF(ISNUMBER(SowDate),SowDate-3+16,"")</f>
        <v>46006</v>
      </c>
      <c r="AD2" s="52" t="n">
        <f aca="false">IF(ISNUMBER(SowDate),SowDate-3+17,"")</f>
        <v>46007</v>
      </c>
      <c r="AE2" s="52" t="n">
        <f aca="false">IF(ISNUMBER(SowDate),SowDate-3+18,"")</f>
        <v>46008</v>
      </c>
      <c r="AF2" s="52" t="n">
        <f aca="false">IF(ISNUMBER(SowDate),SowDate-3+19,"")</f>
        <v>46009</v>
      </c>
      <c r="AG2" s="52" t="n">
        <f aca="false">IF(ISNUMBER(SowDate),SowDate-3+20,"")</f>
        <v>46010</v>
      </c>
      <c r="AH2" s="52" t="n">
        <f aca="false">IF(ISNUMBER(SowDate),SowDate-3+21,"")</f>
        <v>46011</v>
      </c>
      <c r="AI2" s="52" t="n">
        <f aca="false">IF(ISNUMBER(SowDate),SowDate-3+22,"")</f>
        <v>46012</v>
      </c>
      <c r="AJ2" s="52" t="n">
        <f aca="false">IF(ISNUMBER(SowDate),SowDate-3+23,"")</f>
        <v>46013</v>
      </c>
      <c r="AK2" s="52" t="n">
        <f aca="false">IF(ISNUMBER(SowDate),SowDate-3+24,"")</f>
        <v>46014</v>
      </c>
      <c r="AL2" s="52" t="n">
        <f aca="false">IF(ISNUMBER(SowDate),SowDate-3+25,"")</f>
        <v>46015</v>
      </c>
      <c r="AM2" s="52" t="n">
        <f aca="false">IF(ISNUMBER(SowDate),SowDate-3+26,"")</f>
        <v>46016</v>
      </c>
      <c r="AN2" s="52" t="n">
        <f aca="false">IF(ISNUMBER(SowDate),SowDate-3+27,"")</f>
        <v>46017</v>
      </c>
      <c r="AO2" s="52" t="n">
        <f aca="false">IF(ISNUMBER(SowDate),SowDate-3+28,"")</f>
        <v>46018</v>
      </c>
      <c r="AP2" s="52" t="n">
        <f aca="false">IF(ISNUMBER(SowDate),SowDate-3+29,"")</f>
        <v>46019</v>
      </c>
      <c r="AQ2" s="52" t="n">
        <f aca="false">IF(ISNUMBER(SowDate),SowDate-3+30,"")</f>
        <v>46020</v>
      </c>
      <c r="AR2" s="52" t="n">
        <f aca="false">IF(ISNUMBER(SowDate),SowDate-3+31,"")</f>
        <v>46021</v>
      </c>
      <c r="AS2" s="52" t="n">
        <f aca="false">IF(ISNUMBER(SowDate),SowDate-3+32,"")</f>
        <v>46022</v>
      </c>
      <c r="AT2" s="52" t="n">
        <f aca="false">IF(ISNUMBER(SowDate),SowDate-3+33,"")</f>
        <v>46023</v>
      </c>
      <c r="AU2" s="52" t="n">
        <f aca="false">IF(ISNUMBER(SowDate),SowDate-3+34,"")</f>
        <v>46024</v>
      </c>
      <c r="AV2" s="52" t="n">
        <f aca="false">IF(ISNUMBER(SowDate),SowDate-3+35,"")</f>
        <v>46025</v>
      </c>
      <c r="AW2" s="52" t="n">
        <f aca="false">IF(ISNUMBER(SowDate),SowDate-3+36,"")</f>
        <v>46026</v>
      </c>
      <c r="AX2" s="52" t="n">
        <f aca="false">IF(ISNUMBER(SowDate),SowDate-3+37,"")</f>
        <v>46027</v>
      </c>
      <c r="AY2" s="52" t="n">
        <f aca="false">IF(ISNUMBER(SowDate),SowDate-3+38,"")</f>
        <v>46028</v>
      </c>
      <c r="AZ2" s="52" t="n">
        <f aca="false">IF(ISNUMBER(SowDate),SowDate-3+39,"")</f>
        <v>46029</v>
      </c>
      <c r="BA2" s="52" t="n">
        <f aca="false">IF(ISNUMBER(SowDate),SowDate-3+40,"")</f>
        <v>46030</v>
      </c>
      <c r="BB2" s="52" t="n">
        <f aca="false">IF(ISNUMBER(SowDate),SowDate-3+41,"")</f>
        <v>46031</v>
      </c>
      <c r="BC2" s="52" t="n">
        <f aca="false">IF(ISNUMBER(SowDate),SowDate-3+42,"")</f>
        <v>46032</v>
      </c>
      <c r="BD2" s="52" t="n">
        <f aca="false">IF(ISNUMBER(SowDate),SowDate-3+43,"")</f>
        <v>46033</v>
      </c>
      <c r="BE2" s="52" t="n">
        <f aca="false">IF(ISNUMBER(SowDate),SowDate-3+44,"")</f>
        <v>46034</v>
      </c>
      <c r="BF2" s="52" t="n">
        <f aca="false">IF(ISNUMBER(SowDate),SowDate-3+45,"")</f>
        <v>46035</v>
      </c>
      <c r="BG2" s="52" t="n">
        <f aca="false">IF(ISNUMBER(SowDate),SowDate-3+46,"")</f>
        <v>46036</v>
      </c>
      <c r="BH2" s="52" t="n">
        <f aca="false">IF(ISNUMBER(SowDate),SowDate-3+47,"")</f>
        <v>46037</v>
      </c>
      <c r="BI2" s="52" t="n">
        <f aca="false">IF(ISNUMBER(SowDate),SowDate-3+48,"")</f>
        <v>46038</v>
      </c>
      <c r="BJ2" s="52" t="n">
        <f aca="false">IF(ISNUMBER(SowDate),SowDate-3+49,"")</f>
        <v>46039</v>
      </c>
      <c r="BK2" s="52" t="n">
        <f aca="false">IF(ISNUMBER(SowDate),SowDate-3+50,"")</f>
        <v>46040</v>
      </c>
      <c r="BL2" s="52" t="n">
        <f aca="false">IF(ISNUMBER(SowDate),SowDate-3+51,"")</f>
        <v>46041</v>
      </c>
      <c r="BM2" s="52" t="n">
        <f aca="false">IF(ISNUMBER(SowDate),SowDate-3+52,"")</f>
        <v>46042</v>
      </c>
      <c r="BN2" s="52" t="n">
        <f aca="false">IF(ISNUMBER(SowDate),SowDate-3+53,"")</f>
        <v>46043</v>
      </c>
      <c r="BO2" s="52" t="n">
        <f aca="false">IF(ISNUMBER(SowDate),SowDate-3+54,"")</f>
        <v>46044</v>
      </c>
      <c r="BP2" s="52" t="n">
        <f aca="false">IF(ISNUMBER(SowDate),SowDate-3+55,"")</f>
        <v>46045</v>
      </c>
      <c r="BQ2" s="52" t="n">
        <f aca="false">IF(ISNUMBER(SowDate),SowDate-3+56,"")</f>
        <v>46046</v>
      </c>
      <c r="BR2" s="52" t="n">
        <f aca="false">IF(ISNUMBER(SowDate),SowDate-3+57,"")</f>
        <v>46047</v>
      </c>
      <c r="BS2" s="52" t="n">
        <f aca="false">IF(ISNUMBER(SowDate),SowDate-3+58,"")</f>
        <v>46048</v>
      </c>
      <c r="BT2" s="52" t="n">
        <f aca="false">IF(ISNUMBER(SowDate),SowDate-3+59,"")</f>
        <v>46049</v>
      </c>
      <c r="BU2" s="52" t="n">
        <f aca="false">IF(ISNUMBER(SowDate),SowDate-3+60,"")</f>
        <v>46050</v>
      </c>
      <c r="BV2" s="52" t="n">
        <f aca="false">IF(ISNUMBER(SowDate),SowDate-3+61,"")</f>
        <v>46051</v>
      </c>
      <c r="BW2" s="52" t="n">
        <f aca="false">IF(ISNUMBER(SowDate),SowDate-3+62,"")</f>
        <v>46052</v>
      </c>
      <c r="BX2" s="52" t="n">
        <f aca="false">IF(ISNUMBER(SowDate),SowDate-3+63,"")</f>
        <v>46053</v>
      </c>
      <c r="BY2" s="52" t="n">
        <f aca="false">IF(ISNUMBER(SowDate),SowDate-3+64,"")</f>
        <v>46054</v>
      </c>
      <c r="BZ2" s="52" t="n">
        <f aca="false">IF(ISNUMBER(SowDate),SowDate-3+65,"")</f>
        <v>46055</v>
      </c>
      <c r="CA2" s="52" t="n">
        <f aca="false">IF(ISNUMBER(SowDate),SowDate-3+66,"")</f>
        <v>46056</v>
      </c>
      <c r="CB2" s="52" t="n">
        <f aca="false">IF(ISNUMBER(SowDate),SowDate-3+67,"")</f>
        <v>46057</v>
      </c>
      <c r="CC2" s="52" t="n">
        <f aca="false">IF(ISNUMBER(SowDate),SowDate-3+68,"")</f>
        <v>46058</v>
      </c>
      <c r="CD2" s="52" t="n">
        <f aca="false">IF(ISNUMBER(SowDate),SowDate-3+69,"")</f>
        <v>46059</v>
      </c>
      <c r="CE2" s="52" t="n">
        <f aca="false">IF(ISNUMBER(SowDate),SowDate-3+70,"")</f>
        <v>46060</v>
      </c>
      <c r="CF2" s="52" t="n">
        <f aca="false">IF(ISNUMBER(SowDate),SowDate-3+71,"")</f>
        <v>46061</v>
      </c>
      <c r="CG2" s="52" t="n">
        <f aca="false">IF(ISNUMBER(SowDate),SowDate-3+72,"")</f>
        <v>46062</v>
      </c>
      <c r="CH2" s="52" t="n">
        <f aca="false">IF(ISNUMBER(SowDate),SowDate-3+73,"")</f>
        <v>46063</v>
      </c>
      <c r="CI2" s="52" t="n">
        <f aca="false">IF(ISNUMBER(SowDate),SowDate-3+74,"")</f>
        <v>46064</v>
      </c>
      <c r="CJ2" s="52" t="n">
        <f aca="false">IF(ISNUMBER(SowDate),SowDate-3+75,"")</f>
        <v>46065</v>
      </c>
      <c r="CK2" s="52" t="n">
        <f aca="false">IF(ISNUMBER(SowDate),SowDate-3+76,"")</f>
        <v>46066</v>
      </c>
      <c r="CL2" s="52" t="n">
        <f aca="false">IF(ISNUMBER(SowDate),SowDate-3+77,"")</f>
        <v>46067</v>
      </c>
      <c r="CM2" s="52" t="n">
        <f aca="false">IF(ISNUMBER(SowDate),SowDate-3+78,"")</f>
        <v>46068</v>
      </c>
      <c r="CN2" s="52" t="n">
        <f aca="false">IF(ISNUMBER(SowDate),SowDate-3+79,"")</f>
        <v>46069</v>
      </c>
      <c r="CO2" s="52" t="n">
        <f aca="false">IF(ISNUMBER(SowDate),SowDate-3+80,"")</f>
        <v>46070</v>
      </c>
      <c r="CP2" s="52" t="n">
        <f aca="false">IF(ISNUMBER(SowDate),SowDate-3+81,"")</f>
        <v>46071</v>
      </c>
      <c r="CQ2" s="52" t="n">
        <f aca="false">IF(ISNUMBER(SowDate),SowDate-3+82,"")</f>
        <v>46072</v>
      </c>
      <c r="CR2" s="52" t="n">
        <f aca="false">IF(ISNUMBER(SowDate),SowDate-3+83,"")</f>
        <v>46073</v>
      </c>
      <c r="CS2" s="52" t="n">
        <f aca="false">IF(ISNUMBER(SowDate),SowDate-3+84,"")</f>
        <v>46074</v>
      </c>
      <c r="CT2" s="52" t="n">
        <f aca="false">IF(ISNUMBER(SowDate),SowDate-3+85,"")</f>
        <v>46075</v>
      </c>
      <c r="CU2" s="52" t="n">
        <f aca="false">IF(ISNUMBER(SowDate),SowDate-3+86,"")</f>
        <v>46076</v>
      </c>
      <c r="CV2" s="52" t="n">
        <f aca="false">IF(ISNUMBER(SowDate),SowDate-3+87,"")</f>
        <v>46077</v>
      </c>
      <c r="CW2" s="52" t="n">
        <f aca="false">IF(ISNUMBER(SowDate),SowDate-3+88,"")</f>
        <v>46078</v>
      </c>
      <c r="CX2" s="52" t="n">
        <f aca="false">IF(ISNUMBER(SowDate),SowDate-3+89,"")</f>
        <v>46079</v>
      </c>
      <c r="CY2" s="52" t="n">
        <f aca="false">IF(ISNUMBER(SowDate),SowDate-3+90,"")</f>
        <v>46080</v>
      </c>
      <c r="CZ2" s="52" t="n">
        <f aca="false">IF(ISNUMBER(SowDate),SowDate-3+91,"")</f>
        <v>46081</v>
      </c>
      <c r="DA2" s="52" t="n">
        <f aca="false">IF(ISNUMBER(SowDate),SowDate-3+92,"")</f>
        <v>46082</v>
      </c>
      <c r="DB2" s="52" t="n">
        <f aca="false">IF(ISNUMBER(SowDate),SowDate-3+93,"")</f>
        <v>46083</v>
      </c>
      <c r="DC2" s="52" t="n">
        <f aca="false">IF(ISNUMBER(SowDate),SowDate-3+94,"")</f>
        <v>46084</v>
      </c>
      <c r="DD2" s="52" t="n">
        <f aca="false">IF(ISNUMBER(SowDate),SowDate-3+95,"")</f>
        <v>46085</v>
      </c>
      <c r="DE2" s="52" t="n">
        <f aca="false">IF(ISNUMBER(SowDate),SowDate-3+96,"")</f>
        <v>46086</v>
      </c>
      <c r="DF2" s="52" t="n">
        <f aca="false">IF(ISNUMBER(SowDate),SowDate-3+97,"")</f>
        <v>46087</v>
      </c>
      <c r="DG2" s="52" t="n">
        <f aca="false">IF(ISNUMBER(SowDate),SowDate-3+98,"")</f>
        <v>46088</v>
      </c>
      <c r="DH2" s="52" t="n">
        <f aca="false">IF(ISNUMBER(SowDate),SowDate-3+99,"")</f>
        <v>46089</v>
      </c>
      <c r="DI2" s="52" t="n">
        <f aca="false">IF(ISNUMBER(SowDate),SowDate-3+100,"")</f>
        <v>46090</v>
      </c>
      <c r="DJ2" s="52" t="n">
        <f aca="false">IF(ISNUMBER(SowDate),SowDate-3+101,"")</f>
        <v>46091</v>
      </c>
      <c r="DK2" s="52" t="n">
        <f aca="false">IF(ISNUMBER(SowDate),SowDate-3+102,"")</f>
        <v>46092</v>
      </c>
      <c r="DL2" s="52" t="n">
        <f aca="false">IF(ISNUMBER(SowDate),SowDate-3+103,"")</f>
        <v>46093</v>
      </c>
      <c r="DM2" s="52" t="n">
        <f aca="false">IF(ISNUMBER(SowDate),SowDate-3+104,"")</f>
        <v>46094</v>
      </c>
      <c r="DN2" s="52" t="n">
        <f aca="false">IF(ISNUMBER(SowDate),SowDate-3+105,"")</f>
        <v>46095</v>
      </c>
      <c r="DO2" s="52" t="n">
        <f aca="false">IF(ISNUMBER(SowDate),SowDate-3+106,"")</f>
        <v>46096</v>
      </c>
      <c r="DP2" s="52" t="n">
        <f aca="false">IF(ISNUMBER(SowDate),SowDate-3+107,"")</f>
        <v>46097</v>
      </c>
      <c r="DQ2" s="52" t="n">
        <f aca="false">IF(ISNUMBER(SowDate),SowDate-3+108,"")</f>
        <v>46098</v>
      </c>
      <c r="DR2" s="52" t="n">
        <f aca="false">IF(ISNUMBER(SowDate),SowDate-3+109,"")</f>
        <v>46099</v>
      </c>
      <c r="DS2" s="52" t="n">
        <f aca="false">IF(ISNUMBER(SowDate),SowDate-3+110,"")</f>
        <v>46100</v>
      </c>
      <c r="DT2" s="52" t="n">
        <f aca="false">IF(ISNUMBER(SowDate),SowDate-3+111,"")</f>
        <v>46101</v>
      </c>
      <c r="DU2" s="52" t="n">
        <f aca="false">IF(ISNUMBER(SowDate),SowDate-3+112,"")</f>
        <v>46102</v>
      </c>
      <c r="DV2" s="52" t="n">
        <f aca="false">IF(ISNUMBER(SowDate),SowDate-3+113,"")</f>
        <v>46103</v>
      </c>
      <c r="DW2" s="52" t="n">
        <f aca="false">IF(ISNUMBER(SowDate),SowDate-3+114,"")</f>
        <v>46104</v>
      </c>
      <c r="DX2" s="52" t="n">
        <f aca="false">IF(ISNUMBER(SowDate),SowDate-3+115,"")</f>
        <v>46105</v>
      </c>
      <c r="DY2" s="52" t="n">
        <f aca="false">IF(ISNUMBER(SowDate),SowDate-3+116,"")</f>
        <v>46106</v>
      </c>
      <c r="DZ2" s="52" t="n">
        <f aca="false">IF(ISNUMBER(SowDate),SowDate-3+117,"")</f>
        <v>46107</v>
      </c>
      <c r="EA2" s="52" t="n">
        <f aca="false">IF(ISNUMBER(SowDate),SowDate-3+118,"")</f>
        <v>46108</v>
      </c>
      <c r="EB2" s="52" t="n">
        <f aca="false">IF(ISNUMBER(SowDate),SowDate-3+119,"")</f>
        <v>46109</v>
      </c>
      <c r="EC2" s="52" t="n">
        <f aca="false">IF(ISNUMBER(SowDate),SowDate-3+120,"")</f>
        <v>46110</v>
      </c>
      <c r="ED2" s="52" t="n">
        <f aca="false">IF(ISNUMBER(SowDate),SowDate-3+121,"")</f>
        <v>46111</v>
      </c>
      <c r="EE2" s="52" t="n">
        <f aca="false">IF(ISNUMBER(SowDate),SowDate-3+122,"")</f>
        <v>46112</v>
      </c>
      <c r="EF2" s="52" t="n">
        <f aca="false">IF(ISNUMBER(SowDate),SowDate-3+123,"")</f>
        <v>46113</v>
      </c>
      <c r="EG2" s="52" t="n">
        <f aca="false">IF(ISNUMBER(SowDate),SowDate-3+124,"")</f>
        <v>46114</v>
      </c>
      <c r="EH2" s="52" t="n">
        <f aca="false">IF(ISNUMBER(SowDate),SowDate-3+125,"")</f>
        <v>46115</v>
      </c>
      <c r="EI2" s="52" t="n">
        <f aca="false">IF(ISNUMBER(SowDate),SowDate-3+126,"")</f>
        <v>46116</v>
      </c>
      <c r="EJ2" s="52" t="n">
        <f aca="false">IF(ISNUMBER(SowDate),SowDate-3+127,"")</f>
        <v>46117</v>
      </c>
      <c r="EK2" s="52" t="n">
        <f aca="false">IF(ISNUMBER(SowDate),SowDate-3+128,"")</f>
        <v>46118</v>
      </c>
      <c r="EL2" s="52" t="n">
        <f aca="false">IF(ISNUMBER(SowDate),SowDate-3+129,"")</f>
        <v>46119</v>
      </c>
      <c r="EM2" s="52" t="n">
        <f aca="false">IF(ISNUMBER(SowDate),SowDate-3+130,"")</f>
        <v>46120</v>
      </c>
      <c r="EN2" s="52" t="n">
        <f aca="false">IF(ISNUMBER(SowDate),SowDate-3+131,"")</f>
        <v>46121</v>
      </c>
      <c r="EO2" s="52" t="n">
        <f aca="false">IF(ISNUMBER(SowDate),SowDate-3+132,"")</f>
        <v>46122</v>
      </c>
      <c r="EP2" s="52" t="n">
        <f aca="false">IF(ISNUMBER(SowDate),SowDate-3+133,"")</f>
        <v>46123</v>
      </c>
      <c r="EQ2" s="52" t="n">
        <f aca="false">IF(ISNUMBER(SowDate),SowDate-3+134,"")</f>
        <v>46124</v>
      </c>
      <c r="ER2" s="52" t="n">
        <f aca="false">IF(ISNUMBER(SowDate),SowDate-3+135,"")</f>
        <v>46125</v>
      </c>
      <c r="ES2" s="52" t="n">
        <f aca="false">IF(ISNUMBER(SowDate),SowDate-3+136,"")</f>
        <v>46126</v>
      </c>
      <c r="ET2" s="52" t="n">
        <f aca="false">IF(ISNUMBER(SowDate),SowDate-3+137,"")</f>
        <v>46127</v>
      </c>
      <c r="EU2" s="52" t="n">
        <f aca="false">IF(ISNUMBER(SowDate),SowDate-3+138,"")</f>
        <v>46128</v>
      </c>
      <c r="EV2" s="52" t="n">
        <f aca="false">IF(ISNUMBER(SowDate),SowDate-3+139,"")</f>
        <v>46129</v>
      </c>
      <c r="EW2" s="52" t="n">
        <f aca="false">IF(ISNUMBER(SowDate),SowDate-3+140,"")</f>
        <v>46130</v>
      </c>
      <c r="EX2" s="52" t="n">
        <f aca="false">IF(ISNUMBER(SowDate),SowDate-3+141,"")</f>
        <v>46131</v>
      </c>
      <c r="EY2" s="52" t="n">
        <f aca="false">IF(ISNUMBER(SowDate),SowDate-3+142,"")</f>
        <v>46132</v>
      </c>
      <c r="EZ2" s="52" t="n">
        <f aca="false">IF(ISNUMBER(SowDate),SowDate-3+143,"")</f>
        <v>46133</v>
      </c>
      <c r="FA2" s="52" t="n">
        <f aca="false">IF(ISNUMBER(SowDate),SowDate-3+144,"")</f>
        <v>46134</v>
      </c>
      <c r="FB2" s="52" t="n">
        <f aca="false">IF(ISNUMBER(SowDate),SowDate-3+145,"")</f>
        <v>46135</v>
      </c>
      <c r="FC2" s="52" t="n">
        <f aca="false">IF(ISNUMBER(SowDate),SowDate-3+146,"")</f>
        <v>46136</v>
      </c>
      <c r="FD2" s="52" t="n">
        <f aca="false">IF(ISNUMBER(SowDate),SowDate-3+147,"")</f>
        <v>46137</v>
      </c>
      <c r="FE2" s="52" t="n">
        <f aca="false">IF(ISNUMBER(SowDate),SowDate-3+148,"")</f>
        <v>46138</v>
      </c>
      <c r="FF2" s="52" t="n">
        <f aca="false">IF(ISNUMBER(SowDate),SowDate-3+149,"")</f>
        <v>46139</v>
      </c>
      <c r="FG2" s="52" t="n">
        <f aca="false">IF(ISNUMBER(SowDate),SowDate-3+150,"")</f>
        <v>46140</v>
      </c>
      <c r="FH2" s="52" t="n">
        <f aca="false">IF(ISNUMBER(SowDate),SowDate-3+151,"")</f>
        <v>46141</v>
      </c>
      <c r="FI2" s="52" t="n">
        <f aca="false">IF(ISNUMBER(SowDate),SowDate-3+152,"")</f>
        <v>46142</v>
      </c>
      <c r="FJ2" s="52" t="n">
        <f aca="false">IF(ISNUMBER(SowDate),SowDate-3+153,"")</f>
        <v>46143</v>
      </c>
      <c r="FK2" s="52" t="n">
        <f aca="false">IF(ISNUMBER(SowDate),SowDate-3+154,"")</f>
        <v>46144</v>
      </c>
      <c r="FL2" s="52" t="n">
        <f aca="false">IF(ISNUMBER(SowDate),SowDate-3+155,"")</f>
        <v>46145</v>
      </c>
      <c r="FM2" s="52" t="n">
        <f aca="false">IF(ISNUMBER(SowDate),SowDate-3+156,"")</f>
        <v>46146</v>
      </c>
      <c r="FN2" s="52" t="n">
        <f aca="false">IF(ISNUMBER(SowDate),SowDate-3+157,"")</f>
        <v>46147</v>
      </c>
      <c r="FO2" s="52" t="n">
        <f aca="false">IF(ISNUMBER(SowDate),SowDate-3+158,"")</f>
        <v>46148</v>
      </c>
      <c r="FP2" s="52" t="n">
        <f aca="false">IF(ISNUMBER(SowDate),SowDate-3+159,"")</f>
        <v>46149</v>
      </c>
      <c r="FQ2" s="52" t="n">
        <f aca="false">IF(ISNUMBER(SowDate),SowDate-3+160,"")</f>
        <v>46150</v>
      </c>
      <c r="FR2" s="52" t="n">
        <f aca="false">IF(ISNUMBER(SowDate),SowDate-3+161,"")</f>
        <v>46151</v>
      </c>
      <c r="FS2" s="52" t="n">
        <f aca="false">IF(ISNUMBER(SowDate),SowDate-3+162,"")</f>
        <v>46152</v>
      </c>
      <c r="FT2" s="52" t="n">
        <f aca="false">IF(ISNUMBER(SowDate),SowDate-3+163,"")</f>
        <v>46153</v>
      </c>
      <c r="FU2" s="52" t="n">
        <f aca="false">IF(ISNUMBER(SowDate),SowDate-3+164,"")</f>
        <v>46154</v>
      </c>
      <c r="FV2" s="52" t="n">
        <f aca="false">IF(ISNUMBER(SowDate),SowDate-3+165,"")</f>
        <v>46155</v>
      </c>
      <c r="FW2" s="52" t="n">
        <f aca="false">IF(ISNUMBER(SowDate),SowDate-3+166,"")</f>
        <v>46156</v>
      </c>
      <c r="FX2" s="52" t="n">
        <f aca="false">IF(ISNUMBER(SowDate),SowDate-3+167,"")</f>
        <v>46157</v>
      </c>
      <c r="FY2" s="52" t="n">
        <f aca="false">IF(ISNUMBER(SowDate),SowDate-3+168,"")</f>
        <v>46158</v>
      </c>
      <c r="FZ2" s="52" t="n">
        <f aca="false">IF(ISNUMBER(SowDate),SowDate-3+169,"")</f>
        <v>46159</v>
      </c>
      <c r="GA2" s="52" t="n">
        <f aca="false">IF(ISNUMBER(SowDate),SowDate-3+170,"")</f>
        <v>46160</v>
      </c>
      <c r="GB2" s="52" t="n">
        <f aca="false">IF(ISNUMBER(SowDate),SowDate-3+171,"")</f>
        <v>46161</v>
      </c>
      <c r="GC2" s="52" t="n">
        <f aca="false">IF(ISNUMBER(SowDate),SowDate-3+172,"")</f>
        <v>46162</v>
      </c>
      <c r="GD2" s="52" t="n">
        <f aca="false">IF(ISNUMBER(SowDate),SowDate-3+173,"")</f>
        <v>46163</v>
      </c>
      <c r="GE2" s="52" t="n">
        <f aca="false">IF(ISNUMBER(SowDate),SowDate-3+174,"")</f>
        <v>46164</v>
      </c>
    </row>
    <row r="3" customFormat="false" ht="15" hidden="false" customHeight="false" outlineLevel="0" collapsed="false">
      <c r="A3" s="15" t="s">
        <v>335</v>
      </c>
      <c r="B3" s="15" t="s">
        <v>336</v>
      </c>
      <c r="C3" s="15" t="s">
        <v>63</v>
      </c>
      <c r="D3" s="15" t="s">
        <v>337</v>
      </c>
      <c r="E3" s="15" t="s">
        <v>338</v>
      </c>
      <c r="F3" s="15" t="s">
        <v>339</v>
      </c>
      <c r="G3" s="15" t="s">
        <v>340</v>
      </c>
      <c r="H3" s="15" t="s">
        <v>164</v>
      </c>
      <c r="I3" s="15" t="s">
        <v>341</v>
      </c>
      <c r="J3" s="15" t="s">
        <v>342</v>
      </c>
      <c r="K3" s="15" t="s">
        <v>343</v>
      </c>
      <c r="L3" s="15" t="s">
        <v>344</v>
      </c>
      <c r="M3" s="53" t="str">
        <f aca="false">IF(M2="","",TEXT(M2,"mmm"))</f>
        <v>Nov</v>
      </c>
      <c r="N3" s="53" t="str">
        <f aca="false">IF(N2="","",TEXT(N2,"mmm"))</f>
        <v>Nov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Dec</v>
      </c>
      <c r="AO3" s="53" t="str">
        <f aca="false">IF(AO2="","",TEXT(AO2,"mmm"))</f>
        <v>Dec</v>
      </c>
      <c r="AP3" s="53" t="str">
        <f aca="false">IF(AP2="","",TEXT(AP2,"mmm"))</f>
        <v>Dec</v>
      </c>
      <c r="AQ3" s="53" t="str">
        <f aca="false">IF(AQ2="","",TEXT(AQ2,"mmm"))</f>
        <v>Dec</v>
      </c>
      <c r="AR3" s="53" t="str">
        <f aca="false">IF(AR2="","",TEXT(AR2,"mmm"))</f>
        <v>Dec</v>
      </c>
      <c r="AS3" s="53" t="str">
        <f aca="false">IF(AS2="","",TEXT(AS2,"mmm"))</f>
        <v>Dec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Jan</v>
      </c>
      <c r="BT3" s="53" t="str">
        <f aca="false">IF(BT2="","",TEXT(BT2,"mmm"))</f>
        <v>Jan</v>
      </c>
      <c r="BU3" s="53" t="str">
        <f aca="false">IF(BU2="","",TEXT(BU2,"mmm"))</f>
        <v>Jan</v>
      </c>
      <c r="BV3" s="53" t="str">
        <f aca="false">IF(BV2="","",TEXT(BV2,"mmm"))</f>
        <v>Jan</v>
      </c>
      <c r="BW3" s="53" t="str">
        <f aca="false">IF(BW2="","",TEXT(BW2,"mmm"))</f>
        <v>Jan</v>
      </c>
      <c r="BX3" s="53" t="str">
        <f aca="false">IF(BX2="","",TEXT(BX2,"mmm"))</f>
        <v>Jan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Feb</v>
      </c>
      <c r="CV3" s="53" t="str">
        <f aca="false">IF(CV2="","",TEXT(CV2,"mmm"))</f>
        <v>Feb</v>
      </c>
      <c r="CW3" s="53" t="str">
        <f aca="false">IF(CW2="","",TEXT(CW2,"mmm"))</f>
        <v>Feb</v>
      </c>
      <c r="CX3" s="53" t="str">
        <f aca="false">IF(CX2="","",TEXT(CX2,"mmm"))</f>
        <v>Feb</v>
      </c>
      <c r="CY3" s="53" t="str">
        <f aca="false">IF(CY2="","",TEXT(CY2,"mmm"))</f>
        <v>Feb</v>
      </c>
      <c r="CZ3" s="53" t="str">
        <f aca="false">IF(CZ2="","",TEXT(CZ2,"mmm"))</f>
        <v>Feb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Mar</v>
      </c>
      <c r="EA3" s="53" t="str">
        <f aca="false">IF(EA2="","",TEXT(EA2,"mmm"))</f>
        <v>Mar</v>
      </c>
      <c r="EB3" s="53" t="str">
        <f aca="false">IF(EB2="","",TEXT(EB2,"mmm"))</f>
        <v>Mar</v>
      </c>
      <c r="EC3" s="53" t="str">
        <f aca="false">IF(EC2="","",TEXT(EC2,"mmm"))</f>
        <v>Mar</v>
      </c>
      <c r="ED3" s="53" t="str">
        <f aca="false">IF(ED2="","",TEXT(ED2,"mmm"))</f>
        <v>Mar</v>
      </c>
      <c r="EE3" s="53" t="str">
        <f aca="false">IF(EE2="","",TEXT(EE2,"mmm"))</f>
        <v>Mar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Apr</v>
      </c>
      <c r="FE3" s="53" t="str">
        <f aca="false">IF(FE2="","",TEXT(FE2,"mmm"))</f>
        <v>Apr</v>
      </c>
      <c r="FF3" s="53" t="str">
        <f aca="false">IF(FF2="","",TEXT(FF2,"mmm"))</f>
        <v>Apr</v>
      </c>
      <c r="FG3" s="53" t="str">
        <f aca="false">IF(FG2="","",TEXT(FG2,"mmm"))</f>
        <v>Apr</v>
      </c>
      <c r="FH3" s="53" t="str">
        <f aca="false">IF(FH2="","",TEXT(FH2,"mmm"))</f>
        <v>Apr</v>
      </c>
      <c r="FI3" s="53" t="str">
        <f aca="false">IF(FI2="","",TEXT(FI2,"mmm"))</f>
        <v>Apr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4" t="s">
        <v>345</v>
      </c>
    </row>
    <row r="5" customFormat="false" ht="15" hidden="false" customHeight="false" outlineLevel="0" collapsed="false">
      <c r="A5" s="54" t="s">
        <v>202</v>
      </c>
      <c r="B5" s="21" t="s">
        <v>202</v>
      </c>
      <c r="C5" s="21" t="s">
        <v>74</v>
      </c>
      <c r="D5" s="51" t="n">
        <f aca="false">IF(ISNUMBER(1_Settings!C26),1_Settings!C26,"")</f>
        <v>45990</v>
      </c>
      <c r="E5" s="51" t="n">
        <f aca="false">IF(D5="","",D5)</f>
        <v>45990</v>
      </c>
      <c r="F5" s="51" t="n">
        <f aca="false">IF(_xlfn.MINIFS(2_Daily_input!$D$1:$FQ$1,2_Daily_input!$D$71:$FQ$71,"বীজ ভেজানো")+_xlfn.MINIFS(2_Daily_input!$D$1:$FQ$1,2_Daily_input!$D$72:$FQ$72,"বীজ ভেজানো")=0,"",IF(_xlfn.MINIFS(2_Daily_input!$D$1:$FQ$1,2_Daily_input!$D$71:$FQ$71,"বীজ ভেজানো")=0,_xlfn.MINIFS(2_Daily_input!$D$1:$FQ$1,2_Daily_input!$D$72:$FQ$72,"বীজ ভেজানো"),IF(_xlfn.MINIFS(2_Daily_input!$D$1:$FQ$1,2_Daily_input!$D$72:$FQ$72,"বীজ ভেজানো")=0,_xlfn.MINIFS(2_Daily_input!$D$1:$FQ$1,2_Daily_input!$D$71:$FQ$71,"বীজ ভেজানো"),MIN(_xlfn.MINIFS(2_Daily_input!$D$1:$FQ$1,2_Daily_input!$D$71:$FQ$71,"বীজ ভেজানো"),_xlfn.MINIFS(2_Daily_input!$D$1:$FQ$1,2_Daily_input!$D$72:$FQ$72,"বীজ ভেজানো")))))</f>
        <v>45990</v>
      </c>
      <c r="G5" s="51" t="str">
        <f aca="false">""</f>
        <v/>
      </c>
      <c r="H5" s="50" t="str">
        <f aca="true">IF(D5="","পরিকল্পনা নেই",IF(F5&lt;&gt;"",IF(F5-D5&gt;=2,"দেরি","ঠিক আছে"),IF(TODAY()&gt;D5+2,"সময় পেরিয়েছে","আসন্ন")))</f>
        <v>ঠিক আছে</v>
      </c>
      <c r="I5" s="50" t="n">
        <f aca="false">IF(AND(D5&lt;&gt;"",F5&lt;&gt;""),F5-D5,"")</f>
        <v>0</v>
      </c>
      <c r="J5" s="51" t="n">
        <f aca="false">IF(F5&lt;&gt;"",F5,D5)</f>
        <v>45990</v>
      </c>
      <c r="K5" s="51" t="n">
        <f aca="false">IF(G5&lt;&gt;"",G5,IF(AND(F5&lt;&gt;"",E5=D5),F5,E5))</f>
        <v>45990</v>
      </c>
      <c r="L5" s="50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203</v>
      </c>
      <c r="B6" s="21" t="s">
        <v>346</v>
      </c>
      <c r="C6" s="21" t="s">
        <v>74</v>
      </c>
      <c r="D6" s="51" t="n">
        <f aca="false">IF(ISNUMBER(SowDate),SowDate,"")</f>
        <v>45993</v>
      </c>
      <c r="E6" s="51" t="n">
        <f aca="false">IF(D6="","",D6)</f>
        <v>45993</v>
      </c>
      <c r="F6" s="51" t="n">
        <f aca="false">IF(_xlfn.MINIFS(2_Daily_input!$D$1:$FQ$1,2_Daily_input!$D$71:$FQ$71,"বীজ বপন")+_xlfn.MINIFS(2_Daily_input!$D$1:$FQ$1,2_Daily_input!$D$72:$FQ$72,"বীজ বপন")=0,"",IF(_xlfn.MINIFS(2_Daily_input!$D$1:$FQ$1,2_Daily_input!$D$71:$FQ$71,"বীজ বপন")=0,_xlfn.MINIFS(2_Daily_input!$D$1:$FQ$1,2_Daily_input!$D$72:$FQ$72,"বীজ বপন"),IF(_xlfn.MINIFS(2_Daily_input!$D$1:$FQ$1,2_Daily_input!$D$72:$FQ$72,"বীজ বপন")=0,_xlfn.MINIFS(2_Daily_input!$D$1:$FQ$1,2_Daily_input!$D$71:$FQ$71,"বীজ বপন"),MIN(_xlfn.MINIFS(2_Daily_input!$D$1:$FQ$1,2_Daily_input!$D$71:$FQ$71,"বীজ বপন"),_xlfn.MINIFS(2_Daily_input!$D$1:$FQ$1,2_Daily_input!$D$72:$FQ$72,"বীজ বপন")))))</f>
        <v>45993</v>
      </c>
      <c r="G6" s="51" t="str">
        <f aca="false">""</f>
        <v/>
      </c>
      <c r="H6" s="50" t="str">
        <f aca="true">IF(D6="","পরিকল্পনা নেই",IF(F6&lt;&gt;"",IF(F6-D6&gt;=2,"দেরি","ঠিক আছে"),IF(TODAY()&gt;D6+2,"সময় পেরিয়েছে","আসন্ন")))</f>
        <v>ঠিক আছে</v>
      </c>
      <c r="I6" s="50" t="n">
        <f aca="false">IF(AND(D6&lt;&gt;"",F6&lt;&gt;""),F6-D6,"")</f>
        <v>0</v>
      </c>
      <c r="J6" s="51" t="n">
        <f aca="false">IF(F6&lt;&gt;"",F6,D6)</f>
        <v>45993</v>
      </c>
      <c r="K6" s="51" t="n">
        <f aca="false">IF(G6&lt;&gt;"",G6,IF(AND(F6&lt;&gt;"",E6=D6),F6,E6))</f>
        <v>45993</v>
      </c>
      <c r="L6" s="50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347</v>
      </c>
      <c r="B7" s="21" t="s">
        <v>347</v>
      </c>
      <c r="C7" s="21" t="s">
        <v>74</v>
      </c>
      <c r="D7" s="51" t="n">
        <f aca="false">IF(ISNUMBER(1_Settings!C27),1_Settings!C27,"")</f>
        <v>45999</v>
      </c>
      <c r="E7" s="51" t="n">
        <f aca="false">IF(D7="","",D7)</f>
        <v>45999</v>
      </c>
      <c r="F7" s="51" t="str">
        <f aca="false">IF(_xlfn.MINIFS(2_Daily_input!$D$1:$FQ$1,2_Daily_input!$D$71:$FQ$71,"চাষ")+_xlfn.MINIFS(2_Daily_input!$D$1:$FQ$1,2_Daily_input!$D$72:$FQ$72,"চাষ")=0,"",IF(_xlfn.MINIFS(2_Daily_input!$D$1:$FQ$1,2_Daily_input!$D$71:$FQ$71,"চাষ")=0,_xlfn.MINIFS(2_Daily_input!$D$1:$FQ$1,2_Daily_input!$D$72:$FQ$72,"চাষ"),IF(_xlfn.MINIFS(2_Daily_input!$D$1:$FQ$1,2_Daily_input!$D$72:$FQ$72,"চাষ")=0,_xlfn.MINIFS(2_Daily_input!$D$1:$FQ$1,2_Daily_input!$D$71:$FQ$71,"চাষ"),MIN(_xlfn.MINIFS(2_Daily_input!$D$1:$FQ$1,2_Daily_input!$D$71:$FQ$71,"চাষ"),_xlfn.MINIFS(2_Daily_input!$D$1:$FQ$1,2_Daily_input!$D$72:$FQ$72,"চাষ")))))</f>
        <v/>
      </c>
      <c r="G7" s="51" t="str">
        <f aca="false">""</f>
        <v/>
      </c>
      <c r="H7" s="50" t="str">
        <f aca="true">IF(D7="","পরিকল্পনা নেই",IF(F7&lt;&gt;"",IF(F7-D7&gt;=2,"দেরি","ঠিক আছে"),IF(TODAY()&gt;D7+2,"সময় পেরিয়েছে","আসন্ন")))</f>
        <v>সময় পেরিয়েছে</v>
      </c>
      <c r="I7" s="50" t="str">
        <f aca="false">IF(AND(D7&lt;&gt;"",F7&lt;&gt;""),F7-D7,"")</f>
        <v/>
      </c>
      <c r="J7" s="51" t="n">
        <f aca="false">IF(F7&lt;&gt;"",F7,D7)</f>
        <v>45999</v>
      </c>
      <c r="K7" s="51" t="n">
        <f aca="false">IF(G7&lt;&gt;"",G7,IF(AND(F7&lt;&gt;"",E7=D7),F7,E7))</f>
        <v>45999</v>
      </c>
      <c r="L7" s="50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348</v>
      </c>
      <c r="B8" s="21" t="s">
        <v>348</v>
      </c>
      <c r="C8" s="21" t="s">
        <v>74</v>
      </c>
      <c r="D8" s="51" t="n">
        <f aca="false">IF(ISNUMBER(1_Settings!C28),1_Settings!C28,"")</f>
        <v>46029</v>
      </c>
      <c r="E8" s="51" t="n">
        <f aca="false">IF(D8="","",D8)</f>
        <v>46029</v>
      </c>
      <c r="F8" s="51" t="str">
        <f aca="false">IF(_xlfn.MINIFS(2_Daily_input!$D$1:$FQ$1,2_Daily_input!$D$71:$FQ$71,"কাদা করা")+_xlfn.MINIFS(2_Daily_input!$D$1:$FQ$1,2_Daily_input!$D$72:$FQ$72,"কাদা করা")=0,"",IF(_xlfn.MINIFS(2_Daily_input!$D$1:$FQ$1,2_Daily_input!$D$71:$FQ$71,"কাদা করা")=0,_xlfn.MINIFS(2_Daily_input!$D$1:$FQ$1,2_Daily_input!$D$72:$FQ$72,"কাদা করা"),IF(_xlfn.MINIFS(2_Daily_input!$D$1:$FQ$1,2_Daily_input!$D$72:$FQ$72,"কাদা করা")=0,_xlfn.MINIFS(2_Daily_input!$D$1:$FQ$1,2_Daily_input!$D$71:$FQ$71,"কাদা করা"),MIN(_xlfn.MINIFS(2_Daily_input!$D$1:$FQ$1,2_Daily_input!$D$71:$FQ$71,"কাদা করা"),_xlfn.MINIFS(2_Daily_input!$D$1:$FQ$1,2_Daily_input!$D$72:$FQ$72,"কাদা করা")))))</f>
        <v/>
      </c>
      <c r="G8" s="51" t="str">
        <f aca="false">""</f>
        <v/>
      </c>
      <c r="H8" s="50" t="str">
        <f aca="true">IF(D8="","পরিকল্পনা নেই",IF(F8&lt;&gt;"",IF(F8-D8&gt;=2,"দেরি","ঠিক আছে"),IF(TODAY()&gt;D8+2,"সময় পেরিয়েছে","আসন্ন")))</f>
        <v>সময় পেরিয়েছে</v>
      </c>
      <c r="I8" s="50" t="str">
        <f aca="false">IF(AND(D8&lt;&gt;"",F8&lt;&gt;""),F8-D8,"")</f>
        <v/>
      </c>
      <c r="J8" s="51" t="n">
        <f aca="false">IF(F8&lt;&gt;"",F8,D8)</f>
        <v>46029</v>
      </c>
      <c r="K8" s="51" t="n">
        <f aca="false">IF(G8&lt;&gt;"",G8,IF(AND(F8&lt;&gt;"",E8=D8),F8,E8))</f>
        <v>46029</v>
      </c>
      <c r="L8" s="50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204</v>
      </c>
      <c r="B9" s="21" t="s">
        <v>349</v>
      </c>
      <c r="C9" s="21" t="s">
        <v>74</v>
      </c>
      <c r="D9" s="51" t="n">
        <f aca="false">IF(ISNUMBER(TransDate),TransDate,"")</f>
        <v>46042</v>
      </c>
      <c r="E9" s="51" t="n">
        <f aca="false">IF(D9="","",D9)</f>
        <v>46042</v>
      </c>
      <c r="F9" s="51" t="n">
        <f aca="false">IF(_xlfn.MINIFS(2_Daily_input!$D$1:$FQ$1,2_Daily_input!$D$71:$FQ$71,"চারা রোপণ")+_xlfn.MINIFS(2_Daily_input!$D$1:$FQ$1,2_Daily_input!$D$72:$FQ$72,"চারা রোপণ")=0,"",IF(_xlfn.MINIFS(2_Daily_input!$D$1:$FQ$1,2_Daily_input!$D$71:$FQ$71,"চারা রোপণ")=0,_xlfn.MINIFS(2_Daily_input!$D$1:$FQ$1,2_Daily_input!$D$72:$FQ$72,"চারা রোপণ"),IF(_xlfn.MINIFS(2_Daily_input!$D$1:$FQ$1,2_Daily_input!$D$72:$FQ$72,"চারা রোপণ")=0,_xlfn.MINIFS(2_Daily_input!$D$1:$FQ$1,2_Daily_input!$D$71:$FQ$71,"চারা রোপণ"),MIN(_xlfn.MINIFS(2_Daily_input!$D$1:$FQ$1,2_Daily_input!$D$71:$FQ$71,"চারা রোপণ"),_xlfn.MINIFS(2_Daily_input!$D$1:$FQ$1,2_Daily_input!$D$72:$FQ$72,"চারা রোপণ")))))</f>
        <v>46042</v>
      </c>
      <c r="G9" s="51" t="str">
        <f aca="false">""</f>
        <v/>
      </c>
      <c r="H9" s="50" t="str">
        <f aca="true">IF(D9="","পরিকল্পনা নেই",IF(F9&lt;&gt;"",IF(F9-D9&gt;=2,"দেরি","ঠিক আছে"),IF(TODAY()&gt;D9+2,"সময় পেরিয়েছে","আসন্ন")))</f>
        <v>ঠিক আছে</v>
      </c>
      <c r="I9" s="50" t="n">
        <f aca="false">IF(AND(D9&lt;&gt;"",F9&lt;&gt;""),F9-D9,"")</f>
        <v>0</v>
      </c>
      <c r="J9" s="51" t="n">
        <f aca="false">IF(F9&lt;&gt;"",F9,D9)</f>
        <v>46042</v>
      </c>
      <c r="K9" s="51" t="n">
        <f aca="false">IF(G9&lt;&gt;"",G9,IF(AND(F9&lt;&gt;"",E9=D9),F9,E9))</f>
        <v>46042</v>
      </c>
      <c r="L9" s="50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350</v>
      </c>
      <c r="B10" s="21" t="s">
        <v>350</v>
      </c>
      <c r="C10" s="21" t="s">
        <v>74</v>
      </c>
      <c r="D10" s="51" t="n">
        <f aca="false">IF(Day_0="","",Day_0+cfg_0+cfg_1-cfg_12)</f>
        <v>46068</v>
      </c>
      <c r="E10" s="51" t="n">
        <f aca="false">IF(D10="","",D10)</f>
        <v>46068</v>
      </c>
      <c r="F10" s="51" t="str">
        <f aca="false">IF(_xlfn.MINIFS(2_Daily_input!$D$1:$FQ$1,2_Daily_input!$D$71:$FQ$71,"পিটানের আগে শেষ সেচ")+_xlfn.MINIFS(2_Daily_input!$D$1:$FQ$1,2_Daily_input!$D$72:$FQ$72,"পিটানের আগে শেষ সেচ")=0,"",IF(_xlfn.MINIFS(2_Daily_input!$D$1:$FQ$1,2_Daily_input!$D$71:$FQ$71,"পিটানের আগে শেষ সেচ")=0,_xlfn.MINIFS(2_Daily_input!$D$1:$FQ$1,2_Daily_input!$D$72:$FQ$72,"পিটানের আগে শেষ সেচ"),IF(_xlfn.MINIFS(2_Daily_input!$D$1:$FQ$1,2_Daily_input!$D$72:$FQ$72,"পিটানের আগে শেষ সেচ")=0,_xlfn.MINIFS(2_Daily_input!$D$1:$FQ$1,2_Daily_input!$D$71:$FQ$71,"পিটানের আগে শেষ সেচ"),MIN(_xlfn.MINIFS(2_Daily_input!$D$1:$FQ$1,2_Daily_input!$D$71:$FQ$71,"পিটানের আগে শেষ সেচ"),_xlfn.MINIFS(2_Daily_input!$D$1:$FQ$1,2_Daily_input!$D$72:$FQ$72,"পিটানের আগে শেষ সেচ")))))</f>
        <v/>
      </c>
      <c r="G10" s="51" t="str">
        <f aca="false">""</f>
        <v/>
      </c>
      <c r="H10" s="50" t="str">
        <f aca="true">IF(D10="","পরিকল্পনা নেই",IF(F10&lt;&gt;"",IF(F10-D10&gt;=2,"দেরি","ঠিক আছে"),IF(TODAY()&gt;D10+2,"সময় পেরিয়েছে","আসন্ন")))</f>
        <v>সময় পেরিয়েছে</v>
      </c>
      <c r="I10" s="50" t="str">
        <f aca="false">IF(AND(D10&lt;&gt;"",F10&lt;&gt;""),F10-D10,"")</f>
        <v/>
      </c>
      <c r="J10" s="51" t="n">
        <f aca="false">IF(F10&lt;&gt;"",F10,D10)</f>
        <v>46068</v>
      </c>
      <c r="K10" s="51" t="n">
        <f aca="false">IF(G10&lt;&gt;"",G10,IF(AND(F10&lt;&gt;"",E10=D10),F10,E10))</f>
        <v>46068</v>
      </c>
      <c r="L10" s="50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351</v>
      </c>
      <c r="B11" s="21" t="s">
        <v>352</v>
      </c>
      <c r="C11" s="21" t="s">
        <v>74</v>
      </c>
      <c r="D11" s="51" t="n">
        <f aca="false">IF(Day_0="","",Day_0+cfg_0+cfg_1)</f>
        <v>46072</v>
      </c>
      <c r="E11" s="51" t="n">
        <f aca="false">IF(Day_0="","",Day_0+cfg_0+cfg_1+cfg_2)</f>
        <v>46075</v>
      </c>
      <c r="F11" s="51" t="str">
        <f aca="false">IF(_xlfn.MINIFS(2_Daily_input!$D$1:$FQ$1,2_Daily_input!$D$71:$FQ$71,"পিটান শুরু")+_xlfn.MINIFS(2_Daily_input!$D$1:$FQ$1,2_Daily_input!$D$72:$FQ$72,"পিটান শুরু")=0,"",IF(_xlfn.MINIFS(2_Daily_input!$D$1:$FQ$1,2_Daily_input!$D$71:$FQ$71,"পিটান শুরু")=0,_xlfn.MINIFS(2_Daily_input!$D$1:$FQ$1,2_Daily_input!$D$72:$FQ$72,"পিটান শুরু"),IF(_xlfn.MINIFS(2_Daily_input!$D$1:$FQ$1,2_Daily_input!$D$72:$FQ$72,"পিটান শুরু")=0,_xlfn.MINIFS(2_Daily_input!$D$1:$FQ$1,2_Daily_input!$D$71:$FQ$71,"পিটান শুরু"),MIN(_xlfn.MINIFS(2_Daily_input!$D$1:$FQ$1,2_Daily_input!$D$71:$FQ$71,"পিটান শুরু"),_xlfn.MINIFS(2_Daily_input!$D$1:$FQ$1,2_Daily_input!$D$72:$FQ$72,"পিটান শুরু")))))</f>
        <v/>
      </c>
      <c r="G11" s="51" t="str">
        <f aca="false">IF(_xlfn.MINIFS(2_Daily_input!$D$1:$FQ$1,2_Daily_input!$D$71:$FQ$71,"পিটান শেষ")+_xlfn.MINIFS(2_Daily_input!$D$1:$FQ$1,2_Daily_input!$D$72:$FQ$72,"পিটান শেষ")=0,"",IF(_xlfn.MINIFS(2_Daily_input!$D$1:$FQ$1,2_Daily_input!$D$71:$FQ$71,"পিটান শেষ")=0,_xlfn.MINIFS(2_Daily_input!$D$1:$FQ$1,2_Daily_input!$D$72:$FQ$72,"পিটান শেষ"),IF(_xlfn.MINIFS(2_Daily_input!$D$1:$FQ$1,2_Daily_input!$D$72:$FQ$72,"পিটান শেষ")=0,_xlfn.MINIFS(2_Daily_input!$D$1:$FQ$1,2_Daily_input!$D$71:$FQ$71,"পিটান শেষ"),MIN(_xlfn.MINIFS(2_Daily_input!$D$1:$FQ$1,2_Daily_input!$D$71:$FQ$71,"পিটান শেষ"),_xlfn.MINIFS(2_Daily_input!$D$1:$FQ$1,2_Daily_input!$D$72:$FQ$72,"পিটান শেষ")))))</f>
        <v/>
      </c>
      <c r="H11" s="50" t="str">
        <f aca="true">IF(D11="","পরিকল্পনা নেই",IF(F11&lt;&gt;"",IF(F11-D11&gt;=2,"দেরি","ঠিক আছে"),IF(TODAY()&gt;D11+2,"সময় পেরিয়েছে","আসন্ন")))</f>
        <v>সময় পেরিয়েছে</v>
      </c>
      <c r="I11" s="50" t="str">
        <f aca="false">IF(AND(D11&lt;&gt;"",F11&lt;&gt;""),F11-D11,"")</f>
        <v/>
      </c>
      <c r="J11" s="51" t="n">
        <f aca="false">IF(F11&lt;&gt;"",F11,D11)</f>
        <v>46072</v>
      </c>
      <c r="K11" s="51" t="n">
        <f aca="false">IF(G11&lt;&gt;"",G11,IF(AND(F11&lt;&gt;"",E11=D11),F11,E11))</f>
        <v>46075</v>
      </c>
      <c r="L11" s="50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353</v>
      </c>
      <c r="B12" s="21" t="s">
        <v>354</v>
      </c>
      <c r="C12" s="21" t="s">
        <v>74</v>
      </c>
      <c r="D12" s="51" t="n">
        <f aca="false">IF(Day_0="","",Day_0+cfg_3-cfg_12)</f>
        <v>46069</v>
      </c>
      <c r="E12" s="51" t="n">
        <f aca="false">IF(D12="","",D12)</f>
        <v>46069</v>
      </c>
      <c r="F12" s="51" t="str">
        <f aca="false">IF(_xlfn.MINIFS(2_Daily_input!$D$1:$FQ$1,2_Daily_input!$D$71:$FQ$71,"এমডি শুরুর আগে শেষ সেচ")+_xlfn.MINIFS(2_Daily_input!$D$1:$FQ$1,2_Daily_input!$D$72:$FQ$72,"এমডি শুরুর আগে শেষ সেচ")=0,"",IF(_xlfn.MINIFS(2_Daily_input!$D$1:$FQ$1,2_Daily_input!$D$71:$FQ$71,"এমডি শুরুর আগে শেষ সেচ")=0,_xlfn.MINIFS(2_Daily_input!$D$1:$FQ$1,2_Daily_input!$D$72:$FQ$72,"এমডি শুরুর আগে শেষ সেচ"),IF(_xlfn.MINIFS(2_Daily_input!$D$1:$FQ$1,2_Daily_input!$D$72:$FQ$72,"এমডি শুরুর আগে শেষ সেচ")=0,_xlfn.MINIFS(2_Daily_input!$D$1:$FQ$1,2_Daily_input!$D$71:$FQ$71,"এমডি শুরুর আগে শেষ সেচ"),MIN(_xlfn.MINIFS(2_Daily_input!$D$1:$FQ$1,2_Daily_input!$D$71:$FQ$71,"এমডি শুরুর আগে শেষ সেচ"),_xlfn.MINIFS(2_Daily_input!$D$1:$FQ$1,2_Daily_input!$D$72:$FQ$72,"এমডি শুরুর আগে শেষ সেচ")))))</f>
        <v/>
      </c>
      <c r="G12" s="51" t="str">
        <f aca="false">""</f>
        <v/>
      </c>
      <c r="H12" s="50" t="str">
        <f aca="true">IF(D12="","পরিকল্পনা নেই",IF(F12&lt;&gt;"",IF(F12-D12&gt;=2,"দেরি","ঠিক আছে"),IF(TODAY()&gt;D12+2,"সময় পেরিয়েছে","আসন্ন")))</f>
        <v>সময় পেরিয়েছে</v>
      </c>
      <c r="I12" s="50" t="str">
        <f aca="false">IF(AND(D12&lt;&gt;"",F12&lt;&gt;""),F12-D12,"")</f>
        <v/>
      </c>
      <c r="J12" s="51" t="n">
        <f aca="false">IF(F12&lt;&gt;"",F12,D12)</f>
        <v>46069</v>
      </c>
      <c r="K12" s="51" t="n">
        <f aca="false">IF(G12&lt;&gt;"",G12,IF(AND(F12&lt;&gt;"",E12=D12),F12,E12))</f>
        <v>46069</v>
      </c>
      <c r="L12" s="50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355</v>
      </c>
      <c r="B13" s="21" t="s">
        <v>356</v>
      </c>
      <c r="C13" s="21" t="s">
        <v>74</v>
      </c>
      <c r="D13" s="51" t="n">
        <f aca="false">IF(Day_0="","",Day_0+cfg_3)</f>
        <v>46073</v>
      </c>
      <c r="E13" s="51" t="n">
        <f aca="false">IF(Day_0="","",Day_0+cfg_3+cfg_4)</f>
        <v>46081</v>
      </c>
      <c r="F13" s="51" t="str">
        <f aca="false">IF(_xlfn.MINIFS(2_Daily_input!$D$1:$FQ$1,2_Daily_input!$D$71:$FQ$71,"এমডি শুরু")+_xlfn.MINIFS(2_Daily_input!$D$1:$FQ$1,2_Daily_input!$D$72:$FQ$72,"এমডি শুরু")=0,"",IF(_xlfn.MINIFS(2_Daily_input!$D$1:$FQ$1,2_Daily_input!$D$71:$FQ$71,"এমডি শুরু")=0,_xlfn.MINIFS(2_Daily_input!$D$1:$FQ$1,2_Daily_input!$D$72:$FQ$72,"এমডি শুরু"),IF(_xlfn.MINIFS(2_Daily_input!$D$1:$FQ$1,2_Daily_input!$D$72:$FQ$72,"এমডি শুরু")=0,_xlfn.MINIFS(2_Daily_input!$D$1:$FQ$1,2_Daily_input!$D$71:$FQ$71,"এমডি শুরু"),MIN(_xlfn.MINIFS(2_Daily_input!$D$1:$FQ$1,2_Daily_input!$D$71:$FQ$71,"এমডি শুরু"),_xlfn.MINIFS(2_Daily_input!$D$1:$FQ$1,2_Daily_input!$D$72:$FQ$72,"এমডি শুরু")))))</f>
        <v/>
      </c>
      <c r="G13" s="51" t="str">
        <f aca="false">IF(_xlfn.MINIFS(2_Daily_input!$D$1:$FQ$1,2_Daily_input!$D$71:$FQ$71,"এমডি শেষ")+_xlfn.MINIFS(2_Daily_input!$D$1:$FQ$1,2_Daily_input!$D$72:$FQ$72,"এমডি শেষ")=0,"",IF(_xlfn.MINIFS(2_Daily_input!$D$1:$FQ$1,2_Daily_input!$D$71:$FQ$71,"এমডি শেষ")=0,_xlfn.MINIFS(2_Daily_input!$D$1:$FQ$1,2_Daily_input!$D$72:$FQ$72,"এমডি শেষ"),IF(_xlfn.MINIFS(2_Daily_input!$D$1:$FQ$1,2_Daily_input!$D$72:$FQ$72,"এমডি শেষ")=0,_xlfn.MINIFS(2_Daily_input!$D$1:$FQ$1,2_Daily_input!$D$71:$FQ$71,"এমডি শেষ"),MIN(_xlfn.MINIFS(2_Daily_input!$D$1:$FQ$1,2_Daily_input!$D$71:$FQ$71,"এমডি শেষ"),_xlfn.MINIFS(2_Daily_input!$D$1:$FQ$1,2_Daily_input!$D$72:$FQ$72,"এমডি শেষ")))))</f>
        <v/>
      </c>
      <c r="H13" s="50" t="str">
        <f aca="true">IF(D13="","পরিকল্পনা নেই",IF(F13&lt;&gt;"",IF(F13-D13&gt;=2,"দেরি","ঠিক আছে"),IF(TODAY()&gt;D13+2,"সময় পেরিয়েছে","আসন্ন")))</f>
        <v>সময় পেরিয়েছে</v>
      </c>
      <c r="I13" s="50" t="str">
        <f aca="false">IF(AND(D13&lt;&gt;"",F13&lt;&gt;""),F13-D13,"")</f>
        <v/>
      </c>
      <c r="J13" s="51" t="n">
        <f aca="false">IF(F13&lt;&gt;"",F13,D13)</f>
        <v>46073</v>
      </c>
      <c r="K13" s="51" t="n">
        <f aca="false">IF(G13&lt;&gt;"",G13,IF(AND(F13&lt;&gt;"",E13=D13),F13,E13))</f>
        <v>46081</v>
      </c>
      <c r="L13" s="50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357</v>
      </c>
      <c r="B14" s="21" t="s">
        <v>358</v>
      </c>
      <c r="C14" s="21" t="s">
        <v>74</v>
      </c>
      <c r="D14" s="51" t="n">
        <f aca="false">IF(Day_0="","",Day_0+cfg_3+cfg_5)</f>
        <v>46079</v>
      </c>
      <c r="E14" s="51" t="n">
        <f aca="false">IF(D14="","",D14)</f>
        <v>46079</v>
      </c>
      <c r="F14" s="51" t="str">
        <f aca="false">IF(_xlfn.MINIFS(2_Daily_input!$D$1:$FQ$1,2_Daily_input!$D$71:$FQ$71,"পিআই পরীক্ষা")+_xlfn.MINIFS(2_Daily_input!$D$1:$FQ$1,2_Daily_input!$D$72:$FQ$72,"পিআই পরীক্ষা")=0,"",IF(_xlfn.MINIFS(2_Daily_input!$D$1:$FQ$1,2_Daily_input!$D$71:$FQ$71,"পিআই পরীক্ষা")=0,_xlfn.MINIFS(2_Daily_input!$D$1:$FQ$1,2_Daily_input!$D$72:$FQ$72,"পিআই পরীক্ষা"),IF(_xlfn.MINIFS(2_Daily_input!$D$1:$FQ$1,2_Daily_input!$D$72:$FQ$72,"পিআই পরীক্ষা")=0,_xlfn.MINIFS(2_Daily_input!$D$1:$FQ$1,2_Daily_input!$D$71:$FQ$71,"পিআই পরীক্ষা"),MIN(_xlfn.MINIFS(2_Daily_input!$D$1:$FQ$1,2_Daily_input!$D$71:$FQ$71,"পিআই পরীক্ষা"),_xlfn.MINIFS(2_Daily_input!$D$1:$FQ$1,2_Daily_input!$D$72:$FQ$72,"পিআই পরীক্ষা")))))</f>
        <v/>
      </c>
      <c r="G14" s="51" t="str">
        <f aca="false">""</f>
        <v/>
      </c>
      <c r="H14" s="50" t="str">
        <f aca="true">IF(D14="","পরিকল্পনা নেই",IF(F14&lt;&gt;"",IF(F14-D14&gt;=2,"দেরি","ঠিক আছে"),IF(TODAY()&gt;D14+2,"সময় পেরিয়েছে","আসন্ন")))</f>
        <v>সময় পেরিয়েছে</v>
      </c>
      <c r="I14" s="50" t="str">
        <f aca="false">IF(AND(D14&lt;&gt;"",F14&lt;&gt;""),F14-D14,"")</f>
        <v/>
      </c>
      <c r="J14" s="51" t="n">
        <f aca="false">IF(F14&lt;&gt;"",F14,D14)</f>
        <v>46079</v>
      </c>
      <c r="K14" s="51" t="n">
        <f aca="false">IF(G14&lt;&gt;"",G14,IF(AND(F14&lt;&gt;"",E14=D14),F14,E14))</f>
        <v>46079</v>
      </c>
      <c r="L14" s="50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359</v>
      </c>
      <c r="B15" s="21" t="s">
        <v>360</v>
      </c>
      <c r="C15" s="21" t="s">
        <v>74</v>
      </c>
      <c r="D15" s="51" t="n">
        <f aca="false">IF(Day_0="","",Day_0+cfg_6-cfg_7)</f>
        <v>46093</v>
      </c>
      <c r="E15" s="51" t="n">
        <f aca="false">IF(Day_0="","",Day_0+cfg_6-cfg_8)</f>
        <v>46097</v>
      </c>
      <c r="F15" s="51" t="str">
        <f aca="false">IF(_xlfn.MINIFS(2_Daily_input!$D$1:$FQ$1,2_Daily_input!$D$71:$FQ$71,"প্লাবন শুরু")+_xlfn.MINIFS(2_Daily_input!$D$1:$FQ$1,2_Daily_input!$D$72:$FQ$72,"প্লাবন শুরু")=0,"",IF(_xlfn.MINIFS(2_Daily_input!$D$1:$FQ$1,2_Daily_input!$D$71:$FQ$71,"প্লাবন শুরু")=0,_xlfn.MINIFS(2_Daily_input!$D$1:$FQ$1,2_Daily_input!$D$72:$FQ$72,"প্লাবন শুরু"),IF(_xlfn.MINIFS(2_Daily_input!$D$1:$FQ$1,2_Daily_input!$D$72:$FQ$72,"প্লাবন শুরু")=0,_xlfn.MINIFS(2_Daily_input!$D$1:$FQ$1,2_Daily_input!$D$71:$FQ$71,"প্লাবন শুরু"),MIN(_xlfn.MINIFS(2_Daily_input!$D$1:$FQ$1,2_Daily_input!$D$71:$FQ$71,"প্লাবন শুরু"),_xlfn.MINIFS(2_Daily_input!$D$1:$FQ$1,2_Daily_input!$D$72:$FQ$72,"প্লাবন শুরু")))))</f>
        <v/>
      </c>
      <c r="G15" s="51" t="str">
        <f aca="false">IF(_xlfn.MINIFS(2_Daily_input!$D$1:$FQ$1,2_Daily_input!$D$71:$FQ$71,"প্লাবন শেষ")+_xlfn.MINIFS(2_Daily_input!$D$1:$FQ$1,2_Daily_input!$D$72:$FQ$72,"প্লাবন শেষ")=0,"",IF(_xlfn.MINIFS(2_Daily_input!$D$1:$FQ$1,2_Daily_input!$D$71:$FQ$71,"প্লাবন শেষ")=0,_xlfn.MINIFS(2_Daily_input!$D$1:$FQ$1,2_Daily_input!$D$72:$FQ$72,"প্লাবন শেষ"),IF(_xlfn.MINIFS(2_Daily_input!$D$1:$FQ$1,2_Daily_input!$D$72:$FQ$72,"প্লাবন শেষ")=0,_xlfn.MINIFS(2_Daily_input!$D$1:$FQ$1,2_Daily_input!$D$71:$FQ$71,"প্লাবন শেষ"),MIN(_xlfn.MINIFS(2_Daily_input!$D$1:$FQ$1,2_Daily_input!$D$71:$FQ$71,"প্লাবন শেষ"),_xlfn.MINIFS(2_Daily_input!$D$1:$FQ$1,2_Daily_input!$D$72:$FQ$72,"প্লাবন শেষ")))))</f>
        <v/>
      </c>
      <c r="H15" s="50" t="str">
        <f aca="true">IF(D15="","পরিকল্পনা নেই",IF(F15&lt;&gt;"",IF(F15-D15&gt;=2,"দেরি","ঠিক আছে"),IF(TODAY()&gt;D15+2,"সময় পেরিয়েছে","আসন্ন")))</f>
        <v>সময় পেরিয়েছে</v>
      </c>
      <c r="I15" s="50" t="str">
        <f aca="false">IF(AND(D15&lt;&gt;"",F15&lt;&gt;""),F15-D15,"")</f>
        <v/>
      </c>
      <c r="J15" s="51" t="n">
        <f aca="false">IF(F15&lt;&gt;"",F15,D15)</f>
        <v>46093</v>
      </c>
      <c r="K15" s="51" t="n">
        <f aca="false">IF(G15&lt;&gt;"",G15,IF(AND(F15&lt;&gt;"",E15=D15),F15,E15))</f>
        <v>46097</v>
      </c>
      <c r="L15" s="50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361</v>
      </c>
      <c r="B16" s="21" t="s">
        <v>362</v>
      </c>
      <c r="C16" s="21" t="s">
        <v>74</v>
      </c>
      <c r="D16" s="51" t="n">
        <f aca="false">IF(Day_0="","",Day_0+cfg_6-cfg_8+cfg_13*0)</f>
        <v>46097</v>
      </c>
      <c r="E16" s="51" t="n">
        <f aca="false">IF(Day_0="","",Day_0+cfg_6-cfg_8+cfg_13*1)</f>
        <v>46104</v>
      </c>
      <c r="F16" s="51" t="str">
        <f aca="false">IF(_xlfn.MINIFS(2_Daily_input!$D$1:$FQ$1,2_Daily_input!$D$71:$FQ$71,"3F4D-1 শুরু")+_xlfn.MINIFS(2_Daily_input!$D$1:$FQ$1,2_Daily_input!$D$72:$FQ$72,"3F4D-1 শুরু")=0,"",IF(_xlfn.MINIFS(2_Daily_input!$D$1:$FQ$1,2_Daily_input!$D$71:$FQ$71,"3F4D-1 শুরু")=0,_xlfn.MINIFS(2_Daily_input!$D$1:$FQ$1,2_Daily_input!$D$72:$FQ$72,"3F4D-1 শুরু"),IF(_xlfn.MINIFS(2_Daily_input!$D$1:$FQ$1,2_Daily_input!$D$72:$FQ$72,"3F4D-1 শুরু")=0,_xlfn.MINIFS(2_Daily_input!$D$1:$FQ$1,2_Daily_input!$D$71:$FQ$71,"3F4D-1 শুরু"),MIN(_xlfn.MINIFS(2_Daily_input!$D$1:$FQ$1,2_Daily_input!$D$71:$FQ$71,"3F4D-1 শুরু"),_xlfn.MINIFS(2_Daily_input!$D$1:$FQ$1,2_Daily_input!$D$72:$FQ$72,"3F4D-1 শুরু")))))</f>
        <v/>
      </c>
      <c r="G16" s="51" t="str">
        <f aca="false">""</f>
        <v/>
      </c>
      <c r="H16" s="50" t="str">
        <f aca="true">IF(D16="","পরিকল্পনা নেই",IF(F16&lt;&gt;"",IF(F16-D16&gt;=2,"দেরি","ঠিক আছে"),IF(TODAY()&gt;D16+2,"সময় পেরিয়েছে","আসন্ন")))</f>
        <v>সময় পেরিয়েছে</v>
      </c>
      <c r="I16" s="50" t="str">
        <f aca="false">IF(AND(D16&lt;&gt;"",F16&lt;&gt;""),F16-D16,"")</f>
        <v/>
      </c>
      <c r="J16" s="51" t="n">
        <f aca="false">IF(F16&lt;&gt;"",F16,D16)</f>
        <v>46097</v>
      </c>
      <c r="K16" s="51" t="n">
        <f aca="false">IF(G16&lt;&gt;"",G16,IF(AND(F16&lt;&gt;"",E16=D16),F16,E16))</f>
        <v>46104</v>
      </c>
      <c r="L16" s="50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363</v>
      </c>
      <c r="B17" s="21" t="s">
        <v>364</v>
      </c>
      <c r="C17" s="21" t="s">
        <v>74</v>
      </c>
      <c r="D17" s="51" t="n">
        <f aca="false">IF(Day_0="","",Day_0+cfg_6-cfg_8+cfg_13*1)</f>
        <v>46104</v>
      </c>
      <c r="E17" s="51" t="n">
        <f aca="false">IF(Day_0="","",Day_0+cfg_6-cfg_8+cfg_13*2)</f>
        <v>46111</v>
      </c>
      <c r="F17" s="51" t="str">
        <f aca="false">IF(_xlfn.MINIFS(2_Daily_input!$D$1:$FQ$1,2_Daily_input!$D$71:$FQ$71,"3F4D-2 শুরু")+_xlfn.MINIFS(2_Daily_input!$D$1:$FQ$1,2_Daily_input!$D$72:$FQ$72,"3F4D-2 শুরু")=0,"",IF(_xlfn.MINIFS(2_Daily_input!$D$1:$FQ$1,2_Daily_input!$D$71:$FQ$71,"3F4D-2 শুরু")=0,_xlfn.MINIFS(2_Daily_input!$D$1:$FQ$1,2_Daily_input!$D$72:$FQ$72,"3F4D-2 শুরু"),IF(_xlfn.MINIFS(2_Daily_input!$D$1:$FQ$1,2_Daily_input!$D$72:$FQ$72,"3F4D-2 শুরু")=0,_xlfn.MINIFS(2_Daily_input!$D$1:$FQ$1,2_Daily_input!$D$71:$FQ$71,"3F4D-2 শুরু"),MIN(_xlfn.MINIFS(2_Daily_input!$D$1:$FQ$1,2_Daily_input!$D$71:$FQ$71,"3F4D-2 শুরু"),_xlfn.MINIFS(2_Daily_input!$D$1:$FQ$1,2_Daily_input!$D$72:$FQ$72,"3F4D-2 শুরু")))))</f>
        <v/>
      </c>
      <c r="G17" s="51" t="str">
        <f aca="false">""</f>
        <v/>
      </c>
      <c r="H17" s="50" t="str">
        <f aca="true">IF(D17="","পরিকল্পনা নেই",IF(F17&lt;&gt;"",IF(F17-D17&gt;=2,"দেরি","ঠিক আছে"),IF(TODAY()&gt;D17+2,"সময় পেরিয়েছে","আসন্ন")))</f>
        <v>সময় পেরিয়েছে</v>
      </c>
      <c r="I17" s="50" t="str">
        <f aca="false">IF(AND(D17&lt;&gt;"",F17&lt;&gt;""),F17-D17,"")</f>
        <v/>
      </c>
      <c r="J17" s="51" t="n">
        <f aca="false">IF(F17&lt;&gt;"",F17,D17)</f>
        <v>46104</v>
      </c>
      <c r="K17" s="51" t="n">
        <f aca="false">IF(G17&lt;&gt;"",G17,IF(AND(F17&lt;&gt;"",E17=D17),F17,E17))</f>
        <v>46111</v>
      </c>
      <c r="L17" s="50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365</v>
      </c>
      <c r="B18" s="21" t="s">
        <v>366</v>
      </c>
      <c r="C18" s="21" t="s">
        <v>74</v>
      </c>
      <c r="D18" s="51" t="n">
        <f aca="false">IF(Day_0="","",Day_0+cfg_6-cfg_8+cfg_13*2)</f>
        <v>46111</v>
      </c>
      <c r="E18" s="51" t="n">
        <f aca="false">IF(Day_0="","",Day_0+cfg_6-cfg_8+cfg_13*3)</f>
        <v>46118</v>
      </c>
      <c r="F18" s="51" t="str">
        <f aca="false">IF(_xlfn.MINIFS(2_Daily_input!$D$1:$FQ$1,2_Daily_input!$D$71:$FQ$71,"3F4D-3 শুরু")+_xlfn.MINIFS(2_Daily_input!$D$1:$FQ$1,2_Daily_input!$D$72:$FQ$72,"3F4D-3 শুরু")=0,"",IF(_xlfn.MINIFS(2_Daily_input!$D$1:$FQ$1,2_Daily_input!$D$71:$FQ$71,"3F4D-3 শুরু")=0,_xlfn.MINIFS(2_Daily_input!$D$1:$FQ$1,2_Daily_input!$D$72:$FQ$72,"3F4D-3 শুরু"),IF(_xlfn.MINIFS(2_Daily_input!$D$1:$FQ$1,2_Daily_input!$D$72:$FQ$72,"3F4D-3 শুরু")=0,_xlfn.MINIFS(2_Daily_input!$D$1:$FQ$1,2_Daily_input!$D$71:$FQ$71,"3F4D-3 শুরু"),MIN(_xlfn.MINIFS(2_Daily_input!$D$1:$FQ$1,2_Daily_input!$D$71:$FQ$71,"3F4D-3 শুরু"),_xlfn.MINIFS(2_Daily_input!$D$1:$FQ$1,2_Daily_input!$D$72:$FQ$72,"3F4D-3 শুরু")))))</f>
        <v/>
      </c>
      <c r="G18" s="51" t="str">
        <f aca="false">""</f>
        <v/>
      </c>
      <c r="H18" s="50" t="str">
        <f aca="true">IF(D18="","পরিকল্পনা নেই",IF(F18&lt;&gt;"",IF(F18-D18&gt;=2,"দেরি","ঠিক আছে"),IF(TODAY()&gt;D18+2,"সময় পেরিয়েছে","আসন্ন")))</f>
        <v>সময় পেরিয়েছে</v>
      </c>
      <c r="I18" s="50" t="str">
        <f aca="false">IF(AND(D18&lt;&gt;"",F18&lt;&gt;""),F18-D18,"")</f>
        <v/>
      </c>
      <c r="J18" s="51" t="n">
        <f aca="false">IF(F18&lt;&gt;"",F18,D18)</f>
        <v>46111</v>
      </c>
      <c r="K18" s="51" t="n">
        <f aca="false">IF(G18&lt;&gt;"",G18,IF(AND(F18&lt;&gt;"",E18=D18),F18,E18))</f>
        <v>46118</v>
      </c>
      <c r="L18" s="50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367</v>
      </c>
      <c r="B19" s="21" t="s">
        <v>367</v>
      </c>
      <c r="C19" s="21" t="s">
        <v>74</v>
      </c>
      <c r="D19" s="51" t="n">
        <f aca="false">IF(Day_0="","",Day_0+cfg_6)</f>
        <v>46118</v>
      </c>
      <c r="E19" s="51" t="n">
        <f aca="false">IF(D19="","",D19)</f>
        <v>46118</v>
      </c>
      <c r="F19" s="51" t="str">
        <f aca="false">IF(_xlfn.MINIFS(2_Daily_input!$D$1:$FQ$1,2_Daily_input!$D$71:$FQ$71,"শীষ বের হওয়া")+_xlfn.MINIFS(2_Daily_input!$D$1:$FQ$1,2_Daily_input!$D$72:$FQ$72,"শীষ বের হওয়া")=0,"",IF(_xlfn.MINIFS(2_Daily_input!$D$1:$FQ$1,2_Daily_input!$D$71:$FQ$71,"শীষ বের হওয়া")=0,_xlfn.MINIFS(2_Daily_input!$D$1:$FQ$1,2_Daily_input!$D$72:$FQ$72,"শীষ বের হওয়া"),IF(_xlfn.MINIFS(2_Daily_input!$D$1:$FQ$1,2_Daily_input!$D$72:$FQ$72,"শীষ বের হওয়া")=0,_xlfn.MINIFS(2_Daily_input!$D$1:$FQ$1,2_Daily_input!$D$71:$FQ$71,"শীষ বের হওয়া"),MIN(_xlfn.MINIFS(2_Daily_input!$D$1:$FQ$1,2_Daily_input!$D$71:$FQ$71,"শীষ বের হওয়া"),_xlfn.MINIFS(2_Daily_input!$D$1:$FQ$1,2_Daily_input!$D$72:$FQ$72,"শীষ বের হওয়া")))))</f>
        <v/>
      </c>
      <c r="G19" s="51" t="str">
        <f aca="false">""</f>
        <v/>
      </c>
      <c r="H19" s="50" t="str">
        <f aca="true">IF(D19="","পরিকল্পনা নেই",IF(F19&lt;&gt;"",IF(F19-D19&gt;=2,"দেরি","ঠিক আছে"),IF(TODAY()&gt;D19+2,"সময় পেরিয়েছে","আসন্ন")))</f>
        <v>সময় পেরিয়েছে</v>
      </c>
      <c r="I19" s="50" t="str">
        <f aca="false">IF(AND(D19&lt;&gt;"",F19&lt;&gt;""),F19-D19,"")</f>
        <v/>
      </c>
      <c r="J19" s="51" t="n">
        <f aca="false">IF(F19&lt;&gt;"",F19,D19)</f>
        <v>46118</v>
      </c>
      <c r="K19" s="51" t="n">
        <f aca="false">IF(G19&lt;&gt;"",G19,IF(AND(F19&lt;&gt;"",E19=D19),F19,E19))</f>
        <v>46118</v>
      </c>
      <c r="L19" s="50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368</v>
      </c>
      <c r="B20" s="21" t="s">
        <v>369</v>
      </c>
      <c r="C20" s="21" t="s">
        <v>74</v>
      </c>
      <c r="D20" s="51" t="n">
        <f aca="false">IF(Day_0="","",Day_0+cfg_6-cfg_8+cfg_13*3)</f>
        <v>46118</v>
      </c>
      <c r="E20" s="51" t="n">
        <f aca="false">IF(Day_0="","",Day_0+cfg_6-cfg_8+cfg_13*4)</f>
        <v>46125</v>
      </c>
      <c r="F20" s="51" t="str">
        <f aca="false">IF(_xlfn.MINIFS(2_Daily_input!$D$1:$FQ$1,2_Daily_input!$D$71:$FQ$71,"3F4D-4 শুরু")+_xlfn.MINIFS(2_Daily_input!$D$1:$FQ$1,2_Daily_input!$D$72:$FQ$72,"3F4D-4 শুরু")=0,"",IF(_xlfn.MINIFS(2_Daily_input!$D$1:$FQ$1,2_Daily_input!$D$71:$FQ$71,"3F4D-4 শুরু")=0,_xlfn.MINIFS(2_Daily_input!$D$1:$FQ$1,2_Daily_input!$D$72:$FQ$72,"3F4D-4 শুরু"),IF(_xlfn.MINIFS(2_Daily_input!$D$1:$FQ$1,2_Daily_input!$D$72:$FQ$72,"3F4D-4 শুরু")=0,_xlfn.MINIFS(2_Daily_input!$D$1:$FQ$1,2_Daily_input!$D$71:$FQ$71,"3F4D-4 শুরু"),MIN(_xlfn.MINIFS(2_Daily_input!$D$1:$FQ$1,2_Daily_input!$D$71:$FQ$71,"3F4D-4 শুরু"),_xlfn.MINIFS(2_Daily_input!$D$1:$FQ$1,2_Daily_input!$D$72:$FQ$72,"3F4D-4 শুরু")))))</f>
        <v/>
      </c>
      <c r="G20" s="51" t="str">
        <f aca="false">""</f>
        <v/>
      </c>
      <c r="H20" s="50" t="str">
        <f aca="true">IF(D20="","পরিকল্পনা নেই",IF(F20&lt;&gt;"",IF(F20-D20&gt;=2,"দেরি","ঠিক আছে"),IF(TODAY()&gt;D20+2,"সময় পেরিয়েছে","আসন্ন")))</f>
        <v>সময় পেরিয়েছে</v>
      </c>
      <c r="I20" s="50" t="str">
        <f aca="false">IF(AND(D20&lt;&gt;"",F20&lt;&gt;""),F20-D20,"")</f>
        <v/>
      </c>
      <c r="J20" s="51" t="n">
        <f aca="false">IF(F20&lt;&gt;"",F20,D20)</f>
        <v>46118</v>
      </c>
      <c r="K20" s="51" t="n">
        <f aca="false">IF(G20&lt;&gt;"",G20,IF(AND(F20&lt;&gt;"",E20=D20),F20,E20))</f>
        <v>46125</v>
      </c>
      <c r="L20" s="50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370</v>
      </c>
      <c r="B21" s="21" t="s">
        <v>371</v>
      </c>
      <c r="C21" s="21" t="s">
        <v>74</v>
      </c>
      <c r="D21" s="51" t="n">
        <f aca="false">IF(Day_0="","",Day_0+cfg_6-cfg_8+cfg_13*4)</f>
        <v>46125</v>
      </c>
      <c r="E21" s="51" t="n">
        <f aca="false">IF(Day_0="","",Day_0+cfg_6-cfg_8+cfg_13*5)</f>
        <v>46132</v>
      </c>
      <c r="F21" s="51" t="n">
        <f aca="false">IF(_xlfn.MINIFS(2_Daily_input!$D$1:$FQ$1,2_Daily_input!$D$71:$FQ$71,"3F4D-5 শুরু")+_xlfn.MINIFS(2_Daily_input!$D$1:$FQ$1,2_Daily_input!$D$72:$FQ$72,"3F4D-5 শুরু")=0,"",IF(_xlfn.MINIFS(2_Daily_input!$D$1:$FQ$1,2_Daily_input!$D$71:$FQ$71,"3F4D-5 শুরু")=0,_xlfn.MINIFS(2_Daily_input!$D$1:$FQ$1,2_Daily_input!$D$72:$FQ$72,"3F4D-5 শুরু"),IF(_xlfn.MINIFS(2_Daily_input!$D$1:$FQ$1,2_Daily_input!$D$72:$FQ$72,"3F4D-5 শুরু")=0,_xlfn.MINIFS(2_Daily_input!$D$1:$FQ$1,2_Daily_input!$D$71:$FQ$71,"3F4D-5 শুরু"),MIN(_xlfn.MINIFS(2_Daily_input!$D$1:$FQ$1,2_Daily_input!$D$71:$FQ$71,"3F4D-5 শুরু"),_xlfn.MINIFS(2_Daily_input!$D$1:$FQ$1,2_Daily_input!$D$72:$FQ$72,"3F4D-5 শুরু")))))</f>
        <v>46126</v>
      </c>
      <c r="G21" s="51" t="str">
        <f aca="false">""</f>
        <v/>
      </c>
      <c r="H21" s="50" t="str">
        <f aca="true">IF(D21="","পরিকল্পনা নেই",IF(F21&lt;&gt;"",IF(F21-D21&gt;=2,"দেরি","ঠিক আছে"),IF(TODAY()&gt;D21+2,"সময় পেরিয়েছে","আসন্ন")))</f>
        <v>ঠিক আছে</v>
      </c>
      <c r="I21" s="50" t="n">
        <f aca="false">IF(AND(D21&lt;&gt;"",F21&lt;&gt;""),F21-D21,"")</f>
        <v>1</v>
      </c>
      <c r="J21" s="51" t="n">
        <f aca="false">IF(F21&lt;&gt;"",F21,D21)</f>
        <v>46126</v>
      </c>
      <c r="K21" s="51" t="n">
        <f aca="false">IF(G21&lt;&gt;"",G21,IF(AND(F21&lt;&gt;"",E21=D21),F21,E21))</f>
        <v>46132</v>
      </c>
      <c r="L21" s="50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372</v>
      </c>
      <c r="B22" s="21" t="s">
        <v>373</v>
      </c>
      <c r="C22" s="21" t="s">
        <v>74</v>
      </c>
      <c r="D22" s="51" t="n">
        <f aca="false">IF(Day_0="","",Day_0+cfg_6-cfg_8+cfg_13*5)</f>
        <v>46132</v>
      </c>
      <c r="E22" s="51" t="n">
        <f aca="false">IF(Day_0="","",Day_0+cfg_6-cfg_8+cfg_13*6)</f>
        <v>46139</v>
      </c>
      <c r="F22" s="51" t="n">
        <f aca="false">IF(_xlfn.MINIFS(2_Daily_input!$D$1:$FQ$1,2_Daily_input!$D$71:$FQ$71,"3F4D-6 শুরু")+_xlfn.MINIFS(2_Daily_input!$D$1:$FQ$1,2_Daily_input!$D$72:$FQ$72,"3F4D-6 শুরু")=0,"",IF(_xlfn.MINIFS(2_Daily_input!$D$1:$FQ$1,2_Daily_input!$D$71:$FQ$71,"3F4D-6 শুরু")=0,_xlfn.MINIFS(2_Daily_input!$D$1:$FQ$1,2_Daily_input!$D$72:$FQ$72,"3F4D-6 শুরু"),IF(_xlfn.MINIFS(2_Daily_input!$D$1:$FQ$1,2_Daily_input!$D$72:$FQ$72,"3F4D-6 শুরু")=0,_xlfn.MINIFS(2_Daily_input!$D$1:$FQ$1,2_Daily_input!$D$71:$FQ$71,"3F4D-6 শুরু"),MIN(_xlfn.MINIFS(2_Daily_input!$D$1:$FQ$1,2_Daily_input!$D$71:$FQ$71,"3F4D-6 শুরু"),_xlfn.MINIFS(2_Daily_input!$D$1:$FQ$1,2_Daily_input!$D$72:$FQ$72,"3F4D-6 শুরু")))))</f>
        <v>46133</v>
      </c>
      <c r="G22" s="51" t="str">
        <f aca="false">""</f>
        <v/>
      </c>
      <c r="H22" s="50" t="str">
        <f aca="true">IF(D22="","পরিকল্পনা নেই",IF(F22&lt;&gt;"",IF(F22-D22&gt;=2,"দেরি","ঠিক আছে"),IF(TODAY()&gt;D22+2,"সময় পেরিয়েছে","আসন্ন")))</f>
        <v>ঠিক আছে</v>
      </c>
      <c r="I22" s="50" t="n">
        <f aca="false">IF(AND(D22&lt;&gt;"",F22&lt;&gt;""),F22-D22,"")</f>
        <v>1</v>
      </c>
      <c r="J22" s="51" t="n">
        <f aca="false">IF(F22&lt;&gt;"",F22,D22)</f>
        <v>46133</v>
      </c>
      <c r="K22" s="51" t="n">
        <f aca="false">IF(G22&lt;&gt;"",G22,IF(AND(F22&lt;&gt;"",E22=D22),F22,E22))</f>
        <v>46139</v>
      </c>
      <c r="L22" s="50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207</v>
      </c>
      <c r="B23" s="21" t="s">
        <v>374</v>
      </c>
      <c r="C23" s="21" t="s">
        <v>74</v>
      </c>
      <c r="D23" s="51" t="n">
        <f aca="false">IF(Day_0="","",Day_0+cfg_6-cfg_8+cfg_13*6)</f>
        <v>46139</v>
      </c>
      <c r="E23" s="51" t="n">
        <f aca="false">IF(D23="","",D23)</f>
        <v>46139</v>
      </c>
      <c r="F23" s="51" t="n">
        <f aca="false">IF(_xlfn.MINIFS(2_Daily_input!$D$1:$FQ$1,2_Daily_input!$D$71:$FQ$71,"3F4D শেষ")+_xlfn.MINIFS(2_Daily_input!$D$1:$FQ$1,2_Daily_input!$D$72:$FQ$72,"3F4D শেষ")=0,"",IF(_xlfn.MINIFS(2_Daily_input!$D$1:$FQ$1,2_Daily_input!$D$71:$FQ$71,"3F4D শেষ")=0,_xlfn.MINIFS(2_Daily_input!$D$1:$FQ$1,2_Daily_input!$D$72:$FQ$72,"3F4D শেষ"),IF(_xlfn.MINIFS(2_Daily_input!$D$1:$FQ$1,2_Daily_input!$D$72:$FQ$72,"3F4D শেষ")=0,_xlfn.MINIFS(2_Daily_input!$D$1:$FQ$1,2_Daily_input!$D$71:$FQ$71,"3F4D শেষ"),MIN(_xlfn.MINIFS(2_Daily_input!$D$1:$FQ$1,2_Daily_input!$D$71:$FQ$71,"3F4D শেষ"),_xlfn.MINIFS(2_Daily_input!$D$1:$FQ$1,2_Daily_input!$D$72:$FQ$72,"3F4D শেষ")))))</f>
        <v>46140</v>
      </c>
      <c r="G23" s="51" t="str">
        <f aca="false">""</f>
        <v/>
      </c>
      <c r="H23" s="50" t="str">
        <f aca="true">IF(D23="","পরিকল্পনা নেই",IF(F23&lt;&gt;"",IF(F23-D23&gt;=2,"দেরি","ঠিক আছে"),IF(TODAY()&gt;D23+2,"সময় পেরিয়েছে","আসন্ন")))</f>
        <v>ঠিক আছে</v>
      </c>
      <c r="I23" s="50" t="n">
        <f aca="false">IF(AND(D23&lt;&gt;"",F23&lt;&gt;""),F23-D23,"")</f>
        <v>1</v>
      </c>
      <c r="J23" s="51" t="n">
        <f aca="false">IF(F23&lt;&gt;"",F23,D23)</f>
        <v>46140</v>
      </c>
      <c r="K23" s="51" t="n">
        <f aca="false">IF(G23&lt;&gt;"",G23,IF(AND(F23&lt;&gt;"",E23=D23),F23,E23))</f>
        <v>46140</v>
      </c>
      <c r="L23" s="50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375</v>
      </c>
      <c r="B24" s="21" t="s">
        <v>375</v>
      </c>
      <c r="C24" s="21" t="s">
        <v>74</v>
      </c>
      <c r="D24" s="51" t="n">
        <f aca="false">IF(Day_0="","",Day_0+cfg_6-cfg_8+cfg_13*6+1)</f>
        <v>46140</v>
      </c>
      <c r="E24" s="51" t="n">
        <f aca="false">IF(D24="","",D24)</f>
        <v>46140</v>
      </c>
      <c r="F24" s="51" t="str">
        <f aca="false">IF(_xlfn.MINIFS(2_Daily_input!$D$1:$FQ$1,2_Daily_input!$D$71:$FQ$71,"শেষ সেচ")+_xlfn.MINIFS(2_Daily_input!$D$1:$FQ$1,2_Daily_input!$D$72:$FQ$72,"শেষ সেচ")=0,"",IF(_xlfn.MINIFS(2_Daily_input!$D$1:$FQ$1,2_Daily_input!$D$71:$FQ$71,"শেষ সেচ")=0,_xlfn.MINIFS(2_Daily_input!$D$1:$FQ$1,2_Daily_input!$D$72:$FQ$72,"শেষ সেচ"),IF(_xlfn.MINIFS(2_Daily_input!$D$1:$FQ$1,2_Daily_input!$D$72:$FQ$72,"শেষ সেচ")=0,_xlfn.MINIFS(2_Daily_input!$D$1:$FQ$1,2_Daily_input!$D$71:$FQ$71,"শেষ সেচ"),MIN(_xlfn.MINIFS(2_Daily_input!$D$1:$FQ$1,2_Daily_input!$D$71:$FQ$71,"শেষ সেচ"),_xlfn.MINIFS(2_Daily_input!$D$1:$FQ$1,2_Daily_input!$D$72:$FQ$72,"শেষ সেচ")))))</f>
        <v/>
      </c>
      <c r="G24" s="51" t="str">
        <f aca="false">""</f>
        <v/>
      </c>
      <c r="H24" s="50" t="str">
        <f aca="true">IF(D24="","পরিকল্পনা নেই",IF(F24&lt;&gt;"",IF(F24-D24&gt;=2,"দেরি","ঠিক আছে"),IF(TODAY()&gt;D24+2,"সময় পেরিয়েছে","আসন্ন")))</f>
        <v>সময় পেরিয়েছে</v>
      </c>
      <c r="I24" s="50" t="str">
        <f aca="false">IF(AND(D24&lt;&gt;"",F24&lt;&gt;""),F24-D24,"")</f>
        <v/>
      </c>
      <c r="J24" s="51" t="n">
        <f aca="false">IF(F24&lt;&gt;"",F24,D24)</f>
        <v>46140</v>
      </c>
      <c r="K24" s="51" t="n">
        <f aca="false">IF(G24&lt;&gt;"",G24,IF(AND(F24&lt;&gt;"",E24=D24),F24,E24))</f>
        <v>46140</v>
      </c>
      <c r="L24" s="50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376</v>
      </c>
      <c r="B25" s="21" t="s">
        <v>376</v>
      </c>
      <c r="C25" s="21" t="s">
        <v>74</v>
      </c>
      <c r="D25" s="51" t="n">
        <f aca="false">IF(Day_0="","",Day_0+cfg_6+cfg_9)</f>
        <v>46146</v>
      </c>
      <c r="E25" s="51" t="n">
        <f aca="false">IF(D25="","",D25)</f>
        <v>46146</v>
      </c>
      <c r="F25" s="51" t="str">
        <f aca="false">IF(_xlfn.MINIFS(2_Daily_input!$D$1:$FQ$1,2_Daily_input!$D$71:$FQ$71,"ধান কাটা")+_xlfn.MINIFS(2_Daily_input!$D$1:$FQ$1,2_Daily_input!$D$72:$FQ$72,"ধান কাটা")=0,"",IF(_xlfn.MINIFS(2_Daily_input!$D$1:$FQ$1,2_Daily_input!$D$71:$FQ$71,"ধান কাটা")=0,_xlfn.MINIFS(2_Daily_input!$D$1:$FQ$1,2_Daily_input!$D$72:$FQ$72,"ধান কাটা"),IF(_xlfn.MINIFS(2_Daily_input!$D$1:$FQ$1,2_Daily_input!$D$72:$FQ$72,"ধান কাটা")=0,_xlfn.MINIFS(2_Daily_input!$D$1:$FQ$1,2_Daily_input!$D$71:$FQ$71,"ধান কাটা"),MIN(_xlfn.MINIFS(2_Daily_input!$D$1:$FQ$1,2_Daily_input!$D$71:$FQ$71,"ধান কাটা"),_xlfn.MINIFS(2_Daily_input!$D$1:$FQ$1,2_Daily_input!$D$72:$FQ$72,"ধান কাটা")))))</f>
        <v/>
      </c>
      <c r="G25" s="51" t="str">
        <f aca="false">""</f>
        <v/>
      </c>
      <c r="H25" s="50" t="str">
        <f aca="true">IF(D25="","পরিকল্পনা নেই",IF(F25&lt;&gt;"",IF(F25-D25&gt;=2,"দেরি","ঠিক আছে"),IF(TODAY()&gt;D25+2,"সময় পেরিয়েছে","আসন্ন")))</f>
        <v>সময় পেরিয়েছে</v>
      </c>
      <c r="I25" s="50" t="str">
        <f aca="false">IF(AND(D25&lt;&gt;"",F25&lt;&gt;""),F25-D25,"")</f>
        <v/>
      </c>
      <c r="J25" s="51" t="n">
        <f aca="false">IF(F25&lt;&gt;"",F25,D25)</f>
        <v>46146</v>
      </c>
      <c r="K25" s="51" t="n">
        <f aca="false">IF(G25&lt;&gt;"",G25,IF(AND(F25&lt;&gt;"",E25=D25),F25,E25))</f>
        <v>46146</v>
      </c>
      <c r="L25" s="50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377</v>
      </c>
    </row>
    <row r="28" customFormat="false" ht="15" hidden="false" customHeight="false" outlineLevel="0" collapsed="false">
      <c r="A28" s="54" t="s">
        <v>202</v>
      </c>
      <c r="B28" s="21" t="s">
        <v>202</v>
      </c>
      <c r="C28" s="21" t="s">
        <v>317</v>
      </c>
      <c r="D28" s="51" t="n">
        <f aca="false">IF(D5="","",D5)</f>
        <v>45990</v>
      </c>
      <c r="E28" s="51" t="n">
        <f aca="false">IF(D28="","",D28)</f>
        <v>45990</v>
      </c>
      <c r="F28" s="51" t="n">
        <f aca="false">IF(_xlfn.MINIFS(2_Daily_input!$D$1:$FQ$1,2_Daily_input!$D$73:$FQ$73,"বীজ ভেজানো")+_xlfn.MINIFS(2_Daily_input!$D$1:$FQ$1,2_Daily_input!$D$74:$FQ$74,"বীজ ভেজানো")=0,"",IF(_xlfn.MINIFS(2_Daily_input!$D$1:$FQ$1,2_Daily_input!$D$73:$FQ$73,"বীজ ভেজানো")=0,_xlfn.MINIFS(2_Daily_input!$D$1:$FQ$1,2_Daily_input!$D$74:$FQ$74,"বীজ ভেজানো"),IF(_xlfn.MINIFS(2_Daily_input!$D$1:$FQ$1,2_Daily_input!$D$74:$FQ$74,"বীজ ভেজানো")=0,_xlfn.MINIFS(2_Daily_input!$D$1:$FQ$1,2_Daily_input!$D$73:$FQ$73,"বীজ ভেজানো"),MIN(_xlfn.MINIFS(2_Daily_input!$D$1:$FQ$1,2_Daily_input!$D$73:$FQ$73,"বীজ ভেজানো"),_xlfn.MINIFS(2_Daily_input!$D$1:$FQ$1,2_Daily_input!$D$74:$FQ$74,"বীজ ভেজানো")))))</f>
        <v>45990</v>
      </c>
      <c r="G28" s="51" t="str">
        <f aca="false">""</f>
        <v/>
      </c>
      <c r="H28" s="50" t="str">
        <f aca="true">IF(D28="","পরিকল্পনা নেই",IF(F28&lt;&gt;"",IF(F28-D28&gt;=2,"দেরি","ঠিক আছে"),IF(TODAY()&gt;D28+2,"সময় পেরিয়েছে","আসন্ন")))</f>
        <v>ঠিক আছে</v>
      </c>
      <c r="I28" s="50" t="n">
        <f aca="false">IF(AND(D28&lt;&gt;"",F28&lt;&gt;""),F28-D28,"")</f>
        <v>0</v>
      </c>
      <c r="J28" s="51" t="n">
        <f aca="false">IF(F28&lt;&gt;"",F28,D28)</f>
        <v>45990</v>
      </c>
      <c r="K28" s="51" t="n">
        <f aca="false">IF(G28&lt;&gt;"",G28,IF(AND(F28&lt;&gt;"",E28=D28),F28,E28))</f>
        <v>45990</v>
      </c>
      <c r="L28" s="50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203</v>
      </c>
      <c r="B29" s="21" t="s">
        <v>346</v>
      </c>
      <c r="C29" s="21" t="s">
        <v>317</v>
      </c>
      <c r="D29" s="51" t="n">
        <f aca="false">IF(D6="","",D6)</f>
        <v>45993</v>
      </c>
      <c r="E29" s="51" t="n">
        <f aca="false">IF(D29="","",D29)</f>
        <v>45993</v>
      </c>
      <c r="F29" s="51" t="n">
        <f aca="false">IF(_xlfn.MINIFS(2_Daily_input!$D$1:$FQ$1,2_Daily_input!$D$73:$FQ$73,"বীজ বপন")+_xlfn.MINIFS(2_Daily_input!$D$1:$FQ$1,2_Daily_input!$D$74:$FQ$74,"বীজ বপন")=0,"",IF(_xlfn.MINIFS(2_Daily_input!$D$1:$FQ$1,2_Daily_input!$D$73:$FQ$73,"বীজ বপন")=0,_xlfn.MINIFS(2_Daily_input!$D$1:$FQ$1,2_Daily_input!$D$74:$FQ$74,"বীজ বপন"),IF(_xlfn.MINIFS(2_Daily_input!$D$1:$FQ$1,2_Daily_input!$D$74:$FQ$74,"বীজ বপন")=0,_xlfn.MINIFS(2_Daily_input!$D$1:$FQ$1,2_Daily_input!$D$73:$FQ$73,"বীজ বপন"),MIN(_xlfn.MINIFS(2_Daily_input!$D$1:$FQ$1,2_Daily_input!$D$73:$FQ$73,"বীজ বপন"),_xlfn.MINIFS(2_Daily_input!$D$1:$FQ$1,2_Daily_input!$D$74:$FQ$74,"বীজ বপন")))))</f>
        <v>45993</v>
      </c>
      <c r="G29" s="51" t="str">
        <f aca="false">""</f>
        <v/>
      </c>
      <c r="H29" s="50" t="str">
        <f aca="true">IF(D29="","পরিকল্পনা নেই",IF(F29&lt;&gt;"",IF(F29-D29&gt;=2,"দেরি","ঠিক আছে"),IF(TODAY()&gt;D29+2,"সময় পেরিয়েছে","আসন্ন")))</f>
        <v>ঠিক আছে</v>
      </c>
      <c r="I29" s="50" t="n">
        <f aca="false">IF(AND(D29&lt;&gt;"",F29&lt;&gt;""),F29-D29,"")</f>
        <v>0</v>
      </c>
      <c r="J29" s="51" t="n">
        <f aca="false">IF(F29&lt;&gt;"",F29,D29)</f>
        <v>45993</v>
      </c>
      <c r="K29" s="51" t="n">
        <f aca="false">IF(G29&lt;&gt;"",G29,IF(AND(F29&lt;&gt;"",E29=D29),F29,E29))</f>
        <v>45993</v>
      </c>
      <c r="L29" s="50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347</v>
      </c>
      <c r="B30" s="21" t="s">
        <v>347</v>
      </c>
      <c r="C30" s="21" t="s">
        <v>317</v>
      </c>
      <c r="D30" s="51" t="n">
        <f aca="false">IF(D7="","",D7)</f>
        <v>45999</v>
      </c>
      <c r="E30" s="51" t="n">
        <f aca="false">IF(D30="","",D30)</f>
        <v>45999</v>
      </c>
      <c r="F30" s="51" t="str">
        <f aca="false">IF(_xlfn.MINIFS(2_Daily_input!$D$1:$FQ$1,2_Daily_input!$D$73:$FQ$73,"চাষ")+_xlfn.MINIFS(2_Daily_input!$D$1:$FQ$1,2_Daily_input!$D$74:$FQ$74,"চাষ")=0,"",IF(_xlfn.MINIFS(2_Daily_input!$D$1:$FQ$1,2_Daily_input!$D$73:$FQ$73,"চাষ")=0,_xlfn.MINIFS(2_Daily_input!$D$1:$FQ$1,2_Daily_input!$D$74:$FQ$74,"চাষ"),IF(_xlfn.MINIFS(2_Daily_input!$D$1:$FQ$1,2_Daily_input!$D$74:$FQ$74,"চাষ")=0,_xlfn.MINIFS(2_Daily_input!$D$1:$FQ$1,2_Daily_input!$D$73:$FQ$73,"চাষ"),MIN(_xlfn.MINIFS(2_Daily_input!$D$1:$FQ$1,2_Daily_input!$D$73:$FQ$73,"চাষ"),_xlfn.MINIFS(2_Daily_input!$D$1:$FQ$1,2_Daily_input!$D$74:$FQ$74,"চাষ")))))</f>
        <v/>
      </c>
      <c r="G30" s="51" t="str">
        <f aca="false">""</f>
        <v/>
      </c>
      <c r="H30" s="50" t="str">
        <f aca="true">IF(D30="","পরিকল্পনা নেই",IF(F30&lt;&gt;"",IF(F30-D30&gt;=2,"দেরি","ঠিক আছে"),IF(TODAY()&gt;D30+2,"সময় পেরিয়েছে","আসন্ন")))</f>
        <v>সময় পেরিয়েছে</v>
      </c>
      <c r="I30" s="50" t="str">
        <f aca="false">IF(AND(D30&lt;&gt;"",F30&lt;&gt;""),F30-D30,"")</f>
        <v/>
      </c>
      <c r="J30" s="51" t="n">
        <f aca="false">IF(F30&lt;&gt;"",F30,D30)</f>
        <v>45999</v>
      </c>
      <c r="K30" s="51" t="n">
        <f aca="false">IF(G30&lt;&gt;"",G30,IF(AND(F30&lt;&gt;"",E30=D30),F30,E30))</f>
        <v>45999</v>
      </c>
      <c r="L30" s="50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348</v>
      </c>
      <c r="B31" s="21" t="s">
        <v>348</v>
      </c>
      <c r="C31" s="21" t="s">
        <v>317</v>
      </c>
      <c r="D31" s="51" t="n">
        <f aca="false">IF(D8="","",D8)</f>
        <v>46029</v>
      </c>
      <c r="E31" s="51" t="n">
        <f aca="false">IF(D31="","",D31)</f>
        <v>46029</v>
      </c>
      <c r="F31" s="51" t="str">
        <f aca="false">IF(_xlfn.MINIFS(2_Daily_input!$D$1:$FQ$1,2_Daily_input!$D$73:$FQ$73,"কাদা করা")+_xlfn.MINIFS(2_Daily_input!$D$1:$FQ$1,2_Daily_input!$D$74:$FQ$74,"কাদা করা")=0,"",IF(_xlfn.MINIFS(2_Daily_input!$D$1:$FQ$1,2_Daily_input!$D$73:$FQ$73,"কাদা করা")=0,_xlfn.MINIFS(2_Daily_input!$D$1:$FQ$1,2_Daily_input!$D$74:$FQ$74,"কাদা করা"),IF(_xlfn.MINIFS(2_Daily_input!$D$1:$FQ$1,2_Daily_input!$D$74:$FQ$74,"কাদা করা")=0,_xlfn.MINIFS(2_Daily_input!$D$1:$FQ$1,2_Daily_input!$D$73:$FQ$73,"কাদা করা"),MIN(_xlfn.MINIFS(2_Daily_input!$D$1:$FQ$1,2_Daily_input!$D$73:$FQ$73,"কাদা করা"),_xlfn.MINIFS(2_Daily_input!$D$1:$FQ$1,2_Daily_input!$D$74:$FQ$74,"কাদা করা")))))</f>
        <v/>
      </c>
      <c r="G31" s="51" t="str">
        <f aca="false">""</f>
        <v/>
      </c>
      <c r="H31" s="50" t="str">
        <f aca="true">IF(D31="","পরিকল্পনা নেই",IF(F31&lt;&gt;"",IF(F31-D31&gt;=2,"দেরি","ঠিক আছে"),IF(TODAY()&gt;D31+2,"সময় পেরিয়েছে","আসন্ন")))</f>
        <v>সময় পেরিয়েছে</v>
      </c>
      <c r="I31" s="50" t="str">
        <f aca="false">IF(AND(D31&lt;&gt;"",F31&lt;&gt;""),F31-D31,"")</f>
        <v/>
      </c>
      <c r="J31" s="51" t="n">
        <f aca="false">IF(F31&lt;&gt;"",F31,D31)</f>
        <v>46029</v>
      </c>
      <c r="K31" s="51" t="n">
        <f aca="false">IF(G31&lt;&gt;"",G31,IF(AND(F31&lt;&gt;"",E31=D31),F31,E31))</f>
        <v>46029</v>
      </c>
      <c r="L31" s="50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204</v>
      </c>
      <c r="B32" s="21" t="s">
        <v>349</v>
      </c>
      <c r="C32" s="21" t="s">
        <v>317</v>
      </c>
      <c r="D32" s="51" t="n">
        <f aca="false">IF(D9="","",D9)</f>
        <v>46042</v>
      </c>
      <c r="E32" s="51" t="n">
        <f aca="false">IF(D32="","",D32)</f>
        <v>46042</v>
      </c>
      <c r="F32" s="51" t="n">
        <f aca="false">IF(_xlfn.MINIFS(2_Daily_input!$D$1:$FQ$1,2_Daily_input!$D$73:$FQ$73,"চারা রোপণ")+_xlfn.MINIFS(2_Daily_input!$D$1:$FQ$1,2_Daily_input!$D$74:$FQ$74,"চারা রোপণ")=0,"",IF(_xlfn.MINIFS(2_Daily_input!$D$1:$FQ$1,2_Daily_input!$D$73:$FQ$73,"চারা রোপণ")=0,_xlfn.MINIFS(2_Daily_input!$D$1:$FQ$1,2_Daily_input!$D$74:$FQ$74,"চারা রোপণ"),IF(_xlfn.MINIFS(2_Daily_input!$D$1:$FQ$1,2_Daily_input!$D$74:$FQ$74,"চারা রোপণ")=0,_xlfn.MINIFS(2_Daily_input!$D$1:$FQ$1,2_Daily_input!$D$73:$FQ$73,"চারা রোপণ"),MIN(_xlfn.MINIFS(2_Daily_input!$D$1:$FQ$1,2_Daily_input!$D$73:$FQ$73,"চারা রোপণ"),_xlfn.MINIFS(2_Daily_input!$D$1:$FQ$1,2_Daily_input!$D$74:$FQ$74,"চারা রোপণ")))))</f>
        <v>46042</v>
      </c>
      <c r="G32" s="51" t="str">
        <f aca="false">""</f>
        <v/>
      </c>
      <c r="H32" s="50" t="str">
        <f aca="true">IF(D32="","পরিকল্পনা নেই",IF(F32&lt;&gt;"",IF(F32-D32&gt;=2,"দেরি","ঠিক আছে"),IF(TODAY()&gt;D32+2,"সময় পেরিয়েছে","আসন্ন")))</f>
        <v>ঠিক আছে</v>
      </c>
      <c r="I32" s="50" t="n">
        <f aca="false">IF(AND(D32&lt;&gt;"",F32&lt;&gt;""),F32-D32,"")</f>
        <v>0</v>
      </c>
      <c r="J32" s="51" t="n">
        <f aca="false">IF(F32&lt;&gt;"",F32,D32)</f>
        <v>46042</v>
      </c>
      <c r="K32" s="51" t="n">
        <f aca="false">IF(G32&lt;&gt;"",G32,IF(AND(F32&lt;&gt;"",E32=D32),F32,E32))</f>
        <v>46042</v>
      </c>
      <c r="L32" s="50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350</v>
      </c>
      <c r="B33" s="21" t="s">
        <v>350</v>
      </c>
      <c r="C33" s="21" t="s">
        <v>317</v>
      </c>
      <c r="D33" s="51" t="n">
        <f aca="false">IF(D10="","",D10)</f>
        <v>46068</v>
      </c>
      <c r="E33" s="51" t="n">
        <f aca="false">IF(D33="","",D33)</f>
        <v>46068</v>
      </c>
      <c r="F33" s="51" t="str">
        <f aca="false">IF(_xlfn.MINIFS(2_Daily_input!$D$1:$FQ$1,2_Daily_input!$D$73:$FQ$73,"পিটানের আগে শেষ সেচ")+_xlfn.MINIFS(2_Daily_input!$D$1:$FQ$1,2_Daily_input!$D$74:$FQ$74,"পিটানের আগে শেষ সেচ")=0,"",IF(_xlfn.MINIFS(2_Daily_input!$D$1:$FQ$1,2_Daily_input!$D$73:$FQ$73,"পিটানের আগে শেষ সেচ")=0,_xlfn.MINIFS(2_Daily_input!$D$1:$FQ$1,2_Daily_input!$D$74:$FQ$74,"পিটানের আগে শেষ সেচ"),IF(_xlfn.MINIFS(2_Daily_input!$D$1:$FQ$1,2_Daily_input!$D$74:$FQ$74,"পিটানের আগে শেষ সেচ")=0,_xlfn.MINIFS(2_Daily_input!$D$1:$FQ$1,2_Daily_input!$D$73:$FQ$73,"পিটানের আগে শেষ সেচ"),MIN(_xlfn.MINIFS(2_Daily_input!$D$1:$FQ$1,2_Daily_input!$D$73:$FQ$73,"পিটানের আগে শেষ সেচ"),_xlfn.MINIFS(2_Daily_input!$D$1:$FQ$1,2_Daily_input!$D$74:$FQ$74,"পিটানের আগে শেষ সেচ")))))</f>
        <v/>
      </c>
      <c r="G33" s="51" t="str">
        <f aca="false">""</f>
        <v/>
      </c>
      <c r="H33" s="50" t="str">
        <f aca="true">IF(D33="","পরিকল্পনা নেই",IF(F33&lt;&gt;"",IF(F33-D33&gt;=2,"দেরি","ঠিক আছে"),IF(TODAY()&gt;D33+2,"সময় পেরিয়েছে","আসন্ন")))</f>
        <v>সময় পেরিয়েছে</v>
      </c>
      <c r="I33" s="50" t="str">
        <f aca="false">IF(AND(D33&lt;&gt;"",F33&lt;&gt;""),F33-D33,"")</f>
        <v/>
      </c>
      <c r="J33" s="51" t="n">
        <f aca="false">IF(F33&lt;&gt;"",F33,D33)</f>
        <v>46068</v>
      </c>
      <c r="K33" s="51" t="n">
        <f aca="false">IF(G33&lt;&gt;"",G33,IF(AND(F33&lt;&gt;"",E33=D33),F33,E33))</f>
        <v>46068</v>
      </c>
      <c r="L33" s="50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378</v>
      </c>
      <c r="B34" s="21" t="s">
        <v>352</v>
      </c>
      <c r="C34" s="21" t="s">
        <v>317</v>
      </c>
      <c r="D34" s="51" t="n">
        <f aca="false">IF(D11="","",D11)</f>
        <v>46072</v>
      </c>
      <c r="E34" s="51" t="n">
        <f aca="false">IF(D11="","",D11+cfg_10)</f>
        <v>46080</v>
      </c>
      <c r="F34" s="51" t="str">
        <f aca="false">IF(_xlfn.MINIFS(2_Daily_input!$D$1:$FQ$1,2_Daily_input!$D$73:$FQ$73,"পিটান শুরু")+_xlfn.MINIFS(2_Daily_input!$D$1:$FQ$1,2_Daily_input!$D$74:$FQ$74,"পিটান শুরু")=0,"",IF(_xlfn.MINIFS(2_Daily_input!$D$1:$FQ$1,2_Daily_input!$D$73:$FQ$73,"পিটান শুরু")=0,_xlfn.MINIFS(2_Daily_input!$D$1:$FQ$1,2_Daily_input!$D$74:$FQ$74,"পিটান শুরু"),IF(_xlfn.MINIFS(2_Daily_input!$D$1:$FQ$1,2_Daily_input!$D$74:$FQ$74,"পিটান শুরু")=0,_xlfn.MINIFS(2_Daily_input!$D$1:$FQ$1,2_Daily_input!$D$73:$FQ$73,"পিটান শুরু"),MIN(_xlfn.MINIFS(2_Daily_input!$D$1:$FQ$1,2_Daily_input!$D$73:$FQ$73,"পিটান শুরু"),_xlfn.MINIFS(2_Daily_input!$D$1:$FQ$1,2_Daily_input!$D$74:$FQ$74,"পিটান শুরু")))))</f>
        <v/>
      </c>
      <c r="G34" s="51" t="str">
        <f aca="false">IF(_xlfn.MINIFS(2_Daily_input!$D$1:$FQ$1,2_Daily_input!$D$73:$FQ$73,"পিটান শেষ")+_xlfn.MINIFS(2_Daily_input!$D$1:$FQ$1,2_Daily_input!$D$74:$FQ$74,"পিটান শেষ")=0,"",IF(_xlfn.MINIFS(2_Daily_input!$D$1:$FQ$1,2_Daily_input!$D$73:$FQ$73,"পিটান শেষ")=0,_xlfn.MINIFS(2_Daily_input!$D$1:$FQ$1,2_Daily_input!$D$74:$FQ$74,"পিটান শেষ"),IF(_xlfn.MINIFS(2_Daily_input!$D$1:$FQ$1,2_Daily_input!$D$74:$FQ$74,"পিটান শেষ")=0,_xlfn.MINIFS(2_Daily_input!$D$1:$FQ$1,2_Daily_input!$D$73:$FQ$73,"পিটান শেষ"),MIN(_xlfn.MINIFS(2_Daily_input!$D$1:$FQ$1,2_Daily_input!$D$73:$FQ$73,"পিটান শেষ"),_xlfn.MINIFS(2_Daily_input!$D$1:$FQ$1,2_Daily_input!$D$74:$FQ$74,"পিটান শেষ")))))</f>
        <v/>
      </c>
      <c r="H34" s="50" t="str">
        <f aca="true">IF(D34="","পরিকল্পনা নেই",IF(F34&lt;&gt;"",IF(F34-D34&gt;=2,"দেরি","ঠিক আছে"),IF(TODAY()&gt;D34+2,"সময় পেরিয়েছে","আসন্ন")))</f>
        <v>সময় পেরিয়েছে</v>
      </c>
      <c r="I34" s="50" t="str">
        <f aca="false">IF(AND(D34&lt;&gt;"",F34&lt;&gt;""),F34-D34,"")</f>
        <v/>
      </c>
      <c r="J34" s="51" t="n">
        <f aca="false">IF(F34&lt;&gt;"",F34,D34)</f>
        <v>46072</v>
      </c>
      <c r="K34" s="51" t="n">
        <f aca="false">IF(G34&lt;&gt;"",G34,IF(AND(F34&lt;&gt;"",E34=D34),F34,E34))</f>
        <v>46080</v>
      </c>
      <c r="L34" s="50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379</v>
      </c>
      <c r="B35" s="21" t="s">
        <v>360</v>
      </c>
      <c r="C35" s="21" t="s">
        <v>317</v>
      </c>
      <c r="D35" s="51" t="n">
        <f aca="false">IF(D11="","",D11+cfg_10)</f>
        <v>46080</v>
      </c>
      <c r="E35" s="51" t="n">
        <f aca="false">IF(D35="","",D35)</f>
        <v>46080</v>
      </c>
      <c r="F35" s="51" t="str">
        <f aca="false">IF(_xlfn.MINIFS(2_Daily_input!$D$1:$FQ$1,2_Daily_input!$D$73:$FQ$73,"পিটানের পরে প্লাবন")+_xlfn.MINIFS(2_Daily_input!$D$1:$FQ$1,2_Daily_input!$D$74:$FQ$74,"পিটানের পরে প্লাবন")=0,"",IF(_xlfn.MINIFS(2_Daily_input!$D$1:$FQ$1,2_Daily_input!$D$73:$FQ$73,"পিটানের পরে প্লাবন")=0,_xlfn.MINIFS(2_Daily_input!$D$1:$FQ$1,2_Daily_input!$D$74:$FQ$74,"পিটানের পরে প্লাবন"),IF(_xlfn.MINIFS(2_Daily_input!$D$1:$FQ$1,2_Daily_input!$D$74:$FQ$74,"পিটানের পরে প্লাবন")=0,_xlfn.MINIFS(2_Daily_input!$D$1:$FQ$1,2_Daily_input!$D$73:$FQ$73,"পিটানের পরে প্লাবন"),MIN(_xlfn.MINIFS(2_Daily_input!$D$1:$FQ$1,2_Daily_input!$D$73:$FQ$73,"পিটানের পরে প্লাবন"),_xlfn.MINIFS(2_Daily_input!$D$1:$FQ$1,2_Daily_input!$D$74:$FQ$74,"পিটানের পরে প্লাবন")))))</f>
        <v/>
      </c>
      <c r="G35" s="51" t="str">
        <f aca="false">""</f>
        <v/>
      </c>
      <c r="H35" s="50" t="str">
        <f aca="true">IF(D35="","পরিকল্পনা নেই",IF(F35&lt;&gt;"",IF(F35-D35&gt;=2,"দেরি","ঠিক আছে"),IF(TODAY()&gt;D35+2,"সময় পেরিয়েছে","আসন্ন")))</f>
        <v>সময় পেরিয়েছে</v>
      </c>
      <c r="I35" s="50" t="str">
        <f aca="false">IF(AND(D35&lt;&gt;"",F35&lt;&gt;""),F35-D35,"")</f>
        <v/>
      </c>
      <c r="J35" s="51" t="n">
        <f aca="false">IF(F35&lt;&gt;"",F35,D35)</f>
        <v>46080</v>
      </c>
      <c r="K35" s="51" t="n">
        <f aca="false">IF(G35&lt;&gt;"",G35,IF(AND(F35&lt;&gt;"",E35=D35),F35,E35))</f>
        <v>46080</v>
      </c>
      <c r="L35" s="50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367</v>
      </c>
      <c r="B36" s="21" t="s">
        <v>367</v>
      </c>
      <c r="C36" s="21" t="s">
        <v>317</v>
      </c>
      <c r="D36" s="51" t="n">
        <f aca="false">IF(D19="","",D19)</f>
        <v>46118</v>
      </c>
      <c r="E36" s="51" t="n">
        <f aca="false">IF(D36="","",D36)</f>
        <v>46118</v>
      </c>
      <c r="F36" s="51" t="str">
        <f aca="false">IF(_xlfn.MINIFS(2_Daily_input!$D$1:$FQ$1,2_Daily_input!$D$73:$FQ$73,"শীষ বের হওয়া")+_xlfn.MINIFS(2_Daily_input!$D$1:$FQ$1,2_Daily_input!$D$74:$FQ$74,"শীষ বের হওয়া")=0,"",IF(_xlfn.MINIFS(2_Daily_input!$D$1:$FQ$1,2_Daily_input!$D$73:$FQ$73,"শীষ বের হওয়া")=0,_xlfn.MINIFS(2_Daily_input!$D$1:$FQ$1,2_Daily_input!$D$74:$FQ$74,"শীষ বের হওয়া"),IF(_xlfn.MINIFS(2_Daily_input!$D$1:$FQ$1,2_Daily_input!$D$74:$FQ$74,"শীষ বের হওয়া")=0,_xlfn.MINIFS(2_Daily_input!$D$1:$FQ$1,2_Daily_input!$D$73:$FQ$73,"শীষ বের হওয়া"),MIN(_xlfn.MINIFS(2_Daily_input!$D$1:$FQ$1,2_Daily_input!$D$73:$FQ$73,"শীষ বের হওয়া"),_xlfn.MINIFS(2_Daily_input!$D$1:$FQ$1,2_Daily_input!$D$74:$FQ$74,"শীষ বের হওয়া")))))</f>
        <v/>
      </c>
      <c r="G36" s="51" t="str">
        <f aca="false">""</f>
        <v/>
      </c>
      <c r="H36" s="50" t="str">
        <f aca="true">IF(D36="","পরিকল্পনা নেই",IF(F36&lt;&gt;"",IF(F36-D36&gt;=2,"দেরি","ঠিক আছে"),IF(TODAY()&gt;D36+2,"সময় পেরিয়েছে","আসন্ন")))</f>
        <v>সময় পেরিয়েছে</v>
      </c>
      <c r="I36" s="50" t="str">
        <f aca="false">IF(AND(D36&lt;&gt;"",F36&lt;&gt;""),F36-D36,"")</f>
        <v/>
      </c>
      <c r="J36" s="51" t="n">
        <f aca="false">IF(F36&lt;&gt;"",F36,D36)</f>
        <v>46118</v>
      </c>
      <c r="K36" s="51" t="n">
        <f aca="false">IF(G36&lt;&gt;"",G36,IF(AND(F36&lt;&gt;"",E36=D36),F36,E36))</f>
        <v>46118</v>
      </c>
      <c r="L36" s="50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375</v>
      </c>
      <c r="B37" s="21" t="s">
        <v>375</v>
      </c>
      <c r="C37" s="21" t="s">
        <v>317</v>
      </c>
      <c r="D37" s="51" t="n">
        <f aca="false">IF(D25="","",D25-cfg_11)</f>
        <v>46131</v>
      </c>
      <c r="E37" s="51" t="n">
        <f aca="false">IF(D37="","",D37)</f>
        <v>46131</v>
      </c>
      <c r="F37" s="51" t="str">
        <f aca="false">IF(_xlfn.MINIFS(2_Daily_input!$D$1:$FQ$1,2_Daily_input!$D$73:$FQ$73,"শেষ সেচ")+_xlfn.MINIFS(2_Daily_input!$D$1:$FQ$1,2_Daily_input!$D$74:$FQ$74,"শেষ সেচ")=0,"",IF(_xlfn.MINIFS(2_Daily_input!$D$1:$FQ$1,2_Daily_input!$D$73:$FQ$73,"শেষ সেচ")=0,_xlfn.MINIFS(2_Daily_input!$D$1:$FQ$1,2_Daily_input!$D$74:$FQ$74,"শেষ সেচ"),IF(_xlfn.MINIFS(2_Daily_input!$D$1:$FQ$1,2_Daily_input!$D$74:$FQ$74,"শেষ সেচ")=0,_xlfn.MINIFS(2_Daily_input!$D$1:$FQ$1,2_Daily_input!$D$73:$FQ$73,"শেষ সেচ"),MIN(_xlfn.MINIFS(2_Daily_input!$D$1:$FQ$1,2_Daily_input!$D$73:$FQ$73,"শেষ সেচ"),_xlfn.MINIFS(2_Daily_input!$D$1:$FQ$1,2_Daily_input!$D$74:$FQ$74,"শেষ সেচ")))))</f>
        <v/>
      </c>
      <c r="G37" s="51" t="str">
        <f aca="false">""</f>
        <v/>
      </c>
      <c r="H37" s="50" t="str">
        <f aca="true">IF(D37="","পরিকল্পনা নেই",IF(F37&lt;&gt;"",IF(F37-D37&gt;=2,"দেরি","ঠিক আছে"),IF(TODAY()&gt;D37+2,"সময় পেরিয়েছে","আসন্ন")))</f>
        <v>সময় পেরিয়েছে</v>
      </c>
      <c r="I37" s="50" t="str">
        <f aca="false">IF(AND(D37&lt;&gt;"",F37&lt;&gt;""),F37-D37,"")</f>
        <v/>
      </c>
      <c r="J37" s="51" t="n">
        <f aca="false">IF(F37&lt;&gt;"",F37,D37)</f>
        <v>46131</v>
      </c>
      <c r="K37" s="51" t="n">
        <f aca="false">IF(G37&lt;&gt;"",G37,IF(AND(F37&lt;&gt;"",E37=D37),F37,E37))</f>
        <v>46131</v>
      </c>
      <c r="L37" s="50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376</v>
      </c>
      <c r="B38" s="21" t="s">
        <v>376</v>
      </c>
      <c r="C38" s="21" t="s">
        <v>317</v>
      </c>
      <c r="D38" s="51" t="n">
        <f aca="false">IF(D25="","",D25)</f>
        <v>46146</v>
      </c>
      <c r="E38" s="51" t="n">
        <f aca="false">IF(D38="","",D38)</f>
        <v>46146</v>
      </c>
      <c r="F38" s="51" t="str">
        <f aca="false">IF(_xlfn.MINIFS(2_Daily_input!$D$1:$FQ$1,2_Daily_input!$D$73:$FQ$73,"ধান কাটা")+_xlfn.MINIFS(2_Daily_input!$D$1:$FQ$1,2_Daily_input!$D$74:$FQ$74,"ধান কাটা")=0,"",IF(_xlfn.MINIFS(2_Daily_input!$D$1:$FQ$1,2_Daily_input!$D$73:$FQ$73,"ধান কাটা")=0,_xlfn.MINIFS(2_Daily_input!$D$1:$FQ$1,2_Daily_input!$D$74:$FQ$74,"ধান কাটা"),IF(_xlfn.MINIFS(2_Daily_input!$D$1:$FQ$1,2_Daily_input!$D$74:$FQ$74,"ধান কাটা")=0,_xlfn.MINIFS(2_Daily_input!$D$1:$FQ$1,2_Daily_input!$D$73:$FQ$73,"ধান কাটা"),MIN(_xlfn.MINIFS(2_Daily_input!$D$1:$FQ$1,2_Daily_input!$D$73:$FQ$73,"ধান কাটা"),_xlfn.MINIFS(2_Daily_input!$D$1:$FQ$1,2_Daily_input!$D$74:$FQ$74,"ধান কাটা")))))</f>
        <v/>
      </c>
      <c r="G38" s="51" t="str">
        <f aca="false">""</f>
        <v/>
      </c>
      <c r="H38" s="50" t="str">
        <f aca="true">IF(D38="","পরিকল্পনা নেই",IF(F38&lt;&gt;"",IF(F38-D38&gt;=2,"দেরি","ঠিক আছে"),IF(TODAY()&gt;D38+2,"সময় পেরিয়েছে","আসন্ন")))</f>
        <v>সময় পেরিয়েছে</v>
      </c>
      <c r="I38" s="50" t="str">
        <f aca="false">IF(AND(D38&lt;&gt;"",F38&lt;&gt;""),F38-D38,"")</f>
        <v/>
      </c>
      <c r="J38" s="51" t="n">
        <f aca="false">IF(F38&lt;&gt;"",F38,D38)</f>
        <v>46146</v>
      </c>
      <c r="K38" s="51" t="n">
        <f aca="false">IF(G38&lt;&gt;"",G38,IF(AND(F38&lt;&gt;"",E38=D38),F38,E38))</f>
        <v>46146</v>
      </c>
      <c r="L38" s="50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380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OR(H5="দেরি",H5="সময় পেরিয়েছে")</formula>
    </cfRule>
    <cfRule type="expression" priority="6" aboveAverage="0" equalAverage="0" bottom="0" percent="0" rank="0" text="" dxfId="6">
      <formula>H5="ঠিক আছে"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Site-01</v>
      </c>
      <c r="B1" s="24" t="s">
        <v>381</v>
      </c>
      <c r="C1" s="24" t="s">
        <v>382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48" t="s">
        <v>383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48" t="s">
        <v>384</v>
      </c>
      <c r="D3" s="27" t="n">
        <f aca="false">IF(D1="","",D1-TransDate)</f>
        <v>-52</v>
      </c>
      <c r="E3" s="27" t="n">
        <f aca="false">IF(E1="","",E1-TransDate)</f>
        <v>-51</v>
      </c>
      <c r="F3" s="27" t="n">
        <f aca="false">IF(F1="","",F1-TransDate)</f>
        <v>-50</v>
      </c>
      <c r="G3" s="27" t="n">
        <f aca="false">IF(G1="","",G1-TransDate)</f>
        <v>-49</v>
      </c>
      <c r="H3" s="27" t="n">
        <f aca="false">IF(H1="","",H1-TransDate)</f>
        <v>-48</v>
      </c>
      <c r="I3" s="27" t="n">
        <f aca="false">IF(I1="","",I1-TransDate)</f>
        <v>-47</v>
      </c>
      <c r="J3" s="27" t="n">
        <f aca="false">IF(J1="","",J1-TransDate)</f>
        <v>-46</v>
      </c>
      <c r="K3" s="27" t="n">
        <f aca="false">IF(K1="","",K1-TransDate)</f>
        <v>-45</v>
      </c>
      <c r="L3" s="27" t="n">
        <f aca="false">IF(L1="","",L1-TransDate)</f>
        <v>-44</v>
      </c>
      <c r="M3" s="27" t="n">
        <f aca="false">IF(M1="","",M1-TransDate)</f>
        <v>-43</v>
      </c>
      <c r="N3" s="27" t="n">
        <f aca="false">IF(N1="","",N1-TransDate)</f>
        <v>-42</v>
      </c>
      <c r="O3" s="27" t="n">
        <f aca="false">IF(O1="","",O1-TransDate)</f>
        <v>-41</v>
      </c>
      <c r="P3" s="27" t="n">
        <f aca="false">IF(P1="","",P1-TransDate)</f>
        <v>-40</v>
      </c>
      <c r="Q3" s="27" t="n">
        <f aca="false">IF(Q1="","",Q1-TransDate)</f>
        <v>-39</v>
      </c>
      <c r="R3" s="27" t="n">
        <f aca="false">IF(R1="","",R1-TransDate)</f>
        <v>-38</v>
      </c>
      <c r="S3" s="27" t="n">
        <f aca="false">IF(S1="","",S1-TransDate)</f>
        <v>-37</v>
      </c>
      <c r="T3" s="27" t="n">
        <f aca="false">IF(T1="","",T1-TransDate)</f>
        <v>-36</v>
      </c>
      <c r="U3" s="27" t="n">
        <f aca="false">IF(U1="","",U1-TransDate)</f>
        <v>-35</v>
      </c>
      <c r="V3" s="27" t="n">
        <f aca="false">IF(V1="","",V1-TransDate)</f>
        <v>-34</v>
      </c>
      <c r="W3" s="27" t="n">
        <f aca="false">IF(W1="","",W1-TransDate)</f>
        <v>-33</v>
      </c>
      <c r="X3" s="27" t="n">
        <f aca="false">IF(X1="","",X1-TransDate)</f>
        <v>-32</v>
      </c>
      <c r="Y3" s="27" t="n">
        <f aca="false">IF(Y1="","",Y1-TransDate)</f>
        <v>-31</v>
      </c>
      <c r="Z3" s="27" t="n">
        <f aca="false">IF(Z1="","",Z1-TransDate)</f>
        <v>-30</v>
      </c>
      <c r="AA3" s="27" t="n">
        <f aca="false">IF(AA1="","",AA1-TransDate)</f>
        <v>-29</v>
      </c>
      <c r="AB3" s="27" t="n">
        <f aca="false">IF(AB1="","",AB1-TransDate)</f>
        <v>-28</v>
      </c>
      <c r="AC3" s="27" t="n">
        <f aca="false">IF(AC1="","",AC1-TransDate)</f>
        <v>-27</v>
      </c>
      <c r="AD3" s="27" t="n">
        <f aca="false">IF(AD1="","",AD1-TransDate)</f>
        <v>-26</v>
      </c>
      <c r="AE3" s="27" t="n">
        <f aca="false">IF(AE1="","",AE1-TransDate)</f>
        <v>-25</v>
      </c>
      <c r="AF3" s="27" t="n">
        <f aca="false">IF(AF1="","",AF1-TransDate)</f>
        <v>-24</v>
      </c>
      <c r="AG3" s="27" t="n">
        <f aca="false">IF(AG1="","",AG1-TransDate)</f>
        <v>-23</v>
      </c>
      <c r="AH3" s="27" t="n">
        <f aca="false">IF(AH1="","",AH1-TransDate)</f>
        <v>-22</v>
      </c>
      <c r="AI3" s="27" t="n">
        <f aca="false">IF(AI1="","",AI1-TransDate)</f>
        <v>-21</v>
      </c>
      <c r="AJ3" s="27" t="n">
        <f aca="false">IF(AJ1="","",AJ1-TransDate)</f>
        <v>-20</v>
      </c>
      <c r="AK3" s="27" t="n">
        <f aca="false">IF(AK1="","",AK1-TransDate)</f>
        <v>-19</v>
      </c>
      <c r="AL3" s="27" t="n">
        <f aca="false">IF(AL1="","",AL1-TransDate)</f>
        <v>-18</v>
      </c>
      <c r="AM3" s="27" t="n">
        <f aca="false">IF(AM1="","",AM1-TransDate)</f>
        <v>-17</v>
      </c>
      <c r="AN3" s="27" t="n">
        <f aca="false">IF(AN1="","",AN1-TransDate)</f>
        <v>-16</v>
      </c>
      <c r="AO3" s="27" t="n">
        <f aca="false">IF(AO1="","",AO1-TransDate)</f>
        <v>-15</v>
      </c>
      <c r="AP3" s="27" t="n">
        <f aca="false">IF(AP1="","",AP1-TransDate)</f>
        <v>-14</v>
      </c>
      <c r="AQ3" s="27" t="n">
        <f aca="false">IF(AQ1="","",AQ1-TransDate)</f>
        <v>-13</v>
      </c>
      <c r="AR3" s="27" t="n">
        <f aca="false">IF(AR1="","",AR1-TransDate)</f>
        <v>-12</v>
      </c>
      <c r="AS3" s="27" t="n">
        <f aca="false">IF(AS1="","",AS1-TransDate)</f>
        <v>-11</v>
      </c>
      <c r="AT3" s="27" t="n">
        <f aca="false">IF(AT1="","",AT1-TransDate)</f>
        <v>-10</v>
      </c>
      <c r="AU3" s="27" t="n">
        <f aca="false">IF(AU1="","",AU1-TransDate)</f>
        <v>-9</v>
      </c>
      <c r="AV3" s="27" t="n">
        <f aca="false">IF(AV1="","",AV1-TransDate)</f>
        <v>-8</v>
      </c>
      <c r="AW3" s="27" t="n">
        <f aca="false">IF(AW1="","",AW1-TransDate)</f>
        <v>-7</v>
      </c>
      <c r="AX3" s="27" t="n">
        <f aca="false">IF(AX1="","",AX1-TransDate)</f>
        <v>-6</v>
      </c>
      <c r="AY3" s="27" t="n">
        <f aca="false">IF(AY1="","",AY1-TransDate)</f>
        <v>-5</v>
      </c>
      <c r="AZ3" s="27" t="n">
        <f aca="false">IF(AZ1="","",AZ1-TransDate)</f>
        <v>-4</v>
      </c>
      <c r="BA3" s="27" t="n">
        <f aca="false">IF(BA1="","",BA1-TransDate)</f>
        <v>-3</v>
      </c>
      <c r="BB3" s="27" t="n">
        <f aca="false">IF(BB1="","",BB1-TransDate)</f>
        <v>-2</v>
      </c>
      <c r="BC3" s="27" t="n">
        <f aca="false">IF(BC1="","",BC1-TransDate)</f>
        <v>-1</v>
      </c>
      <c r="BD3" s="27" t="n">
        <f aca="false">IF(BD1="","",BD1-TransDate)</f>
        <v>0</v>
      </c>
      <c r="BE3" s="27" t="n">
        <f aca="false">IF(BE1="","",BE1-TransDate)</f>
        <v>1</v>
      </c>
      <c r="BF3" s="27" t="n">
        <f aca="false">IF(BF1="","",BF1-TransDate)</f>
        <v>2</v>
      </c>
      <c r="BG3" s="27" t="n">
        <f aca="false">IF(BG1="","",BG1-TransDate)</f>
        <v>3</v>
      </c>
      <c r="BH3" s="27" t="n">
        <f aca="false">IF(BH1="","",BH1-TransDate)</f>
        <v>4</v>
      </c>
      <c r="BI3" s="27" t="n">
        <f aca="false">IF(BI1="","",BI1-TransDate)</f>
        <v>5</v>
      </c>
      <c r="BJ3" s="27" t="n">
        <f aca="false">IF(BJ1="","",BJ1-TransDate)</f>
        <v>6</v>
      </c>
      <c r="BK3" s="27" t="n">
        <f aca="false">IF(BK1="","",BK1-TransDate)</f>
        <v>7</v>
      </c>
      <c r="BL3" s="27" t="n">
        <f aca="false">IF(BL1="","",BL1-TransDate)</f>
        <v>8</v>
      </c>
      <c r="BM3" s="27" t="n">
        <f aca="false">IF(BM1="","",BM1-TransDate)</f>
        <v>9</v>
      </c>
      <c r="BN3" s="27" t="n">
        <f aca="false">IF(BN1="","",BN1-TransDate)</f>
        <v>10</v>
      </c>
      <c r="BO3" s="27" t="n">
        <f aca="false">IF(BO1="","",BO1-TransDate)</f>
        <v>11</v>
      </c>
      <c r="BP3" s="27" t="n">
        <f aca="false">IF(BP1="","",BP1-TransDate)</f>
        <v>12</v>
      </c>
      <c r="BQ3" s="27" t="n">
        <f aca="false">IF(BQ1="","",BQ1-TransDate)</f>
        <v>13</v>
      </c>
      <c r="BR3" s="27" t="n">
        <f aca="false">IF(BR1="","",BR1-TransDate)</f>
        <v>14</v>
      </c>
      <c r="BS3" s="27" t="n">
        <f aca="false">IF(BS1="","",BS1-TransDate)</f>
        <v>15</v>
      </c>
      <c r="BT3" s="27" t="n">
        <f aca="false">IF(BT1="","",BT1-TransDate)</f>
        <v>16</v>
      </c>
      <c r="BU3" s="27" t="n">
        <f aca="false">IF(BU1="","",BU1-TransDate)</f>
        <v>17</v>
      </c>
      <c r="BV3" s="27" t="n">
        <f aca="false">IF(BV1="","",BV1-TransDate)</f>
        <v>18</v>
      </c>
      <c r="BW3" s="27" t="n">
        <f aca="false">IF(BW1="","",BW1-TransDate)</f>
        <v>19</v>
      </c>
      <c r="BX3" s="27" t="n">
        <f aca="false">IF(BX1="","",BX1-TransDate)</f>
        <v>20</v>
      </c>
      <c r="BY3" s="27" t="n">
        <f aca="false">IF(BY1="","",BY1-TransDate)</f>
        <v>21</v>
      </c>
      <c r="BZ3" s="27" t="n">
        <f aca="false">IF(BZ1="","",BZ1-TransDate)</f>
        <v>22</v>
      </c>
      <c r="CA3" s="27" t="n">
        <f aca="false">IF(CA1="","",CA1-TransDate)</f>
        <v>23</v>
      </c>
      <c r="CB3" s="27" t="n">
        <f aca="false">IF(CB1="","",CB1-TransDate)</f>
        <v>24</v>
      </c>
      <c r="CC3" s="27" t="n">
        <f aca="false">IF(CC1="","",CC1-TransDate)</f>
        <v>25</v>
      </c>
      <c r="CD3" s="27" t="n">
        <f aca="false">IF(CD1="","",CD1-TransDate)</f>
        <v>26</v>
      </c>
      <c r="CE3" s="27" t="n">
        <f aca="false">IF(CE1="","",CE1-TransDate)</f>
        <v>27</v>
      </c>
      <c r="CF3" s="27" t="n">
        <f aca="false">IF(CF1="","",CF1-TransDate)</f>
        <v>28</v>
      </c>
      <c r="CG3" s="27" t="n">
        <f aca="false">IF(CG1="","",CG1-TransDate)</f>
        <v>29</v>
      </c>
      <c r="CH3" s="27" t="n">
        <f aca="false">IF(CH1="","",CH1-TransDate)</f>
        <v>30</v>
      </c>
      <c r="CI3" s="27" t="n">
        <f aca="false">IF(CI1="","",CI1-TransDate)</f>
        <v>31</v>
      </c>
      <c r="CJ3" s="27" t="n">
        <f aca="false">IF(CJ1="","",CJ1-TransDate)</f>
        <v>32</v>
      </c>
      <c r="CK3" s="27" t="n">
        <f aca="false">IF(CK1="","",CK1-TransDate)</f>
        <v>33</v>
      </c>
      <c r="CL3" s="27" t="n">
        <f aca="false">IF(CL1="","",CL1-TransDate)</f>
        <v>34</v>
      </c>
      <c r="CM3" s="27" t="n">
        <f aca="false">IF(CM1="","",CM1-TransDate)</f>
        <v>35</v>
      </c>
      <c r="CN3" s="27" t="n">
        <f aca="false">IF(CN1="","",CN1-TransDate)</f>
        <v>36</v>
      </c>
      <c r="CO3" s="27" t="n">
        <f aca="false">IF(CO1="","",CO1-TransDate)</f>
        <v>37</v>
      </c>
      <c r="CP3" s="27" t="n">
        <f aca="false">IF(CP1="","",CP1-TransDate)</f>
        <v>38</v>
      </c>
      <c r="CQ3" s="27" t="n">
        <f aca="false">IF(CQ1="","",CQ1-TransDate)</f>
        <v>39</v>
      </c>
      <c r="CR3" s="27" t="n">
        <f aca="false">IF(CR1="","",CR1-TransDate)</f>
        <v>40</v>
      </c>
      <c r="CS3" s="27" t="n">
        <f aca="false">IF(CS1="","",CS1-TransDate)</f>
        <v>41</v>
      </c>
      <c r="CT3" s="27" t="n">
        <f aca="false">IF(CT1="","",CT1-TransDate)</f>
        <v>42</v>
      </c>
      <c r="CU3" s="27" t="n">
        <f aca="false">IF(CU1="","",CU1-TransDate)</f>
        <v>43</v>
      </c>
      <c r="CV3" s="27" t="n">
        <f aca="false">IF(CV1="","",CV1-TransDate)</f>
        <v>44</v>
      </c>
      <c r="CW3" s="27" t="n">
        <f aca="false">IF(CW1="","",CW1-TransDate)</f>
        <v>45</v>
      </c>
      <c r="CX3" s="27" t="n">
        <f aca="false">IF(CX1="","",CX1-TransDate)</f>
        <v>46</v>
      </c>
      <c r="CY3" s="27" t="n">
        <f aca="false">IF(CY1="","",CY1-TransDate)</f>
        <v>47</v>
      </c>
      <c r="CZ3" s="27" t="n">
        <f aca="false">IF(CZ1="","",CZ1-TransDate)</f>
        <v>48</v>
      </c>
      <c r="DA3" s="27" t="n">
        <f aca="false">IF(DA1="","",DA1-TransDate)</f>
        <v>49</v>
      </c>
      <c r="DB3" s="27" t="n">
        <f aca="false">IF(DB1="","",DB1-TransDate)</f>
        <v>50</v>
      </c>
      <c r="DC3" s="27" t="n">
        <f aca="false">IF(DC1="","",DC1-TransDate)</f>
        <v>51</v>
      </c>
      <c r="DD3" s="27" t="n">
        <f aca="false">IF(DD1="","",DD1-TransDate)</f>
        <v>52</v>
      </c>
      <c r="DE3" s="27" t="n">
        <f aca="false">IF(DE1="","",DE1-TransDate)</f>
        <v>53</v>
      </c>
      <c r="DF3" s="27" t="n">
        <f aca="false">IF(DF1="","",DF1-TransDate)</f>
        <v>54</v>
      </c>
      <c r="DG3" s="27" t="n">
        <f aca="false">IF(DG1="","",DG1-TransDate)</f>
        <v>55</v>
      </c>
      <c r="DH3" s="27" t="n">
        <f aca="false">IF(DH1="","",DH1-TransDate)</f>
        <v>56</v>
      </c>
      <c r="DI3" s="27" t="n">
        <f aca="false">IF(DI1="","",DI1-TransDate)</f>
        <v>57</v>
      </c>
      <c r="DJ3" s="27" t="n">
        <f aca="false">IF(DJ1="","",DJ1-TransDate)</f>
        <v>58</v>
      </c>
      <c r="DK3" s="27" t="n">
        <f aca="false">IF(DK1="","",DK1-TransDate)</f>
        <v>59</v>
      </c>
      <c r="DL3" s="27" t="n">
        <f aca="false">IF(DL1="","",DL1-TransDate)</f>
        <v>60</v>
      </c>
      <c r="DM3" s="27" t="n">
        <f aca="false">IF(DM1="","",DM1-TransDate)</f>
        <v>61</v>
      </c>
      <c r="DN3" s="27" t="n">
        <f aca="false">IF(DN1="","",DN1-TransDate)</f>
        <v>62</v>
      </c>
      <c r="DO3" s="27" t="n">
        <f aca="false">IF(DO1="","",DO1-TransDate)</f>
        <v>63</v>
      </c>
      <c r="DP3" s="27" t="n">
        <f aca="false">IF(DP1="","",DP1-TransDate)</f>
        <v>64</v>
      </c>
      <c r="DQ3" s="27" t="n">
        <f aca="false">IF(DQ1="","",DQ1-TransDate)</f>
        <v>65</v>
      </c>
      <c r="DR3" s="27" t="n">
        <f aca="false">IF(DR1="","",DR1-TransDate)</f>
        <v>66</v>
      </c>
      <c r="DS3" s="27" t="n">
        <f aca="false">IF(DS1="","",DS1-TransDate)</f>
        <v>67</v>
      </c>
      <c r="DT3" s="27" t="n">
        <f aca="false">IF(DT1="","",DT1-TransDate)</f>
        <v>68</v>
      </c>
      <c r="DU3" s="27" t="n">
        <f aca="false">IF(DU1="","",DU1-TransDate)</f>
        <v>69</v>
      </c>
      <c r="DV3" s="27" t="n">
        <f aca="false">IF(DV1="","",DV1-TransDate)</f>
        <v>70</v>
      </c>
      <c r="DW3" s="27" t="n">
        <f aca="false">IF(DW1="","",DW1-TransDate)</f>
        <v>71</v>
      </c>
      <c r="DX3" s="27" t="n">
        <f aca="false">IF(DX1="","",DX1-TransDate)</f>
        <v>72</v>
      </c>
      <c r="DY3" s="27" t="n">
        <f aca="false">IF(DY1="","",DY1-TransDate)</f>
        <v>73</v>
      </c>
      <c r="DZ3" s="27" t="n">
        <f aca="false">IF(DZ1="","",DZ1-TransDate)</f>
        <v>74</v>
      </c>
      <c r="EA3" s="27" t="n">
        <f aca="false">IF(EA1="","",EA1-TransDate)</f>
        <v>75</v>
      </c>
      <c r="EB3" s="27" t="n">
        <f aca="false">IF(EB1="","",EB1-TransDate)</f>
        <v>76</v>
      </c>
      <c r="EC3" s="27" t="n">
        <f aca="false">IF(EC1="","",EC1-TransDate)</f>
        <v>77</v>
      </c>
      <c r="ED3" s="27" t="n">
        <f aca="false">IF(ED1="","",ED1-TransDate)</f>
        <v>78</v>
      </c>
      <c r="EE3" s="27" t="n">
        <f aca="false">IF(EE1="","",EE1-TransDate)</f>
        <v>79</v>
      </c>
      <c r="EF3" s="27" t="n">
        <f aca="false">IF(EF1="","",EF1-TransDate)</f>
        <v>80</v>
      </c>
      <c r="EG3" s="27" t="n">
        <f aca="false">IF(EG1="","",EG1-TransDate)</f>
        <v>81</v>
      </c>
      <c r="EH3" s="27" t="n">
        <f aca="false">IF(EH1="","",EH1-TransDate)</f>
        <v>82</v>
      </c>
      <c r="EI3" s="27" t="n">
        <f aca="false">IF(EI1="","",EI1-TransDate)</f>
        <v>83</v>
      </c>
      <c r="EJ3" s="27" t="n">
        <f aca="false">IF(EJ1="","",EJ1-TransDate)</f>
        <v>84</v>
      </c>
      <c r="EK3" s="27" t="n">
        <f aca="false">IF(EK1="","",EK1-TransDate)</f>
        <v>85</v>
      </c>
      <c r="EL3" s="27" t="n">
        <f aca="false">IF(EL1="","",EL1-TransDate)</f>
        <v>86</v>
      </c>
      <c r="EM3" s="27" t="n">
        <f aca="false">IF(EM1="","",EM1-TransDate)</f>
        <v>87</v>
      </c>
      <c r="EN3" s="27" t="n">
        <f aca="false">IF(EN1="","",EN1-TransDate)</f>
        <v>88</v>
      </c>
      <c r="EO3" s="27" t="n">
        <f aca="false">IF(EO1="","",EO1-TransDate)</f>
        <v>89</v>
      </c>
      <c r="EP3" s="27" t="n">
        <f aca="false">IF(EP1="","",EP1-TransDate)</f>
        <v>90</v>
      </c>
      <c r="EQ3" s="27" t="n">
        <f aca="false">IF(EQ1="","",EQ1-TransDate)</f>
        <v>91</v>
      </c>
      <c r="ER3" s="27" t="n">
        <f aca="false">IF(ER1="","",ER1-TransDate)</f>
        <v>92</v>
      </c>
      <c r="ES3" s="27" t="n">
        <f aca="false">IF(ES1="","",ES1-TransDate)</f>
        <v>93</v>
      </c>
      <c r="ET3" s="27" t="n">
        <f aca="false">IF(ET1="","",ET1-TransDate)</f>
        <v>94</v>
      </c>
      <c r="EU3" s="27" t="n">
        <f aca="false">IF(EU1="","",EU1-TransDate)</f>
        <v>95</v>
      </c>
      <c r="EV3" s="27" t="n">
        <f aca="false">IF(EV1="","",EV1-TransDate)</f>
        <v>96</v>
      </c>
      <c r="EW3" s="27" t="n">
        <f aca="false">IF(EW1="","",EW1-TransDate)</f>
        <v>97</v>
      </c>
      <c r="EX3" s="27" t="n">
        <f aca="false">IF(EX1="","",EX1-TransDate)</f>
        <v>98</v>
      </c>
      <c r="EY3" s="27" t="n">
        <f aca="false">IF(EY1="","",EY1-TransDate)</f>
        <v>99</v>
      </c>
      <c r="EZ3" s="27" t="n">
        <f aca="false">IF(EZ1="","",EZ1-TransDate)</f>
        <v>100</v>
      </c>
      <c r="FA3" s="27" t="n">
        <f aca="false">IF(FA1="","",FA1-TransDate)</f>
        <v>101</v>
      </c>
      <c r="FB3" s="27" t="n">
        <f aca="false">IF(FB1="","",FB1-TransDate)</f>
        <v>102</v>
      </c>
      <c r="FC3" s="27" t="n">
        <f aca="false">IF(FC1="","",FC1-TransDate)</f>
        <v>103</v>
      </c>
      <c r="FD3" s="27" t="n">
        <f aca="false">IF(FD1="","",FD1-TransDate)</f>
        <v>104</v>
      </c>
      <c r="FE3" s="27" t="n">
        <f aca="false">IF(FE1="","",FE1-TransDate)</f>
        <v>105</v>
      </c>
      <c r="FF3" s="27" t="n">
        <f aca="false">IF(FF1="","",FF1-TransDate)</f>
        <v>106</v>
      </c>
      <c r="FG3" s="27" t="n">
        <f aca="false">IF(FG1="","",FG1-TransDate)</f>
        <v>107</v>
      </c>
      <c r="FH3" s="27" t="n">
        <f aca="false">IF(FH1="","",FH1-TransDate)</f>
        <v>108</v>
      </c>
      <c r="FI3" s="27" t="n">
        <f aca="false">IF(FI1="","",FI1-TransDate)</f>
        <v>109</v>
      </c>
      <c r="FJ3" s="27" t="n">
        <f aca="false">IF(FJ1="","",FJ1-TransDate)</f>
        <v>110</v>
      </c>
      <c r="FK3" s="27" t="n">
        <f aca="false">IF(FK1="","",FK1-TransDate)</f>
        <v>111</v>
      </c>
      <c r="FL3" s="27" t="n">
        <f aca="false">IF(FL1="","",FL1-TransDate)</f>
        <v>112</v>
      </c>
      <c r="FM3" s="27" t="n">
        <f aca="false">IF(FM1="","",FM1-TransDate)</f>
        <v>113</v>
      </c>
      <c r="FN3" s="27" t="n">
        <f aca="false">IF(FN1="","",FN1-TransDate)</f>
        <v>114</v>
      </c>
      <c r="FO3" s="27" t="n">
        <f aca="false">IF(FO1="","",FO1-TransDate)</f>
        <v>115</v>
      </c>
      <c r="FP3" s="27" t="n">
        <f aca="false">IF(FP1="","",FP1-TransDate)</f>
        <v>116</v>
      </c>
      <c r="FQ3" s="27" t="n">
        <f aca="false">IF(FQ1="","",FQ1-TransDate)</f>
        <v>117</v>
      </c>
    </row>
    <row r="4" customFormat="false" ht="15" hidden="false" customHeight="false" outlineLevel="0" collapsed="false">
      <c r="B4" s="48" t="s">
        <v>385</v>
      </c>
      <c r="D4" s="27" t="n">
        <f aca="false">IF(OR(D1="",NOT(ISNUMBER(SowDate))),"",D1-SowDate)</f>
        <v>-3</v>
      </c>
      <c r="E4" s="27" t="n">
        <f aca="false">IF(OR(E1="",NOT(ISNUMBER(SowDate))),"",E1-SowDate)</f>
        <v>-2</v>
      </c>
      <c r="F4" s="27" t="n">
        <f aca="false">IF(OR(F1="",NOT(ISNUMBER(SowDate))),"",F1-SowDate)</f>
        <v>-1</v>
      </c>
      <c r="G4" s="27" t="n">
        <f aca="false">IF(OR(G1="",NOT(ISNUMBER(SowDate))),"",G1-SowDate)</f>
        <v>0</v>
      </c>
      <c r="H4" s="27" t="n">
        <f aca="false">IF(OR(H1="",NOT(ISNUMBER(SowDate))),"",H1-SowDate)</f>
        <v>1</v>
      </c>
      <c r="I4" s="27" t="n">
        <f aca="false">IF(OR(I1="",NOT(ISNUMBER(SowDate))),"",I1-SowDate)</f>
        <v>2</v>
      </c>
      <c r="J4" s="27" t="n">
        <f aca="false">IF(OR(J1="",NOT(ISNUMBER(SowDate))),"",J1-SowDate)</f>
        <v>3</v>
      </c>
      <c r="K4" s="27" t="n">
        <f aca="false">IF(OR(K1="",NOT(ISNUMBER(SowDate))),"",K1-SowDate)</f>
        <v>4</v>
      </c>
      <c r="L4" s="27" t="n">
        <f aca="false">IF(OR(L1="",NOT(ISNUMBER(SowDate))),"",L1-SowDate)</f>
        <v>5</v>
      </c>
      <c r="M4" s="27" t="n">
        <f aca="false">IF(OR(M1="",NOT(ISNUMBER(SowDate))),"",M1-SowDate)</f>
        <v>6</v>
      </c>
      <c r="N4" s="27" t="n">
        <f aca="false">IF(OR(N1="",NOT(ISNUMBER(SowDate))),"",N1-SowDate)</f>
        <v>7</v>
      </c>
      <c r="O4" s="27" t="n">
        <f aca="false">IF(OR(O1="",NOT(ISNUMBER(SowDate))),"",O1-SowDate)</f>
        <v>8</v>
      </c>
      <c r="P4" s="27" t="n">
        <f aca="false">IF(OR(P1="",NOT(ISNUMBER(SowDate))),"",P1-SowDate)</f>
        <v>9</v>
      </c>
      <c r="Q4" s="27" t="n">
        <f aca="false">IF(OR(Q1="",NOT(ISNUMBER(SowDate))),"",Q1-SowDate)</f>
        <v>10</v>
      </c>
      <c r="R4" s="27" t="n">
        <f aca="false">IF(OR(R1="",NOT(ISNUMBER(SowDate))),"",R1-SowDate)</f>
        <v>11</v>
      </c>
      <c r="S4" s="27" t="n">
        <f aca="false">IF(OR(S1="",NOT(ISNUMBER(SowDate))),"",S1-SowDate)</f>
        <v>12</v>
      </c>
      <c r="T4" s="27" t="n">
        <f aca="false">IF(OR(T1="",NOT(ISNUMBER(SowDate))),"",T1-SowDate)</f>
        <v>13</v>
      </c>
      <c r="U4" s="27" t="n">
        <f aca="false">IF(OR(U1="",NOT(ISNUMBER(SowDate))),"",U1-SowDate)</f>
        <v>14</v>
      </c>
      <c r="V4" s="27" t="n">
        <f aca="false">IF(OR(V1="",NOT(ISNUMBER(SowDate))),"",V1-SowDate)</f>
        <v>15</v>
      </c>
      <c r="W4" s="27" t="n">
        <f aca="false">IF(OR(W1="",NOT(ISNUMBER(SowDate))),"",W1-SowDate)</f>
        <v>16</v>
      </c>
      <c r="X4" s="27" t="n">
        <f aca="false">IF(OR(X1="",NOT(ISNUMBER(SowDate))),"",X1-SowDate)</f>
        <v>17</v>
      </c>
      <c r="Y4" s="27" t="n">
        <f aca="false">IF(OR(Y1="",NOT(ISNUMBER(SowDate))),"",Y1-SowDate)</f>
        <v>18</v>
      </c>
      <c r="Z4" s="27" t="n">
        <f aca="false">IF(OR(Z1="",NOT(ISNUMBER(SowDate))),"",Z1-SowDate)</f>
        <v>19</v>
      </c>
      <c r="AA4" s="27" t="n">
        <f aca="false">IF(OR(AA1="",NOT(ISNUMBER(SowDate))),"",AA1-SowDate)</f>
        <v>20</v>
      </c>
      <c r="AB4" s="27" t="n">
        <f aca="false">IF(OR(AB1="",NOT(ISNUMBER(SowDate))),"",AB1-SowDate)</f>
        <v>21</v>
      </c>
      <c r="AC4" s="27" t="n">
        <f aca="false">IF(OR(AC1="",NOT(ISNUMBER(SowDate))),"",AC1-SowDate)</f>
        <v>22</v>
      </c>
      <c r="AD4" s="27" t="n">
        <f aca="false">IF(OR(AD1="",NOT(ISNUMBER(SowDate))),"",AD1-SowDate)</f>
        <v>23</v>
      </c>
      <c r="AE4" s="27" t="n">
        <f aca="false">IF(OR(AE1="",NOT(ISNUMBER(SowDate))),"",AE1-SowDate)</f>
        <v>24</v>
      </c>
      <c r="AF4" s="27" t="n">
        <f aca="false">IF(OR(AF1="",NOT(ISNUMBER(SowDate))),"",AF1-SowDate)</f>
        <v>25</v>
      </c>
      <c r="AG4" s="27" t="n">
        <f aca="false">IF(OR(AG1="",NOT(ISNUMBER(SowDate))),"",AG1-SowDate)</f>
        <v>26</v>
      </c>
      <c r="AH4" s="27" t="n">
        <f aca="false">IF(OR(AH1="",NOT(ISNUMBER(SowDate))),"",AH1-SowDate)</f>
        <v>27</v>
      </c>
      <c r="AI4" s="27" t="n">
        <f aca="false">IF(OR(AI1="",NOT(ISNUMBER(SowDate))),"",AI1-SowDate)</f>
        <v>28</v>
      </c>
      <c r="AJ4" s="27" t="n">
        <f aca="false">IF(OR(AJ1="",NOT(ISNUMBER(SowDate))),"",AJ1-SowDate)</f>
        <v>29</v>
      </c>
      <c r="AK4" s="27" t="n">
        <f aca="false">IF(OR(AK1="",NOT(ISNUMBER(SowDate))),"",AK1-SowDate)</f>
        <v>30</v>
      </c>
      <c r="AL4" s="27" t="n">
        <f aca="false">IF(OR(AL1="",NOT(ISNUMBER(SowDate))),"",AL1-SowDate)</f>
        <v>31</v>
      </c>
      <c r="AM4" s="27" t="n">
        <f aca="false">IF(OR(AM1="",NOT(ISNUMBER(SowDate))),"",AM1-SowDate)</f>
        <v>32</v>
      </c>
      <c r="AN4" s="27" t="n">
        <f aca="false">IF(OR(AN1="",NOT(ISNUMBER(SowDate))),"",AN1-SowDate)</f>
        <v>33</v>
      </c>
      <c r="AO4" s="27" t="n">
        <f aca="false">IF(OR(AO1="",NOT(ISNUMBER(SowDate))),"",AO1-SowDate)</f>
        <v>34</v>
      </c>
      <c r="AP4" s="27" t="n">
        <f aca="false">IF(OR(AP1="",NOT(ISNUMBER(SowDate))),"",AP1-SowDate)</f>
        <v>35</v>
      </c>
      <c r="AQ4" s="27" t="n">
        <f aca="false">IF(OR(AQ1="",NOT(ISNUMBER(SowDate))),"",AQ1-SowDate)</f>
        <v>36</v>
      </c>
      <c r="AR4" s="27" t="n">
        <f aca="false">IF(OR(AR1="",NOT(ISNUMBER(SowDate))),"",AR1-SowDate)</f>
        <v>37</v>
      </c>
      <c r="AS4" s="27" t="n">
        <f aca="false">IF(OR(AS1="",NOT(ISNUMBER(SowDate))),"",AS1-SowDate)</f>
        <v>38</v>
      </c>
      <c r="AT4" s="27" t="n">
        <f aca="false">IF(OR(AT1="",NOT(ISNUMBER(SowDate))),"",AT1-SowDate)</f>
        <v>39</v>
      </c>
      <c r="AU4" s="27" t="n">
        <f aca="false">IF(OR(AU1="",NOT(ISNUMBER(SowDate))),"",AU1-SowDate)</f>
        <v>40</v>
      </c>
      <c r="AV4" s="27" t="n">
        <f aca="false">IF(OR(AV1="",NOT(ISNUMBER(SowDate))),"",AV1-SowDate)</f>
        <v>41</v>
      </c>
      <c r="AW4" s="27" t="n">
        <f aca="false">IF(OR(AW1="",NOT(ISNUMBER(SowDate))),"",AW1-SowDate)</f>
        <v>42</v>
      </c>
      <c r="AX4" s="27" t="n">
        <f aca="false">IF(OR(AX1="",NOT(ISNUMBER(SowDate))),"",AX1-SowDate)</f>
        <v>43</v>
      </c>
      <c r="AY4" s="27" t="n">
        <f aca="false">IF(OR(AY1="",NOT(ISNUMBER(SowDate))),"",AY1-SowDate)</f>
        <v>44</v>
      </c>
      <c r="AZ4" s="27" t="n">
        <f aca="false">IF(OR(AZ1="",NOT(ISNUMBER(SowDate))),"",AZ1-SowDate)</f>
        <v>45</v>
      </c>
      <c r="BA4" s="27" t="n">
        <f aca="false">IF(OR(BA1="",NOT(ISNUMBER(SowDate))),"",BA1-SowDate)</f>
        <v>46</v>
      </c>
      <c r="BB4" s="27" t="n">
        <f aca="false">IF(OR(BB1="",NOT(ISNUMBER(SowDate))),"",BB1-SowDate)</f>
        <v>47</v>
      </c>
      <c r="BC4" s="27" t="n">
        <f aca="false">IF(OR(BC1="",NOT(ISNUMBER(SowDate))),"",BC1-SowDate)</f>
        <v>48</v>
      </c>
      <c r="BD4" s="27" t="n">
        <f aca="false">IF(OR(BD1="",NOT(ISNUMBER(SowDate))),"",BD1-SowDate)</f>
        <v>49</v>
      </c>
      <c r="BE4" s="27" t="n">
        <f aca="false">IF(OR(BE1="",NOT(ISNUMBER(SowDate))),"",BE1-SowDate)</f>
        <v>50</v>
      </c>
      <c r="BF4" s="27" t="n">
        <f aca="false">IF(OR(BF1="",NOT(ISNUMBER(SowDate))),"",BF1-SowDate)</f>
        <v>51</v>
      </c>
      <c r="BG4" s="27" t="n">
        <f aca="false">IF(OR(BG1="",NOT(ISNUMBER(SowDate))),"",BG1-SowDate)</f>
        <v>52</v>
      </c>
      <c r="BH4" s="27" t="n">
        <f aca="false">IF(OR(BH1="",NOT(ISNUMBER(SowDate))),"",BH1-SowDate)</f>
        <v>53</v>
      </c>
      <c r="BI4" s="27" t="n">
        <f aca="false">IF(OR(BI1="",NOT(ISNUMBER(SowDate))),"",BI1-SowDate)</f>
        <v>54</v>
      </c>
      <c r="BJ4" s="27" t="n">
        <f aca="false">IF(OR(BJ1="",NOT(ISNUMBER(SowDate))),"",BJ1-SowDate)</f>
        <v>55</v>
      </c>
      <c r="BK4" s="27" t="n">
        <f aca="false">IF(OR(BK1="",NOT(ISNUMBER(SowDate))),"",BK1-SowDate)</f>
        <v>56</v>
      </c>
      <c r="BL4" s="27" t="n">
        <f aca="false">IF(OR(BL1="",NOT(ISNUMBER(SowDate))),"",BL1-SowDate)</f>
        <v>57</v>
      </c>
      <c r="BM4" s="27" t="n">
        <f aca="false">IF(OR(BM1="",NOT(ISNUMBER(SowDate))),"",BM1-SowDate)</f>
        <v>58</v>
      </c>
      <c r="BN4" s="27" t="n">
        <f aca="false">IF(OR(BN1="",NOT(ISNUMBER(SowDate))),"",BN1-SowDate)</f>
        <v>59</v>
      </c>
      <c r="BO4" s="27" t="n">
        <f aca="false">IF(OR(BO1="",NOT(ISNUMBER(SowDate))),"",BO1-SowDate)</f>
        <v>60</v>
      </c>
      <c r="BP4" s="27" t="n">
        <f aca="false">IF(OR(BP1="",NOT(ISNUMBER(SowDate))),"",BP1-SowDate)</f>
        <v>61</v>
      </c>
      <c r="BQ4" s="27" t="n">
        <f aca="false">IF(OR(BQ1="",NOT(ISNUMBER(SowDate))),"",BQ1-SowDate)</f>
        <v>62</v>
      </c>
      <c r="BR4" s="27" t="n">
        <f aca="false">IF(OR(BR1="",NOT(ISNUMBER(SowDate))),"",BR1-SowDate)</f>
        <v>63</v>
      </c>
      <c r="BS4" s="27" t="n">
        <f aca="false">IF(OR(BS1="",NOT(ISNUMBER(SowDate))),"",BS1-SowDate)</f>
        <v>64</v>
      </c>
      <c r="BT4" s="27" t="n">
        <f aca="false">IF(OR(BT1="",NOT(ISNUMBER(SowDate))),"",BT1-SowDate)</f>
        <v>65</v>
      </c>
      <c r="BU4" s="27" t="n">
        <f aca="false">IF(OR(BU1="",NOT(ISNUMBER(SowDate))),"",BU1-SowDate)</f>
        <v>66</v>
      </c>
      <c r="BV4" s="27" t="n">
        <f aca="false">IF(OR(BV1="",NOT(ISNUMBER(SowDate))),"",BV1-SowDate)</f>
        <v>67</v>
      </c>
      <c r="BW4" s="27" t="n">
        <f aca="false">IF(OR(BW1="",NOT(ISNUMBER(SowDate))),"",BW1-SowDate)</f>
        <v>68</v>
      </c>
      <c r="BX4" s="27" t="n">
        <f aca="false">IF(OR(BX1="",NOT(ISNUMBER(SowDate))),"",BX1-SowDate)</f>
        <v>69</v>
      </c>
      <c r="BY4" s="27" t="n">
        <f aca="false">IF(OR(BY1="",NOT(ISNUMBER(SowDate))),"",BY1-SowDate)</f>
        <v>70</v>
      </c>
      <c r="BZ4" s="27" t="n">
        <f aca="false">IF(OR(BZ1="",NOT(ISNUMBER(SowDate))),"",BZ1-SowDate)</f>
        <v>71</v>
      </c>
      <c r="CA4" s="27" t="n">
        <f aca="false">IF(OR(CA1="",NOT(ISNUMBER(SowDate))),"",CA1-SowDate)</f>
        <v>72</v>
      </c>
      <c r="CB4" s="27" t="n">
        <f aca="false">IF(OR(CB1="",NOT(ISNUMBER(SowDate))),"",CB1-SowDate)</f>
        <v>73</v>
      </c>
      <c r="CC4" s="27" t="n">
        <f aca="false">IF(OR(CC1="",NOT(ISNUMBER(SowDate))),"",CC1-SowDate)</f>
        <v>74</v>
      </c>
      <c r="CD4" s="27" t="n">
        <f aca="false">IF(OR(CD1="",NOT(ISNUMBER(SowDate))),"",CD1-SowDate)</f>
        <v>75</v>
      </c>
      <c r="CE4" s="27" t="n">
        <f aca="false">IF(OR(CE1="",NOT(ISNUMBER(SowDate))),"",CE1-SowDate)</f>
        <v>76</v>
      </c>
      <c r="CF4" s="27" t="n">
        <f aca="false">IF(OR(CF1="",NOT(ISNUMBER(SowDate))),"",CF1-SowDate)</f>
        <v>77</v>
      </c>
      <c r="CG4" s="27" t="n">
        <f aca="false">IF(OR(CG1="",NOT(ISNUMBER(SowDate))),"",CG1-SowDate)</f>
        <v>78</v>
      </c>
      <c r="CH4" s="27" t="n">
        <f aca="false">IF(OR(CH1="",NOT(ISNUMBER(SowDate))),"",CH1-SowDate)</f>
        <v>79</v>
      </c>
      <c r="CI4" s="27" t="n">
        <f aca="false">IF(OR(CI1="",NOT(ISNUMBER(SowDate))),"",CI1-SowDate)</f>
        <v>80</v>
      </c>
      <c r="CJ4" s="27" t="n">
        <f aca="false">IF(OR(CJ1="",NOT(ISNUMBER(SowDate))),"",CJ1-SowDate)</f>
        <v>81</v>
      </c>
      <c r="CK4" s="27" t="n">
        <f aca="false">IF(OR(CK1="",NOT(ISNUMBER(SowDate))),"",CK1-SowDate)</f>
        <v>82</v>
      </c>
      <c r="CL4" s="27" t="n">
        <f aca="false">IF(OR(CL1="",NOT(ISNUMBER(SowDate))),"",CL1-SowDate)</f>
        <v>83</v>
      </c>
      <c r="CM4" s="27" t="n">
        <f aca="false">IF(OR(CM1="",NOT(ISNUMBER(SowDate))),"",CM1-SowDate)</f>
        <v>84</v>
      </c>
      <c r="CN4" s="27" t="n">
        <f aca="false">IF(OR(CN1="",NOT(ISNUMBER(SowDate))),"",CN1-SowDate)</f>
        <v>85</v>
      </c>
      <c r="CO4" s="27" t="n">
        <f aca="false">IF(OR(CO1="",NOT(ISNUMBER(SowDate))),"",CO1-SowDate)</f>
        <v>86</v>
      </c>
      <c r="CP4" s="27" t="n">
        <f aca="false">IF(OR(CP1="",NOT(ISNUMBER(SowDate))),"",CP1-SowDate)</f>
        <v>87</v>
      </c>
      <c r="CQ4" s="27" t="n">
        <f aca="false">IF(OR(CQ1="",NOT(ISNUMBER(SowDate))),"",CQ1-SowDate)</f>
        <v>88</v>
      </c>
      <c r="CR4" s="27" t="n">
        <f aca="false">IF(OR(CR1="",NOT(ISNUMBER(SowDate))),"",CR1-SowDate)</f>
        <v>89</v>
      </c>
      <c r="CS4" s="27" t="n">
        <f aca="false">IF(OR(CS1="",NOT(ISNUMBER(SowDate))),"",CS1-SowDate)</f>
        <v>90</v>
      </c>
      <c r="CT4" s="27" t="n">
        <f aca="false">IF(OR(CT1="",NOT(ISNUMBER(SowDate))),"",CT1-SowDate)</f>
        <v>91</v>
      </c>
      <c r="CU4" s="27" t="n">
        <f aca="false">IF(OR(CU1="",NOT(ISNUMBER(SowDate))),"",CU1-SowDate)</f>
        <v>92</v>
      </c>
      <c r="CV4" s="27" t="n">
        <f aca="false">IF(OR(CV1="",NOT(ISNUMBER(SowDate))),"",CV1-SowDate)</f>
        <v>93</v>
      </c>
      <c r="CW4" s="27" t="n">
        <f aca="false">IF(OR(CW1="",NOT(ISNUMBER(SowDate))),"",CW1-SowDate)</f>
        <v>94</v>
      </c>
      <c r="CX4" s="27" t="n">
        <f aca="false">IF(OR(CX1="",NOT(ISNUMBER(SowDate))),"",CX1-SowDate)</f>
        <v>95</v>
      </c>
      <c r="CY4" s="27" t="n">
        <f aca="false">IF(OR(CY1="",NOT(ISNUMBER(SowDate))),"",CY1-SowDate)</f>
        <v>96</v>
      </c>
      <c r="CZ4" s="27" t="n">
        <f aca="false">IF(OR(CZ1="",NOT(ISNUMBER(SowDate))),"",CZ1-SowDate)</f>
        <v>97</v>
      </c>
      <c r="DA4" s="27" t="n">
        <f aca="false">IF(OR(DA1="",NOT(ISNUMBER(SowDate))),"",DA1-SowDate)</f>
        <v>98</v>
      </c>
      <c r="DB4" s="27" t="n">
        <f aca="false">IF(OR(DB1="",NOT(ISNUMBER(SowDate))),"",DB1-SowDate)</f>
        <v>99</v>
      </c>
      <c r="DC4" s="27" t="n">
        <f aca="false">IF(OR(DC1="",NOT(ISNUMBER(SowDate))),"",DC1-SowDate)</f>
        <v>100</v>
      </c>
      <c r="DD4" s="27" t="n">
        <f aca="false">IF(OR(DD1="",NOT(ISNUMBER(SowDate))),"",DD1-SowDate)</f>
        <v>101</v>
      </c>
      <c r="DE4" s="27" t="n">
        <f aca="false">IF(OR(DE1="",NOT(ISNUMBER(SowDate))),"",DE1-SowDate)</f>
        <v>102</v>
      </c>
      <c r="DF4" s="27" t="n">
        <f aca="false">IF(OR(DF1="",NOT(ISNUMBER(SowDate))),"",DF1-SowDate)</f>
        <v>103</v>
      </c>
      <c r="DG4" s="27" t="n">
        <f aca="false">IF(OR(DG1="",NOT(ISNUMBER(SowDate))),"",DG1-SowDate)</f>
        <v>104</v>
      </c>
      <c r="DH4" s="27" t="n">
        <f aca="false">IF(OR(DH1="",NOT(ISNUMBER(SowDate))),"",DH1-SowDate)</f>
        <v>105</v>
      </c>
      <c r="DI4" s="27" t="n">
        <f aca="false">IF(OR(DI1="",NOT(ISNUMBER(SowDate))),"",DI1-SowDate)</f>
        <v>106</v>
      </c>
      <c r="DJ4" s="27" t="n">
        <f aca="false">IF(OR(DJ1="",NOT(ISNUMBER(SowDate))),"",DJ1-SowDate)</f>
        <v>107</v>
      </c>
      <c r="DK4" s="27" t="n">
        <f aca="false">IF(OR(DK1="",NOT(ISNUMBER(SowDate))),"",DK1-SowDate)</f>
        <v>108</v>
      </c>
      <c r="DL4" s="27" t="n">
        <f aca="false">IF(OR(DL1="",NOT(ISNUMBER(SowDate))),"",DL1-SowDate)</f>
        <v>109</v>
      </c>
      <c r="DM4" s="27" t="n">
        <f aca="false">IF(OR(DM1="",NOT(ISNUMBER(SowDate))),"",DM1-SowDate)</f>
        <v>110</v>
      </c>
      <c r="DN4" s="27" t="n">
        <f aca="false">IF(OR(DN1="",NOT(ISNUMBER(SowDate))),"",DN1-SowDate)</f>
        <v>111</v>
      </c>
      <c r="DO4" s="27" t="n">
        <f aca="false">IF(OR(DO1="",NOT(ISNUMBER(SowDate))),"",DO1-SowDate)</f>
        <v>112</v>
      </c>
      <c r="DP4" s="27" t="n">
        <f aca="false">IF(OR(DP1="",NOT(ISNUMBER(SowDate))),"",DP1-SowDate)</f>
        <v>113</v>
      </c>
      <c r="DQ4" s="27" t="n">
        <f aca="false">IF(OR(DQ1="",NOT(ISNUMBER(SowDate))),"",DQ1-SowDate)</f>
        <v>114</v>
      </c>
      <c r="DR4" s="27" t="n">
        <f aca="false">IF(OR(DR1="",NOT(ISNUMBER(SowDate))),"",DR1-SowDate)</f>
        <v>115</v>
      </c>
      <c r="DS4" s="27" t="n">
        <f aca="false">IF(OR(DS1="",NOT(ISNUMBER(SowDate))),"",DS1-SowDate)</f>
        <v>116</v>
      </c>
      <c r="DT4" s="27" t="n">
        <f aca="false">IF(OR(DT1="",NOT(ISNUMBER(SowDate))),"",DT1-SowDate)</f>
        <v>117</v>
      </c>
      <c r="DU4" s="27" t="n">
        <f aca="false">IF(OR(DU1="",NOT(ISNUMBER(SowDate))),"",DU1-SowDate)</f>
        <v>118</v>
      </c>
      <c r="DV4" s="27" t="n">
        <f aca="false">IF(OR(DV1="",NOT(ISNUMBER(SowDate))),"",DV1-SowDate)</f>
        <v>119</v>
      </c>
      <c r="DW4" s="27" t="n">
        <f aca="false">IF(OR(DW1="",NOT(ISNUMBER(SowDate))),"",DW1-SowDate)</f>
        <v>120</v>
      </c>
      <c r="DX4" s="27" t="n">
        <f aca="false">IF(OR(DX1="",NOT(ISNUMBER(SowDate))),"",DX1-SowDate)</f>
        <v>121</v>
      </c>
      <c r="DY4" s="27" t="n">
        <f aca="false">IF(OR(DY1="",NOT(ISNUMBER(SowDate))),"",DY1-SowDate)</f>
        <v>122</v>
      </c>
      <c r="DZ4" s="27" t="n">
        <f aca="false">IF(OR(DZ1="",NOT(ISNUMBER(SowDate))),"",DZ1-SowDate)</f>
        <v>123</v>
      </c>
      <c r="EA4" s="27" t="n">
        <f aca="false">IF(OR(EA1="",NOT(ISNUMBER(SowDate))),"",EA1-SowDate)</f>
        <v>124</v>
      </c>
      <c r="EB4" s="27" t="n">
        <f aca="false">IF(OR(EB1="",NOT(ISNUMBER(SowDate))),"",EB1-SowDate)</f>
        <v>125</v>
      </c>
      <c r="EC4" s="27" t="n">
        <f aca="false">IF(OR(EC1="",NOT(ISNUMBER(SowDate))),"",EC1-SowDate)</f>
        <v>126</v>
      </c>
      <c r="ED4" s="27" t="n">
        <f aca="false">IF(OR(ED1="",NOT(ISNUMBER(SowDate))),"",ED1-SowDate)</f>
        <v>127</v>
      </c>
      <c r="EE4" s="27" t="n">
        <f aca="false">IF(OR(EE1="",NOT(ISNUMBER(SowDate))),"",EE1-SowDate)</f>
        <v>128</v>
      </c>
      <c r="EF4" s="27" t="n">
        <f aca="false">IF(OR(EF1="",NOT(ISNUMBER(SowDate))),"",EF1-SowDate)</f>
        <v>129</v>
      </c>
      <c r="EG4" s="27" t="n">
        <f aca="false">IF(OR(EG1="",NOT(ISNUMBER(SowDate))),"",EG1-SowDate)</f>
        <v>130</v>
      </c>
      <c r="EH4" s="27" t="n">
        <f aca="false">IF(OR(EH1="",NOT(ISNUMBER(SowDate))),"",EH1-SowDate)</f>
        <v>131</v>
      </c>
      <c r="EI4" s="27" t="n">
        <f aca="false">IF(OR(EI1="",NOT(ISNUMBER(SowDate))),"",EI1-SowDate)</f>
        <v>132</v>
      </c>
      <c r="EJ4" s="27" t="n">
        <f aca="false">IF(OR(EJ1="",NOT(ISNUMBER(SowDate))),"",EJ1-SowDate)</f>
        <v>133</v>
      </c>
      <c r="EK4" s="27" t="n">
        <f aca="false">IF(OR(EK1="",NOT(ISNUMBER(SowDate))),"",EK1-SowDate)</f>
        <v>134</v>
      </c>
      <c r="EL4" s="27" t="n">
        <f aca="false">IF(OR(EL1="",NOT(ISNUMBER(SowDate))),"",EL1-SowDate)</f>
        <v>135</v>
      </c>
      <c r="EM4" s="27" t="n">
        <f aca="false">IF(OR(EM1="",NOT(ISNUMBER(SowDate))),"",EM1-SowDate)</f>
        <v>136</v>
      </c>
      <c r="EN4" s="27" t="n">
        <f aca="false">IF(OR(EN1="",NOT(ISNUMBER(SowDate))),"",EN1-SowDate)</f>
        <v>137</v>
      </c>
      <c r="EO4" s="27" t="n">
        <f aca="false">IF(OR(EO1="",NOT(ISNUMBER(SowDate))),"",EO1-SowDate)</f>
        <v>138</v>
      </c>
      <c r="EP4" s="27" t="n">
        <f aca="false">IF(OR(EP1="",NOT(ISNUMBER(SowDate))),"",EP1-SowDate)</f>
        <v>139</v>
      </c>
      <c r="EQ4" s="27" t="n">
        <f aca="false">IF(OR(EQ1="",NOT(ISNUMBER(SowDate))),"",EQ1-SowDate)</f>
        <v>140</v>
      </c>
      <c r="ER4" s="27" t="n">
        <f aca="false">IF(OR(ER1="",NOT(ISNUMBER(SowDate))),"",ER1-SowDate)</f>
        <v>141</v>
      </c>
      <c r="ES4" s="27" t="n">
        <f aca="false">IF(OR(ES1="",NOT(ISNUMBER(SowDate))),"",ES1-SowDate)</f>
        <v>142</v>
      </c>
      <c r="ET4" s="27" t="n">
        <f aca="false">IF(OR(ET1="",NOT(ISNUMBER(SowDate))),"",ET1-SowDate)</f>
        <v>143</v>
      </c>
      <c r="EU4" s="27" t="n">
        <f aca="false">IF(OR(EU1="",NOT(ISNUMBER(SowDate))),"",EU1-SowDate)</f>
        <v>144</v>
      </c>
      <c r="EV4" s="27" t="n">
        <f aca="false">IF(OR(EV1="",NOT(ISNUMBER(SowDate))),"",EV1-SowDate)</f>
        <v>145</v>
      </c>
      <c r="EW4" s="27" t="n">
        <f aca="false">IF(OR(EW1="",NOT(ISNUMBER(SowDate))),"",EW1-SowDate)</f>
        <v>146</v>
      </c>
      <c r="EX4" s="27" t="n">
        <f aca="false">IF(OR(EX1="",NOT(ISNUMBER(SowDate))),"",EX1-SowDate)</f>
        <v>147</v>
      </c>
      <c r="EY4" s="27" t="n">
        <f aca="false">IF(OR(EY1="",NOT(ISNUMBER(SowDate))),"",EY1-SowDate)</f>
        <v>148</v>
      </c>
      <c r="EZ4" s="27" t="n">
        <f aca="false">IF(OR(EZ1="",NOT(ISNUMBER(SowDate))),"",EZ1-SowDate)</f>
        <v>149</v>
      </c>
      <c r="FA4" s="27" t="n">
        <f aca="false">IF(OR(FA1="",NOT(ISNUMBER(SowDate))),"",FA1-SowDate)</f>
        <v>150</v>
      </c>
      <c r="FB4" s="27" t="n">
        <f aca="false">IF(OR(FB1="",NOT(ISNUMBER(SowDate))),"",FB1-SowDate)</f>
        <v>151</v>
      </c>
      <c r="FC4" s="27" t="n">
        <f aca="false">IF(OR(FC1="",NOT(ISNUMBER(SowDate))),"",FC1-SowDate)</f>
        <v>152</v>
      </c>
      <c r="FD4" s="27" t="n">
        <f aca="false">IF(OR(FD1="",NOT(ISNUMBER(SowDate))),"",FD1-SowDate)</f>
        <v>153</v>
      </c>
      <c r="FE4" s="27" t="n">
        <f aca="false">IF(OR(FE1="",NOT(ISNUMBER(SowDate))),"",FE1-SowDate)</f>
        <v>154</v>
      </c>
      <c r="FF4" s="27" t="n">
        <f aca="false">IF(OR(FF1="",NOT(ISNUMBER(SowDate))),"",FF1-SowDate)</f>
        <v>155</v>
      </c>
      <c r="FG4" s="27" t="n">
        <f aca="false">IF(OR(FG1="",NOT(ISNUMBER(SowDate))),"",FG1-SowDate)</f>
        <v>156</v>
      </c>
      <c r="FH4" s="27" t="n">
        <f aca="false">IF(OR(FH1="",NOT(ISNUMBER(SowDate))),"",FH1-SowDate)</f>
        <v>157</v>
      </c>
      <c r="FI4" s="27" t="n">
        <f aca="false">IF(OR(FI1="",NOT(ISNUMBER(SowDate))),"",FI1-SowDate)</f>
        <v>158</v>
      </c>
      <c r="FJ4" s="27" t="n">
        <f aca="false">IF(OR(FJ1="",NOT(ISNUMBER(SowDate))),"",FJ1-SowDate)</f>
        <v>159</v>
      </c>
      <c r="FK4" s="27" t="n">
        <f aca="false">IF(OR(FK1="",NOT(ISNUMBER(SowDate))),"",FK1-SowDate)</f>
        <v>160</v>
      </c>
      <c r="FL4" s="27" t="n">
        <f aca="false">IF(OR(FL1="",NOT(ISNUMBER(SowDate))),"",FL1-SowDate)</f>
        <v>161</v>
      </c>
      <c r="FM4" s="27" t="n">
        <f aca="false">IF(OR(FM1="",NOT(ISNUMBER(SowDate))),"",FM1-SowDate)</f>
        <v>162</v>
      </c>
      <c r="FN4" s="27" t="n">
        <f aca="false">IF(OR(FN1="",NOT(ISNUMBER(SowDate))),"",FN1-SowDate)</f>
        <v>163</v>
      </c>
      <c r="FO4" s="27" t="n">
        <f aca="false">IF(OR(FO1="",NOT(ISNUMBER(SowDate))),"",FO1-SowDate)</f>
        <v>164</v>
      </c>
      <c r="FP4" s="27" t="n">
        <f aca="false">IF(OR(FP1="",NOT(ISNUMBER(SowDate))),"",FP1-SowDate)</f>
        <v>165</v>
      </c>
      <c r="FQ4" s="27" t="n">
        <f aca="false">IF(OR(FQ1="",NOT(ISNUMBER(SowDate))),"",FQ1-SowDate)</f>
        <v>166</v>
      </c>
    </row>
    <row r="5" customFormat="false" ht="15" hidden="false" customHeight="false" outlineLevel="0" collapsed="false">
      <c r="B5" s="48" t="s">
        <v>386</v>
      </c>
      <c r="D5" s="27" t="n">
        <f aca="false">IF(OR(D1="",NOT(ISNUMBER(HeadD))),"",D1-HeadD)</f>
        <v>-128</v>
      </c>
      <c r="E5" s="27" t="n">
        <f aca="false">IF(OR(E1="",NOT(ISNUMBER(HeadD))),"",E1-HeadD)</f>
        <v>-127</v>
      </c>
      <c r="F5" s="27" t="n">
        <f aca="false">IF(OR(F1="",NOT(ISNUMBER(HeadD))),"",F1-HeadD)</f>
        <v>-126</v>
      </c>
      <c r="G5" s="27" t="n">
        <f aca="false">IF(OR(G1="",NOT(ISNUMBER(HeadD))),"",G1-HeadD)</f>
        <v>-125</v>
      </c>
      <c r="H5" s="27" t="n">
        <f aca="false">IF(OR(H1="",NOT(ISNUMBER(HeadD))),"",H1-HeadD)</f>
        <v>-124</v>
      </c>
      <c r="I5" s="27" t="n">
        <f aca="false">IF(OR(I1="",NOT(ISNUMBER(HeadD))),"",I1-HeadD)</f>
        <v>-123</v>
      </c>
      <c r="J5" s="27" t="n">
        <f aca="false">IF(OR(J1="",NOT(ISNUMBER(HeadD))),"",J1-HeadD)</f>
        <v>-122</v>
      </c>
      <c r="K5" s="27" t="n">
        <f aca="false">IF(OR(K1="",NOT(ISNUMBER(HeadD))),"",K1-HeadD)</f>
        <v>-121</v>
      </c>
      <c r="L5" s="27" t="n">
        <f aca="false">IF(OR(L1="",NOT(ISNUMBER(HeadD))),"",L1-HeadD)</f>
        <v>-120</v>
      </c>
      <c r="M5" s="27" t="n">
        <f aca="false">IF(OR(M1="",NOT(ISNUMBER(HeadD))),"",M1-HeadD)</f>
        <v>-119</v>
      </c>
      <c r="N5" s="27" t="n">
        <f aca="false">IF(OR(N1="",NOT(ISNUMBER(HeadD))),"",N1-HeadD)</f>
        <v>-118</v>
      </c>
      <c r="O5" s="27" t="n">
        <f aca="false">IF(OR(O1="",NOT(ISNUMBER(HeadD))),"",O1-HeadD)</f>
        <v>-117</v>
      </c>
      <c r="P5" s="27" t="n">
        <f aca="false">IF(OR(P1="",NOT(ISNUMBER(HeadD))),"",P1-HeadD)</f>
        <v>-116</v>
      </c>
      <c r="Q5" s="27" t="n">
        <f aca="false">IF(OR(Q1="",NOT(ISNUMBER(HeadD))),"",Q1-HeadD)</f>
        <v>-115</v>
      </c>
      <c r="R5" s="27" t="n">
        <f aca="false">IF(OR(R1="",NOT(ISNUMBER(HeadD))),"",R1-HeadD)</f>
        <v>-114</v>
      </c>
      <c r="S5" s="27" t="n">
        <f aca="false">IF(OR(S1="",NOT(ISNUMBER(HeadD))),"",S1-HeadD)</f>
        <v>-113</v>
      </c>
      <c r="T5" s="27" t="n">
        <f aca="false">IF(OR(T1="",NOT(ISNUMBER(HeadD))),"",T1-HeadD)</f>
        <v>-112</v>
      </c>
      <c r="U5" s="27" t="n">
        <f aca="false">IF(OR(U1="",NOT(ISNUMBER(HeadD))),"",U1-HeadD)</f>
        <v>-111</v>
      </c>
      <c r="V5" s="27" t="n">
        <f aca="false">IF(OR(V1="",NOT(ISNUMBER(HeadD))),"",V1-HeadD)</f>
        <v>-110</v>
      </c>
      <c r="W5" s="27" t="n">
        <f aca="false">IF(OR(W1="",NOT(ISNUMBER(HeadD))),"",W1-HeadD)</f>
        <v>-109</v>
      </c>
      <c r="X5" s="27" t="n">
        <f aca="false">IF(OR(X1="",NOT(ISNUMBER(HeadD))),"",X1-HeadD)</f>
        <v>-108</v>
      </c>
      <c r="Y5" s="27" t="n">
        <f aca="false">IF(OR(Y1="",NOT(ISNUMBER(HeadD))),"",Y1-HeadD)</f>
        <v>-107</v>
      </c>
      <c r="Z5" s="27" t="n">
        <f aca="false">IF(OR(Z1="",NOT(ISNUMBER(HeadD))),"",Z1-HeadD)</f>
        <v>-106</v>
      </c>
      <c r="AA5" s="27" t="n">
        <f aca="false">IF(OR(AA1="",NOT(ISNUMBER(HeadD))),"",AA1-HeadD)</f>
        <v>-105</v>
      </c>
      <c r="AB5" s="27" t="n">
        <f aca="false">IF(OR(AB1="",NOT(ISNUMBER(HeadD))),"",AB1-HeadD)</f>
        <v>-104</v>
      </c>
      <c r="AC5" s="27" t="n">
        <f aca="false">IF(OR(AC1="",NOT(ISNUMBER(HeadD))),"",AC1-HeadD)</f>
        <v>-103</v>
      </c>
      <c r="AD5" s="27" t="n">
        <f aca="false">IF(OR(AD1="",NOT(ISNUMBER(HeadD))),"",AD1-HeadD)</f>
        <v>-102</v>
      </c>
      <c r="AE5" s="27" t="n">
        <f aca="false">IF(OR(AE1="",NOT(ISNUMBER(HeadD))),"",AE1-HeadD)</f>
        <v>-101</v>
      </c>
      <c r="AF5" s="27" t="n">
        <f aca="false">IF(OR(AF1="",NOT(ISNUMBER(HeadD))),"",AF1-HeadD)</f>
        <v>-100</v>
      </c>
      <c r="AG5" s="27" t="n">
        <f aca="false">IF(OR(AG1="",NOT(ISNUMBER(HeadD))),"",AG1-HeadD)</f>
        <v>-99</v>
      </c>
      <c r="AH5" s="27" t="n">
        <f aca="false">IF(OR(AH1="",NOT(ISNUMBER(HeadD))),"",AH1-HeadD)</f>
        <v>-98</v>
      </c>
      <c r="AI5" s="27" t="n">
        <f aca="false">IF(OR(AI1="",NOT(ISNUMBER(HeadD))),"",AI1-HeadD)</f>
        <v>-97</v>
      </c>
      <c r="AJ5" s="27" t="n">
        <f aca="false">IF(OR(AJ1="",NOT(ISNUMBER(HeadD))),"",AJ1-HeadD)</f>
        <v>-96</v>
      </c>
      <c r="AK5" s="27" t="n">
        <f aca="false">IF(OR(AK1="",NOT(ISNUMBER(HeadD))),"",AK1-HeadD)</f>
        <v>-95</v>
      </c>
      <c r="AL5" s="27" t="n">
        <f aca="false">IF(OR(AL1="",NOT(ISNUMBER(HeadD))),"",AL1-HeadD)</f>
        <v>-94</v>
      </c>
      <c r="AM5" s="27" t="n">
        <f aca="false">IF(OR(AM1="",NOT(ISNUMBER(HeadD))),"",AM1-HeadD)</f>
        <v>-93</v>
      </c>
      <c r="AN5" s="27" t="n">
        <f aca="false">IF(OR(AN1="",NOT(ISNUMBER(HeadD))),"",AN1-HeadD)</f>
        <v>-92</v>
      </c>
      <c r="AO5" s="27" t="n">
        <f aca="false">IF(OR(AO1="",NOT(ISNUMBER(HeadD))),"",AO1-HeadD)</f>
        <v>-91</v>
      </c>
      <c r="AP5" s="27" t="n">
        <f aca="false">IF(OR(AP1="",NOT(ISNUMBER(HeadD))),"",AP1-HeadD)</f>
        <v>-90</v>
      </c>
      <c r="AQ5" s="27" t="n">
        <f aca="false">IF(OR(AQ1="",NOT(ISNUMBER(HeadD))),"",AQ1-HeadD)</f>
        <v>-89</v>
      </c>
      <c r="AR5" s="27" t="n">
        <f aca="false">IF(OR(AR1="",NOT(ISNUMBER(HeadD))),"",AR1-HeadD)</f>
        <v>-88</v>
      </c>
      <c r="AS5" s="27" t="n">
        <f aca="false">IF(OR(AS1="",NOT(ISNUMBER(HeadD))),"",AS1-HeadD)</f>
        <v>-87</v>
      </c>
      <c r="AT5" s="27" t="n">
        <f aca="false">IF(OR(AT1="",NOT(ISNUMBER(HeadD))),"",AT1-HeadD)</f>
        <v>-86</v>
      </c>
      <c r="AU5" s="27" t="n">
        <f aca="false">IF(OR(AU1="",NOT(ISNUMBER(HeadD))),"",AU1-HeadD)</f>
        <v>-85</v>
      </c>
      <c r="AV5" s="27" t="n">
        <f aca="false">IF(OR(AV1="",NOT(ISNUMBER(HeadD))),"",AV1-HeadD)</f>
        <v>-84</v>
      </c>
      <c r="AW5" s="27" t="n">
        <f aca="false">IF(OR(AW1="",NOT(ISNUMBER(HeadD))),"",AW1-HeadD)</f>
        <v>-83</v>
      </c>
      <c r="AX5" s="27" t="n">
        <f aca="false">IF(OR(AX1="",NOT(ISNUMBER(HeadD))),"",AX1-HeadD)</f>
        <v>-82</v>
      </c>
      <c r="AY5" s="27" t="n">
        <f aca="false">IF(OR(AY1="",NOT(ISNUMBER(HeadD))),"",AY1-HeadD)</f>
        <v>-81</v>
      </c>
      <c r="AZ5" s="27" t="n">
        <f aca="false">IF(OR(AZ1="",NOT(ISNUMBER(HeadD))),"",AZ1-HeadD)</f>
        <v>-80</v>
      </c>
      <c r="BA5" s="27" t="n">
        <f aca="false">IF(OR(BA1="",NOT(ISNUMBER(HeadD))),"",BA1-HeadD)</f>
        <v>-79</v>
      </c>
      <c r="BB5" s="27" t="n">
        <f aca="false">IF(OR(BB1="",NOT(ISNUMBER(HeadD))),"",BB1-HeadD)</f>
        <v>-78</v>
      </c>
      <c r="BC5" s="27" t="n">
        <f aca="false">IF(OR(BC1="",NOT(ISNUMBER(HeadD))),"",BC1-HeadD)</f>
        <v>-77</v>
      </c>
      <c r="BD5" s="27" t="n">
        <f aca="false">IF(OR(BD1="",NOT(ISNUMBER(HeadD))),"",BD1-HeadD)</f>
        <v>-76</v>
      </c>
      <c r="BE5" s="27" t="n">
        <f aca="false">IF(OR(BE1="",NOT(ISNUMBER(HeadD))),"",BE1-HeadD)</f>
        <v>-75</v>
      </c>
      <c r="BF5" s="27" t="n">
        <f aca="false">IF(OR(BF1="",NOT(ISNUMBER(HeadD))),"",BF1-HeadD)</f>
        <v>-74</v>
      </c>
      <c r="BG5" s="27" t="n">
        <f aca="false">IF(OR(BG1="",NOT(ISNUMBER(HeadD))),"",BG1-HeadD)</f>
        <v>-73</v>
      </c>
      <c r="BH5" s="27" t="n">
        <f aca="false">IF(OR(BH1="",NOT(ISNUMBER(HeadD))),"",BH1-HeadD)</f>
        <v>-72</v>
      </c>
      <c r="BI5" s="27" t="n">
        <f aca="false">IF(OR(BI1="",NOT(ISNUMBER(HeadD))),"",BI1-HeadD)</f>
        <v>-71</v>
      </c>
      <c r="BJ5" s="27" t="n">
        <f aca="false">IF(OR(BJ1="",NOT(ISNUMBER(HeadD))),"",BJ1-HeadD)</f>
        <v>-70</v>
      </c>
      <c r="BK5" s="27" t="n">
        <f aca="false">IF(OR(BK1="",NOT(ISNUMBER(HeadD))),"",BK1-HeadD)</f>
        <v>-69</v>
      </c>
      <c r="BL5" s="27" t="n">
        <f aca="false">IF(OR(BL1="",NOT(ISNUMBER(HeadD))),"",BL1-HeadD)</f>
        <v>-68</v>
      </c>
      <c r="BM5" s="27" t="n">
        <f aca="false">IF(OR(BM1="",NOT(ISNUMBER(HeadD))),"",BM1-HeadD)</f>
        <v>-67</v>
      </c>
      <c r="BN5" s="27" t="n">
        <f aca="false">IF(OR(BN1="",NOT(ISNUMBER(HeadD))),"",BN1-HeadD)</f>
        <v>-66</v>
      </c>
      <c r="BO5" s="27" t="n">
        <f aca="false">IF(OR(BO1="",NOT(ISNUMBER(HeadD))),"",BO1-HeadD)</f>
        <v>-65</v>
      </c>
      <c r="BP5" s="27" t="n">
        <f aca="false">IF(OR(BP1="",NOT(ISNUMBER(HeadD))),"",BP1-HeadD)</f>
        <v>-64</v>
      </c>
      <c r="BQ5" s="27" t="n">
        <f aca="false">IF(OR(BQ1="",NOT(ISNUMBER(HeadD))),"",BQ1-HeadD)</f>
        <v>-63</v>
      </c>
      <c r="BR5" s="27" t="n">
        <f aca="false">IF(OR(BR1="",NOT(ISNUMBER(HeadD))),"",BR1-HeadD)</f>
        <v>-62</v>
      </c>
      <c r="BS5" s="27" t="n">
        <f aca="false">IF(OR(BS1="",NOT(ISNUMBER(HeadD))),"",BS1-HeadD)</f>
        <v>-61</v>
      </c>
      <c r="BT5" s="27" t="n">
        <f aca="false">IF(OR(BT1="",NOT(ISNUMBER(HeadD))),"",BT1-HeadD)</f>
        <v>-60</v>
      </c>
      <c r="BU5" s="27" t="n">
        <f aca="false">IF(OR(BU1="",NOT(ISNUMBER(HeadD))),"",BU1-HeadD)</f>
        <v>-59</v>
      </c>
      <c r="BV5" s="27" t="n">
        <f aca="false">IF(OR(BV1="",NOT(ISNUMBER(HeadD))),"",BV1-HeadD)</f>
        <v>-58</v>
      </c>
      <c r="BW5" s="27" t="n">
        <f aca="false">IF(OR(BW1="",NOT(ISNUMBER(HeadD))),"",BW1-HeadD)</f>
        <v>-57</v>
      </c>
      <c r="BX5" s="27" t="n">
        <f aca="false">IF(OR(BX1="",NOT(ISNUMBER(HeadD))),"",BX1-HeadD)</f>
        <v>-56</v>
      </c>
      <c r="BY5" s="27" t="n">
        <f aca="false">IF(OR(BY1="",NOT(ISNUMBER(HeadD))),"",BY1-HeadD)</f>
        <v>-55</v>
      </c>
      <c r="BZ5" s="27" t="n">
        <f aca="false">IF(OR(BZ1="",NOT(ISNUMBER(HeadD))),"",BZ1-HeadD)</f>
        <v>-54</v>
      </c>
      <c r="CA5" s="27" t="n">
        <f aca="false">IF(OR(CA1="",NOT(ISNUMBER(HeadD))),"",CA1-HeadD)</f>
        <v>-53</v>
      </c>
      <c r="CB5" s="27" t="n">
        <f aca="false">IF(OR(CB1="",NOT(ISNUMBER(HeadD))),"",CB1-HeadD)</f>
        <v>-52</v>
      </c>
      <c r="CC5" s="27" t="n">
        <f aca="false">IF(OR(CC1="",NOT(ISNUMBER(HeadD))),"",CC1-HeadD)</f>
        <v>-51</v>
      </c>
      <c r="CD5" s="27" t="n">
        <f aca="false">IF(OR(CD1="",NOT(ISNUMBER(HeadD))),"",CD1-HeadD)</f>
        <v>-50</v>
      </c>
      <c r="CE5" s="27" t="n">
        <f aca="false">IF(OR(CE1="",NOT(ISNUMBER(HeadD))),"",CE1-HeadD)</f>
        <v>-49</v>
      </c>
      <c r="CF5" s="27" t="n">
        <f aca="false">IF(OR(CF1="",NOT(ISNUMBER(HeadD))),"",CF1-HeadD)</f>
        <v>-48</v>
      </c>
      <c r="CG5" s="27" t="n">
        <f aca="false">IF(OR(CG1="",NOT(ISNUMBER(HeadD))),"",CG1-HeadD)</f>
        <v>-47</v>
      </c>
      <c r="CH5" s="27" t="n">
        <f aca="false">IF(OR(CH1="",NOT(ISNUMBER(HeadD))),"",CH1-HeadD)</f>
        <v>-46</v>
      </c>
      <c r="CI5" s="27" t="n">
        <f aca="false">IF(OR(CI1="",NOT(ISNUMBER(HeadD))),"",CI1-HeadD)</f>
        <v>-45</v>
      </c>
      <c r="CJ5" s="27" t="n">
        <f aca="false">IF(OR(CJ1="",NOT(ISNUMBER(HeadD))),"",CJ1-HeadD)</f>
        <v>-44</v>
      </c>
      <c r="CK5" s="27" t="n">
        <f aca="false">IF(OR(CK1="",NOT(ISNUMBER(HeadD))),"",CK1-HeadD)</f>
        <v>-43</v>
      </c>
      <c r="CL5" s="27" t="n">
        <f aca="false">IF(OR(CL1="",NOT(ISNUMBER(HeadD))),"",CL1-HeadD)</f>
        <v>-42</v>
      </c>
      <c r="CM5" s="27" t="n">
        <f aca="false">IF(OR(CM1="",NOT(ISNUMBER(HeadD))),"",CM1-HeadD)</f>
        <v>-41</v>
      </c>
      <c r="CN5" s="27" t="n">
        <f aca="false">IF(OR(CN1="",NOT(ISNUMBER(HeadD))),"",CN1-HeadD)</f>
        <v>-40</v>
      </c>
      <c r="CO5" s="27" t="n">
        <f aca="false">IF(OR(CO1="",NOT(ISNUMBER(HeadD))),"",CO1-HeadD)</f>
        <v>-39</v>
      </c>
      <c r="CP5" s="27" t="n">
        <f aca="false">IF(OR(CP1="",NOT(ISNUMBER(HeadD))),"",CP1-HeadD)</f>
        <v>-38</v>
      </c>
      <c r="CQ5" s="27" t="n">
        <f aca="false">IF(OR(CQ1="",NOT(ISNUMBER(HeadD))),"",CQ1-HeadD)</f>
        <v>-37</v>
      </c>
      <c r="CR5" s="27" t="n">
        <f aca="false">IF(OR(CR1="",NOT(ISNUMBER(HeadD))),"",CR1-HeadD)</f>
        <v>-36</v>
      </c>
      <c r="CS5" s="27" t="n">
        <f aca="false">IF(OR(CS1="",NOT(ISNUMBER(HeadD))),"",CS1-HeadD)</f>
        <v>-35</v>
      </c>
      <c r="CT5" s="27" t="n">
        <f aca="false">IF(OR(CT1="",NOT(ISNUMBER(HeadD))),"",CT1-HeadD)</f>
        <v>-34</v>
      </c>
      <c r="CU5" s="27" t="n">
        <f aca="false">IF(OR(CU1="",NOT(ISNUMBER(HeadD))),"",CU1-HeadD)</f>
        <v>-33</v>
      </c>
      <c r="CV5" s="27" t="n">
        <f aca="false">IF(OR(CV1="",NOT(ISNUMBER(HeadD))),"",CV1-HeadD)</f>
        <v>-32</v>
      </c>
      <c r="CW5" s="27" t="n">
        <f aca="false">IF(OR(CW1="",NOT(ISNUMBER(HeadD))),"",CW1-HeadD)</f>
        <v>-31</v>
      </c>
      <c r="CX5" s="27" t="n">
        <f aca="false">IF(OR(CX1="",NOT(ISNUMBER(HeadD))),"",CX1-HeadD)</f>
        <v>-30</v>
      </c>
      <c r="CY5" s="27" t="n">
        <f aca="false">IF(OR(CY1="",NOT(ISNUMBER(HeadD))),"",CY1-HeadD)</f>
        <v>-29</v>
      </c>
      <c r="CZ5" s="27" t="n">
        <f aca="false">IF(OR(CZ1="",NOT(ISNUMBER(HeadD))),"",CZ1-HeadD)</f>
        <v>-28</v>
      </c>
      <c r="DA5" s="27" t="n">
        <f aca="false">IF(OR(DA1="",NOT(ISNUMBER(HeadD))),"",DA1-HeadD)</f>
        <v>-27</v>
      </c>
      <c r="DB5" s="27" t="n">
        <f aca="false">IF(OR(DB1="",NOT(ISNUMBER(HeadD))),"",DB1-HeadD)</f>
        <v>-26</v>
      </c>
      <c r="DC5" s="27" t="n">
        <f aca="false">IF(OR(DC1="",NOT(ISNUMBER(HeadD))),"",DC1-HeadD)</f>
        <v>-25</v>
      </c>
      <c r="DD5" s="27" t="n">
        <f aca="false">IF(OR(DD1="",NOT(ISNUMBER(HeadD))),"",DD1-HeadD)</f>
        <v>-24</v>
      </c>
      <c r="DE5" s="27" t="n">
        <f aca="false">IF(OR(DE1="",NOT(ISNUMBER(HeadD))),"",DE1-HeadD)</f>
        <v>-23</v>
      </c>
      <c r="DF5" s="27" t="n">
        <f aca="false">IF(OR(DF1="",NOT(ISNUMBER(HeadD))),"",DF1-HeadD)</f>
        <v>-22</v>
      </c>
      <c r="DG5" s="27" t="n">
        <f aca="false">IF(OR(DG1="",NOT(ISNUMBER(HeadD))),"",DG1-HeadD)</f>
        <v>-21</v>
      </c>
      <c r="DH5" s="27" t="n">
        <f aca="false">IF(OR(DH1="",NOT(ISNUMBER(HeadD))),"",DH1-HeadD)</f>
        <v>-20</v>
      </c>
      <c r="DI5" s="27" t="n">
        <f aca="false">IF(OR(DI1="",NOT(ISNUMBER(HeadD))),"",DI1-HeadD)</f>
        <v>-19</v>
      </c>
      <c r="DJ5" s="27" t="n">
        <f aca="false">IF(OR(DJ1="",NOT(ISNUMBER(HeadD))),"",DJ1-HeadD)</f>
        <v>-18</v>
      </c>
      <c r="DK5" s="27" t="n">
        <f aca="false">IF(OR(DK1="",NOT(ISNUMBER(HeadD))),"",DK1-HeadD)</f>
        <v>-17</v>
      </c>
      <c r="DL5" s="27" t="n">
        <f aca="false">IF(OR(DL1="",NOT(ISNUMBER(HeadD))),"",DL1-HeadD)</f>
        <v>-16</v>
      </c>
      <c r="DM5" s="27" t="n">
        <f aca="false">IF(OR(DM1="",NOT(ISNUMBER(HeadD))),"",DM1-HeadD)</f>
        <v>-15</v>
      </c>
      <c r="DN5" s="27" t="n">
        <f aca="false">IF(OR(DN1="",NOT(ISNUMBER(HeadD))),"",DN1-HeadD)</f>
        <v>-14</v>
      </c>
      <c r="DO5" s="27" t="n">
        <f aca="false">IF(OR(DO1="",NOT(ISNUMBER(HeadD))),"",DO1-HeadD)</f>
        <v>-13</v>
      </c>
      <c r="DP5" s="27" t="n">
        <f aca="false">IF(OR(DP1="",NOT(ISNUMBER(HeadD))),"",DP1-HeadD)</f>
        <v>-12</v>
      </c>
      <c r="DQ5" s="27" t="n">
        <f aca="false">IF(OR(DQ1="",NOT(ISNUMBER(HeadD))),"",DQ1-HeadD)</f>
        <v>-11</v>
      </c>
      <c r="DR5" s="27" t="n">
        <f aca="false">IF(OR(DR1="",NOT(ISNUMBER(HeadD))),"",DR1-HeadD)</f>
        <v>-10</v>
      </c>
      <c r="DS5" s="27" t="n">
        <f aca="false">IF(OR(DS1="",NOT(ISNUMBER(HeadD))),"",DS1-HeadD)</f>
        <v>-9</v>
      </c>
      <c r="DT5" s="27" t="n">
        <f aca="false">IF(OR(DT1="",NOT(ISNUMBER(HeadD))),"",DT1-HeadD)</f>
        <v>-8</v>
      </c>
      <c r="DU5" s="27" t="n">
        <f aca="false">IF(OR(DU1="",NOT(ISNUMBER(HeadD))),"",DU1-HeadD)</f>
        <v>-7</v>
      </c>
      <c r="DV5" s="27" t="n">
        <f aca="false">IF(OR(DV1="",NOT(ISNUMBER(HeadD))),"",DV1-HeadD)</f>
        <v>-6</v>
      </c>
      <c r="DW5" s="27" t="n">
        <f aca="false">IF(OR(DW1="",NOT(ISNUMBER(HeadD))),"",DW1-HeadD)</f>
        <v>-5</v>
      </c>
      <c r="DX5" s="27" t="n">
        <f aca="false">IF(OR(DX1="",NOT(ISNUMBER(HeadD))),"",DX1-HeadD)</f>
        <v>-4</v>
      </c>
      <c r="DY5" s="27" t="n">
        <f aca="false">IF(OR(DY1="",NOT(ISNUMBER(HeadD))),"",DY1-HeadD)</f>
        <v>-3</v>
      </c>
      <c r="DZ5" s="27" t="n">
        <f aca="false">IF(OR(DZ1="",NOT(ISNUMBER(HeadD))),"",DZ1-HeadD)</f>
        <v>-2</v>
      </c>
      <c r="EA5" s="27" t="n">
        <f aca="false">IF(OR(EA1="",NOT(ISNUMBER(HeadD))),"",EA1-HeadD)</f>
        <v>-1</v>
      </c>
      <c r="EB5" s="27" t="n">
        <f aca="false">IF(OR(EB1="",NOT(ISNUMBER(HeadD))),"",EB1-HeadD)</f>
        <v>0</v>
      </c>
      <c r="EC5" s="27" t="n">
        <f aca="false">IF(OR(EC1="",NOT(ISNUMBER(HeadD))),"",EC1-HeadD)</f>
        <v>1</v>
      </c>
      <c r="ED5" s="27" t="n">
        <f aca="false">IF(OR(ED1="",NOT(ISNUMBER(HeadD))),"",ED1-HeadD)</f>
        <v>2</v>
      </c>
      <c r="EE5" s="27" t="n">
        <f aca="false">IF(OR(EE1="",NOT(ISNUMBER(HeadD))),"",EE1-HeadD)</f>
        <v>3</v>
      </c>
      <c r="EF5" s="27" t="n">
        <f aca="false">IF(OR(EF1="",NOT(ISNUMBER(HeadD))),"",EF1-HeadD)</f>
        <v>4</v>
      </c>
      <c r="EG5" s="27" t="n">
        <f aca="false">IF(OR(EG1="",NOT(ISNUMBER(HeadD))),"",EG1-HeadD)</f>
        <v>5</v>
      </c>
      <c r="EH5" s="27" t="n">
        <f aca="false">IF(OR(EH1="",NOT(ISNUMBER(HeadD))),"",EH1-HeadD)</f>
        <v>6</v>
      </c>
      <c r="EI5" s="27" t="n">
        <f aca="false">IF(OR(EI1="",NOT(ISNUMBER(HeadD))),"",EI1-HeadD)</f>
        <v>7</v>
      </c>
      <c r="EJ5" s="27" t="n">
        <f aca="false">IF(OR(EJ1="",NOT(ISNUMBER(HeadD))),"",EJ1-HeadD)</f>
        <v>8</v>
      </c>
      <c r="EK5" s="27" t="n">
        <f aca="false">IF(OR(EK1="",NOT(ISNUMBER(HeadD))),"",EK1-HeadD)</f>
        <v>9</v>
      </c>
      <c r="EL5" s="27" t="n">
        <f aca="false">IF(OR(EL1="",NOT(ISNUMBER(HeadD))),"",EL1-HeadD)</f>
        <v>10</v>
      </c>
      <c r="EM5" s="27" t="n">
        <f aca="false">IF(OR(EM1="",NOT(ISNUMBER(HeadD))),"",EM1-HeadD)</f>
        <v>11</v>
      </c>
      <c r="EN5" s="27" t="n">
        <f aca="false">IF(OR(EN1="",NOT(ISNUMBER(HeadD))),"",EN1-HeadD)</f>
        <v>12</v>
      </c>
      <c r="EO5" s="27" t="n">
        <f aca="false">IF(OR(EO1="",NOT(ISNUMBER(HeadD))),"",EO1-HeadD)</f>
        <v>13</v>
      </c>
      <c r="EP5" s="27" t="n">
        <f aca="false">IF(OR(EP1="",NOT(ISNUMBER(HeadD))),"",EP1-HeadD)</f>
        <v>14</v>
      </c>
      <c r="EQ5" s="27" t="n">
        <f aca="false">IF(OR(EQ1="",NOT(ISNUMBER(HeadD))),"",EQ1-HeadD)</f>
        <v>15</v>
      </c>
      <c r="ER5" s="27" t="n">
        <f aca="false">IF(OR(ER1="",NOT(ISNUMBER(HeadD))),"",ER1-HeadD)</f>
        <v>16</v>
      </c>
      <c r="ES5" s="27" t="n">
        <f aca="false">IF(OR(ES1="",NOT(ISNUMBER(HeadD))),"",ES1-HeadD)</f>
        <v>17</v>
      </c>
      <c r="ET5" s="27" t="n">
        <f aca="false">IF(OR(ET1="",NOT(ISNUMBER(HeadD))),"",ET1-HeadD)</f>
        <v>18</v>
      </c>
      <c r="EU5" s="27" t="n">
        <f aca="false">IF(OR(EU1="",NOT(ISNUMBER(HeadD))),"",EU1-HeadD)</f>
        <v>19</v>
      </c>
      <c r="EV5" s="27" t="n">
        <f aca="false">IF(OR(EV1="",NOT(ISNUMBER(HeadD))),"",EV1-HeadD)</f>
        <v>20</v>
      </c>
      <c r="EW5" s="27" t="n">
        <f aca="false">IF(OR(EW1="",NOT(ISNUMBER(HeadD))),"",EW1-HeadD)</f>
        <v>21</v>
      </c>
      <c r="EX5" s="27" t="n">
        <f aca="false">IF(OR(EX1="",NOT(ISNUMBER(HeadD))),"",EX1-HeadD)</f>
        <v>22</v>
      </c>
      <c r="EY5" s="27" t="n">
        <f aca="false">IF(OR(EY1="",NOT(ISNUMBER(HeadD))),"",EY1-HeadD)</f>
        <v>23</v>
      </c>
      <c r="EZ5" s="27" t="n">
        <f aca="false">IF(OR(EZ1="",NOT(ISNUMBER(HeadD))),"",EZ1-HeadD)</f>
        <v>24</v>
      </c>
      <c r="FA5" s="27" t="n">
        <f aca="false">IF(OR(FA1="",NOT(ISNUMBER(HeadD))),"",FA1-HeadD)</f>
        <v>25</v>
      </c>
      <c r="FB5" s="27" t="n">
        <f aca="false">IF(OR(FB1="",NOT(ISNUMBER(HeadD))),"",FB1-HeadD)</f>
        <v>26</v>
      </c>
      <c r="FC5" s="27" t="n">
        <f aca="false">IF(OR(FC1="",NOT(ISNUMBER(HeadD))),"",FC1-HeadD)</f>
        <v>27</v>
      </c>
      <c r="FD5" s="27" t="n">
        <f aca="false">IF(OR(FD1="",NOT(ISNUMBER(HeadD))),"",FD1-HeadD)</f>
        <v>28</v>
      </c>
      <c r="FE5" s="27" t="n">
        <f aca="false">IF(OR(FE1="",NOT(ISNUMBER(HeadD))),"",FE1-HeadD)</f>
        <v>29</v>
      </c>
      <c r="FF5" s="27" t="n">
        <f aca="false">IF(OR(FF1="",NOT(ISNUMBER(HeadD))),"",FF1-HeadD)</f>
        <v>30</v>
      </c>
      <c r="FG5" s="27" t="n">
        <f aca="false">IF(OR(FG1="",NOT(ISNUMBER(HeadD))),"",FG1-HeadD)</f>
        <v>31</v>
      </c>
      <c r="FH5" s="27" t="n">
        <f aca="false">IF(OR(FH1="",NOT(ISNUMBER(HeadD))),"",FH1-HeadD)</f>
        <v>32</v>
      </c>
      <c r="FI5" s="27" t="n">
        <f aca="false">IF(OR(FI1="",NOT(ISNUMBER(HeadD))),"",FI1-HeadD)</f>
        <v>33</v>
      </c>
      <c r="FJ5" s="27" t="n">
        <f aca="false">IF(OR(FJ1="",NOT(ISNUMBER(HeadD))),"",FJ1-HeadD)</f>
        <v>34</v>
      </c>
      <c r="FK5" s="27" t="n">
        <f aca="false">IF(OR(FK1="",NOT(ISNUMBER(HeadD))),"",FK1-HeadD)</f>
        <v>35</v>
      </c>
      <c r="FL5" s="27" t="n">
        <f aca="false">IF(OR(FL1="",NOT(ISNUMBER(HeadD))),"",FL1-HeadD)</f>
        <v>36</v>
      </c>
      <c r="FM5" s="27" t="n">
        <f aca="false">IF(OR(FM1="",NOT(ISNUMBER(HeadD))),"",FM1-HeadD)</f>
        <v>37</v>
      </c>
      <c r="FN5" s="27" t="n">
        <f aca="false">IF(OR(FN1="",NOT(ISNUMBER(HeadD))),"",FN1-HeadD)</f>
        <v>38</v>
      </c>
      <c r="FO5" s="27" t="n">
        <f aca="false">IF(OR(FO1="",NOT(ISNUMBER(HeadD))),"",FO1-HeadD)</f>
        <v>39</v>
      </c>
      <c r="FP5" s="27" t="n">
        <f aca="false">IF(OR(FP1="",NOT(ISNUMBER(HeadD))),"",FP1-HeadD)</f>
        <v>40</v>
      </c>
      <c r="FQ5" s="27" t="n">
        <f aca="false">IF(OR(FQ1="",NOT(ISNUMBER(HeadD))),"",FQ1-HeadD)</f>
        <v>41</v>
      </c>
    </row>
    <row r="6" customFormat="false" ht="15" hidden="false" customHeight="false" outlineLevel="0" collapsed="false">
      <c r="B6" s="48" t="s">
        <v>387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","")&amp;IF(AND(ISNUMBER(HeadD),D1=HeadD),"শীষ বের হওয়া","")))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","")&amp;IF(AND(ISNUMBER(HeadD),E1=HeadD),"শীষ বের হওয়া","")))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","")&amp;IF(AND(ISNUMBER(HeadD),F1=HeadD),"শীষ বের হওয়া","")))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","")&amp;IF(AND(ISNUMBER(HeadD),G1=HeadD),"শীষ বের হওয়া","")))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","")&amp;IF(AND(ISNUMBER(HeadD),H1=HeadD),"শীষ বের হওয়া","")))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","")&amp;IF(AND(ISNUMBER(HeadD),I1=HeadD),"শীষ বের হওয়া","")))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","")&amp;IF(AND(ISNUMBER(HeadD),J1=HeadD),"শীষ বের হওয়া","")))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","")&amp;IF(AND(ISNUMBER(HeadD),K1=HeadD),"শীষ বের হওয়া","")))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","")&amp;IF(AND(ISNUMBER(HeadD),L1=HeadD),"শীষ বের হওয়া","")))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","")&amp;IF(AND(ISNUMBER(HeadD),M1=HeadD),"শীষ বের হওয়া","")))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","")&amp;IF(AND(ISNUMBER(HeadD),N1=HeadD),"শীষ বের হওয়া","")))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","")&amp;IF(AND(ISNUMBER(HeadD),O1=HeadD),"শীষ বের হওয়া","")))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","")&amp;IF(AND(ISNUMBER(HeadD),P1=HeadD),"শীষ বের হওয়া","")))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","")&amp;IF(AND(ISNUMBER(HeadD),Q1=HeadD),"শীষ বের হওয়া","")))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","")&amp;IF(AND(ISNUMBER(HeadD),R1=HeadD),"শীষ বের হওয়া","")))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","")&amp;IF(AND(ISNUMBER(HeadD),S1=HeadD),"শীষ বের হওয়া","")))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","")&amp;IF(AND(ISNUMBER(HeadD),T1=HeadD),"শীষ বের হওয়া","")))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","")&amp;IF(AND(ISNUMBER(HeadD),U1=HeadD),"শীষ বের হওয়া","")))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","")&amp;IF(AND(ISNUMBER(HeadD),V1=HeadD),"শীষ বের হওয়া","")))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","")&amp;IF(AND(ISNUMBER(HeadD),W1=HeadD),"শীষ বের হওয়া","")))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","")&amp;IF(AND(ISNUMBER(HeadD),X1=HeadD),"শীষ বের হওয়া","")))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","")&amp;IF(AND(ISNUMBER(HeadD),Y1=HeadD),"শীষ বের হওয়া","")))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","")&amp;IF(AND(ISNUMBER(HeadD),Z1=HeadD),"শীষ বের হওয়া","")))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","")&amp;IF(AND(ISNUMBER(HeadD),AA1=HeadD),"শীষ বের হওয়া","")))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","")&amp;IF(AND(ISNUMBER(HeadD),AB1=HeadD),"শীষ বের হওয়া","")))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","")&amp;IF(AND(ISNUMBER(HeadD),AC1=HeadD),"শীষ বের হওয়া","")))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","")&amp;IF(AND(ISNUMBER(HeadD),AD1=HeadD),"শীষ বের হওয়া","")))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","")&amp;IF(AND(ISNUMBER(HeadD),AE1=HeadD),"শীষ বের হওয়া","")))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","")&amp;IF(AND(ISNUMBER(HeadD),AF1=HeadD),"শীষ বের হওয়া","")))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","")&amp;IF(AND(ISNUMBER(HeadD),AG1=HeadD),"শীষ বের হওয়া","")))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","")&amp;IF(AND(ISNUMBER(HeadD),AH1=HeadD),"শীষ বের হওয়া","")))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","")&amp;IF(AND(ISNUMBER(HeadD),AI1=HeadD),"শীষ বের হওয়া","")))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","")&amp;IF(AND(ISNUMBER(HeadD),AJ1=HeadD),"শীষ বের হওয়া","")))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","")&amp;IF(AND(ISNUMBER(HeadD),AK1=HeadD),"শীষ বের হওয়া","")))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","")&amp;IF(AND(ISNUMBER(HeadD),AL1=HeadD),"শীষ বের হওয়া","")))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","")&amp;IF(AND(ISNUMBER(HeadD),AM1=HeadD),"শীষ বের হওয়া","")))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","")&amp;IF(AND(ISNUMBER(HeadD),AN1=HeadD),"শীষ বের হওয়া","")))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","")&amp;IF(AND(ISNUMBER(HeadD),AO1=HeadD),"শীষ বের হওয়া","")))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","")&amp;IF(AND(ISNUMBER(HeadD),AP1=HeadD),"শীষ বের হওয়া","")))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","")&amp;IF(AND(ISNUMBER(HeadD),AQ1=HeadD),"শীষ বের হওয়া","")))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","")&amp;IF(AND(ISNUMBER(HeadD),AR1=HeadD),"শীষ বের হওয়া","")))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","")&amp;IF(AND(ISNUMBER(HeadD),AS1=HeadD),"শীষ বের হওয়া","")))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","")&amp;IF(AND(ISNUMBER(HeadD),AT1=HeadD),"শীষ বের হওয়া","")))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","")&amp;IF(AND(ISNUMBER(HeadD),AU1=HeadD),"শীষ বের হওয়া","")))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","")&amp;IF(AND(ISNUMBER(HeadD),AV1=HeadD),"শীষ বের হওয়া","")))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","")&amp;IF(AND(ISNUMBER(HeadD),AW1=HeadD),"শীষ বের হওয়া","")))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","")&amp;IF(AND(ISNUMBER(HeadD),AX1=HeadD),"শীষ বের হওয়া","")))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","")&amp;IF(AND(ISNUMBER(HeadD),AY1=HeadD),"শীষ বের হওয়া","")))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","")&amp;IF(AND(ISNUMBER(HeadD),AZ1=HeadD),"শীষ বের হওয়া","")))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","")&amp;IF(AND(ISNUMBER(HeadD),BA1=HeadD),"শীষ বের হওয়া","")))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","")&amp;IF(AND(ISNUMBER(HeadD),BB1=HeadD),"শীষ বের হওয়া","")))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","")&amp;IF(AND(ISNUMBER(HeadD),BC1=HeadD),"শীষ বের হওয়া","")))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","")&amp;IF(AND(ISNUMBER(HeadD),BD1=HeadD),"শীষ বের হওয়া","")))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","")&amp;IF(AND(ISNUMBER(HeadD),BE1=HeadD),"শীষ বের হওয়া","")))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","")&amp;IF(AND(ISNUMBER(HeadD),BF1=HeadD),"শীষ বের হওয়া","")))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","")&amp;IF(AND(ISNUMBER(HeadD),BG1=HeadD),"শীষ বের হওয়া","")))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","")&amp;IF(AND(ISNUMBER(HeadD),BH1=HeadD),"শীষ বের হওয়া","")))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","")&amp;IF(AND(ISNUMBER(HeadD),BI1=HeadD),"শীষ বের হওয়া","")))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","")&amp;IF(AND(ISNUMBER(HeadD),BJ1=HeadD),"শীষ বের হওয়া","")))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","")&amp;IF(AND(ISNUMBER(HeadD),BK1=HeadD),"শীষ বের হওয়া","")))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","")&amp;IF(AND(ISNUMBER(HeadD),BL1=HeadD),"শীষ বের হওয়া","")))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","")&amp;IF(AND(ISNUMBER(HeadD),BM1=HeadD),"শীষ বের হওয়া","")))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","")&amp;IF(AND(ISNUMBER(HeadD),BN1=HeadD),"শীষ বের হওয়া","")))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","")&amp;IF(AND(ISNUMBER(HeadD),BO1=HeadD),"শীষ বের হওয়া","")))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","")&amp;IF(AND(ISNUMBER(HeadD),BP1=HeadD),"শীষ বের হওয়া","")))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","")&amp;IF(AND(ISNUMBER(HeadD),BQ1=HeadD),"শীষ বের হওয়া","")))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","")&amp;IF(AND(ISNUMBER(HeadD),BR1=HeadD),"শীষ বের হওয়া","")))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","")&amp;IF(AND(ISNUMBER(HeadD),BS1=HeadD),"শীষ বের হওয়া","")))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","")&amp;IF(AND(ISNUMBER(HeadD),BT1=HeadD),"শীষ বের হওয়া","")))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","")&amp;IF(AND(ISNUMBER(HeadD),BU1=HeadD),"শীষ বের হওয়া","")))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","")&amp;IF(AND(ISNUMBER(HeadD),BV1=HeadD),"শীষ বের হওয়া","")))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","")&amp;IF(AND(ISNUMBER(HeadD),BW1=HeadD),"শীষ বের হওয়া","")))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","")&amp;IF(AND(ISNUMBER(HeadD),BX1=HeadD),"শীষ বের হওয়া","")))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","")&amp;IF(AND(ISNUMBER(HeadD),BY1=HeadD),"শীষ বের হওয়া","")))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","")&amp;IF(AND(ISNUMBER(HeadD),BZ1=HeadD),"শীষ বের হওয়া","")))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","")&amp;IF(AND(ISNUMBER(HeadD),CA1=HeadD),"শীষ বের হওয়া","")))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","")&amp;IF(AND(ISNUMBER(HeadD),CB1=HeadD),"শীষ বের হওয়া","")))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","")&amp;IF(AND(ISNUMBER(HeadD),CC1=HeadD),"শীষ বের হওয়া","")))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","")&amp;IF(AND(ISNUMBER(HeadD),CD1=HeadD),"শীষ বের হওয়া","")))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","")&amp;IF(AND(ISNUMBER(HeadD),CE1=HeadD),"শীষ বের হওয়া","")))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","")&amp;IF(AND(ISNUMBER(HeadD),CF1=HeadD),"শীষ বের হওয়া","")))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","")&amp;IF(AND(ISNUMBER(HeadD),CG1=HeadD),"শীষ বের হওয়া","")))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","")&amp;IF(AND(ISNUMBER(HeadD),CH1=HeadD),"শীষ বের হওয়া","")))</f>
        <v>Pitan</v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","")&amp;IF(AND(ISNUMBER(HeadD),CI1=HeadD),"শীষ বের হওয়া","")))</f>
        <v>Pitan MD</v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","")&amp;IF(AND(ISNUMBER(HeadD),CJ1=HeadD),"শীষ বের হওয়া","")))</f>
        <v>Pitan MD</v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","")&amp;IF(AND(ISNUMBER(HeadD),CK1=HeadD),"শীষ বের হওয়া","")))</f>
        <v>Pitan MD</v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","")&amp;IF(AND(ISNUMBER(HeadD),CL1=HeadD),"শীষ বের হওয়া","")))</f>
        <v>MD</v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","")&amp;IF(AND(ISNUMBER(HeadD),CM1=HeadD),"শীষ বের হওয়া","")))</f>
        <v>MD</v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","")&amp;IF(AND(ISNUMBER(HeadD),CN1=HeadD),"শীষ বের হওয়া","")))</f>
        <v>MD</v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","")&amp;IF(AND(ISNUMBER(HeadD),CO1=HeadD),"শীষ বের হওয়া","")))</f>
        <v>MD</v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","")&amp;IF(AND(ISNUMBER(HeadD),CP1=HeadD),"শীষ বের হওয়া","")))</f>
        <v>MD</v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","")&amp;IF(AND(ISNUMBER(HeadD),CQ1=HeadD),"শীষ বের হওয়া","")))</f>
        <v>MD</v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","")&amp;IF(AND(ISNUMBER(HeadD),CR1=HeadD),"শীষ বের হওয়া","")))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","")&amp;IF(AND(ISNUMBER(HeadD),CS1=HeadD),"শীষ বের হওয়া","")))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","")&amp;IF(AND(ISNUMBER(HeadD),CT1=HeadD),"শীষ বের হওয়া","")))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","")&amp;IF(AND(ISNUMBER(HeadD),CU1=HeadD),"শীষ বের হওয়া","")))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","")&amp;IF(AND(ISNUMBER(HeadD),CV1=HeadD),"শীষ বের হওয়া","")))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","")&amp;IF(AND(ISNUMBER(HeadD),CW1=HeadD),"শীষ বের হওয়া","")))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","")&amp;IF(AND(ISNUMBER(HeadD),CX1=HeadD),"শীষ বের হওয়া","")))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","")&amp;IF(AND(ISNUMBER(HeadD),CY1=HeadD),"শীষ বের হওয়া","")))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","")&amp;IF(AND(ISNUMBER(HeadD),CZ1=HeadD),"শীষ বের হওয়া","")))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","")&amp;IF(AND(ISNUMBER(HeadD),DA1=HeadD),"শীষ বের হওয়া","")))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","")&amp;IF(AND(ISNUMBER(HeadD),DB1=HeadD),"শীষ বের হওয়া","")))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","")&amp;IF(AND(ISNUMBER(HeadD),DC1=HeadD),"শীষ বের হওয়া","")))</f>
        <v>PI-flood</v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","")&amp;IF(AND(ISNUMBER(HeadD),DD1=HeadD),"শীষ বের হওয়া","")))</f>
        <v>PI-flood</v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","")&amp;IF(AND(ISNUMBER(HeadD),DE1=HeadD),"শীষ বের হওয়া","")))</f>
        <v>PI-flood</v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","")&amp;IF(AND(ISNUMBER(HeadD),DF1=HeadD),"শীষ বের হওয়া","")))</f>
        <v>PI-flood</v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","")&amp;IF(AND(ISNUMBER(HeadD),DG1=HeadD),"শীষ বের হওয়া","")))</f>
        <v>3F4D-1</v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","")&amp;IF(AND(ISNUMBER(HeadD),DH1=HeadD),"শীষ বের হওয়া","")))</f>
        <v>3F4D-1</v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","")&amp;IF(AND(ISNUMBER(HeadD),DI1=HeadD),"শীষ বের হওয়া","")))</f>
        <v>3F4D-1</v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","")&amp;IF(AND(ISNUMBER(HeadD),DJ1=HeadD),"শীষ বের হওয়া","")))</f>
        <v>3F4D-1</v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","")&amp;IF(AND(ISNUMBER(HeadD),DK1=HeadD),"শীষ বের হওয়া","")))</f>
        <v>3F4D-1</v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","")&amp;IF(AND(ISNUMBER(HeadD),DL1=HeadD),"শীষ বের হওয়া","")))</f>
        <v>3F4D-1</v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","")&amp;IF(AND(ISNUMBER(HeadD),DM1=HeadD),"শীষ বের হওয়া","")))</f>
        <v>3F4D-1</v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","")&amp;IF(AND(ISNUMBER(HeadD),DN1=HeadD),"শীষ বের হওয়া","")))</f>
        <v>3F4D-2</v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","")&amp;IF(AND(ISNUMBER(HeadD),DO1=HeadD),"শীষ বের হওয়া","")))</f>
        <v>3F4D-2</v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","")&amp;IF(AND(ISNUMBER(HeadD),DP1=HeadD),"শীষ বের হওয়া","")))</f>
        <v>3F4D-2</v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","")&amp;IF(AND(ISNUMBER(HeadD),DQ1=HeadD),"শীষ বের হওয়া","")))</f>
        <v>3F4D-2</v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","")&amp;IF(AND(ISNUMBER(HeadD),DR1=HeadD),"শীষ বের হওয়া","")))</f>
        <v>3F4D-2</v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","")&amp;IF(AND(ISNUMBER(HeadD),DS1=HeadD),"শীষ বের হওয়া","")))</f>
        <v>3F4D-2</v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","")&amp;IF(AND(ISNUMBER(HeadD),DT1=HeadD),"শীষ বের হওয়া","")))</f>
        <v>3F4D-2</v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","")&amp;IF(AND(ISNUMBER(HeadD),DU1=HeadD),"শীষ বের হওয়া","")))</f>
        <v>3F4D-3</v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","")&amp;IF(AND(ISNUMBER(HeadD),DV1=HeadD),"শীষ বের হওয়া","")))</f>
        <v>3F4D-3</v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","")&amp;IF(AND(ISNUMBER(HeadD),DW1=HeadD),"শীষ বের হওয়া","")))</f>
        <v>3F4D-3</v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","")&amp;IF(AND(ISNUMBER(HeadD),DX1=HeadD),"শীষ বের হওয়া","")))</f>
        <v>3F4D-3</v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","")&amp;IF(AND(ISNUMBER(HeadD),DY1=HeadD),"শীষ বের হওয়া","")))</f>
        <v>3F4D-3</v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","")&amp;IF(AND(ISNUMBER(HeadD),DZ1=HeadD),"শীষ বের হওয়া","")))</f>
        <v>3F4D-3</v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","")&amp;IF(AND(ISNUMBER(HeadD),EA1=HeadD),"শীষ বের হওয়া","")))</f>
        <v>3F4D-3</v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","")&amp;IF(AND(ISNUMBER(HeadD),EB1=HeadD),"শীষ বের হওয়া","")))</f>
        <v>3F4D-4 শীষ বের হওয়া</v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","")&amp;IF(AND(ISNUMBER(HeadD),EC1=HeadD),"শীষ বের হওয়া","")))</f>
        <v>3F4D-4</v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","")&amp;IF(AND(ISNUMBER(HeadD),ED1=HeadD),"শীষ বের হওয়া","")))</f>
        <v>3F4D-4</v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","")&amp;IF(AND(ISNUMBER(HeadD),EE1=HeadD),"শীষ বের হওয়া","")))</f>
        <v>3F4D-4</v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","")&amp;IF(AND(ISNUMBER(HeadD),EF1=HeadD),"শীষ বের হওয়া","")))</f>
        <v>3F4D-4</v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","")&amp;IF(AND(ISNUMBER(HeadD),EG1=HeadD),"শীষ বের হওয়া","")))</f>
        <v>3F4D-4</v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","")&amp;IF(AND(ISNUMBER(HeadD),EH1=HeadD),"শীষ বের হওয়া","")))</f>
        <v>3F4D-4</v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","")&amp;IF(AND(ISNUMBER(HeadD),EI1=HeadD),"শীষ বের হওয়া","")))</f>
        <v>3F4D-5</v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","")&amp;IF(AND(ISNUMBER(HeadD),EJ1=HeadD),"শীষ বের হওয়া","")))</f>
        <v>3F4D-5</v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","")&amp;IF(AND(ISNUMBER(HeadD),EK1=HeadD),"শীষ বের হওয়া","")))</f>
        <v>3F4D-5</v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","")&amp;IF(AND(ISNUMBER(HeadD),EL1=HeadD),"শীষ বের হওয়া","")))</f>
        <v>3F4D-5</v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","")&amp;IF(AND(ISNUMBER(HeadD),EM1=HeadD),"শীষ বের হওয়া","")))</f>
        <v>3F4D-5</v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","")&amp;IF(AND(ISNUMBER(HeadD),EN1=HeadD),"শীষ বের হওয়া","")))</f>
        <v>3F4D-5</v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","")&amp;IF(AND(ISNUMBER(HeadD),EO1=HeadD),"শীষ বের হওয়া","")))</f>
        <v>3F4D-5</v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","")&amp;IF(AND(ISNUMBER(HeadD),EP1=HeadD),"শীষ বের হওয়া","")))</f>
        <v>3F4D-6</v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","")&amp;IF(AND(ISNUMBER(HeadD),EQ1=HeadD),"শীষ বের হওয়া","")))</f>
        <v>3F4D-6</v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","")&amp;IF(AND(ISNUMBER(HeadD),ER1=HeadD),"শীষ বের হওয়া","")))</f>
        <v>3F4D-6</v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","")&amp;IF(AND(ISNUMBER(HeadD),ES1=HeadD),"শীষ বের হওয়া","")))</f>
        <v>3F4D-6</v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","")&amp;IF(AND(ISNUMBER(HeadD),ET1=HeadD),"শীষ বের হওয়া","")))</f>
        <v>3F4D-6</v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","")&amp;IF(AND(ISNUMBER(HeadD),EU1=HeadD),"শীষ বের হওয়া","")))</f>
        <v>3F4D-6</v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","")&amp;IF(AND(ISNUMBER(HeadD),EV1=HeadD),"শীষ বের হওয়া","")))</f>
        <v>3F4D-6</v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","")&amp;IF(AND(ISNUMBER(HeadD),EW1=HeadD),"শীষ বের হওয়া","")))</f>
        <v>3F4D-6</v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","")&amp;IF(AND(ISNUMBER(HeadD),EX1=HeadD),"শীষ বের হওয়া","")))</f>
        <v>3F4D-6</v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","")&amp;IF(AND(ISNUMBER(HeadD),EY1=HeadD),"শীষ বের হওয়া","")))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","")&amp;IF(AND(ISNUMBER(HeadD),EZ1=HeadD),"শীষ বের হওয়া","")))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","")&amp;IF(AND(ISNUMBER(HeadD),FA1=HeadD),"শীষ বের হওয়া","")))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","")&amp;IF(AND(ISNUMBER(HeadD),FB1=HeadD),"শীষ বের হওয়া","")))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","")&amp;IF(AND(ISNUMBER(HeadD),FC1=HeadD),"শীষ বের হওয়া","")))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","")&amp;IF(AND(ISNUMBER(HeadD),FD1=HeadD),"শীষ বের হওয়া","")))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","")&amp;IF(AND(ISNUMBER(HeadD),FE1=HeadD),"শীষ বের হওয়া","")))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","")&amp;IF(AND(ISNUMBER(HeadD),FF1=HeadD),"শীষ বের হওয়া","")))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","")&amp;IF(AND(ISNUMBER(HeadD),FG1=HeadD),"শীষ বের হওয়া","")))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","")&amp;IF(AND(ISNUMBER(HeadD),FH1=HeadD),"শীষ বের হওয়া","")))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","")&amp;IF(AND(ISNUMBER(HeadD),FI1=HeadD),"শীষ বের হওয়া","")))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","")&amp;IF(AND(ISNUMBER(HeadD),FJ1=HeadD),"শীষ বের হওয়া","")))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","")&amp;IF(AND(ISNUMBER(HeadD),FK1=HeadD),"শীষ বের হওয়া","")))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","")&amp;IF(AND(ISNUMBER(HeadD),FL1=HeadD),"শীষ বের হওয়া","")))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","")&amp;IF(AND(ISNUMBER(HeadD),FM1=HeadD),"শীষ বের হওয়া","")))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","")&amp;IF(AND(ISNUMBER(HeadD),FN1=HeadD),"শীষ বের হওয়া","")))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","")&amp;IF(AND(ISNUMBER(HeadD),FO1=HeadD),"শীষ বের হওয়া","")))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","")&amp;IF(AND(ISNUMBER(HeadD),FP1=HeadD),"শীষ বের হওয়া","")))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","")&amp;IF(AND(ISNUMBER(HeadD),FQ1=HeadD),"শীষ বের হওয়া","")))</f>
        <v/>
      </c>
    </row>
    <row r="7" customFormat="false" ht="15" hidden="false" customHeight="false" outlineLevel="0" collapsed="false">
      <c r="A7" s="38" t="s">
        <v>388</v>
      </c>
      <c r="B7" s="38" t="s">
        <v>389</v>
      </c>
    </row>
    <row r="8" customFormat="false" ht="15" hidden="false" customHeight="false" outlineLevel="0" collapsed="false">
      <c r="A8" s="37" t="s">
        <v>388</v>
      </c>
      <c r="B8" s="38" t="s">
        <v>390</v>
      </c>
      <c r="C8" s="48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37" t="s">
        <v>388</v>
      </c>
      <c r="B9" s="38" t="s">
        <v>391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388</v>
      </c>
      <c r="B10" s="38" t="s">
        <v>392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317</v>
      </c>
      <c r="B11" s="17" t="s">
        <v>393</v>
      </c>
    </row>
    <row r="12" customFormat="false" ht="15" hidden="false" customHeight="false" outlineLevel="0" collapsed="false">
      <c r="A12" s="31" t="s">
        <v>317</v>
      </c>
      <c r="B12" s="17" t="s">
        <v>394</v>
      </c>
      <c r="C12" s="27" t="str">
        <f aca="false">COUNT($D$12:$FQ$12)&amp;" দিন"</f>
        <v>93 দিন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1" t="s">
        <v>317</v>
      </c>
      <c r="B13" s="17" t="s">
        <v>395</v>
      </c>
      <c r="D13" s="50" t="str">
        <f aca="false">IF(OR(D1="",NOT(ISNUMBER(D12)),D14=""),"",ROUND(D12-D14+D15,1))</f>
        <v/>
      </c>
      <c r="E13" s="50" t="str">
        <f aca="false">IF(OR(E1="",NOT(ISNUMBER(E12)),E14=""),"",ROUND(E12-E14+E15,1))</f>
        <v/>
      </c>
      <c r="F13" s="50" t="str">
        <f aca="false">IF(OR(F1="",NOT(ISNUMBER(F12)),F14=""),"",ROUND(F12-F14+F15,1))</f>
        <v/>
      </c>
      <c r="G13" s="50" t="str">
        <f aca="false">IF(OR(G1="",NOT(ISNUMBER(G12)),G14=""),"",ROUND(G12-G14+G15,1))</f>
        <v/>
      </c>
      <c r="H13" s="50" t="str">
        <f aca="false">IF(OR(H1="",NOT(ISNUMBER(H12)),H14=""),"",ROUND(H12-H14+H15,1))</f>
        <v/>
      </c>
      <c r="I13" s="50" t="str">
        <f aca="false">IF(OR(I1="",NOT(ISNUMBER(I12)),I14=""),"",ROUND(I12-I14+I15,1))</f>
        <v/>
      </c>
      <c r="J13" s="50" t="str">
        <f aca="false">IF(OR(J1="",NOT(ISNUMBER(J12)),J14=""),"",ROUND(J12-J14+J15,1))</f>
        <v/>
      </c>
      <c r="K13" s="50" t="str">
        <f aca="false">IF(OR(K1="",NOT(ISNUMBER(K12)),K14=""),"",ROUND(K12-K14+K15,1))</f>
        <v/>
      </c>
      <c r="L13" s="50" t="str">
        <f aca="false">IF(OR(L1="",NOT(ISNUMBER(L12)),L14=""),"",ROUND(L12-L14+L15,1))</f>
        <v/>
      </c>
      <c r="M13" s="50" t="str">
        <f aca="false">IF(OR(M1="",NOT(ISNUMBER(M12)),M14=""),"",ROUND(M12-M14+M15,1))</f>
        <v/>
      </c>
      <c r="N13" s="50" t="str">
        <f aca="false">IF(OR(N1="",NOT(ISNUMBER(N12)),N14=""),"",ROUND(N12-N14+N15,1))</f>
        <v/>
      </c>
      <c r="O13" s="50" t="str">
        <f aca="false">IF(OR(O1="",NOT(ISNUMBER(O12)),O14=""),"",ROUND(O12-O14+O15,1))</f>
        <v/>
      </c>
      <c r="P13" s="50" t="str">
        <f aca="false">IF(OR(P1="",NOT(ISNUMBER(P12)),P14=""),"",ROUND(P12-P14+P15,1))</f>
        <v/>
      </c>
      <c r="Q13" s="50" t="str">
        <f aca="false">IF(OR(Q1="",NOT(ISNUMBER(Q12)),Q14=""),"",ROUND(Q12-Q14+Q15,1))</f>
        <v/>
      </c>
      <c r="R13" s="50" t="str">
        <f aca="false">IF(OR(R1="",NOT(ISNUMBER(R12)),R14=""),"",ROUND(R12-R14+R15,1))</f>
        <v/>
      </c>
      <c r="S13" s="50" t="str">
        <f aca="false">IF(OR(S1="",NOT(ISNUMBER(S12)),S14=""),"",ROUND(S12-S14+S15,1))</f>
        <v/>
      </c>
      <c r="T13" s="50" t="str">
        <f aca="false">IF(OR(T1="",NOT(ISNUMBER(T12)),T14=""),"",ROUND(T12-T14+T15,1))</f>
        <v/>
      </c>
      <c r="U13" s="50" t="str">
        <f aca="false">IF(OR(U1="",NOT(ISNUMBER(U12)),U14=""),"",ROUND(U12-U14+U15,1))</f>
        <v/>
      </c>
      <c r="V13" s="50" t="str">
        <f aca="false">IF(OR(V1="",NOT(ISNUMBER(V12)),V14=""),"",ROUND(V12-V14+V15,1))</f>
        <v/>
      </c>
      <c r="W13" s="50" t="str">
        <f aca="false">IF(OR(W1="",NOT(ISNUMBER(W12)),W14=""),"",ROUND(W12-W14+W15,1))</f>
        <v/>
      </c>
      <c r="X13" s="50" t="str">
        <f aca="false">IF(OR(X1="",NOT(ISNUMBER(X12)),X14=""),"",ROUND(X12-X14+X15,1))</f>
        <v/>
      </c>
      <c r="Y13" s="50" t="str">
        <f aca="false">IF(OR(Y1="",NOT(ISNUMBER(Y12)),Y14=""),"",ROUND(Y12-Y14+Y15,1))</f>
        <v/>
      </c>
      <c r="Z13" s="50" t="str">
        <f aca="false">IF(OR(Z1="",NOT(ISNUMBER(Z12)),Z14=""),"",ROUND(Z12-Z14+Z15,1))</f>
        <v/>
      </c>
      <c r="AA13" s="50" t="str">
        <f aca="false">IF(OR(AA1="",NOT(ISNUMBER(AA12)),AA14=""),"",ROUND(AA12-AA14+AA15,1))</f>
        <v/>
      </c>
      <c r="AB13" s="50" t="str">
        <f aca="false">IF(OR(AB1="",NOT(ISNUMBER(AB12)),AB14=""),"",ROUND(AB12-AB14+AB15,1))</f>
        <v/>
      </c>
      <c r="AC13" s="50" t="str">
        <f aca="false">IF(OR(AC1="",NOT(ISNUMBER(AC12)),AC14=""),"",ROUND(AC12-AC14+AC15,1))</f>
        <v/>
      </c>
      <c r="AD13" s="50" t="str">
        <f aca="false">IF(OR(AD1="",NOT(ISNUMBER(AD12)),AD14=""),"",ROUND(AD12-AD14+AD15,1))</f>
        <v/>
      </c>
      <c r="AE13" s="50" t="str">
        <f aca="false">IF(OR(AE1="",NOT(ISNUMBER(AE12)),AE14=""),"",ROUND(AE12-AE14+AE15,1))</f>
        <v/>
      </c>
      <c r="AF13" s="50" t="str">
        <f aca="false">IF(OR(AF1="",NOT(ISNUMBER(AF12)),AF14=""),"",ROUND(AF12-AF14+AF15,1))</f>
        <v/>
      </c>
      <c r="AG13" s="50" t="str">
        <f aca="false">IF(OR(AG1="",NOT(ISNUMBER(AG12)),AG14=""),"",ROUND(AG12-AG14+AG15,1))</f>
        <v/>
      </c>
      <c r="AH13" s="50" t="str">
        <f aca="false">IF(OR(AH1="",NOT(ISNUMBER(AH12)),AH14=""),"",ROUND(AH12-AH14+AH15,1))</f>
        <v/>
      </c>
      <c r="AI13" s="50" t="str">
        <f aca="false">IF(OR(AI1="",NOT(ISNUMBER(AI12)),AI14=""),"",ROUND(AI12-AI14+AI15,1))</f>
        <v/>
      </c>
      <c r="AJ13" s="50" t="str">
        <f aca="false">IF(OR(AJ1="",NOT(ISNUMBER(AJ12)),AJ14=""),"",ROUND(AJ12-AJ14+AJ15,1))</f>
        <v/>
      </c>
      <c r="AK13" s="50" t="str">
        <f aca="false">IF(OR(AK1="",NOT(ISNUMBER(AK12)),AK14=""),"",ROUND(AK12-AK14+AK15,1))</f>
        <v/>
      </c>
      <c r="AL13" s="50" t="str">
        <f aca="false">IF(OR(AL1="",NOT(ISNUMBER(AL12)),AL14=""),"",ROUND(AL12-AL14+AL15,1))</f>
        <v/>
      </c>
      <c r="AM13" s="50" t="str">
        <f aca="false">IF(OR(AM1="",NOT(ISNUMBER(AM12)),AM14=""),"",ROUND(AM12-AM14+AM15,1))</f>
        <v/>
      </c>
      <c r="AN13" s="50" t="str">
        <f aca="false">IF(OR(AN1="",NOT(ISNUMBER(AN12)),AN14=""),"",ROUND(AN12-AN14+AN15,1))</f>
        <v/>
      </c>
      <c r="AO13" s="50" t="str">
        <f aca="false">IF(OR(AO1="",NOT(ISNUMBER(AO12)),AO14=""),"",ROUND(AO12-AO14+AO15,1))</f>
        <v/>
      </c>
      <c r="AP13" s="50" t="str">
        <f aca="false">IF(OR(AP1="",NOT(ISNUMBER(AP12)),AP14=""),"",ROUND(AP12-AP14+AP15,1))</f>
        <v/>
      </c>
      <c r="AQ13" s="50" t="str">
        <f aca="false">IF(OR(AQ1="",NOT(ISNUMBER(AQ12)),AQ14=""),"",ROUND(AQ12-AQ14+AQ15,1))</f>
        <v/>
      </c>
      <c r="AR13" s="50" t="str">
        <f aca="false">IF(OR(AR1="",NOT(ISNUMBER(AR12)),AR14=""),"",ROUND(AR12-AR14+AR15,1))</f>
        <v/>
      </c>
      <c r="AS13" s="50" t="str">
        <f aca="false">IF(OR(AS1="",NOT(ISNUMBER(AS12)),AS14=""),"",ROUND(AS12-AS14+AS15,1))</f>
        <v/>
      </c>
      <c r="AT13" s="50" t="str">
        <f aca="false">IF(OR(AT1="",NOT(ISNUMBER(AT12)),AT14=""),"",ROUND(AT12-AT14+AT15,1))</f>
        <v/>
      </c>
      <c r="AU13" s="50" t="str">
        <f aca="false">IF(OR(AU1="",NOT(ISNUMBER(AU12)),AU14=""),"",ROUND(AU12-AU14+AU15,1))</f>
        <v/>
      </c>
      <c r="AV13" s="50" t="str">
        <f aca="false">IF(OR(AV1="",NOT(ISNUMBER(AV12)),AV14=""),"",ROUND(AV12-AV14+AV15,1))</f>
        <v/>
      </c>
      <c r="AW13" s="50" t="str">
        <f aca="false">IF(OR(AW1="",NOT(ISNUMBER(AW12)),AW14=""),"",ROUND(AW12-AW14+AW15,1))</f>
        <v/>
      </c>
      <c r="AX13" s="50" t="str">
        <f aca="false">IF(OR(AX1="",NOT(ISNUMBER(AX12)),AX14=""),"",ROUND(AX12-AX14+AX15,1))</f>
        <v/>
      </c>
      <c r="AY13" s="50" t="str">
        <f aca="false">IF(OR(AY1="",NOT(ISNUMBER(AY12)),AY14=""),"",ROUND(AY12-AY14+AY15,1))</f>
        <v/>
      </c>
      <c r="AZ13" s="50" t="str">
        <f aca="false">IF(OR(AZ1="",NOT(ISNUMBER(AZ12)),AZ14=""),"",ROUND(AZ12-AZ14+AZ15,1))</f>
        <v/>
      </c>
      <c r="BA13" s="50" t="str">
        <f aca="false">IF(OR(BA1="",NOT(ISNUMBER(BA12)),BA14=""),"",ROUND(BA12-BA14+BA15,1))</f>
        <v/>
      </c>
      <c r="BB13" s="50" t="str">
        <f aca="false">IF(OR(BB1="",NOT(ISNUMBER(BB12)),BB14=""),"",ROUND(BB12-BB14+BB15,1))</f>
        <v/>
      </c>
      <c r="BC13" s="50" t="str">
        <f aca="false">IF(OR(BC1="",NOT(ISNUMBER(BC12)),BC14=""),"",ROUND(BC12-BC14+BC15,1))</f>
        <v/>
      </c>
      <c r="BD13" s="50" t="n">
        <f aca="false">IF(OR(BD1="",NOT(ISNUMBER(BD12)),BD14=""),"",ROUND(BD12-BD14+BD15,1))</f>
        <v>1</v>
      </c>
      <c r="BE13" s="50" t="n">
        <f aca="false">IF(OR(BE1="",NOT(ISNUMBER(BE12)),BE14=""),"",ROUND(BE12-BE14+BE15,1))</f>
        <v>0.9</v>
      </c>
      <c r="BF13" s="50" t="n">
        <f aca="false">IF(OR(BF1="",NOT(ISNUMBER(BF12)),BF14=""),"",ROUND(BF12-BF14+BF15,1))</f>
        <v>1.5</v>
      </c>
      <c r="BG13" s="50" t="n">
        <f aca="false">IF(OR(BG1="",NOT(ISNUMBER(BG12)),BG14=""),"",ROUND(BG12-BG14+BG15,1))</f>
        <v>1</v>
      </c>
      <c r="BH13" s="50" t="n">
        <f aca="false">IF(OR(BH1="",NOT(ISNUMBER(BH12)),BH14=""),"",ROUND(BH12-BH14+BH15,1))</f>
        <v>3.1</v>
      </c>
      <c r="BI13" s="50" t="n">
        <f aca="false">IF(OR(BI1="",NOT(ISNUMBER(BI12)),BI14=""),"",ROUND(BI12-BI14+BI15,1))</f>
        <v>2.4</v>
      </c>
      <c r="BJ13" s="50" t="n">
        <f aca="false">IF(OR(BJ1="",NOT(ISNUMBER(BJ12)),BJ14=""),"",ROUND(BJ12-BJ14+BJ15,1))</f>
        <v>2.2</v>
      </c>
      <c r="BK13" s="50" t="n">
        <f aca="false">IF(OR(BK1="",NOT(ISNUMBER(BK12)),BK14=""),"",ROUND(BK12-BK14+BK15,1))</f>
        <v>1.5</v>
      </c>
      <c r="BL13" s="50" t="n">
        <f aca="false">IF(OR(BL1="",NOT(ISNUMBER(BL12)),BL14=""),"",ROUND(BL12-BL14+BL15,1))</f>
        <v>2.8</v>
      </c>
      <c r="BM13" s="50" t="n">
        <f aca="false">IF(OR(BM1="",NOT(ISNUMBER(BM12)),BM14=""),"",ROUND(BM12-BM14+BM15,1))</f>
        <v>2.5</v>
      </c>
      <c r="BN13" s="50" t="n">
        <f aca="false">IF(OR(BN1="",NOT(ISNUMBER(BN12)),BN14=""),"",ROUND(BN12-BN14+BN15,1))</f>
        <v>2.1</v>
      </c>
      <c r="BO13" s="50" t="n">
        <f aca="false">IF(OR(BO1="",NOT(ISNUMBER(BO12)),BO14=""),"",ROUND(BO12-BO14+BO15,1))</f>
        <v>1.5</v>
      </c>
      <c r="BP13" s="50" t="n">
        <f aca="false">IF(OR(BP1="",NOT(ISNUMBER(BP12)),BP14=""),"",ROUND(BP12-BP14+BP15,1))</f>
        <v>1.3</v>
      </c>
      <c r="BQ13" s="50" t="n">
        <f aca="false">IF(OR(BQ1="",NOT(ISNUMBER(BQ12)),BQ14=""),"",ROUND(BQ12-BQ14+BQ15,1))</f>
        <v>2.5</v>
      </c>
      <c r="BR13" s="50" t="n">
        <f aca="false">IF(OR(BR1="",NOT(ISNUMBER(BR12)),BR14=""),"",ROUND(BR12-BR14+BR15,1))</f>
        <v>2.1</v>
      </c>
      <c r="BS13" s="50" t="n">
        <f aca="false">IF(OR(BS1="",NOT(ISNUMBER(BS12)),BS14=""),"",ROUND(BS12-BS14+BS15,1))</f>
        <v>1.4</v>
      </c>
      <c r="BT13" s="50" t="n">
        <f aca="false">IF(OR(BT1="",NOT(ISNUMBER(BT12)),BT14=""),"",ROUND(BT12-BT14+BT15,1))</f>
        <v>1.2</v>
      </c>
      <c r="BU13" s="50" t="n">
        <f aca="false">IF(OR(BU1="",NOT(ISNUMBER(BU12)),BU14=""),"",ROUND(BU12-BU14+BU15,1))</f>
        <v>1</v>
      </c>
      <c r="BV13" s="50" t="n">
        <f aca="false">IF(OR(BV1="",NOT(ISNUMBER(BV12)),BV14=""),"",ROUND(BV12-BV14+BV15,1))</f>
        <v>0.9</v>
      </c>
      <c r="BW13" s="50" t="n">
        <f aca="false">IF(OR(BW1="",NOT(ISNUMBER(BW12)),BW14=""),"",ROUND(BW12-BW14+BW15,1))</f>
        <v>0.7</v>
      </c>
      <c r="BX13" s="50" t="n">
        <f aca="false">IF(OR(BX1="",NOT(ISNUMBER(BX12)),BX14=""),"",ROUND(BX12-BX14+BX15,1))</f>
        <v>2.6</v>
      </c>
      <c r="BY13" s="50" t="n">
        <f aca="false">IF(OR(BY1="",NOT(ISNUMBER(BY12)),BY14=""),"",ROUND(BY12-BY14+BY15,1))</f>
        <v>2.4</v>
      </c>
      <c r="BZ13" s="50" t="n">
        <f aca="false">IF(OR(BZ1="",NOT(ISNUMBER(BZ12)),BZ14=""),"",ROUND(BZ12-BZ14+BZ15,1))</f>
        <v>1.9</v>
      </c>
      <c r="CA13" s="50" t="str">
        <f aca="false">IF(OR(CA1="",NOT(ISNUMBER(CA12)),CA14=""),"",ROUND(CA12-CA14+CA15,1))</f>
        <v/>
      </c>
      <c r="CB13" s="50" t="n">
        <f aca="false">IF(OR(CB1="",NOT(ISNUMBER(CB12)),CB14=""),"",ROUND(CB12-CB14+CB15,1))</f>
        <v>1.1</v>
      </c>
      <c r="CC13" s="50" t="n">
        <f aca="false">IF(OR(CC1="",NOT(ISNUMBER(CC12)),CC14=""),"",ROUND(CC12-CC14+CC15,1))</f>
        <v>0.5</v>
      </c>
      <c r="CD13" s="50" t="n">
        <f aca="false">IF(OR(CD1="",NOT(ISNUMBER(CD12)),CD14=""),"",ROUND(CD12-CD14+CD15,1))</f>
        <v>-0.5</v>
      </c>
      <c r="CE13" s="50" t="n">
        <f aca="false">IF(OR(CE1="",NOT(ISNUMBER(CE12)),CE14=""),"",ROUND(CE12-CE14+CE15,1))</f>
        <v>2</v>
      </c>
      <c r="CF13" s="50" t="n">
        <f aca="false">IF(OR(CF1="",NOT(ISNUMBER(CF12)),CF14=""),"",ROUND(CF12-CF14+CF15,1))</f>
        <v>1.5</v>
      </c>
      <c r="CG13" s="50" t="n">
        <f aca="false">IF(OR(CG1="",NOT(ISNUMBER(CG12)),CG14=""),"",ROUND(CG12-CG14+CG15,1))</f>
        <v>1.3</v>
      </c>
      <c r="CH13" s="50" t="n">
        <f aca="false">IF(OR(CH1="",NOT(ISNUMBER(CH12)),CH14=""),"",ROUND(CH12-CH14+CH15,1))</f>
        <v>0.9</v>
      </c>
      <c r="CI13" s="50" t="n">
        <f aca="false">IF(OR(CI1="",NOT(ISNUMBER(CI12)),CI14=""),"",ROUND(CI12-CI14+CI15,1))</f>
        <v>3.8</v>
      </c>
      <c r="CJ13" s="50" t="n">
        <f aca="false">IF(OR(CJ1="",NOT(ISNUMBER(CJ12)),CJ14=""),"",ROUND(CJ12-CJ14+CJ15,1))</f>
        <v>3.3</v>
      </c>
      <c r="CK13" s="50" t="n">
        <f aca="false">IF(OR(CK1="",NOT(ISNUMBER(CK12)),CK14=""),"",ROUND(CK12-CK14+CK15,1))</f>
        <v>1.5</v>
      </c>
      <c r="CL13" s="50" t="n">
        <f aca="false">IF(OR(CL1="",NOT(ISNUMBER(CL12)),CL14=""),"",ROUND(CL12-CL14+CL15,1))</f>
        <v>0</v>
      </c>
      <c r="CM13" s="50" t="n">
        <f aca="false">IF(OR(CM1="",NOT(ISNUMBER(CM12)),CM14=""),"",ROUND(CM12-CM14+CM15,1))</f>
        <v>-0.3</v>
      </c>
      <c r="CN13" s="50" t="n">
        <f aca="false">IF(OR(CN1="",NOT(ISNUMBER(CN12)),CN14=""),"",ROUND(CN12-CN14+CN15,1))</f>
        <v>-1</v>
      </c>
      <c r="CO13" s="50" t="n">
        <f aca="false">IF(OR(CO1="",NOT(ISNUMBER(CO12)),CO14=""),"",ROUND(CO12-CO14+CO15,1))</f>
        <v>-3</v>
      </c>
      <c r="CP13" s="50" t="n">
        <f aca="false">IF(OR(CP1="",NOT(ISNUMBER(CP12)),CP14=""),"",ROUND(CP12-CP14+CP15,1))</f>
        <v>-5</v>
      </c>
      <c r="CQ13" s="50" t="n">
        <f aca="false">IF(OR(CQ1="",NOT(ISNUMBER(CQ12)),CQ14=""),"",ROUND(CQ12-CQ14+CQ15,1))</f>
        <v>-8</v>
      </c>
      <c r="CR13" s="50" t="n">
        <f aca="false">IF(OR(CR1="",NOT(ISNUMBER(CR12)),CR14=""),"",ROUND(CR12-CR14+CR15,1))</f>
        <v>-15</v>
      </c>
      <c r="CS13" s="50" t="n">
        <f aca="false">IF(OR(CS1="",NOT(ISNUMBER(CS12)),CS14=""),"",ROUND(CS12-CS14+CS15,1))</f>
        <v>-15</v>
      </c>
      <c r="CT13" s="50" t="n">
        <f aca="false">IF(OR(CT1="",NOT(ISNUMBER(CT12)),CT14=""),"",ROUND(CT12-CT14+CT15,1))</f>
        <v>-15</v>
      </c>
      <c r="CU13" s="50" t="n">
        <f aca="false">IF(OR(CU1="",NOT(ISNUMBER(CU12)),CU14=""),"",ROUND(CU12-CU14+CU15,1))</f>
        <v>-15</v>
      </c>
      <c r="CV13" s="50" t="n">
        <f aca="false">IF(OR(CV1="",NOT(ISNUMBER(CV12)),CV14=""),"",ROUND(CV12-CV14+CV15,1))</f>
        <v>-15</v>
      </c>
      <c r="CW13" s="50" t="n">
        <f aca="false">IF(OR(CW1="",NOT(ISNUMBER(CW12)),CW14=""),"",ROUND(CW12-CW14+CW15,1))</f>
        <v>-15</v>
      </c>
      <c r="CX13" s="50" t="n">
        <f aca="false">IF(OR(CX1="",NOT(ISNUMBER(CX12)),CX14=""),"",ROUND(CX12-CX14+CX15,1))</f>
        <v>1</v>
      </c>
      <c r="CY13" s="50" t="n">
        <f aca="false">IF(OR(CY1="",NOT(ISNUMBER(CY12)),CY14=""),"",ROUND(CY12-CY14+CY15,1))</f>
        <v>0.7</v>
      </c>
      <c r="CZ13" s="50" t="n">
        <f aca="false">IF(OR(CZ1="",NOT(ISNUMBER(CZ12)),CZ14=""),"",ROUND(CZ12-CZ14+CZ15,1))</f>
        <v>0.2</v>
      </c>
      <c r="DA13" s="50" t="n">
        <f aca="false">IF(OR(DA1="",NOT(ISNUMBER(DA12)),DA14=""),"",ROUND(DA12-DA14+DA15,1))</f>
        <v>1.7</v>
      </c>
      <c r="DB13" s="50" t="n">
        <f aca="false">IF(OR(DB1="",NOT(ISNUMBER(DB12)),DB14=""),"",ROUND(DB12-DB14+DB15,1))</f>
        <v>1</v>
      </c>
      <c r="DC13" s="50" t="n">
        <f aca="false">IF(OR(DC1="",NOT(ISNUMBER(DC12)),DC14=""),"",ROUND(DC12-DC14+DC15,1))</f>
        <v>0.5</v>
      </c>
      <c r="DD13" s="50" t="n">
        <f aca="false">IF(OR(DD1="",NOT(ISNUMBER(DD12)),DD14=""),"",ROUND(DD12-DD14+DD15,1))</f>
        <v>2.5</v>
      </c>
      <c r="DE13" s="50" t="n">
        <f aca="false">IF(OR(DE1="",NOT(ISNUMBER(DE12)),DE14=""),"",ROUND(DE12-DE14+DE15,1))</f>
        <v>2</v>
      </c>
      <c r="DF13" s="50" t="n">
        <f aca="false">IF(OR(DF1="",NOT(ISNUMBER(DF12)),DF14=""),"",ROUND(DF12-DF14+DF15,1))</f>
        <v>1.5</v>
      </c>
      <c r="DG13" s="50" t="n">
        <f aca="false">IF(OR(DG1="",NOT(ISNUMBER(DG12)),DG14=""),"",ROUND(DG12-DG14+DG15,1))</f>
        <v>1</v>
      </c>
      <c r="DH13" s="50" t="n">
        <f aca="false">IF(OR(DH1="",NOT(ISNUMBER(DH12)),DH14=""),"",ROUND(DH12-DH14+DH15,1))</f>
        <v>0.7</v>
      </c>
      <c r="DI13" s="50" t="n">
        <f aca="false">IF(OR(DI1="",NOT(ISNUMBER(DI12)),DI14=""),"",ROUND(DI12-DI14+DI15,1))</f>
        <v>0.1</v>
      </c>
      <c r="DJ13" s="50" t="n">
        <f aca="false">IF(OR(DJ1="",NOT(ISNUMBER(DJ12)),DJ14=""),"",ROUND(DJ12-DJ14+DJ15,1))</f>
        <v>0</v>
      </c>
      <c r="DK13" s="50" t="n">
        <f aca="false">IF(OR(DK1="",NOT(ISNUMBER(DK12)),DK14=""),"",ROUND(DK12-DK14+DK15,1))</f>
        <v>1</v>
      </c>
      <c r="DL13" s="50" t="str">
        <f aca="false">IF(OR(DL1="",NOT(ISNUMBER(DL12)),DL14=""),"",ROUND(DL12-DL14+DL15,1))</f>
        <v/>
      </c>
      <c r="DM13" s="50" t="n">
        <f aca="false">IF(OR(DM1="",NOT(ISNUMBER(DM12)),DM14=""),"",ROUND(DM12-DM14+DM15,1))</f>
        <v>0.2</v>
      </c>
      <c r="DN13" s="50" t="n">
        <f aca="false">IF(OR(DN1="",NOT(ISNUMBER(DN12)),DN14=""),"",ROUND(DN12-DN14+DN15,1))</f>
        <v>0.9</v>
      </c>
      <c r="DO13" s="50" t="n">
        <f aca="false">IF(OR(DO1="",NOT(ISNUMBER(DO12)),DO14=""),"",ROUND(DO12-DO14+DO15,1))</f>
        <v>0</v>
      </c>
      <c r="DP13" s="50" t="n">
        <f aca="false">IF(OR(DP1="",NOT(ISNUMBER(DP12)),DP14=""),"",ROUND(DP12-DP14+DP15,1))</f>
        <v>1</v>
      </c>
      <c r="DQ13" s="50" t="n">
        <f aca="false">IF(OR(DQ1="",NOT(ISNUMBER(DQ12)),DQ14=""),"",ROUND(DQ12-DQ14+DQ15,1))</f>
        <v>0.7</v>
      </c>
      <c r="DR13" s="50" t="n">
        <f aca="false">IF(OR(DR1="",NOT(ISNUMBER(DR12)),DR14=""),"",ROUND(DR12-DR14+DR15,1))</f>
        <v>0.3</v>
      </c>
      <c r="DS13" s="50" t="n">
        <f aca="false">IF(OR(DS1="",NOT(ISNUMBER(DS12)),DS14=""),"",ROUND(DS12-DS14+DS15,1))</f>
        <v>0.5</v>
      </c>
      <c r="DT13" s="50" t="n">
        <f aca="false">IF(OR(DT1="",NOT(ISNUMBER(DT12)),DT14=""),"",ROUND(DT12-DT14+DT15,1))</f>
        <v>0</v>
      </c>
      <c r="DU13" s="50" t="n">
        <f aca="false">IF(OR(DU1="",NOT(ISNUMBER(DU12)),DU14=""),"",ROUND(DU12-DU14+DU15,1))</f>
        <v>1</v>
      </c>
      <c r="DV13" s="50" t="n">
        <f aca="false">IF(OR(DV1="",NOT(ISNUMBER(DV12)),DV14=""),"",ROUND(DV12-DV14+DV15,1))</f>
        <v>0.7</v>
      </c>
      <c r="DW13" s="50" t="n">
        <f aca="false">IF(OR(DW1="",NOT(ISNUMBER(DW12)),DW14=""),"",ROUND(DW12-DW14+DW15,1))</f>
        <v>0.5</v>
      </c>
      <c r="DX13" s="50" t="n">
        <f aca="false">IF(OR(DX1="",NOT(ISNUMBER(DX12)),DX14=""),"",ROUND(DX12-DX14+DX15,1))</f>
        <v>1</v>
      </c>
      <c r="DY13" s="50" t="n">
        <f aca="false">IF(OR(DY1="",NOT(ISNUMBER(DY12)),DY14=""),"",ROUND(DY12-DY14+DY15,1))</f>
        <v>0.7</v>
      </c>
      <c r="DZ13" s="50" t="n">
        <f aca="false">IF(OR(DZ1="",NOT(ISNUMBER(DZ12)),DZ14=""),"",ROUND(DZ12-DZ14+DZ15,1))</f>
        <v>0.5</v>
      </c>
      <c r="EA13" s="50" t="n">
        <f aca="false">IF(OR(EA1="",NOT(ISNUMBER(EA12)),EA14=""),"",ROUND(EA12-EA14+EA15,1))</f>
        <v>0.1</v>
      </c>
      <c r="EB13" s="50" t="n">
        <f aca="false">IF(OR(EB1="",NOT(ISNUMBER(EB12)),EB14=""),"",ROUND(EB12-EB14+EB15,1))</f>
        <v>1.5</v>
      </c>
      <c r="EC13" s="50" t="n">
        <f aca="false">IF(OR(EC1="",NOT(ISNUMBER(EC12)),EC14=""),"",ROUND(EC12-EC14+EC15,1))</f>
        <v>1</v>
      </c>
      <c r="ED13" s="50" t="n">
        <f aca="false">IF(OR(ED1="",NOT(ISNUMBER(ED12)),ED14=""),"",ROUND(ED12-ED14+ED15,1))</f>
        <v>0.7</v>
      </c>
      <c r="EE13" s="50" t="n">
        <f aca="false">IF(OR(EE1="",NOT(ISNUMBER(EE12)),EE14=""),"",ROUND(EE12-EE14+EE15,1))</f>
        <v>2</v>
      </c>
      <c r="EF13" s="50" t="n">
        <f aca="false">IF(OR(EF1="",NOT(ISNUMBER(EF12)),EF14=""),"",ROUND(EF12-EF14+EF15,1))</f>
        <v>1.7</v>
      </c>
      <c r="EG13" s="50" t="n">
        <f aca="false">IF(OR(EG1="",NOT(ISNUMBER(EG12)),EG14=""),"",ROUND(EG12-EG14+EG15,1))</f>
        <v>1</v>
      </c>
      <c r="EH13" s="50" t="n">
        <f aca="false">IF(OR(EH1="",NOT(ISNUMBER(EH12)),EH14=""),"",ROUND(EH12-EH14+EH15,1))</f>
        <v>0.6</v>
      </c>
      <c r="EI13" s="50" t="n">
        <f aca="false">IF(OR(EI1="",NOT(ISNUMBER(EI12)),EI14=""),"",ROUND(EI12-EI14+EI15,1))</f>
        <v>1.5</v>
      </c>
      <c r="EJ13" s="50" t="n">
        <f aca="false">IF(OR(EJ1="",NOT(ISNUMBER(EJ12)),EJ14=""),"",ROUND(EJ12-EJ14+EJ15,1))</f>
        <v>1</v>
      </c>
      <c r="EK13" s="50" t="n">
        <f aca="false">IF(OR(EK1="",NOT(ISNUMBER(EK12)),EK14=""),"",ROUND(EK12-EK14+EK15,1))</f>
        <v>2.5</v>
      </c>
      <c r="EL13" s="50" t="n">
        <f aca="false">IF(OR(EL1="",NOT(ISNUMBER(EL12)),EL14=""),"",ROUND(EL12-EL14+EL15,1))</f>
        <v>1.5</v>
      </c>
      <c r="EM13" s="50" t="n">
        <f aca="false">IF(OR(EM1="",NOT(ISNUMBER(EM12)),EM14=""),"",ROUND(EM12-EM14+EM15,1))</f>
        <v>2.5</v>
      </c>
      <c r="EN13" s="50" t="n">
        <f aca="false">IF(OR(EN1="",NOT(ISNUMBER(EN12)),EN14=""),"",ROUND(EN12-EN14+EN15,1))</f>
        <v>2</v>
      </c>
      <c r="EO13" s="50" t="n">
        <f aca="false">IF(OR(EO1="",NOT(ISNUMBER(EO12)),EO14=""),"",ROUND(EO12-EO14+EO15,1))</f>
        <v>1.5</v>
      </c>
      <c r="EP13" s="50" t="n">
        <f aca="false">IF(OR(EP1="",NOT(ISNUMBER(EP12)),EP14=""),"",ROUND(EP12-EP14+EP15,1))</f>
        <v>0.5</v>
      </c>
      <c r="EQ13" s="50" t="n">
        <f aca="false">IF(OR(EQ1="",NOT(ISNUMBER(EQ12)),EQ14=""),"",ROUND(EQ12-EQ14+EQ15,1))</f>
        <v>1.5</v>
      </c>
      <c r="ER13" s="50" t="n">
        <f aca="false">IF(OR(ER1="",NOT(ISNUMBER(ER12)),ER14=""),"",ROUND(ER12-ER14+ER15,1))</f>
        <v>0</v>
      </c>
      <c r="ES13" s="50" t="n">
        <f aca="false">IF(OR(ES1="",NOT(ISNUMBER(ES12)),ES14=""),"",ROUND(ES12-ES14+ES15,1))</f>
        <v>-6.5</v>
      </c>
      <c r="ET13" s="50" t="n">
        <f aca="false">IF(OR(ET1="",NOT(ISNUMBER(ET12)),ET14=""),"",ROUND(ET12-ET14+ET15,1))</f>
        <v>-15</v>
      </c>
      <c r="EU13" s="50" t="str">
        <f aca="false">IF(OR(EU1="",NOT(ISNUMBER(EU12)),EU14=""),"",ROUND(EU12-EU14+EU15,1))</f>
        <v/>
      </c>
      <c r="EV13" s="50" t="str">
        <f aca="false">IF(OR(EV1="",NOT(ISNUMBER(EV12)),EV14=""),"",ROUND(EV12-EV14+EV15,1))</f>
        <v/>
      </c>
      <c r="EW13" s="50" t="str">
        <f aca="false">IF(OR(EW1="",NOT(ISNUMBER(EW12)),EW14=""),"",ROUND(EW12-EW14+EW15,1))</f>
        <v/>
      </c>
      <c r="EX13" s="50" t="str">
        <f aca="false">IF(OR(EX1="",NOT(ISNUMBER(EX12)),EX14=""),"",ROUND(EX12-EX14+EX15,1))</f>
        <v/>
      </c>
      <c r="EY13" s="50" t="str">
        <f aca="false">IF(OR(EY1="",NOT(ISNUMBER(EY12)),EY14=""),"",ROUND(EY12-EY14+EY15,1))</f>
        <v/>
      </c>
      <c r="EZ13" s="50" t="str">
        <f aca="false">IF(OR(EZ1="",NOT(ISNUMBER(EZ12)),EZ14=""),"",ROUND(EZ12-EZ14+EZ15,1))</f>
        <v/>
      </c>
      <c r="FA13" s="50" t="str">
        <f aca="false">IF(OR(FA1="",NOT(ISNUMBER(FA12)),FA14=""),"",ROUND(FA12-FA14+FA15,1))</f>
        <v/>
      </c>
      <c r="FB13" s="50" t="str">
        <f aca="false">IF(OR(FB1="",NOT(ISNUMBER(FB12)),FB14=""),"",ROUND(FB12-FB14+FB15,1))</f>
        <v/>
      </c>
      <c r="FC13" s="50" t="str">
        <f aca="false">IF(OR(FC1="",NOT(ISNUMBER(FC12)),FC14=""),"",ROUND(FC12-FC14+FC15,1))</f>
        <v/>
      </c>
      <c r="FD13" s="50" t="str">
        <f aca="false">IF(OR(FD1="",NOT(ISNUMBER(FD12)),FD14=""),"",ROUND(FD12-FD14+FD15,1))</f>
        <v/>
      </c>
      <c r="FE13" s="50" t="str">
        <f aca="false">IF(OR(FE1="",NOT(ISNUMBER(FE12)),FE14=""),"",ROUND(FE12-FE14+FE15,1))</f>
        <v/>
      </c>
      <c r="FF13" s="50" t="str">
        <f aca="false">IF(OR(FF1="",NOT(ISNUMBER(FF12)),FF14=""),"",ROUND(FF12-FF14+FF15,1))</f>
        <v/>
      </c>
      <c r="FG13" s="50" t="str">
        <f aca="false">IF(OR(FG1="",NOT(ISNUMBER(FG12)),FG14=""),"",ROUND(FG12-FG14+FG15,1))</f>
        <v/>
      </c>
      <c r="FH13" s="50" t="str">
        <f aca="false">IF(OR(FH1="",NOT(ISNUMBER(FH12)),FH14=""),"",ROUND(FH12-FH14+FH15,1))</f>
        <v/>
      </c>
      <c r="FI13" s="50" t="str">
        <f aca="false">IF(OR(FI1="",NOT(ISNUMBER(FI12)),FI14=""),"",ROUND(FI12-FI14+FI15,1))</f>
        <v/>
      </c>
      <c r="FJ13" s="50" t="str">
        <f aca="false">IF(OR(FJ1="",NOT(ISNUMBER(FJ12)),FJ14=""),"",ROUND(FJ12-FJ14+FJ15,1))</f>
        <v/>
      </c>
      <c r="FK13" s="50" t="str">
        <f aca="false">IF(OR(FK1="",NOT(ISNUMBER(FK12)),FK14=""),"",ROUND(FK12-FK14+FK15,1))</f>
        <v/>
      </c>
      <c r="FL13" s="50" t="str">
        <f aca="false">IF(OR(FL1="",NOT(ISNUMBER(FL12)),FL14=""),"",ROUND(FL12-FL14+FL15,1))</f>
        <v/>
      </c>
      <c r="FM13" s="50" t="str">
        <f aca="false">IF(OR(FM1="",NOT(ISNUMBER(FM12)),FM14=""),"",ROUND(FM12-FM14+FM15,1))</f>
        <v/>
      </c>
      <c r="FN13" s="50" t="str">
        <f aca="false">IF(OR(FN1="",NOT(ISNUMBER(FN12)),FN14=""),"",ROUND(FN12-FN14+FN15,1))</f>
        <v/>
      </c>
      <c r="FO13" s="50" t="str">
        <f aca="false">IF(OR(FO1="",NOT(ISNUMBER(FO12)),FO14=""),"",ROUND(FO12-FO14+FO15,1))</f>
        <v/>
      </c>
      <c r="FP13" s="50" t="str">
        <f aca="false">IF(OR(FP1="",NOT(ISNUMBER(FP12)),FP14=""),"",ROUND(FP12-FP14+FP15,1))</f>
        <v/>
      </c>
      <c r="FQ13" s="50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317</v>
      </c>
      <c r="B14" s="17" t="s">
        <v>396</v>
      </c>
      <c r="D14" s="50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0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0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0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0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0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0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0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0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0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0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0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0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0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0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0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0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0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0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0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0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0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0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0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0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0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0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0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0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0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0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0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0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0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0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0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0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0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0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0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0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0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0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0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0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0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0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0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0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0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0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0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0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0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0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0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0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0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0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0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0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0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0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0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0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0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0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0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0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0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0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0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0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0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0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0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0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0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0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0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0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0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0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0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0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0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0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0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0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0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0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0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0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0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0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0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0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0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0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0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0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0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0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0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0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0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0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0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0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0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0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0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0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0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0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0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0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0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0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0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0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0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0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0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0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0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0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0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0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0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0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0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0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0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0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0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0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0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0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0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0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0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0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0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0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0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0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0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0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0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0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0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0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0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0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0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0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0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0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0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0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0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0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0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0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0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0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0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0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0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1" t="s">
        <v>317</v>
      </c>
      <c r="B15" s="17" t="s">
        <v>397</v>
      </c>
      <c r="D15" s="50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0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0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0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0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0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0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0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0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0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0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0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0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0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0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0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0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0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0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0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0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0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0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0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0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0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0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0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0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0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0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0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0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0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0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0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0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0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0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0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0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0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0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0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0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0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0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0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0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0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0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0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0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0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0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0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0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0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0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0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0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0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0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0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0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0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0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0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0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0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0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0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0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0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0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0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0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0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0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0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0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0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0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0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0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0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0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0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0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0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0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0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0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0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0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0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0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0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0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0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0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0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0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0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0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0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0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0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0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0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0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0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0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0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0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0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0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0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0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0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0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0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0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0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0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0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0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0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0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0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0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0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0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0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0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0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0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0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0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0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0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0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0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0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0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0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0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0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0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0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0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0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0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0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0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0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0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0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0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0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0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0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0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0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0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0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0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0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0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0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1" t="s">
        <v>317</v>
      </c>
      <c r="B16" s="17" t="s">
        <v>398</v>
      </c>
      <c r="C16" s="27" t="str">
        <f aca="false">COUNT($D$21:$FQ$21)&amp;" বার সেচ"</f>
        <v>21 বার সেচ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317</v>
      </c>
      <c r="B17" s="17" t="s">
        <v>399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280.6</v>
      </c>
      <c r="BF17" s="57" t="str">
        <f aca="false">IF(2_Daily_input!BF16="","",2_Daily_input!BF16)</f>
        <v/>
      </c>
      <c r="BG17" s="57" t="n">
        <f aca="false">IF(2_Daily_input!BG16="","",2_Daily_input!BG16)</f>
        <v>282.5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282.4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282.5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281.4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281.5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283.5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282.5</v>
      </c>
      <c r="DJ17" s="57" t="n">
        <f aca="false">IF(2_Daily_input!DJ16="","",2_Daily_input!DJ16)</f>
        <v>282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</v>
      </c>
      <c r="DN17" s="57" t="str">
        <f aca="false">IF(2_Daily_input!DN16="","",2_Daily_input!DN16)</f>
        <v/>
      </c>
      <c r="DO17" s="57" t="n">
        <f aca="false">IF(2_Daily_input!DO16="","",2_Daily_input!DO16)</f>
        <v>282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</v>
      </c>
      <c r="DS17" s="57" t="str">
        <f aca="false">IF(2_Daily_input!DS16="","",2_Daily_input!DS16)</f>
        <v/>
      </c>
      <c r="DT17" s="57" t="n">
        <f aca="false">IF(2_Daily_input!DT16="","",2_Daily_input!DT16)</f>
        <v>282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282.2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</v>
      </c>
      <c r="EI17" s="57" t="str">
        <f aca="false">IF(2_Daily_input!EI16="","",2_Daily_input!EI16)</f>
        <v/>
      </c>
      <c r="EJ17" s="57" t="n">
        <f aca="false">IF(2_Daily_input!EJ16="","",2_Daily_input!EJ16)</f>
        <v>283.5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317</v>
      </c>
      <c r="B18" s="17" t="s">
        <v>400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317</v>
      </c>
      <c r="B19" s="17" t="s">
        <v>401</v>
      </c>
      <c r="D19" s="50" t="str">
        <f aca="false">IF(AND(ISNUMBER(D16),ISNUMBER(D17),D14&lt;&gt;""),ROUND(D16-D14+D15,1),"")</f>
        <v/>
      </c>
      <c r="E19" s="50" t="str">
        <f aca="false">IF(AND(ISNUMBER(E16),ISNUMBER(E17),E14&lt;&gt;""),ROUND(E16-E14+E15,1),"")</f>
        <v/>
      </c>
      <c r="F19" s="50" t="str">
        <f aca="false">IF(AND(ISNUMBER(F16),ISNUMBER(F17),F14&lt;&gt;""),ROUND(F16-F14+F15,1),"")</f>
        <v/>
      </c>
      <c r="G19" s="50" t="str">
        <f aca="false">IF(AND(ISNUMBER(G16),ISNUMBER(G17),G14&lt;&gt;""),ROUND(G16-G14+G15,1),"")</f>
        <v/>
      </c>
      <c r="H19" s="50" t="str">
        <f aca="false">IF(AND(ISNUMBER(H16),ISNUMBER(H17),H14&lt;&gt;""),ROUND(H16-H14+H15,1),"")</f>
        <v/>
      </c>
      <c r="I19" s="50" t="str">
        <f aca="false">IF(AND(ISNUMBER(I16),ISNUMBER(I17),I14&lt;&gt;""),ROUND(I16-I14+I15,1),"")</f>
        <v/>
      </c>
      <c r="J19" s="50" t="str">
        <f aca="false">IF(AND(ISNUMBER(J16),ISNUMBER(J17),J14&lt;&gt;""),ROUND(J16-J14+J15,1),"")</f>
        <v/>
      </c>
      <c r="K19" s="50" t="str">
        <f aca="false">IF(AND(ISNUMBER(K16),ISNUMBER(K17),K14&lt;&gt;""),ROUND(K16-K14+K15,1),"")</f>
        <v/>
      </c>
      <c r="L19" s="50" t="str">
        <f aca="false">IF(AND(ISNUMBER(L16),ISNUMBER(L17),L14&lt;&gt;""),ROUND(L16-L14+L15,1),"")</f>
        <v/>
      </c>
      <c r="M19" s="50" t="str">
        <f aca="false">IF(AND(ISNUMBER(M16),ISNUMBER(M17),M14&lt;&gt;""),ROUND(M16-M14+M15,1),"")</f>
        <v/>
      </c>
      <c r="N19" s="50" t="str">
        <f aca="false">IF(AND(ISNUMBER(N16),ISNUMBER(N17),N14&lt;&gt;""),ROUND(N16-N14+N15,1),"")</f>
        <v/>
      </c>
      <c r="O19" s="50" t="str">
        <f aca="false">IF(AND(ISNUMBER(O16),ISNUMBER(O17),O14&lt;&gt;""),ROUND(O16-O14+O15,1),"")</f>
        <v/>
      </c>
      <c r="P19" s="50" t="str">
        <f aca="false">IF(AND(ISNUMBER(P16),ISNUMBER(P17),P14&lt;&gt;""),ROUND(P16-P14+P15,1),"")</f>
        <v/>
      </c>
      <c r="Q19" s="50" t="str">
        <f aca="false">IF(AND(ISNUMBER(Q16),ISNUMBER(Q17),Q14&lt;&gt;""),ROUND(Q16-Q14+Q15,1),"")</f>
        <v/>
      </c>
      <c r="R19" s="50" t="str">
        <f aca="false">IF(AND(ISNUMBER(R16),ISNUMBER(R17),R14&lt;&gt;""),ROUND(R16-R14+R15,1),"")</f>
        <v/>
      </c>
      <c r="S19" s="50" t="str">
        <f aca="false">IF(AND(ISNUMBER(S16),ISNUMBER(S17),S14&lt;&gt;""),ROUND(S16-S14+S15,1),"")</f>
        <v/>
      </c>
      <c r="T19" s="50" t="str">
        <f aca="false">IF(AND(ISNUMBER(T16),ISNUMBER(T17),T14&lt;&gt;""),ROUND(T16-T14+T15,1),"")</f>
        <v/>
      </c>
      <c r="U19" s="50" t="str">
        <f aca="false">IF(AND(ISNUMBER(U16),ISNUMBER(U17),U14&lt;&gt;""),ROUND(U16-U14+U15,1),"")</f>
        <v/>
      </c>
      <c r="V19" s="50" t="str">
        <f aca="false">IF(AND(ISNUMBER(V16),ISNUMBER(V17),V14&lt;&gt;""),ROUND(V16-V14+V15,1),"")</f>
        <v/>
      </c>
      <c r="W19" s="50" t="str">
        <f aca="false">IF(AND(ISNUMBER(W16),ISNUMBER(W17),W14&lt;&gt;""),ROUND(W16-W14+W15,1),"")</f>
        <v/>
      </c>
      <c r="X19" s="50" t="str">
        <f aca="false">IF(AND(ISNUMBER(X16),ISNUMBER(X17),X14&lt;&gt;""),ROUND(X16-X14+X15,1),"")</f>
        <v/>
      </c>
      <c r="Y19" s="50" t="str">
        <f aca="false">IF(AND(ISNUMBER(Y16),ISNUMBER(Y17),Y14&lt;&gt;""),ROUND(Y16-Y14+Y15,1),"")</f>
        <v/>
      </c>
      <c r="Z19" s="50" t="str">
        <f aca="false">IF(AND(ISNUMBER(Z16),ISNUMBER(Z17),Z14&lt;&gt;""),ROUND(Z16-Z14+Z15,1),"")</f>
        <v/>
      </c>
      <c r="AA19" s="50" t="str">
        <f aca="false">IF(AND(ISNUMBER(AA16),ISNUMBER(AA17),AA14&lt;&gt;""),ROUND(AA16-AA14+AA15,1),"")</f>
        <v/>
      </c>
      <c r="AB19" s="50" t="str">
        <f aca="false">IF(AND(ISNUMBER(AB16),ISNUMBER(AB17),AB14&lt;&gt;""),ROUND(AB16-AB14+AB15,1),"")</f>
        <v/>
      </c>
      <c r="AC19" s="50" t="str">
        <f aca="false">IF(AND(ISNUMBER(AC16),ISNUMBER(AC17),AC14&lt;&gt;""),ROUND(AC16-AC14+AC15,1),"")</f>
        <v/>
      </c>
      <c r="AD19" s="50" t="str">
        <f aca="false">IF(AND(ISNUMBER(AD16),ISNUMBER(AD17),AD14&lt;&gt;""),ROUND(AD16-AD14+AD15,1),"")</f>
        <v/>
      </c>
      <c r="AE19" s="50" t="str">
        <f aca="false">IF(AND(ISNUMBER(AE16),ISNUMBER(AE17),AE14&lt;&gt;""),ROUND(AE16-AE14+AE15,1),"")</f>
        <v/>
      </c>
      <c r="AF19" s="50" t="str">
        <f aca="false">IF(AND(ISNUMBER(AF16),ISNUMBER(AF17),AF14&lt;&gt;""),ROUND(AF16-AF14+AF15,1),"")</f>
        <v/>
      </c>
      <c r="AG19" s="50" t="str">
        <f aca="false">IF(AND(ISNUMBER(AG16),ISNUMBER(AG17),AG14&lt;&gt;""),ROUND(AG16-AG14+AG15,1),"")</f>
        <v/>
      </c>
      <c r="AH19" s="50" t="str">
        <f aca="false">IF(AND(ISNUMBER(AH16),ISNUMBER(AH17),AH14&lt;&gt;""),ROUND(AH16-AH14+AH15,1),"")</f>
        <v/>
      </c>
      <c r="AI19" s="50" t="str">
        <f aca="false">IF(AND(ISNUMBER(AI16),ISNUMBER(AI17),AI14&lt;&gt;""),ROUND(AI16-AI14+AI15,1),"")</f>
        <v/>
      </c>
      <c r="AJ19" s="50" t="str">
        <f aca="false">IF(AND(ISNUMBER(AJ16),ISNUMBER(AJ17),AJ14&lt;&gt;""),ROUND(AJ16-AJ14+AJ15,1),"")</f>
        <v/>
      </c>
      <c r="AK19" s="50" t="str">
        <f aca="false">IF(AND(ISNUMBER(AK16),ISNUMBER(AK17),AK14&lt;&gt;""),ROUND(AK16-AK14+AK15,1),"")</f>
        <v/>
      </c>
      <c r="AL19" s="50" t="str">
        <f aca="false">IF(AND(ISNUMBER(AL16),ISNUMBER(AL17),AL14&lt;&gt;""),ROUND(AL16-AL14+AL15,1),"")</f>
        <v/>
      </c>
      <c r="AM19" s="50" t="str">
        <f aca="false">IF(AND(ISNUMBER(AM16),ISNUMBER(AM17),AM14&lt;&gt;""),ROUND(AM16-AM14+AM15,1),"")</f>
        <v/>
      </c>
      <c r="AN19" s="50" t="str">
        <f aca="false">IF(AND(ISNUMBER(AN16),ISNUMBER(AN17),AN14&lt;&gt;""),ROUND(AN16-AN14+AN15,1),"")</f>
        <v/>
      </c>
      <c r="AO19" s="50" t="str">
        <f aca="false">IF(AND(ISNUMBER(AO16),ISNUMBER(AO17),AO14&lt;&gt;""),ROUND(AO16-AO14+AO15,1),"")</f>
        <v/>
      </c>
      <c r="AP19" s="50" t="str">
        <f aca="false">IF(AND(ISNUMBER(AP16),ISNUMBER(AP17),AP14&lt;&gt;""),ROUND(AP16-AP14+AP15,1),"")</f>
        <v/>
      </c>
      <c r="AQ19" s="50" t="str">
        <f aca="false">IF(AND(ISNUMBER(AQ16),ISNUMBER(AQ17),AQ14&lt;&gt;""),ROUND(AQ16-AQ14+AQ15,1),"")</f>
        <v/>
      </c>
      <c r="AR19" s="50" t="str">
        <f aca="false">IF(AND(ISNUMBER(AR16),ISNUMBER(AR17),AR14&lt;&gt;""),ROUND(AR16-AR14+AR15,1),"")</f>
        <v/>
      </c>
      <c r="AS19" s="50" t="str">
        <f aca="false">IF(AND(ISNUMBER(AS16),ISNUMBER(AS17),AS14&lt;&gt;""),ROUND(AS16-AS14+AS15,1),"")</f>
        <v/>
      </c>
      <c r="AT19" s="50" t="str">
        <f aca="false">IF(AND(ISNUMBER(AT16),ISNUMBER(AT17),AT14&lt;&gt;""),ROUND(AT16-AT14+AT15,1),"")</f>
        <v/>
      </c>
      <c r="AU19" s="50" t="str">
        <f aca="false">IF(AND(ISNUMBER(AU16),ISNUMBER(AU17),AU14&lt;&gt;""),ROUND(AU16-AU14+AU15,1),"")</f>
        <v/>
      </c>
      <c r="AV19" s="50" t="str">
        <f aca="false">IF(AND(ISNUMBER(AV16),ISNUMBER(AV17),AV14&lt;&gt;""),ROUND(AV16-AV14+AV15,1),"")</f>
        <v/>
      </c>
      <c r="AW19" s="50" t="str">
        <f aca="false">IF(AND(ISNUMBER(AW16),ISNUMBER(AW17),AW14&lt;&gt;""),ROUND(AW16-AW14+AW15,1),"")</f>
        <v/>
      </c>
      <c r="AX19" s="50" t="str">
        <f aca="false">IF(AND(ISNUMBER(AX16),ISNUMBER(AX17),AX14&lt;&gt;""),ROUND(AX16-AX14+AX15,1),"")</f>
        <v/>
      </c>
      <c r="AY19" s="50" t="str">
        <f aca="false">IF(AND(ISNUMBER(AY16),ISNUMBER(AY17),AY14&lt;&gt;""),ROUND(AY16-AY14+AY15,1),"")</f>
        <v/>
      </c>
      <c r="AZ19" s="50" t="str">
        <f aca="false">IF(AND(ISNUMBER(AZ16),ISNUMBER(AZ17),AZ14&lt;&gt;""),ROUND(AZ16-AZ14+AZ15,1),"")</f>
        <v/>
      </c>
      <c r="BA19" s="50" t="str">
        <f aca="false">IF(AND(ISNUMBER(BA16),ISNUMBER(BA17),BA14&lt;&gt;""),ROUND(BA16-BA14+BA15,1),"")</f>
        <v/>
      </c>
      <c r="BB19" s="50" t="str">
        <f aca="false">IF(AND(ISNUMBER(BB16),ISNUMBER(BB17),BB14&lt;&gt;""),ROUND(BB16-BB14+BB15,1),"")</f>
        <v/>
      </c>
      <c r="BC19" s="50" t="str">
        <f aca="false">IF(AND(ISNUMBER(BC16),ISNUMBER(BC17),BC14&lt;&gt;""),ROUND(BC16-BC14+BC15,1),"")</f>
        <v/>
      </c>
      <c r="BD19" s="50" t="str">
        <f aca="false">IF(AND(ISNUMBER(BD16),ISNUMBER(BD17),BD14&lt;&gt;""),ROUND(BD16-BD14+BD15,1),"")</f>
        <v/>
      </c>
      <c r="BE19" s="50" t="n">
        <f aca="false">IF(AND(ISNUMBER(BE16),ISNUMBER(BE17),BE14&lt;&gt;""),ROUND(BE16-BE14+BE15,1),"")</f>
        <v>0.9</v>
      </c>
      <c r="BF19" s="50" t="str">
        <f aca="false">IF(AND(ISNUMBER(BF16),ISNUMBER(BF17),BF14&lt;&gt;""),ROUND(BF16-BF14+BF15,1),"")</f>
        <v/>
      </c>
      <c r="BG19" s="50" t="n">
        <f aca="false">IF(AND(ISNUMBER(BG16),ISNUMBER(BG17),BG14&lt;&gt;""),ROUND(BG16-BG14+BG15,1),"")</f>
        <v>1</v>
      </c>
      <c r="BH19" s="50" t="str">
        <f aca="false">IF(AND(ISNUMBER(BH16),ISNUMBER(BH17),BH14&lt;&gt;""),ROUND(BH16-BH14+BH15,1),"")</f>
        <v/>
      </c>
      <c r="BI19" s="50" t="str">
        <f aca="false">IF(AND(ISNUMBER(BI16),ISNUMBER(BI17),BI14&lt;&gt;""),ROUND(BI16-BI14+BI15,1),"")</f>
        <v/>
      </c>
      <c r="BJ19" s="50" t="str">
        <f aca="false">IF(AND(ISNUMBER(BJ16),ISNUMBER(BJ17),BJ14&lt;&gt;""),ROUND(BJ16-BJ14+BJ15,1),"")</f>
        <v/>
      </c>
      <c r="BK19" s="50" t="n">
        <f aca="false">IF(AND(ISNUMBER(BK16),ISNUMBER(BK17),BK14&lt;&gt;""),ROUND(BK16-BK14+BK15,1),"")</f>
        <v>1.5</v>
      </c>
      <c r="BL19" s="50" t="str">
        <f aca="false">IF(AND(ISNUMBER(BL16),ISNUMBER(BL17),BL14&lt;&gt;""),ROUND(BL16-BL14+BL15,1),"")</f>
        <v/>
      </c>
      <c r="BM19" s="50" t="str">
        <f aca="false">IF(AND(ISNUMBER(BM16),ISNUMBER(BM17),BM14&lt;&gt;""),ROUND(BM16-BM14+BM15,1),"")</f>
        <v/>
      </c>
      <c r="BN19" s="50" t="str">
        <f aca="false">IF(AND(ISNUMBER(BN16),ISNUMBER(BN17),BN14&lt;&gt;""),ROUND(BN16-BN14+BN15,1),"")</f>
        <v/>
      </c>
      <c r="BO19" s="50" t="str">
        <f aca="false">IF(AND(ISNUMBER(BO16),ISNUMBER(BO17),BO14&lt;&gt;""),ROUND(BO16-BO14+BO15,1),"")</f>
        <v/>
      </c>
      <c r="BP19" s="50" t="n">
        <f aca="false">IF(AND(ISNUMBER(BP16),ISNUMBER(BP17),BP14&lt;&gt;""),ROUND(BP16-BP14+BP15,1),"")</f>
        <v>1.3</v>
      </c>
      <c r="BQ19" s="50" t="str">
        <f aca="false">IF(AND(ISNUMBER(BQ16),ISNUMBER(BQ17),BQ14&lt;&gt;""),ROUND(BQ16-BQ14+BQ15,1),"")</f>
        <v/>
      </c>
      <c r="BR19" s="50" t="str">
        <f aca="false">IF(AND(ISNUMBER(BR16),ISNUMBER(BR17),BR14&lt;&gt;""),ROUND(BR16-BR14+BR15,1),"")</f>
        <v/>
      </c>
      <c r="BS19" s="50" t="str">
        <f aca="false">IF(AND(ISNUMBER(BS16),ISNUMBER(BS17),BS14&lt;&gt;""),ROUND(BS16-BS14+BS15,1),"")</f>
        <v/>
      </c>
      <c r="BT19" s="50" t="str">
        <f aca="false">IF(AND(ISNUMBER(BT16),ISNUMBER(BT17),BT14&lt;&gt;""),ROUND(BT16-BT14+BT15,1),"")</f>
        <v/>
      </c>
      <c r="BU19" s="50" t="str">
        <f aca="false">IF(AND(ISNUMBER(BU16),ISNUMBER(BU17),BU14&lt;&gt;""),ROUND(BU16-BU14+BU15,1),"")</f>
        <v/>
      </c>
      <c r="BV19" s="50" t="str">
        <f aca="false">IF(AND(ISNUMBER(BV16),ISNUMBER(BV17),BV14&lt;&gt;""),ROUND(BV16-BV14+BV15,1),"")</f>
        <v/>
      </c>
      <c r="BW19" s="50" t="n">
        <f aca="false">IF(AND(ISNUMBER(BW16),ISNUMBER(BW17),BW14&lt;&gt;""),ROUND(BW16-BW14+BW15,1),"")</f>
        <v>0.7</v>
      </c>
      <c r="BX19" s="50" t="str">
        <f aca="false">IF(AND(ISNUMBER(BX16),ISNUMBER(BX17),BX14&lt;&gt;""),ROUND(BX16-BX14+BX15,1),"")</f>
        <v/>
      </c>
      <c r="BY19" s="50" t="str">
        <f aca="false">IF(AND(ISNUMBER(BY16),ISNUMBER(BY17),BY14&lt;&gt;""),ROUND(BY16-BY14+BY15,1),"")</f>
        <v/>
      </c>
      <c r="BZ19" s="50" t="str">
        <f aca="false">IF(AND(ISNUMBER(BZ16),ISNUMBER(BZ17),BZ14&lt;&gt;""),ROUND(BZ16-BZ14+BZ15,1),"")</f>
        <v/>
      </c>
      <c r="CA19" s="50" t="str">
        <f aca="false">IF(AND(ISNUMBER(CA16),ISNUMBER(CA17),CA14&lt;&gt;""),ROUND(CA16-CA14+CA15,1),"")</f>
        <v/>
      </c>
      <c r="CB19" s="50" t="str">
        <f aca="false">IF(AND(ISNUMBER(CB16),ISNUMBER(CB17),CB14&lt;&gt;""),ROUND(CB16-CB14+CB15,1),"")</f>
        <v/>
      </c>
      <c r="CC19" s="50" t="str">
        <f aca="false">IF(AND(ISNUMBER(CC16),ISNUMBER(CC17),CC14&lt;&gt;""),ROUND(CC16-CC14+CC15,1),"")</f>
        <v/>
      </c>
      <c r="CD19" s="50" t="n">
        <f aca="false">IF(AND(ISNUMBER(CD16),ISNUMBER(CD17),CD14&lt;&gt;""),ROUND(CD16-CD14+CD15,1),"")</f>
        <v>-0.5</v>
      </c>
      <c r="CE19" s="50" t="str">
        <f aca="false">IF(AND(ISNUMBER(CE16),ISNUMBER(CE17),CE14&lt;&gt;""),ROUND(CE16-CE14+CE15,1),"")</f>
        <v/>
      </c>
      <c r="CF19" s="50" t="str">
        <f aca="false">IF(AND(ISNUMBER(CF16),ISNUMBER(CF17),CF14&lt;&gt;""),ROUND(CF16-CF14+CF15,1),"")</f>
        <v/>
      </c>
      <c r="CG19" s="50" t="str">
        <f aca="false">IF(AND(ISNUMBER(CG16),ISNUMBER(CG17),CG14&lt;&gt;""),ROUND(CG16-CG14+CG15,1),"")</f>
        <v/>
      </c>
      <c r="CH19" s="50" t="n">
        <f aca="false">IF(AND(ISNUMBER(CH16),ISNUMBER(CH17),CH14&lt;&gt;""),ROUND(CH16-CH14+CH15,1),"")</f>
        <v>0.9</v>
      </c>
      <c r="CI19" s="50" t="str">
        <f aca="false">IF(AND(ISNUMBER(CI16),ISNUMBER(CI17),CI14&lt;&gt;""),ROUND(CI16-CI14+CI15,1),"")</f>
        <v/>
      </c>
      <c r="CJ19" s="50" t="str">
        <f aca="false">IF(AND(ISNUMBER(CJ16),ISNUMBER(CJ17),CJ14&lt;&gt;""),ROUND(CJ16-CJ14+CJ15,1),"")</f>
        <v/>
      </c>
      <c r="CK19" s="50" t="str">
        <f aca="false">IF(AND(ISNUMBER(CK16),ISNUMBER(CK17),CK14&lt;&gt;""),ROUND(CK16-CK14+CK15,1),"")</f>
        <v/>
      </c>
      <c r="CL19" s="50" t="str">
        <f aca="false">IF(AND(ISNUMBER(CL16),ISNUMBER(CL17),CL14&lt;&gt;""),ROUND(CL16-CL14+CL15,1),"")</f>
        <v/>
      </c>
      <c r="CM19" s="50" t="str">
        <f aca="false">IF(AND(ISNUMBER(CM16),ISNUMBER(CM17),CM14&lt;&gt;""),ROUND(CM16-CM14+CM15,1),"")</f>
        <v/>
      </c>
      <c r="CN19" s="50" t="str">
        <f aca="false">IF(AND(ISNUMBER(CN16),ISNUMBER(CN17),CN14&lt;&gt;""),ROUND(CN16-CN14+CN15,1),"")</f>
        <v/>
      </c>
      <c r="CO19" s="50" t="str">
        <f aca="false">IF(AND(ISNUMBER(CO16),ISNUMBER(CO17),CO14&lt;&gt;""),ROUND(CO16-CO14+CO15,1),"")</f>
        <v/>
      </c>
      <c r="CP19" s="50" t="str">
        <f aca="false">IF(AND(ISNUMBER(CP16),ISNUMBER(CP17),CP14&lt;&gt;""),ROUND(CP16-CP14+CP15,1),"")</f>
        <v/>
      </c>
      <c r="CQ19" s="50" t="str">
        <f aca="false">IF(AND(ISNUMBER(CQ16),ISNUMBER(CQ17),CQ14&lt;&gt;""),ROUND(CQ16-CQ14+CQ15,1),"")</f>
        <v/>
      </c>
      <c r="CR19" s="50" t="str">
        <f aca="false">IF(AND(ISNUMBER(CR16),ISNUMBER(CR17),CR14&lt;&gt;""),ROUND(CR16-CR14+CR15,1),"")</f>
        <v/>
      </c>
      <c r="CS19" s="50" t="str">
        <f aca="false">IF(AND(ISNUMBER(CS16),ISNUMBER(CS17),CS14&lt;&gt;""),ROUND(CS16-CS14+CS15,1),"")</f>
        <v/>
      </c>
      <c r="CT19" s="50" t="str">
        <f aca="false">IF(AND(ISNUMBER(CT16),ISNUMBER(CT17),CT14&lt;&gt;""),ROUND(CT16-CT14+CT15,1),"")</f>
        <v/>
      </c>
      <c r="CU19" s="50" t="str">
        <f aca="false">IF(AND(ISNUMBER(CU16),ISNUMBER(CU17),CU14&lt;&gt;""),ROUND(CU16-CU14+CU15,1),"")</f>
        <v/>
      </c>
      <c r="CV19" s="50" t="str">
        <f aca="false">IF(AND(ISNUMBER(CV16),ISNUMBER(CV17),CV14&lt;&gt;""),ROUND(CV16-CV14+CV15,1),"")</f>
        <v/>
      </c>
      <c r="CW19" s="50" t="n">
        <f aca="false">IF(AND(ISNUMBER(CW16),ISNUMBER(CW17),CW14&lt;&gt;""),ROUND(CW16-CW14+CW15,1),"")</f>
        <v>-15</v>
      </c>
      <c r="CX19" s="50" t="str">
        <f aca="false">IF(AND(ISNUMBER(CX16),ISNUMBER(CX17),CX14&lt;&gt;""),ROUND(CX16-CX14+CX15,1),"")</f>
        <v/>
      </c>
      <c r="CY19" s="50" t="str">
        <f aca="false">IF(AND(ISNUMBER(CY16),ISNUMBER(CY17),CY14&lt;&gt;""),ROUND(CY16-CY14+CY15,1),"")</f>
        <v/>
      </c>
      <c r="CZ19" s="50" t="n">
        <f aca="false">IF(AND(ISNUMBER(CZ16),ISNUMBER(CZ17),CZ14&lt;&gt;""),ROUND(CZ16-CZ14+CZ15,1),"")</f>
        <v>0.2</v>
      </c>
      <c r="DA19" s="50" t="str">
        <f aca="false">IF(AND(ISNUMBER(DA16),ISNUMBER(DA17),DA14&lt;&gt;""),ROUND(DA16-DA14+DA15,1),"")</f>
        <v/>
      </c>
      <c r="DB19" s="50" t="str">
        <f aca="false">IF(AND(ISNUMBER(DB16),ISNUMBER(DB17),DB14&lt;&gt;""),ROUND(DB16-DB14+DB15,1),"")</f>
        <v/>
      </c>
      <c r="DC19" s="50" t="n">
        <f aca="false">IF(AND(ISNUMBER(DC16),ISNUMBER(DC17),DC14&lt;&gt;""),ROUND(DC16-DC14+DC15,1),"")</f>
        <v>0.5</v>
      </c>
      <c r="DD19" s="50" t="str">
        <f aca="false">IF(AND(ISNUMBER(DD16),ISNUMBER(DD17),DD14&lt;&gt;""),ROUND(DD16-DD14+DD15,1),"")</f>
        <v/>
      </c>
      <c r="DE19" s="50" t="str">
        <f aca="false">IF(AND(ISNUMBER(DE16),ISNUMBER(DE17),DE14&lt;&gt;""),ROUND(DE16-DE14+DE15,1),"")</f>
        <v/>
      </c>
      <c r="DF19" s="50" t="str">
        <f aca="false">IF(AND(ISNUMBER(DF16),ISNUMBER(DF17),DF14&lt;&gt;""),ROUND(DF16-DF14+DF15,1),"")</f>
        <v/>
      </c>
      <c r="DG19" s="50" t="str">
        <f aca="false">IF(AND(ISNUMBER(DG16),ISNUMBER(DG17),DG14&lt;&gt;""),ROUND(DG16-DG14+DG15,1),"")</f>
        <v/>
      </c>
      <c r="DH19" s="50" t="str">
        <f aca="false">IF(AND(ISNUMBER(DH16),ISNUMBER(DH17),DH14&lt;&gt;""),ROUND(DH16-DH14+DH15,1),"")</f>
        <v/>
      </c>
      <c r="DI19" s="50" t="n">
        <f aca="false">IF(AND(ISNUMBER(DI16),ISNUMBER(DI17),DI14&lt;&gt;""),ROUND(DI16-DI14+DI15,1),"")</f>
        <v>0.1</v>
      </c>
      <c r="DJ19" s="50" t="n">
        <f aca="false">IF(AND(ISNUMBER(DJ16),ISNUMBER(DJ17),DJ14&lt;&gt;""),ROUND(DJ16-DJ14+DJ15,1),"")</f>
        <v>0</v>
      </c>
      <c r="DK19" s="50" t="str">
        <f aca="false">IF(AND(ISNUMBER(DK16),ISNUMBER(DK17),DK14&lt;&gt;""),ROUND(DK16-DK14+DK15,1),"")</f>
        <v/>
      </c>
      <c r="DL19" s="50" t="str">
        <f aca="false">IF(AND(ISNUMBER(DL16),ISNUMBER(DL17),DL14&lt;&gt;""),ROUND(DL16-DL14+DL15,1),"")</f>
        <v/>
      </c>
      <c r="DM19" s="50" t="n">
        <f aca="false">IF(AND(ISNUMBER(DM16),ISNUMBER(DM17),DM14&lt;&gt;""),ROUND(DM16-DM14+DM15,1),"")</f>
        <v>0.2</v>
      </c>
      <c r="DN19" s="50" t="str">
        <f aca="false">IF(AND(ISNUMBER(DN16),ISNUMBER(DN17),DN14&lt;&gt;""),ROUND(DN16-DN14+DN15,1),"")</f>
        <v/>
      </c>
      <c r="DO19" s="50" t="n">
        <f aca="false">IF(AND(ISNUMBER(DO16),ISNUMBER(DO17),DO14&lt;&gt;""),ROUND(DO16-DO14+DO15,1),"")</f>
        <v>0</v>
      </c>
      <c r="DP19" s="50" t="str">
        <f aca="false">IF(AND(ISNUMBER(DP16),ISNUMBER(DP17),DP14&lt;&gt;""),ROUND(DP16-DP14+DP15,1),"")</f>
        <v/>
      </c>
      <c r="DQ19" s="50" t="str">
        <f aca="false">IF(AND(ISNUMBER(DQ16),ISNUMBER(DQ17),DQ14&lt;&gt;""),ROUND(DQ16-DQ14+DQ15,1),"")</f>
        <v/>
      </c>
      <c r="DR19" s="50" t="n">
        <f aca="false">IF(AND(ISNUMBER(DR16),ISNUMBER(DR17),DR14&lt;&gt;""),ROUND(DR16-DR14+DR15,1),"")</f>
        <v>0.3</v>
      </c>
      <c r="DS19" s="50" t="str">
        <f aca="false">IF(AND(ISNUMBER(DS16),ISNUMBER(DS17),DS14&lt;&gt;""),ROUND(DS16-DS14+DS15,1),"")</f>
        <v/>
      </c>
      <c r="DT19" s="50" t="n">
        <f aca="false">IF(AND(ISNUMBER(DT16),ISNUMBER(DT17),DT14&lt;&gt;""),ROUND(DT16-DT14+DT15,1),"")</f>
        <v>0</v>
      </c>
      <c r="DU19" s="50" t="str">
        <f aca="false">IF(AND(ISNUMBER(DU16),ISNUMBER(DU17),DU14&lt;&gt;""),ROUND(DU16-DU14+DU15,1),"")</f>
        <v/>
      </c>
      <c r="DV19" s="50" t="str">
        <f aca="false">IF(AND(ISNUMBER(DV16),ISNUMBER(DV17),DV14&lt;&gt;""),ROUND(DV16-DV14+DV15,1),"")</f>
        <v/>
      </c>
      <c r="DW19" s="50" t="n">
        <f aca="false">IF(AND(ISNUMBER(DW16),ISNUMBER(DW17),DW14&lt;&gt;""),ROUND(DW16-DW14+DW15,1),"")</f>
        <v>0.5</v>
      </c>
      <c r="DX19" s="50" t="str">
        <f aca="false">IF(AND(ISNUMBER(DX16),ISNUMBER(DX17),DX14&lt;&gt;""),ROUND(DX16-DX14+DX15,1),"")</f>
        <v/>
      </c>
      <c r="DY19" s="50" t="str">
        <f aca="false">IF(AND(ISNUMBER(DY16),ISNUMBER(DY17),DY14&lt;&gt;""),ROUND(DY16-DY14+DY15,1),"")</f>
        <v/>
      </c>
      <c r="DZ19" s="50" t="str">
        <f aca="false">IF(AND(ISNUMBER(DZ16),ISNUMBER(DZ17),DZ14&lt;&gt;""),ROUND(DZ16-DZ14+DZ15,1),"")</f>
        <v/>
      </c>
      <c r="EA19" s="50" t="n">
        <f aca="false">IF(AND(ISNUMBER(EA16),ISNUMBER(EA17),EA14&lt;&gt;""),ROUND(EA16-EA14+EA15,1),"")</f>
        <v>0.1</v>
      </c>
      <c r="EB19" s="50" t="str">
        <f aca="false">IF(AND(ISNUMBER(EB16),ISNUMBER(EB17),EB14&lt;&gt;""),ROUND(EB16-EB14+EB15,1),"")</f>
        <v/>
      </c>
      <c r="EC19" s="50" t="str">
        <f aca="false">IF(AND(ISNUMBER(EC16),ISNUMBER(EC17),EC14&lt;&gt;""),ROUND(EC16-EC14+EC15,1),"")</f>
        <v/>
      </c>
      <c r="ED19" s="50" t="str">
        <f aca="false">IF(AND(ISNUMBER(ED16),ISNUMBER(ED17),ED14&lt;&gt;""),ROUND(ED16-ED14+ED15,1),"")</f>
        <v/>
      </c>
      <c r="EE19" s="50" t="str">
        <f aca="false">IF(AND(ISNUMBER(EE16),ISNUMBER(EE17),EE14&lt;&gt;""),ROUND(EE16-EE14+EE15,1),"")</f>
        <v/>
      </c>
      <c r="EF19" s="50" t="str">
        <f aca="false">IF(AND(ISNUMBER(EF16),ISNUMBER(EF17),EF14&lt;&gt;""),ROUND(EF16-EF14+EF15,1),"")</f>
        <v/>
      </c>
      <c r="EG19" s="50" t="str">
        <f aca="false">IF(AND(ISNUMBER(EG16),ISNUMBER(EG17),EG14&lt;&gt;""),ROUND(EG16-EG14+EG15,1),"")</f>
        <v/>
      </c>
      <c r="EH19" s="50" t="n">
        <f aca="false">IF(AND(ISNUMBER(EH16),ISNUMBER(EH17),EH14&lt;&gt;""),ROUND(EH16-EH14+EH15,1),"")</f>
        <v>0.6</v>
      </c>
      <c r="EI19" s="50" t="str">
        <f aca="false">IF(AND(ISNUMBER(EI16),ISNUMBER(EI17),EI14&lt;&gt;""),ROUND(EI16-EI14+EI15,1),"")</f>
        <v/>
      </c>
      <c r="EJ19" s="50" t="n">
        <f aca="false">IF(AND(ISNUMBER(EJ16),ISNUMBER(EJ17),EJ14&lt;&gt;""),ROUND(EJ16-EJ14+EJ15,1),"")</f>
        <v>1</v>
      </c>
      <c r="EK19" s="50" t="str">
        <f aca="false">IF(AND(ISNUMBER(EK16),ISNUMBER(EK17),EK14&lt;&gt;""),ROUND(EK16-EK14+EK15,1),"")</f>
        <v/>
      </c>
      <c r="EL19" s="50" t="str">
        <f aca="false">IF(AND(ISNUMBER(EL16),ISNUMBER(EL17),EL14&lt;&gt;""),ROUND(EL16-EL14+EL15,1),"")</f>
        <v/>
      </c>
      <c r="EM19" s="50" t="str">
        <f aca="false">IF(AND(ISNUMBER(EM16),ISNUMBER(EM17),EM14&lt;&gt;""),ROUND(EM16-EM14+EM15,1),"")</f>
        <v/>
      </c>
      <c r="EN19" s="50" t="str">
        <f aca="false">IF(AND(ISNUMBER(EN16),ISNUMBER(EN17),EN14&lt;&gt;""),ROUND(EN16-EN14+EN15,1),"")</f>
        <v/>
      </c>
      <c r="EO19" s="50" t="str">
        <f aca="false">IF(AND(ISNUMBER(EO16),ISNUMBER(EO17),EO14&lt;&gt;""),ROUND(EO16-EO14+EO15,1),"")</f>
        <v/>
      </c>
      <c r="EP19" s="50" t="n">
        <f aca="false">IF(AND(ISNUMBER(EP16),ISNUMBER(EP17),EP14&lt;&gt;""),ROUND(EP16-EP14+EP15,1),"")</f>
        <v>0.5</v>
      </c>
      <c r="EQ19" s="50" t="str">
        <f aca="false">IF(AND(ISNUMBER(EQ16),ISNUMBER(EQ17),EQ14&lt;&gt;""),ROUND(EQ16-EQ14+EQ15,1),"")</f>
        <v/>
      </c>
      <c r="ER19" s="50" t="str">
        <f aca="false">IF(AND(ISNUMBER(ER16),ISNUMBER(ER17),ER14&lt;&gt;""),ROUND(ER16-ER14+ER15,1),"")</f>
        <v/>
      </c>
      <c r="ES19" s="50" t="str">
        <f aca="false">IF(AND(ISNUMBER(ES16),ISNUMBER(ES17),ES14&lt;&gt;""),ROUND(ES16-ES14+ES15,1),"")</f>
        <v/>
      </c>
      <c r="ET19" s="50" t="str">
        <f aca="false">IF(AND(ISNUMBER(ET16),ISNUMBER(ET17),ET14&lt;&gt;""),ROUND(ET16-ET14+ET15,1),"")</f>
        <v/>
      </c>
      <c r="EU19" s="50" t="str">
        <f aca="false">IF(AND(ISNUMBER(EU16),ISNUMBER(EU17),EU14&lt;&gt;""),ROUND(EU16-EU14+EU15,1),"")</f>
        <v/>
      </c>
      <c r="EV19" s="50" t="str">
        <f aca="false">IF(AND(ISNUMBER(EV16),ISNUMBER(EV17),EV14&lt;&gt;""),ROUND(EV16-EV14+EV15,1),"")</f>
        <v/>
      </c>
      <c r="EW19" s="50" t="str">
        <f aca="false">IF(AND(ISNUMBER(EW16),ISNUMBER(EW17),EW14&lt;&gt;""),ROUND(EW16-EW14+EW15,1),"")</f>
        <v/>
      </c>
      <c r="EX19" s="50" t="str">
        <f aca="false">IF(AND(ISNUMBER(EX16),ISNUMBER(EX17),EX14&lt;&gt;""),ROUND(EX16-EX14+EX15,1),"")</f>
        <v/>
      </c>
      <c r="EY19" s="50" t="str">
        <f aca="false">IF(AND(ISNUMBER(EY16),ISNUMBER(EY17),EY14&lt;&gt;""),ROUND(EY16-EY14+EY15,1),"")</f>
        <v/>
      </c>
      <c r="EZ19" s="50" t="str">
        <f aca="false">IF(AND(ISNUMBER(EZ16),ISNUMBER(EZ17),EZ14&lt;&gt;""),ROUND(EZ16-EZ14+EZ15,1),"")</f>
        <v/>
      </c>
      <c r="FA19" s="50" t="str">
        <f aca="false">IF(AND(ISNUMBER(FA16),ISNUMBER(FA17),FA14&lt;&gt;""),ROUND(FA16-FA14+FA15,1),"")</f>
        <v/>
      </c>
      <c r="FB19" s="50" t="str">
        <f aca="false">IF(AND(ISNUMBER(FB16),ISNUMBER(FB17),FB14&lt;&gt;""),ROUND(FB16-FB14+FB15,1),"")</f>
        <v/>
      </c>
      <c r="FC19" s="50" t="str">
        <f aca="false">IF(AND(ISNUMBER(FC16),ISNUMBER(FC17),FC14&lt;&gt;""),ROUND(FC16-FC14+FC15,1),"")</f>
        <v/>
      </c>
      <c r="FD19" s="50" t="str">
        <f aca="false">IF(AND(ISNUMBER(FD16),ISNUMBER(FD17),FD14&lt;&gt;""),ROUND(FD16-FD14+FD15,1),"")</f>
        <v/>
      </c>
      <c r="FE19" s="50" t="str">
        <f aca="false">IF(AND(ISNUMBER(FE16),ISNUMBER(FE17),FE14&lt;&gt;""),ROUND(FE16-FE14+FE15,1),"")</f>
        <v/>
      </c>
      <c r="FF19" s="50" t="str">
        <f aca="false">IF(AND(ISNUMBER(FF16),ISNUMBER(FF17),FF14&lt;&gt;""),ROUND(FF16-FF14+FF15,1),"")</f>
        <v/>
      </c>
      <c r="FG19" s="50" t="str">
        <f aca="false">IF(AND(ISNUMBER(FG16),ISNUMBER(FG17),FG14&lt;&gt;""),ROUND(FG16-FG14+FG15,1),"")</f>
        <v/>
      </c>
      <c r="FH19" s="50" t="str">
        <f aca="false">IF(AND(ISNUMBER(FH16),ISNUMBER(FH17),FH14&lt;&gt;""),ROUND(FH16-FH14+FH15,1),"")</f>
        <v/>
      </c>
      <c r="FI19" s="50" t="str">
        <f aca="false">IF(AND(ISNUMBER(FI16),ISNUMBER(FI17),FI14&lt;&gt;""),ROUND(FI16-FI14+FI15,1),"")</f>
        <v/>
      </c>
      <c r="FJ19" s="50" t="str">
        <f aca="false">IF(AND(ISNUMBER(FJ16),ISNUMBER(FJ17),FJ14&lt;&gt;""),ROUND(FJ16-FJ14+FJ15,1),"")</f>
        <v/>
      </c>
      <c r="FK19" s="50" t="str">
        <f aca="false">IF(AND(ISNUMBER(FK16),ISNUMBER(FK17),FK14&lt;&gt;""),ROUND(FK16-FK14+FK15,1),"")</f>
        <v/>
      </c>
      <c r="FL19" s="50" t="str">
        <f aca="false">IF(AND(ISNUMBER(FL16),ISNUMBER(FL17),FL14&lt;&gt;""),ROUND(FL16-FL14+FL15,1),"")</f>
        <v/>
      </c>
      <c r="FM19" s="50" t="str">
        <f aca="false">IF(AND(ISNUMBER(FM16),ISNUMBER(FM17),FM14&lt;&gt;""),ROUND(FM16-FM14+FM15,1),"")</f>
        <v/>
      </c>
      <c r="FN19" s="50" t="str">
        <f aca="false">IF(AND(ISNUMBER(FN16),ISNUMBER(FN17),FN14&lt;&gt;""),ROUND(FN16-FN14+FN15,1),"")</f>
        <v/>
      </c>
      <c r="FO19" s="50" t="str">
        <f aca="false">IF(AND(ISNUMBER(FO16),ISNUMBER(FO17),FO14&lt;&gt;""),ROUND(FO16-FO14+FO15,1),"")</f>
        <v/>
      </c>
      <c r="FP19" s="50" t="str">
        <f aca="false">IF(AND(ISNUMBER(FP16),ISNUMBER(FP17),FP14&lt;&gt;""),ROUND(FP16-FP14+FP15,1),"")</f>
        <v/>
      </c>
      <c r="FQ19" s="50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317</v>
      </c>
      <c r="B20" s="17" t="s">
        <v>402</v>
      </c>
      <c r="D20" s="50" t="str">
        <f aca="false">IF(AND(ISNUMBER(D16),ISNUMBER(D17),D14&lt;&gt;""),ROUND(D17-D14+D15,1),"")</f>
        <v/>
      </c>
      <c r="E20" s="50" t="str">
        <f aca="false">IF(AND(ISNUMBER(E16),ISNUMBER(E17),E14&lt;&gt;""),ROUND(E17-E14+E15,1),"")</f>
        <v/>
      </c>
      <c r="F20" s="50" t="str">
        <f aca="false">IF(AND(ISNUMBER(F16),ISNUMBER(F17),F14&lt;&gt;""),ROUND(F17-F14+F15,1),"")</f>
        <v/>
      </c>
      <c r="G20" s="50" t="str">
        <f aca="false">IF(AND(ISNUMBER(G16),ISNUMBER(G17),G14&lt;&gt;""),ROUND(G17-G14+G15,1),"")</f>
        <v/>
      </c>
      <c r="H20" s="50" t="str">
        <f aca="false">IF(AND(ISNUMBER(H16),ISNUMBER(H17),H14&lt;&gt;""),ROUND(H17-H14+H15,1),"")</f>
        <v/>
      </c>
      <c r="I20" s="50" t="str">
        <f aca="false">IF(AND(ISNUMBER(I16),ISNUMBER(I17),I14&lt;&gt;""),ROUND(I17-I14+I15,1),"")</f>
        <v/>
      </c>
      <c r="J20" s="50" t="str">
        <f aca="false">IF(AND(ISNUMBER(J16),ISNUMBER(J17),J14&lt;&gt;""),ROUND(J17-J14+J15,1),"")</f>
        <v/>
      </c>
      <c r="K20" s="50" t="str">
        <f aca="false">IF(AND(ISNUMBER(K16),ISNUMBER(K17),K14&lt;&gt;""),ROUND(K17-K14+K15,1),"")</f>
        <v/>
      </c>
      <c r="L20" s="50" t="str">
        <f aca="false">IF(AND(ISNUMBER(L16),ISNUMBER(L17),L14&lt;&gt;""),ROUND(L17-L14+L15,1),"")</f>
        <v/>
      </c>
      <c r="M20" s="50" t="str">
        <f aca="false">IF(AND(ISNUMBER(M16),ISNUMBER(M17),M14&lt;&gt;""),ROUND(M17-M14+M15,1),"")</f>
        <v/>
      </c>
      <c r="N20" s="50" t="str">
        <f aca="false">IF(AND(ISNUMBER(N16),ISNUMBER(N17),N14&lt;&gt;""),ROUND(N17-N14+N15,1),"")</f>
        <v/>
      </c>
      <c r="O20" s="50" t="str">
        <f aca="false">IF(AND(ISNUMBER(O16),ISNUMBER(O17),O14&lt;&gt;""),ROUND(O17-O14+O15,1),"")</f>
        <v/>
      </c>
      <c r="P20" s="50" t="str">
        <f aca="false">IF(AND(ISNUMBER(P16),ISNUMBER(P17),P14&lt;&gt;""),ROUND(P17-P14+P15,1),"")</f>
        <v/>
      </c>
      <c r="Q20" s="50" t="str">
        <f aca="false">IF(AND(ISNUMBER(Q16),ISNUMBER(Q17),Q14&lt;&gt;""),ROUND(Q17-Q14+Q15,1),"")</f>
        <v/>
      </c>
      <c r="R20" s="50" t="str">
        <f aca="false">IF(AND(ISNUMBER(R16),ISNUMBER(R17),R14&lt;&gt;""),ROUND(R17-R14+R15,1),"")</f>
        <v/>
      </c>
      <c r="S20" s="50" t="str">
        <f aca="false">IF(AND(ISNUMBER(S16),ISNUMBER(S17),S14&lt;&gt;""),ROUND(S17-S14+S15,1),"")</f>
        <v/>
      </c>
      <c r="T20" s="50" t="str">
        <f aca="false">IF(AND(ISNUMBER(T16),ISNUMBER(T17),T14&lt;&gt;""),ROUND(T17-T14+T15,1),"")</f>
        <v/>
      </c>
      <c r="U20" s="50" t="str">
        <f aca="false">IF(AND(ISNUMBER(U16),ISNUMBER(U17),U14&lt;&gt;""),ROUND(U17-U14+U15,1),"")</f>
        <v/>
      </c>
      <c r="V20" s="50" t="str">
        <f aca="false">IF(AND(ISNUMBER(V16),ISNUMBER(V17),V14&lt;&gt;""),ROUND(V17-V14+V15,1),"")</f>
        <v/>
      </c>
      <c r="W20" s="50" t="str">
        <f aca="false">IF(AND(ISNUMBER(W16),ISNUMBER(W17),W14&lt;&gt;""),ROUND(W17-W14+W15,1),"")</f>
        <v/>
      </c>
      <c r="X20" s="50" t="str">
        <f aca="false">IF(AND(ISNUMBER(X16),ISNUMBER(X17),X14&lt;&gt;""),ROUND(X17-X14+X15,1),"")</f>
        <v/>
      </c>
      <c r="Y20" s="50" t="str">
        <f aca="false">IF(AND(ISNUMBER(Y16),ISNUMBER(Y17),Y14&lt;&gt;""),ROUND(Y17-Y14+Y15,1),"")</f>
        <v/>
      </c>
      <c r="Z20" s="50" t="str">
        <f aca="false">IF(AND(ISNUMBER(Z16),ISNUMBER(Z17),Z14&lt;&gt;""),ROUND(Z17-Z14+Z15,1),"")</f>
        <v/>
      </c>
      <c r="AA20" s="50" t="str">
        <f aca="false">IF(AND(ISNUMBER(AA16),ISNUMBER(AA17),AA14&lt;&gt;""),ROUND(AA17-AA14+AA15,1),"")</f>
        <v/>
      </c>
      <c r="AB20" s="50" t="str">
        <f aca="false">IF(AND(ISNUMBER(AB16),ISNUMBER(AB17),AB14&lt;&gt;""),ROUND(AB17-AB14+AB15,1),"")</f>
        <v/>
      </c>
      <c r="AC20" s="50" t="str">
        <f aca="false">IF(AND(ISNUMBER(AC16),ISNUMBER(AC17),AC14&lt;&gt;""),ROUND(AC17-AC14+AC15,1),"")</f>
        <v/>
      </c>
      <c r="AD20" s="50" t="str">
        <f aca="false">IF(AND(ISNUMBER(AD16),ISNUMBER(AD17),AD14&lt;&gt;""),ROUND(AD17-AD14+AD15,1),"")</f>
        <v/>
      </c>
      <c r="AE20" s="50" t="str">
        <f aca="false">IF(AND(ISNUMBER(AE16),ISNUMBER(AE17),AE14&lt;&gt;""),ROUND(AE17-AE14+AE15,1),"")</f>
        <v/>
      </c>
      <c r="AF20" s="50" t="str">
        <f aca="false">IF(AND(ISNUMBER(AF16),ISNUMBER(AF17),AF14&lt;&gt;""),ROUND(AF17-AF14+AF15,1),"")</f>
        <v/>
      </c>
      <c r="AG20" s="50" t="str">
        <f aca="false">IF(AND(ISNUMBER(AG16),ISNUMBER(AG17),AG14&lt;&gt;""),ROUND(AG17-AG14+AG15,1),"")</f>
        <v/>
      </c>
      <c r="AH20" s="50" t="str">
        <f aca="false">IF(AND(ISNUMBER(AH16),ISNUMBER(AH17),AH14&lt;&gt;""),ROUND(AH17-AH14+AH15,1),"")</f>
        <v/>
      </c>
      <c r="AI20" s="50" t="str">
        <f aca="false">IF(AND(ISNUMBER(AI16),ISNUMBER(AI17),AI14&lt;&gt;""),ROUND(AI17-AI14+AI15,1),"")</f>
        <v/>
      </c>
      <c r="AJ20" s="50" t="str">
        <f aca="false">IF(AND(ISNUMBER(AJ16),ISNUMBER(AJ17),AJ14&lt;&gt;""),ROUND(AJ17-AJ14+AJ15,1),"")</f>
        <v/>
      </c>
      <c r="AK20" s="50" t="str">
        <f aca="false">IF(AND(ISNUMBER(AK16),ISNUMBER(AK17),AK14&lt;&gt;""),ROUND(AK17-AK14+AK15,1),"")</f>
        <v/>
      </c>
      <c r="AL20" s="50" t="str">
        <f aca="false">IF(AND(ISNUMBER(AL16),ISNUMBER(AL17),AL14&lt;&gt;""),ROUND(AL17-AL14+AL15,1),"")</f>
        <v/>
      </c>
      <c r="AM20" s="50" t="str">
        <f aca="false">IF(AND(ISNUMBER(AM16),ISNUMBER(AM17),AM14&lt;&gt;""),ROUND(AM17-AM14+AM15,1),"")</f>
        <v/>
      </c>
      <c r="AN20" s="50" t="str">
        <f aca="false">IF(AND(ISNUMBER(AN16),ISNUMBER(AN17),AN14&lt;&gt;""),ROUND(AN17-AN14+AN15,1),"")</f>
        <v/>
      </c>
      <c r="AO20" s="50" t="str">
        <f aca="false">IF(AND(ISNUMBER(AO16),ISNUMBER(AO17),AO14&lt;&gt;""),ROUND(AO17-AO14+AO15,1),"")</f>
        <v/>
      </c>
      <c r="AP20" s="50" t="str">
        <f aca="false">IF(AND(ISNUMBER(AP16),ISNUMBER(AP17),AP14&lt;&gt;""),ROUND(AP17-AP14+AP15,1),"")</f>
        <v/>
      </c>
      <c r="AQ20" s="50" t="str">
        <f aca="false">IF(AND(ISNUMBER(AQ16),ISNUMBER(AQ17),AQ14&lt;&gt;""),ROUND(AQ17-AQ14+AQ15,1),"")</f>
        <v/>
      </c>
      <c r="AR20" s="50" t="str">
        <f aca="false">IF(AND(ISNUMBER(AR16),ISNUMBER(AR17),AR14&lt;&gt;""),ROUND(AR17-AR14+AR15,1),"")</f>
        <v/>
      </c>
      <c r="AS20" s="50" t="str">
        <f aca="false">IF(AND(ISNUMBER(AS16),ISNUMBER(AS17),AS14&lt;&gt;""),ROUND(AS17-AS14+AS15,1),"")</f>
        <v/>
      </c>
      <c r="AT20" s="50" t="str">
        <f aca="false">IF(AND(ISNUMBER(AT16),ISNUMBER(AT17),AT14&lt;&gt;""),ROUND(AT17-AT14+AT15,1),"")</f>
        <v/>
      </c>
      <c r="AU20" s="50" t="str">
        <f aca="false">IF(AND(ISNUMBER(AU16),ISNUMBER(AU17),AU14&lt;&gt;""),ROUND(AU17-AU14+AU15,1),"")</f>
        <v/>
      </c>
      <c r="AV20" s="50" t="str">
        <f aca="false">IF(AND(ISNUMBER(AV16),ISNUMBER(AV17),AV14&lt;&gt;""),ROUND(AV17-AV14+AV15,1),"")</f>
        <v/>
      </c>
      <c r="AW20" s="50" t="str">
        <f aca="false">IF(AND(ISNUMBER(AW16),ISNUMBER(AW17),AW14&lt;&gt;""),ROUND(AW17-AW14+AW15,1),"")</f>
        <v/>
      </c>
      <c r="AX20" s="50" t="str">
        <f aca="false">IF(AND(ISNUMBER(AX16),ISNUMBER(AX17),AX14&lt;&gt;""),ROUND(AX17-AX14+AX15,1),"")</f>
        <v/>
      </c>
      <c r="AY20" s="50" t="str">
        <f aca="false">IF(AND(ISNUMBER(AY16),ISNUMBER(AY17),AY14&lt;&gt;""),ROUND(AY17-AY14+AY15,1),"")</f>
        <v/>
      </c>
      <c r="AZ20" s="50" t="str">
        <f aca="false">IF(AND(ISNUMBER(AZ16),ISNUMBER(AZ17),AZ14&lt;&gt;""),ROUND(AZ17-AZ14+AZ15,1),"")</f>
        <v/>
      </c>
      <c r="BA20" s="50" t="str">
        <f aca="false">IF(AND(ISNUMBER(BA16),ISNUMBER(BA17),BA14&lt;&gt;""),ROUND(BA17-BA14+BA15,1),"")</f>
        <v/>
      </c>
      <c r="BB20" s="50" t="str">
        <f aca="false">IF(AND(ISNUMBER(BB16),ISNUMBER(BB17),BB14&lt;&gt;""),ROUND(BB17-BB14+BB15,1),"")</f>
        <v/>
      </c>
      <c r="BC20" s="50" t="str">
        <f aca="false">IF(AND(ISNUMBER(BC16),ISNUMBER(BC17),BC14&lt;&gt;""),ROUND(BC17-BC14+BC15,1),"")</f>
        <v/>
      </c>
      <c r="BD20" s="50" t="str">
        <f aca="false">IF(AND(ISNUMBER(BD16),ISNUMBER(BD17),BD14&lt;&gt;""),ROUND(BD17-BD14+BD15,1),"")</f>
        <v/>
      </c>
      <c r="BE20" s="50" t="n">
        <f aca="false">IF(AND(ISNUMBER(BE16),ISNUMBER(BE17),BE14&lt;&gt;""),ROUND(BE17-BE14+BE15,1),"")</f>
        <v>1.6</v>
      </c>
      <c r="BF20" s="50" t="str">
        <f aca="false">IF(AND(ISNUMBER(BF16),ISNUMBER(BF17),BF14&lt;&gt;""),ROUND(BF17-BF14+BF15,1),"")</f>
        <v/>
      </c>
      <c r="BG20" s="50" t="n">
        <f aca="false">IF(AND(ISNUMBER(BG16),ISNUMBER(BG17),BG14&lt;&gt;""),ROUND(BG17-BG14+BG15,1),"")</f>
        <v>3.5</v>
      </c>
      <c r="BH20" s="50" t="str">
        <f aca="false">IF(AND(ISNUMBER(BH16),ISNUMBER(BH17),BH14&lt;&gt;""),ROUND(BH17-BH14+BH15,1),"")</f>
        <v/>
      </c>
      <c r="BI20" s="50" t="str">
        <f aca="false">IF(AND(ISNUMBER(BI16),ISNUMBER(BI17),BI14&lt;&gt;""),ROUND(BI17-BI14+BI15,1),"")</f>
        <v/>
      </c>
      <c r="BJ20" s="50" t="str">
        <f aca="false">IF(AND(ISNUMBER(BJ16),ISNUMBER(BJ17),BJ14&lt;&gt;""),ROUND(BJ17-BJ14+BJ15,1),"")</f>
        <v/>
      </c>
      <c r="BK20" s="50" t="n">
        <f aca="false">IF(AND(ISNUMBER(BK16),ISNUMBER(BK17),BK14&lt;&gt;""),ROUND(BK17-BK14+BK15,1),"")</f>
        <v>3.4</v>
      </c>
      <c r="BL20" s="50" t="str">
        <f aca="false">IF(AND(ISNUMBER(BL16),ISNUMBER(BL17),BL14&lt;&gt;""),ROUND(BL17-BL14+BL15,1),"")</f>
        <v/>
      </c>
      <c r="BM20" s="50" t="str">
        <f aca="false">IF(AND(ISNUMBER(BM16),ISNUMBER(BM17),BM14&lt;&gt;""),ROUND(BM17-BM14+BM15,1),"")</f>
        <v/>
      </c>
      <c r="BN20" s="50" t="str">
        <f aca="false">IF(AND(ISNUMBER(BN16),ISNUMBER(BN17),BN14&lt;&gt;""),ROUND(BN17-BN14+BN15,1),"")</f>
        <v/>
      </c>
      <c r="BO20" s="50" t="str">
        <f aca="false">IF(AND(ISNUMBER(BO16),ISNUMBER(BO17),BO14&lt;&gt;""),ROUND(BO17-BO14+BO15,1),"")</f>
        <v/>
      </c>
      <c r="BP20" s="50" t="n">
        <f aca="false">IF(AND(ISNUMBER(BP16),ISNUMBER(BP17),BP14&lt;&gt;""),ROUND(BP17-BP14+BP15,1),"")</f>
        <v>3</v>
      </c>
      <c r="BQ20" s="50" t="str">
        <f aca="false">IF(AND(ISNUMBER(BQ16),ISNUMBER(BQ17),BQ14&lt;&gt;""),ROUND(BQ17-BQ14+BQ15,1),"")</f>
        <v/>
      </c>
      <c r="BR20" s="50" t="str">
        <f aca="false">IF(AND(ISNUMBER(BR16),ISNUMBER(BR17),BR14&lt;&gt;""),ROUND(BR17-BR14+BR15,1),"")</f>
        <v/>
      </c>
      <c r="BS20" s="50" t="str">
        <f aca="false">IF(AND(ISNUMBER(BS16),ISNUMBER(BS17),BS14&lt;&gt;""),ROUND(BS17-BS14+BS15,1),"")</f>
        <v/>
      </c>
      <c r="BT20" s="50" t="str">
        <f aca="false">IF(AND(ISNUMBER(BT16),ISNUMBER(BT17),BT14&lt;&gt;""),ROUND(BT17-BT14+BT15,1),"")</f>
        <v/>
      </c>
      <c r="BU20" s="50" t="str">
        <f aca="false">IF(AND(ISNUMBER(BU16),ISNUMBER(BU17),BU14&lt;&gt;""),ROUND(BU17-BU14+BU15,1),"")</f>
        <v/>
      </c>
      <c r="BV20" s="50" t="str">
        <f aca="false">IF(AND(ISNUMBER(BV16),ISNUMBER(BV17),BV14&lt;&gt;""),ROUND(BV17-BV14+BV15,1),"")</f>
        <v/>
      </c>
      <c r="BW20" s="50" t="n">
        <f aca="false">IF(AND(ISNUMBER(BW16),ISNUMBER(BW17),BW14&lt;&gt;""),ROUND(BW17-BW14+BW15,1),"")</f>
        <v>3.5</v>
      </c>
      <c r="BX20" s="50" t="str">
        <f aca="false">IF(AND(ISNUMBER(BX16),ISNUMBER(BX17),BX14&lt;&gt;""),ROUND(BX17-BX14+BX15,1),"")</f>
        <v/>
      </c>
      <c r="BY20" s="50" t="str">
        <f aca="false">IF(AND(ISNUMBER(BY16),ISNUMBER(BY17),BY14&lt;&gt;""),ROUND(BY17-BY14+BY15,1),"")</f>
        <v/>
      </c>
      <c r="BZ20" s="50" t="str">
        <f aca="false">IF(AND(ISNUMBER(BZ16),ISNUMBER(BZ17),BZ14&lt;&gt;""),ROUND(BZ17-BZ14+BZ15,1),"")</f>
        <v/>
      </c>
      <c r="CA20" s="50" t="str">
        <f aca="false">IF(AND(ISNUMBER(CA16),ISNUMBER(CA17),CA14&lt;&gt;""),ROUND(CA17-CA14+CA15,1),"")</f>
        <v/>
      </c>
      <c r="CB20" s="50" t="str">
        <f aca="false">IF(AND(ISNUMBER(CB16),ISNUMBER(CB17),CB14&lt;&gt;""),ROUND(CB17-CB14+CB15,1),"")</f>
        <v/>
      </c>
      <c r="CC20" s="50" t="str">
        <f aca="false">IF(AND(ISNUMBER(CC16),ISNUMBER(CC17),CC14&lt;&gt;""),ROUND(CC17-CC14+CC15,1),"")</f>
        <v/>
      </c>
      <c r="CD20" s="50" t="n">
        <f aca="false">IF(AND(ISNUMBER(CD16),ISNUMBER(CD17),CD14&lt;&gt;""),ROUND(CD17-CD14+CD15,1),"")</f>
        <v>2.4</v>
      </c>
      <c r="CE20" s="50" t="str">
        <f aca="false">IF(AND(ISNUMBER(CE16),ISNUMBER(CE17),CE14&lt;&gt;""),ROUND(CE17-CE14+CE15,1),"")</f>
        <v/>
      </c>
      <c r="CF20" s="50" t="str">
        <f aca="false">IF(AND(ISNUMBER(CF16),ISNUMBER(CF17),CF14&lt;&gt;""),ROUND(CF17-CF14+CF15,1),"")</f>
        <v/>
      </c>
      <c r="CG20" s="50" t="str">
        <f aca="false">IF(AND(ISNUMBER(CG16),ISNUMBER(CG17),CG14&lt;&gt;""),ROUND(CG17-CG14+CG15,1),"")</f>
        <v/>
      </c>
      <c r="CH20" s="50" t="n">
        <f aca="false">IF(AND(ISNUMBER(CH16),ISNUMBER(CH17),CH14&lt;&gt;""),ROUND(CH17-CH14+CH15,1),"")</f>
        <v>4</v>
      </c>
      <c r="CI20" s="50" t="str">
        <f aca="false">IF(AND(ISNUMBER(CI16),ISNUMBER(CI17),CI14&lt;&gt;""),ROUND(CI17-CI14+CI15,1),"")</f>
        <v/>
      </c>
      <c r="CJ20" s="50" t="str">
        <f aca="false">IF(AND(ISNUMBER(CJ16),ISNUMBER(CJ17),CJ14&lt;&gt;""),ROUND(CJ17-CJ14+CJ15,1),"")</f>
        <v/>
      </c>
      <c r="CK20" s="50" t="str">
        <f aca="false">IF(AND(ISNUMBER(CK16),ISNUMBER(CK17),CK14&lt;&gt;""),ROUND(CK17-CK14+CK15,1),"")</f>
        <v/>
      </c>
      <c r="CL20" s="50" t="str">
        <f aca="false">IF(AND(ISNUMBER(CL16),ISNUMBER(CL17),CL14&lt;&gt;""),ROUND(CL17-CL14+CL15,1),"")</f>
        <v/>
      </c>
      <c r="CM20" s="50" t="str">
        <f aca="false">IF(AND(ISNUMBER(CM16),ISNUMBER(CM17),CM14&lt;&gt;""),ROUND(CM17-CM14+CM15,1),"")</f>
        <v/>
      </c>
      <c r="CN20" s="50" t="str">
        <f aca="false">IF(AND(ISNUMBER(CN16),ISNUMBER(CN17),CN14&lt;&gt;""),ROUND(CN17-CN14+CN15,1),"")</f>
        <v/>
      </c>
      <c r="CO20" s="50" t="str">
        <f aca="false">IF(AND(ISNUMBER(CO16),ISNUMBER(CO17),CO14&lt;&gt;""),ROUND(CO17-CO14+CO15,1),"")</f>
        <v/>
      </c>
      <c r="CP20" s="50" t="str">
        <f aca="false">IF(AND(ISNUMBER(CP16),ISNUMBER(CP17),CP14&lt;&gt;""),ROUND(CP17-CP14+CP15,1),"")</f>
        <v/>
      </c>
      <c r="CQ20" s="50" t="str">
        <f aca="false">IF(AND(ISNUMBER(CQ16),ISNUMBER(CQ17),CQ14&lt;&gt;""),ROUND(CQ17-CQ14+CQ15,1),"")</f>
        <v/>
      </c>
      <c r="CR20" s="50" t="str">
        <f aca="false">IF(AND(ISNUMBER(CR16),ISNUMBER(CR17),CR14&lt;&gt;""),ROUND(CR17-CR14+CR15,1),"")</f>
        <v/>
      </c>
      <c r="CS20" s="50" t="str">
        <f aca="false">IF(AND(ISNUMBER(CS16),ISNUMBER(CS17),CS14&lt;&gt;""),ROUND(CS17-CS14+CS15,1),"")</f>
        <v/>
      </c>
      <c r="CT20" s="50" t="str">
        <f aca="false">IF(AND(ISNUMBER(CT16),ISNUMBER(CT17),CT14&lt;&gt;""),ROUND(CT17-CT14+CT15,1),"")</f>
        <v/>
      </c>
      <c r="CU20" s="50" t="str">
        <f aca="false">IF(AND(ISNUMBER(CU16),ISNUMBER(CU17),CU14&lt;&gt;""),ROUND(CU17-CU14+CU15,1),"")</f>
        <v/>
      </c>
      <c r="CV20" s="50" t="str">
        <f aca="false">IF(AND(ISNUMBER(CV16),ISNUMBER(CV17),CV14&lt;&gt;""),ROUND(CV17-CV14+CV15,1),"")</f>
        <v/>
      </c>
      <c r="CW20" s="50" t="n">
        <f aca="false">IF(AND(ISNUMBER(CW16),ISNUMBER(CW17),CW14&lt;&gt;""),ROUND(CW17-CW14+CW15,1),"")</f>
        <v>1.5</v>
      </c>
      <c r="CX20" s="50" t="str">
        <f aca="false">IF(AND(ISNUMBER(CX16),ISNUMBER(CX17),CX14&lt;&gt;""),ROUND(CX17-CX14+CX15,1),"")</f>
        <v/>
      </c>
      <c r="CY20" s="50" t="str">
        <f aca="false">IF(AND(ISNUMBER(CY16),ISNUMBER(CY17),CY14&lt;&gt;""),ROUND(CY17-CY14+CY15,1),"")</f>
        <v/>
      </c>
      <c r="CZ20" s="50" t="n">
        <f aca="false">IF(AND(ISNUMBER(CZ16),ISNUMBER(CZ17),CZ14&lt;&gt;""),ROUND(CZ17-CZ14+CZ15,1),"")</f>
        <v>2</v>
      </c>
      <c r="DA20" s="50" t="str">
        <f aca="false">IF(AND(ISNUMBER(DA16),ISNUMBER(DA17),DA14&lt;&gt;""),ROUND(DA17-DA14+DA15,1),"")</f>
        <v/>
      </c>
      <c r="DB20" s="50" t="str">
        <f aca="false">IF(AND(ISNUMBER(DB16),ISNUMBER(DB17),DB14&lt;&gt;""),ROUND(DB17-DB14+DB15,1),"")</f>
        <v/>
      </c>
      <c r="DC20" s="50" t="n">
        <f aca="false">IF(AND(ISNUMBER(DC16),ISNUMBER(DC17),DC14&lt;&gt;""),ROUND(DC17-DC14+DC15,1),"")</f>
        <v>3.5</v>
      </c>
      <c r="DD20" s="50" t="str">
        <f aca="false">IF(AND(ISNUMBER(DD16),ISNUMBER(DD17),DD14&lt;&gt;""),ROUND(DD17-DD14+DD15,1),"")</f>
        <v/>
      </c>
      <c r="DE20" s="50" t="str">
        <f aca="false">IF(AND(ISNUMBER(DE16),ISNUMBER(DE17),DE14&lt;&gt;""),ROUND(DE17-DE14+DE15,1),"")</f>
        <v/>
      </c>
      <c r="DF20" s="50" t="str">
        <f aca="false">IF(AND(ISNUMBER(DF16),ISNUMBER(DF17),DF14&lt;&gt;""),ROUND(DF17-DF14+DF15,1),"")</f>
        <v/>
      </c>
      <c r="DG20" s="50" t="str">
        <f aca="false">IF(AND(ISNUMBER(DG16),ISNUMBER(DG17),DG14&lt;&gt;""),ROUND(DG17-DG14+DG15,1),"")</f>
        <v/>
      </c>
      <c r="DH20" s="50" t="str">
        <f aca="false">IF(AND(ISNUMBER(DH16),ISNUMBER(DH17),DH14&lt;&gt;""),ROUND(DH17-DH14+DH15,1),"")</f>
        <v/>
      </c>
      <c r="DI20" s="50" t="n">
        <f aca="false">IF(AND(ISNUMBER(DI16),ISNUMBER(DI17),DI14&lt;&gt;""),ROUND(DI17-DI14+DI15,1),"")</f>
        <v>2.5</v>
      </c>
      <c r="DJ20" s="50" t="n">
        <f aca="false">IF(AND(ISNUMBER(DJ16),ISNUMBER(DJ17),DJ14&lt;&gt;""),ROUND(DJ17-DJ14+DJ15,1),"")</f>
        <v>2</v>
      </c>
      <c r="DK20" s="50" t="str">
        <f aca="false">IF(AND(ISNUMBER(DK16),ISNUMBER(DK17),DK14&lt;&gt;""),ROUND(DK17-DK14+DK15,1),"")</f>
        <v/>
      </c>
      <c r="DL20" s="50" t="str">
        <f aca="false">IF(AND(ISNUMBER(DL16),ISNUMBER(DL17),DL14&lt;&gt;""),ROUND(DL17-DL14+DL15,1),"")</f>
        <v/>
      </c>
      <c r="DM20" s="50" t="n">
        <f aca="false">IF(AND(ISNUMBER(DM16),ISNUMBER(DM17),DM14&lt;&gt;""),ROUND(DM17-DM14+DM15,1),"")</f>
        <v>1</v>
      </c>
      <c r="DN20" s="50" t="str">
        <f aca="false">IF(AND(ISNUMBER(DN16),ISNUMBER(DN17),DN14&lt;&gt;""),ROUND(DN17-DN14+DN15,1),"")</f>
        <v/>
      </c>
      <c r="DO20" s="50" t="n">
        <f aca="false">IF(AND(ISNUMBER(DO16),ISNUMBER(DO17),DO14&lt;&gt;""),ROUND(DO17-DO14+DO15,1),"")</f>
        <v>2</v>
      </c>
      <c r="DP20" s="50" t="str">
        <f aca="false">IF(AND(ISNUMBER(DP16),ISNUMBER(DP17),DP14&lt;&gt;""),ROUND(DP17-DP14+DP15,1),"")</f>
        <v/>
      </c>
      <c r="DQ20" s="50" t="str">
        <f aca="false">IF(AND(ISNUMBER(DQ16),ISNUMBER(DQ17),DQ14&lt;&gt;""),ROUND(DQ17-DQ14+DQ15,1),"")</f>
        <v/>
      </c>
      <c r="DR20" s="50" t="n">
        <f aca="false">IF(AND(ISNUMBER(DR16),ISNUMBER(DR17),DR14&lt;&gt;""),ROUND(DR17-DR14+DR15,1),"")</f>
        <v>1</v>
      </c>
      <c r="DS20" s="50" t="str">
        <f aca="false">IF(AND(ISNUMBER(DS16),ISNUMBER(DS17),DS14&lt;&gt;""),ROUND(DS17-DS14+DS15,1),"")</f>
        <v/>
      </c>
      <c r="DT20" s="50" t="n">
        <f aca="false">IF(AND(ISNUMBER(DT16),ISNUMBER(DT17),DT14&lt;&gt;""),ROUND(DT17-DT14+DT15,1),"")</f>
        <v>2</v>
      </c>
      <c r="DU20" s="50" t="str">
        <f aca="false">IF(AND(ISNUMBER(DU16),ISNUMBER(DU17),DU14&lt;&gt;""),ROUND(DU17-DU14+DU15,1),"")</f>
        <v/>
      </c>
      <c r="DV20" s="50" t="str">
        <f aca="false">IF(AND(ISNUMBER(DV16),ISNUMBER(DV17),DV14&lt;&gt;""),ROUND(DV17-DV14+DV15,1),"")</f>
        <v/>
      </c>
      <c r="DW20" s="50" t="n">
        <f aca="false">IF(AND(ISNUMBER(DW16),ISNUMBER(DW17),DW14&lt;&gt;""),ROUND(DW17-DW14+DW15,1),"")</f>
        <v>2</v>
      </c>
      <c r="DX20" s="50" t="str">
        <f aca="false">IF(AND(ISNUMBER(DX16),ISNUMBER(DX17),DX14&lt;&gt;""),ROUND(DX17-DX14+DX15,1),"")</f>
        <v/>
      </c>
      <c r="DY20" s="50" t="str">
        <f aca="false">IF(AND(ISNUMBER(DY16),ISNUMBER(DY17),DY14&lt;&gt;""),ROUND(DY17-DY14+DY15,1),"")</f>
        <v/>
      </c>
      <c r="DZ20" s="50" t="str">
        <f aca="false">IF(AND(ISNUMBER(DZ16),ISNUMBER(DZ17),DZ14&lt;&gt;""),ROUND(DZ17-DZ14+DZ15,1),"")</f>
        <v/>
      </c>
      <c r="EA20" s="50" t="n">
        <f aca="false">IF(AND(ISNUMBER(EA16),ISNUMBER(EA17),EA14&lt;&gt;""),ROUND(EA17-EA14+EA15,1),"")</f>
        <v>2.2</v>
      </c>
      <c r="EB20" s="50" t="str">
        <f aca="false">IF(AND(ISNUMBER(EB16),ISNUMBER(EB17),EB14&lt;&gt;""),ROUND(EB17-EB14+EB15,1),"")</f>
        <v/>
      </c>
      <c r="EC20" s="50" t="str">
        <f aca="false">IF(AND(ISNUMBER(EC16),ISNUMBER(EC17),EC14&lt;&gt;""),ROUND(EC17-EC14+EC15,1),"")</f>
        <v/>
      </c>
      <c r="ED20" s="50" t="str">
        <f aca="false">IF(AND(ISNUMBER(ED16),ISNUMBER(ED17),ED14&lt;&gt;""),ROUND(ED17-ED14+ED15,1),"")</f>
        <v/>
      </c>
      <c r="EE20" s="50" t="str">
        <f aca="false">IF(AND(ISNUMBER(EE16),ISNUMBER(EE17),EE14&lt;&gt;""),ROUND(EE17-EE14+EE15,1),"")</f>
        <v/>
      </c>
      <c r="EF20" s="50" t="str">
        <f aca="false">IF(AND(ISNUMBER(EF16),ISNUMBER(EF17),EF14&lt;&gt;""),ROUND(EF17-EF14+EF15,1),"")</f>
        <v/>
      </c>
      <c r="EG20" s="50" t="str">
        <f aca="false">IF(AND(ISNUMBER(EG16),ISNUMBER(EG17),EG14&lt;&gt;""),ROUND(EG17-EG14+EG15,1),"")</f>
        <v/>
      </c>
      <c r="EH20" s="50" t="n">
        <f aca="false">IF(AND(ISNUMBER(EH16),ISNUMBER(EH17),EH14&lt;&gt;""),ROUND(EH17-EH14+EH15,1),"")</f>
        <v>2</v>
      </c>
      <c r="EI20" s="50" t="str">
        <f aca="false">IF(AND(ISNUMBER(EI16),ISNUMBER(EI17),EI14&lt;&gt;""),ROUND(EI17-EI14+EI15,1),"")</f>
        <v/>
      </c>
      <c r="EJ20" s="50" t="n">
        <f aca="false">IF(AND(ISNUMBER(EJ16),ISNUMBER(EJ17),EJ14&lt;&gt;""),ROUND(EJ17-EJ14+EJ15,1),"")</f>
        <v>3.5</v>
      </c>
      <c r="EK20" s="50" t="str">
        <f aca="false">IF(AND(ISNUMBER(EK16),ISNUMBER(EK17),EK14&lt;&gt;""),ROUND(EK17-EK14+EK15,1),"")</f>
        <v/>
      </c>
      <c r="EL20" s="50" t="str">
        <f aca="false">IF(AND(ISNUMBER(EL16),ISNUMBER(EL17),EL14&lt;&gt;""),ROUND(EL17-EL14+EL15,1),"")</f>
        <v/>
      </c>
      <c r="EM20" s="50" t="str">
        <f aca="false">IF(AND(ISNUMBER(EM16),ISNUMBER(EM17),EM14&lt;&gt;""),ROUND(EM17-EM14+EM15,1),"")</f>
        <v/>
      </c>
      <c r="EN20" s="50" t="str">
        <f aca="false">IF(AND(ISNUMBER(EN16),ISNUMBER(EN17),EN14&lt;&gt;""),ROUND(EN17-EN14+EN15,1),"")</f>
        <v/>
      </c>
      <c r="EO20" s="50" t="str">
        <f aca="false">IF(AND(ISNUMBER(EO16),ISNUMBER(EO17),EO14&lt;&gt;""),ROUND(EO17-EO14+EO15,1),"")</f>
        <v/>
      </c>
      <c r="EP20" s="50" t="n">
        <f aca="false">IF(AND(ISNUMBER(EP16),ISNUMBER(EP17),EP14&lt;&gt;""),ROUND(EP17-EP14+EP15,1),"")</f>
        <v>2</v>
      </c>
      <c r="EQ20" s="50" t="str">
        <f aca="false">IF(AND(ISNUMBER(EQ16),ISNUMBER(EQ17),EQ14&lt;&gt;""),ROUND(EQ17-EQ14+EQ15,1),"")</f>
        <v/>
      </c>
      <c r="ER20" s="50" t="str">
        <f aca="false">IF(AND(ISNUMBER(ER16),ISNUMBER(ER17),ER14&lt;&gt;""),ROUND(ER17-ER14+ER15,1),"")</f>
        <v/>
      </c>
      <c r="ES20" s="50" t="str">
        <f aca="false">IF(AND(ISNUMBER(ES16),ISNUMBER(ES17),ES14&lt;&gt;""),ROUND(ES17-ES14+ES15,1),"")</f>
        <v/>
      </c>
      <c r="ET20" s="50" t="str">
        <f aca="false">IF(AND(ISNUMBER(ET16),ISNUMBER(ET17),ET14&lt;&gt;""),ROUND(ET17-ET14+ET15,1),"")</f>
        <v/>
      </c>
      <c r="EU20" s="50" t="str">
        <f aca="false">IF(AND(ISNUMBER(EU16),ISNUMBER(EU17),EU14&lt;&gt;""),ROUND(EU17-EU14+EU15,1),"")</f>
        <v/>
      </c>
      <c r="EV20" s="50" t="str">
        <f aca="false">IF(AND(ISNUMBER(EV16),ISNUMBER(EV17),EV14&lt;&gt;""),ROUND(EV17-EV14+EV15,1),"")</f>
        <v/>
      </c>
      <c r="EW20" s="50" t="str">
        <f aca="false">IF(AND(ISNUMBER(EW16),ISNUMBER(EW17),EW14&lt;&gt;""),ROUND(EW17-EW14+EW15,1),"")</f>
        <v/>
      </c>
      <c r="EX20" s="50" t="str">
        <f aca="false">IF(AND(ISNUMBER(EX16),ISNUMBER(EX17),EX14&lt;&gt;""),ROUND(EX17-EX14+EX15,1),"")</f>
        <v/>
      </c>
      <c r="EY20" s="50" t="str">
        <f aca="false">IF(AND(ISNUMBER(EY16),ISNUMBER(EY17),EY14&lt;&gt;""),ROUND(EY17-EY14+EY15,1),"")</f>
        <v/>
      </c>
      <c r="EZ20" s="50" t="str">
        <f aca="false">IF(AND(ISNUMBER(EZ16),ISNUMBER(EZ17),EZ14&lt;&gt;""),ROUND(EZ17-EZ14+EZ15,1),"")</f>
        <v/>
      </c>
      <c r="FA20" s="50" t="str">
        <f aca="false">IF(AND(ISNUMBER(FA16),ISNUMBER(FA17),FA14&lt;&gt;""),ROUND(FA17-FA14+FA15,1),"")</f>
        <v/>
      </c>
      <c r="FB20" s="50" t="str">
        <f aca="false">IF(AND(ISNUMBER(FB16),ISNUMBER(FB17),FB14&lt;&gt;""),ROUND(FB17-FB14+FB15,1),"")</f>
        <v/>
      </c>
      <c r="FC20" s="50" t="str">
        <f aca="false">IF(AND(ISNUMBER(FC16),ISNUMBER(FC17),FC14&lt;&gt;""),ROUND(FC17-FC14+FC15,1),"")</f>
        <v/>
      </c>
      <c r="FD20" s="50" t="str">
        <f aca="false">IF(AND(ISNUMBER(FD16),ISNUMBER(FD17),FD14&lt;&gt;""),ROUND(FD17-FD14+FD15,1),"")</f>
        <v/>
      </c>
      <c r="FE20" s="50" t="str">
        <f aca="false">IF(AND(ISNUMBER(FE16),ISNUMBER(FE17),FE14&lt;&gt;""),ROUND(FE17-FE14+FE15,1),"")</f>
        <v/>
      </c>
      <c r="FF20" s="50" t="str">
        <f aca="false">IF(AND(ISNUMBER(FF16),ISNUMBER(FF17),FF14&lt;&gt;""),ROUND(FF17-FF14+FF15,1),"")</f>
        <v/>
      </c>
      <c r="FG20" s="50" t="str">
        <f aca="false">IF(AND(ISNUMBER(FG16),ISNUMBER(FG17),FG14&lt;&gt;""),ROUND(FG17-FG14+FG15,1),"")</f>
        <v/>
      </c>
      <c r="FH20" s="50" t="str">
        <f aca="false">IF(AND(ISNUMBER(FH16),ISNUMBER(FH17),FH14&lt;&gt;""),ROUND(FH17-FH14+FH15,1),"")</f>
        <v/>
      </c>
      <c r="FI20" s="50" t="str">
        <f aca="false">IF(AND(ISNUMBER(FI16),ISNUMBER(FI17),FI14&lt;&gt;""),ROUND(FI17-FI14+FI15,1),"")</f>
        <v/>
      </c>
      <c r="FJ20" s="50" t="str">
        <f aca="false">IF(AND(ISNUMBER(FJ16),ISNUMBER(FJ17),FJ14&lt;&gt;""),ROUND(FJ17-FJ14+FJ15,1),"")</f>
        <v/>
      </c>
      <c r="FK20" s="50" t="str">
        <f aca="false">IF(AND(ISNUMBER(FK16),ISNUMBER(FK17),FK14&lt;&gt;""),ROUND(FK17-FK14+FK15,1),"")</f>
        <v/>
      </c>
      <c r="FL20" s="50" t="str">
        <f aca="false">IF(AND(ISNUMBER(FL16),ISNUMBER(FL17),FL14&lt;&gt;""),ROUND(FL17-FL14+FL15,1),"")</f>
        <v/>
      </c>
      <c r="FM20" s="50" t="str">
        <f aca="false">IF(AND(ISNUMBER(FM16),ISNUMBER(FM17),FM14&lt;&gt;""),ROUND(FM17-FM14+FM15,1),"")</f>
        <v/>
      </c>
      <c r="FN20" s="50" t="str">
        <f aca="false">IF(AND(ISNUMBER(FN16),ISNUMBER(FN17),FN14&lt;&gt;""),ROUND(FN17-FN14+FN15,1),"")</f>
        <v/>
      </c>
      <c r="FO20" s="50" t="str">
        <f aca="false">IF(AND(ISNUMBER(FO16),ISNUMBER(FO17),FO14&lt;&gt;""),ROUND(FO17-FO14+FO15,1),"")</f>
        <v/>
      </c>
      <c r="FP20" s="50" t="str">
        <f aca="false">IF(AND(ISNUMBER(FP16),ISNUMBER(FP17),FP14&lt;&gt;""),ROUND(FP17-FP14+FP15,1),"")</f>
        <v/>
      </c>
      <c r="FQ20" s="50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317</v>
      </c>
      <c r="B21" s="17" t="s">
        <v>403</v>
      </c>
      <c r="C21" s="48" t="n">
        <f aca="false">ROUND(SUM($D$21:$FQ$21),0)</f>
        <v>403</v>
      </c>
      <c r="D21" s="50" t="str">
        <f aca="false">IF(AND(ISNUMBER(D12),ISNUMBER(D19),ISNUMBER(D20)),ROUND((D20-MAX(D19,0))*10,1),"")</f>
        <v/>
      </c>
      <c r="E21" s="50" t="str">
        <f aca="false">IF(AND(ISNUMBER(E12),ISNUMBER(E19),ISNUMBER(E20)),ROUND((E20-MAX(E19,0))*10,1),"")</f>
        <v/>
      </c>
      <c r="F21" s="50" t="str">
        <f aca="false">IF(AND(ISNUMBER(F12),ISNUMBER(F19),ISNUMBER(F20)),ROUND((F20-MAX(F19,0))*10,1),"")</f>
        <v/>
      </c>
      <c r="G21" s="50" t="str">
        <f aca="false">IF(AND(ISNUMBER(G12),ISNUMBER(G19),ISNUMBER(G20)),ROUND((G20-MAX(G19,0))*10,1),"")</f>
        <v/>
      </c>
      <c r="H21" s="50" t="str">
        <f aca="false">IF(AND(ISNUMBER(H12),ISNUMBER(H19),ISNUMBER(H20)),ROUND((H20-MAX(H19,0))*10,1),"")</f>
        <v/>
      </c>
      <c r="I21" s="50" t="str">
        <f aca="false">IF(AND(ISNUMBER(I12),ISNUMBER(I19),ISNUMBER(I20)),ROUND((I20-MAX(I19,0))*10,1),"")</f>
        <v/>
      </c>
      <c r="J21" s="50" t="str">
        <f aca="false">IF(AND(ISNUMBER(J12),ISNUMBER(J19),ISNUMBER(J20)),ROUND((J20-MAX(J19,0))*10,1),"")</f>
        <v/>
      </c>
      <c r="K21" s="50" t="str">
        <f aca="false">IF(AND(ISNUMBER(K12),ISNUMBER(K19),ISNUMBER(K20)),ROUND((K20-MAX(K19,0))*10,1),"")</f>
        <v/>
      </c>
      <c r="L21" s="50" t="str">
        <f aca="false">IF(AND(ISNUMBER(L12),ISNUMBER(L19),ISNUMBER(L20)),ROUND((L20-MAX(L19,0))*10,1),"")</f>
        <v/>
      </c>
      <c r="M21" s="50" t="str">
        <f aca="false">IF(AND(ISNUMBER(M12),ISNUMBER(M19),ISNUMBER(M20)),ROUND((M20-MAX(M19,0))*10,1),"")</f>
        <v/>
      </c>
      <c r="N21" s="50" t="str">
        <f aca="false">IF(AND(ISNUMBER(N12),ISNUMBER(N19),ISNUMBER(N20)),ROUND((N20-MAX(N19,0))*10,1),"")</f>
        <v/>
      </c>
      <c r="O21" s="50" t="str">
        <f aca="false">IF(AND(ISNUMBER(O12),ISNUMBER(O19),ISNUMBER(O20)),ROUND((O20-MAX(O19,0))*10,1),"")</f>
        <v/>
      </c>
      <c r="P21" s="50" t="str">
        <f aca="false">IF(AND(ISNUMBER(P12),ISNUMBER(P19),ISNUMBER(P20)),ROUND((P20-MAX(P19,0))*10,1),"")</f>
        <v/>
      </c>
      <c r="Q21" s="50" t="str">
        <f aca="false">IF(AND(ISNUMBER(Q12),ISNUMBER(Q19),ISNUMBER(Q20)),ROUND((Q20-MAX(Q19,0))*10,1),"")</f>
        <v/>
      </c>
      <c r="R21" s="50" t="str">
        <f aca="false">IF(AND(ISNUMBER(R12),ISNUMBER(R19),ISNUMBER(R20)),ROUND((R20-MAX(R19,0))*10,1),"")</f>
        <v/>
      </c>
      <c r="S21" s="50" t="str">
        <f aca="false">IF(AND(ISNUMBER(S12),ISNUMBER(S19),ISNUMBER(S20)),ROUND((S20-MAX(S19,0))*10,1),"")</f>
        <v/>
      </c>
      <c r="T21" s="50" t="str">
        <f aca="false">IF(AND(ISNUMBER(T12),ISNUMBER(T19),ISNUMBER(T20)),ROUND((T20-MAX(T19,0))*10,1),"")</f>
        <v/>
      </c>
      <c r="U21" s="50" t="str">
        <f aca="false">IF(AND(ISNUMBER(U12),ISNUMBER(U19),ISNUMBER(U20)),ROUND((U20-MAX(U19,0))*10,1),"")</f>
        <v/>
      </c>
      <c r="V21" s="50" t="str">
        <f aca="false">IF(AND(ISNUMBER(V12),ISNUMBER(V19),ISNUMBER(V20)),ROUND((V20-MAX(V19,0))*10,1),"")</f>
        <v/>
      </c>
      <c r="W21" s="50" t="str">
        <f aca="false">IF(AND(ISNUMBER(W12),ISNUMBER(W19),ISNUMBER(W20)),ROUND((W20-MAX(W19,0))*10,1),"")</f>
        <v/>
      </c>
      <c r="X21" s="50" t="str">
        <f aca="false">IF(AND(ISNUMBER(X12),ISNUMBER(X19),ISNUMBER(X20)),ROUND((X20-MAX(X19,0))*10,1),"")</f>
        <v/>
      </c>
      <c r="Y21" s="50" t="str">
        <f aca="false">IF(AND(ISNUMBER(Y12),ISNUMBER(Y19),ISNUMBER(Y20)),ROUND((Y20-MAX(Y19,0))*10,1),"")</f>
        <v/>
      </c>
      <c r="Z21" s="50" t="str">
        <f aca="false">IF(AND(ISNUMBER(Z12),ISNUMBER(Z19),ISNUMBER(Z20)),ROUND((Z20-MAX(Z19,0))*10,1),"")</f>
        <v/>
      </c>
      <c r="AA21" s="50" t="str">
        <f aca="false">IF(AND(ISNUMBER(AA12),ISNUMBER(AA19),ISNUMBER(AA20)),ROUND((AA20-MAX(AA19,0))*10,1),"")</f>
        <v/>
      </c>
      <c r="AB21" s="50" t="str">
        <f aca="false">IF(AND(ISNUMBER(AB12),ISNUMBER(AB19),ISNUMBER(AB20)),ROUND((AB20-MAX(AB19,0))*10,1),"")</f>
        <v/>
      </c>
      <c r="AC21" s="50" t="str">
        <f aca="false">IF(AND(ISNUMBER(AC12),ISNUMBER(AC19),ISNUMBER(AC20)),ROUND((AC20-MAX(AC19,0))*10,1),"")</f>
        <v/>
      </c>
      <c r="AD21" s="50" t="str">
        <f aca="false">IF(AND(ISNUMBER(AD12),ISNUMBER(AD19),ISNUMBER(AD20)),ROUND((AD20-MAX(AD19,0))*10,1),"")</f>
        <v/>
      </c>
      <c r="AE21" s="50" t="str">
        <f aca="false">IF(AND(ISNUMBER(AE12),ISNUMBER(AE19),ISNUMBER(AE20)),ROUND((AE20-MAX(AE19,0))*10,1),"")</f>
        <v/>
      </c>
      <c r="AF21" s="50" t="str">
        <f aca="false">IF(AND(ISNUMBER(AF12),ISNUMBER(AF19),ISNUMBER(AF20)),ROUND((AF20-MAX(AF19,0))*10,1),"")</f>
        <v/>
      </c>
      <c r="AG21" s="50" t="str">
        <f aca="false">IF(AND(ISNUMBER(AG12),ISNUMBER(AG19),ISNUMBER(AG20)),ROUND((AG20-MAX(AG19,0))*10,1),"")</f>
        <v/>
      </c>
      <c r="AH21" s="50" t="str">
        <f aca="false">IF(AND(ISNUMBER(AH12),ISNUMBER(AH19),ISNUMBER(AH20)),ROUND((AH20-MAX(AH19,0))*10,1),"")</f>
        <v/>
      </c>
      <c r="AI21" s="50" t="str">
        <f aca="false">IF(AND(ISNUMBER(AI12),ISNUMBER(AI19),ISNUMBER(AI20)),ROUND((AI20-MAX(AI19,0))*10,1),"")</f>
        <v/>
      </c>
      <c r="AJ21" s="50" t="str">
        <f aca="false">IF(AND(ISNUMBER(AJ12),ISNUMBER(AJ19),ISNUMBER(AJ20)),ROUND((AJ20-MAX(AJ19,0))*10,1),"")</f>
        <v/>
      </c>
      <c r="AK21" s="50" t="str">
        <f aca="false">IF(AND(ISNUMBER(AK12),ISNUMBER(AK19),ISNUMBER(AK20)),ROUND((AK20-MAX(AK19,0))*10,1),"")</f>
        <v/>
      </c>
      <c r="AL21" s="50" t="str">
        <f aca="false">IF(AND(ISNUMBER(AL12),ISNUMBER(AL19),ISNUMBER(AL20)),ROUND((AL20-MAX(AL19,0))*10,1),"")</f>
        <v/>
      </c>
      <c r="AM21" s="50" t="str">
        <f aca="false">IF(AND(ISNUMBER(AM12),ISNUMBER(AM19),ISNUMBER(AM20)),ROUND((AM20-MAX(AM19,0))*10,1),"")</f>
        <v/>
      </c>
      <c r="AN21" s="50" t="str">
        <f aca="false">IF(AND(ISNUMBER(AN12),ISNUMBER(AN19),ISNUMBER(AN20)),ROUND((AN20-MAX(AN19,0))*10,1),"")</f>
        <v/>
      </c>
      <c r="AO21" s="50" t="str">
        <f aca="false">IF(AND(ISNUMBER(AO12),ISNUMBER(AO19),ISNUMBER(AO20)),ROUND((AO20-MAX(AO19,0))*10,1),"")</f>
        <v/>
      </c>
      <c r="AP21" s="50" t="str">
        <f aca="false">IF(AND(ISNUMBER(AP12),ISNUMBER(AP19),ISNUMBER(AP20)),ROUND((AP20-MAX(AP19,0))*10,1),"")</f>
        <v/>
      </c>
      <c r="AQ21" s="50" t="str">
        <f aca="false">IF(AND(ISNUMBER(AQ12),ISNUMBER(AQ19),ISNUMBER(AQ20)),ROUND((AQ20-MAX(AQ19,0))*10,1),"")</f>
        <v/>
      </c>
      <c r="AR21" s="50" t="str">
        <f aca="false">IF(AND(ISNUMBER(AR12),ISNUMBER(AR19),ISNUMBER(AR20)),ROUND((AR20-MAX(AR19,0))*10,1),"")</f>
        <v/>
      </c>
      <c r="AS21" s="50" t="str">
        <f aca="false">IF(AND(ISNUMBER(AS12),ISNUMBER(AS19),ISNUMBER(AS20)),ROUND((AS20-MAX(AS19,0))*10,1),"")</f>
        <v/>
      </c>
      <c r="AT21" s="50" t="str">
        <f aca="false">IF(AND(ISNUMBER(AT12),ISNUMBER(AT19),ISNUMBER(AT20)),ROUND((AT20-MAX(AT19,0))*10,1),"")</f>
        <v/>
      </c>
      <c r="AU21" s="50" t="str">
        <f aca="false">IF(AND(ISNUMBER(AU12),ISNUMBER(AU19),ISNUMBER(AU20)),ROUND((AU20-MAX(AU19,0))*10,1),"")</f>
        <v/>
      </c>
      <c r="AV21" s="50" t="str">
        <f aca="false">IF(AND(ISNUMBER(AV12),ISNUMBER(AV19),ISNUMBER(AV20)),ROUND((AV20-MAX(AV19,0))*10,1),"")</f>
        <v/>
      </c>
      <c r="AW21" s="50" t="str">
        <f aca="false">IF(AND(ISNUMBER(AW12),ISNUMBER(AW19),ISNUMBER(AW20)),ROUND((AW20-MAX(AW19,0))*10,1),"")</f>
        <v/>
      </c>
      <c r="AX21" s="50" t="str">
        <f aca="false">IF(AND(ISNUMBER(AX12),ISNUMBER(AX19),ISNUMBER(AX20)),ROUND((AX20-MAX(AX19,0))*10,1),"")</f>
        <v/>
      </c>
      <c r="AY21" s="50" t="str">
        <f aca="false">IF(AND(ISNUMBER(AY12),ISNUMBER(AY19),ISNUMBER(AY20)),ROUND((AY20-MAX(AY19,0))*10,1),"")</f>
        <v/>
      </c>
      <c r="AZ21" s="50" t="str">
        <f aca="false">IF(AND(ISNUMBER(AZ12),ISNUMBER(AZ19),ISNUMBER(AZ20)),ROUND((AZ20-MAX(AZ19,0))*10,1),"")</f>
        <v/>
      </c>
      <c r="BA21" s="50" t="str">
        <f aca="false">IF(AND(ISNUMBER(BA12),ISNUMBER(BA19),ISNUMBER(BA20)),ROUND((BA20-MAX(BA19,0))*10,1),"")</f>
        <v/>
      </c>
      <c r="BB21" s="50" t="str">
        <f aca="false">IF(AND(ISNUMBER(BB12),ISNUMBER(BB19),ISNUMBER(BB20)),ROUND((BB20-MAX(BB19,0))*10,1),"")</f>
        <v/>
      </c>
      <c r="BC21" s="50" t="str">
        <f aca="false">IF(AND(ISNUMBER(BC12),ISNUMBER(BC19),ISNUMBER(BC20)),ROUND((BC20-MAX(BC19,0))*10,1),"")</f>
        <v/>
      </c>
      <c r="BD21" s="50" t="str">
        <f aca="false">IF(AND(ISNUMBER(BD12),ISNUMBER(BD19),ISNUMBER(BD20)),ROUND((BD20-MAX(BD19,0))*10,1),"")</f>
        <v/>
      </c>
      <c r="BE21" s="50" t="n">
        <f aca="false">IF(AND(ISNUMBER(BE12),ISNUMBER(BE19),ISNUMBER(BE20)),ROUND((BE20-MAX(BE19,0))*10,1),"")</f>
        <v>7</v>
      </c>
      <c r="BF21" s="50" t="str">
        <f aca="false">IF(AND(ISNUMBER(BF12),ISNUMBER(BF19),ISNUMBER(BF20)),ROUND((BF20-MAX(BF19,0))*10,1),"")</f>
        <v/>
      </c>
      <c r="BG21" s="50" t="n">
        <f aca="false">IF(AND(ISNUMBER(BG12),ISNUMBER(BG19),ISNUMBER(BG20)),ROUND((BG20-MAX(BG19,0))*10,1),"")</f>
        <v>25</v>
      </c>
      <c r="BH21" s="50" t="str">
        <f aca="false">IF(AND(ISNUMBER(BH12),ISNUMBER(BH19),ISNUMBER(BH20)),ROUND((BH20-MAX(BH19,0))*10,1),"")</f>
        <v/>
      </c>
      <c r="BI21" s="50" t="str">
        <f aca="false">IF(AND(ISNUMBER(BI12),ISNUMBER(BI19),ISNUMBER(BI20)),ROUND((BI20-MAX(BI19,0))*10,1),"")</f>
        <v/>
      </c>
      <c r="BJ21" s="50" t="str">
        <f aca="false">IF(AND(ISNUMBER(BJ12),ISNUMBER(BJ19),ISNUMBER(BJ20)),ROUND((BJ20-MAX(BJ19,0))*10,1),"")</f>
        <v/>
      </c>
      <c r="BK21" s="50" t="n">
        <f aca="false">IF(AND(ISNUMBER(BK12),ISNUMBER(BK19),ISNUMBER(BK20)),ROUND((BK20-MAX(BK19,0))*10,1),"")</f>
        <v>19</v>
      </c>
      <c r="BL21" s="50" t="str">
        <f aca="false">IF(AND(ISNUMBER(BL12),ISNUMBER(BL19),ISNUMBER(BL20)),ROUND((BL20-MAX(BL19,0))*10,1),"")</f>
        <v/>
      </c>
      <c r="BM21" s="50" t="str">
        <f aca="false">IF(AND(ISNUMBER(BM12),ISNUMBER(BM19),ISNUMBER(BM20)),ROUND((BM20-MAX(BM19,0))*10,1),"")</f>
        <v/>
      </c>
      <c r="BN21" s="50" t="str">
        <f aca="false">IF(AND(ISNUMBER(BN12),ISNUMBER(BN19),ISNUMBER(BN20)),ROUND((BN20-MAX(BN19,0))*10,1),"")</f>
        <v/>
      </c>
      <c r="BO21" s="50" t="str">
        <f aca="false">IF(AND(ISNUMBER(BO12),ISNUMBER(BO19),ISNUMBER(BO20)),ROUND((BO20-MAX(BO19,0))*10,1),"")</f>
        <v/>
      </c>
      <c r="BP21" s="50" t="n">
        <f aca="false">IF(AND(ISNUMBER(BP12),ISNUMBER(BP19),ISNUMBER(BP20)),ROUND((BP20-MAX(BP19,0))*10,1),"")</f>
        <v>17</v>
      </c>
      <c r="BQ21" s="50" t="str">
        <f aca="false">IF(AND(ISNUMBER(BQ12),ISNUMBER(BQ19),ISNUMBER(BQ20)),ROUND((BQ20-MAX(BQ19,0))*10,1),"")</f>
        <v/>
      </c>
      <c r="BR21" s="50" t="str">
        <f aca="false">IF(AND(ISNUMBER(BR12),ISNUMBER(BR19),ISNUMBER(BR20)),ROUND((BR20-MAX(BR19,0))*10,1),"")</f>
        <v/>
      </c>
      <c r="BS21" s="50" t="str">
        <f aca="false">IF(AND(ISNUMBER(BS12),ISNUMBER(BS19),ISNUMBER(BS20)),ROUND((BS20-MAX(BS19,0))*10,1),"")</f>
        <v/>
      </c>
      <c r="BT21" s="50" t="str">
        <f aca="false">IF(AND(ISNUMBER(BT12),ISNUMBER(BT19),ISNUMBER(BT20)),ROUND((BT20-MAX(BT19,0))*10,1),"")</f>
        <v/>
      </c>
      <c r="BU21" s="50" t="str">
        <f aca="false">IF(AND(ISNUMBER(BU12),ISNUMBER(BU19),ISNUMBER(BU20)),ROUND((BU20-MAX(BU19,0))*10,1),"")</f>
        <v/>
      </c>
      <c r="BV21" s="50" t="str">
        <f aca="false">IF(AND(ISNUMBER(BV12),ISNUMBER(BV19),ISNUMBER(BV20)),ROUND((BV20-MAX(BV19,0))*10,1),"")</f>
        <v/>
      </c>
      <c r="BW21" s="50" t="n">
        <f aca="false">IF(AND(ISNUMBER(BW12),ISNUMBER(BW19),ISNUMBER(BW20)),ROUND((BW20-MAX(BW19,0))*10,1),"")</f>
        <v>28</v>
      </c>
      <c r="BX21" s="50" t="str">
        <f aca="false">IF(AND(ISNUMBER(BX12),ISNUMBER(BX19),ISNUMBER(BX20)),ROUND((BX20-MAX(BX19,0))*10,1),"")</f>
        <v/>
      </c>
      <c r="BY21" s="50" t="str">
        <f aca="false">IF(AND(ISNUMBER(BY12),ISNUMBER(BY19),ISNUMBER(BY20)),ROUND((BY20-MAX(BY19,0))*10,1),"")</f>
        <v/>
      </c>
      <c r="BZ21" s="50" t="str">
        <f aca="false">IF(AND(ISNUMBER(BZ12),ISNUMBER(BZ19),ISNUMBER(BZ20)),ROUND((BZ20-MAX(BZ19,0))*10,1),"")</f>
        <v/>
      </c>
      <c r="CA21" s="50" t="str">
        <f aca="false">IF(AND(ISNUMBER(CA12),ISNUMBER(CA19),ISNUMBER(CA20)),ROUND((CA20-MAX(CA19,0))*10,1),"")</f>
        <v/>
      </c>
      <c r="CB21" s="50" t="str">
        <f aca="false">IF(AND(ISNUMBER(CB12),ISNUMBER(CB19),ISNUMBER(CB20)),ROUND((CB20-MAX(CB19,0))*10,1),"")</f>
        <v/>
      </c>
      <c r="CC21" s="50" t="str">
        <f aca="false">IF(AND(ISNUMBER(CC12),ISNUMBER(CC19),ISNUMBER(CC20)),ROUND((CC20-MAX(CC19,0))*10,1),"")</f>
        <v/>
      </c>
      <c r="CD21" s="50" t="n">
        <f aca="false">IF(AND(ISNUMBER(CD12),ISNUMBER(CD19),ISNUMBER(CD20)),ROUND((CD20-MAX(CD19,0))*10,1),"")</f>
        <v>24</v>
      </c>
      <c r="CE21" s="50" t="str">
        <f aca="false">IF(AND(ISNUMBER(CE12),ISNUMBER(CE19),ISNUMBER(CE20)),ROUND((CE20-MAX(CE19,0))*10,1),"")</f>
        <v/>
      </c>
      <c r="CF21" s="50" t="str">
        <f aca="false">IF(AND(ISNUMBER(CF12),ISNUMBER(CF19),ISNUMBER(CF20)),ROUND((CF20-MAX(CF19,0))*10,1),"")</f>
        <v/>
      </c>
      <c r="CG21" s="50" t="str">
        <f aca="false">IF(AND(ISNUMBER(CG12),ISNUMBER(CG19),ISNUMBER(CG20)),ROUND((CG20-MAX(CG19,0))*10,1),"")</f>
        <v/>
      </c>
      <c r="CH21" s="50" t="n">
        <f aca="false">IF(AND(ISNUMBER(CH12),ISNUMBER(CH19),ISNUMBER(CH20)),ROUND((CH20-MAX(CH19,0))*10,1),"")</f>
        <v>31</v>
      </c>
      <c r="CI21" s="50" t="str">
        <f aca="false">IF(AND(ISNUMBER(CI12),ISNUMBER(CI19),ISNUMBER(CI20)),ROUND((CI20-MAX(CI19,0))*10,1),"")</f>
        <v/>
      </c>
      <c r="CJ21" s="50" t="str">
        <f aca="false">IF(AND(ISNUMBER(CJ12),ISNUMBER(CJ19),ISNUMBER(CJ20)),ROUND((CJ20-MAX(CJ19,0))*10,1),"")</f>
        <v/>
      </c>
      <c r="CK21" s="50" t="str">
        <f aca="false">IF(AND(ISNUMBER(CK12),ISNUMBER(CK19),ISNUMBER(CK20)),ROUND((CK20-MAX(CK19,0))*10,1),"")</f>
        <v/>
      </c>
      <c r="CL21" s="50" t="str">
        <f aca="false">IF(AND(ISNUMBER(CL12),ISNUMBER(CL19),ISNUMBER(CL20)),ROUND((CL20-MAX(CL19,0))*10,1),"")</f>
        <v/>
      </c>
      <c r="CM21" s="50" t="str">
        <f aca="false">IF(AND(ISNUMBER(CM12),ISNUMBER(CM19),ISNUMBER(CM20)),ROUND((CM20-MAX(CM19,0))*10,1),"")</f>
        <v/>
      </c>
      <c r="CN21" s="50" t="str">
        <f aca="false">IF(AND(ISNUMBER(CN12),ISNUMBER(CN19),ISNUMBER(CN20)),ROUND((CN20-MAX(CN19,0))*10,1),"")</f>
        <v/>
      </c>
      <c r="CO21" s="50" t="str">
        <f aca="false">IF(AND(ISNUMBER(CO12),ISNUMBER(CO19),ISNUMBER(CO20)),ROUND((CO20-MAX(CO19,0))*10,1),"")</f>
        <v/>
      </c>
      <c r="CP21" s="50" t="str">
        <f aca="false">IF(AND(ISNUMBER(CP12),ISNUMBER(CP19),ISNUMBER(CP20)),ROUND((CP20-MAX(CP19,0))*10,1),"")</f>
        <v/>
      </c>
      <c r="CQ21" s="50" t="str">
        <f aca="false">IF(AND(ISNUMBER(CQ12),ISNUMBER(CQ19),ISNUMBER(CQ20)),ROUND((CQ20-MAX(CQ19,0))*10,1),"")</f>
        <v/>
      </c>
      <c r="CR21" s="50" t="str">
        <f aca="false">IF(AND(ISNUMBER(CR12),ISNUMBER(CR19),ISNUMBER(CR20)),ROUND((CR20-MAX(CR19,0))*10,1),"")</f>
        <v/>
      </c>
      <c r="CS21" s="50" t="str">
        <f aca="false">IF(AND(ISNUMBER(CS12),ISNUMBER(CS19),ISNUMBER(CS20)),ROUND((CS20-MAX(CS19,0))*10,1),"")</f>
        <v/>
      </c>
      <c r="CT21" s="50" t="str">
        <f aca="false">IF(AND(ISNUMBER(CT12),ISNUMBER(CT19),ISNUMBER(CT20)),ROUND((CT20-MAX(CT19,0))*10,1),"")</f>
        <v/>
      </c>
      <c r="CU21" s="50" t="str">
        <f aca="false">IF(AND(ISNUMBER(CU12),ISNUMBER(CU19),ISNUMBER(CU20)),ROUND((CU20-MAX(CU19,0))*10,1),"")</f>
        <v/>
      </c>
      <c r="CV21" s="50" t="str">
        <f aca="false">IF(AND(ISNUMBER(CV12),ISNUMBER(CV19),ISNUMBER(CV20)),ROUND((CV20-MAX(CV19,0))*10,1),"")</f>
        <v/>
      </c>
      <c r="CW21" s="50" t="n">
        <f aca="false">IF(AND(ISNUMBER(CW12),ISNUMBER(CW19),ISNUMBER(CW20)),ROUND((CW20-MAX(CW19,0))*10,1),"")</f>
        <v>15</v>
      </c>
      <c r="CX21" s="50" t="str">
        <f aca="false">IF(AND(ISNUMBER(CX12),ISNUMBER(CX19),ISNUMBER(CX20)),ROUND((CX20-MAX(CX19,0))*10,1),"")</f>
        <v/>
      </c>
      <c r="CY21" s="50" t="str">
        <f aca="false">IF(AND(ISNUMBER(CY12),ISNUMBER(CY19),ISNUMBER(CY20)),ROUND((CY20-MAX(CY19,0))*10,1),"")</f>
        <v/>
      </c>
      <c r="CZ21" s="50" t="n">
        <f aca="false">IF(AND(ISNUMBER(CZ12),ISNUMBER(CZ19),ISNUMBER(CZ20)),ROUND((CZ20-MAX(CZ19,0))*10,1),"")</f>
        <v>18</v>
      </c>
      <c r="DA21" s="50" t="str">
        <f aca="false">IF(AND(ISNUMBER(DA12),ISNUMBER(DA19),ISNUMBER(DA20)),ROUND((DA20-MAX(DA19,0))*10,1),"")</f>
        <v/>
      </c>
      <c r="DB21" s="50" t="str">
        <f aca="false">IF(AND(ISNUMBER(DB12),ISNUMBER(DB19),ISNUMBER(DB20)),ROUND((DB20-MAX(DB19,0))*10,1),"")</f>
        <v/>
      </c>
      <c r="DC21" s="50" t="n">
        <f aca="false">IF(AND(ISNUMBER(DC12),ISNUMBER(DC19),ISNUMBER(DC20)),ROUND((DC20-MAX(DC19,0))*10,1),"")</f>
        <v>30</v>
      </c>
      <c r="DD21" s="50" t="str">
        <f aca="false">IF(AND(ISNUMBER(DD12),ISNUMBER(DD19),ISNUMBER(DD20)),ROUND((DD20-MAX(DD19,0))*10,1),"")</f>
        <v/>
      </c>
      <c r="DE21" s="50" t="str">
        <f aca="false">IF(AND(ISNUMBER(DE12),ISNUMBER(DE19),ISNUMBER(DE20)),ROUND((DE20-MAX(DE19,0))*10,1),"")</f>
        <v/>
      </c>
      <c r="DF21" s="50" t="str">
        <f aca="false">IF(AND(ISNUMBER(DF12),ISNUMBER(DF19),ISNUMBER(DF20)),ROUND((DF20-MAX(DF19,0))*10,1),"")</f>
        <v/>
      </c>
      <c r="DG21" s="50" t="str">
        <f aca="false">IF(AND(ISNUMBER(DG12),ISNUMBER(DG19),ISNUMBER(DG20)),ROUND((DG20-MAX(DG19,0))*10,1),"")</f>
        <v/>
      </c>
      <c r="DH21" s="50" t="str">
        <f aca="false">IF(AND(ISNUMBER(DH12),ISNUMBER(DH19),ISNUMBER(DH20)),ROUND((DH20-MAX(DH19,0))*10,1),"")</f>
        <v/>
      </c>
      <c r="DI21" s="50" t="n">
        <f aca="false">IF(AND(ISNUMBER(DI12),ISNUMBER(DI19),ISNUMBER(DI20)),ROUND((DI20-MAX(DI19,0))*10,1),"")</f>
        <v>24</v>
      </c>
      <c r="DJ21" s="50" t="n">
        <f aca="false">IF(AND(ISNUMBER(DJ12),ISNUMBER(DJ19),ISNUMBER(DJ20)),ROUND((DJ20-MAX(DJ19,0))*10,1),"")</f>
        <v>20</v>
      </c>
      <c r="DK21" s="50" t="str">
        <f aca="false">IF(AND(ISNUMBER(DK12),ISNUMBER(DK19),ISNUMBER(DK20)),ROUND((DK20-MAX(DK19,0))*10,1),"")</f>
        <v/>
      </c>
      <c r="DL21" s="50" t="str">
        <f aca="false">IF(AND(ISNUMBER(DL12),ISNUMBER(DL19),ISNUMBER(DL20)),ROUND((DL20-MAX(DL19,0))*10,1),"")</f>
        <v/>
      </c>
      <c r="DM21" s="50" t="n">
        <f aca="false">IF(AND(ISNUMBER(DM12),ISNUMBER(DM19),ISNUMBER(DM20)),ROUND((DM20-MAX(DM19,0))*10,1),"")</f>
        <v>8</v>
      </c>
      <c r="DN21" s="50" t="str">
        <f aca="false">IF(AND(ISNUMBER(DN12),ISNUMBER(DN19),ISNUMBER(DN20)),ROUND((DN20-MAX(DN19,0))*10,1),"")</f>
        <v/>
      </c>
      <c r="DO21" s="50" t="n">
        <f aca="false">IF(AND(ISNUMBER(DO12),ISNUMBER(DO19),ISNUMBER(DO20)),ROUND((DO20-MAX(DO19,0))*10,1),"")</f>
        <v>20</v>
      </c>
      <c r="DP21" s="50" t="str">
        <f aca="false">IF(AND(ISNUMBER(DP12),ISNUMBER(DP19),ISNUMBER(DP20)),ROUND((DP20-MAX(DP19,0))*10,1),"")</f>
        <v/>
      </c>
      <c r="DQ21" s="50" t="str">
        <f aca="false">IF(AND(ISNUMBER(DQ12),ISNUMBER(DQ19),ISNUMBER(DQ20)),ROUND((DQ20-MAX(DQ19,0))*10,1),"")</f>
        <v/>
      </c>
      <c r="DR21" s="50" t="n">
        <f aca="false">IF(AND(ISNUMBER(DR12),ISNUMBER(DR19),ISNUMBER(DR20)),ROUND((DR20-MAX(DR19,0))*10,1),"")</f>
        <v>7</v>
      </c>
      <c r="DS21" s="50" t="str">
        <f aca="false">IF(AND(ISNUMBER(DS12),ISNUMBER(DS19),ISNUMBER(DS20)),ROUND((DS20-MAX(DS19,0))*10,1),"")</f>
        <v/>
      </c>
      <c r="DT21" s="50" t="n">
        <f aca="false">IF(AND(ISNUMBER(DT12),ISNUMBER(DT19),ISNUMBER(DT20)),ROUND((DT20-MAX(DT19,0))*10,1),"")</f>
        <v>20</v>
      </c>
      <c r="DU21" s="50" t="str">
        <f aca="false">IF(AND(ISNUMBER(DU12),ISNUMBER(DU19),ISNUMBER(DU20)),ROUND((DU20-MAX(DU19,0))*10,1),"")</f>
        <v/>
      </c>
      <c r="DV21" s="50" t="str">
        <f aca="false">IF(AND(ISNUMBER(DV12),ISNUMBER(DV19),ISNUMBER(DV20)),ROUND((DV20-MAX(DV19,0))*10,1),"")</f>
        <v/>
      </c>
      <c r="DW21" s="50" t="n">
        <f aca="false">IF(AND(ISNUMBER(DW12),ISNUMBER(DW19),ISNUMBER(DW20)),ROUND((DW20-MAX(DW19,0))*10,1),"")</f>
        <v>15</v>
      </c>
      <c r="DX21" s="50" t="str">
        <f aca="false">IF(AND(ISNUMBER(DX12),ISNUMBER(DX19),ISNUMBER(DX20)),ROUND((DX20-MAX(DX19,0))*10,1),"")</f>
        <v/>
      </c>
      <c r="DY21" s="50" t="str">
        <f aca="false">IF(AND(ISNUMBER(DY12),ISNUMBER(DY19),ISNUMBER(DY20)),ROUND((DY20-MAX(DY19,0))*10,1),"")</f>
        <v/>
      </c>
      <c r="DZ21" s="50" t="str">
        <f aca="false">IF(AND(ISNUMBER(DZ12),ISNUMBER(DZ19),ISNUMBER(DZ20)),ROUND((DZ20-MAX(DZ19,0))*10,1),"")</f>
        <v/>
      </c>
      <c r="EA21" s="50" t="n">
        <f aca="false">IF(AND(ISNUMBER(EA12),ISNUMBER(EA19),ISNUMBER(EA20)),ROUND((EA20-MAX(EA19,0))*10,1),"")</f>
        <v>21</v>
      </c>
      <c r="EB21" s="50" t="str">
        <f aca="false">IF(AND(ISNUMBER(EB12),ISNUMBER(EB19),ISNUMBER(EB20)),ROUND((EB20-MAX(EB19,0))*10,1),"")</f>
        <v/>
      </c>
      <c r="EC21" s="50" t="str">
        <f aca="false">IF(AND(ISNUMBER(EC12),ISNUMBER(EC19),ISNUMBER(EC20)),ROUND((EC20-MAX(EC19,0))*10,1),"")</f>
        <v/>
      </c>
      <c r="ED21" s="50" t="str">
        <f aca="false">IF(AND(ISNUMBER(ED12),ISNUMBER(ED19),ISNUMBER(ED20)),ROUND((ED20-MAX(ED19,0))*10,1),"")</f>
        <v/>
      </c>
      <c r="EE21" s="50" t="str">
        <f aca="false">IF(AND(ISNUMBER(EE12),ISNUMBER(EE19),ISNUMBER(EE20)),ROUND((EE20-MAX(EE19,0))*10,1),"")</f>
        <v/>
      </c>
      <c r="EF21" s="50" t="str">
        <f aca="false">IF(AND(ISNUMBER(EF12),ISNUMBER(EF19),ISNUMBER(EF20)),ROUND((EF20-MAX(EF19,0))*10,1),"")</f>
        <v/>
      </c>
      <c r="EG21" s="50" t="str">
        <f aca="false">IF(AND(ISNUMBER(EG12),ISNUMBER(EG19),ISNUMBER(EG20)),ROUND((EG20-MAX(EG19,0))*10,1),"")</f>
        <v/>
      </c>
      <c r="EH21" s="50" t="n">
        <f aca="false">IF(AND(ISNUMBER(EH12),ISNUMBER(EH19),ISNUMBER(EH20)),ROUND((EH20-MAX(EH19,0))*10,1),"")</f>
        <v>14</v>
      </c>
      <c r="EI21" s="50" t="str">
        <f aca="false">IF(AND(ISNUMBER(EI12),ISNUMBER(EI19),ISNUMBER(EI20)),ROUND((EI20-MAX(EI19,0))*10,1),"")</f>
        <v/>
      </c>
      <c r="EJ21" s="50" t="n">
        <f aca="false">IF(AND(ISNUMBER(EJ12),ISNUMBER(EJ19),ISNUMBER(EJ20)),ROUND((EJ20-MAX(EJ19,0))*10,1),"")</f>
        <v>25</v>
      </c>
      <c r="EK21" s="50" t="str">
        <f aca="false">IF(AND(ISNUMBER(EK12),ISNUMBER(EK19),ISNUMBER(EK20)),ROUND((EK20-MAX(EK19,0))*10,1),"")</f>
        <v/>
      </c>
      <c r="EL21" s="50" t="str">
        <f aca="false">IF(AND(ISNUMBER(EL12),ISNUMBER(EL19),ISNUMBER(EL20)),ROUND((EL20-MAX(EL19,0))*10,1),"")</f>
        <v/>
      </c>
      <c r="EM21" s="50" t="str">
        <f aca="false">IF(AND(ISNUMBER(EM12),ISNUMBER(EM19),ISNUMBER(EM20)),ROUND((EM20-MAX(EM19,0))*10,1),"")</f>
        <v/>
      </c>
      <c r="EN21" s="50" t="str">
        <f aca="false">IF(AND(ISNUMBER(EN12),ISNUMBER(EN19),ISNUMBER(EN20)),ROUND((EN20-MAX(EN19,0))*10,1),"")</f>
        <v/>
      </c>
      <c r="EO21" s="50" t="str">
        <f aca="false">IF(AND(ISNUMBER(EO12),ISNUMBER(EO19),ISNUMBER(EO20)),ROUND((EO20-MAX(EO19,0))*10,1),"")</f>
        <v/>
      </c>
      <c r="EP21" s="50" t="n">
        <f aca="false">IF(AND(ISNUMBER(EP12),ISNUMBER(EP19),ISNUMBER(EP20)),ROUND((EP20-MAX(EP19,0))*10,1),"")</f>
        <v>15</v>
      </c>
      <c r="EQ21" s="50" t="str">
        <f aca="false">IF(AND(ISNUMBER(EQ12),ISNUMBER(EQ19),ISNUMBER(EQ20)),ROUND((EQ20-MAX(EQ19,0))*10,1),"")</f>
        <v/>
      </c>
      <c r="ER21" s="50" t="str">
        <f aca="false">IF(AND(ISNUMBER(ER12),ISNUMBER(ER19),ISNUMBER(ER20)),ROUND((ER20-MAX(ER19,0))*10,1),"")</f>
        <v/>
      </c>
      <c r="ES21" s="50" t="str">
        <f aca="false">IF(AND(ISNUMBER(ES12),ISNUMBER(ES19),ISNUMBER(ES20)),ROUND((ES20-MAX(ES19,0))*10,1),"")</f>
        <v/>
      </c>
      <c r="ET21" s="50" t="str">
        <f aca="false">IF(AND(ISNUMBER(ET12),ISNUMBER(ET19),ISNUMBER(ET20)),ROUND((ET20-MAX(ET19,0))*10,1),"")</f>
        <v/>
      </c>
      <c r="EU21" s="50" t="str">
        <f aca="false">IF(AND(ISNUMBER(EU12),ISNUMBER(EU19),ISNUMBER(EU20)),ROUND((EU20-MAX(EU19,0))*10,1),"")</f>
        <v/>
      </c>
      <c r="EV21" s="50" t="str">
        <f aca="false">IF(AND(ISNUMBER(EV12),ISNUMBER(EV19),ISNUMBER(EV20)),ROUND((EV20-MAX(EV19,0))*10,1),"")</f>
        <v/>
      </c>
      <c r="EW21" s="50" t="str">
        <f aca="false">IF(AND(ISNUMBER(EW12),ISNUMBER(EW19),ISNUMBER(EW20)),ROUND((EW20-MAX(EW19,0))*10,1),"")</f>
        <v/>
      </c>
      <c r="EX21" s="50" t="str">
        <f aca="false">IF(AND(ISNUMBER(EX12),ISNUMBER(EX19),ISNUMBER(EX20)),ROUND((EX20-MAX(EX19,0))*10,1),"")</f>
        <v/>
      </c>
      <c r="EY21" s="50" t="str">
        <f aca="false">IF(AND(ISNUMBER(EY12),ISNUMBER(EY19),ISNUMBER(EY20)),ROUND((EY20-MAX(EY19,0))*10,1),"")</f>
        <v/>
      </c>
      <c r="EZ21" s="50" t="str">
        <f aca="false">IF(AND(ISNUMBER(EZ12),ISNUMBER(EZ19),ISNUMBER(EZ20)),ROUND((EZ20-MAX(EZ19,0))*10,1),"")</f>
        <v/>
      </c>
      <c r="FA21" s="50" t="str">
        <f aca="false">IF(AND(ISNUMBER(FA12),ISNUMBER(FA19),ISNUMBER(FA20)),ROUND((FA20-MAX(FA19,0))*10,1),"")</f>
        <v/>
      </c>
      <c r="FB21" s="50" t="str">
        <f aca="false">IF(AND(ISNUMBER(FB12),ISNUMBER(FB19),ISNUMBER(FB20)),ROUND((FB20-MAX(FB19,0))*10,1),"")</f>
        <v/>
      </c>
      <c r="FC21" s="50" t="str">
        <f aca="false">IF(AND(ISNUMBER(FC12),ISNUMBER(FC19),ISNUMBER(FC20)),ROUND((FC20-MAX(FC19,0))*10,1),"")</f>
        <v/>
      </c>
      <c r="FD21" s="50" t="str">
        <f aca="false">IF(AND(ISNUMBER(FD12),ISNUMBER(FD19),ISNUMBER(FD20)),ROUND((FD20-MAX(FD19,0))*10,1),"")</f>
        <v/>
      </c>
      <c r="FE21" s="50" t="str">
        <f aca="false">IF(AND(ISNUMBER(FE12),ISNUMBER(FE19),ISNUMBER(FE20)),ROUND((FE20-MAX(FE19,0))*10,1),"")</f>
        <v/>
      </c>
      <c r="FF21" s="50" t="str">
        <f aca="false">IF(AND(ISNUMBER(FF12),ISNUMBER(FF19),ISNUMBER(FF20)),ROUND((FF20-MAX(FF19,0))*10,1),"")</f>
        <v/>
      </c>
      <c r="FG21" s="50" t="str">
        <f aca="false">IF(AND(ISNUMBER(FG12),ISNUMBER(FG19),ISNUMBER(FG20)),ROUND((FG20-MAX(FG19,0))*10,1),"")</f>
        <v/>
      </c>
      <c r="FH21" s="50" t="str">
        <f aca="false">IF(AND(ISNUMBER(FH12),ISNUMBER(FH19),ISNUMBER(FH20)),ROUND((FH20-MAX(FH19,0))*10,1),"")</f>
        <v/>
      </c>
      <c r="FI21" s="50" t="str">
        <f aca="false">IF(AND(ISNUMBER(FI12),ISNUMBER(FI19),ISNUMBER(FI20)),ROUND((FI20-MAX(FI19,0))*10,1),"")</f>
        <v/>
      </c>
      <c r="FJ21" s="50" t="str">
        <f aca="false">IF(AND(ISNUMBER(FJ12),ISNUMBER(FJ19),ISNUMBER(FJ20)),ROUND((FJ20-MAX(FJ19,0))*10,1),"")</f>
        <v/>
      </c>
      <c r="FK21" s="50" t="str">
        <f aca="false">IF(AND(ISNUMBER(FK12),ISNUMBER(FK19),ISNUMBER(FK20)),ROUND((FK20-MAX(FK19,0))*10,1),"")</f>
        <v/>
      </c>
      <c r="FL21" s="50" t="str">
        <f aca="false">IF(AND(ISNUMBER(FL12),ISNUMBER(FL19),ISNUMBER(FL20)),ROUND((FL20-MAX(FL19,0))*10,1),"")</f>
        <v/>
      </c>
      <c r="FM21" s="50" t="str">
        <f aca="false">IF(AND(ISNUMBER(FM12),ISNUMBER(FM19),ISNUMBER(FM20)),ROUND((FM20-MAX(FM19,0))*10,1),"")</f>
        <v/>
      </c>
      <c r="FN21" s="50" t="str">
        <f aca="false">IF(AND(ISNUMBER(FN12),ISNUMBER(FN19),ISNUMBER(FN20)),ROUND((FN20-MAX(FN19,0))*10,1),"")</f>
        <v/>
      </c>
      <c r="FO21" s="50" t="str">
        <f aca="false">IF(AND(ISNUMBER(FO12),ISNUMBER(FO19),ISNUMBER(FO20)),ROUND((FO20-MAX(FO19,0))*10,1),"")</f>
        <v/>
      </c>
      <c r="FP21" s="50" t="str">
        <f aca="false">IF(AND(ISNUMBER(FP12),ISNUMBER(FP19),ISNUMBER(FP20)),ROUND((FP20-MAX(FP19,0))*10,1),"")</f>
        <v/>
      </c>
      <c r="FQ21" s="50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317</v>
      </c>
      <c r="B22" s="17" t="s">
        <v>404</v>
      </c>
      <c r="C22" s="48" t="n">
        <f aca="false">IF(COUNT($D$22:$FQ$22)=0,"",MAX($D$22:$FQ$22))</f>
        <v>403</v>
      </c>
      <c r="D22" s="50" t="str">
        <f aca="false">IF(D13="","",ROUND(SUM($D$21:D21),1))</f>
        <v/>
      </c>
      <c r="E22" s="50" t="str">
        <f aca="false">IF(E13="","",ROUND(SUM($D$21:E21),1))</f>
        <v/>
      </c>
      <c r="F22" s="50" t="str">
        <f aca="false">IF(F13="","",ROUND(SUM($D$21:F21),1))</f>
        <v/>
      </c>
      <c r="G22" s="50" t="str">
        <f aca="false">IF(G13="","",ROUND(SUM($D$21:G21),1))</f>
        <v/>
      </c>
      <c r="H22" s="50" t="str">
        <f aca="false">IF(H13="","",ROUND(SUM($D$21:H21),1))</f>
        <v/>
      </c>
      <c r="I22" s="50" t="str">
        <f aca="false">IF(I13="","",ROUND(SUM($D$21:I21),1))</f>
        <v/>
      </c>
      <c r="J22" s="50" t="str">
        <f aca="false">IF(J13="","",ROUND(SUM($D$21:J21),1))</f>
        <v/>
      </c>
      <c r="K22" s="50" t="str">
        <f aca="false">IF(K13="","",ROUND(SUM($D$21:K21),1))</f>
        <v/>
      </c>
      <c r="L22" s="50" t="str">
        <f aca="false">IF(L13="","",ROUND(SUM($D$21:L21),1))</f>
        <v/>
      </c>
      <c r="M22" s="50" t="str">
        <f aca="false">IF(M13="","",ROUND(SUM($D$21:M21),1))</f>
        <v/>
      </c>
      <c r="N22" s="50" t="str">
        <f aca="false">IF(N13="","",ROUND(SUM($D$21:N21),1))</f>
        <v/>
      </c>
      <c r="O22" s="50" t="str">
        <f aca="false">IF(O13="","",ROUND(SUM($D$21:O21),1))</f>
        <v/>
      </c>
      <c r="P22" s="50" t="str">
        <f aca="false">IF(P13="","",ROUND(SUM($D$21:P21),1))</f>
        <v/>
      </c>
      <c r="Q22" s="50" t="str">
        <f aca="false">IF(Q13="","",ROUND(SUM($D$21:Q21),1))</f>
        <v/>
      </c>
      <c r="R22" s="50" t="str">
        <f aca="false">IF(R13="","",ROUND(SUM($D$21:R21),1))</f>
        <v/>
      </c>
      <c r="S22" s="50" t="str">
        <f aca="false">IF(S13="","",ROUND(SUM($D$21:S21),1))</f>
        <v/>
      </c>
      <c r="T22" s="50" t="str">
        <f aca="false">IF(T13="","",ROUND(SUM($D$21:T21),1))</f>
        <v/>
      </c>
      <c r="U22" s="50" t="str">
        <f aca="false">IF(U13="","",ROUND(SUM($D$21:U21),1))</f>
        <v/>
      </c>
      <c r="V22" s="50" t="str">
        <f aca="false">IF(V13="","",ROUND(SUM($D$21:V21),1))</f>
        <v/>
      </c>
      <c r="W22" s="50" t="str">
        <f aca="false">IF(W13="","",ROUND(SUM($D$21:W21),1))</f>
        <v/>
      </c>
      <c r="X22" s="50" t="str">
        <f aca="false">IF(X13="","",ROUND(SUM($D$21:X21),1))</f>
        <v/>
      </c>
      <c r="Y22" s="50" t="str">
        <f aca="false">IF(Y13="","",ROUND(SUM($D$21:Y21),1))</f>
        <v/>
      </c>
      <c r="Z22" s="50" t="str">
        <f aca="false">IF(Z13="","",ROUND(SUM($D$21:Z21),1))</f>
        <v/>
      </c>
      <c r="AA22" s="50" t="str">
        <f aca="false">IF(AA13="","",ROUND(SUM($D$21:AA21),1))</f>
        <v/>
      </c>
      <c r="AB22" s="50" t="str">
        <f aca="false">IF(AB13="","",ROUND(SUM($D$21:AB21),1))</f>
        <v/>
      </c>
      <c r="AC22" s="50" t="str">
        <f aca="false">IF(AC13="","",ROUND(SUM($D$21:AC21),1))</f>
        <v/>
      </c>
      <c r="AD22" s="50" t="str">
        <f aca="false">IF(AD13="","",ROUND(SUM($D$21:AD21),1))</f>
        <v/>
      </c>
      <c r="AE22" s="50" t="str">
        <f aca="false">IF(AE13="","",ROUND(SUM($D$21:AE21),1))</f>
        <v/>
      </c>
      <c r="AF22" s="50" t="str">
        <f aca="false">IF(AF13="","",ROUND(SUM($D$21:AF21),1))</f>
        <v/>
      </c>
      <c r="AG22" s="50" t="str">
        <f aca="false">IF(AG13="","",ROUND(SUM($D$21:AG21),1))</f>
        <v/>
      </c>
      <c r="AH22" s="50" t="str">
        <f aca="false">IF(AH13="","",ROUND(SUM($D$21:AH21),1))</f>
        <v/>
      </c>
      <c r="AI22" s="50" t="str">
        <f aca="false">IF(AI13="","",ROUND(SUM($D$21:AI21),1))</f>
        <v/>
      </c>
      <c r="AJ22" s="50" t="str">
        <f aca="false">IF(AJ13="","",ROUND(SUM($D$21:AJ21),1))</f>
        <v/>
      </c>
      <c r="AK22" s="50" t="str">
        <f aca="false">IF(AK13="","",ROUND(SUM($D$21:AK21),1))</f>
        <v/>
      </c>
      <c r="AL22" s="50" t="str">
        <f aca="false">IF(AL13="","",ROUND(SUM($D$21:AL21),1))</f>
        <v/>
      </c>
      <c r="AM22" s="50" t="str">
        <f aca="false">IF(AM13="","",ROUND(SUM($D$21:AM21),1))</f>
        <v/>
      </c>
      <c r="AN22" s="50" t="str">
        <f aca="false">IF(AN13="","",ROUND(SUM($D$21:AN21),1))</f>
        <v/>
      </c>
      <c r="AO22" s="50" t="str">
        <f aca="false">IF(AO13="","",ROUND(SUM($D$21:AO21),1))</f>
        <v/>
      </c>
      <c r="AP22" s="50" t="str">
        <f aca="false">IF(AP13="","",ROUND(SUM($D$21:AP21),1))</f>
        <v/>
      </c>
      <c r="AQ22" s="50" t="str">
        <f aca="false">IF(AQ13="","",ROUND(SUM($D$21:AQ21),1))</f>
        <v/>
      </c>
      <c r="AR22" s="50" t="str">
        <f aca="false">IF(AR13="","",ROUND(SUM($D$21:AR21),1))</f>
        <v/>
      </c>
      <c r="AS22" s="50" t="str">
        <f aca="false">IF(AS13="","",ROUND(SUM($D$21:AS21),1))</f>
        <v/>
      </c>
      <c r="AT22" s="50" t="str">
        <f aca="false">IF(AT13="","",ROUND(SUM($D$21:AT21),1))</f>
        <v/>
      </c>
      <c r="AU22" s="50" t="str">
        <f aca="false">IF(AU13="","",ROUND(SUM($D$21:AU21),1))</f>
        <v/>
      </c>
      <c r="AV22" s="50" t="str">
        <f aca="false">IF(AV13="","",ROUND(SUM($D$21:AV21),1))</f>
        <v/>
      </c>
      <c r="AW22" s="50" t="str">
        <f aca="false">IF(AW13="","",ROUND(SUM($D$21:AW21),1))</f>
        <v/>
      </c>
      <c r="AX22" s="50" t="str">
        <f aca="false">IF(AX13="","",ROUND(SUM($D$21:AX21),1))</f>
        <v/>
      </c>
      <c r="AY22" s="50" t="str">
        <f aca="false">IF(AY13="","",ROUND(SUM($D$21:AY21),1))</f>
        <v/>
      </c>
      <c r="AZ22" s="50" t="str">
        <f aca="false">IF(AZ13="","",ROUND(SUM($D$21:AZ21),1))</f>
        <v/>
      </c>
      <c r="BA22" s="50" t="str">
        <f aca="false">IF(BA13="","",ROUND(SUM($D$21:BA21),1))</f>
        <v/>
      </c>
      <c r="BB22" s="50" t="str">
        <f aca="false">IF(BB13="","",ROUND(SUM($D$21:BB21),1))</f>
        <v/>
      </c>
      <c r="BC22" s="50" t="str">
        <f aca="false">IF(BC13="","",ROUND(SUM($D$21:BC21),1))</f>
        <v/>
      </c>
      <c r="BD22" s="50" t="n">
        <f aca="false">IF(BD13="","",ROUND(SUM($D$21:BD21),1))</f>
        <v>0</v>
      </c>
      <c r="BE22" s="50" t="n">
        <f aca="false">IF(BE13="","",ROUND(SUM($D$21:BE21),1))</f>
        <v>7</v>
      </c>
      <c r="BF22" s="50" t="n">
        <f aca="false">IF(BF13="","",ROUND(SUM($D$21:BF21),1))</f>
        <v>7</v>
      </c>
      <c r="BG22" s="50" t="n">
        <f aca="false">IF(BG13="","",ROUND(SUM($D$21:BG21),1))</f>
        <v>32</v>
      </c>
      <c r="BH22" s="50" t="n">
        <f aca="false">IF(BH13="","",ROUND(SUM($D$21:BH21),1))</f>
        <v>32</v>
      </c>
      <c r="BI22" s="50" t="n">
        <f aca="false">IF(BI13="","",ROUND(SUM($D$21:BI21),1))</f>
        <v>32</v>
      </c>
      <c r="BJ22" s="50" t="n">
        <f aca="false">IF(BJ13="","",ROUND(SUM($D$21:BJ21),1))</f>
        <v>32</v>
      </c>
      <c r="BK22" s="50" t="n">
        <f aca="false">IF(BK13="","",ROUND(SUM($D$21:BK21),1))</f>
        <v>51</v>
      </c>
      <c r="BL22" s="50" t="n">
        <f aca="false">IF(BL13="","",ROUND(SUM($D$21:BL21),1))</f>
        <v>51</v>
      </c>
      <c r="BM22" s="50" t="n">
        <f aca="false">IF(BM13="","",ROUND(SUM($D$21:BM21),1))</f>
        <v>51</v>
      </c>
      <c r="BN22" s="50" t="n">
        <f aca="false">IF(BN13="","",ROUND(SUM($D$21:BN21),1))</f>
        <v>51</v>
      </c>
      <c r="BO22" s="50" t="n">
        <f aca="false">IF(BO13="","",ROUND(SUM($D$21:BO21),1))</f>
        <v>51</v>
      </c>
      <c r="BP22" s="50" t="n">
        <f aca="false">IF(BP13="","",ROUND(SUM($D$21:BP21),1))</f>
        <v>68</v>
      </c>
      <c r="BQ22" s="50" t="n">
        <f aca="false">IF(BQ13="","",ROUND(SUM($D$21:BQ21),1))</f>
        <v>68</v>
      </c>
      <c r="BR22" s="50" t="n">
        <f aca="false">IF(BR13="","",ROUND(SUM($D$21:BR21),1))</f>
        <v>68</v>
      </c>
      <c r="BS22" s="50" t="n">
        <f aca="false">IF(BS13="","",ROUND(SUM($D$21:BS21),1))</f>
        <v>68</v>
      </c>
      <c r="BT22" s="50" t="n">
        <f aca="false">IF(BT13="","",ROUND(SUM($D$21:BT21),1))</f>
        <v>68</v>
      </c>
      <c r="BU22" s="50" t="n">
        <f aca="false">IF(BU13="","",ROUND(SUM($D$21:BU21),1))</f>
        <v>68</v>
      </c>
      <c r="BV22" s="50" t="n">
        <f aca="false">IF(BV13="","",ROUND(SUM($D$21:BV21),1))</f>
        <v>68</v>
      </c>
      <c r="BW22" s="50" t="n">
        <f aca="false">IF(BW13="","",ROUND(SUM($D$21:BW21),1))</f>
        <v>96</v>
      </c>
      <c r="BX22" s="50" t="n">
        <f aca="false">IF(BX13="","",ROUND(SUM($D$21:BX21),1))</f>
        <v>96</v>
      </c>
      <c r="BY22" s="50" t="n">
        <f aca="false">IF(BY13="","",ROUND(SUM($D$21:BY21),1))</f>
        <v>96</v>
      </c>
      <c r="BZ22" s="50" t="n">
        <f aca="false">IF(BZ13="","",ROUND(SUM($D$21:BZ21),1))</f>
        <v>96</v>
      </c>
      <c r="CA22" s="50" t="str">
        <f aca="false">IF(CA13="","",ROUND(SUM($D$21:CA21),1))</f>
        <v/>
      </c>
      <c r="CB22" s="50" t="n">
        <f aca="false">IF(CB13="","",ROUND(SUM($D$21:CB21),1))</f>
        <v>96</v>
      </c>
      <c r="CC22" s="50" t="n">
        <f aca="false">IF(CC13="","",ROUND(SUM($D$21:CC21),1))</f>
        <v>96</v>
      </c>
      <c r="CD22" s="50" t="n">
        <f aca="false">IF(CD13="","",ROUND(SUM($D$21:CD21),1))</f>
        <v>120</v>
      </c>
      <c r="CE22" s="50" t="n">
        <f aca="false">IF(CE13="","",ROUND(SUM($D$21:CE21),1))</f>
        <v>120</v>
      </c>
      <c r="CF22" s="50" t="n">
        <f aca="false">IF(CF13="","",ROUND(SUM($D$21:CF21),1))</f>
        <v>120</v>
      </c>
      <c r="CG22" s="50" t="n">
        <f aca="false">IF(CG13="","",ROUND(SUM($D$21:CG21),1))</f>
        <v>120</v>
      </c>
      <c r="CH22" s="50" t="n">
        <f aca="false">IF(CH13="","",ROUND(SUM($D$21:CH21),1))</f>
        <v>151</v>
      </c>
      <c r="CI22" s="50" t="n">
        <f aca="false">IF(CI13="","",ROUND(SUM($D$21:CI21),1))</f>
        <v>151</v>
      </c>
      <c r="CJ22" s="50" t="n">
        <f aca="false">IF(CJ13="","",ROUND(SUM($D$21:CJ21),1))</f>
        <v>151</v>
      </c>
      <c r="CK22" s="50" t="n">
        <f aca="false">IF(CK13="","",ROUND(SUM($D$21:CK21),1))</f>
        <v>151</v>
      </c>
      <c r="CL22" s="50" t="n">
        <f aca="false">IF(CL13="","",ROUND(SUM($D$21:CL21),1))</f>
        <v>151</v>
      </c>
      <c r="CM22" s="50" t="n">
        <f aca="false">IF(CM13="","",ROUND(SUM($D$21:CM21),1))</f>
        <v>151</v>
      </c>
      <c r="CN22" s="50" t="n">
        <f aca="false">IF(CN13="","",ROUND(SUM($D$21:CN21),1))</f>
        <v>151</v>
      </c>
      <c r="CO22" s="50" t="n">
        <f aca="false">IF(CO13="","",ROUND(SUM($D$21:CO21),1))</f>
        <v>151</v>
      </c>
      <c r="CP22" s="50" t="n">
        <f aca="false">IF(CP13="","",ROUND(SUM($D$21:CP21),1))</f>
        <v>151</v>
      </c>
      <c r="CQ22" s="50" t="n">
        <f aca="false">IF(CQ13="","",ROUND(SUM($D$21:CQ21),1))</f>
        <v>151</v>
      </c>
      <c r="CR22" s="50" t="n">
        <f aca="false">IF(CR13="","",ROUND(SUM($D$21:CR21),1))</f>
        <v>151</v>
      </c>
      <c r="CS22" s="50" t="n">
        <f aca="false">IF(CS13="","",ROUND(SUM($D$21:CS21),1))</f>
        <v>151</v>
      </c>
      <c r="CT22" s="50" t="n">
        <f aca="false">IF(CT13="","",ROUND(SUM($D$21:CT21),1))</f>
        <v>151</v>
      </c>
      <c r="CU22" s="50" t="n">
        <f aca="false">IF(CU13="","",ROUND(SUM($D$21:CU21),1))</f>
        <v>151</v>
      </c>
      <c r="CV22" s="50" t="n">
        <f aca="false">IF(CV13="","",ROUND(SUM($D$21:CV21),1))</f>
        <v>151</v>
      </c>
      <c r="CW22" s="50" t="n">
        <f aca="false">IF(CW13="","",ROUND(SUM($D$21:CW21),1))</f>
        <v>166</v>
      </c>
      <c r="CX22" s="50" t="n">
        <f aca="false">IF(CX13="","",ROUND(SUM($D$21:CX21),1))</f>
        <v>166</v>
      </c>
      <c r="CY22" s="50" t="n">
        <f aca="false">IF(CY13="","",ROUND(SUM($D$21:CY21),1))</f>
        <v>166</v>
      </c>
      <c r="CZ22" s="50" t="n">
        <f aca="false">IF(CZ13="","",ROUND(SUM($D$21:CZ21),1))</f>
        <v>184</v>
      </c>
      <c r="DA22" s="50" t="n">
        <f aca="false">IF(DA13="","",ROUND(SUM($D$21:DA21),1))</f>
        <v>184</v>
      </c>
      <c r="DB22" s="50" t="n">
        <f aca="false">IF(DB13="","",ROUND(SUM($D$21:DB21),1))</f>
        <v>184</v>
      </c>
      <c r="DC22" s="50" t="n">
        <f aca="false">IF(DC13="","",ROUND(SUM($D$21:DC21),1))</f>
        <v>214</v>
      </c>
      <c r="DD22" s="50" t="n">
        <f aca="false">IF(DD13="","",ROUND(SUM($D$21:DD21),1))</f>
        <v>214</v>
      </c>
      <c r="DE22" s="50" t="n">
        <f aca="false">IF(DE13="","",ROUND(SUM($D$21:DE21),1))</f>
        <v>214</v>
      </c>
      <c r="DF22" s="50" t="n">
        <f aca="false">IF(DF13="","",ROUND(SUM($D$21:DF21),1))</f>
        <v>214</v>
      </c>
      <c r="DG22" s="50" t="n">
        <f aca="false">IF(DG13="","",ROUND(SUM($D$21:DG21),1))</f>
        <v>214</v>
      </c>
      <c r="DH22" s="50" t="n">
        <f aca="false">IF(DH13="","",ROUND(SUM($D$21:DH21),1))</f>
        <v>214</v>
      </c>
      <c r="DI22" s="50" t="n">
        <f aca="false">IF(DI13="","",ROUND(SUM($D$21:DI21),1))</f>
        <v>238</v>
      </c>
      <c r="DJ22" s="50" t="n">
        <f aca="false">IF(DJ13="","",ROUND(SUM($D$21:DJ21),1))</f>
        <v>258</v>
      </c>
      <c r="DK22" s="50" t="n">
        <f aca="false">IF(DK13="","",ROUND(SUM($D$21:DK21),1))</f>
        <v>258</v>
      </c>
      <c r="DL22" s="50" t="str">
        <f aca="false">IF(DL13="","",ROUND(SUM($D$21:DL21),1))</f>
        <v/>
      </c>
      <c r="DM22" s="50" t="n">
        <f aca="false">IF(DM13="","",ROUND(SUM($D$21:DM21),1))</f>
        <v>266</v>
      </c>
      <c r="DN22" s="50" t="n">
        <f aca="false">IF(DN13="","",ROUND(SUM($D$21:DN21),1))</f>
        <v>266</v>
      </c>
      <c r="DO22" s="50" t="n">
        <f aca="false">IF(DO13="","",ROUND(SUM($D$21:DO21),1))</f>
        <v>286</v>
      </c>
      <c r="DP22" s="50" t="n">
        <f aca="false">IF(DP13="","",ROUND(SUM($D$21:DP21),1))</f>
        <v>286</v>
      </c>
      <c r="DQ22" s="50" t="n">
        <f aca="false">IF(DQ13="","",ROUND(SUM($D$21:DQ21),1))</f>
        <v>286</v>
      </c>
      <c r="DR22" s="50" t="n">
        <f aca="false">IF(DR13="","",ROUND(SUM($D$21:DR21),1))</f>
        <v>293</v>
      </c>
      <c r="DS22" s="50" t="n">
        <f aca="false">IF(DS13="","",ROUND(SUM($D$21:DS21),1))</f>
        <v>293</v>
      </c>
      <c r="DT22" s="50" t="n">
        <f aca="false">IF(DT13="","",ROUND(SUM($D$21:DT21),1))</f>
        <v>313</v>
      </c>
      <c r="DU22" s="50" t="n">
        <f aca="false">IF(DU13="","",ROUND(SUM($D$21:DU21),1))</f>
        <v>313</v>
      </c>
      <c r="DV22" s="50" t="n">
        <f aca="false">IF(DV13="","",ROUND(SUM($D$21:DV21),1))</f>
        <v>313</v>
      </c>
      <c r="DW22" s="50" t="n">
        <f aca="false">IF(DW13="","",ROUND(SUM($D$21:DW21),1))</f>
        <v>328</v>
      </c>
      <c r="DX22" s="50" t="n">
        <f aca="false">IF(DX13="","",ROUND(SUM($D$21:DX21),1))</f>
        <v>328</v>
      </c>
      <c r="DY22" s="50" t="n">
        <f aca="false">IF(DY13="","",ROUND(SUM($D$21:DY21),1))</f>
        <v>328</v>
      </c>
      <c r="DZ22" s="50" t="n">
        <f aca="false">IF(DZ13="","",ROUND(SUM($D$21:DZ21),1))</f>
        <v>328</v>
      </c>
      <c r="EA22" s="50" t="n">
        <f aca="false">IF(EA13="","",ROUND(SUM($D$21:EA21),1))</f>
        <v>349</v>
      </c>
      <c r="EB22" s="50" t="n">
        <f aca="false">IF(EB13="","",ROUND(SUM($D$21:EB21),1))</f>
        <v>349</v>
      </c>
      <c r="EC22" s="50" t="n">
        <f aca="false">IF(EC13="","",ROUND(SUM($D$21:EC21),1))</f>
        <v>349</v>
      </c>
      <c r="ED22" s="50" t="n">
        <f aca="false">IF(ED13="","",ROUND(SUM($D$21:ED21),1))</f>
        <v>349</v>
      </c>
      <c r="EE22" s="50" t="n">
        <f aca="false">IF(EE13="","",ROUND(SUM($D$21:EE21),1))</f>
        <v>349</v>
      </c>
      <c r="EF22" s="50" t="n">
        <f aca="false">IF(EF13="","",ROUND(SUM($D$21:EF21),1))</f>
        <v>349</v>
      </c>
      <c r="EG22" s="50" t="n">
        <f aca="false">IF(EG13="","",ROUND(SUM($D$21:EG21),1))</f>
        <v>349</v>
      </c>
      <c r="EH22" s="50" t="n">
        <f aca="false">IF(EH13="","",ROUND(SUM($D$21:EH21),1))</f>
        <v>363</v>
      </c>
      <c r="EI22" s="50" t="n">
        <f aca="false">IF(EI13="","",ROUND(SUM($D$21:EI21),1))</f>
        <v>363</v>
      </c>
      <c r="EJ22" s="50" t="n">
        <f aca="false">IF(EJ13="","",ROUND(SUM($D$21:EJ21),1))</f>
        <v>388</v>
      </c>
      <c r="EK22" s="50" t="n">
        <f aca="false">IF(EK13="","",ROUND(SUM($D$21:EK21),1))</f>
        <v>388</v>
      </c>
      <c r="EL22" s="50" t="n">
        <f aca="false">IF(EL13="","",ROUND(SUM($D$21:EL21),1))</f>
        <v>388</v>
      </c>
      <c r="EM22" s="50" t="n">
        <f aca="false">IF(EM13="","",ROUND(SUM($D$21:EM21),1))</f>
        <v>388</v>
      </c>
      <c r="EN22" s="50" t="n">
        <f aca="false">IF(EN13="","",ROUND(SUM($D$21:EN21),1))</f>
        <v>388</v>
      </c>
      <c r="EO22" s="50" t="n">
        <f aca="false">IF(EO13="","",ROUND(SUM($D$21:EO21),1))</f>
        <v>388</v>
      </c>
      <c r="EP22" s="50" t="n">
        <f aca="false">IF(EP13="","",ROUND(SUM($D$21:EP21),1))</f>
        <v>403</v>
      </c>
      <c r="EQ22" s="50" t="n">
        <f aca="false">IF(EQ13="","",ROUND(SUM($D$21:EQ21),1))</f>
        <v>403</v>
      </c>
      <c r="ER22" s="50" t="n">
        <f aca="false">IF(ER13="","",ROUND(SUM($D$21:ER21),1))</f>
        <v>403</v>
      </c>
      <c r="ES22" s="50" t="n">
        <f aca="false">IF(ES13="","",ROUND(SUM($D$21:ES21),1))</f>
        <v>403</v>
      </c>
      <c r="ET22" s="50" t="n">
        <f aca="false">IF(ET13="","",ROUND(SUM($D$21:ET21),1))</f>
        <v>403</v>
      </c>
      <c r="EU22" s="50" t="str">
        <f aca="false">IF(EU13="","",ROUND(SUM($D$21:EU21),1))</f>
        <v/>
      </c>
      <c r="EV22" s="50" t="str">
        <f aca="false">IF(EV13="","",ROUND(SUM($D$21:EV21),1))</f>
        <v/>
      </c>
      <c r="EW22" s="50" t="str">
        <f aca="false">IF(EW13="","",ROUND(SUM($D$21:EW21),1))</f>
        <v/>
      </c>
      <c r="EX22" s="50" t="str">
        <f aca="false">IF(EX13="","",ROUND(SUM($D$21:EX21),1))</f>
        <v/>
      </c>
      <c r="EY22" s="50" t="str">
        <f aca="false">IF(EY13="","",ROUND(SUM($D$21:EY21),1))</f>
        <v/>
      </c>
      <c r="EZ22" s="50" t="str">
        <f aca="false">IF(EZ13="","",ROUND(SUM($D$21:EZ21),1))</f>
        <v/>
      </c>
      <c r="FA22" s="50" t="str">
        <f aca="false">IF(FA13="","",ROUND(SUM($D$21:FA21),1))</f>
        <v/>
      </c>
      <c r="FB22" s="50" t="str">
        <f aca="false">IF(FB13="","",ROUND(SUM($D$21:FB21),1))</f>
        <v/>
      </c>
      <c r="FC22" s="50" t="str">
        <f aca="false">IF(FC13="","",ROUND(SUM($D$21:FC21),1))</f>
        <v/>
      </c>
      <c r="FD22" s="50" t="str">
        <f aca="false">IF(FD13="","",ROUND(SUM($D$21:FD21),1))</f>
        <v/>
      </c>
      <c r="FE22" s="50" t="str">
        <f aca="false">IF(FE13="","",ROUND(SUM($D$21:FE21),1))</f>
        <v/>
      </c>
      <c r="FF22" s="50" t="str">
        <f aca="false">IF(FF13="","",ROUND(SUM($D$21:FF21),1))</f>
        <v/>
      </c>
      <c r="FG22" s="50" t="str">
        <f aca="false">IF(FG13="","",ROUND(SUM($D$21:FG21),1))</f>
        <v/>
      </c>
      <c r="FH22" s="50" t="str">
        <f aca="false">IF(FH13="","",ROUND(SUM($D$21:FH21),1))</f>
        <v/>
      </c>
      <c r="FI22" s="50" t="str">
        <f aca="false">IF(FI13="","",ROUND(SUM($D$21:FI21),1))</f>
        <v/>
      </c>
      <c r="FJ22" s="50" t="str">
        <f aca="false">IF(FJ13="","",ROUND(SUM($D$21:FJ21),1))</f>
        <v/>
      </c>
      <c r="FK22" s="50" t="str">
        <f aca="false">IF(FK13="","",ROUND(SUM($D$21:FK21),1))</f>
        <v/>
      </c>
      <c r="FL22" s="50" t="str">
        <f aca="false">IF(FL13="","",ROUND(SUM($D$21:FL21),1))</f>
        <v/>
      </c>
      <c r="FM22" s="50" t="str">
        <f aca="false">IF(FM13="","",ROUND(SUM($D$21:FM21),1))</f>
        <v/>
      </c>
      <c r="FN22" s="50" t="str">
        <f aca="false">IF(FN13="","",ROUND(SUM($D$21:FN21),1))</f>
        <v/>
      </c>
      <c r="FO22" s="50" t="str">
        <f aca="false">IF(FO13="","",ROUND(SUM($D$21:FO21),1))</f>
        <v/>
      </c>
      <c r="FP22" s="50" t="str">
        <f aca="false">IF(FP13="","",ROUND(SUM($D$21:FP21),1))</f>
        <v/>
      </c>
      <c r="FQ22" s="50" t="str">
        <f aca="false">IF(FQ13="","",ROUND(SUM($D$21:FQ21),1))</f>
        <v/>
      </c>
    </row>
    <row r="23" customFormat="false" ht="15" hidden="false" customHeight="false" outlineLevel="0" collapsed="false">
      <c r="A23" s="31" t="s">
        <v>317</v>
      </c>
      <c r="B23" s="17" t="s">
        <v>405</v>
      </c>
      <c r="D23" s="50" t="str">
        <f aca="false">""</f>
        <v/>
      </c>
      <c r="E23" s="50" t="str">
        <f aca="false">IF(AND(ISNUMBER(D32),ISNUMBER(E13)),ROUND((D32-E13)*10,1),"")</f>
        <v/>
      </c>
      <c r="F23" s="50" t="str">
        <f aca="false">IF(AND(ISNUMBER(E32),ISNUMBER(F13)),ROUND((E32-F13)*10,1),"")</f>
        <v/>
      </c>
      <c r="G23" s="50" t="str">
        <f aca="false">IF(AND(ISNUMBER(F32),ISNUMBER(G13)),ROUND((F32-G13)*10,1),"")</f>
        <v/>
      </c>
      <c r="H23" s="50" t="str">
        <f aca="false">IF(AND(ISNUMBER(G32),ISNUMBER(H13)),ROUND((G32-H13)*10,1),"")</f>
        <v/>
      </c>
      <c r="I23" s="50" t="str">
        <f aca="false">IF(AND(ISNUMBER(H32),ISNUMBER(I13)),ROUND((H32-I13)*10,1),"")</f>
        <v/>
      </c>
      <c r="J23" s="50" t="str">
        <f aca="false">IF(AND(ISNUMBER(I32),ISNUMBER(J13)),ROUND((I32-J13)*10,1),"")</f>
        <v/>
      </c>
      <c r="K23" s="50" t="str">
        <f aca="false">IF(AND(ISNUMBER(J32),ISNUMBER(K13)),ROUND((J32-K13)*10,1),"")</f>
        <v/>
      </c>
      <c r="L23" s="50" t="str">
        <f aca="false">IF(AND(ISNUMBER(K32),ISNUMBER(L13)),ROUND((K32-L13)*10,1),"")</f>
        <v/>
      </c>
      <c r="M23" s="50" t="str">
        <f aca="false">IF(AND(ISNUMBER(L32),ISNUMBER(M13)),ROUND((L32-M13)*10,1),"")</f>
        <v/>
      </c>
      <c r="N23" s="50" t="str">
        <f aca="false">IF(AND(ISNUMBER(M32),ISNUMBER(N13)),ROUND((M32-N13)*10,1),"")</f>
        <v/>
      </c>
      <c r="O23" s="50" t="str">
        <f aca="false">IF(AND(ISNUMBER(N32),ISNUMBER(O13)),ROUND((N32-O13)*10,1),"")</f>
        <v/>
      </c>
      <c r="P23" s="50" t="str">
        <f aca="false">IF(AND(ISNUMBER(O32),ISNUMBER(P13)),ROUND((O32-P13)*10,1),"")</f>
        <v/>
      </c>
      <c r="Q23" s="50" t="str">
        <f aca="false">IF(AND(ISNUMBER(P32),ISNUMBER(Q13)),ROUND((P32-Q13)*10,1),"")</f>
        <v/>
      </c>
      <c r="R23" s="50" t="str">
        <f aca="false">IF(AND(ISNUMBER(Q32),ISNUMBER(R13)),ROUND((Q32-R13)*10,1),"")</f>
        <v/>
      </c>
      <c r="S23" s="50" t="str">
        <f aca="false">IF(AND(ISNUMBER(R32),ISNUMBER(S13)),ROUND((R32-S13)*10,1),"")</f>
        <v/>
      </c>
      <c r="T23" s="50" t="str">
        <f aca="false">IF(AND(ISNUMBER(S32),ISNUMBER(T13)),ROUND((S32-T13)*10,1),"")</f>
        <v/>
      </c>
      <c r="U23" s="50" t="str">
        <f aca="false">IF(AND(ISNUMBER(T32),ISNUMBER(U13)),ROUND((T32-U13)*10,1),"")</f>
        <v/>
      </c>
      <c r="V23" s="50" t="str">
        <f aca="false">IF(AND(ISNUMBER(U32),ISNUMBER(V13)),ROUND((U32-V13)*10,1),"")</f>
        <v/>
      </c>
      <c r="W23" s="50" t="str">
        <f aca="false">IF(AND(ISNUMBER(V32),ISNUMBER(W13)),ROUND((V32-W13)*10,1),"")</f>
        <v/>
      </c>
      <c r="X23" s="50" t="str">
        <f aca="false">IF(AND(ISNUMBER(W32),ISNUMBER(X13)),ROUND((W32-X13)*10,1),"")</f>
        <v/>
      </c>
      <c r="Y23" s="50" t="str">
        <f aca="false">IF(AND(ISNUMBER(X32),ISNUMBER(Y13)),ROUND((X32-Y13)*10,1),"")</f>
        <v/>
      </c>
      <c r="Z23" s="50" t="str">
        <f aca="false">IF(AND(ISNUMBER(Y32),ISNUMBER(Z13)),ROUND((Y32-Z13)*10,1),"")</f>
        <v/>
      </c>
      <c r="AA23" s="50" t="str">
        <f aca="false">IF(AND(ISNUMBER(Z32),ISNUMBER(AA13)),ROUND((Z32-AA13)*10,1),"")</f>
        <v/>
      </c>
      <c r="AB23" s="50" t="str">
        <f aca="false">IF(AND(ISNUMBER(AA32),ISNUMBER(AB13)),ROUND((AA32-AB13)*10,1),"")</f>
        <v/>
      </c>
      <c r="AC23" s="50" t="str">
        <f aca="false">IF(AND(ISNUMBER(AB32),ISNUMBER(AC13)),ROUND((AB32-AC13)*10,1),"")</f>
        <v/>
      </c>
      <c r="AD23" s="50" t="str">
        <f aca="false">IF(AND(ISNUMBER(AC32),ISNUMBER(AD13)),ROUND((AC32-AD13)*10,1),"")</f>
        <v/>
      </c>
      <c r="AE23" s="50" t="str">
        <f aca="false">IF(AND(ISNUMBER(AD32),ISNUMBER(AE13)),ROUND((AD32-AE13)*10,1),"")</f>
        <v/>
      </c>
      <c r="AF23" s="50" t="str">
        <f aca="false">IF(AND(ISNUMBER(AE32),ISNUMBER(AF13)),ROUND((AE32-AF13)*10,1),"")</f>
        <v/>
      </c>
      <c r="AG23" s="50" t="str">
        <f aca="false">IF(AND(ISNUMBER(AF32),ISNUMBER(AG13)),ROUND((AF32-AG13)*10,1),"")</f>
        <v/>
      </c>
      <c r="AH23" s="50" t="str">
        <f aca="false">IF(AND(ISNUMBER(AG32),ISNUMBER(AH13)),ROUND((AG32-AH13)*10,1),"")</f>
        <v/>
      </c>
      <c r="AI23" s="50" t="str">
        <f aca="false">IF(AND(ISNUMBER(AH32),ISNUMBER(AI13)),ROUND((AH32-AI13)*10,1),"")</f>
        <v/>
      </c>
      <c r="AJ23" s="50" t="str">
        <f aca="false">IF(AND(ISNUMBER(AI32),ISNUMBER(AJ13)),ROUND((AI32-AJ13)*10,1),"")</f>
        <v/>
      </c>
      <c r="AK23" s="50" t="str">
        <f aca="false">IF(AND(ISNUMBER(AJ32),ISNUMBER(AK13)),ROUND((AJ32-AK13)*10,1),"")</f>
        <v/>
      </c>
      <c r="AL23" s="50" t="str">
        <f aca="false">IF(AND(ISNUMBER(AK32),ISNUMBER(AL13)),ROUND((AK32-AL13)*10,1),"")</f>
        <v/>
      </c>
      <c r="AM23" s="50" t="str">
        <f aca="false">IF(AND(ISNUMBER(AL32),ISNUMBER(AM13)),ROUND((AL32-AM13)*10,1),"")</f>
        <v/>
      </c>
      <c r="AN23" s="50" t="str">
        <f aca="false">IF(AND(ISNUMBER(AM32),ISNUMBER(AN13)),ROUND((AM32-AN13)*10,1),"")</f>
        <v/>
      </c>
      <c r="AO23" s="50" t="str">
        <f aca="false">IF(AND(ISNUMBER(AN32),ISNUMBER(AO13)),ROUND((AN32-AO13)*10,1),"")</f>
        <v/>
      </c>
      <c r="AP23" s="50" t="str">
        <f aca="false">IF(AND(ISNUMBER(AO32),ISNUMBER(AP13)),ROUND((AO32-AP13)*10,1),"")</f>
        <v/>
      </c>
      <c r="AQ23" s="50" t="str">
        <f aca="false">IF(AND(ISNUMBER(AP32),ISNUMBER(AQ13)),ROUND((AP32-AQ13)*10,1),"")</f>
        <v/>
      </c>
      <c r="AR23" s="50" t="str">
        <f aca="false">IF(AND(ISNUMBER(AQ32),ISNUMBER(AR13)),ROUND((AQ32-AR13)*10,1),"")</f>
        <v/>
      </c>
      <c r="AS23" s="50" t="str">
        <f aca="false">IF(AND(ISNUMBER(AR32),ISNUMBER(AS13)),ROUND((AR32-AS13)*10,1),"")</f>
        <v/>
      </c>
      <c r="AT23" s="50" t="str">
        <f aca="false">IF(AND(ISNUMBER(AS32),ISNUMBER(AT13)),ROUND((AS32-AT13)*10,1),"")</f>
        <v/>
      </c>
      <c r="AU23" s="50" t="str">
        <f aca="false">IF(AND(ISNUMBER(AT32),ISNUMBER(AU13)),ROUND((AT32-AU13)*10,1),"")</f>
        <v/>
      </c>
      <c r="AV23" s="50" t="str">
        <f aca="false">IF(AND(ISNUMBER(AU32),ISNUMBER(AV13)),ROUND((AU32-AV13)*10,1),"")</f>
        <v/>
      </c>
      <c r="AW23" s="50" t="str">
        <f aca="false">IF(AND(ISNUMBER(AV32),ISNUMBER(AW13)),ROUND((AV32-AW13)*10,1),"")</f>
        <v/>
      </c>
      <c r="AX23" s="50" t="str">
        <f aca="false">IF(AND(ISNUMBER(AW32),ISNUMBER(AX13)),ROUND((AW32-AX13)*10,1),"")</f>
        <v/>
      </c>
      <c r="AY23" s="50" t="str">
        <f aca="false">IF(AND(ISNUMBER(AX32),ISNUMBER(AY13)),ROUND((AX32-AY13)*10,1),"")</f>
        <v/>
      </c>
      <c r="AZ23" s="50" t="str">
        <f aca="false">IF(AND(ISNUMBER(AY32),ISNUMBER(AZ13)),ROUND((AY32-AZ13)*10,1),"")</f>
        <v/>
      </c>
      <c r="BA23" s="50" t="str">
        <f aca="false">IF(AND(ISNUMBER(AZ32),ISNUMBER(BA13)),ROUND((AZ32-BA13)*10,1),"")</f>
        <v/>
      </c>
      <c r="BB23" s="50" t="str">
        <f aca="false">IF(AND(ISNUMBER(BA32),ISNUMBER(BB13)),ROUND((BA32-BB13)*10,1),"")</f>
        <v/>
      </c>
      <c r="BC23" s="50" t="str">
        <f aca="false">IF(AND(ISNUMBER(BB32),ISNUMBER(BC13)),ROUND((BB32-BC13)*10,1),"")</f>
        <v/>
      </c>
      <c r="BD23" s="50" t="str">
        <f aca="false">IF(AND(ISNUMBER(BC32),ISNUMBER(BD13)),ROUND((BC32-BD13)*10,1),"")</f>
        <v/>
      </c>
      <c r="BE23" s="50" t="n">
        <f aca="false">IF(AND(ISNUMBER(BD32),ISNUMBER(BE13)),ROUND((BD32-BE13)*10,1),"")</f>
        <v>1</v>
      </c>
      <c r="BF23" s="50" t="n">
        <f aca="false">IF(AND(ISNUMBER(BE32),ISNUMBER(BF13)),ROUND((BE32-BF13)*10,1),"")</f>
        <v>1</v>
      </c>
      <c r="BG23" s="50" t="n">
        <f aca="false">IF(AND(ISNUMBER(BF32),ISNUMBER(BG13)),ROUND((BF32-BG13)*10,1),"")</f>
        <v>5</v>
      </c>
      <c r="BH23" s="50" t="n">
        <f aca="false">IF(AND(ISNUMBER(BG32),ISNUMBER(BH13)),ROUND((BG32-BH13)*10,1),"")</f>
        <v>4</v>
      </c>
      <c r="BI23" s="50" t="n">
        <f aca="false">IF(AND(ISNUMBER(BH32),ISNUMBER(BI13)),ROUND((BH32-BI13)*10,1),"")</f>
        <v>7</v>
      </c>
      <c r="BJ23" s="50" t="n">
        <f aca="false">IF(AND(ISNUMBER(BI32),ISNUMBER(BJ13)),ROUND((BI32-BJ13)*10,1),"")</f>
        <v>2</v>
      </c>
      <c r="BK23" s="50" t="n">
        <f aca="false">IF(AND(ISNUMBER(BJ32),ISNUMBER(BK13)),ROUND((BJ32-BK13)*10,1),"")</f>
        <v>7</v>
      </c>
      <c r="BL23" s="50" t="n">
        <f aca="false">IF(AND(ISNUMBER(BK32),ISNUMBER(BL13)),ROUND((BK32-BL13)*10,1),"")</f>
        <v>6</v>
      </c>
      <c r="BM23" s="50" t="n">
        <f aca="false">IF(AND(ISNUMBER(BL32),ISNUMBER(BM13)),ROUND((BL32-BM13)*10,1),"")</f>
        <v>3</v>
      </c>
      <c r="BN23" s="50" t="n">
        <f aca="false">IF(AND(ISNUMBER(BM32),ISNUMBER(BN13)),ROUND((BM32-BN13)*10,1),"")</f>
        <v>4</v>
      </c>
      <c r="BO23" s="50" t="n">
        <f aca="false">IF(AND(ISNUMBER(BN32),ISNUMBER(BO13)),ROUND((BN32-BO13)*10,1),"")</f>
        <v>6</v>
      </c>
      <c r="BP23" s="50" t="n">
        <f aca="false">IF(AND(ISNUMBER(BO32),ISNUMBER(BP13)),ROUND((BO32-BP13)*10,1),"")</f>
        <v>2</v>
      </c>
      <c r="BQ23" s="50" t="n">
        <f aca="false">IF(AND(ISNUMBER(BP32),ISNUMBER(BQ13)),ROUND((BP32-BQ13)*10,1),"")</f>
        <v>5</v>
      </c>
      <c r="BR23" s="50" t="n">
        <f aca="false">IF(AND(ISNUMBER(BQ32),ISNUMBER(BR13)),ROUND((BQ32-BR13)*10,1),"")</f>
        <v>4</v>
      </c>
      <c r="BS23" s="50" t="n">
        <f aca="false">IF(AND(ISNUMBER(BR32),ISNUMBER(BS13)),ROUND((BR32-BS13)*10,1),"")</f>
        <v>7</v>
      </c>
      <c r="BT23" s="50" t="n">
        <f aca="false">IF(AND(ISNUMBER(BS32),ISNUMBER(BT13)),ROUND((BS32-BT13)*10,1),"")</f>
        <v>2</v>
      </c>
      <c r="BU23" s="50" t="n">
        <f aca="false">IF(AND(ISNUMBER(BT32),ISNUMBER(BU13)),ROUND((BT32-BU13)*10,1),"")</f>
        <v>2</v>
      </c>
      <c r="BV23" s="50" t="n">
        <f aca="false">IF(AND(ISNUMBER(BU32),ISNUMBER(BV13)),ROUND((BU32-BV13)*10,1),"")</f>
        <v>1</v>
      </c>
      <c r="BW23" s="50" t="n">
        <f aca="false">IF(AND(ISNUMBER(BV32),ISNUMBER(BW13)),ROUND((BV32-BW13)*10,1),"")</f>
        <v>2</v>
      </c>
      <c r="BX23" s="50" t="n">
        <f aca="false">IF(AND(ISNUMBER(BW32),ISNUMBER(BX13)),ROUND((BW32-BX13)*10,1),"")</f>
        <v>9</v>
      </c>
      <c r="BY23" s="50" t="n">
        <f aca="false">IF(AND(ISNUMBER(BX32),ISNUMBER(BY13)),ROUND((BX32-BY13)*10,1),"")</f>
        <v>2</v>
      </c>
      <c r="BZ23" s="50" t="n">
        <f aca="false">IF(AND(ISNUMBER(BY32),ISNUMBER(BZ13)),ROUND((BY32-BZ13)*10,1),"")</f>
        <v>5</v>
      </c>
      <c r="CA23" s="50" t="str">
        <f aca="false">IF(AND(ISNUMBER(BZ32),ISNUMBER(CA13)),ROUND((BZ32-CA13)*10,1),"")</f>
        <v/>
      </c>
      <c r="CB23" s="50" t="str">
        <f aca="false">IF(AND(ISNUMBER(CA32),ISNUMBER(CB13)),ROUND((CA32-CB13)*10,1),"")</f>
        <v/>
      </c>
      <c r="CC23" s="50" t="n">
        <f aca="false">IF(AND(ISNUMBER(CB32),ISNUMBER(CC13)),ROUND((CB32-CC13)*10,1),"")</f>
        <v>6</v>
      </c>
      <c r="CD23" s="50" t="n">
        <f aca="false">IF(AND(ISNUMBER(CC32),ISNUMBER(CD13)),ROUND((CC32-CD13)*10,1),"")</f>
        <v>10</v>
      </c>
      <c r="CE23" s="50" t="n">
        <f aca="false">IF(AND(ISNUMBER(CD32),ISNUMBER(CE13)),ROUND((CD32-CE13)*10,1),"")</f>
        <v>4</v>
      </c>
      <c r="CF23" s="50" t="n">
        <f aca="false">IF(AND(ISNUMBER(CE32),ISNUMBER(CF13)),ROUND((CE32-CF13)*10,1),"")</f>
        <v>5</v>
      </c>
      <c r="CG23" s="50" t="n">
        <f aca="false">IF(AND(ISNUMBER(CF32),ISNUMBER(CG13)),ROUND((CF32-CG13)*10,1),"")</f>
        <v>2</v>
      </c>
      <c r="CH23" s="50" t="n">
        <f aca="false">IF(AND(ISNUMBER(CG32),ISNUMBER(CH13)),ROUND((CG32-CH13)*10,1),"")</f>
        <v>4</v>
      </c>
      <c r="CI23" s="50" t="n">
        <f aca="false">IF(AND(ISNUMBER(CH32),ISNUMBER(CI13)),ROUND((CH32-CI13)*10,1),"")</f>
        <v>2</v>
      </c>
      <c r="CJ23" s="50" t="n">
        <f aca="false">IF(AND(ISNUMBER(CI32),ISNUMBER(CJ13)),ROUND((CI32-CJ13)*10,1),"")</f>
        <v>5</v>
      </c>
      <c r="CK23" s="50" t="n">
        <f aca="false">IF(AND(ISNUMBER(CJ32),ISNUMBER(CK13)),ROUND((CJ32-CK13)*10,1),"")</f>
        <v>18</v>
      </c>
      <c r="CL23" s="50" t="n">
        <f aca="false">IF(AND(ISNUMBER(CK32),ISNUMBER(CL13)),ROUND((CK32-CL13)*10,1),"")</f>
        <v>15</v>
      </c>
      <c r="CM23" s="50" t="n">
        <f aca="false">IF(AND(ISNUMBER(CL32),ISNUMBER(CM13)),ROUND((CL32-CM13)*10,1),"")</f>
        <v>3</v>
      </c>
      <c r="CN23" s="50" t="n">
        <f aca="false">IF(AND(ISNUMBER(CM32),ISNUMBER(CN13)),ROUND((CM32-CN13)*10,1),"")</f>
        <v>7</v>
      </c>
      <c r="CO23" s="50" t="n">
        <f aca="false">IF(AND(ISNUMBER(CN32),ISNUMBER(CO13)),ROUND((CN32-CO13)*10,1),"")</f>
        <v>20</v>
      </c>
      <c r="CP23" s="50" t="n">
        <f aca="false">IF(AND(ISNUMBER(CO32),ISNUMBER(CP13)),ROUND((CO32-CP13)*10,1),"")</f>
        <v>20</v>
      </c>
      <c r="CQ23" s="50" t="n">
        <f aca="false">IF(AND(ISNUMBER(CP32),ISNUMBER(CQ13)),ROUND((CP32-CQ13)*10,1),"")</f>
        <v>30</v>
      </c>
      <c r="CR23" s="50" t="n">
        <f aca="false">IF(AND(ISNUMBER(CQ32),ISNUMBER(CR13)),ROUND((CQ32-CR13)*10,1),"")</f>
        <v>70</v>
      </c>
      <c r="CS23" s="50" t="n">
        <f aca="false">IF(AND(ISNUMBER(CR32),ISNUMBER(CS13)),ROUND((CR32-CS13)*10,1),"")</f>
        <v>0</v>
      </c>
      <c r="CT23" s="50" t="n">
        <f aca="false">IF(AND(ISNUMBER(CS32),ISNUMBER(CT13)),ROUND((CS32-CT13)*10,1),"")</f>
        <v>0</v>
      </c>
      <c r="CU23" s="50" t="n">
        <f aca="false">IF(AND(ISNUMBER(CT32),ISNUMBER(CU13)),ROUND((CT32-CU13)*10,1),"")</f>
        <v>0</v>
      </c>
      <c r="CV23" s="50" t="n">
        <f aca="false">IF(AND(ISNUMBER(CU32),ISNUMBER(CV13)),ROUND((CU32-CV13)*10,1),"")</f>
        <v>0</v>
      </c>
      <c r="CW23" s="50" t="n">
        <f aca="false">IF(AND(ISNUMBER(CV32),ISNUMBER(CW13)),ROUND((CV32-CW13)*10,1),"")</f>
        <v>0</v>
      </c>
      <c r="CX23" s="50" t="n">
        <f aca="false">IF(AND(ISNUMBER(CW32),ISNUMBER(CX13)),ROUND((CW32-CX13)*10,1),"")</f>
        <v>5</v>
      </c>
      <c r="CY23" s="50" t="n">
        <f aca="false">IF(AND(ISNUMBER(CX32),ISNUMBER(CY13)),ROUND((CX32-CY13)*10,1),"")</f>
        <v>3</v>
      </c>
      <c r="CZ23" s="50" t="n">
        <f aca="false">IF(AND(ISNUMBER(CY32),ISNUMBER(CZ13)),ROUND((CY32-CZ13)*10,1),"")</f>
        <v>5</v>
      </c>
      <c r="DA23" s="50" t="n">
        <f aca="false">IF(AND(ISNUMBER(CZ32),ISNUMBER(DA13)),ROUND((CZ32-DA13)*10,1),"")</f>
        <v>3</v>
      </c>
      <c r="DB23" s="50" t="n">
        <f aca="false">IF(AND(ISNUMBER(DA32),ISNUMBER(DB13)),ROUND((DA32-DB13)*10,1),"")</f>
        <v>7</v>
      </c>
      <c r="DC23" s="50" t="n">
        <f aca="false">IF(AND(ISNUMBER(DB32),ISNUMBER(DC13)),ROUND((DB32-DC13)*10,1),"")</f>
        <v>5</v>
      </c>
      <c r="DD23" s="50" t="n">
        <f aca="false">IF(AND(ISNUMBER(DC32),ISNUMBER(DD13)),ROUND((DC32-DD13)*10,1),"")</f>
        <v>10</v>
      </c>
      <c r="DE23" s="50" t="n">
        <f aca="false">IF(AND(ISNUMBER(DD32),ISNUMBER(DE13)),ROUND((DD32-DE13)*10,1),"")</f>
        <v>5</v>
      </c>
      <c r="DF23" s="50" t="n">
        <f aca="false">IF(AND(ISNUMBER(DE32),ISNUMBER(DF13)),ROUND((DE32-DF13)*10,1),"")</f>
        <v>5</v>
      </c>
      <c r="DG23" s="50" t="n">
        <f aca="false">IF(AND(ISNUMBER(DF32),ISNUMBER(DG13)),ROUND((DF32-DG13)*10,1),"")</f>
        <v>5</v>
      </c>
      <c r="DH23" s="50" t="n">
        <f aca="false">IF(AND(ISNUMBER(DG32),ISNUMBER(DH13)),ROUND((DG32-DH13)*10,1),"")</f>
        <v>3</v>
      </c>
      <c r="DI23" s="50" t="n">
        <f aca="false">IF(AND(ISNUMBER(DH32),ISNUMBER(DI13)),ROUND((DH32-DI13)*10,1),"")</f>
        <v>6</v>
      </c>
      <c r="DJ23" s="50" t="n">
        <f aca="false">IF(AND(ISNUMBER(DI32),ISNUMBER(DJ13)),ROUND((DI32-DJ13)*10,1),"")</f>
        <v>25</v>
      </c>
      <c r="DK23" s="50" t="n">
        <f aca="false">IF(AND(ISNUMBER(DJ32),ISNUMBER(DK13)),ROUND((DJ32-DK13)*10,1),"")</f>
        <v>10</v>
      </c>
      <c r="DL23" s="50" t="str">
        <f aca="false">IF(AND(ISNUMBER(DK32),ISNUMBER(DL13)),ROUND((DK32-DL13)*10,1),"")</f>
        <v/>
      </c>
      <c r="DM23" s="50" t="str">
        <f aca="false">IF(AND(ISNUMBER(DL32),ISNUMBER(DM13)),ROUND((DL32-DM13)*10,1),"")</f>
        <v/>
      </c>
      <c r="DN23" s="50" t="n">
        <f aca="false">IF(AND(ISNUMBER(DM32),ISNUMBER(DN13)),ROUND((DM32-DN13)*10,1),"")</f>
        <v>1</v>
      </c>
      <c r="DO23" s="50" t="n">
        <f aca="false">IF(AND(ISNUMBER(DN32),ISNUMBER(DO13)),ROUND((DN32-DO13)*10,1),"")</f>
        <v>9</v>
      </c>
      <c r="DP23" s="50" t="n">
        <f aca="false">IF(AND(ISNUMBER(DO32),ISNUMBER(DP13)),ROUND((DO32-DP13)*10,1),"")</f>
        <v>10</v>
      </c>
      <c r="DQ23" s="50" t="n">
        <f aca="false">IF(AND(ISNUMBER(DP32),ISNUMBER(DQ13)),ROUND((DP32-DQ13)*10,1),"")</f>
        <v>3</v>
      </c>
      <c r="DR23" s="50" t="n">
        <f aca="false">IF(AND(ISNUMBER(DQ32),ISNUMBER(DR13)),ROUND((DQ32-DR13)*10,1),"")</f>
        <v>4</v>
      </c>
      <c r="DS23" s="50" t="n">
        <f aca="false">IF(AND(ISNUMBER(DR32),ISNUMBER(DS13)),ROUND((DR32-DS13)*10,1),"")</f>
        <v>5</v>
      </c>
      <c r="DT23" s="50" t="n">
        <f aca="false">IF(AND(ISNUMBER(DS32),ISNUMBER(DT13)),ROUND((DS32-DT13)*10,1),"")</f>
        <v>5</v>
      </c>
      <c r="DU23" s="50" t="n">
        <f aca="false">IF(AND(ISNUMBER(DT32),ISNUMBER(DU13)),ROUND((DT32-DU13)*10,1),"")</f>
        <v>10</v>
      </c>
      <c r="DV23" s="50" t="n">
        <f aca="false">IF(AND(ISNUMBER(DU32),ISNUMBER(DV13)),ROUND((DU32-DV13)*10,1),"")</f>
        <v>3</v>
      </c>
      <c r="DW23" s="50" t="n">
        <f aca="false">IF(AND(ISNUMBER(DV32),ISNUMBER(DW13)),ROUND((DV32-DW13)*10,1),"")</f>
        <v>2</v>
      </c>
      <c r="DX23" s="50" t="n">
        <f aca="false">IF(AND(ISNUMBER(DW32),ISNUMBER(DX13)),ROUND((DW32-DX13)*10,1),"")</f>
        <v>10</v>
      </c>
      <c r="DY23" s="50" t="n">
        <f aca="false">IF(AND(ISNUMBER(DX32),ISNUMBER(DY13)),ROUND((DX32-DY13)*10,1),"")</f>
        <v>3</v>
      </c>
      <c r="DZ23" s="50" t="n">
        <f aca="false">IF(AND(ISNUMBER(DY32),ISNUMBER(DZ13)),ROUND((DY32-DZ13)*10,1),"")</f>
        <v>2</v>
      </c>
      <c r="EA23" s="50" t="n">
        <f aca="false">IF(AND(ISNUMBER(DZ32),ISNUMBER(EA13)),ROUND((DZ32-EA13)*10,1),"")</f>
        <v>4</v>
      </c>
      <c r="EB23" s="50" t="n">
        <f aca="false">IF(AND(ISNUMBER(EA32),ISNUMBER(EB13)),ROUND((EA32-EB13)*10,1),"")</f>
        <v>7</v>
      </c>
      <c r="EC23" s="50" t="n">
        <f aca="false">IF(AND(ISNUMBER(EB32),ISNUMBER(EC13)),ROUND((EB32-EC13)*10,1),"")</f>
        <v>5</v>
      </c>
      <c r="ED23" s="50" t="n">
        <f aca="false">IF(AND(ISNUMBER(EC32),ISNUMBER(ED13)),ROUND((EC32-ED13)*10,1),"")</f>
        <v>3</v>
      </c>
      <c r="EE23" s="50" t="n">
        <f aca="false">IF(AND(ISNUMBER(ED32),ISNUMBER(EE13)),ROUND((ED32-EE13)*10,1),"")</f>
        <v>-13</v>
      </c>
      <c r="EF23" s="50" t="n">
        <f aca="false">IF(AND(ISNUMBER(EE32),ISNUMBER(EF13)),ROUND((EE32-EF13)*10,1),"")</f>
        <v>3</v>
      </c>
      <c r="EG23" s="50" t="n">
        <f aca="false">IF(AND(ISNUMBER(EF32),ISNUMBER(EG13)),ROUND((EF32-EG13)*10,1),"")</f>
        <v>7</v>
      </c>
      <c r="EH23" s="50" t="n">
        <f aca="false">IF(AND(ISNUMBER(EG32),ISNUMBER(EH13)),ROUND((EG32-EH13)*10,1),"")</f>
        <v>4</v>
      </c>
      <c r="EI23" s="50" t="n">
        <f aca="false">IF(AND(ISNUMBER(EH32),ISNUMBER(EI13)),ROUND((EH32-EI13)*10,1),"")</f>
        <v>5</v>
      </c>
      <c r="EJ23" s="50" t="n">
        <f aca="false">IF(AND(ISNUMBER(EI32),ISNUMBER(EJ13)),ROUND((EI32-EJ13)*10,1),"")</f>
        <v>5</v>
      </c>
      <c r="EK23" s="50" t="n">
        <f aca="false">IF(AND(ISNUMBER(EJ32),ISNUMBER(EK13)),ROUND((EJ32-EK13)*10,1),"")</f>
        <v>10</v>
      </c>
      <c r="EL23" s="50" t="n">
        <f aca="false">IF(AND(ISNUMBER(EK32),ISNUMBER(EL13)),ROUND((EK32-EL13)*10,1),"")</f>
        <v>10</v>
      </c>
      <c r="EM23" s="50" t="n">
        <f aca="false">IF(AND(ISNUMBER(EL32),ISNUMBER(EM13)),ROUND((EL32-EM13)*10,1),"")</f>
        <v>-10</v>
      </c>
      <c r="EN23" s="50" t="n">
        <f aca="false">IF(AND(ISNUMBER(EM32),ISNUMBER(EN13)),ROUND((EM32-EN13)*10,1),"")</f>
        <v>5</v>
      </c>
      <c r="EO23" s="50" t="n">
        <f aca="false">IF(AND(ISNUMBER(EN32),ISNUMBER(EO13)),ROUND((EN32-EO13)*10,1),"")</f>
        <v>5</v>
      </c>
      <c r="EP23" s="50" t="n">
        <f aca="false">IF(AND(ISNUMBER(EO32),ISNUMBER(EP13)),ROUND((EO32-EP13)*10,1),"")</f>
        <v>10</v>
      </c>
      <c r="EQ23" s="50" t="n">
        <f aca="false">IF(AND(ISNUMBER(EP32),ISNUMBER(EQ13)),ROUND((EP32-EQ13)*10,1),"")</f>
        <v>5</v>
      </c>
      <c r="ER23" s="50" t="n">
        <f aca="false">IF(AND(ISNUMBER(EQ32),ISNUMBER(ER13)),ROUND((EQ32-ER13)*10,1),"")</f>
        <v>15</v>
      </c>
      <c r="ES23" s="50" t="n">
        <f aca="false">IF(AND(ISNUMBER(ER32),ISNUMBER(ES13)),ROUND((ER32-ES13)*10,1),"")</f>
        <v>65</v>
      </c>
      <c r="ET23" s="50" t="n">
        <f aca="false">IF(AND(ISNUMBER(ES32),ISNUMBER(ET13)),ROUND((ES32-ET13)*10,1),"")</f>
        <v>85</v>
      </c>
      <c r="EU23" s="50" t="str">
        <f aca="false">IF(AND(ISNUMBER(ET32),ISNUMBER(EU13)),ROUND((ET32-EU13)*10,1),"")</f>
        <v/>
      </c>
      <c r="EV23" s="50" t="str">
        <f aca="false">IF(AND(ISNUMBER(EU32),ISNUMBER(EV13)),ROUND((EU32-EV13)*10,1),"")</f>
        <v/>
      </c>
      <c r="EW23" s="50" t="str">
        <f aca="false">IF(AND(ISNUMBER(EV32),ISNUMBER(EW13)),ROUND((EV32-EW13)*10,1),"")</f>
        <v/>
      </c>
      <c r="EX23" s="50" t="str">
        <f aca="false">IF(AND(ISNUMBER(EW32),ISNUMBER(EX13)),ROUND((EW32-EX13)*10,1),"")</f>
        <v/>
      </c>
      <c r="EY23" s="50" t="str">
        <f aca="false">IF(AND(ISNUMBER(EX32),ISNUMBER(EY13)),ROUND((EX32-EY13)*10,1),"")</f>
        <v/>
      </c>
      <c r="EZ23" s="50" t="str">
        <f aca="false">IF(AND(ISNUMBER(EY32),ISNUMBER(EZ13)),ROUND((EY32-EZ13)*10,1),"")</f>
        <v/>
      </c>
      <c r="FA23" s="50" t="str">
        <f aca="false">IF(AND(ISNUMBER(EZ32),ISNUMBER(FA13)),ROUND((EZ32-FA13)*10,1),"")</f>
        <v/>
      </c>
      <c r="FB23" s="50" t="str">
        <f aca="false">IF(AND(ISNUMBER(FA32),ISNUMBER(FB13)),ROUND((FA32-FB13)*10,1),"")</f>
        <v/>
      </c>
      <c r="FC23" s="50" t="str">
        <f aca="false">IF(AND(ISNUMBER(FB32),ISNUMBER(FC13)),ROUND((FB32-FC13)*10,1),"")</f>
        <v/>
      </c>
      <c r="FD23" s="50" t="str">
        <f aca="false">IF(AND(ISNUMBER(FC32),ISNUMBER(FD13)),ROUND((FC32-FD13)*10,1),"")</f>
        <v/>
      </c>
      <c r="FE23" s="50" t="str">
        <f aca="false">IF(AND(ISNUMBER(FD32),ISNUMBER(FE13)),ROUND((FD32-FE13)*10,1),"")</f>
        <v/>
      </c>
      <c r="FF23" s="50" t="str">
        <f aca="false">IF(AND(ISNUMBER(FE32),ISNUMBER(FF13)),ROUND((FE32-FF13)*10,1),"")</f>
        <v/>
      </c>
      <c r="FG23" s="50" t="str">
        <f aca="false">IF(AND(ISNUMBER(FF32),ISNUMBER(FG13)),ROUND((FF32-FG13)*10,1),"")</f>
        <v/>
      </c>
      <c r="FH23" s="50" t="str">
        <f aca="false">IF(AND(ISNUMBER(FG32),ISNUMBER(FH13)),ROUND((FG32-FH13)*10,1),"")</f>
        <v/>
      </c>
      <c r="FI23" s="50" t="str">
        <f aca="false">IF(AND(ISNUMBER(FH32),ISNUMBER(FI13)),ROUND((FH32-FI13)*10,1),"")</f>
        <v/>
      </c>
      <c r="FJ23" s="50" t="str">
        <f aca="false">IF(AND(ISNUMBER(FI32),ISNUMBER(FJ13)),ROUND((FI32-FJ13)*10,1),"")</f>
        <v/>
      </c>
      <c r="FK23" s="50" t="str">
        <f aca="false">IF(AND(ISNUMBER(FJ32),ISNUMBER(FK13)),ROUND((FJ32-FK13)*10,1),"")</f>
        <v/>
      </c>
      <c r="FL23" s="50" t="str">
        <f aca="false">IF(AND(ISNUMBER(FK32),ISNUMBER(FL13)),ROUND((FK32-FL13)*10,1),"")</f>
        <v/>
      </c>
      <c r="FM23" s="50" t="str">
        <f aca="false">IF(AND(ISNUMBER(FL32),ISNUMBER(FM13)),ROUND((FL32-FM13)*10,1),"")</f>
        <v/>
      </c>
      <c r="FN23" s="50" t="str">
        <f aca="false">IF(AND(ISNUMBER(FM32),ISNUMBER(FN13)),ROUND((FM32-FN13)*10,1),"")</f>
        <v/>
      </c>
      <c r="FO23" s="50" t="str">
        <f aca="false">IF(AND(ISNUMBER(FN32),ISNUMBER(FO13)),ROUND((FN32-FO13)*10,1),"")</f>
        <v/>
      </c>
      <c r="FP23" s="50" t="str">
        <f aca="false">IF(AND(ISNUMBER(FO32),ISNUMBER(FP13)),ROUND((FO32-FP13)*10,1),"")</f>
        <v/>
      </c>
      <c r="FQ23" s="50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317</v>
      </c>
      <c r="B24" s="17" t="s">
        <v>406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317</v>
      </c>
      <c r="B25" s="17" t="s">
        <v>407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ভালো</v>
      </c>
      <c r="BE25" s="57" t="str">
        <f aca="false">IF(2_Daily_input!BE33="","",2_Daily_input!BE33)</f>
        <v>ভালো</v>
      </c>
      <c r="BF25" s="57" t="str">
        <f aca="false">IF(2_Daily_input!BF33="","",2_Daily_input!BF33)</f>
        <v>ভালো</v>
      </c>
      <c r="BG25" s="57" t="str">
        <f aca="false">IF(2_Daily_input!BG33="","",2_Daily_input!BG33)</f>
        <v>ভালো</v>
      </c>
      <c r="BH25" s="57" t="str">
        <f aca="false">IF(2_Daily_input!BH33="","",2_Daily_input!BH33)</f>
        <v>ভালো</v>
      </c>
      <c r="BI25" s="57" t="str">
        <f aca="false">IF(2_Daily_input!BI33="","",2_Daily_input!BI33)</f>
        <v>ভালো</v>
      </c>
      <c r="BJ25" s="57" t="str">
        <f aca="false">IF(2_Daily_input!BJ33="","",2_Daily_input!BJ33)</f>
        <v>ভালো</v>
      </c>
      <c r="BK25" s="57" t="str">
        <f aca="false">IF(2_Daily_input!BK33="","",2_Daily_input!BK33)</f>
        <v>ভালো</v>
      </c>
      <c r="BL25" s="57" t="str">
        <f aca="false">IF(2_Daily_input!BL33="","",2_Daily_input!BL33)</f>
        <v>ভালো</v>
      </c>
      <c r="BM25" s="57" t="str">
        <f aca="false">IF(2_Daily_input!BM33="","",2_Daily_input!BM33)</f>
        <v>ভালো</v>
      </c>
      <c r="BN25" s="57" t="str">
        <f aca="false">IF(2_Daily_input!BN33="","",2_Daily_input!BN33)</f>
        <v>ভালো</v>
      </c>
      <c r="BO25" s="57" t="str">
        <f aca="false">IF(2_Daily_input!BO33="","",2_Daily_input!BO33)</f>
        <v>ভালো</v>
      </c>
      <c r="BP25" s="57" t="str">
        <f aca="false">IF(2_Daily_input!BP33="","",2_Daily_input!BP33)</f>
        <v>ভালো</v>
      </c>
      <c r="BQ25" s="57" t="str">
        <f aca="false">IF(2_Daily_input!BQ33="","",2_Daily_input!BQ33)</f>
        <v>ভালো</v>
      </c>
      <c r="BR25" s="57" t="str">
        <f aca="false">IF(2_Daily_input!BR33="","",2_Daily_input!BR33)</f>
        <v>ভালো</v>
      </c>
      <c r="BS25" s="57" t="str">
        <f aca="false">IF(2_Daily_input!BS33="","",2_Daily_input!BS33)</f>
        <v>ভালো</v>
      </c>
      <c r="BT25" s="57" t="str">
        <f aca="false">IF(2_Daily_input!BT33="","",2_Daily_input!BT33)</f>
        <v>ভালো</v>
      </c>
      <c r="BU25" s="57" t="str">
        <f aca="false">IF(2_Daily_input!BU33="","",2_Daily_input!BU33)</f>
        <v>ভালো</v>
      </c>
      <c r="BV25" s="57" t="str">
        <f aca="false">IF(2_Daily_input!BV33="","",2_Daily_input!BV33)</f>
        <v>ভালো</v>
      </c>
      <c r="BW25" s="57" t="str">
        <f aca="false">IF(2_Daily_input!BW33="","",2_Daily_input!BW33)</f>
        <v>ভালো</v>
      </c>
      <c r="BX25" s="57" t="str">
        <f aca="false">IF(2_Daily_input!BX33="","",2_Daily_input!BX33)</f>
        <v>ভালো</v>
      </c>
      <c r="BY25" s="57" t="str">
        <f aca="false">IF(2_Daily_input!BY33="","",2_Daily_input!BY33)</f>
        <v>ভালো</v>
      </c>
      <c r="BZ25" s="57" t="str">
        <f aca="false">IF(2_Daily_input!BZ33="","",2_Daily_input!BZ33)</f>
        <v>ভালো</v>
      </c>
      <c r="CA25" s="57" t="str">
        <f aca="false">IF(2_Daily_input!CA33="","",2_Daily_input!CA33)</f>
        <v/>
      </c>
      <c r="CB25" s="57" t="str">
        <f aca="false">IF(2_Daily_input!CB33="","",2_Daily_input!CB33)</f>
        <v>ভালো</v>
      </c>
      <c r="CC25" s="57" t="str">
        <f aca="false">IF(2_Daily_input!CC33="","",2_Daily_input!CC33)</f>
        <v>ভালো</v>
      </c>
      <c r="CD25" s="57" t="str">
        <f aca="false">IF(2_Daily_input!CD33="","",2_Daily_input!CD33)</f>
        <v>ভালো</v>
      </c>
      <c r="CE25" s="57" t="str">
        <f aca="false">IF(2_Daily_input!CE33="","",2_Daily_input!CE33)</f>
        <v>ভালো</v>
      </c>
      <c r="CF25" s="57" t="str">
        <f aca="false">IF(2_Daily_input!CF33="","",2_Daily_input!CF33)</f>
        <v>ভালো</v>
      </c>
      <c r="CG25" s="57" t="str">
        <f aca="false">IF(2_Daily_input!CG33="","",2_Daily_input!CG33)</f>
        <v>ভালো</v>
      </c>
      <c r="CH25" s="57" t="str">
        <f aca="false">IF(2_Daily_input!CH33="","",2_Daily_input!CH33)</f>
        <v>ভালো</v>
      </c>
      <c r="CI25" s="57" t="str">
        <f aca="false">IF(2_Daily_input!CI33="","",2_Daily_input!CI33)</f>
        <v>ভালো</v>
      </c>
      <c r="CJ25" s="57" t="str">
        <f aca="false">IF(2_Daily_input!CJ33="","",2_Daily_input!CJ33)</f>
        <v>ভালো</v>
      </c>
      <c r="CK25" s="57" t="str">
        <f aca="false">IF(2_Daily_input!CK33="","",2_Daily_input!CK33)</f>
        <v>ভালো</v>
      </c>
      <c r="CL25" s="57" t="str">
        <f aca="false">IF(2_Daily_input!CL33="","",2_Daily_input!CL33)</f>
        <v>ভালো</v>
      </c>
      <c r="CM25" s="57" t="str">
        <f aca="false">IF(2_Daily_input!CM33="","",2_Daily_input!CM33)</f>
        <v>ভালো</v>
      </c>
      <c r="CN25" s="57" t="str">
        <f aca="false">IF(2_Daily_input!CN33="","",2_Daily_input!CN33)</f>
        <v>ভালো</v>
      </c>
      <c r="CO25" s="57" t="str">
        <f aca="false">IF(2_Daily_input!CO33="","",2_Daily_input!CO33)</f>
        <v>ভালো</v>
      </c>
      <c r="CP25" s="57" t="str">
        <f aca="false">IF(2_Daily_input!CP33="","",2_Daily_input!CP33)</f>
        <v>ভালো</v>
      </c>
      <c r="CQ25" s="57" t="str">
        <f aca="false">IF(2_Daily_input!CQ33="","",2_Daily_input!CQ33)</f>
        <v>ভালো</v>
      </c>
      <c r="CR25" s="57" t="str">
        <f aca="false">IF(2_Daily_input!CR33="","",2_Daily_input!CR33)</f>
        <v>ভালো</v>
      </c>
      <c r="CS25" s="57" t="str">
        <f aca="false">IF(2_Daily_input!CS33="","",2_Daily_input!CS33)</f>
        <v>ভালো</v>
      </c>
      <c r="CT25" s="57" t="str">
        <f aca="false">IF(2_Daily_input!CT33="","",2_Daily_input!CT33)</f>
        <v>ভালো</v>
      </c>
      <c r="CU25" s="57" t="str">
        <f aca="false">IF(2_Daily_input!CU33="","",2_Daily_input!CU33)</f>
        <v>ভালো</v>
      </c>
      <c r="CV25" s="57" t="str">
        <f aca="false">IF(2_Daily_input!CV33="","",2_Daily_input!CV33)</f>
        <v>ভালো</v>
      </c>
      <c r="CW25" s="57" t="str">
        <f aca="false">IF(2_Daily_input!CW33="","",2_Daily_input!CW33)</f>
        <v>ভালো</v>
      </c>
      <c r="CX25" s="57" t="str">
        <f aca="false">IF(2_Daily_input!CX33="","",2_Daily_input!CX33)</f>
        <v>ভালো</v>
      </c>
      <c r="CY25" s="57" t="str">
        <f aca="false">IF(2_Daily_input!CY33="","",2_Daily_input!CY33)</f>
        <v>ভালো</v>
      </c>
      <c r="CZ25" s="57" t="str">
        <f aca="false">IF(2_Daily_input!CZ33="","",2_Daily_input!CZ33)</f>
        <v>ভালো</v>
      </c>
      <c r="DA25" s="57" t="str">
        <f aca="false">IF(2_Daily_input!DA33="","",2_Daily_input!DA33)</f>
        <v>ভালো</v>
      </c>
      <c r="DB25" s="57" t="str">
        <f aca="false">IF(2_Daily_input!DB33="","",2_Daily_input!DB33)</f>
        <v>ভালো</v>
      </c>
      <c r="DC25" s="57" t="str">
        <f aca="false">IF(2_Daily_input!DC33="","",2_Daily_input!DC33)</f>
        <v>ভালো</v>
      </c>
      <c r="DD25" s="57" t="str">
        <f aca="false">IF(2_Daily_input!DD33="","",2_Daily_input!DD33)</f>
        <v>ভালো</v>
      </c>
      <c r="DE25" s="57" t="str">
        <f aca="false">IF(2_Daily_input!DE33="","",2_Daily_input!DE33)</f>
        <v>ভালো</v>
      </c>
      <c r="DF25" s="57" t="str">
        <f aca="false">IF(2_Daily_input!DF33="","",2_Daily_input!DF33)</f>
        <v>ভালো</v>
      </c>
      <c r="DG25" s="57" t="str">
        <f aca="false">IF(2_Daily_input!DG33="","",2_Daily_input!DG33)</f>
        <v>ভালো</v>
      </c>
      <c r="DH25" s="57" t="str">
        <f aca="false">IF(2_Daily_input!DH33="","",2_Daily_input!DH33)</f>
        <v>ভালো</v>
      </c>
      <c r="DI25" s="57" t="str">
        <f aca="false">IF(2_Daily_input!DI33="","",2_Daily_input!DI33)</f>
        <v>ভালো</v>
      </c>
      <c r="DJ25" s="57" t="str">
        <f aca="false">IF(2_Daily_input!DJ33="","",2_Daily_input!DJ33)</f>
        <v>ভালো</v>
      </c>
      <c r="DK25" s="57" t="str">
        <f aca="false">IF(2_Daily_input!DK33="","",2_Daily_input!DK33)</f>
        <v>ভালো</v>
      </c>
      <c r="DL25" s="57" t="str">
        <f aca="false">IF(2_Daily_input!DL33="","",2_Daily_input!DL33)</f>
        <v/>
      </c>
      <c r="DM25" s="57" t="str">
        <f aca="false">IF(2_Daily_input!DM33="","",2_Daily_input!DM33)</f>
        <v>ভালো</v>
      </c>
      <c r="DN25" s="57" t="str">
        <f aca="false">IF(2_Daily_input!DN33="","",2_Daily_input!DN33)</f>
        <v>ভালো</v>
      </c>
      <c r="DO25" s="57" t="str">
        <f aca="false">IF(2_Daily_input!DO33="","",2_Daily_input!DO33)</f>
        <v>ভালো</v>
      </c>
      <c r="DP25" s="57" t="str">
        <f aca="false">IF(2_Daily_input!DP33="","",2_Daily_input!DP33)</f>
        <v>ভালো</v>
      </c>
      <c r="DQ25" s="57" t="str">
        <f aca="false">IF(2_Daily_input!DQ33="","",2_Daily_input!DQ33)</f>
        <v>ভালো</v>
      </c>
      <c r="DR25" s="57" t="str">
        <f aca="false">IF(2_Daily_input!DR33="","",2_Daily_input!DR33)</f>
        <v>ভালো</v>
      </c>
      <c r="DS25" s="57" t="str">
        <f aca="false">IF(2_Daily_input!DS33="","",2_Daily_input!DS33)</f>
        <v>ভালো</v>
      </c>
      <c r="DT25" s="57" t="str">
        <f aca="false">IF(2_Daily_input!DT33="","",2_Daily_input!DT33)</f>
        <v>ভালো</v>
      </c>
      <c r="DU25" s="57" t="str">
        <f aca="false">IF(2_Daily_input!DU33="","",2_Daily_input!DU33)</f>
        <v>ভালো</v>
      </c>
      <c r="DV25" s="57" t="str">
        <f aca="false">IF(2_Daily_input!DV33="","",2_Daily_input!DV33)</f>
        <v>ভালো</v>
      </c>
      <c r="DW25" s="57" t="str">
        <f aca="false">IF(2_Daily_input!DW33="","",2_Daily_input!DW33)</f>
        <v>ভালো</v>
      </c>
      <c r="DX25" s="57" t="str">
        <f aca="false">IF(2_Daily_input!DX33="","",2_Daily_input!DX33)</f>
        <v>ভালো</v>
      </c>
      <c r="DY25" s="57" t="str">
        <f aca="false">IF(2_Daily_input!DY33="","",2_Daily_input!DY33)</f>
        <v>ভালো</v>
      </c>
      <c r="DZ25" s="57" t="str">
        <f aca="false">IF(2_Daily_input!DZ33="","",2_Daily_input!DZ33)</f>
        <v>ভালো</v>
      </c>
      <c r="EA25" s="57" t="str">
        <f aca="false">IF(2_Daily_input!EA33="","",2_Daily_input!EA33)</f>
        <v>ভালো</v>
      </c>
      <c r="EB25" s="57" t="str">
        <f aca="false">IF(2_Daily_input!EB33="","",2_Daily_input!EB33)</f>
        <v>ভালো</v>
      </c>
      <c r="EC25" s="57" t="str">
        <f aca="false">IF(2_Daily_input!EC33="","",2_Daily_input!EC33)</f>
        <v>ভালো</v>
      </c>
      <c r="ED25" s="57" t="str">
        <f aca="false">IF(2_Daily_input!ED33="","",2_Daily_input!ED33)</f>
        <v>ভালো</v>
      </c>
      <c r="EE25" s="57" t="str">
        <f aca="false">IF(2_Daily_input!EE33="","",2_Daily_input!EE33)</f>
        <v>ভালো</v>
      </c>
      <c r="EF25" s="57" t="str">
        <f aca="false">IF(2_Daily_input!EF33="","",2_Daily_input!EF33)</f>
        <v>ভালো</v>
      </c>
      <c r="EG25" s="57" t="str">
        <f aca="false">IF(2_Daily_input!EG33="","",2_Daily_input!EG33)</f>
        <v>ভালো</v>
      </c>
      <c r="EH25" s="57" t="str">
        <f aca="false">IF(2_Daily_input!EH33="","",2_Daily_input!EH33)</f>
        <v>ভালো</v>
      </c>
      <c r="EI25" s="57" t="str">
        <f aca="false">IF(2_Daily_input!EI33="","",2_Daily_input!EI33)</f>
        <v>ভালো</v>
      </c>
      <c r="EJ25" s="57" t="str">
        <f aca="false">IF(2_Daily_input!EJ33="","",2_Daily_input!EJ33)</f>
        <v>ভালো</v>
      </c>
      <c r="EK25" s="57" t="str">
        <f aca="false">IF(2_Daily_input!EK33="","",2_Daily_input!EK33)</f>
        <v>ভালো</v>
      </c>
      <c r="EL25" s="57" t="str">
        <f aca="false">IF(2_Daily_input!EL33="","",2_Daily_input!EL33)</f>
        <v>ভালো</v>
      </c>
      <c r="EM25" s="57" t="str">
        <f aca="false">IF(2_Daily_input!EM33="","",2_Daily_input!EM33)</f>
        <v>ভালো</v>
      </c>
      <c r="EN25" s="57" t="str">
        <f aca="false">IF(2_Daily_input!EN33="","",2_Daily_input!EN33)</f>
        <v>ভালো</v>
      </c>
      <c r="EO25" s="57" t="str">
        <f aca="false">IF(2_Daily_input!EO33="","",2_Daily_input!EO33)</f>
        <v>ভালো</v>
      </c>
      <c r="EP25" s="57" t="str">
        <f aca="false">IF(2_Daily_input!EP33="","",2_Daily_input!EP33)</f>
        <v>ভালো</v>
      </c>
      <c r="EQ25" s="57" t="str">
        <f aca="false">IF(2_Daily_input!EQ33="","",2_Daily_input!EQ33)</f>
        <v>ভালো</v>
      </c>
      <c r="ER25" s="57" t="str">
        <f aca="false">IF(2_Daily_input!ER33="","",2_Daily_input!ER33)</f>
        <v>ভালো</v>
      </c>
      <c r="ES25" s="57" t="str">
        <f aca="false">IF(2_Daily_input!ES33="","",2_Daily_input!ES33)</f>
        <v>ভালো</v>
      </c>
      <c r="ET25" s="57" t="str">
        <f aca="false">IF(2_Daily_input!ET33="","",2_Daily_input!ET33)</f>
        <v>ভালো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317</v>
      </c>
      <c r="B26" s="17" t="s">
        <v>408</v>
      </c>
      <c r="C26" s="48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317</v>
      </c>
      <c r="B27" s="17" t="s">
        <v>409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সেচ</v>
      </c>
      <c r="BF27" s="57" t="str">
        <f aca="false">IF(2_Daily_input!BF35="","",2_Daily_input!BF35)</f>
        <v/>
      </c>
      <c r="BG27" s="57" t="str">
        <f aca="false">IF(2_Daily_input!BG35="","",2_Daily_input!BG35)</f>
        <v>সেচ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সেচ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সেচ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সেচ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সেচ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সেচ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সেচ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সেচ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সেচ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সেচ</v>
      </c>
      <c r="DJ27" s="57" t="str">
        <f aca="false">IF(2_Daily_input!DJ35="","",2_Daily_input!DJ35)</f>
        <v>সেচ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সেচ</v>
      </c>
      <c r="DN27" s="57" t="str">
        <f aca="false">IF(2_Daily_input!DN35="","",2_Daily_input!DN35)</f>
        <v/>
      </c>
      <c r="DO27" s="57" t="str">
        <f aca="false">IF(2_Daily_input!DO35="","",2_Daily_input!DO35)</f>
        <v>সেচ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সেচ</v>
      </c>
      <c r="DS27" s="57" t="str">
        <f aca="false">IF(2_Daily_input!DS35="","",2_Daily_input!DS35)</f>
        <v/>
      </c>
      <c r="DT27" s="57" t="str">
        <f aca="false">IF(2_Daily_input!DT35="","",2_Daily_input!DT35)</f>
        <v>সেচ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সেচ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সেচ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সেচ</v>
      </c>
      <c r="EI27" s="57" t="str">
        <f aca="false">IF(2_Daily_input!EI35="","",2_Daily_input!EI35)</f>
        <v/>
      </c>
      <c r="EJ27" s="57" t="str">
        <f aca="false">IF(2_Daily_input!EJ35="","",2_Daily_input!EJ35)</f>
        <v>সেচ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সেচ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317</v>
      </c>
      <c r="B28" s="17" t="s">
        <v>410</v>
      </c>
      <c r="C28" s="48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317</v>
      </c>
      <c r="B29" s="17" t="s">
        <v>411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317</v>
      </c>
      <c r="B30" s="17" t="s">
        <v>412</v>
      </c>
      <c r="D30" s="36" t="str">
        <f aca="false">IF(D1="","",IF(AND(ISNUMBER(D13),OR(D13&lt;-30,D13&gt;20)),"পানির স্তর সীমার বাইরে; ","")&amp;IF(AND(ISNUMBER(D12),D13=""),"TP/b নেই; ","")&amp;IF(AND(ISNUMBER(D19),ISNUMBER(D20)),IF(D20&lt;D19,"সেচের পরে &lt; আগে; ",""),"")&amp;IF(AND(ISNUMBER(D12),ISNUMBER(D16)&lt;&gt;ISNUMBER(D17)),"সেচের মাপ অসম্পূর্ণ; ","")&amp;IF(ISNUMBER(D23),IF(AND(ABS(D23)&gt;50,NOT(N(D8)&gt;0)),"পানির স্তর হঠাৎ &gt;5 সেমি বদল; ",""),""))</f>
        <v/>
      </c>
      <c r="E30" s="36" t="str">
        <f aca="false">IF(E1="","",IF(AND(ISNUMBER(E13),OR(E13&lt;-30,E13&gt;20)),"পানির স্তর সীমার বাইরে; ","")&amp;IF(AND(ISNUMBER(E12),E13=""),"TP/b নেই; ","")&amp;IF(AND(ISNUMBER(E19),ISNUMBER(E20)),IF(E20&lt;E19,"সেচের পরে &lt; আগে; ",""),"")&amp;IF(AND(ISNUMBER(E12),ISNUMBER(E16)&lt;&gt;ISNUMBER(E17)),"সেচের মাপ অসম্পূর্ণ; ","")&amp;IF(ISNUMBER(E23),IF(AND(ABS(E23)&gt;50,NOT(N(E8)&gt;0)),"পানির স্তর হঠাৎ &gt;5 সেমি বদল; ",""),""))</f>
        <v/>
      </c>
      <c r="F30" s="36" t="str">
        <f aca="false">IF(F1="","",IF(AND(ISNUMBER(F13),OR(F13&lt;-30,F13&gt;20)),"পানির স্তর সীমার বাইরে; ","")&amp;IF(AND(ISNUMBER(F12),F13=""),"TP/b নেই; ","")&amp;IF(AND(ISNUMBER(F19),ISNUMBER(F20)),IF(F20&lt;F19,"সেচের পরে &lt; আগে; ",""),"")&amp;IF(AND(ISNUMBER(F12),ISNUMBER(F16)&lt;&gt;ISNUMBER(F17)),"সেচের মাপ অসম্পূর্ণ; ","")&amp;IF(ISNUMBER(F23),IF(AND(ABS(F23)&gt;50,NOT(N(F8)&gt;0)),"পানির স্তর হঠাৎ &gt;5 সেমি বদল; ",""),""))</f>
        <v/>
      </c>
      <c r="G30" s="36" t="str">
        <f aca="false">IF(G1="","",IF(AND(ISNUMBER(G13),OR(G13&lt;-30,G13&gt;20)),"পানির স্তর সীমার বাইরে; ","")&amp;IF(AND(ISNUMBER(G12),G13=""),"TP/b নেই; ","")&amp;IF(AND(ISNUMBER(G19),ISNUMBER(G20)),IF(G20&lt;G19,"সেচের পরে &lt; আগে; ",""),"")&amp;IF(AND(ISNUMBER(G12),ISNUMBER(G16)&lt;&gt;ISNUMBER(G17)),"সেচের মাপ অসম্পূর্ণ; ","")&amp;IF(ISNUMBER(G23),IF(AND(ABS(G23)&gt;50,NOT(N(G8)&gt;0)),"পানির স্তর হঠাৎ &gt;5 সেমি বদল; ",""),""))</f>
        <v/>
      </c>
      <c r="H30" s="36" t="str">
        <f aca="false">IF(H1="","",IF(AND(ISNUMBER(H13),OR(H13&lt;-30,H13&gt;20)),"পানির স্তর সীমার বাইরে; ","")&amp;IF(AND(ISNUMBER(H12),H13=""),"TP/b নেই; ","")&amp;IF(AND(ISNUMBER(H19),ISNUMBER(H20)),IF(H20&lt;H19,"সেচের পরে &lt; আগে; ",""),"")&amp;IF(AND(ISNUMBER(H12),ISNUMBER(H16)&lt;&gt;ISNUMBER(H17)),"সেচের মাপ অসম্পূর্ণ; ","")&amp;IF(ISNUMBER(H23),IF(AND(ABS(H23)&gt;50,NOT(N(H8)&gt;0)),"পানির স্তর হঠাৎ &gt;5 সেমি বদল; ",""),""))</f>
        <v/>
      </c>
      <c r="I30" s="36" t="str">
        <f aca="false">IF(I1="","",IF(AND(ISNUMBER(I13),OR(I13&lt;-30,I13&gt;20)),"পানির স্তর সীমার বাইরে; ","")&amp;IF(AND(ISNUMBER(I12),I13=""),"TP/b নেই; ","")&amp;IF(AND(ISNUMBER(I19),ISNUMBER(I20)),IF(I20&lt;I19,"সেচের পরে &lt; আগে; ",""),"")&amp;IF(AND(ISNUMBER(I12),ISNUMBER(I16)&lt;&gt;ISNUMBER(I17)),"সেচের মাপ অসম্পূর্ণ; ","")&amp;IF(ISNUMBER(I23),IF(AND(ABS(I23)&gt;50,NOT(N(I8)&gt;0)),"পানির স্তর হঠাৎ &gt;5 সেমি বদল; ",""),""))</f>
        <v/>
      </c>
      <c r="J30" s="36" t="str">
        <f aca="false">IF(J1="","",IF(AND(ISNUMBER(J13),OR(J13&lt;-30,J13&gt;20)),"পানির স্তর সীমার বাইরে; ","")&amp;IF(AND(ISNUMBER(J12),J13=""),"TP/b নেই; ","")&amp;IF(AND(ISNUMBER(J19),ISNUMBER(J20)),IF(J20&lt;J19,"সেচের পরে &lt; আগে; ",""),"")&amp;IF(AND(ISNUMBER(J12),ISNUMBER(J16)&lt;&gt;ISNUMBER(J17)),"সেচের মাপ অসম্পূর্ণ; ","")&amp;IF(ISNUMBER(J23),IF(AND(ABS(J23)&gt;50,NOT(N(J8)&gt;0)),"পানির স্তর হঠাৎ &gt;5 সেমি বদল; ",""),""))</f>
        <v/>
      </c>
      <c r="K30" s="36" t="str">
        <f aca="false">IF(K1="","",IF(AND(ISNUMBER(K13),OR(K13&lt;-30,K13&gt;20)),"পানির স্তর সীমার বাইরে; ","")&amp;IF(AND(ISNUMBER(K12),K13=""),"TP/b নেই; ","")&amp;IF(AND(ISNUMBER(K19),ISNUMBER(K20)),IF(K20&lt;K19,"সেচের পরে &lt; আগে; ",""),"")&amp;IF(AND(ISNUMBER(K12),ISNUMBER(K16)&lt;&gt;ISNUMBER(K17)),"সেচের মাপ অসম্পূর্ণ; ","")&amp;IF(ISNUMBER(K23),IF(AND(ABS(K23)&gt;50,NOT(N(K8)&gt;0)),"পানির স্তর হঠাৎ &gt;5 সেমি বদল; ",""),""))</f>
        <v/>
      </c>
      <c r="L30" s="36" t="str">
        <f aca="false">IF(L1="","",IF(AND(ISNUMBER(L13),OR(L13&lt;-30,L13&gt;20)),"পানির স্তর সীমার বাইরে; ","")&amp;IF(AND(ISNUMBER(L12),L13=""),"TP/b নেই; ","")&amp;IF(AND(ISNUMBER(L19),ISNUMBER(L20)),IF(L20&lt;L19,"সেচের পরে &lt; আগে; ",""),"")&amp;IF(AND(ISNUMBER(L12),ISNUMBER(L16)&lt;&gt;ISNUMBER(L17)),"সেচের মাপ অসম্পূর্ণ; ","")&amp;IF(ISNUMBER(L23),IF(AND(ABS(L23)&gt;50,NOT(N(L8)&gt;0)),"পানির স্তর হঠাৎ &gt;5 সেমি বদল; ",""),""))</f>
        <v/>
      </c>
      <c r="M30" s="36" t="str">
        <f aca="false">IF(M1="","",IF(AND(ISNUMBER(M13),OR(M13&lt;-30,M13&gt;20)),"পানির স্তর সীমার বাইরে; ","")&amp;IF(AND(ISNUMBER(M12),M13=""),"TP/b নেই; ","")&amp;IF(AND(ISNUMBER(M19),ISNUMBER(M20)),IF(M20&lt;M19,"সেচের পরে &lt; আগে; ",""),"")&amp;IF(AND(ISNUMBER(M12),ISNUMBER(M16)&lt;&gt;ISNUMBER(M17)),"সেচের মাপ অসম্পূর্ণ; ","")&amp;IF(ISNUMBER(M23),IF(AND(ABS(M23)&gt;50,NOT(N(M8)&gt;0)),"পানির স্তর হঠাৎ &gt;5 সেমি বদল; ",""),""))</f>
        <v/>
      </c>
      <c r="N30" s="36" t="str">
        <f aca="false">IF(N1="","",IF(AND(ISNUMBER(N13),OR(N13&lt;-30,N13&gt;20)),"পানির স্তর সীমার বাইরে; ","")&amp;IF(AND(ISNUMBER(N12),N13=""),"TP/b নেই; ","")&amp;IF(AND(ISNUMBER(N19),ISNUMBER(N20)),IF(N20&lt;N19,"সেচের পরে &lt; আগে; ",""),"")&amp;IF(AND(ISNUMBER(N12),ISNUMBER(N16)&lt;&gt;ISNUMBER(N17)),"সেচের মাপ অসম্পূর্ণ; ","")&amp;IF(ISNUMBER(N23),IF(AND(ABS(N23)&gt;50,NOT(N(N8)&gt;0)),"পানির স্তর হঠাৎ &gt;5 সেমি বদল; ",""),""))</f>
        <v/>
      </c>
      <c r="O30" s="36" t="str">
        <f aca="false">IF(O1="","",IF(AND(ISNUMBER(O13),OR(O13&lt;-30,O13&gt;20)),"পানির স্তর সীমার বাইরে; ","")&amp;IF(AND(ISNUMBER(O12),O13=""),"TP/b নেই; ","")&amp;IF(AND(ISNUMBER(O19),ISNUMBER(O20)),IF(O20&lt;O19,"সেচের পরে &lt; আগে; ",""),"")&amp;IF(AND(ISNUMBER(O12),ISNUMBER(O16)&lt;&gt;ISNUMBER(O17)),"সেচের মাপ অসম্পূর্ণ; ","")&amp;IF(ISNUMBER(O23),IF(AND(ABS(O23)&gt;50,NOT(N(O8)&gt;0)),"পানির স্তর হঠাৎ &gt;5 সেমি বদল; ",""),""))</f>
        <v/>
      </c>
      <c r="P30" s="36" t="str">
        <f aca="false">IF(P1="","",IF(AND(ISNUMBER(P13),OR(P13&lt;-30,P13&gt;20)),"পানির স্তর সীমার বাইরে; ","")&amp;IF(AND(ISNUMBER(P12),P13=""),"TP/b নেই; ","")&amp;IF(AND(ISNUMBER(P19),ISNUMBER(P20)),IF(P20&lt;P19,"সেচের পরে &lt; আগে; ",""),"")&amp;IF(AND(ISNUMBER(P12),ISNUMBER(P16)&lt;&gt;ISNUMBER(P17)),"সেচের মাপ অসম্পূর্ণ; ","")&amp;IF(ISNUMBER(P23),IF(AND(ABS(P23)&gt;50,NOT(N(P8)&gt;0)),"পানির স্তর হঠাৎ &gt;5 সেমি বদল; ",""),""))</f>
        <v/>
      </c>
      <c r="Q30" s="36" t="str">
        <f aca="false">IF(Q1="","",IF(AND(ISNUMBER(Q13),OR(Q13&lt;-30,Q13&gt;20)),"পানির স্তর সীমার বাইরে; ","")&amp;IF(AND(ISNUMBER(Q12),Q13=""),"TP/b নেই; ","")&amp;IF(AND(ISNUMBER(Q19),ISNUMBER(Q20)),IF(Q20&lt;Q19,"সেচের পরে &lt; আগে; ",""),"")&amp;IF(AND(ISNUMBER(Q12),ISNUMBER(Q16)&lt;&gt;ISNUMBER(Q17)),"সেচের মাপ অসম্পূর্ণ; ","")&amp;IF(ISNUMBER(Q23),IF(AND(ABS(Q23)&gt;50,NOT(N(Q8)&gt;0)),"পানির স্তর হঠাৎ &gt;5 সেমি বদল; ",""),""))</f>
        <v/>
      </c>
      <c r="R30" s="36" t="str">
        <f aca="false">IF(R1="","",IF(AND(ISNUMBER(R13),OR(R13&lt;-30,R13&gt;20)),"পানির স্তর সীমার বাইরে; ","")&amp;IF(AND(ISNUMBER(R12),R13=""),"TP/b নেই; ","")&amp;IF(AND(ISNUMBER(R19),ISNUMBER(R20)),IF(R20&lt;R19,"সেচের পরে &lt; আগে; ",""),"")&amp;IF(AND(ISNUMBER(R12),ISNUMBER(R16)&lt;&gt;ISNUMBER(R17)),"সেচের মাপ অসম্পূর্ণ; ","")&amp;IF(ISNUMBER(R23),IF(AND(ABS(R23)&gt;50,NOT(N(R8)&gt;0)),"পানির স্তর হঠাৎ &gt;5 সেমি বদল; ",""),""))</f>
        <v/>
      </c>
      <c r="S30" s="36" t="str">
        <f aca="false">IF(S1="","",IF(AND(ISNUMBER(S13),OR(S13&lt;-30,S13&gt;20)),"পানির স্তর সীমার বাইরে; ","")&amp;IF(AND(ISNUMBER(S12),S13=""),"TP/b নেই; ","")&amp;IF(AND(ISNUMBER(S19),ISNUMBER(S20)),IF(S20&lt;S19,"সেচের পরে &lt; আগে; ",""),"")&amp;IF(AND(ISNUMBER(S12),ISNUMBER(S16)&lt;&gt;ISNUMBER(S17)),"সেচের মাপ অসম্পূর্ণ; ","")&amp;IF(ISNUMBER(S23),IF(AND(ABS(S23)&gt;50,NOT(N(S8)&gt;0)),"পানির স্তর হঠাৎ &gt;5 সেমি বদল; ",""),""))</f>
        <v/>
      </c>
      <c r="T30" s="36" t="str">
        <f aca="false">IF(T1="","",IF(AND(ISNUMBER(T13),OR(T13&lt;-30,T13&gt;20)),"পানির স্তর সীমার বাইরে; ","")&amp;IF(AND(ISNUMBER(T12),T13=""),"TP/b নেই; ","")&amp;IF(AND(ISNUMBER(T19),ISNUMBER(T20)),IF(T20&lt;T19,"সেচের পরে &lt; আগে; ",""),"")&amp;IF(AND(ISNUMBER(T12),ISNUMBER(T16)&lt;&gt;ISNUMBER(T17)),"সেচের মাপ অসম্পূর্ণ; ","")&amp;IF(ISNUMBER(T23),IF(AND(ABS(T23)&gt;50,NOT(N(T8)&gt;0)),"পানির স্তর হঠাৎ &gt;5 সেমি বদল; ",""),""))</f>
        <v/>
      </c>
      <c r="U30" s="36" t="str">
        <f aca="false">IF(U1="","",IF(AND(ISNUMBER(U13),OR(U13&lt;-30,U13&gt;20)),"পানির স্তর সীমার বাইরে; ","")&amp;IF(AND(ISNUMBER(U12),U13=""),"TP/b নেই; ","")&amp;IF(AND(ISNUMBER(U19),ISNUMBER(U20)),IF(U20&lt;U19,"সেচের পরে &lt; আগে; ",""),"")&amp;IF(AND(ISNUMBER(U12),ISNUMBER(U16)&lt;&gt;ISNUMBER(U17)),"সেচের মাপ অসম্পূর্ণ; ","")&amp;IF(ISNUMBER(U23),IF(AND(ABS(U23)&gt;50,NOT(N(U8)&gt;0)),"পানির স্তর হঠাৎ &gt;5 সেমি বদল; ",""),""))</f>
        <v/>
      </c>
      <c r="V30" s="36" t="str">
        <f aca="false">IF(V1="","",IF(AND(ISNUMBER(V13),OR(V13&lt;-30,V13&gt;20)),"পানির স্তর সীমার বাইরে; ","")&amp;IF(AND(ISNUMBER(V12),V13=""),"TP/b নেই; ","")&amp;IF(AND(ISNUMBER(V19),ISNUMBER(V20)),IF(V20&lt;V19,"সেচের পরে &lt; আগে; ",""),"")&amp;IF(AND(ISNUMBER(V12),ISNUMBER(V16)&lt;&gt;ISNUMBER(V17)),"সেচের মাপ অসম্পূর্ণ; ","")&amp;IF(ISNUMBER(V23),IF(AND(ABS(V23)&gt;50,NOT(N(V8)&gt;0)),"পানির স্তর হঠাৎ &gt;5 সেমি বদল; ",""),""))</f>
        <v/>
      </c>
      <c r="W30" s="36" t="str">
        <f aca="false">IF(W1="","",IF(AND(ISNUMBER(W13),OR(W13&lt;-30,W13&gt;20)),"পানির স্তর সীমার বাইরে; ","")&amp;IF(AND(ISNUMBER(W12),W13=""),"TP/b নেই; ","")&amp;IF(AND(ISNUMBER(W19),ISNUMBER(W20)),IF(W20&lt;W19,"সেচের পরে &lt; আগে; ",""),"")&amp;IF(AND(ISNUMBER(W12),ISNUMBER(W16)&lt;&gt;ISNUMBER(W17)),"সেচের মাপ অসম্পূর্ণ; ","")&amp;IF(ISNUMBER(W23),IF(AND(ABS(W23)&gt;50,NOT(N(W8)&gt;0)),"পানির স্তর হঠাৎ &gt;5 সেমি বদল; ",""),""))</f>
        <v/>
      </c>
      <c r="X30" s="36" t="str">
        <f aca="false">IF(X1="","",IF(AND(ISNUMBER(X13),OR(X13&lt;-30,X13&gt;20)),"পানির স্তর সীমার বাইরে; ","")&amp;IF(AND(ISNUMBER(X12),X13=""),"TP/b নেই; ","")&amp;IF(AND(ISNUMBER(X19),ISNUMBER(X20)),IF(X20&lt;X19,"সেচের পরে &lt; আগে; ",""),"")&amp;IF(AND(ISNUMBER(X12),ISNUMBER(X16)&lt;&gt;ISNUMBER(X17)),"সেচের মাপ অসম্পূর্ণ; ","")&amp;IF(ISNUMBER(X23),IF(AND(ABS(X23)&gt;50,NOT(N(X8)&gt;0)),"পানির স্তর হঠাৎ &gt;5 সেমি বদল; ",""),""))</f>
        <v/>
      </c>
      <c r="Y30" s="36" t="str">
        <f aca="false">IF(Y1="","",IF(AND(ISNUMBER(Y13),OR(Y13&lt;-30,Y13&gt;20)),"পানির স্তর সীমার বাইরে; ","")&amp;IF(AND(ISNUMBER(Y12),Y13=""),"TP/b নেই; ","")&amp;IF(AND(ISNUMBER(Y19),ISNUMBER(Y20)),IF(Y20&lt;Y19,"সেচের পরে &lt; আগে; ",""),"")&amp;IF(AND(ISNUMBER(Y12),ISNUMBER(Y16)&lt;&gt;ISNUMBER(Y17)),"সেচের মাপ অসম্পূর্ণ; ","")&amp;IF(ISNUMBER(Y23),IF(AND(ABS(Y23)&gt;50,NOT(N(Y8)&gt;0)),"পানির স্তর হঠাৎ &gt;5 সেমি বদল; ",""),""))</f>
        <v/>
      </c>
      <c r="Z30" s="36" t="str">
        <f aca="false">IF(Z1="","",IF(AND(ISNUMBER(Z13),OR(Z13&lt;-30,Z13&gt;20)),"পানির স্তর সীমার বাইরে; ","")&amp;IF(AND(ISNUMBER(Z12),Z13=""),"TP/b নেই; ","")&amp;IF(AND(ISNUMBER(Z19),ISNUMBER(Z20)),IF(Z20&lt;Z19,"সেচের পরে &lt; আগে; ",""),"")&amp;IF(AND(ISNUMBER(Z12),ISNUMBER(Z16)&lt;&gt;ISNUMBER(Z17)),"সেচের মাপ অসম্পূর্ণ; ","")&amp;IF(ISNUMBER(Z23),IF(AND(ABS(Z23)&gt;50,NOT(N(Z8)&gt;0)),"পানির স্তর হঠাৎ &gt;5 সেমি বদল; ",""),""))</f>
        <v/>
      </c>
      <c r="AA30" s="36" t="str">
        <f aca="false">IF(AA1="","",IF(AND(ISNUMBER(AA13),OR(AA13&lt;-30,AA13&gt;20)),"পানির স্তর সীমার বাইরে; ","")&amp;IF(AND(ISNUMBER(AA12),AA13=""),"TP/b নেই; ","")&amp;IF(AND(ISNUMBER(AA19),ISNUMBER(AA20)),IF(AA20&lt;AA19,"সেচের পরে &lt; আগে; ",""),"")&amp;IF(AND(ISNUMBER(AA12),ISNUMBER(AA16)&lt;&gt;ISNUMBER(AA17)),"সেচের মাপ অসম্পূর্ণ; ","")&amp;IF(ISNUMBER(AA23),IF(AND(ABS(AA23)&gt;50,NOT(N(AA8)&gt;0)),"পানির স্তর হঠাৎ &gt;5 সেমি বদল; ",""),""))</f>
        <v/>
      </c>
      <c r="AB30" s="36" t="str">
        <f aca="false">IF(AB1="","",IF(AND(ISNUMBER(AB13),OR(AB13&lt;-30,AB13&gt;20)),"পানির স্তর সীমার বাইরে; ","")&amp;IF(AND(ISNUMBER(AB12),AB13=""),"TP/b নেই; ","")&amp;IF(AND(ISNUMBER(AB19),ISNUMBER(AB20)),IF(AB20&lt;AB19,"সেচের পরে &lt; আগে; ",""),"")&amp;IF(AND(ISNUMBER(AB12),ISNUMBER(AB16)&lt;&gt;ISNUMBER(AB17)),"সেচের মাপ অসম্পূর্ণ; ","")&amp;IF(ISNUMBER(AB23),IF(AND(ABS(AB23)&gt;50,NOT(N(AB8)&gt;0)),"পানির স্তর হঠাৎ &gt;5 সেমি বদল; ",""),""))</f>
        <v/>
      </c>
      <c r="AC30" s="36" t="str">
        <f aca="false">IF(AC1="","",IF(AND(ISNUMBER(AC13),OR(AC13&lt;-30,AC13&gt;20)),"পানির স্তর সীমার বাইরে; ","")&amp;IF(AND(ISNUMBER(AC12),AC13=""),"TP/b নেই; ","")&amp;IF(AND(ISNUMBER(AC19),ISNUMBER(AC20)),IF(AC20&lt;AC19,"সেচের পরে &lt; আগে; ",""),"")&amp;IF(AND(ISNUMBER(AC12),ISNUMBER(AC16)&lt;&gt;ISNUMBER(AC17)),"সেচের মাপ অসম্পূর্ণ; ","")&amp;IF(ISNUMBER(AC23),IF(AND(ABS(AC23)&gt;50,NOT(N(AC8)&gt;0)),"পানির স্তর হঠাৎ &gt;5 সেমি বদল; ",""),""))</f>
        <v/>
      </c>
      <c r="AD30" s="36" t="str">
        <f aca="false">IF(AD1="","",IF(AND(ISNUMBER(AD13),OR(AD13&lt;-30,AD13&gt;20)),"পানির স্তর সীমার বাইরে; ","")&amp;IF(AND(ISNUMBER(AD12),AD13=""),"TP/b নেই; ","")&amp;IF(AND(ISNUMBER(AD19),ISNUMBER(AD20)),IF(AD20&lt;AD19,"সেচের পরে &lt; আগে; ",""),"")&amp;IF(AND(ISNUMBER(AD12),ISNUMBER(AD16)&lt;&gt;ISNUMBER(AD17)),"সেচের মাপ অসম্পূর্ণ; ","")&amp;IF(ISNUMBER(AD23),IF(AND(ABS(AD23)&gt;50,NOT(N(AD8)&gt;0)),"পানির স্তর হঠাৎ &gt;5 সেমি বদল; ",""),""))</f>
        <v/>
      </c>
      <c r="AE30" s="36" t="str">
        <f aca="false">IF(AE1="","",IF(AND(ISNUMBER(AE13),OR(AE13&lt;-30,AE13&gt;20)),"পানির স্তর সীমার বাইরে; ","")&amp;IF(AND(ISNUMBER(AE12),AE13=""),"TP/b নেই; ","")&amp;IF(AND(ISNUMBER(AE19),ISNUMBER(AE20)),IF(AE20&lt;AE19,"সেচের পরে &lt; আগে; ",""),"")&amp;IF(AND(ISNUMBER(AE12),ISNUMBER(AE16)&lt;&gt;ISNUMBER(AE17)),"সেচের মাপ অসম্পূর্ণ; ","")&amp;IF(ISNUMBER(AE23),IF(AND(ABS(AE23)&gt;50,NOT(N(AE8)&gt;0)),"পানির স্তর হঠাৎ &gt;5 সেমি বদল; ",""),""))</f>
        <v/>
      </c>
      <c r="AF30" s="36" t="str">
        <f aca="false">IF(AF1="","",IF(AND(ISNUMBER(AF13),OR(AF13&lt;-30,AF13&gt;20)),"পানির স্তর সীমার বাইরে; ","")&amp;IF(AND(ISNUMBER(AF12),AF13=""),"TP/b নেই; ","")&amp;IF(AND(ISNUMBER(AF19),ISNUMBER(AF20)),IF(AF20&lt;AF19,"সেচের পরে &lt; আগে; ",""),"")&amp;IF(AND(ISNUMBER(AF12),ISNUMBER(AF16)&lt;&gt;ISNUMBER(AF17)),"সেচের মাপ অসম্পূর্ণ; ","")&amp;IF(ISNUMBER(AF23),IF(AND(ABS(AF23)&gt;50,NOT(N(AF8)&gt;0)),"পানির স্তর হঠাৎ &gt;5 সেমি বদল; ",""),""))</f>
        <v/>
      </c>
      <c r="AG30" s="36" t="str">
        <f aca="false">IF(AG1="","",IF(AND(ISNUMBER(AG13),OR(AG13&lt;-30,AG13&gt;20)),"পানির স্তর সীমার বাইরে; ","")&amp;IF(AND(ISNUMBER(AG12),AG13=""),"TP/b নেই; ","")&amp;IF(AND(ISNUMBER(AG19),ISNUMBER(AG20)),IF(AG20&lt;AG19,"সেচের পরে &lt; আগে; ",""),"")&amp;IF(AND(ISNUMBER(AG12),ISNUMBER(AG16)&lt;&gt;ISNUMBER(AG17)),"সেচের মাপ অসম্পূর্ণ; ","")&amp;IF(ISNUMBER(AG23),IF(AND(ABS(AG23)&gt;50,NOT(N(AG8)&gt;0)),"পানির স্তর হঠাৎ &gt;5 সেমি বদল; ",""),""))</f>
        <v/>
      </c>
      <c r="AH30" s="36" t="str">
        <f aca="false">IF(AH1="","",IF(AND(ISNUMBER(AH13),OR(AH13&lt;-30,AH13&gt;20)),"পানির স্তর সীমার বাইরে; ","")&amp;IF(AND(ISNUMBER(AH12),AH13=""),"TP/b নেই; ","")&amp;IF(AND(ISNUMBER(AH19),ISNUMBER(AH20)),IF(AH20&lt;AH19,"সেচের পরে &lt; আগে; ",""),"")&amp;IF(AND(ISNUMBER(AH12),ISNUMBER(AH16)&lt;&gt;ISNUMBER(AH17)),"সেচের মাপ অসম্পূর্ণ; ","")&amp;IF(ISNUMBER(AH23),IF(AND(ABS(AH23)&gt;50,NOT(N(AH8)&gt;0)),"পানির স্তর হঠাৎ &gt;5 সেমি বদল; ",""),""))</f>
        <v/>
      </c>
      <c r="AI30" s="36" t="str">
        <f aca="false">IF(AI1="","",IF(AND(ISNUMBER(AI13),OR(AI13&lt;-30,AI13&gt;20)),"পানির স্তর সীমার বাইরে; ","")&amp;IF(AND(ISNUMBER(AI12),AI13=""),"TP/b নেই; ","")&amp;IF(AND(ISNUMBER(AI19),ISNUMBER(AI20)),IF(AI20&lt;AI19,"সেচের পরে &lt; আগে; ",""),"")&amp;IF(AND(ISNUMBER(AI12),ISNUMBER(AI16)&lt;&gt;ISNUMBER(AI17)),"সেচের মাপ অসম্পূর্ণ; ","")&amp;IF(ISNUMBER(AI23),IF(AND(ABS(AI23)&gt;50,NOT(N(AI8)&gt;0)),"পানির স্তর হঠাৎ &gt;5 সেমি বদল; ",""),""))</f>
        <v/>
      </c>
      <c r="AJ30" s="36" t="str">
        <f aca="false">IF(AJ1="","",IF(AND(ISNUMBER(AJ13),OR(AJ13&lt;-30,AJ13&gt;20)),"পানির স্তর সীমার বাইরে; ","")&amp;IF(AND(ISNUMBER(AJ12),AJ13=""),"TP/b নেই; ","")&amp;IF(AND(ISNUMBER(AJ19),ISNUMBER(AJ20)),IF(AJ20&lt;AJ19,"সেচের পরে &lt; আগে; ",""),"")&amp;IF(AND(ISNUMBER(AJ12),ISNUMBER(AJ16)&lt;&gt;ISNUMBER(AJ17)),"সেচের মাপ অসম্পূর্ণ; ","")&amp;IF(ISNUMBER(AJ23),IF(AND(ABS(AJ23)&gt;50,NOT(N(AJ8)&gt;0)),"পানির স্তর হঠাৎ &gt;5 সেমি বদল; ",""),""))</f>
        <v/>
      </c>
      <c r="AK30" s="36" t="str">
        <f aca="false">IF(AK1="","",IF(AND(ISNUMBER(AK13),OR(AK13&lt;-30,AK13&gt;20)),"পানির স্তর সীমার বাইরে; ","")&amp;IF(AND(ISNUMBER(AK12),AK13=""),"TP/b নেই; ","")&amp;IF(AND(ISNUMBER(AK19),ISNUMBER(AK20)),IF(AK20&lt;AK19,"সেচের পরে &lt; আগে; ",""),"")&amp;IF(AND(ISNUMBER(AK12),ISNUMBER(AK16)&lt;&gt;ISNUMBER(AK17)),"সেচের মাপ অসম্পূর্ণ; ","")&amp;IF(ISNUMBER(AK23),IF(AND(ABS(AK23)&gt;50,NOT(N(AK8)&gt;0)),"পানির স্তর হঠাৎ &gt;5 সেমি বদল; ",""),""))</f>
        <v/>
      </c>
      <c r="AL30" s="36" t="str">
        <f aca="false">IF(AL1="","",IF(AND(ISNUMBER(AL13),OR(AL13&lt;-30,AL13&gt;20)),"পানির স্তর সীমার বাইরে; ","")&amp;IF(AND(ISNUMBER(AL12),AL13=""),"TP/b নেই; ","")&amp;IF(AND(ISNUMBER(AL19),ISNUMBER(AL20)),IF(AL20&lt;AL19,"সেচের পরে &lt; আগে; ",""),"")&amp;IF(AND(ISNUMBER(AL12),ISNUMBER(AL16)&lt;&gt;ISNUMBER(AL17)),"সেচের মাপ অসম্পূর্ণ; ","")&amp;IF(ISNUMBER(AL23),IF(AND(ABS(AL23)&gt;50,NOT(N(AL8)&gt;0)),"পানির স্তর হঠাৎ &gt;5 সেমি বদল; ",""),""))</f>
        <v/>
      </c>
      <c r="AM30" s="36" t="str">
        <f aca="false">IF(AM1="","",IF(AND(ISNUMBER(AM13),OR(AM13&lt;-30,AM13&gt;20)),"পানির স্তর সীমার বাইরে; ","")&amp;IF(AND(ISNUMBER(AM12),AM13=""),"TP/b নেই; ","")&amp;IF(AND(ISNUMBER(AM19),ISNUMBER(AM20)),IF(AM20&lt;AM19,"সেচের পরে &lt; আগে; ",""),"")&amp;IF(AND(ISNUMBER(AM12),ISNUMBER(AM16)&lt;&gt;ISNUMBER(AM17)),"সেচের মাপ অসম্পূর্ণ; ","")&amp;IF(ISNUMBER(AM23),IF(AND(ABS(AM23)&gt;50,NOT(N(AM8)&gt;0)),"পানির স্তর হঠাৎ &gt;5 সেমি বদল; ",""),""))</f>
        <v/>
      </c>
      <c r="AN30" s="36" t="str">
        <f aca="false">IF(AN1="","",IF(AND(ISNUMBER(AN13),OR(AN13&lt;-30,AN13&gt;20)),"পানির স্তর সীমার বাইরে; ","")&amp;IF(AND(ISNUMBER(AN12),AN13=""),"TP/b নেই; ","")&amp;IF(AND(ISNUMBER(AN19),ISNUMBER(AN20)),IF(AN20&lt;AN19,"সেচের পরে &lt; আগে; ",""),"")&amp;IF(AND(ISNUMBER(AN12),ISNUMBER(AN16)&lt;&gt;ISNUMBER(AN17)),"সেচের মাপ অসম্পূর্ণ; ","")&amp;IF(ISNUMBER(AN23),IF(AND(ABS(AN23)&gt;50,NOT(N(AN8)&gt;0)),"পানির স্তর হঠাৎ &gt;5 সেমি বদল; ",""),""))</f>
        <v/>
      </c>
      <c r="AO30" s="36" t="str">
        <f aca="false">IF(AO1="","",IF(AND(ISNUMBER(AO13),OR(AO13&lt;-30,AO13&gt;20)),"পানির স্তর সীমার বাইরে; ","")&amp;IF(AND(ISNUMBER(AO12),AO13=""),"TP/b নেই; ","")&amp;IF(AND(ISNUMBER(AO19),ISNUMBER(AO20)),IF(AO20&lt;AO19,"সেচের পরে &lt; আগে; ",""),"")&amp;IF(AND(ISNUMBER(AO12),ISNUMBER(AO16)&lt;&gt;ISNUMBER(AO17)),"সেচের মাপ অসম্পূর্ণ; ","")&amp;IF(ISNUMBER(AO23),IF(AND(ABS(AO23)&gt;50,NOT(N(AO8)&gt;0)),"পানির স্তর হঠাৎ &gt;5 সেমি বদল; ",""),""))</f>
        <v/>
      </c>
      <c r="AP30" s="36" t="str">
        <f aca="false">IF(AP1="","",IF(AND(ISNUMBER(AP13),OR(AP13&lt;-30,AP13&gt;20)),"পানির স্তর সীমার বাইরে; ","")&amp;IF(AND(ISNUMBER(AP12),AP13=""),"TP/b নেই; ","")&amp;IF(AND(ISNUMBER(AP19),ISNUMBER(AP20)),IF(AP20&lt;AP19,"সেচের পরে &lt; আগে; ",""),"")&amp;IF(AND(ISNUMBER(AP12),ISNUMBER(AP16)&lt;&gt;ISNUMBER(AP17)),"সেচের মাপ অসম্পূর্ণ; ","")&amp;IF(ISNUMBER(AP23),IF(AND(ABS(AP23)&gt;50,NOT(N(AP8)&gt;0)),"পানির স্তর হঠাৎ &gt;5 সেমি বদল; ",""),""))</f>
        <v/>
      </c>
      <c r="AQ30" s="36" t="str">
        <f aca="false">IF(AQ1="","",IF(AND(ISNUMBER(AQ13),OR(AQ13&lt;-30,AQ13&gt;20)),"পানির স্তর সীমার বাইরে; ","")&amp;IF(AND(ISNUMBER(AQ12),AQ13=""),"TP/b নেই; ","")&amp;IF(AND(ISNUMBER(AQ19),ISNUMBER(AQ20)),IF(AQ20&lt;AQ19,"সেচের পরে &lt; আগে; ",""),"")&amp;IF(AND(ISNUMBER(AQ12),ISNUMBER(AQ16)&lt;&gt;ISNUMBER(AQ17)),"সেচের মাপ অসম্পূর্ণ; ","")&amp;IF(ISNUMBER(AQ23),IF(AND(ABS(AQ23)&gt;50,NOT(N(AQ8)&gt;0)),"পানির স্তর হঠাৎ &gt;5 সেমি বদল; ",""),""))</f>
        <v/>
      </c>
      <c r="AR30" s="36" t="str">
        <f aca="false">IF(AR1="","",IF(AND(ISNUMBER(AR13),OR(AR13&lt;-30,AR13&gt;20)),"পানির স্তর সীমার বাইরে; ","")&amp;IF(AND(ISNUMBER(AR12),AR13=""),"TP/b নেই; ","")&amp;IF(AND(ISNUMBER(AR19),ISNUMBER(AR20)),IF(AR20&lt;AR19,"সেচের পরে &lt; আগে; ",""),"")&amp;IF(AND(ISNUMBER(AR12),ISNUMBER(AR16)&lt;&gt;ISNUMBER(AR17)),"সেচের মাপ অসম্পূর্ণ; ","")&amp;IF(ISNUMBER(AR23),IF(AND(ABS(AR23)&gt;50,NOT(N(AR8)&gt;0)),"পানির স্তর হঠাৎ &gt;5 সেমি বদল; ",""),""))</f>
        <v/>
      </c>
      <c r="AS30" s="36" t="str">
        <f aca="false">IF(AS1="","",IF(AND(ISNUMBER(AS13),OR(AS13&lt;-30,AS13&gt;20)),"পানির স্তর সীমার বাইরে; ","")&amp;IF(AND(ISNUMBER(AS12),AS13=""),"TP/b নেই; ","")&amp;IF(AND(ISNUMBER(AS19),ISNUMBER(AS20)),IF(AS20&lt;AS19,"সেচের পরে &lt; আগে; ",""),"")&amp;IF(AND(ISNUMBER(AS12),ISNUMBER(AS16)&lt;&gt;ISNUMBER(AS17)),"সেচের মাপ অসম্পূর্ণ; ","")&amp;IF(ISNUMBER(AS23),IF(AND(ABS(AS23)&gt;50,NOT(N(AS8)&gt;0)),"পানির স্তর হঠাৎ &gt;5 সেমি বদল; ",""),""))</f>
        <v/>
      </c>
      <c r="AT30" s="36" t="str">
        <f aca="false">IF(AT1="","",IF(AND(ISNUMBER(AT13),OR(AT13&lt;-30,AT13&gt;20)),"পানির স্তর সীমার বাইরে; ","")&amp;IF(AND(ISNUMBER(AT12),AT13=""),"TP/b নেই; ","")&amp;IF(AND(ISNUMBER(AT19),ISNUMBER(AT20)),IF(AT20&lt;AT19,"সেচের পরে &lt; আগে; ",""),"")&amp;IF(AND(ISNUMBER(AT12),ISNUMBER(AT16)&lt;&gt;ISNUMBER(AT17)),"সেচের মাপ অসম্পূর্ণ; ","")&amp;IF(ISNUMBER(AT23),IF(AND(ABS(AT23)&gt;50,NOT(N(AT8)&gt;0)),"পানির স্তর হঠাৎ &gt;5 সেমি বদল; ",""),""))</f>
        <v/>
      </c>
      <c r="AU30" s="36" t="str">
        <f aca="false">IF(AU1="","",IF(AND(ISNUMBER(AU13),OR(AU13&lt;-30,AU13&gt;20)),"পানির স্তর সীমার বাইরে; ","")&amp;IF(AND(ISNUMBER(AU12),AU13=""),"TP/b নেই; ","")&amp;IF(AND(ISNUMBER(AU19),ISNUMBER(AU20)),IF(AU20&lt;AU19,"সেচের পরে &lt; আগে; ",""),"")&amp;IF(AND(ISNUMBER(AU12),ISNUMBER(AU16)&lt;&gt;ISNUMBER(AU17)),"সেচের মাপ অসম্পূর্ণ; ","")&amp;IF(ISNUMBER(AU23),IF(AND(ABS(AU23)&gt;50,NOT(N(AU8)&gt;0)),"পানির স্তর হঠাৎ &gt;5 সেমি বদল; ",""),""))</f>
        <v/>
      </c>
      <c r="AV30" s="36" t="str">
        <f aca="false">IF(AV1="","",IF(AND(ISNUMBER(AV13),OR(AV13&lt;-30,AV13&gt;20)),"পানির স্তর সীমার বাইরে; ","")&amp;IF(AND(ISNUMBER(AV12),AV13=""),"TP/b নেই; ","")&amp;IF(AND(ISNUMBER(AV19),ISNUMBER(AV20)),IF(AV20&lt;AV19,"সেচের পরে &lt; আগে; ",""),"")&amp;IF(AND(ISNUMBER(AV12),ISNUMBER(AV16)&lt;&gt;ISNUMBER(AV17)),"সেচের মাপ অসম্পূর্ণ; ","")&amp;IF(ISNUMBER(AV23),IF(AND(ABS(AV23)&gt;50,NOT(N(AV8)&gt;0)),"পানির স্তর হঠাৎ &gt;5 সেমি বদল; ",""),""))</f>
        <v/>
      </c>
      <c r="AW30" s="36" t="str">
        <f aca="false">IF(AW1="","",IF(AND(ISNUMBER(AW13),OR(AW13&lt;-30,AW13&gt;20)),"পানির স্তর সীমার বাইরে; ","")&amp;IF(AND(ISNUMBER(AW12),AW13=""),"TP/b নেই; ","")&amp;IF(AND(ISNUMBER(AW19),ISNUMBER(AW20)),IF(AW20&lt;AW19,"সেচের পরে &lt; আগে; ",""),"")&amp;IF(AND(ISNUMBER(AW12),ISNUMBER(AW16)&lt;&gt;ISNUMBER(AW17)),"সেচের মাপ অসম্পূর্ণ; ","")&amp;IF(ISNUMBER(AW23),IF(AND(ABS(AW23)&gt;50,NOT(N(AW8)&gt;0)),"পানির স্তর হঠাৎ &gt;5 সেমি বদল; ",""),""))</f>
        <v/>
      </c>
      <c r="AX30" s="36" t="str">
        <f aca="false">IF(AX1="","",IF(AND(ISNUMBER(AX13),OR(AX13&lt;-30,AX13&gt;20)),"পানির স্তর সীমার বাইরে; ","")&amp;IF(AND(ISNUMBER(AX12),AX13=""),"TP/b নেই; ","")&amp;IF(AND(ISNUMBER(AX19),ISNUMBER(AX20)),IF(AX20&lt;AX19,"সেচের পরে &lt; আগে; ",""),"")&amp;IF(AND(ISNUMBER(AX12),ISNUMBER(AX16)&lt;&gt;ISNUMBER(AX17)),"সেচের মাপ অসম্পূর্ণ; ","")&amp;IF(ISNUMBER(AX23),IF(AND(ABS(AX23)&gt;50,NOT(N(AX8)&gt;0)),"পানির স্তর হঠাৎ &gt;5 সেমি বদল; ",""),""))</f>
        <v/>
      </c>
      <c r="AY30" s="36" t="str">
        <f aca="false">IF(AY1="","",IF(AND(ISNUMBER(AY13),OR(AY13&lt;-30,AY13&gt;20)),"পানির স্তর সীমার বাইরে; ","")&amp;IF(AND(ISNUMBER(AY12),AY13=""),"TP/b নেই; ","")&amp;IF(AND(ISNUMBER(AY19),ISNUMBER(AY20)),IF(AY20&lt;AY19,"সেচের পরে &lt; আগে; ",""),"")&amp;IF(AND(ISNUMBER(AY12),ISNUMBER(AY16)&lt;&gt;ISNUMBER(AY17)),"সেচের মাপ অসম্পূর্ণ; ","")&amp;IF(ISNUMBER(AY23),IF(AND(ABS(AY23)&gt;50,NOT(N(AY8)&gt;0)),"পানির স্তর হঠাৎ &gt;5 সেমি বদল; ",""),""))</f>
        <v/>
      </c>
      <c r="AZ30" s="36" t="str">
        <f aca="false">IF(AZ1="","",IF(AND(ISNUMBER(AZ13),OR(AZ13&lt;-30,AZ13&gt;20)),"পানির স্তর সীমার বাইরে; ","")&amp;IF(AND(ISNUMBER(AZ12),AZ13=""),"TP/b নেই; ","")&amp;IF(AND(ISNUMBER(AZ19),ISNUMBER(AZ20)),IF(AZ20&lt;AZ19,"সেচের পরে &lt; আগে; ",""),"")&amp;IF(AND(ISNUMBER(AZ12),ISNUMBER(AZ16)&lt;&gt;ISNUMBER(AZ17)),"সেচের মাপ অসম্পূর্ণ; ","")&amp;IF(ISNUMBER(AZ23),IF(AND(ABS(AZ23)&gt;50,NOT(N(AZ8)&gt;0)),"পানির স্তর হঠাৎ &gt;5 সেমি বদল; ",""),""))</f>
        <v/>
      </c>
      <c r="BA30" s="36" t="str">
        <f aca="false">IF(BA1="","",IF(AND(ISNUMBER(BA13),OR(BA13&lt;-30,BA13&gt;20)),"পানির স্তর সীমার বাইরে; ","")&amp;IF(AND(ISNUMBER(BA12),BA13=""),"TP/b নেই; ","")&amp;IF(AND(ISNUMBER(BA19),ISNUMBER(BA20)),IF(BA20&lt;BA19,"সেচের পরে &lt; আগে; ",""),"")&amp;IF(AND(ISNUMBER(BA12),ISNUMBER(BA16)&lt;&gt;ISNUMBER(BA17)),"সেচের মাপ অসম্পূর্ণ; ","")&amp;IF(ISNUMBER(BA23),IF(AND(ABS(BA23)&gt;50,NOT(N(BA8)&gt;0)),"পানির স্তর হঠাৎ &gt;5 সেমি বদল; ",""),""))</f>
        <v/>
      </c>
      <c r="BB30" s="36" t="str">
        <f aca="false">IF(BB1="","",IF(AND(ISNUMBER(BB13),OR(BB13&lt;-30,BB13&gt;20)),"পানির স্তর সীমার বাইরে; ","")&amp;IF(AND(ISNUMBER(BB12),BB13=""),"TP/b নেই; ","")&amp;IF(AND(ISNUMBER(BB19),ISNUMBER(BB20)),IF(BB20&lt;BB19,"সেচের পরে &lt; আগে; ",""),"")&amp;IF(AND(ISNUMBER(BB12),ISNUMBER(BB16)&lt;&gt;ISNUMBER(BB17)),"সেচের মাপ অসম্পূর্ণ; ","")&amp;IF(ISNUMBER(BB23),IF(AND(ABS(BB23)&gt;50,NOT(N(BB8)&gt;0)),"পানির স্তর হঠাৎ &gt;5 সেমি বদল; ",""),""))</f>
        <v/>
      </c>
      <c r="BC30" s="36" t="str">
        <f aca="false">IF(BC1="","",IF(AND(ISNUMBER(BC13),OR(BC13&lt;-30,BC13&gt;20)),"পানির স্তর সীমার বাইরে; ","")&amp;IF(AND(ISNUMBER(BC12),BC13=""),"TP/b নেই; ","")&amp;IF(AND(ISNUMBER(BC19),ISNUMBER(BC20)),IF(BC20&lt;BC19,"সেচের পরে &lt; আগে; ",""),"")&amp;IF(AND(ISNUMBER(BC12),ISNUMBER(BC16)&lt;&gt;ISNUMBER(BC17)),"সেচের মাপ অসম্পূর্ণ; ","")&amp;IF(ISNUMBER(BC23),IF(AND(ABS(BC23)&gt;50,NOT(N(BC8)&gt;0)),"পানির স্তর হঠাৎ &gt;5 সেমি বদল; ",""),""))</f>
        <v/>
      </c>
      <c r="BD30" s="36" t="str">
        <f aca="false">IF(BD1="","",IF(AND(ISNUMBER(BD13),OR(BD13&lt;-30,BD13&gt;20)),"পানির স্তর সীমার বাইরে; ","")&amp;IF(AND(ISNUMBER(BD12),BD13=""),"TP/b নেই; ","")&amp;IF(AND(ISNUMBER(BD19),ISNUMBER(BD20)),IF(BD20&lt;BD19,"সেচের পরে &lt; আগে; ",""),"")&amp;IF(AND(ISNUMBER(BD12),ISNUMBER(BD16)&lt;&gt;ISNUMBER(BD17)),"সেচের মাপ অসম্পূর্ণ; ","")&amp;IF(ISNUMBER(BD23),IF(AND(ABS(BD23)&gt;50,NOT(N(BD8)&gt;0)),"পানির স্তর হঠাৎ &gt;5 সেমি বদল; ",""),""))</f>
        <v/>
      </c>
      <c r="BE30" s="36" t="str">
        <f aca="false">IF(BE1="","",IF(AND(ISNUMBER(BE13),OR(BE13&lt;-30,BE13&gt;20)),"পানির স্তর সীমার বাইরে; ","")&amp;IF(AND(ISNUMBER(BE12),BE13=""),"TP/b নেই; ","")&amp;IF(AND(ISNUMBER(BE19),ISNUMBER(BE20)),IF(BE20&lt;BE19,"সেচের পরে &lt; আগে; ",""),"")&amp;IF(AND(ISNUMBER(BE12),ISNUMBER(BE16)&lt;&gt;ISNUMBER(BE17)),"সেচের মাপ অসম্পূর্ণ; ","")&amp;IF(ISNUMBER(BE23),IF(AND(ABS(BE23)&gt;50,NOT(N(BE8)&gt;0)),"পানির স্তর হঠাৎ &gt;5 সেমি বদল; ",""),""))</f>
        <v/>
      </c>
      <c r="BF30" s="36" t="str">
        <f aca="false">IF(BF1="","",IF(AND(ISNUMBER(BF13),OR(BF13&lt;-30,BF13&gt;20)),"পানির স্তর সীমার বাইরে; ","")&amp;IF(AND(ISNUMBER(BF12),BF13=""),"TP/b নেই; ","")&amp;IF(AND(ISNUMBER(BF19),ISNUMBER(BF20)),IF(BF20&lt;BF19,"সেচের পরে &lt; আগে; ",""),"")&amp;IF(AND(ISNUMBER(BF12),ISNUMBER(BF16)&lt;&gt;ISNUMBER(BF17)),"সেচের মাপ অসম্পূর্ণ; ","")&amp;IF(ISNUMBER(BF23),IF(AND(ABS(BF23)&gt;50,NOT(N(BF8)&gt;0)),"পানির স্তর হঠাৎ &gt;5 সেমি বদল; ",""),""))</f>
        <v/>
      </c>
      <c r="BG30" s="36" t="str">
        <f aca="false">IF(BG1="","",IF(AND(ISNUMBER(BG13),OR(BG13&lt;-30,BG13&gt;20)),"পানির স্তর সীমার বাইরে; ","")&amp;IF(AND(ISNUMBER(BG12),BG13=""),"TP/b নেই; ","")&amp;IF(AND(ISNUMBER(BG19),ISNUMBER(BG20)),IF(BG20&lt;BG19,"সেচের পরে &lt; আগে; ",""),"")&amp;IF(AND(ISNUMBER(BG12),ISNUMBER(BG16)&lt;&gt;ISNUMBER(BG17)),"সেচের মাপ অসম্পূর্ণ; ","")&amp;IF(ISNUMBER(BG23),IF(AND(ABS(BG23)&gt;50,NOT(N(BG8)&gt;0)),"পানির স্তর হঠাৎ &gt;5 সেমি বদল; ",""),""))</f>
        <v/>
      </c>
      <c r="BH30" s="36" t="str">
        <f aca="false">IF(BH1="","",IF(AND(ISNUMBER(BH13),OR(BH13&lt;-30,BH13&gt;20)),"পানির স্তর সীমার বাইরে; ","")&amp;IF(AND(ISNUMBER(BH12),BH13=""),"TP/b নেই; ","")&amp;IF(AND(ISNUMBER(BH19),ISNUMBER(BH20)),IF(BH20&lt;BH19,"সেচের পরে &lt; আগে; ",""),"")&amp;IF(AND(ISNUMBER(BH12),ISNUMBER(BH16)&lt;&gt;ISNUMBER(BH17)),"সেচের মাপ অসম্পূর্ণ; ","")&amp;IF(ISNUMBER(BH23),IF(AND(ABS(BH23)&gt;50,NOT(N(BH8)&gt;0)),"পানির স্তর হঠাৎ &gt;5 সেমি বদল; ",""),""))</f>
        <v/>
      </c>
      <c r="BI30" s="36" t="str">
        <f aca="false">IF(BI1="","",IF(AND(ISNUMBER(BI13),OR(BI13&lt;-30,BI13&gt;20)),"পানির স্তর সীমার বাইরে; ","")&amp;IF(AND(ISNUMBER(BI12),BI13=""),"TP/b নেই; ","")&amp;IF(AND(ISNUMBER(BI19),ISNUMBER(BI20)),IF(BI20&lt;BI19,"সেচের পরে &lt; আগে; ",""),"")&amp;IF(AND(ISNUMBER(BI12),ISNUMBER(BI16)&lt;&gt;ISNUMBER(BI17)),"সেচের মাপ অসম্পূর্ণ; ","")&amp;IF(ISNUMBER(BI23),IF(AND(ABS(BI23)&gt;50,NOT(N(BI8)&gt;0)),"পানির স্তর হঠাৎ &gt;5 সেমি বদল; ",""),""))</f>
        <v/>
      </c>
      <c r="BJ30" s="36" t="str">
        <f aca="false">IF(BJ1="","",IF(AND(ISNUMBER(BJ13),OR(BJ13&lt;-30,BJ13&gt;20)),"পানির স্তর সীমার বাইরে; ","")&amp;IF(AND(ISNUMBER(BJ12),BJ13=""),"TP/b নেই; ","")&amp;IF(AND(ISNUMBER(BJ19),ISNUMBER(BJ20)),IF(BJ20&lt;BJ19,"সেচের পরে &lt; আগে; ",""),"")&amp;IF(AND(ISNUMBER(BJ12),ISNUMBER(BJ16)&lt;&gt;ISNUMBER(BJ17)),"সেচের মাপ অসম্পূর্ণ; ","")&amp;IF(ISNUMBER(BJ23),IF(AND(ABS(BJ23)&gt;50,NOT(N(BJ8)&gt;0)),"পানির স্তর হঠাৎ &gt;5 সেমি বদল; ",""),""))</f>
        <v/>
      </c>
      <c r="BK30" s="36" t="str">
        <f aca="false">IF(BK1="","",IF(AND(ISNUMBER(BK13),OR(BK13&lt;-30,BK13&gt;20)),"পানির স্তর সীমার বাইরে; ","")&amp;IF(AND(ISNUMBER(BK12),BK13=""),"TP/b নেই; ","")&amp;IF(AND(ISNUMBER(BK19),ISNUMBER(BK20)),IF(BK20&lt;BK19,"সেচের পরে &lt; আগে; ",""),"")&amp;IF(AND(ISNUMBER(BK12),ISNUMBER(BK16)&lt;&gt;ISNUMBER(BK17)),"সেচের মাপ অসম্পূর্ণ; ","")&amp;IF(ISNUMBER(BK23),IF(AND(ABS(BK23)&gt;50,NOT(N(BK8)&gt;0)),"পানির স্তর হঠাৎ &gt;5 সেমি বদল; ",""),""))</f>
        <v/>
      </c>
      <c r="BL30" s="36" t="str">
        <f aca="false">IF(BL1="","",IF(AND(ISNUMBER(BL13),OR(BL13&lt;-30,BL13&gt;20)),"পানির স্তর সীমার বাইরে; ","")&amp;IF(AND(ISNUMBER(BL12),BL13=""),"TP/b নেই; ","")&amp;IF(AND(ISNUMBER(BL19),ISNUMBER(BL20)),IF(BL20&lt;BL19,"সেচের পরে &lt; আগে; ",""),"")&amp;IF(AND(ISNUMBER(BL12),ISNUMBER(BL16)&lt;&gt;ISNUMBER(BL17)),"সেচের মাপ অসম্পূর্ণ; ","")&amp;IF(ISNUMBER(BL23),IF(AND(ABS(BL23)&gt;50,NOT(N(BL8)&gt;0)),"পানির স্তর হঠাৎ &gt;5 সেমি বদল; ",""),""))</f>
        <v/>
      </c>
      <c r="BM30" s="36" t="str">
        <f aca="false">IF(BM1="","",IF(AND(ISNUMBER(BM13),OR(BM13&lt;-30,BM13&gt;20)),"পানির স্তর সীমার বাইরে; ","")&amp;IF(AND(ISNUMBER(BM12),BM13=""),"TP/b নেই; ","")&amp;IF(AND(ISNUMBER(BM19),ISNUMBER(BM20)),IF(BM20&lt;BM19,"সেচের পরে &lt; আগে; ",""),"")&amp;IF(AND(ISNUMBER(BM12),ISNUMBER(BM16)&lt;&gt;ISNUMBER(BM17)),"সেচের মাপ অসম্পূর্ণ; ","")&amp;IF(ISNUMBER(BM23),IF(AND(ABS(BM23)&gt;50,NOT(N(BM8)&gt;0)),"পানির স্তর হঠাৎ &gt;5 সেমি বদল; ",""),""))</f>
        <v/>
      </c>
      <c r="BN30" s="36" t="str">
        <f aca="false">IF(BN1="","",IF(AND(ISNUMBER(BN13),OR(BN13&lt;-30,BN13&gt;20)),"পানির স্তর সীমার বাইরে; ","")&amp;IF(AND(ISNUMBER(BN12),BN13=""),"TP/b নেই; ","")&amp;IF(AND(ISNUMBER(BN19),ISNUMBER(BN20)),IF(BN20&lt;BN19,"সেচের পরে &lt; আগে; ",""),"")&amp;IF(AND(ISNUMBER(BN12),ISNUMBER(BN16)&lt;&gt;ISNUMBER(BN17)),"সেচের মাপ অসম্পূর্ণ; ","")&amp;IF(ISNUMBER(BN23),IF(AND(ABS(BN23)&gt;50,NOT(N(BN8)&gt;0)),"পানির স্তর হঠাৎ &gt;5 সেমি বদল; ",""),""))</f>
        <v/>
      </c>
      <c r="BO30" s="36" t="str">
        <f aca="false">IF(BO1="","",IF(AND(ISNUMBER(BO13),OR(BO13&lt;-30,BO13&gt;20)),"পানির স্তর সীমার বাইরে; ","")&amp;IF(AND(ISNUMBER(BO12),BO13=""),"TP/b নেই; ","")&amp;IF(AND(ISNUMBER(BO19),ISNUMBER(BO20)),IF(BO20&lt;BO19,"সেচের পরে &lt; আগে; ",""),"")&amp;IF(AND(ISNUMBER(BO12),ISNUMBER(BO16)&lt;&gt;ISNUMBER(BO17)),"সেচের মাপ অসম্পূর্ণ; ","")&amp;IF(ISNUMBER(BO23),IF(AND(ABS(BO23)&gt;50,NOT(N(BO8)&gt;0)),"পানির স্তর হঠাৎ &gt;5 সেমি বদল; ",""),""))</f>
        <v/>
      </c>
      <c r="BP30" s="36" t="str">
        <f aca="false">IF(BP1="","",IF(AND(ISNUMBER(BP13),OR(BP13&lt;-30,BP13&gt;20)),"পানির স্তর সীমার বাইরে; ","")&amp;IF(AND(ISNUMBER(BP12),BP13=""),"TP/b নেই; ","")&amp;IF(AND(ISNUMBER(BP19),ISNUMBER(BP20)),IF(BP20&lt;BP19,"সেচের পরে &lt; আগে; ",""),"")&amp;IF(AND(ISNUMBER(BP12),ISNUMBER(BP16)&lt;&gt;ISNUMBER(BP17)),"সেচের মাপ অসম্পূর্ণ; ","")&amp;IF(ISNUMBER(BP23),IF(AND(ABS(BP23)&gt;50,NOT(N(BP8)&gt;0)),"পানির স্তর হঠাৎ &gt;5 সেমি বদল; ",""),""))</f>
        <v/>
      </c>
      <c r="BQ30" s="36" t="str">
        <f aca="false">IF(BQ1="","",IF(AND(ISNUMBER(BQ13),OR(BQ13&lt;-30,BQ13&gt;20)),"পানির স্তর সীমার বাইরে; ","")&amp;IF(AND(ISNUMBER(BQ12),BQ13=""),"TP/b নেই; ","")&amp;IF(AND(ISNUMBER(BQ19),ISNUMBER(BQ20)),IF(BQ20&lt;BQ19,"সেচের পরে &lt; আগে; ",""),"")&amp;IF(AND(ISNUMBER(BQ12),ISNUMBER(BQ16)&lt;&gt;ISNUMBER(BQ17)),"সেচের মাপ অসম্পূর্ণ; ","")&amp;IF(ISNUMBER(BQ23),IF(AND(ABS(BQ23)&gt;50,NOT(N(BQ8)&gt;0)),"পানির স্তর হঠাৎ &gt;5 সেমি বদল; ",""),""))</f>
        <v/>
      </c>
      <c r="BR30" s="36" t="str">
        <f aca="false">IF(BR1="","",IF(AND(ISNUMBER(BR13),OR(BR13&lt;-30,BR13&gt;20)),"পানির স্তর সীমার বাইরে; ","")&amp;IF(AND(ISNUMBER(BR12),BR13=""),"TP/b নেই; ","")&amp;IF(AND(ISNUMBER(BR19),ISNUMBER(BR20)),IF(BR20&lt;BR19,"সেচের পরে &lt; আগে; ",""),"")&amp;IF(AND(ISNUMBER(BR12),ISNUMBER(BR16)&lt;&gt;ISNUMBER(BR17)),"সেচের মাপ অসম্পূর্ণ; ","")&amp;IF(ISNUMBER(BR23),IF(AND(ABS(BR23)&gt;50,NOT(N(BR8)&gt;0)),"পানির স্তর হঠাৎ &gt;5 সেমি বদল; ",""),""))</f>
        <v/>
      </c>
      <c r="BS30" s="36" t="str">
        <f aca="false">IF(BS1="","",IF(AND(ISNUMBER(BS13),OR(BS13&lt;-30,BS13&gt;20)),"পানির স্তর সীমার বাইরে; ","")&amp;IF(AND(ISNUMBER(BS12),BS13=""),"TP/b নেই; ","")&amp;IF(AND(ISNUMBER(BS19),ISNUMBER(BS20)),IF(BS20&lt;BS19,"সেচের পরে &lt; আগে; ",""),"")&amp;IF(AND(ISNUMBER(BS12),ISNUMBER(BS16)&lt;&gt;ISNUMBER(BS17)),"সেচের মাপ অসম্পূর্ণ; ","")&amp;IF(ISNUMBER(BS23),IF(AND(ABS(BS23)&gt;50,NOT(N(BS8)&gt;0)),"পানির স্তর হঠাৎ &gt;5 সেমি বদল; ",""),""))</f>
        <v/>
      </c>
      <c r="BT30" s="36" t="str">
        <f aca="false">IF(BT1="","",IF(AND(ISNUMBER(BT13),OR(BT13&lt;-30,BT13&gt;20)),"পানির স্তর সীমার বাইরে; ","")&amp;IF(AND(ISNUMBER(BT12),BT13=""),"TP/b নেই; ","")&amp;IF(AND(ISNUMBER(BT19),ISNUMBER(BT20)),IF(BT20&lt;BT19,"সেচের পরে &lt; আগে; ",""),"")&amp;IF(AND(ISNUMBER(BT12),ISNUMBER(BT16)&lt;&gt;ISNUMBER(BT17)),"সেচের মাপ অসম্পূর্ণ; ","")&amp;IF(ISNUMBER(BT23),IF(AND(ABS(BT23)&gt;50,NOT(N(BT8)&gt;0)),"পানির স্তর হঠাৎ &gt;5 সেমি বদল; ",""),""))</f>
        <v/>
      </c>
      <c r="BU30" s="36" t="str">
        <f aca="false">IF(BU1="","",IF(AND(ISNUMBER(BU13),OR(BU13&lt;-30,BU13&gt;20)),"পানির স্তর সীমার বাইরে; ","")&amp;IF(AND(ISNUMBER(BU12),BU13=""),"TP/b নেই; ","")&amp;IF(AND(ISNUMBER(BU19),ISNUMBER(BU20)),IF(BU20&lt;BU19,"সেচের পরে &lt; আগে; ",""),"")&amp;IF(AND(ISNUMBER(BU12),ISNUMBER(BU16)&lt;&gt;ISNUMBER(BU17)),"সেচের মাপ অসম্পূর্ণ; ","")&amp;IF(ISNUMBER(BU23),IF(AND(ABS(BU23)&gt;50,NOT(N(BU8)&gt;0)),"পানির স্তর হঠাৎ &gt;5 সেমি বদল; ",""),""))</f>
        <v/>
      </c>
      <c r="BV30" s="36" t="str">
        <f aca="false">IF(BV1="","",IF(AND(ISNUMBER(BV13),OR(BV13&lt;-30,BV13&gt;20)),"পানির স্তর সীমার বাইরে; ","")&amp;IF(AND(ISNUMBER(BV12),BV13=""),"TP/b নেই; ","")&amp;IF(AND(ISNUMBER(BV19),ISNUMBER(BV20)),IF(BV20&lt;BV19,"সেচের পরে &lt; আগে; ",""),"")&amp;IF(AND(ISNUMBER(BV12),ISNUMBER(BV16)&lt;&gt;ISNUMBER(BV17)),"সেচের মাপ অসম্পূর্ণ; ","")&amp;IF(ISNUMBER(BV23),IF(AND(ABS(BV23)&gt;50,NOT(N(BV8)&gt;0)),"পানির স্তর হঠাৎ &gt;5 সেমি বদল; ",""),""))</f>
        <v/>
      </c>
      <c r="BW30" s="36" t="str">
        <f aca="false">IF(BW1="","",IF(AND(ISNUMBER(BW13),OR(BW13&lt;-30,BW13&gt;20)),"পানির স্তর সীমার বাইরে; ","")&amp;IF(AND(ISNUMBER(BW12),BW13=""),"TP/b নেই; ","")&amp;IF(AND(ISNUMBER(BW19),ISNUMBER(BW20)),IF(BW20&lt;BW19,"সেচের পরে &lt; আগে; ",""),"")&amp;IF(AND(ISNUMBER(BW12),ISNUMBER(BW16)&lt;&gt;ISNUMBER(BW17)),"সেচের মাপ অসম্পূর্ণ; ","")&amp;IF(ISNUMBER(BW23),IF(AND(ABS(BW23)&gt;50,NOT(N(BW8)&gt;0)),"পানির স্তর হঠাৎ &gt;5 সেমি বদল; ",""),""))</f>
        <v/>
      </c>
      <c r="BX30" s="36" t="str">
        <f aca="false">IF(BX1="","",IF(AND(ISNUMBER(BX13),OR(BX13&lt;-30,BX13&gt;20)),"পানির স্তর সীমার বাইরে; ","")&amp;IF(AND(ISNUMBER(BX12),BX13=""),"TP/b নেই; ","")&amp;IF(AND(ISNUMBER(BX19),ISNUMBER(BX20)),IF(BX20&lt;BX19,"সেচের পরে &lt; আগে; ",""),"")&amp;IF(AND(ISNUMBER(BX12),ISNUMBER(BX16)&lt;&gt;ISNUMBER(BX17)),"সেচের মাপ অসম্পূর্ণ; ","")&amp;IF(ISNUMBER(BX23),IF(AND(ABS(BX23)&gt;50,NOT(N(BX8)&gt;0)),"পানির স্তর হঠাৎ &gt;5 সেমি বদল; ",""),""))</f>
        <v/>
      </c>
      <c r="BY30" s="36" t="str">
        <f aca="false">IF(BY1="","",IF(AND(ISNUMBER(BY13),OR(BY13&lt;-30,BY13&gt;20)),"পানির স্তর সীমার বাইরে; ","")&amp;IF(AND(ISNUMBER(BY12),BY13=""),"TP/b নেই; ","")&amp;IF(AND(ISNUMBER(BY19),ISNUMBER(BY20)),IF(BY20&lt;BY19,"সেচের পরে &lt; আগে; ",""),"")&amp;IF(AND(ISNUMBER(BY12),ISNUMBER(BY16)&lt;&gt;ISNUMBER(BY17)),"সেচের মাপ অসম্পূর্ণ; ","")&amp;IF(ISNUMBER(BY23),IF(AND(ABS(BY23)&gt;50,NOT(N(BY8)&gt;0)),"পানির স্তর হঠাৎ &gt;5 সেমি বদল; ",""),""))</f>
        <v/>
      </c>
      <c r="BZ30" s="36" t="str">
        <f aca="false">IF(BZ1="","",IF(AND(ISNUMBER(BZ13),OR(BZ13&lt;-30,BZ13&gt;20)),"পানির স্তর সীমার বাইরে; ","")&amp;IF(AND(ISNUMBER(BZ12),BZ13=""),"TP/b নেই; ","")&amp;IF(AND(ISNUMBER(BZ19),ISNUMBER(BZ20)),IF(BZ20&lt;BZ19,"সেচের পরে &lt; আগে; ",""),"")&amp;IF(AND(ISNUMBER(BZ12),ISNUMBER(BZ16)&lt;&gt;ISNUMBER(BZ17)),"সেচের মাপ অসম্পূর্ণ; ","")&amp;IF(ISNUMBER(BZ23),IF(AND(ABS(BZ23)&gt;50,NOT(N(BZ8)&gt;0)),"পানির স্তর হঠাৎ &gt;5 সেমি বদল; ",""),""))</f>
        <v/>
      </c>
      <c r="CA30" s="36" t="str">
        <f aca="false">IF(CA1="","",IF(AND(ISNUMBER(CA13),OR(CA13&lt;-30,CA13&gt;20)),"পানির স্তর সীমার বাইরে; ","")&amp;IF(AND(ISNUMBER(CA12),CA13=""),"TP/b নেই; ","")&amp;IF(AND(ISNUMBER(CA19),ISNUMBER(CA20)),IF(CA20&lt;CA19,"সেচের পরে &lt; আগে; ",""),"")&amp;IF(AND(ISNUMBER(CA12),ISNUMBER(CA16)&lt;&gt;ISNUMBER(CA17)),"সেচের মাপ অসম্পূর্ণ; ","")&amp;IF(ISNUMBER(CA23),IF(AND(ABS(CA23)&gt;50,NOT(N(CA8)&gt;0)),"পানির স্তর হঠাৎ &gt;5 সেমি বদল; ",""),""))</f>
        <v/>
      </c>
      <c r="CB30" s="36" t="str">
        <f aca="false">IF(CB1="","",IF(AND(ISNUMBER(CB13),OR(CB13&lt;-30,CB13&gt;20)),"পানির স্তর সীমার বাইরে; ","")&amp;IF(AND(ISNUMBER(CB12),CB13=""),"TP/b নেই; ","")&amp;IF(AND(ISNUMBER(CB19),ISNUMBER(CB20)),IF(CB20&lt;CB19,"সেচের পরে &lt; আগে; ",""),"")&amp;IF(AND(ISNUMBER(CB12),ISNUMBER(CB16)&lt;&gt;ISNUMBER(CB17)),"সেচের মাপ অসম্পূর্ণ; ","")&amp;IF(ISNUMBER(CB23),IF(AND(ABS(CB23)&gt;50,NOT(N(CB8)&gt;0)),"পানির স্তর হঠাৎ &gt;5 সেমি বদল; ",""),""))</f>
        <v/>
      </c>
      <c r="CC30" s="36" t="str">
        <f aca="false">IF(CC1="","",IF(AND(ISNUMBER(CC13),OR(CC13&lt;-30,CC13&gt;20)),"পানির স্তর সীমার বাইরে; ","")&amp;IF(AND(ISNUMBER(CC12),CC13=""),"TP/b নেই; ","")&amp;IF(AND(ISNUMBER(CC19),ISNUMBER(CC20)),IF(CC20&lt;CC19,"সেচের পরে &lt; আগে; ",""),"")&amp;IF(AND(ISNUMBER(CC12),ISNUMBER(CC16)&lt;&gt;ISNUMBER(CC17)),"সেচের মাপ অসম্পূর্ণ; ","")&amp;IF(ISNUMBER(CC23),IF(AND(ABS(CC23)&gt;50,NOT(N(CC8)&gt;0)),"পানির স্তর হঠাৎ &gt;5 সেমি বদল; ",""),""))</f>
        <v/>
      </c>
      <c r="CD30" s="36" t="str">
        <f aca="false">IF(CD1="","",IF(AND(ISNUMBER(CD13),OR(CD13&lt;-30,CD13&gt;20)),"পানির স্তর সীমার বাইরে; ","")&amp;IF(AND(ISNUMBER(CD12),CD13=""),"TP/b নেই; ","")&amp;IF(AND(ISNUMBER(CD19),ISNUMBER(CD20)),IF(CD20&lt;CD19,"সেচের পরে &lt; আগে; ",""),"")&amp;IF(AND(ISNUMBER(CD12),ISNUMBER(CD16)&lt;&gt;ISNUMBER(CD17)),"সেচের মাপ অসম্পূর্ণ; ","")&amp;IF(ISNUMBER(CD23),IF(AND(ABS(CD23)&gt;50,NOT(N(CD8)&gt;0)),"পানির স্তর হঠাৎ &gt;5 সেমি বদল; ",""),""))</f>
        <v/>
      </c>
      <c r="CE30" s="36" t="str">
        <f aca="false">IF(CE1="","",IF(AND(ISNUMBER(CE13),OR(CE13&lt;-30,CE13&gt;20)),"পানির স্তর সীমার বাইরে; ","")&amp;IF(AND(ISNUMBER(CE12),CE13=""),"TP/b নেই; ","")&amp;IF(AND(ISNUMBER(CE19),ISNUMBER(CE20)),IF(CE20&lt;CE19,"সেচের পরে &lt; আগে; ",""),"")&amp;IF(AND(ISNUMBER(CE12),ISNUMBER(CE16)&lt;&gt;ISNUMBER(CE17)),"সেচের মাপ অসম্পূর্ণ; ","")&amp;IF(ISNUMBER(CE23),IF(AND(ABS(CE23)&gt;50,NOT(N(CE8)&gt;0)),"পানির স্তর হঠাৎ &gt;5 সেমি বদল; ",""),""))</f>
        <v/>
      </c>
      <c r="CF30" s="36" t="str">
        <f aca="false">IF(CF1="","",IF(AND(ISNUMBER(CF13),OR(CF13&lt;-30,CF13&gt;20)),"পানির স্তর সীমার বাইরে; ","")&amp;IF(AND(ISNUMBER(CF12),CF13=""),"TP/b নেই; ","")&amp;IF(AND(ISNUMBER(CF19),ISNUMBER(CF20)),IF(CF20&lt;CF19,"সেচের পরে &lt; আগে; ",""),"")&amp;IF(AND(ISNUMBER(CF12),ISNUMBER(CF16)&lt;&gt;ISNUMBER(CF17)),"সেচের মাপ অসম্পূর্ণ; ","")&amp;IF(ISNUMBER(CF23),IF(AND(ABS(CF23)&gt;50,NOT(N(CF8)&gt;0)),"পানির স্তর হঠাৎ &gt;5 সেমি বদল; ",""),""))</f>
        <v/>
      </c>
      <c r="CG30" s="36" t="str">
        <f aca="false">IF(CG1="","",IF(AND(ISNUMBER(CG13),OR(CG13&lt;-30,CG13&gt;20)),"পানির স্তর সীমার বাইরে; ","")&amp;IF(AND(ISNUMBER(CG12),CG13=""),"TP/b নেই; ","")&amp;IF(AND(ISNUMBER(CG19),ISNUMBER(CG20)),IF(CG20&lt;CG19,"সেচের পরে &lt; আগে; ",""),"")&amp;IF(AND(ISNUMBER(CG12),ISNUMBER(CG16)&lt;&gt;ISNUMBER(CG17)),"সেচের মাপ অসম্পূর্ণ; ","")&amp;IF(ISNUMBER(CG23),IF(AND(ABS(CG23)&gt;50,NOT(N(CG8)&gt;0)),"পানির স্তর হঠাৎ &gt;5 সেমি বদল; ",""),""))</f>
        <v/>
      </c>
      <c r="CH30" s="36" t="str">
        <f aca="false">IF(CH1="","",IF(AND(ISNUMBER(CH13),OR(CH13&lt;-30,CH13&gt;20)),"পানির স্তর সীমার বাইরে; ","")&amp;IF(AND(ISNUMBER(CH12),CH13=""),"TP/b নেই; ","")&amp;IF(AND(ISNUMBER(CH19),ISNUMBER(CH20)),IF(CH20&lt;CH19,"সেচের পরে &lt; আগে; ",""),"")&amp;IF(AND(ISNUMBER(CH12),ISNUMBER(CH16)&lt;&gt;ISNUMBER(CH17)),"সেচের মাপ অসম্পূর্ণ; ","")&amp;IF(ISNUMBER(CH23),IF(AND(ABS(CH23)&gt;50,NOT(N(CH8)&gt;0)),"পানির স্তর হঠাৎ &gt;5 সেমি বদল; ",""),""))</f>
        <v/>
      </c>
      <c r="CI30" s="36" t="str">
        <f aca="false">IF(CI1="","",IF(AND(ISNUMBER(CI13),OR(CI13&lt;-30,CI13&gt;20)),"পানির স্তর সীমার বাইরে; ","")&amp;IF(AND(ISNUMBER(CI12),CI13=""),"TP/b নেই; ","")&amp;IF(AND(ISNUMBER(CI19),ISNUMBER(CI20)),IF(CI20&lt;CI19,"সেচের পরে &lt; আগে; ",""),"")&amp;IF(AND(ISNUMBER(CI12),ISNUMBER(CI16)&lt;&gt;ISNUMBER(CI17)),"সেচের মাপ অসম্পূর্ণ; ","")&amp;IF(ISNUMBER(CI23),IF(AND(ABS(CI23)&gt;50,NOT(N(CI8)&gt;0)),"পানির স্তর হঠাৎ &gt;5 সেমি বদল; ",""),""))</f>
        <v/>
      </c>
      <c r="CJ30" s="36" t="str">
        <f aca="false">IF(CJ1="","",IF(AND(ISNUMBER(CJ13),OR(CJ13&lt;-30,CJ13&gt;20)),"পানির স্তর সীমার বাইরে; ","")&amp;IF(AND(ISNUMBER(CJ12),CJ13=""),"TP/b নেই; ","")&amp;IF(AND(ISNUMBER(CJ19),ISNUMBER(CJ20)),IF(CJ20&lt;CJ19,"সেচের পরে &lt; আগে; ",""),"")&amp;IF(AND(ISNUMBER(CJ12),ISNUMBER(CJ16)&lt;&gt;ISNUMBER(CJ17)),"সেচের মাপ অসম্পূর্ণ; ","")&amp;IF(ISNUMBER(CJ23),IF(AND(ABS(CJ23)&gt;50,NOT(N(CJ8)&gt;0)),"পানির স্তর হঠাৎ &gt;5 সেমি বদল; ",""),""))</f>
        <v/>
      </c>
      <c r="CK30" s="36" t="str">
        <f aca="false">IF(CK1="","",IF(AND(ISNUMBER(CK13),OR(CK13&lt;-30,CK13&gt;20)),"পানির স্তর সীমার বাইরে; ","")&amp;IF(AND(ISNUMBER(CK12),CK13=""),"TP/b নেই; ","")&amp;IF(AND(ISNUMBER(CK19),ISNUMBER(CK20)),IF(CK20&lt;CK19,"সেচের পরে &lt; আগে; ",""),"")&amp;IF(AND(ISNUMBER(CK12),ISNUMBER(CK16)&lt;&gt;ISNUMBER(CK17)),"সেচের মাপ অসম্পূর্ণ; ","")&amp;IF(ISNUMBER(CK23),IF(AND(ABS(CK23)&gt;50,NOT(N(CK8)&gt;0)),"পানির স্তর হঠাৎ &gt;5 সেমি বদল; ",""),""))</f>
        <v/>
      </c>
      <c r="CL30" s="36" t="str">
        <f aca="false">IF(CL1="","",IF(AND(ISNUMBER(CL13),OR(CL13&lt;-30,CL13&gt;20)),"পানির স্তর সীমার বাইরে; ","")&amp;IF(AND(ISNUMBER(CL12),CL13=""),"TP/b নেই; ","")&amp;IF(AND(ISNUMBER(CL19),ISNUMBER(CL20)),IF(CL20&lt;CL19,"সেচের পরে &lt; আগে; ",""),"")&amp;IF(AND(ISNUMBER(CL12),ISNUMBER(CL16)&lt;&gt;ISNUMBER(CL17)),"সেচের মাপ অসম্পূর্ণ; ","")&amp;IF(ISNUMBER(CL23),IF(AND(ABS(CL23)&gt;50,NOT(N(CL8)&gt;0)),"পানির স্তর হঠাৎ &gt;5 সেমি বদল; ",""),""))</f>
        <v/>
      </c>
      <c r="CM30" s="36" t="str">
        <f aca="false">IF(CM1="","",IF(AND(ISNUMBER(CM13),OR(CM13&lt;-30,CM13&gt;20)),"পানির স্তর সীমার বাইরে; ","")&amp;IF(AND(ISNUMBER(CM12),CM13=""),"TP/b নেই; ","")&amp;IF(AND(ISNUMBER(CM19),ISNUMBER(CM20)),IF(CM20&lt;CM19,"সেচের পরে &lt; আগে; ",""),"")&amp;IF(AND(ISNUMBER(CM12),ISNUMBER(CM16)&lt;&gt;ISNUMBER(CM17)),"সেচের মাপ অসম্পূর্ণ; ","")&amp;IF(ISNUMBER(CM23),IF(AND(ABS(CM23)&gt;50,NOT(N(CM8)&gt;0)),"পানির স্তর হঠাৎ &gt;5 সেমি বদল; ",""),""))</f>
        <v/>
      </c>
      <c r="CN30" s="36" t="str">
        <f aca="false">IF(CN1="","",IF(AND(ISNUMBER(CN13),OR(CN13&lt;-30,CN13&gt;20)),"পানির স্তর সীমার বাইরে; ","")&amp;IF(AND(ISNUMBER(CN12),CN13=""),"TP/b নেই; ","")&amp;IF(AND(ISNUMBER(CN19),ISNUMBER(CN20)),IF(CN20&lt;CN19,"সেচের পরে &lt; আগে; ",""),"")&amp;IF(AND(ISNUMBER(CN12),ISNUMBER(CN16)&lt;&gt;ISNUMBER(CN17)),"সেচের মাপ অসম্পূর্ণ; ","")&amp;IF(ISNUMBER(CN23),IF(AND(ABS(CN23)&gt;50,NOT(N(CN8)&gt;0)),"পানির স্তর হঠাৎ &gt;5 সেমি বদল; ",""),""))</f>
        <v/>
      </c>
      <c r="CO30" s="36" t="str">
        <f aca="false">IF(CO1="","",IF(AND(ISNUMBER(CO13),OR(CO13&lt;-30,CO13&gt;20)),"পানির স্তর সীমার বাইরে; ","")&amp;IF(AND(ISNUMBER(CO12),CO13=""),"TP/b নেই; ","")&amp;IF(AND(ISNUMBER(CO19),ISNUMBER(CO20)),IF(CO20&lt;CO19,"সেচের পরে &lt; আগে; ",""),"")&amp;IF(AND(ISNUMBER(CO12),ISNUMBER(CO16)&lt;&gt;ISNUMBER(CO17)),"সেচের মাপ অসম্পূর্ণ; ","")&amp;IF(ISNUMBER(CO23),IF(AND(ABS(CO23)&gt;50,NOT(N(CO8)&gt;0)),"পানির স্তর হঠাৎ &gt;5 সেমি বদল; ",""),""))</f>
        <v/>
      </c>
      <c r="CP30" s="36" t="str">
        <f aca="false">IF(CP1="","",IF(AND(ISNUMBER(CP13),OR(CP13&lt;-30,CP13&gt;20)),"পানির স্তর সীমার বাইরে; ","")&amp;IF(AND(ISNUMBER(CP12),CP13=""),"TP/b নেই; ","")&amp;IF(AND(ISNUMBER(CP19),ISNUMBER(CP20)),IF(CP20&lt;CP19,"সেচের পরে &lt; আগে; ",""),"")&amp;IF(AND(ISNUMBER(CP12),ISNUMBER(CP16)&lt;&gt;ISNUMBER(CP17)),"সেচের মাপ অসম্পূর্ণ; ","")&amp;IF(ISNUMBER(CP23),IF(AND(ABS(CP23)&gt;50,NOT(N(CP8)&gt;0)),"পানির স্তর হঠাৎ &gt;5 সেমি বদল; ",""),""))</f>
        <v/>
      </c>
      <c r="CQ30" s="36" t="str">
        <f aca="false">IF(CQ1="","",IF(AND(ISNUMBER(CQ13),OR(CQ13&lt;-30,CQ13&gt;20)),"পানির স্তর সীমার বাইরে; ","")&amp;IF(AND(ISNUMBER(CQ12),CQ13=""),"TP/b নেই; ","")&amp;IF(AND(ISNUMBER(CQ19),ISNUMBER(CQ20)),IF(CQ20&lt;CQ19,"সেচের পরে &lt; আগে; ",""),"")&amp;IF(AND(ISNUMBER(CQ12),ISNUMBER(CQ16)&lt;&gt;ISNUMBER(CQ17)),"সেচের মাপ অসম্পূর্ণ; ","")&amp;IF(ISNUMBER(CQ23),IF(AND(ABS(CQ23)&gt;50,NOT(N(CQ8)&gt;0)),"পানির স্তর হঠাৎ &gt;5 সেমি বদল; ",""),""))</f>
        <v/>
      </c>
      <c r="CR30" s="36" t="str">
        <f aca="false">IF(CR1="","",IF(AND(ISNUMBER(CR13),OR(CR13&lt;-30,CR13&gt;20)),"পানির স্তর সীমার বাইরে; ","")&amp;IF(AND(ISNUMBER(CR12),CR13=""),"TP/b নেই; ","")&amp;IF(AND(ISNUMBER(CR19),ISNUMBER(CR20)),IF(CR20&lt;CR19,"সেচের পরে &lt; আগে; ",""),"")&amp;IF(AND(ISNUMBER(CR12),ISNUMBER(CR16)&lt;&gt;ISNUMBER(CR17)),"সেচের মাপ অসম্পূর্ণ; ","")&amp;IF(ISNUMBER(CR23),IF(AND(ABS(CR23)&gt;50,NOT(N(CR8)&gt;0)),"পানির স্তর হঠাৎ &gt;5 সেমি বদল; ",""),""))</f>
        <v>পানির স্তর হঠাৎ &gt;5 সেমি বদল; </v>
      </c>
      <c r="CS30" s="36" t="str">
        <f aca="false">IF(CS1="","",IF(AND(ISNUMBER(CS13),OR(CS13&lt;-30,CS13&gt;20)),"পানির স্তর সীমার বাইরে; ","")&amp;IF(AND(ISNUMBER(CS12),CS13=""),"TP/b নেই; ","")&amp;IF(AND(ISNUMBER(CS19),ISNUMBER(CS20)),IF(CS20&lt;CS19,"সেচের পরে &lt; আগে; ",""),"")&amp;IF(AND(ISNUMBER(CS12),ISNUMBER(CS16)&lt;&gt;ISNUMBER(CS17)),"সেচের মাপ অসম্পূর্ণ; ","")&amp;IF(ISNUMBER(CS23),IF(AND(ABS(CS23)&gt;50,NOT(N(CS8)&gt;0)),"পানির স্তর হঠাৎ &gt;5 সেমি বদল; ",""),""))</f>
        <v/>
      </c>
      <c r="CT30" s="36" t="str">
        <f aca="false">IF(CT1="","",IF(AND(ISNUMBER(CT13),OR(CT13&lt;-30,CT13&gt;20)),"পানির স্তর সীমার বাইরে; ","")&amp;IF(AND(ISNUMBER(CT12),CT13=""),"TP/b নেই; ","")&amp;IF(AND(ISNUMBER(CT19),ISNUMBER(CT20)),IF(CT20&lt;CT19,"সেচের পরে &lt; আগে; ",""),"")&amp;IF(AND(ISNUMBER(CT12),ISNUMBER(CT16)&lt;&gt;ISNUMBER(CT17)),"সেচের মাপ অসম্পূর্ণ; ","")&amp;IF(ISNUMBER(CT23),IF(AND(ABS(CT23)&gt;50,NOT(N(CT8)&gt;0)),"পানির স্তর হঠাৎ &gt;5 সেমি বদল; ",""),""))</f>
        <v/>
      </c>
      <c r="CU30" s="36" t="str">
        <f aca="false">IF(CU1="","",IF(AND(ISNUMBER(CU13),OR(CU13&lt;-30,CU13&gt;20)),"পানির স্তর সীমার বাইরে; ","")&amp;IF(AND(ISNUMBER(CU12),CU13=""),"TP/b নেই; ","")&amp;IF(AND(ISNUMBER(CU19),ISNUMBER(CU20)),IF(CU20&lt;CU19,"সেচের পরে &lt; আগে; ",""),"")&amp;IF(AND(ISNUMBER(CU12),ISNUMBER(CU16)&lt;&gt;ISNUMBER(CU17)),"সেচের মাপ অসম্পূর্ণ; ","")&amp;IF(ISNUMBER(CU23),IF(AND(ABS(CU23)&gt;50,NOT(N(CU8)&gt;0)),"পানির স্তর হঠাৎ &gt;5 সেমি বদল; ",""),""))</f>
        <v/>
      </c>
      <c r="CV30" s="36" t="str">
        <f aca="false">IF(CV1="","",IF(AND(ISNUMBER(CV13),OR(CV13&lt;-30,CV13&gt;20)),"পানির স্তর সীমার বাইরে; ","")&amp;IF(AND(ISNUMBER(CV12),CV13=""),"TP/b নেই; ","")&amp;IF(AND(ISNUMBER(CV19),ISNUMBER(CV20)),IF(CV20&lt;CV19,"সেচের পরে &lt; আগে; ",""),"")&amp;IF(AND(ISNUMBER(CV12),ISNUMBER(CV16)&lt;&gt;ISNUMBER(CV17)),"সেচের মাপ অসম্পূর্ণ; ","")&amp;IF(ISNUMBER(CV23),IF(AND(ABS(CV23)&gt;50,NOT(N(CV8)&gt;0)),"পানির স্তর হঠাৎ &gt;5 সেমি বদল; ",""),""))</f>
        <v/>
      </c>
      <c r="CW30" s="36" t="str">
        <f aca="false">IF(CW1="","",IF(AND(ISNUMBER(CW13),OR(CW13&lt;-30,CW13&gt;20)),"পানির স্তর সীমার বাইরে; ","")&amp;IF(AND(ISNUMBER(CW12),CW13=""),"TP/b নেই; ","")&amp;IF(AND(ISNUMBER(CW19),ISNUMBER(CW20)),IF(CW20&lt;CW19,"সেচের পরে &lt; আগে; ",""),"")&amp;IF(AND(ISNUMBER(CW12),ISNUMBER(CW16)&lt;&gt;ISNUMBER(CW17)),"সেচের মাপ অসম্পূর্ণ; ","")&amp;IF(ISNUMBER(CW23),IF(AND(ABS(CW23)&gt;50,NOT(N(CW8)&gt;0)),"পানির স্তর হঠাৎ &gt;5 সেমি বদল; ",""),""))</f>
        <v/>
      </c>
      <c r="CX30" s="36" t="str">
        <f aca="false">IF(CX1="","",IF(AND(ISNUMBER(CX13),OR(CX13&lt;-30,CX13&gt;20)),"পানির স্তর সীমার বাইরে; ","")&amp;IF(AND(ISNUMBER(CX12),CX13=""),"TP/b নেই; ","")&amp;IF(AND(ISNUMBER(CX19),ISNUMBER(CX20)),IF(CX20&lt;CX19,"সেচের পরে &lt; আগে; ",""),"")&amp;IF(AND(ISNUMBER(CX12),ISNUMBER(CX16)&lt;&gt;ISNUMBER(CX17)),"সেচের মাপ অসম্পূর্ণ; ","")&amp;IF(ISNUMBER(CX23),IF(AND(ABS(CX23)&gt;50,NOT(N(CX8)&gt;0)),"পানির স্তর হঠাৎ &gt;5 সেমি বদল; ",""),""))</f>
        <v/>
      </c>
      <c r="CY30" s="36" t="str">
        <f aca="false">IF(CY1="","",IF(AND(ISNUMBER(CY13),OR(CY13&lt;-30,CY13&gt;20)),"পানির স্তর সীমার বাইরে; ","")&amp;IF(AND(ISNUMBER(CY12),CY13=""),"TP/b নেই; ","")&amp;IF(AND(ISNUMBER(CY19),ISNUMBER(CY20)),IF(CY20&lt;CY19,"সেচের পরে &lt; আগে; ",""),"")&amp;IF(AND(ISNUMBER(CY12),ISNUMBER(CY16)&lt;&gt;ISNUMBER(CY17)),"সেচের মাপ অসম্পূর্ণ; ","")&amp;IF(ISNUMBER(CY23),IF(AND(ABS(CY23)&gt;50,NOT(N(CY8)&gt;0)),"পানির স্তর হঠাৎ &gt;5 সেমি বদল; ",""),""))</f>
        <v/>
      </c>
      <c r="CZ30" s="36" t="str">
        <f aca="false">IF(CZ1="","",IF(AND(ISNUMBER(CZ13),OR(CZ13&lt;-30,CZ13&gt;20)),"পানির স্তর সীমার বাইরে; ","")&amp;IF(AND(ISNUMBER(CZ12),CZ13=""),"TP/b নেই; ","")&amp;IF(AND(ISNUMBER(CZ19),ISNUMBER(CZ20)),IF(CZ20&lt;CZ19,"সেচের পরে &lt; আগে; ",""),"")&amp;IF(AND(ISNUMBER(CZ12),ISNUMBER(CZ16)&lt;&gt;ISNUMBER(CZ17)),"সেচের মাপ অসম্পূর্ণ; ","")&amp;IF(ISNUMBER(CZ23),IF(AND(ABS(CZ23)&gt;50,NOT(N(CZ8)&gt;0)),"পানির স্তর হঠাৎ &gt;5 সেমি বদল; ",""),""))</f>
        <v/>
      </c>
      <c r="DA30" s="36" t="str">
        <f aca="false">IF(DA1="","",IF(AND(ISNUMBER(DA13),OR(DA13&lt;-30,DA13&gt;20)),"পানির স্তর সীমার বাইরে; ","")&amp;IF(AND(ISNUMBER(DA12),DA13=""),"TP/b নেই; ","")&amp;IF(AND(ISNUMBER(DA19),ISNUMBER(DA20)),IF(DA20&lt;DA19,"সেচের পরে &lt; আগে; ",""),"")&amp;IF(AND(ISNUMBER(DA12),ISNUMBER(DA16)&lt;&gt;ISNUMBER(DA17)),"সেচের মাপ অসম্পূর্ণ; ","")&amp;IF(ISNUMBER(DA23),IF(AND(ABS(DA23)&gt;50,NOT(N(DA8)&gt;0)),"পানির স্তর হঠাৎ &gt;5 সেমি বদল; ",""),""))</f>
        <v/>
      </c>
      <c r="DB30" s="36" t="str">
        <f aca="false">IF(DB1="","",IF(AND(ISNUMBER(DB13),OR(DB13&lt;-30,DB13&gt;20)),"পানির স্তর সীমার বাইরে; ","")&amp;IF(AND(ISNUMBER(DB12),DB13=""),"TP/b নেই; ","")&amp;IF(AND(ISNUMBER(DB19),ISNUMBER(DB20)),IF(DB20&lt;DB19,"সেচের পরে &lt; আগে; ",""),"")&amp;IF(AND(ISNUMBER(DB12),ISNUMBER(DB16)&lt;&gt;ISNUMBER(DB17)),"সেচের মাপ অসম্পূর্ণ; ","")&amp;IF(ISNUMBER(DB23),IF(AND(ABS(DB23)&gt;50,NOT(N(DB8)&gt;0)),"পানির স্তর হঠাৎ &gt;5 সেমি বদল; ",""),""))</f>
        <v/>
      </c>
      <c r="DC30" s="36" t="str">
        <f aca="false">IF(DC1="","",IF(AND(ISNUMBER(DC13),OR(DC13&lt;-30,DC13&gt;20)),"পানির স্তর সীমার বাইরে; ","")&amp;IF(AND(ISNUMBER(DC12),DC13=""),"TP/b নেই; ","")&amp;IF(AND(ISNUMBER(DC19),ISNUMBER(DC20)),IF(DC20&lt;DC19,"সেচের পরে &lt; আগে; ",""),"")&amp;IF(AND(ISNUMBER(DC12),ISNUMBER(DC16)&lt;&gt;ISNUMBER(DC17)),"সেচের মাপ অসম্পূর্ণ; ","")&amp;IF(ISNUMBER(DC23),IF(AND(ABS(DC23)&gt;50,NOT(N(DC8)&gt;0)),"পানির স্তর হঠাৎ &gt;5 সেমি বদল; ",""),""))</f>
        <v/>
      </c>
      <c r="DD30" s="36" t="str">
        <f aca="false">IF(DD1="","",IF(AND(ISNUMBER(DD13),OR(DD13&lt;-30,DD13&gt;20)),"পানির স্তর সীমার বাইরে; ","")&amp;IF(AND(ISNUMBER(DD12),DD13=""),"TP/b নেই; ","")&amp;IF(AND(ISNUMBER(DD19),ISNUMBER(DD20)),IF(DD20&lt;DD19,"সেচের পরে &lt; আগে; ",""),"")&amp;IF(AND(ISNUMBER(DD12),ISNUMBER(DD16)&lt;&gt;ISNUMBER(DD17)),"সেচের মাপ অসম্পূর্ণ; ","")&amp;IF(ISNUMBER(DD23),IF(AND(ABS(DD23)&gt;50,NOT(N(DD8)&gt;0)),"পানির স্তর হঠাৎ &gt;5 সেমি বদল; ",""),""))</f>
        <v/>
      </c>
      <c r="DE30" s="36" t="str">
        <f aca="false">IF(DE1="","",IF(AND(ISNUMBER(DE13),OR(DE13&lt;-30,DE13&gt;20)),"পানির স্তর সীমার বাইরে; ","")&amp;IF(AND(ISNUMBER(DE12),DE13=""),"TP/b নেই; ","")&amp;IF(AND(ISNUMBER(DE19),ISNUMBER(DE20)),IF(DE20&lt;DE19,"সেচের পরে &lt; আগে; ",""),"")&amp;IF(AND(ISNUMBER(DE12),ISNUMBER(DE16)&lt;&gt;ISNUMBER(DE17)),"সেচের মাপ অসম্পূর্ণ; ","")&amp;IF(ISNUMBER(DE23),IF(AND(ABS(DE23)&gt;50,NOT(N(DE8)&gt;0)),"পানির স্তর হঠাৎ &gt;5 সেমি বদল; ",""),""))</f>
        <v/>
      </c>
      <c r="DF30" s="36" t="str">
        <f aca="false">IF(DF1="","",IF(AND(ISNUMBER(DF13),OR(DF13&lt;-30,DF13&gt;20)),"পানির স্তর সীমার বাইরে; ","")&amp;IF(AND(ISNUMBER(DF12),DF13=""),"TP/b নেই; ","")&amp;IF(AND(ISNUMBER(DF19),ISNUMBER(DF20)),IF(DF20&lt;DF19,"সেচের পরে &lt; আগে; ",""),"")&amp;IF(AND(ISNUMBER(DF12),ISNUMBER(DF16)&lt;&gt;ISNUMBER(DF17)),"সেচের মাপ অসম্পূর্ণ; ","")&amp;IF(ISNUMBER(DF23),IF(AND(ABS(DF23)&gt;50,NOT(N(DF8)&gt;0)),"পানির স্তর হঠাৎ &gt;5 সেমি বদল; ",""),""))</f>
        <v/>
      </c>
      <c r="DG30" s="36" t="str">
        <f aca="false">IF(DG1="","",IF(AND(ISNUMBER(DG13),OR(DG13&lt;-30,DG13&gt;20)),"পানির স্তর সীমার বাইরে; ","")&amp;IF(AND(ISNUMBER(DG12),DG13=""),"TP/b নেই; ","")&amp;IF(AND(ISNUMBER(DG19),ISNUMBER(DG20)),IF(DG20&lt;DG19,"সেচের পরে &lt; আগে; ",""),"")&amp;IF(AND(ISNUMBER(DG12),ISNUMBER(DG16)&lt;&gt;ISNUMBER(DG17)),"সেচের মাপ অসম্পূর্ণ; ","")&amp;IF(ISNUMBER(DG23),IF(AND(ABS(DG23)&gt;50,NOT(N(DG8)&gt;0)),"পানির স্তর হঠাৎ &gt;5 সেমি বদল; ",""),""))</f>
        <v/>
      </c>
      <c r="DH30" s="36" t="str">
        <f aca="false">IF(DH1="","",IF(AND(ISNUMBER(DH13),OR(DH13&lt;-30,DH13&gt;20)),"পানির স্তর সীমার বাইরে; ","")&amp;IF(AND(ISNUMBER(DH12),DH13=""),"TP/b নেই; ","")&amp;IF(AND(ISNUMBER(DH19),ISNUMBER(DH20)),IF(DH20&lt;DH19,"সেচের পরে &lt; আগে; ",""),"")&amp;IF(AND(ISNUMBER(DH12),ISNUMBER(DH16)&lt;&gt;ISNUMBER(DH17)),"সেচের মাপ অসম্পূর্ণ; ","")&amp;IF(ISNUMBER(DH23),IF(AND(ABS(DH23)&gt;50,NOT(N(DH8)&gt;0)),"পানির স্তর হঠাৎ &gt;5 সেমি বদল; ",""),""))</f>
        <v/>
      </c>
      <c r="DI30" s="36" t="str">
        <f aca="false">IF(DI1="","",IF(AND(ISNUMBER(DI13),OR(DI13&lt;-30,DI13&gt;20)),"পানির স্তর সীমার বাইরে; ","")&amp;IF(AND(ISNUMBER(DI12),DI13=""),"TP/b নেই; ","")&amp;IF(AND(ISNUMBER(DI19),ISNUMBER(DI20)),IF(DI20&lt;DI19,"সেচের পরে &lt; আগে; ",""),"")&amp;IF(AND(ISNUMBER(DI12),ISNUMBER(DI16)&lt;&gt;ISNUMBER(DI17)),"সেচের মাপ অসম্পূর্ণ; ","")&amp;IF(ISNUMBER(DI23),IF(AND(ABS(DI23)&gt;50,NOT(N(DI8)&gt;0)),"পানির স্তর হঠাৎ &gt;5 সেমি বদল; ",""),""))</f>
        <v/>
      </c>
      <c r="DJ30" s="36" t="str">
        <f aca="false">IF(DJ1="","",IF(AND(ISNUMBER(DJ13),OR(DJ13&lt;-30,DJ13&gt;20)),"পানির স্তর সীমার বাইরে; ","")&amp;IF(AND(ISNUMBER(DJ12),DJ13=""),"TP/b নেই; ","")&amp;IF(AND(ISNUMBER(DJ19),ISNUMBER(DJ20)),IF(DJ20&lt;DJ19,"সেচের পরে &lt; আগে; ",""),"")&amp;IF(AND(ISNUMBER(DJ12),ISNUMBER(DJ16)&lt;&gt;ISNUMBER(DJ17)),"সেচের মাপ অসম্পূর্ণ; ","")&amp;IF(ISNUMBER(DJ23),IF(AND(ABS(DJ23)&gt;50,NOT(N(DJ8)&gt;0)),"পানির স্তর হঠাৎ &gt;5 সেমি বদল; ",""),""))</f>
        <v/>
      </c>
      <c r="DK30" s="36" t="str">
        <f aca="false">IF(DK1="","",IF(AND(ISNUMBER(DK13),OR(DK13&lt;-30,DK13&gt;20)),"পানির স্তর সীমার বাইরে; ","")&amp;IF(AND(ISNUMBER(DK12),DK13=""),"TP/b নেই; ","")&amp;IF(AND(ISNUMBER(DK19),ISNUMBER(DK20)),IF(DK20&lt;DK19,"সেচের পরে &lt; আগে; ",""),"")&amp;IF(AND(ISNUMBER(DK12),ISNUMBER(DK16)&lt;&gt;ISNUMBER(DK17)),"সেচের মাপ অসম্পূর্ণ; ","")&amp;IF(ISNUMBER(DK23),IF(AND(ABS(DK23)&gt;50,NOT(N(DK8)&gt;0)),"পানির স্তর হঠাৎ &gt;5 সেমি বদল; ",""),""))</f>
        <v/>
      </c>
      <c r="DL30" s="36" t="str">
        <f aca="false">IF(DL1="","",IF(AND(ISNUMBER(DL13),OR(DL13&lt;-30,DL13&gt;20)),"পানির স্তর সীমার বাইরে; ","")&amp;IF(AND(ISNUMBER(DL12),DL13=""),"TP/b নেই; ","")&amp;IF(AND(ISNUMBER(DL19),ISNUMBER(DL20)),IF(DL20&lt;DL19,"সেচের পরে &lt; আগে; ",""),"")&amp;IF(AND(ISNUMBER(DL12),ISNUMBER(DL16)&lt;&gt;ISNUMBER(DL17)),"সেচের মাপ অসম্পূর্ণ; ","")&amp;IF(ISNUMBER(DL23),IF(AND(ABS(DL23)&gt;50,NOT(N(DL8)&gt;0)),"পানির স্তর হঠাৎ &gt;5 সেমি বদল; ",""),""))</f>
        <v/>
      </c>
      <c r="DM30" s="36" t="str">
        <f aca="false">IF(DM1="","",IF(AND(ISNUMBER(DM13),OR(DM13&lt;-30,DM13&gt;20)),"পানির স্তর সীমার বাইরে; ","")&amp;IF(AND(ISNUMBER(DM12),DM13=""),"TP/b নেই; ","")&amp;IF(AND(ISNUMBER(DM19),ISNUMBER(DM20)),IF(DM20&lt;DM19,"সেচের পরে &lt; আগে; ",""),"")&amp;IF(AND(ISNUMBER(DM12),ISNUMBER(DM16)&lt;&gt;ISNUMBER(DM17)),"সেচের মাপ অসম্পূর্ণ; ","")&amp;IF(ISNUMBER(DM23),IF(AND(ABS(DM23)&gt;50,NOT(N(DM8)&gt;0)),"পানির স্তর হঠাৎ &gt;5 সেমি বদল; ",""),""))</f>
        <v/>
      </c>
      <c r="DN30" s="36" t="str">
        <f aca="false">IF(DN1="","",IF(AND(ISNUMBER(DN13),OR(DN13&lt;-30,DN13&gt;20)),"পানির স্তর সীমার বাইরে; ","")&amp;IF(AND(ISNUMBER(DN12),DN13=""),"TP/b নেই; ","")&amp;IF(AND(ISNUMBER(DN19),ISNUMBER(DN20)),IF(DN20&lt;DN19,"সেচের পরে &lt; আগে; ",""),"")&amp;IF(AND(ISNUMBER(DN12),ISNUMBER(DN16)&lt;&gt;ISNUMBER(DN17)),"সেচের মাপ অসম্পূর্ণ; ","")&amp;IF(ISNUMBER(DN23),IF(AND(ABS(DN23)&gt;50,NOT(N(DN8)&gt;0)),"পানির স্তর হঠাৎ &gt;5 সেমি বদল; ",""),""))</f>
        <v/>
      </c>
      <c r="DO30" s="36" t="str">
        <f aca="false">IF(DO1="","",IF(AND(ISNUMBER(DO13),OR(DO13&lt;-30,DO13&gt;20)),"পানির স্তর সীমার বাইরে; ","")&amp;IF(AND(ISNUMBER(DO12),DO13=""),"TP/b নেই; ","")&amp;IF(AND(ISNUMBER(DO19),ISNUMBER(DO20)),IF(DO20&lt;DO19,"সেচের পরে &lt; আগে; ",""),"")&amp;IF(AND(ISNUMBER(DO12),ISNUMBER(DO16)&lt;&gt;ISNUMBER(DO17)),"সেচের মাপ অসম্পূর্ণ; ","")&amp;IF(ISNUMBER(DO23),IF(AND(ABS(DO23)&gt;50,NOT(N(DO8)&gt;0)),"পানির স্তর হঠাৎ &gt;5 সেমি বদল; ",""),""))</f>
        <v/>
      </c>
      <c r="DP30" s="36" t="str">
        <f aca="false">IF(DP1="","",IF(AND(ISNUMBER(DP13),OR(DP13&lt;-30,DP13&gt;20)),"পানির স্তর সীমার বাইরে; ","")&amp;IF(AND(ISNUMBER(DP12),DP13=""),"TP/b নেই; ","")&amp;IF(AND(ISNUMBER(DP19),ISNUMBER(DP20)),IF(DP20&lt;DP19,"সেচের পরে &lt; আগে; ",""),"")&amp;IF(AND(ISNUMBER(DP12),ISNUMBER(DP16)&lt;&gt;ISNUMBER(DP17)),"সেচের মাপ অসম্পূর্ণ; ","")&amp;IF(ISNUMBER(DP23),IF(AND(ABS(DP23)&gt;50,NOT(N(DP8)&gt;0)),"পানির স্তর হঠাৎ &gt;5 সেমি বদল; ",""),""))</f>
        <v/>
      </c>
      <c r="DQ30" s="36" t="str">
        <f aca="false">IF(DQ1="","",IF(AND(ISNUMBER(DQ13),OR(DQ13&lt;-30,DQ13&gt;20)),"পানির স্তর সীমার বাইরে; ","")&amp;IF(AND(ISNUMBER(DQ12),DQ13=""),"TP/b নেই; ","")&amp;IF(AND(ISNUMBER(DQ19),ISNUMBER(DQ20)),IF(DQ20&lt;DQ19,"সেচের পরে &lt; আগে; ",""),"")&amp;IF(AND(ISNUMBER(DQ12),ISNUMBER(DQ16)&lt;&gt;ISNUMBER(DQ17)),"সেচের মাপ অসম্পূর্ণ; ","")&amp;IF(ISNUMBER(DQ23),IF(AND(ABS(DQ23)&gt;50,NOT(N(DQ8)&gt;0)),"পানির স্তর হঠাৎ &gt;5 সেমি বদল; ",""),""))</f>
        <v/>
      </c>
      <c r="DR30" s="36" t="str">
        <f aca="false">IF(DR1="","",IF(AND(ISNUMBER(DR13),OR(DR13&lt;-30,DR13&gt;20)),"পানির স্তর সীমার বাইরে; ","")&amp;IF(AND(ISNUMBER(DR12),DR13=""),"TP/b নেই; ","")&amp;IF(AND(ISNUMBER(DR19),ISNUMBER(DR20)),IF(DR20&lt;DR19,"সেচের পরে &lt; আগে; ",""),"")&amp;IF(AND(ISNUMBER(DR12),ISNUMBER(DR16)&lt;&gt;ISNUMBER(DR17)),"সেচের মাপ অসম্পূর্ণ; ","")&amp;IF(ISNUMBER(DR23),IF(AND(ABS(DR23)&gt;50,NOT(N(DR8)&gt;0)),"পানির স্তর হঠাৎ &gt;5 সেমি বদল; ",""),""))</f>
        <v/>
      </c>
      <c r="DS30" s="36" t="str">
        <f aca="false">IF(DS1="","",IF(AND(ISNUMBER(DS13),OR(DS13&lt;-30,DS13&gt;20)),"পানির স্তর সীমার বাইরে; ","")&amp;IF(AND(ISNUMBER(DS12),DS13=""),"TP/b নেই; ","")&amp;IF(AND(ISNUMBER(DS19),ISNUMBER(DS20)),IF(DS20&lt;DS19,"সেচের পরে &lt; আগে; ",""),"")&amp;IF(AND(ISNUMBER(DS12),ISNUMBER(DS16)&lt;&gt;ISNUMBER(DS17)),"সেচের মাপ অসম্পূর্ণ; ","")&amp;IF(ISNUMBER(DS23),IF(AND(ABS(DS23)&gt;50,NOT(N(DS8)&gt;0)),"পানির স্তর হঠাৎ &gt;5 সেমি বদল; ",""),""))</f>
        <v/>
      </c>
      <c r="DT30" s="36" t="str">
        <f aca="false">IF(DT1="","",IF(AND(ISNUMBER(DT13),OR(DT13&lt;-30,DT13&gt;20)),"পানির স্তর সীমার বাইরে; ","")&amp;IF(AND(ISNUMBER(DT12),DT13=""),"TP/b নেই; ","")&amp;IF(AND(ISNUMBER(DT19),ISNUMBER(DT20)),IF(DT20&lt;DT19,"সেচের পরে &lt; আগে; ",""),"")&amp;IF(AND(ISNUMBER(DT12),ISNUMBER(DT16)&lt;&gt;ISNUMBER(DT17)),"সেচের মাপ অসম্পূর্ণ; ","")&amp;IF(ISNUMBER(DT23),IF(AND(ABS(DT23)&gt;50,NOT(N(DT8)&gt;0)),"পানির স্তর হঠাৎ &gt;5 সেমি বদল; ",""),""))</f>
        <v/>
      </c>
      <c r="DU30" s="36" t="str">
        <f aca="false">IF(DU1="","",IF(AND(ISNUMBER(DU13),OR(DU13&lt;-30,DU13&gt;20)),"পানির স্তর সীমার বাইরে; ","")&amp;IF(AND(ISNUMBER(DU12),DU13=""),"TP/b নেই; ","")&amp;IF(AND(ISNUMBER(DU19),ISNUMBER(DU20)),IF(DU20&lt;DU19,"সেচের পরে &lt; আগে; ",""),"")&amp;IF(AND(ISNUMBER(DU12),ISNUMBER(DU16)&lt;&gt;ISNUMBER(DU17)),"সেচের মাপ অসম্পূর্ণ; ","")&amp;IF(ISNUMBER(DU23),IF(AND(ABS(DU23)&gt;50,NOT(N(DU8)&gt;0)),"পানির স্তর হঠাৎ &gt;5 সেমি বদল; ",""),""))</f>
        <v/>
      </c>
      <c r="DV30" s="36" t="str">
        <f aca="false">IF(DV1="","",IF(AND(ISNUMBER(DV13),OR(DV13&lt;-30,DV13&gt;20)),"পানির স্তর সীমার বাইরে; ","")&amp;IF(AND(ISNUMBER(DV12),DV13=""),"TP/b নেই; ","")&amp;IF(AND(ISNUMBER(DV19),ISNUMBER(DV20)),IF(DV20&lt;DV19,"সেচের পরে &lt; আগে; ",""),"")&amp;IF(AND(ISNUMBER(DV12),ISNUMBER(DV16)&lt;&gt;ISNUMBER(DV17)),"সেচের মাপ অসম্পূর্ণ; ","")&amp;IF(ISNUMBER(DV23),IF(AND(ABS(DV23)&gt;50,NOT(N(DV8)&gt;0)),"পানির স্তর হঠাৎ &gt;5 সেমি বদল; ",""),""))</f>
        <v/>
      </c>
      <c r="DW30" s="36" t="str">
        <f aca="false">IF(DW1="","",IF(AND(ISNUMBER(DW13),OR(DW13&lt;-30,DW13&gt;20)),"পানির স্তর সীমার বাইরে; ","")&amp;IF(AND(ISNUMBER(DW12),DW13=""),"TP/b নেই; ","")&amp;IF(AND(ISNUMBER(DW19),ISNUMBER(DW20)),IF(DW20&lt;DW19,"সেচের পরে &lt; আগে; ",""),"")&amp;IF(AND(ISNUMBER(DW12),ISNUMBER(DW16)&lt;&gt;ISNUMBER(DW17)),"সেচের মাপ অসম্পূর্ণ; ","")&amp;IF(ISNUMBER(DW23),IF(AND(ABS(DW23)&gt;50,NOT(N(DW8)&gt;0)),"পানির স্তর হঠাৎ &gt;5 সেমি বদল; ",""),""))</f>
        <v/>
      </c>
      <c r="DX30" s="36" t="str">
        <f aca="false">IF(DX1="","",IF(AND(ISNUMBER(DX13),OR(DX13&lt;-30,DX13&gt;20)),"পানির স্তর সীমার বাইরে; ","")&amp;IF(AND(ISNUMBER(DX12),DX13=""),"TP/b নেই; ","")&amp;IF(AND(ISNUMBER(DX19),ISNUMBER(DX20)),IF(DX20&lt;DX19,"সেচের পরে &lt; আগে; ",""),"")&amp;IF(AND(ISNUMBER(DX12),ISNUMBER(DX16)&lt;&gt;ISNUMBER(DX17)),"সেচের মাপ অসম্পূর্ণ; ","")&amp;IF(ISNUMBER(DX23),IF(AND(ABS(DX23)&gt;50,NOT(N(DX8)&gt;0)),"পানির স্তর হঠাৎ &gt;5 সেমি বদল; ",""),""))</f>
        <v/>
      </c>
      <c r="DY30" s="36" t="str">
        <f aca="false">IF(DY1="","",IF(AND(ISNUMBER(DY13),OR(DY13&lt;-30,DY13&gt;20)),"পানির স্তর সীমার বাইরে; ","")&amp;IF(AND(ISNUMBER(DY12),DY13=""),"TP/b নেই; ","")&amp;IF(AND(ISNUMBER(DY19),ISNUMBER(DY20)),IF(DY20&lt;DY19,"সেচের পরে &lt; আগে; ",""),"")&amp;IF(AND(ISNUMBER(DY12),ISNUMBER(DY16)&lt;&gt;ISNUMBER(DY17)),"সেচের মাপ অসম্পূর্ণ; ","")&amp;IF(ISNUMBER(DY23),IF(AND(ABS(DY23)&gt;50,NOT(N(DY8)&gt;0)),"পানির স্তর হঠাৎ &gt;5 সেমি বদল; ",""),""))</f>
        <v/>
      </c>
      <c r="DZ30" s="36" t="str">
        <f aca="false">IF(DZ1="","",IF(AND(ISNUMBER(DZ13),OR(DZ13&lt;-30,DZ13&gt;20)),"পানির স্তর সীমার বাইরে; ","")&amp;IF(AND(ISNUMBER(DZ12),DZ13=""),"TP/b নেই; ","")&amp;IF(AND(ISNUMBER(DZ19),ISNUMBER(DZ20)),IF(DZ20&lt;DZ19,"সেচের পরে &lt; আগে; ",""),"")&amp;IF(AND(ISNUMBER(DZ12),ISNUMBER(DZ16)&lt;&gt;ISNUMBER(DZ17)),"সেচের মাপ অসম্পূর্ণ; ","")&amp;IF(ISNUMBER(DZ23),IF(AND(ABS(DZ23)&gt;50,NOT(N(DZ8)&gt;0)),"পানির স্তর হঠাৎ &gt;5 সেমি বদল; ",""),""))</f>
        <v/>
      </c>
      <c r="EA30" s="36" t="str">
        <f aca="false">IF(EA1="","",IF(AND(ISNUMBER(EA13),OR(EA13&lt;-30,EA13&gt;20)),"পানির স্তর সীমার বাইরে; ","")&amp;IF(AND(ISNUMBER(EA12),EA13=""),"TP/b নেই; ","")&amp;IF(AND(ISNUMBER(EA19),ISNUMBER(EA20)),IF(EA20&lt;EA19,"সেচের পরে &lt; আগে; ",""),"")&amp;IF(AND(ISNUMBER(EA12),ISNUMBER(EA16)&lt;&gt;ISNUMBER(EA17)),"সেচের মাপ অসম্পূর্ণ; ","")&amp;IF(ISNUMBER(EA23),IF(AND(ABS(EA23)&gt;50,NOT(N(EA8)&gt;0)),"পানির স্তর হঠাৎ &gt;5 সেমি বদল; ",""),""))</f>
        <v/>
      </c>
      <c r="EB30" s="36" t="str">
        <f aca="false">IF(EB1="","",IF(AND(ISNUMBER(EB13),OR(EB13&lt;-30,EB13&gt;20)),"পানির স্তর সীমার বাইরে; ","")&amp;IF(AND(ISNUMBER(EB12),EB13=""),"TP/b নেই; ","")&amp;IF(AND(ISNUMBER(EB19),ISNUMBER(EB20)),IF(EB20&lt;EB19,"সেচের পরে &lt; আগে; ",""),"")&amp;IF(AND(ISNUMBER(EB12),ISNUMBER(EB16)&lt;&gt;ISNUMBER(EB17)),"সেচের মাপ অসম্পূর্ণ; ","")&amp;IF(ISNUMBER(EB23),IF(AND(ABS(EB23)&gt;50,NOT(N(EB8)&gt;0)),"পানির স্তর হঠাৎ &gt;5 সেমি বদল; ",""),""))</f>
        <v/>
      </c>
      <c r="EC30" s="36" t="str">
        <f aca="false">IF(EC1="","",IF(AND(ISNUMBER(EC13),OR(EC13&lt;-30,EC13&gt;20)),"পানির স্তর সীমার বাইরে; ","")&amp;IF(AND(ISNUMBER(EC12),EC13=""),"TP/b নেই; ","")&amp;IF(AND(ISNUMBER(EC19),ISNUMBER(EC20)),IF(EC20&lt;EC19,"সেচের পরে &lt; আগে; ",""),"")&amp;IF(AND(ISNUMBER(EC12),ISNUMBER(EC16)&lt;&gt;ISNUMBER(EC17)),"সেচের মাপ অসম্পূর্ণ; ","")&amp;IF(ISNUMBER(EC23),IF(AND(ABS(EC23)&gt;50,NOT(N(EC8)&gt;0)),"পানির স্তর হঠাৎ &gt;5 সেমি বদল; ",""),""))</f>
        <v/>
      </c>
      <c r="ED30" s="36" t="str">
        <f aca="false">IF(ED1="","",IF(AND(ISNUMBER(ED13),OR(ED13&lt;-30,ED13&gt;20)),"পানির স্তর সীমার বাইরে; ","")&amp;IF(AND(ISNUMBER(ED12),ED13=""),"TP/b নেই; ","")&amp;IF(AND(ISNUMBER(ED19),ISNUMBER(ED20)),IF(ED20&lt;ED19,"সেচের পরে &lt; আগে; ",""),"")&amp;IF(AND(ISNUMBER(ED12),ISNUMBER(ED16)&lt;&gt;ISNUMBER(ED17)),"সেচের মাপ অসম্পূর্ণ; ","")&amp;IF(ISNUMBER(ED23),IF(AND(ABS(ED23)&gt;50,NOT(N(ED8)&gt;0)),"পানির স্তর হঠাৎ &gt;5 সেমি বদল; ",""),""))</f>
        <v/>
      </c>
      <c r="EE30" s="36" t="str">
        <f aca="false">IF(EE1="","",IF(AND(ISNUMBER(EE13),OR(EE13&lt;-30,EE13&gt;20)),"পানির স্তর সীমার বাইরে; ","")&amp;IF(AND(ISNUMBER(EE12),EE13=""),"TP/b নেই; ","")&amp;IF(AND(ISNUMBER(EE19),ISNUMBER(EE20)),IF(EE20&lt;EE19,"সেচের পরে &lt; আগে; ",""),"")&amp;IF(AND(ISNUMBER(EE12),ISNUMBER(EE16)&lt;&gt;ISNUMBER(EE17)),"সেচের মাপ অসম্পূর্ণ; ","")&amp;IF(ISNUMBER(EE23),IF(AND(ABS(EE23)&gt;50,NOT(N(EE8)&gt;0)),"পানির স্তর হঠাৎ &gt;5 সেমি বদল; ",""),""))</f>
        <v/>
      </c>
      <c r="EF30" s="36" t="str">
        <f aca="false">IF(EF1="","",IF(AND(ISNUMBER(EF13),OR(EF13&lt;-30,EF13&gt;20)),"পানির স্তর সীমার বাইরে; ","")&amp;IF(AND(ISNUMBER(EF12),EF13=""),"TP/b নেই; ","")&amp;IF(AND(ISNUMBER(EF19),ISNUMBER(EF20)),IF(EF20&lt;EF19,"সেচের পরে &lt; আগে; ",""),"")&amp;IF(AND(ISNUMBER(EF12),ISNUMBER(EF16)&lt;&gt;ISNUMBER(EF17)),"সেচের মাপ অসম্পূর্ণ; ","")&amp;IF(ISNUMBER(EF23),IF(AND(ABS(EF23)&gt;50,NOT(N(EF8)&gt;0)),"পানির স্তর হঠাৎ &gt;5 সেমি বদল; ",""),""))</f>
        <v/>
      </c>
      <c r="EG30" s="36" t="str">
        <f aca="false">IF(EG1="","",IF(AND(ISNUMBER(EG13),OR(EG13&lt;-30,EG13&gt;20)),"পানির স্তর সীমার বাইরে; ","")&amp;IF(AND(ISNUMBER(EG12),EG13=""),"TP/b নেই; ","")&amp;IF(AND(ISNUMBER(EG19),ISNUMBER(EG20)),IF(EG20&lt;EG19,"সেচের পরে &lt; আগে; ",""),"")&amp;IF(AND(ISNUMBER(EG12),ISNUMBER(EG16)&lt;&gt;ISNUMBER(EG17)),"সেচের মাপ অসম্পূর্ণ; ","")&amp;IF(ISNUMBER(EG23),IF(AND(ABS(EG23)&gt;50,NOT(N(EG8)&gt;0)),"পানির স্তর হঠাৎ &gt;5 সেমি বদল; ",""),""))</f>
        <v/>
      </c>
      <c r="EH30" s="36" t="str">
        <f aca="false">IF(EH1="","",IF(AND(ISNUMBER(EH13),OR(EH13&lt;-30,EH13&gt;20)),"পানির স্তর সীমার বাইরে; ","")&amp;IF(AND(ISNUMBER(EH12),EH13=""),"TP/b নেই; ","")&amp;IF(AND(ISNUMBER(EH19),ISNUMBER(EH20)),IF(EH20&lt;EH19,"সেচের পরে &lt; আগে; ",""),"")&amp;IF(AND(ISNUMBER(EH12),ISNUMBER(EH16)&lt;&gt;ISNUMBER(EH17)),"সেচের মাপ অসম্পূর্ণ; ","")&amp;IF(ISNUMBER(EH23),IF(AND(ABS(EH23)&gt;50,NOT(N(EH8)&gt;0)),"পানির স্তর হঠাৎ &gt;5 সেমি বদল; ",""),""))</f>
        <v/>
      </c>
      <c r="EI30" s="36" t="str">
        <f aca="false">IF(EI1="","",IF(AND(ISNUMBER(EI13),OR(EI13&lt;-30,EI13&gt;20)),"পানির স্তর সীমার বাইরে; ","")&amp;IF(AND(ISNUMBER(EI12),EI13=""),"TP/b নেই; ","")&amp;IF(AND(ISNUMBER(EI19),ISNUMBER(EI20)),IF(EI20&lt;EI19,"সেচের পরে &lt; আগে; ",""),"")&amp;IF(AND(ISNUMBER(EI12),ISNUMBER(EI16)&lt;&gt;ISNUMBER(EI17)),"সেচের মাপ অসম্পূর্ণ; ","")&amp;IF(ISNUMBER(EI23),IF(AND(ABS(EI23)&gt;50,NOT(N(EI8)&gt;0)),"পানির স্তর হঠাৎ &gt;5 সেমি বদল; ",""),""))</f>
        <v/>
      </c>
      <c r="EJ30" s="36" t="str">
        <f aca="false">IF(EJ1="","",IF(AND(ISNUMBER(EJ13),OR(EJ13&lt;-30,EJ13&gt;20)),"পানির স্তর সীমার বাইরে; ","")&amp;IF(AND(ISNUMBER(EJ12),EJ13=""),"TP/b নেই; ","")&amp;IF(AND(ISNUMBER(EJ19),ISNUMBER(EJ20)),IF(EJ20&lt;EJ19,"সেচের পরে &lt; আগে; ",""),"")&amp;IF(AND(ISNUMBER(EJ12),ISNUMBER(EJ16)&lt;&gt;ISNUMBER(EJ17)),"সেচের মাপ অসম্পূর্ণ; ","")&amp;IF(ISNUMBER(EJ23),IF(AND(ABS(EJ23)&gt;50,NOT(N(EJ8)&gt;0)),"পানির স্তর হঠাৎ &gt;5 সেমি বদল; ",""),""))</f>
        <v/>
      </c>
      <c r="EK30" s="36" t="str">
        <f aca="false">IF(EK1="","",IF(AND(ISNUMBER(EK13),OR(EK13&lt;-30,EK13&gt;20)),"পানির স্তর সীমার বাইরে; ","")&amp;IF(AND(ISNUMBER(EK12),EK13=""),"TP/b নেই; ","")&amp;IF(AND(ISNUMBER(EK19),ISNUMBER(EK20)),IF(EK20&lt;EK19,"সেচের পরে &lt; আগে; ",""),"")&amp;IF(AND(ISNUMBER(EK12),ISNUMBER(EK16)&lt;&gt;ISNUMBER(EK17)),"সেচের মাপ অসম্পূর্ণ; ","")&amp;IF(ISNUMBER(EK23),IF(AND(ABS(EK23)&gt;50,NOT(N(EK8)&gt;0)),"পানির স্তর হঠাৎ &gt;5 সেমি বদল; ",""),""))</f>
        <v/>
      </c>
      <c r="EL30" s="36" t="str">
        <f aca="false">IF(EL1="","",IF(AND(ISNUMBER(EL13),OR(EL13&lt;-30,EL13&gt;20)),"পানির স্তর সীমার বাইরে; ","")&amp;IF(AND(ISNUMBER(EL12),EL13=""),"TP/b নেই; ","")&amp;IF(AND(ISNUMBER(EL19),ISNUMBER(EL20)),IF(EL20&lt;EL19,"সেচের পরে &lt; আগে; ",""),"")&amp;IF(AND(ISNUMBER(EL12),ISNUMBER(EL16)&lt;&gt;ISNUMBER(EL17)),"সেচের মাপ অসম্পূর্ণ; ","")&amp;IF(ISNUMBER(EL23),IF(AND(ABS(EL23)&gt;50,NOT(N(EL8)&gt;0)),"পানির স্তর হঠাৎ &gt;5 সেমি বদল; ",""),""))</f>
        <v/>
      </c>
      <c r="EM30" s="36" t="str">
        <f aca="false">IF(EM1="","",IF(AND(ISNUMBER(EM13),OR(EM13&lt;-30,EM13&gt;20)),"পানির স্তর সীমার বাইরে; ","")&amp;IF(AND(ISNUMBER(EM12),EM13=""),"TP/b নেই; ","")&amp;IF(AND(ISNUMBER(EM19),ISNUMBER(EM20)),IF(EM20&lt;EM19,"সেচের পরে &lt; আগে; ",""),"")&amp;IF(AND(ISNUMBER(EM12),ISNUMBER(EM16)&lt;&gt;ISNUMBER(EM17)),"সেচের মাপ অসম্পূর্ণ; ","")&amp;IF(ISNUMBER(EM23),IF(AND(ABS(EM23)&gt;50,NOT(N(EM8)&gt;0)),"পানির স্তর হঠাৎ &gt;5 সেমি বদল; ",""),""))</f>
        <v/>
      </c>
      <c r="EN30" s="36" t="str">
        <f aca="false">IF(EN1="","",IF(AND(ISNUMBER(EN13),OR(EN13&lt;-30,EN13&gt;20)),"পানির স্তর সীমার বাইরে; ","")&amp;IF(AND(ISNUMBER(EN12),EN13=""),"TP/b নেই; ","")&amp;IF(AND(ISNUMBER(EN19),ISNUMBER(EN20)),IF(EN20&lt;EN19,"সেচের পরে &lt; আগে; ",""),"")&amp;IF(AND(ISNUMBER(EN12),ISNUMBER(EN16)&lt;&gt;ISNUMBER(EN17)),"সেচের মাপ অসম্পূর্ণ; ","")&amp;IF(ISNUMBER(EN23),IF(AND(ABS(EN23)&gt;50,NOT(N(EN8)&gt;0)),"পানির স্তর হঠাৎ &gt;5 সেমি বদল; ",""),""))</f>
        <v/>
      </c>
      <c r="EO30" s="36" t="str">
        <f aca="false">IF(EO1="","",IF(AND(ISNUMBER(EO13),OR(EO13&lt;-30,EO13&gt;20)),"পানির স্তর সীমার বাইরে; ","")&amp;IF(AND(ISNUMBER(EO12),EO13=""),"TP/b নেই; ","")&amp;IF(AND(ISNUMBER(EO19),ISNUMBER(EO20)),IF(EO20&lt;EO19,"সেচের পরে &lt; আগে; ",""),"")&amp;IF(AND(ISNUMBER(EO12),ISNUMBER(EO16)&lt;&gt;ISNUMBER(EO17)),"সেচের মাপ অসম্পূর্ণ; ","")&amp;IF(ISNUMBER(EO23),IF(AND(ABS(EO23)&gt;50,NOT(N(EO8)&gt;0)),"পানির স্তর হঠাৎ &gt;5 সেমি বদল; ",""),""))</f>
        <v/>
      </c>
      <c r="EP30" s="36" t="str">
        <f aca="false">IF(EP1="","",IF(AND(ISNUMBER(EP13),OR(EP13&lt;-30,EP13&gt;20)),"পানির স্তর সীমার বাইরে; ","")&amp;IF(AND(ISNUMBER(EP12),EP13=""),"TP/b নেই; ","")&amp;IF(AND(ISNUMBER(EP19),ISNUMBER(EP20)),IF(EP20&lt;EP19,"সেচের পরে &lt; আগে; ",""),"")&amp;IF(AND(ISNUMBER(EP12),ISNUMBER(EP16)&lt;&gt;ISNUMBER(EP17)),"সেচের মাপ অসম্পূর্ণ; ","")&amp;IF(ISNUMBER(EP23),IF(AND(ABS(EP23)&gt;50,NOT(N(EP8)&gt;0)),"পানির স্তর হঠাৎ &gt;5 সেমি বদল; ",""),""))</f>
        <v/>
      </c>
      <c r="EQ30" s="36" t="str">
        <f aca="false">IF(EQ1="","",IF(AND(ISNUMBER(EQ13),OR(EQ13&lt;-30,EQ13&gt;20)),"পানির স্তর সীমার বাইরে; ","")&amp;IF(AND(ISNUMBER(EQ12),EQ13=""),"TP/b নেই; ","")&amp;IF(AND(ISNUMBER(EQ19),ISNUMBER(EQ20)),IF(EQ20&lt;EQ19,"সেচের পরে &lt; আগে; ",""),"")&amp;IF(AND(ISNUMBER(EQ12),ISNUMBER(EQ16)&lt;&gt;ISNUMBER(EQ17)),"সেচের মাপ অসম্পূর্ণ; ","")&amp;IF(ISNUMBER(EQ23),IF(AND(ABS(EQ23)&gt;50,NOT(N(EQ8)&gt;0)),"পানির স্তর হঠাৎ &gt;5 সেমি বদল; ",""),""))</f>
        <v/>
      </c>
      <c r="ER30" s="36" t="str">
        <f aca="false">IF(ER1="","",IF(AND(ISNUMBER(ER13),OR(ER13&lt;-30,ER13&gt;20)),"পানির স্তর সীমার বাইরে; ","")&amp;IF(AND(ISNUMBER(ER12),ER13=""),"TP/b নেই; ","")&amp;IF(AND(ISNUMBER(ER19),ISNUMBER(ER20)),IF(ER20&lt;ER19,"সেচের পরে &lt; আগে; ",""),"")&amp;IF(AND(ISNUMBER(ER12),ISNUMBER(ER16)&lt;&gt;ISNUMBER(ER17)),"সেচের মাপ অসম্পূর্ণ; ","")&amp;IF(ISNUMBER(ER23),IF(AND(ABS(ER23)&gt;50,NOT(N(ER8)&gt;0)),"পানির স্তর হঠাৎ &gt;5 সেমি বদল; ",""),""))</f>
        <v/>
      </c>
      <c r="ES30" s="36" t="str">
        <f aca="false">IF(ES1="","",IF(AND(ISNUMBER(ES13),OR(ES13&lt;-30,ES13&gt;20)),"পানির স্তর সীমার বাইরে; ","")&amp;IF(AND(ISNUMBER(ES12),ES13=""),"TP/b নেই; ","")&amp;IF(AND(ISNUMBER(ES19),ISNUMBER(ES20)),IF(ES20&lt;ES19,"সেচের পরে &lt; আগে; ",""),"")&amp;IF(AND(ISNUMBER(ES12),ISNUMBER(ES16)&lt;&gt;ISNUMBER(ES17)),"সেচের মাপ অসম্পূর্ণ; ","")&amp;IF(ISNUMBER(ES23),IF(AND(ABS(ES23)&gt;50,NOT(N(ES8)&gt;0)),"পানির স্তর হঠাৎ &gt;5 সেমি বদল; ",""),""))</f>
        <v>পানির স্তর হঠাৎ &gt;5 সেমি বদল; </v>
      </c>
      <c r="ET30" s="36" t="str">
        <f aca="false">IF(ET1="","",IF(AND(ISNUMBER(ET13),OR(ET13&lt;-30,ET13&gt;20)),"পানির স্তর সীমার বাইরে; ","")&amp;IF(AND(ISNUMBER(ET12),ET13=""),"TP/b নেই; ","")&amp;IF(AND(ISNUMBER(ET19),ISNUMBER(ET20)),IF(ET20&lt;ET19,"সেচের পরে &lt; আগে; ",""),"")&amp;IF(AND(ISNUMBER(ET12),ISNUMBER(ET16)&lt;&gt;ISNUMBER(ET17)),"সেচের মাপ অসম্পূর্ণ; ","")&amp;IF(ISNUMBER(ET23),IF(AND(ABS(ET23)&gt;50,NOT(N(ET8)&gt;0)),"পানির স্তর হঠাৎ &gt;5 সেমি বদল; ",""),""))</f>
        <v>পানির স্তর হঠাৎ &gt;5 সেমি বদল; </v>
      </c>
      <c r="EU30" s="36" t="str">
        <f aca="false">IF(EU1="","",IF(AND(ISNUMBER(EU13),OR(EU13&lt;-30,EU13&gt;20)),"পানির স্তর সীমার বাইরে; ","")&amp;IF(AND(ISNUMBER(EU12),EU13=""),"TP/b নেই; ","")&amp;IF(AND(ISNUMBER(EU19),ISNUMBER(EU20)),IF(EU20&lt;EU19,"সেচের পরে &lt; আগে; ",""),"")&amp;IF(AND(ISNUMBER(EU12),ISNUMBER(EU16)&lt;&gt;ISNUMBER(EU17)),"সেচের মাপ অসম্পূর্ণ; ","")&amp;IF(ISNUMBER(EU23),IF(AND(ABS(EU23)&gt;50,NOT(N(EU8)&gt;0)),"পানির স্তর হঠাৎ &gt;5 সেমি বদল; ",""),""))</f>
        <v/>
      </c>
      <c r="EV30" s="36" t="str">
        <f aca="false">IF(EV1="","",IF(AND(ISNUMBER(EV13),OR(EV13&lt;-30,EV13&gt;20)),"পানির স্তর সীমার বাইরে; ","")&amp;IF(AND(ISNUMBER(EV12),EV13=""),"TP/b নেই; ","")&amp;IF(AND(ISNUMBER(EV19),ISNUMBER(EV20)),IF(EV20&lt;EV19,"সেচের পরে &lt; আগে; ",""),"")&amp;IF(AND(ISNUMBER(EV12),ISNUMBER(EV16)&lt;&gt;ISNUMBER(EV17)),"সেচের মাপ অসম্পূর্ণ; ","")&amp;IF(ISNUMBER(EV23),IF(AND(ABS(EV23)&gt;50,NOT(N(EV8)&gt;0)),"পানির স্তর হঠাৎ &gt;5 সেমি বদল; ",""),""))</f>
        <v/>
      </c>
      <c r="EW30" s="36" t="str">
        <f aca="false">IF(EW1="","",IF(AND(ISNUMBER(EW13),OR(EW13&lt;-30,EW13&gt;20)),"পানির স্তর সীমার বাইরে; ","")&amp;IF(AND(ISNUMBER(EW12),EW13=""),"TP/b নেই; ","")&amp;IF(AND(ISNUMBER(EW19),ISNUMBER(EW20)),IF(EW20&lt;EW19,"সেচের পরে &lt; আগে; ",""),"")&amp;IF(AND(ISNUMBER(EW12),ISNUMBER(EW16)&lt;&gt;ISNUMBER(EW17)),"সেচের মাপ অসম্পূর্ণ; ","")&amp;IF(ISNUMBER(EW23),IF(AND(ABS(EW23)&gt;50,NOT(N(EW8)&gt;0)),"পানির স্তর হঠাৎ &gt;5 সেমি বদল; ",""),""))</f>
        <v/>
      </c>
      <c r="EX30" s="36" t="str">
        <f aca="false">IF(EX1="","",IF(AND(ISNUMBER(EX13),OR(EX13&lt;-30,EX13&gt;20)),"পানির স্তর সীমার বাইরে; ","")&amp;IF(AND(ISNUMBER(EX12),EX13=""),"TP/b নেই; ","")&amp;IF(AND(ISNUMBER(EX19),ISNUMBER(EX20)),IF(EX20&lt;EX19,"সেচের পরে &lt; আগে; ",""),"")&amp;IF(AND(ISNUMBER(EX12),ISNUMBER(EX16)&lt;&gt;ISNUMBER(EX17)),"সেচের মাপ অসম্পূর্ণ; ","")&amp;IF(ISNUMBER(EX23),IF(AND(ABS(EX23)&gt;50,NOT(N(EX8)&gt;0)),"পানির স্তর হঠাৎ &gt;5 সেমি বদল; ",""),""))</f>
        <v/>
      </c>
      <c r="EY30" s="36" t="str">
        <f aca="false">IF(EY1="","",IF(AND(ISNUMBER(EY13),OR(EY13&lt;-30,EY13&gt;20)),"পানির স্তর সীমার বাইরে; ","")&amp;IF(AND(ISNUMBER(EY12),EY13=""),"TP/b নেই; ","")&amp;IF(AND(ISNUMBER(EY19),ISNUMBER(EY20)),IF(EY20&lt;EY19,"সেচের পরে &lt; আগে; ",""),"")&amp;IF(AND(ISNUMBER(EY12),ISNUMBER(EY16)&lt;&gt;ISNUMBER(EY17)),"সেচের মাপ অসম্পূর্ণ; ","")&amp;IF(ISNUMBER(EY23),IF(AND(ABS(EY23)&gt;50,NOT(N(EY8)&gt;0)),"পানির স্তর হঠাৎ &gt;5 সেমি বদল; ",""),""))</f>
        <v/>
      </c>
      <c r="EZ30" s="36" t="str">
        <f aca="false">IF(EZ1="","",IF(AND(ISNUMBER(EZ13),OR(EZ13&lt;-30,EZ13&gt;20)),"পানির স্তর সীমার বাইরে; ","")&amp;IF(AND(ISNUMBER(EZ12),EZ13=""),"TP/b নেই; ","")&amp;IF(AND(ISNUMBER(EZ19),ISNUMBER(EZ20)),IF(EZ20&lt;EZ19,"সেচের পরে &lt; আগে; ",""),"")&amp;IF(AND(ISNUMBER(EZ12),ISNUMBER(EZ16)&lt;&gt;ISNUMBER(EZ17)),"সেচের মাপ অসম্পূর্ণ; ","")&amp;IF(ISNUMBER(EZ23),IF(AND(ABS(EZ23)&gt;50,NOT(N(EZ8)&gt;0)),"পানির স্তর হঠাৎ &gt;5 সেমি বদল; ",""),""))</f>
        <v/>
      </c>
      <c r="FA30" s="36" t="str">
        <f aca="false">IF(FA1="","",IF(AND(ISNUMBER(FA13),OR(FA13&lt;-30,FA13&gt;20)),"পানির স্তর সীমার বাইরে; ","")&amp;IF(AND(ISNUMBER(FA12),FA13=""),"TP/b নেই; ","")&amp;IF(AND(ISNUMBER(FA19),ISNUMBER(FA20)),IF(FA20&lt;FA19,"সেচের পরে &lt; আগে; ",""),"")&amp;IF(AND(ISNUMBER(FA12),ISNUMBER(FA16)&lt;&gt;ISNUMBER(FA17)),"সেচের মাপ অসম্পূর্ণ; ","")&amp;IF(ISNUMBER(FA23),IF(AND(ABS(FA23)&gt;50,NOT(N(FA8)&gt;0)),"পানির স্তর হঠাৎ &gt;5 সেমি বদল; ",""),""))</f>
        <v/>
      </c>
      <c r="FB30" s="36" t="str">
        <f aca="false">IF(FB1="","",IF(AND(ISNUMBER(FB13),OR(FB13&lt;-30,FB13&gt;20)),"পানির স্তর সীমার বাইরে; ","")&amp;IF(AND(ISNUMBER(FB12),FB13=""),"TP/b নেই; ","")&amp;IF(AND(ISNUMBER(FB19),ISNUMBER(FB20)),IF(FB20&lt;FB19,"সেচের পরে &lt; আগে; ",""),"")&amp;IF(AND(ISNUMBER(FB12),ISNUMBER(FB16)&lt;&gt;ISNUMBER(FB17)),"সেচের মাপ অসম্পূর্ণ; ","")&amp;IF(ISNUMBER(FB23),IF(AND(ABS(FB23)&gt;50,NOT(N(FB8)&gt;0)),"পানির স্তর হঠাৎ &gt;5 সেমি বদল; ",""),""))</f>
        <v/>
      </c>
      <c r="FC30" s="36" t="str">
        <f aca="false">IF(FC1="","",IF(AND(ISNUMBER(FC13),OR(FC13&lt;-30,FC13&gt;20)),"পানির স্তর সীমার বাইরে; ","")&amp;IF(AND(ISNUMBER(FC12),FC13=""),"TP/b নেই; ","")&amp;IF(AND(ISNUMBER(FC19),ISNUMBER(FC20)),IF(FC20&lt;FC19,"সেচের পরে &lt; আগে; ",""),"")&amp;IF(AND(ISNUMBER(FC12),ISNUMBER(FC16)&lt;&gt;ISNUMBER(FC17)),"সেচের মাপ অসম্পূর্ণ; ","")&amp;IF(ISNUMBER(FC23),IF(AND(ABS(FC23)&gt;50,NOT(N(FC8)&gt;0)),"পানির স্তর হঠাৎ &gt;5 সেমি বদল; ",""),""))</f>
        <v/>
      </c>
      <c r="FD30" s="36" t="str">
        <f aca="false">IF(FD1="","",IF(AND(ISNUMBER(FD13),OR(FD13&lt;-30,FD13&gt;20)),"পানির স্তর সীমার বাইরে; ","")&amp;IF(AND(ISNUMBER(FD12),FD13=""),"TP/b নেই; ","")&amp;IF(AND(ISNUMBER(FD19),ISNUMBER(FD20)),IF(FD20&lt;FD19,"সেচের পরে &lt; আগে; ",""),"")&amp;IF(AND(ISNUMBER(FD12),ISNUMBER(FD16)&lt;&gt;ISNUMBER(FD17)),"সেচের মাপ অসম্পূর্ণ; ","")&amp;IF(ISNUMBER(FD23),IF(AND(ABS(FD23)&gt;50,NOT(N(FD8)&gt;0)),"পানির স্তর হঠাৎ &gt;5 সেমি বদল; ",""),""))</f>
        <v/>
      </c>
      <c r="FE30" s="36" t="str">
        <f aca="false">IF(FE1="","",IF(AND(ISNUMBER(FE13),OR(FE13&lt;-30,FE13&gt;20)),"পানির স্তর সীমার বাইরে; ","")&amp;IF(AND(ISNUMBER(FE12),FE13=""),"TP/b নেই; ","")&amp;IF(AND(ISNUMBER(FE19),ISNUMBER(FE20)),IF(FE20&lt;FE19,"সেচের পরে &lt; আগে; ",""),"")&amp;IF(AND(ISNUMBER(FE12),ISNUMBER(FE16)&lt;&gt;ISNUMBER(FE17)),"সেচের মাপ অসম্পূর্ণ; ","")&amp;IF(ISNUMBER(FE23),IF(AND(ABS(FE23)&gt;50,NOT(N(FE8)&gt;0)),"পানির স্তর হঠাৎ &gt;5 সেমি বদল; ",""),""))</f>
        <v/>
      </c>
      <c r="FF30" s="36" t="str">
        <f aca="false">IF(FF1="","",IF(AND(ISNUMBER(FF13),OR(FF13&lt;-30,FF13&gt;20)),"পানির স্তর সীমার বাইরে; ","")&amp;IF(AND(ISNUMBER(FF12),FF13=""),"TP/b নেই; ","")&amp;IF(AND(ISNUMBER(FF19),ISNUMBER(FF20)),IF(FF20&lt;FF19,"সেচের পরে &lt; আগে; ",""),"")&amp;IF(AND(ISNUMBER(FF12),ISNUMBER(FF16)&lt;&gt;ISNUMBER(FF17)),"সেচের মাপ অসম্পূর্ণ; ","")&amp;IF(ISNUMBER(FF23),IF(AND(ABS(FF23)&gt;50,NOT(N(FF8)&gt;0)),"পানির স্তর হঠাৎ &gt;5 সেমি বদল; ",""),""))</f>
        <v/>
      </c>
      <c r="FG30" s="36" t="str">
        <f aca="false">IF(FG1="","",IF(AND(ISNUMBER(FG13),OR(FG13&lt;-30,FG13&gt;20)),"পানির স্তর সীমার বাইরে; ","")&amp;IF(AND(ISNUMBER(FG12),FG13=""),"TP/b নেই; ","")&amp;IF(AND(ISNUMBER(FG19),ISNUMBER(FG20)),IF(FG20&lt;FG19,"সেচের পরে &lt; আগে; ",""),"")&amp;IF(AND(ISNUMBER(FG12),ISNUMBER(FG16)&lt;&gt;ISNUMBER(FG17)),"সেচের মাপ অসম্পূর্ণ; ","")&amp;IF(ISNUMBER(FG23),IF(AND(ABS(FG23)&gt;50,NOT(N(FG8)&gt;0)),"পানির স্তর হঠাৎ &gt;5 সেমি বদল; ",""),""))</f>
        <v/>
      </c>
      <c r="FH30" s="36" t="str">
        <f aca="false">IF(FH1="","",IF(AND(ISNUMBER(FH13),OR(FH13&lt;-30,FH13&gt;20)),"পানির স্তর সীমার বাইরে; ","")&amp;IF(AND(ISNUMBER(FH12),FH13=""),"TP/b নেই; ","")&amp;IF(AND(ISNUMBER(FH19),ISNUMBER(FH20)),IF(FH20&lt;FH19,"সেচের পরে &lt; আগে; ",""),"")&amp;IF(AND(ISNUMBER(FH12),ISNUMBER(FH16)&lt;&gt;ISNUMBER(FH17)),"সেচের মাপ অসম্পূর্ণ; ","")&amp;IF(ISNUMBER(FH23),IF(AND(ABS(FH23)&gt;50,NOT(N(FH8)&gt;0)),"পানির স্তর হঠাৎ &gt;5 সেমি বদল; ",""),""))</f>
        <v/>
      </c>
      <c r="FI30" s="36" t="str">
        <f aca="false">IF(FI1="","",IF(AND(ISNUMBER(FI13),OR(FI13&lt;-30,FI13&gt;20)),"পানির স্তর সীমার বাইরে; ","")&amp;IF(AND(ISNUMBER(FI12),FI13=""),"TP/b নেই; ","")&amp;IF(AND(ISNUMBER(FI19),ISNUMBER(FI20)),IF(FI20&lt;FI19,"সেচের পরে &lt; আগে; ",""),"")&amp;IF(AND(ISNUMBER(FI12),ISNUMBER(FI16)&lt;&gt;ISNUMBER(FI17)),"সেচের মাপ অসম্পূর্ণ; ","")&amp;IF(ISNUMBER(FI23),IF(AND(ABS(FI23)&gt;50,NOT(N(FI8)&gt;0)),"পানির স্তর হঠাৎ &gt;5 সেমি বদল; ",""),""))</f>
        <v/>
      </c>
      <c r="FJ30" s="36" t="str">
        <f aca="false">IF(FJ1="","",IF(AND(ISNUMBER(FJ13),OR(FJ13&lt;-30,FJ13&gt;20)),"পানির স্তর সীমার বাইরে; ","")&amp;IF(AND(ISNUMBER(FJ12),FJ13=""),"TP/b নেই; ","")&amp;IF(AND(ISNUMBER(FJ19),ISNUMBER(FJ20)),IF(FJ20&lt;FJ19,"সেচের পরে &lt; আগে; ",""),"")&amp;IF(AND(ISNUMBER(FJ12),ISNUMBER(FJ16)&lt;&gt;ISNUMBER(FJ17)),"সেচের মাপ অসম্পূর্ণ; ","")&amp;IF(ISNUMBER(FJ23),IF(AND(ABS(FJ23)&gt;50,NOT(N(FJ8)&gt;0)),"পানির স্তর হঠাৎ &gt;5 সেমি বদল; ",""),""))</f>
        <v/>
      </c>
      <c r="FK30" s="36" t="str">
        <f aca="false">IF(FK1="","",IF(AND(ISNUMBER(FK13),OR(FK13&lt;-30,FK13&gt;20)),"পানির স্তর সীমার বাইরে; ","")&amp;IF(AND(ISNUMBER(FK12),FK13=""),"TP/b নেই; ","")&amp;IF(AND(ISNUMBER(FK19),ISNUMBER(FK20)),IF(FK20&lt;FK19,"সেচের পরে &lt; আগে; ",""),"")&amp;IF(AND(ISNUMBER(FK12),ISNUMBER(FK16)&lt;&gt;ISNUMBER(FK17)),"সেচের মাপ অসম্পূর্ণ; ","")&amp;IF(ISNUMBER(FK23),IF(AND(ABS(FK23)&gt;50,NOT(N(FK8)&gt;0)),"পানির স্তর হঠাৎ &gt;5 সেমি বদল; ",""),""))</f>
        <v/>
      </c>
      <c r="FL30" s="36" t="str">
        <f aca="false">IF(FL1="","",IF(AND(ISNUMBER(FL13),OR(FL13&lt;-30,FL13&gt;20)),"পানির স্তর সীমার বাইরে; ","")&amp;IF(AND(ISNUMBER(FL12),FL13=""),"TP/b নেই; ","")&amp;IF(AND(ISNUMBER(FL19),ISNUMBER(FL20)),IF(FL20&lt;FL19,"সেচের পরে &lt; আগে; ",""),"")&amp;IF(AND(ISNUMBER(FL12),ISNUMBER(FL16)&lt;&gt;ISNUMBER(FL17)),"সেচের মাপ অসম্পূর্ণ; ","")&amp;IF(ISNUMBER(FL23),IF(AND(ABS(FL23)&gt;50,NOT(N(FL8)&gt;0)),"পানির স্তর হঠাৎ &gt;5 সেমি বদল; ",""),""))</f>
        <v/>
      </c>
      <c r="FM30" s="36" t="str">
        <f aca="false">IF(FM1="","",IF(AND(ISNUMBER(FM13),OR(FM13&lt;-30,FM13&gt;20)),"পানির স্তর সীমার বাইরে; ","")&amp;IF(AND(ISNUMBER(FM12),FM13=""),"TP/b নেই; ","")&amp;IF(AND(ISNUMBER(FM19),ISNUMBER(FM20)),IF(FM20&lt;FM19,"সেচের পরে &lt; আগে; ",""),"")&amp;IF(AND(ISNUMBER(FM12),ISNUMBER(FM16)&lt;&gt;ISNUMBER(FM17)),"সেচের মাপ অসম্পূর্ণ; ","")&amp;IF(ISNUMBER(FM23),IF(AND(ABS(FM23)&gt;50,NOT(N(FM8)&gt;0)),"পানির স্তর হঠাৎ &gt;5 সেমি বদল; ",""),""))</f>
        <v/>
      </c>
      <c r="FN30" s="36" t="str">
        <f aca="false">IF(FN1="","",IF(AND(ISNUMBER(FN13),OR(FN13&lt;-30,FN13&gt;20)),"পানির স্তর সীমার বাইরে; ","")&amp;IF(AND(ISNUMBER(FN12),FN13=""),"TP/b নেই; ","")&amp;IF(AND(ISNUMBER(FN19),ISNUMBER(FN20)),IF(FN20&lt;FN19,"সেচের পরে &lt; আগে; ",""),"")&amp;IF(AND(ISNUMBER(FN12),ISNUMBER(FN16)&lt;&gt;ISNUMBER(FN17)),"সেচের মাপ অসম্পূর্ণ; ","")&amp;IF(ISNUMBER(FN23),IF(AND(ABS(FN23)&gt;50,NOT(N(FN8)&gt;0)),"পানির স্তর হঠাৎ &gt;5 সেমি বদল; ",""),""))</f>
        <v/>
      </c>
      <c r="FO30" s="36" t="str">
        <f aca="false">IF(FO1="","",IF(AND(ISNUMBER(FO13),OR(FO13&lt;-30,FO13&gt;20)),"পানির স্তর সীমার বাইরে; ","")&amp;IF(AND(ISNUMBER(FO12),FO13=""),"TP/b নেই; ","")&amp;IF(AND(ISNUMBER(FO19),ISNUMBER(FO20)),IF(FO20&lt;FO19,"সেচের পরে &lt; আগে; ",""),"")&amp;IF(AND(ISNUMBER(FO12),ISNUMBER(FO16)&lt;&gt;ISNUMBER(FO17)),"সেচের মাপ অসম্পূর্ণ; ","")&amp;IF(ISNUMBER(FO23),IF(AND(ABS(FO23)&gt;50,NOT(N(FO8)&gt;0)),"পানির স্তর হঠাৎ &gt;5 সেমি বদল; ",""),""))</f>
        <v/>
      </c>
      <c r="FP30" s="36" t="str">
        <f aca="false">IF(FP1="","",IF(AND(ISNUMBER(FP13),OR(FP13&lt;-30,FP13&gt;20)),"পানির স্তর সীমার বাইরে; ","")&amp;IF(AND(ISNUMBER(FP12),FP13=""),"TP/b নেই; ","")&amp;IF(AND(ISNUMBER(FP19),ISNUMBER(FP20)),IF(FP20&lt;FP19,"সেচের পরে &lt; আগে; ",""),"")&amp;IF(AND(ISNUMBER(FP12),ISNUMBER(FP16)&lt;&gt;ISNUMBER(FP17)),"সেচের মাপ অসম্পূর্ণ; ","")&amp;IF(ISNUMBER(FP23),IF(AND(ABS(FP23)&gt;50,NOT(N(FP8)&gt;0)),"পানির স্তর হঠাৎ &gt;5 সেমি বদল; ",""),""))</f>
        <v/>
      </c>
      <c r="FQ30" s="36" t="str">
        <f aca="false">IF(FQ1="","",IF(AND(ISNUMBER(FQ13),OR(FQ13&lt;-30,FQ13&gt;20)),"পানির স্তর সীমার বাইরে; ","")&amp;IF(AND(ISNUMBER(FQ12),FQ13=""),"TP/b নেই; ","")&amp;IF(AND(ISNUMBER(FQ19),ISNUMBER(FQ20)),IF(FQ20&lt;FQ19,"সেচের পরে &lt; আগে; ",""),"")&amp;IF(AND(ISNUMBER(FQ12),ISNUMBER(FQ16)&lt;&gt;ISNUMBER(FQ17)),"সেচের মাপ অসম্পূর্ণ; ","")&amp;IF(ISNUMBER(FQ23),IF(AND(ABS(FQ23)&gt;50,NOT(N(FQ8)&gt;0)),"পানির স্তর হঠাৎ &gt;5 সেমি বদল; ",""),""))</f>
        <v/>
      </c>
    </row>
    <row r="31" customFormat="false" ht="15" hidden="true" customHeight="false" outlineLevel="0" collapsed="false">
      <c r="A31" s="31" t="s">
        <v>317</v>
      </c>
      <c r="B31" s="59" t="s">
        <v>413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false" outlineLevel="0" collapsed="false">
      <c r="A32" s="31" t="s">
        <v>317</v>
      </c>
      <c r="B32" s="59" t="s">
        <v>414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n">
        <f aca="false">IF(BD13="","",IF(ISNUMBER(BD20),BD20,BD13))</f>
        <v>1</v>
      </c>
      <c r="BE32" s="27" t="n">
        <f aca="false">IF(BE13="","",IF(ISNUMBER(BE20),BE20,BE13))</f>
        <v>1.6</v>
      </c>
      <c r="BF32" s="27" t="n">
        <f aca="false">IF(BF13="","",IF(ISNUMBER(BF20),BF20,BF13))</f>
        <v>1.5</v>
      </c>
      <c r="BG32" s="27" t="n">
        <f aca="false">IF(BG13="","",IF(ISNUMBER(BG20),BG20,BG13))</f>
        <v>3.5</v>
      </c>
      <c r="BH32" s="27" t="n">
        <f aca="false">IF(BH13="","",IF(ISNUMBER(BH20),BH20,BH13))</f>
        <v>3.1</v>
      </c>
      <c r="BI32" s="27" t="n">
        <f aca="false">IF(BI13="","",IF(ISNUMBER(BI20),BI20,BI13))</f>
        <v>2.4</v>
      </c>
      <c r="BJ32" s="27" t="n">
        <f aca="false">IF(BJ13="","",IF(ISNUMBER(BJ20),BJ20,BJ13))</f>
        <v>2.2</v>
      </c>
      <c r="BK32" s="27" t="n">
        <f aca="false">IF(BK13="","",IF(ISNUMBER(BK20),BK20,BK13))</f>
        <v>3.4</v>
      </c>
      <c r="BL32" s="27" t="n">
        <f aca="false">IF(BL13="","",IF(ISNUMBER(BL20),BL20,BL13))</f>
        <v>2.8</v>
      </c>
      <c r="BM32" s="27" t="n">
        <f aca="false">IF(BM13="","",IF(ISNUMBER(BM20),BM20,BM13))</f>
        <v>2.5</v>
      </c>
      <c r="BN32" s="27" t="n">
        <f aca="false">IF(BN13="","",IF(ISNUMBER(BN20),BN20,BN13))</f>
        <v>2.1</v>
      </c>
      <c r="BO32" s="27" t="n">
        <f aca="false">IF(BO13="","",IF(ISNUMBER(BO20),BO20,BO13))</f>
        <v>1.5</v>
      </c>
      <c r="BP32" s="27" t="n">
        <f aca="false">IF(BP13="","",IF(ISNUMBER(BP20),BP20,BP13))</f>
        <v>3</v>
      </c>
      <c r="BQ32" s="27" t="n">
        <f aca="false">IF(BQ13="","",IF(ISNUMBER(BQ20),BQ20,BQ13))</f>
        <v>2.5</v>
      </c>
      <c r="BR32" s="27" t="n">
        <f aca="false">IF(BR13="","",IF(ISNUMBER(BR20),BR20,BR13))</f>
        <v>2.1</v>
      </c>
      <c r="BS32" s="27" t="n">
        <f aca="false">IF(BS13="","",IF(ISNUMBER(BS20),BS20,BS13))</f>
        <v>1.4</v>
      </c>
      <c r="BT32" s="27" t="n">
        <f aca="false">IF(BT13="","",IF(ISNUMBER(BT20),BT20,BT13))</f>
        <v>1.2</v>
      </c>
      <c r="BU32" s="27" t="n">
        <f aca="false">IF(BU13="","",IF(ISNUMBER(BU20),BU20,BU13))</f>
        <v>1</v>
      </c>
      <c r="BV32" s="27" t="n">
        <f aca="false">IF(BV13="","",IF(ISNUMBER(BV20),BV20,BV13))</f>
        <v>0.9</v>
      </c>
      <c r="BW32" s="27" t="n">
        <f aca="false">IF(BW13="","",IF(ISNUMBER(BW20),BW20,BW13))</f>
        <v>3.5</v>
      </c>
      <c r="BX32" s="27" t="n">
        <f aca="false">IF(BX13="","",IF(ISNUMBER(BX20),BX20,BX13))</f>
        <v>2.6</v>
      </c>
      <c r="BY32" s="27" t="n">
        <f aca="false">IF(BY13="","",IF(ISNUMBER(BY20),BY20,BY13))</f>
        <v>2.4</v>
      </c>
      <c r="BZ32" s="27" t="n">
        <f aca="false">IF(BZ13="","",IF(ISNUMBER(BZ20),BZ20,BZ13))</f>
        <v>1.9</v>
      </c>
      <c r="CA32" s="27" t="str">
        <f aca="false">IF(CA13="","",IF(ISNUMBER(CA20),CA20,CA13))</f>
        <v/>
      </c>
      <c r="CB32" s="27" t="n">
        <f aca="false">IF(CB13="","",IF(ISNUMBER(CB20),CB20,CB13))</f>
        <v>1.1</v>
      </c>
      <c r="CC32" s="27" t="n">
        <f aca="false">IF(CC13="","",IF(ISNUMBER(CC20),CC20,CC13))</f>
        <v>0.5</v>
      </c>
      <c r="CD32" s="27" t="n">
        <f aca="false">IF(CD13="","",IF(ISNUMBER(CD20),CD20,CD13))</f>
        <v>2.4</v>
      </c>
      <c r="CE32" s="27" t="n">
        <f aca="false">IF(CE13="","",IF(ISNUMBER(CE20),CE20,CE13))</f>
        <v>2</v>
      </c>
      <c r="CF32" s="27" t="n">
        <f aca="false">IF(CF13="","",IF(ISNUMBER(CF20),CF20,CF13))</f>
        <v>1.5</v>
      </c>
      <c r="CG32" s="27" t="n">
        <f aca="false">IF(CG13="","",IF(ISNUMBER(CG20),CG20,CG13))</f>
        <v>1.3</v>
      </c>
      <c r="CH32" s="27" t="n">
        <f aca="false">IF(CH13="","",IF(ISNUMBER(CH20),CH20,CH13))</f>
        <v>4</v>
      </c>
      <c r="CI32" s="27" t="n">
        <f aca="false">IF(CI13="","",IF(ISNUMBER(CI20),CI20,CI13))</f>
        <v>3.8</v>
      </c>
      <c r="CJ32" s="27" t="n">
        <f aca="false">IF(CJ13="","",IF(ISNUMBER(CJ20),CJ20,CJ13))</f>
        <v>3.3</v>
      </c>
      <c r="CK32" s="27" t="n">
        <f aca="false">IF(CK13="","",IF(ISNUMBER(CK20),CK20,CK13))</f>
        <v>1.5</v>
      </c>
      <c r="CL32" s="27" t="n">
        <f aca="false">IF(CL13="","",IF(ISNUMBER(CL20),CL20,CL13))</f>
        <v>0</v>
      </c>
      <c r="CM32" s="27" t="n">
        <f aca="false">IF(CM13="","",IF(ISNUMBER(CM20),CM20,CM13))</f>
        <v>-0.3</v>
      </c>
      <c r="CN32" s="27" t="n">
        <f aca="false">IF(CN13="","",IF(ISNUMBER(CN20),CN20,CN13))</f>
        <v>-1</v>
      </c>
      <c r="CO32" s="27" t="n">
        <f aca="false">IF(CO13="","",IF(ISNUMBER(CO20),CO20,CO13))</f>
        <v>-3</v>
      </c>
      <c r="CP32" s="27" t="n">
        <f aca="false">IF(CP13="","",IF(ISNUMBER(CP20),CP20,CP13))</f>
        <v>-5</v>
      </c>
      <c r="CQ32" s="27" t="n">
        <f aca="false">IF(CQ13="","",IF(ISNUMBER(CQ20),CQ20,CQ13))</f>
        <v>-8</v>
      </c>
      <c r="CR32" s="27" t="n">
        <f aca="false">IF(CR13="","",IF(ISNUMBER(CR20),CR20,CR13))</f>
        <v>-15</v>
      </c>
      <c r="CS32" s="27" t="n">
        <f aca="false">IF(CS13="","",IF(ISNUMBER(CS20),CS20,CS13))</f>
        <v>-15</v>
      </c>
      <c r="CT32" s="27" t="n">
        <f aca="false">IF(CT13="","",IF(ISNUMBER(CT20),CT20,CT13))</f>
        <v>-15</v>
      </c>
      <c r="CU32" s="27" t="n">
        <f aca="false">IF(CU13="","",IF(ISNUMBER(CU20),CU20,CU13))</f>
        <v>-15</v>
      </c>
      <c r="CV32" s="27" t="n">
        <f aca="false">IF(CV13="","",IF(ISNUMBER(CV20),CV20,CV13))</f>
        <v>-15</v>
      </c>
      <c r="CW32" s="27" t="n">
        <f aca="false">IF(CW13="","",IF(ISNUMBER(CW20),CW20,CW13))</f>
        <v>1.5</v>
      </c>
      <c r="CX32" s="27" t="n">
        <f aca="false">IF(CX13="","",IF(ISNUMBER(CX20),CX20,CX13))</f>
        <v>1</v>
      </c>
      <c r="CY32" s="27" t="n">
        <f aca="false">IF(CY13="","",IF(ISNUMBER(CY20),CY20,CY13))</f>
        <v>0.7</v>
      </c>
      <c r="CZ32" s="27" t="n">
        <f aca="false">IF(CZ13="","",IF(ISNUMBER(CZ20),CZ20,CZ13))</f>
        <v>2</v>
      </c>
      <c r="DA32" s="27" t="n">
        <f aca="false">IF(DA13="","",IF(ISNUMBER(DA20),DA20,DA13))</f>
        <v>1.7</v>
      </c>
      <c r="DB32" s="27" t="n">
        <f aca="false">IF(DB13="","",IF(ISNUMBER(DB20),DB20,DB13))</f>
        <v>1</v>
      </c>
      <c r="DC32" s="27" t="n">
        <f aca="false">IF(DC13="","",IF(ISNUMBER(DC20),DC20,DC13))</f>
        <v>3.5</v>
      </c>
      <c r="DD32" s="27" t="n">
        <f aca="false">IF(DD13="","",IF(ISNUMBER(DD20),DD20,DD13))</f>
        <v>2.5</v>
      </c>
      <c r="DE32" s="27" t="n">
        <f aca="false">IF(DE13="","",IF(ISNUMBER(DE20),DE20,DE13))</f>
        <v>2</v>
      </c>
      <c r="DF32" s="27" t="n">
        <f aca="false">IF(DF13="","",IF(ISNUMBER(DF20),DF20,DF13))</f>
        <v>1.5</v>
      </c>
      <c r="DG32" s="27" t="n">
        <f aca="false">IF(DG13="","",IF(ISNUMBER(DG20),DG20,DG13))</f>
        <v>1</v>
      </c>
      <c r="DH32" s="27" t="n">
        <f aca="false">IF(DH13="","",IF(ISNUMBER(DH20),DH20,DH13))</f>
        <v>0.7</v>
      </c>
      <c r="DI32" s="27" t="n">
        <f aca="false">IF(DI13="","",IF(ISNUMBER(DI20),DI20,DI13))</f>
        <v>2.5</v>
      </c>
      <c r="DJ32" s="27" t="n">
        <f aca="false">IF(DJ13="","",IF(ISNUMBER(DJ20),DJ20,DJ13))</f>
        <v>2</v>
      </c>
      <c r="DK32" s="27" t="n">
        <f aca="false">IF(DK13="","",IF(ISNUMBER(DK20),DK20,DK13))</f>
        <v>1</v>
      </c>
      <c r="DL32" s="27" t="str">
        <f aca="false">IF(DL13="","",IF(ISNUMBER(DL20),DL20,DL13))</f>
        <v/>
      </c>
      <c r="DM32" s="27" t="n">
        <f aca="false">IF(DM13="","",IF(ISNUMBER(DM20),DM20,DM13))</f>
        <v>1</v>
      </c>
      <c r="DN32" s="27" t="n">
        <f aca="false">IF(DN13="","",IF(ISNUMBER(DN20),DN20,DN13))</f>
        <v>0.9</v>
      </c>
      <c r="DO32" s="27" t="n">
        <f aca="false">IF(DO13="","",IF(ISNUMBER(DO20),DO20,DO13))</f>
        <v>2</v>
      </c>
      <c r="DP32" s="27" t="n">
        <f aca="false">IF(DP13="","",IF(ISNUMBER(DP20),DP20,DP13))</f>
        <v>1</v>
      </c>
      <c r="DQ32" s="27" t="n">
        <f aca="false">IF(DQ13="","",IF(ISNUMBER(DQ20),DQ20,DQ13))</f>
        <v>0.7</v>
      </c>
      <c r="DR32" s="27" t="n">
        <f aca="false">IF(DR13="","",IF(ISNUMBER(DR20),DR20,DR13))</f>
        <v>1</v>
      </c>
      <c r="DS32" s="27" t="n">
        <f aca="false">IF(DS13="","",IF(ISNUMBER(DS20),DS20,DS13))</f>
        <v>0.5</v>
      </c>
      <c r="DT32" s="27" t="n">
        <f aca="false">IF(DT13="","",IF(ISNUMBER(DT20),DT20,DT13))</f>
        <v>2</v>
      </c>
      <c r="DU32" s="27" t="n">
        <f aca="false">IF(DU13="","",IF(ISNUMBER(DU20),DU20,DU13))</f>
        <v>1</v>
      </c>
      <c r="DV32" s="27" t="n">
        <f aca="false">IF(DV13="","",IF(ISNUMBER(DV20),DV20,DV13))</f>
        <v>0.7</v>
      </c>
      <c r="DW32" s="27" t="n">
        <f aca="false">IF(DW13="","",IF(ISNUMBER(DW20),DW20,DW13))</f>
        <v>2</v>
      </c>
      <c r="DX32" s="27" t="n">
        <f aca="false">IF(DX13="","",IF(ISNUMBER(DX20),DX20,DX13))</f>
        <v>1</v>
      </c>
      <c r="DY32" s="27" t="n">
        <f aca="false">IF(DY13="","",IF(ISNUMBER(DY20),DY20,DY13))</f>
        <v>0.7</v>
      </c>
      <c r="DZ32" s="27" t="n">
        <f aca="false">IF(DZ13="","",IF(ISNUMBER(DZ20),DZ20,DZ13))</f>
        <v>0.5</v>
      </c>
      <c r="EA32" s="27" t="n">
        <f aca="false">IF(EA13="","",IF(ISNUMBER(EA20),EA20,EA13))</f>
        <v>2.2</v>
      </c>
      <c r="EB32" s="27" t="n">
        <f aca="false">IF(EB13="","",IF(ISNUMBER(EB20),EB20,EB13))</f>
        <v>1.5</v>
      </c>
      <c r="EC32" s="27" t="n">
        <f aca="false">IF(EC13="","",IF(ISNUMBER(EC20),EC20,EC13))</f>
        <v>1</v>
      </c>
      <c r="ED32" s="27" t="n">
        <f aca="false">IF(ED13="","",IF(ISNUMBER(ED20),ED20,ED13))</f>
        <v>0.7</v>
      </c>
      <c r="EE32" s="27" t="n">
        <f aca="false">IF(EE13="","",IF(ISNUMBER(EE20),EE20,EE13))</f>
        <v>2</v>
      </c>
      <c r="EF32" s="27" t="n">
        <f aca="false">IF(EF13="","",IF(ISNUMBER(EF20),EF20,EF13))</f>
        <v>1.7</v>
      </c>
      <c r="EG32" s="27" t="n">
        <f aca="false">IF(EG13="","",IF(ISNUMBER(EG20),EG20,EG13))</f>
        <v>1</v>
      </c>
      <c r="EH32" s="27" t="n">
        <f aca="false">IF(EH13="","",IF(ISNUMBER(EH20),EH20,EH13))</f>
        <v>2</v>
      </c>
      <c r="EI32" s="27" t="n">
        <f aca="false">IF(EI13="","",IF(ISNUMBER(EI20),EI20,EI13))</f>
        <v>1.5</v>
      </c>
      <c r="EJ32" s="27" t="n">
        <f aca="false">IF(EJ13="","",IF(ISNUMBER(EJ20),EJ20,EJ13))</f>
        <v>3.5</v>
      </c>
      <c r="EK32" s="27" t="n">
        <f aca="false">IF(EK13="","",IF(ISNUMBER(EK20),EK20,EK13))</f>
        <v>2.5</v>
      </c>
      <c r="EL32" s="27" t="n">
        <f aca="false">IF(EL13="","",IF(ISNUMBER(EL20),EL20,EL13))</f>
        <v>1.5</v>
      </c>
      <c r="EM32" s="27" t="n">
        <f aca="false">IF(EM13="","",IF(ISNUMBER(EM20),EM20,EM13))</f>
        <v>2.5</v>
      </c>
      <c r="EN32" s="27" t="n">
        <f aca="false">IF(EN13="","",IF(ISNUMBER(EN20),EN20,EN13))</f>
        <v>2</v>
      </c>
      <c r="EO32" s="27" t="n">
        <f aca="false">IF(EO13="","",IF(ISNUMBER(EO20),EO20,EO13))</f>
        <v>1.5</v>
      </c>
      <c r="EP32" s="27" t="n">
        <f aca="false">IF(EP13="","",IF(ISNUMBER(EP20),EP20,EP13))</f>
        <v>2</v>
      </c>
      <c r="EQ32" s="27" t="n">
        <f aca="false">IF(EQ13="","",IF(ISNUMBER(EQ20),EQ20,EQ13))</f>
        <v>1.5</v>
      </c>
      <c r="ER32" s="27" t="n">
        <f aca="false">IF(ER13="","",IF(ISNUMBER(ER20),ER20,ER13))</f>
        <v>0</v>
      </c>
      <c r="ES32" s="27" t="n">
        <f aca="false">IF(ES13="","",IF(ISNUMBER(ES20),ES20,ES13))</f>
        <v>-6.5</v>
      </c>
      <c r="ET32" s="27" t="n">
        <f aca="false">IF(ET13="","",IF(ISNUMBER(ET20),ET20,ET13))</f>
        <v>-15</v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317</v>
      </c>
      <c r="B33" s="59" t="s">
        <v>415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1</v>
      </c>
      <c r="BE33" s="27" t="n">
        <f aca="false">IF(ISNUMBER(BE13),1,0)</f>
        <v>1</v>
      </c>
      <c r="BF33" s="27" t="n">
        <f aca="false">IF(ISNUMBER(BF13),1,0)</f>
        <v>1</v>
      </c>
      <c r="BG33" s="27" t="n">
        <f aca="false">IF(ISNUMBER(BG13),1,0)</f>
        <v>1</v>
      </c>
      <c r="BH33" s="27" t="n">
        <f aca="false">IF(ISNUMBER(BH13),1,0)</f>
        <v>1</v>
      </c>
      <c r="BI33" s="27" t="n">
        <f aca="false">IF(ISNUMBER(BI13),1,0)</f>
        <v>1</v>
      </c>
      <c r="BJ33" s="27" t="n">
        <f aca="false">IF(ISNUMBER(BJ13),1,0)</f>
        <v>1</v>
      </c>
      <c r="BK33" s="27" t="n">
        <f aca="false">IF(ISNUMBER(BK13),1,0)</f>
        <v>1</v>
      </c>
      <c r="BL33" s="27" t="n">
        <f aca="false">IF(ISNUMBER(BL13),1,0)</f>
        <v>1</v>
      </c>
      <c r="BM33" s="27" t="n">
        <f aca="false">IF(ISNUMBER(BM13),1,0)</f>
        <v>1</v>
      </c>
      <c r="BN33" s="27" t="n">
        <f aca="false">IF(ISNUMBER(BN13),1,0)</f>
        <v>1</v>
      </c>
      <c r="BO33" s="27" t="n">
        <f aca="false">IF(ISNUMBER(BO13),1,0)</f>
        <v>1</v>
      </c>
      <c r="BP33" s="27" t="n">
        <f aca="false">IF(ISNUMBER(BP13),1,0)</f>
        <v>1</v>
      </c>
      <c r="BQ33" s="27" t="n">
        <f aca="false">IF(ISNUMBER(BQ13),1,0)</f>
        <v>1</v>
      </c>
      <c r="BR33" s="27" t="n">
        <f aca="false">IF(ISNUMBER(BR13),1,0)</f>
        <v>1</v>
      </c>
      <c r="BS33" s="27" t="n">
        <f aca="false">IF(ISNUMBER(BS13),1,0)</f>
        <v>1</v>
      </c>
      <c r="BT33" s="27" t="n">
        <f aca="false">IF(ISNUMBER(BT13),1,0)</f>
        <v>1</v>
      </c>
      <c r="BU33" s="27" t="n">
        <f aca="false">IF(ISNUMBER(BU13),1,0)</f>
        <v>1</v>
      </c>
      <c r="BV33" s="27" t="n">
        <f aca="false">IF(ISNUMBER(BV13),1,0)</f>
        <v>1</v>
      </c>
      <c r="BW33" s="27" t="n">
        <f aca="false">IF(ISNUMBER(BW13),1,0)</f>
        <v>1</v>
      </c>
      <c r="BX33" s="27" t="n">
        <f aca="false">IF(ISNUMBER(BX13),1,0)</f>
        <v>1</v>
      </c>
      <c r="BY33" s="27" t="n">
        <f aca="false">IF(ISNUMBER(BY13),1,0)</f>
        <v>1</v>
      </c>
      <c r="BZ33" s="27" t="n">
        <f aca="false">IF(ISNUMBER(BZ13),1,0)</f>
        <v>1</v>
      </c>
      <c r="CA33" s="27" t="n">
        <f aca="false">IF(ISNUMBER(CA13),1,0)</f>
        <v>0</v>
      </c>
      <c r="CB33" s="27" t="n">
        <f aca="false">IF(ISNUMBER(CB13),1,0)</f>
        <v>1</v>
      </c>
      <c r="CC33" s="27" t="n">
        <f aca="false">IF(ISNUMBER(CC13),1,0)</f>
        <v>1</v>
      </c>
      <c r="CD33" s="27" t="n">
        <f aca="false">IF(ISNUMBER(CD13),1,0)</f>
        <v>1</v>
      </c>
      <c r="CE33" s="27" t="n">
        <f aca="false">IF(ISNUMBER(CE13),1,0)</f>
        <v>1</v>
      </c>
      <c r="CF33" s="27" t="n">
        <f aca="false">IF(ISNUMBER(CF13),1,0)</f>
        <v>1</v>
      </c>
      <c r="CG33" s="27" t="n">
        <f aca="false">IF(ISNUMBER(CG13),1,0)</f>
        <v>1</v>
      </c>
      <c r="CH33" s="27" t="n">
        <f aca="false">IF(ISNUMBER(CH13),1,0)</f>
        <v>1</v>
      </c>
      <c r="CI33" s="27" t="n">
        <f aca="false">IF(ISNUMBER(CI13),1,0)</f>
        <v>1</v>
      </c>
      <c r="CJ33" s="27" t="n">
        <f aca="false">IF(ISNUMBER(CJ13),1,0)</f>
        <v>1</v>
      </c>
      <c r="CK33" s="27" t="n">
        <f aca="false">IF(ISNUMBER(CK13),1,0)</f>
        <v>1</v>
      </c>
      <c r="CL33" s="27" t="n">
        <f aca="false">IF(ISNUMBER(CL13),1,0)</f>
        <v>1</v>
      </c>
      <c r="CM33" s="27" t="n">
        <f aca="false">IF(ISNUMBER(CM13),1,0)</f>
        <v>1</v>
      </c>
      <c r="CN33" s="27" t="n">
        <f aca="false">IF(ISNUMBER(CN13),1,0)</f>
        <v>1</v>
      </c>
      <c r="CO33" s="27" t="n">
        <f aca="false">IF(ISNUMBER(CO13),1,0)</f>
        <v>1</v>
      </c>
      <c r="CP33" s="27" t="n">
        <f aca="false">IF(ISNUMBER(CP13),1,0)</f>
        <v>1</v>
      </c>
      <c r="CQ33" s="27" t="n">
        <f aca="false">IF(ISNUMBER(CQ13),1,0)</f>
        <v>1</v>
      </c>
      <c r="CR33" s="27" t="n">
        <f aca="false">IF(ISNUMBER(CR13),1,0)</f>
        <v>1</v>
      </c>
      <c r="CS33" s="27" t="n">
        <f aca="false">IF(ISNUMBER(CS13),1,0)</f>
        <v>1</v>
      </c>
      <c r="CT33" s="27" t="n">
        <f aca="false">IF(ISNUMBER(CT13),1,0)</f>
        <v>1</v>
      </c>
      <c r="CU33" s="27" t="n">
        <f aca="false">IF(ISNUMBER(CU13),1,0)</f>
        <v>1</v>
      </c>
      <c r="CV33" s="27" t="n">
        <f aca="false">IF(ISNUMBER(CV13),1,0)</f>
        <v>1</v>
      </c>
      <c r="CW33" s="27" t="n">
        <f aca="false">IF(ISNUMBER(CW13),1,0)</f>
        <v>1</v>
      </c>
      <c r="CX33" s="27" t="n">
        <f aca="false">IF(ISNUMBER(CX13),1,0)</f>
        <v>1</v>
      </c>
      <c r="CY33" s="27" t="n">
        <f aca="false">IF(ISNUMBER(CY13),1,0)</f>
        <v>1</v>
      </c>
      <c r="CZ33" s="27" t="n">
        <f aca="false">IF(ISNUMBER(CZ13),1,0)</f>
        <v>1</v>
      </c>
      <c r="DA33" s="27" t="n">
        <f aca="false">IF(ISNUMBER(DA13),1,0)</f>
        <v>1</v>
      </c>
      <c r="DB33" s="27" t="n">
        <f aca="false">IF(ISNUMBER(DB13),1,0)</f>
        <v>1</v>
      </c>
      <c r="DC33" s="27" t="n">
        <f aca="false">IF(ISNUMBER(DC13),1,0)</f>
        <v>1</v>
      </c>
      <c r="DD33" s="27" t="n">
        <f aca="false">IF(ISNUMBER(DD13),1,0)</f>
        <v>1</v>
      </c>
      <c r="DE33" s="27" t="n">
        <f aca="false">IF(ISNUMBER(DE13),1,0)</f>
        <v>1</v>
      </c>
      <c r="DF33" s="27" t="n">
        <f aca="false">IF(ISNUMBER(DF13),1,0)</f>
        <v>1</v>
      </c>
      <c r="DG33" s="27" t="n">
        <f aca="false">IF(ISNUMBER(DG13),1,0)</f>
        <v>1</v>
      </c>
      <c r="DH33" s="27" t="n">
        <f aca="false">IF(ISNUMBER(DH13),1,0)</f>
        <v>1</v>
      </c>
      <c r="DI33" s="27" t="n">
        <f aca="false">IF(ISNUMBER(DI13),1,0)</f>
        <v>1</v>
      </c>
      <c r="DJ33" s="27" t="n">
        <f aca="false">IF(ISNUMBER(DJ13),1,0)</f>
        <v>1</v>
      </c>
      <c r="DK33" s="27" t="n">
        <f aca="false">IF(ISNUMBER(DK13),1,0)</f>
        <v>1</v>
      </c>
      <c r="DL33" s="27" t="n">
        <f aca="false">IF(ISNUMBER(DL13),1,0)</f>
        <v>0</v>
      </c>
      <c r="DM33" s="27" t="n">
        <f aca="false">IF(ISNUMBER(DM13),1,0)</f>
        <v>1</v>
      </c>
      <c r="DN33" s="27" t="n">
        <f aca="false">IF(ISNUMBER(DN13),1,0)</f>
        <v>1</v>
      </c>
      <c r="DO33" s="27" t="n">
        <f aca="false">IF(ISNUMBER(DO13),1,0)</f>
        <v>1</v>
      </c>
      <c r="DP33" s="27" t="n">
        <f aca="false">IF(ISNUMBER(DP13),1,0)</f>
        <v>1</v>
      </c>
      <c r="DQ33" s="27" t="n">
        <f aca="false">IF(ISNUMBER(DQ13),1,0)</f>
        <v>1</v>
      </c>
      <c r="DR33" s="27" t="n">
        <f aca="false">IF(ISNUMBER(DR13),1,0)</f>
        <v>1</v>
      </c>
      <c r="DS33" s="27" t="n">
        <f aca="false">IF(ISNUMBER(DS13),1,0)</f>
        <v>1</v>
      </c>
      <c r="DT33" s="27" t="n">
        <f aca="false">IF(ISNUMBER(DT13),1,0)</f>
        <v>1</v>
      </c>
      <c r="DU33" s="27" t="n">
        <f aca="false">IF(ISNUMBER(DU13),1,0)</f>
        <v>1</v>
      </c>
      <c r="DV33" s="27" t="n">
        <f aca="false">IF(ISNUMBER(DV13),1,0)</f>
        <v>1</v>
      </c>
      <c r="DW33" s="27" t="n">
        <f aca="false">IF(ISNUMBER(DW13),1,0)</f>
        <v>1</v>
      </c>
      <c r="DX33" s="27" t="n">
        <f aca="false">IF(ISNUMBER(DX13),1,0)</f>
        <v>1</v>
      </c>
      <c r="DY33" s="27" t="n">
        <f aca="false">IF(ISNUMBER(DY13),1,0)</f>
        <v>1</v>
      </c>
      <c r="DZ33" s="27" t="n">
        <f aca="false">IF(ISNUMBER(DZ13),1,0)</f>
        <v>1</v>
      </c>
      <c r="EA33" s="27" t="n">
        <f aca="false">IF(ISNUMBER(EA13),1,0)</f>
        <v>1</v>
      </c>
      <c r="EB33" s="27" t="n">
        <f aca="false">IF(ISNUMBER(EB13),1,0)</f>
        <v>1</v>
      </c>
      <c r="EC33" s="27" t="n">
        <f aca="false">IF(ISNUMBER(EC13),1,0)</f>
        <v>1</v>
      </c>
      <c r="ED33" s="27" t="n">
        <f aca="false">IF(ISNUMBER(ED13),1,0)</f>
        <v>1</v>
      </c>
      <c r="EE33" s="27" t="n">
        <f aca="false">IF(ISNUMBER(EE13),1,0)</f>
        <v>1</v>
      </c>
      <c r="EF33" s="27" t="n">
        <f aca="false">IF(ISNUMBER(EF13),1,0)</f>
        <v>1</v>
      </c>
      <c r="EG33" s="27" t="n">
        <f aca="false">IF(ISNUMBER(EG13),1,0)</f>
        <v>1</v>
      </c>
      <c r="EH33" s="27" t="n">
        <f aca="false">IF(ISNUMBER(EH13),1,0)</f>
        <v>1</v>
      </c>
      <c r="EI33" s="27" t="n">
        <f aca="false">IF(ISNUMBER(EI13),1,0)</f>
        <v>1</v>
      </c>
      <c r="EJ33" s="27" t="n">
        <f aca="false">IF(ISNUMBER(EJ13),1,0)</f>
        <v>1</v>
      </c>
      <c r="EK33" s="27" t="n">
        <f aca="false">IF(ISNUMBER(EK13),1,0)</f>
        <v>1</v>
      </c>
      <c r="EL33" s="27" t="n">
        <f aca="false">IF(ISNUMBER(EL13),1,0)</f>
        <v>1</v>
      </c>
      <c r="EM33" s="27" t="n">
        <f aca="false">IF(ISNUMBER(EM13),1,0)</f>
        <v>1</v>
      </c>
      <c r="EN33" s="27" t="n">
        <f aca="false">IF(ISNUMBER(EN13),1,0)</f>
        <v>1</v>
      </c>
      <c r="EO33" s="27" t="n">
        <f aca="false">IF(ISNUMBER(EO13),1,0)</f>
        <v>1</v>
      </c>
      <c r="EP33" s="27" t="n">
        <f aca="false">IF(ISNUMBER(EP13),1,0)</f>
        <v>1</v>
      </c>
      <c r="EQ33" s="27" t="n">
        <f aca="false">IF(ISNUMBER(EQ13),1,0)</f>
        <v>1</v>
      </c>
      <c r="ER33" s="27" t="n">
        <f aca="false">IF(ISNUMBER(ER13),1,0)</f>
        <v>1</v>
      </c>
      <c r="ES33" s="27" t="n">
        <f aca="false">IF(ISNUMBER(ES13),1,0)</f>
        <v>1</v>
      </c>
      <c r="ET33" s="27" t="n">
        <f aca="false">IF(ISNUMBER(ET13),1,0)</f>
        <v>1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1" t="s">
        <v>74</v>
      </c>
      <c r="B36" s="20" t="s">
        <v>416</v>
      </c>
    </row>
    <row r="37" customFormat="false" ht="15" hidden="false" customHeight="false" outlineLevel="0" collapsed="false">
      <c r="A37" s="33" t="s">
        <v>74</v>
      </c>
      <c r="B37" s="20" t="s">
        <v>394</v>
      </c>
      <c r="C37" s="27" t="str">
        <f aca="false">COUNT($D$37:$FQ$37)&amp;" দিন"</f>
        <v>93 দিন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3" t="s">
        <v>74</v>
      </c>
      <c r="B38" s="20" t="s">
        <v>395</v>
      </c>
      <c r="D38" s="50" t="str">
        <f aca="false">IF(OR(D1="",NOT(ISNUMBER(D37)),D39=""),"",ROUND(D37-D39+D40,1))</f>
        <v/>
      </c>
      <c r="E38" s="50" t="str">
        <f aca="false">IF(OR(E1="",NOT(ISNUMBER(E37)),E39=""),"",ROUND(E37-E39+E40,1))</f>
        <v/>
      </c>
      <c r="F38" s="50" t="str">
        <f aca="false">IF(OR(F1="",NOT(ISNUMBER(F37)),F39=""),"",ROUND(F37-F39+F40,1))</f>
        <v/>
      </c>
      <c r="G38" s="50" t="str">
        <f aca="false">IF(OR(G1="",NOT(ISNUMBER(G37)),G39=""),"",ROUND(G37-G39+G40,1))</f>
        <v/>
      </c>
      <c r="H38" s="50" t="str">
        <f aca="false">IF(OR(H1="",NOT(ISNUMBER(H37)),H39=""),"",ROUND(H37-H39+H40,1))</f>
        <v/>
      </c>
      <c r="I38" s="50" t="str">
        <f aca="false">IF(OR(I1="",NOT(ISNUMBER(I37)),I39=""),"",ROUND(I37-I39+I40,1))</f>
        <v/>
      </c>
      <c r="J38" s="50" t="str">
        <f aca="false">IF(OR(J1="",NOT(ISNUMBER(J37)),J39=""),"",ROUND(J37-J39+J40,1))</f>
        <v/>
      </c>
      <c r="K38" s="50" t="str">
        <f aca="false">IF(OR(K1="",NOT(ISNUMBER(K37)),K39=""),"",ROUND(K37-K39+K40,1))</f>
        <v/>
      </c>
      <c r="L38" s="50" t="str">
        <f aca="false">IF(OR(L1="",NOT(ISNUMBER(L37)),L39=""),"",ROUND(L37-L39+L40,1))</f>
        <v/>
      </c>
      <c r="M38" s="50" t="str">
        <f aca="false">IF(OR(M1="",NOT(ISNUMBER(M37)),M39=""),"",ROUND(M37-M39+M40,1))</f>
        <v/>
      </c>
      <c r="N38" s="50" t="str">
        <f aca="false">IF(OR(N1="",NOT(ISNUMBER(N37)),N39=""),"",ROUND(N37-N39+N40,1))</f>
        <v/>
      </c>
      <c r="O38" s="50" t="str">
        <f aca="false">IF(OR(O1="",NOT(ISNUMBER(O37)),O39=""),"",ROUND(O37-O39+O40,1))</f>
        <v/>
      </c>
      <c r="P38" s="50" t="str">
        <f aca="false">IF(OR(P1="",NOT(ISNUMBER(P37)),P39=""),"",ROUND(P37-P39+P40,1))</f>
        <v/>
      </c>
      <c r="Q38" s="50" t="str">
        <f aca="false">IF(OR(Q1="",NOT(ISNUMBER(Q37)),Q39=""),"",ROUND(Q37-Q39+Q40,1))</f>
        <v/>
      </c>
      <c r="R38" s="50" t="str">
        <f aca="false">IF(OR(R1="",NOT(ISNUMBER(R37)),R39=""),"",ROUND(R37-R39+R40,1))</f>
        <v/>
      </c>
      <c r="S38" s="50" t="str">
        <f aca="false">IF(OR(S1="",NOT(ISNUMBER(S37)),S39=""),"",ROUND(S37-S39+S40,1))</f>
        <v/>
      </c>
      <c r="T38" s="50" t="str">
        <f aca="false">IF(OR(T1="",NOT(ISNUMBER(T37)),T39=""),"",ROUND(T37-T39+T40,1))</f>
        <v/>
      </c>
      <c r="U38" s="50" t="str">
        <f aca="false">IF(OR(U1="",NOT(ISNUMBER(U37)),U39=""),"",ROUND(U37-U39+U40,1))</f>
        <v/>
      </c>
      <c r="V38" s="50" t="str">
        <f aca="false">IF(OR(V1="",NOT(ISNUMBER(V37)),V39=""),"",ROUND(V37-V39+V40,1))</f>
        <v/>
      </c>
      <c r="W38" s="50" t="str">
        <f aca="false">IF(OR(W1="",NOT(ISNUMBER(W37)),W39=""),"",ROUND(W37-W39+W40,1))</f>
        <v/>
      </c>
      <c r="X38" s="50" t="str">
        <f aca="false">IF(OR(X1="",NOT(ISNUMBER(X37)),X39=""),"",ROUND(X37-X39+X40,1))</f>
        <v/>
      </c>
      <c r="Y38" s="50" t="str">
        <f aca="false">IF(OR(Y1="",NOT(ISNUMBER(Y37)),Y39=""),"",ROUND(Y37-Y39+Y40,1))</f>
        <v/>
      </c>
      <c r="Z38" s="50" t="str">
        <f aca="false">IF(OR(Z1="",NOT(ISNUMBER(Z37)),Z39=""),"",ROUND(Z37-Z39+Z40,1))</f>
        <v/>
      </c>
      <c r="AA38" s="50" t="str">
        <f aca="false">IF(OR(AA1="",NOT(ISNUMBER(AA37)),AA39=""),"",ROUND(AA37-AA39+AA40,1))</f>
        <v/>
      </c>
      <c r="AB38" s="50" t="str">
        <f aca="false">IF(OR(AB1="",NOT(ISNUMBER(AB37)),AB39=""),"",ROUND(AB37-AB39+AB40,1))</f>
        <v/>
      </c>
      <c r="AC38" s="50" t="str">
        <f aca="false">IF(OR(AC1="",NOT(ISNUMBER(AC37)),AC39=""),"",ROUND(AC37-AC39+AC40,1))</f>
        <v/>
      </c>
      <c r="AD38" s="50" t="str">
        <f aca="false">IF(OR(AD1="",NOT(ISNUMBER(AD37)),AD39=""),"",ROUND(AD37-AD39+AD40,1))</f>
        <v/>
      </c>
      <c r="AE38" s="50" t="str">
        <f aca="false">IF(OR(AE1="",NOT(ISNUMBER(AE37)),AE39=""),"",ROUND(AE37-AE39+AE40,1))</f>
        <v/>
      </c>
      <c r="AF38" s="50" t="str">
        <f aca="false">IF(OR(AF1="",NOT(ISNUMBER(AF37)),AF39=""),"",ROUND(AF37-AF39+AF40,1))</f>
        <v/>
      </c>
      <c r="AG38" s="50" t="str">
        <f aca="false">IF(OR(AG1="",NOT(ISNUMBER(AG37)),AG39=""),"",ROUND(AG37-AG39+AG40,1))</f>
        <v/>
      </c>
      <c r="AH38" s="50" t="str">
        <f aca="false">IF(OR(AH1="",NOT(ISNUMBER(AH37)),AH39=""),"",ROUND(AH37-AH39+AH40,1))</f>
        <v/>
      </c>
      <c r="AI38" s="50" t="str">
        <f aca="false">IF(OR(AI1="",NOT(ISNUMBER(AI37)),AI39=""),"",ROUND(AI37-AI39+AI40,1))</f>
        <v/>
      </c>
      <c r="AJ38" s="50" t="str">
        <f aca="false">IF(OR(AJ1="",NOT(ISNUMBER(AJ37)),AJ39=""),"",ROUND(AJ37-AJ39+AJ40,1))</f>
        <v/>
      </c>
      <c r="AK38" s="50" t="str">
        <f aca="false">IF(OR(AK1="",NOT(ISNUMBER(AK37)),AK39=""),"",ROUND(AK37-AK39+AK40,1))</f>
        <v/>
      </c>
      <c r="AL38" s="50" t="str">
        <f aca="false">IF(OR(AL1="",NOT(ISNUMBER(AL37)),AL39=""),"",ROUND(AL37-AL39+AL40,1))</f>
        <v/>
      </c>
      <c r="AM38" s="50" t="str">
        <f aca="false">IF(OR(AM1="",NOT(ISNUMBER(AM37)),AM39=""),"",ROUND(AM37-AM39+AM40,1))</f>
        <v/>
      </c>
      <c r="AN38" s="50" t="str">
        <f aca="false">IF(OR(AN1="",NOT(ISNUMBER(AN37)),AN39=""),"",ROUND(AN37-AN39+AN40,1))</f>
        <v/>
      </c>
      <c r="AO38" s="50" t="str">
        <f aca="false">IF(OR(AO1="",NOT(ISNUMBER(AO37)),AO39=""),"",ROUND(AO37-AO39+AO40,1))</f>
        <v/>
      </c>
      <c r="AP38" s="50" t="str">
        <f aca="false">IF(OR(AP1="",NOT(ISNUMBER(AP37)),AP39=""),"",ROUND(AP37-AP39+AP40,1))</f>
        <v/>
      </c>
      <c r="AQ38" s="50" t="str">
        <f aca="false">IF(OR(AQ1="",NOT(ISNUMBER(AQ37)),AQ39=""),"",ROUND(AQ37-AQ39+AQ40,1))</f>
        <v/>
      </c>
      <c r="AR38" s="50" t="str">
        <f aca="false">IF(OR(AR1="",NOT(ISNUMBER(AR37)),AR39=""),"",ROUND(AR37-AR39+AR40,1))</f>
        <v/>
      </c>
      <c r="AS38" s="50" t="str">
        <f aca="false">IF(OR(AS1="",NOT(ISNUMBER(AS37)),AS39=""),"",ROUND(AS37-AS39+AS40,1))</f>
        <v/>
      </c>
      <c r="AT38" s="50" t="str">
        <f aca="false">IF(OR(AT1="",NOT(ISNUMBER(AT37)),AT39=""),"",ROUND(AT37-AT39+AT40,1))</f>
        <v/>
      </c>
      <c r="AU38" s="50" t="str">
        <f aca="false">IF(OR(AU1="",NOT(ISNUMBER(AU37)),AU39=""),"",ROUND(AU37-AU39+AU40,1))</f>
        <v/>
      </c>
      <c r="AV38" s="50" t="str">
        <f aca="false">IF(OR(AV1="",NOT(ISNUMBER(AV37)),AV39=""),"",ROUND(AV37-AV39+AV40,1))</f>
        <v/>
      </c>
      <c r="AW38" s="50" t="str">
        <f aca="false">IF(OR(AW1="",NOT(ISNUMBER(AW37)),AW39=""),"",ROUND(AW37-AW39+AW40,1))</f>
        <v/>
      </c>
      <c r="AX38" s="50" t="str">
        <f aca="false">IF(OR(AX1="",NOT(ISNUMBER(AX37)),AX39=""),"",ROUND(AX37-AX39+AX40,1))</f>
        <v/>
      </c>
      <c r="AY38" s="50" t="str">
        <f aca="false">IF(OR(AY1="",NOT(ISNUMBER(AY37)),AY39=""),"",ROUND(AY37-AY39+AY40,1))</f>
        <v/>
      </c>
      <c r="AZ38" s="50" t="str">
        <f aca="false">IF(OR(AZ1="",NOT(ISNUMBER(AZ37)),AZ39=""),"",ROUND(AZ37-AZ39+AZ40,1))</f>
        <v/>
      </c>
      <c r="BA38" s="50" t="str">
        <f aca="false">IF(OR(BA1="",NOT(ISNUMBER(BA37)),BA39=""),"",ROUND(BA37-BA39+BA40,1))</f>
        <v/>
      </c>
      <c r="BB38" s="50" t="str">
        <f aca="false">IF(OR(BB1="",NOT(ISNUMBER(BB37)),BB39=""),"",ROUND(BB37-BB39+BB40,1))</f>
        <v/>
      </c>
      <c r="BC38" s="50" t="str">
        <f aca="false">IF(OR(BC1="",NOT(ISNUMBER(BC37)),BC39=""),"",ROUND(BC37-BC39+BC40,1))</f>
        <v/>
      </c>
      <c r="BD38" s="50" t="n">
        <f aca="false">IF(OR(BD1="",NOT(ISNUMBER(BD37)),BD39=""),"",ROUND(BD37-BD39+BD40,1))</f>
        <v>1.3</v>
      </c>
      <c r="BE38" s="50" t="n">
        <f aca="false">IF(OR(BE1="",NOT(ISNUMBER(BE37)),BE39=""),"",ROUND(BE37-BE39+BE40,1))</f>
        <v>1</v>
      </c>
      <c r="BF38" s="50" t="n">
        <f aca="false">IF(OR(BF1="",NOT(ISNUMBER(BF37)),BF39=""),"",ROUND(BF37-BF39+BF40,1))</f>
        <v>1.3</v>
      </c>
      <c r="BG38" s="50" t="n">
        <f aca="false">IF(OR(BG1="",NOT(ISNUMBER(BG37)),BG39=""),"",ROUND(BG37-BG39+BG40,1))</f>
        <v>1</v>
      </c>
      <c r="BH38" s="50" t="n">
        <f aca="false">IF(OR(BH1="",NOT(ISNUMBER(BH37)),BH39=""),"",ROUND(BH37-BH39+BH40,1))</f>
        <v>3.2</v>
      </c>
      <c r="BI38" s="50" t="n">
        <f aca="false">IF(OR(BI1="",NOT(ISNUMBER(BI37)),BI39=""),"",ROUND(BI37-BI39+BI40,1))</f>
        <v>2.3</v>
      </c>
      <c r="BJ38" s="50" t="n">
        <f aca="false">IF(OR(BJ1="",NOT(ISNUMBER(BJ37)),BJ39=""),"",ROUND(BJ37-BJ39+BJ40,1))</f>
        <v>2.1</v>
      </c>
      <c r="BK38" s="50" t="n">
        <f aca="false">IF(OR(BK1="",NOT(ISNUMBER(BK37)),BK39=""),"",ROUND(BK37-BK39+BK40,1))</f>
        <v>1.5</v>
      </c>
      <c r="BL38" s="50" t="n">
        <f aca="false">IF(OR(BL1="",NOT(ISNUMBER(BL37)),BL39=""),"",ROUND(BL37-BL39+BL40,1))</f>
        <v>3</v>
      </c>
      <c r="BM38" s="50" t="n">
        <f aca="false">IF(OR(BM1="",NOT(ISNUMBER(BM37)),BM39=""),"",ROUND(BM37-BM39+BM40,1))</f>
        <v>2.5</v>
      </c>
      <c r="BN38" s="50" t="n">
        <f aca="false">IF(OR(BN1="",NOT(ISNUMBER(BN37)),BN39=""),"",ROUND(BN37-BN39+BN40,1))</f>
        <v>2</v>
      </c>
      <c r="BO38" s="50" t="n">
        <f aca="false">IF(OR(BO1="",NOT(ISNUMBER(BO37)),BO39=""),"",ROUND(BO37-BO39+BO40,1))</f>
        <v>1.5</v>
      </c>
      <c r="BP38" s="50" t="n">
        <f aca="false">IF(OR(BP1="",NOT(ISNUMBER(BP37)),BP39=""),"",ROUND(BP37-BP39+BP40,1))</f>
        <v>1.3</v>
      </c>
      <c r="BQ38" s="50" t="n">
        <f aca="false">IF(OR(BQ1="",NOT(ISNUMBER(BQ37)),BQ39=""),"",ROUND(BQ37-BQ39+BQ40,1))</f>
        <v>2.5</v>
      </c>
      <c r="BR38" s="50" t="n">
        <f aca="false">IF(OR(BR1="",NOT(ISNUMBER(BR37)),BR39=""),"",ROUND(BR37-BR39+BR40,1))</f>
        <v>2</v>
      </c>
      <c r="BS38" s="50" t="n">
        <f aca="false">IF(OR(BS1="",NOT(ISNUMBER(BS37)),BS39=""),"",ROUND(BS37-BS39+BS40,1))</f>
        <v>1.5</v>
      </c>
      <c r="BT38" s="50" t="n">
        <f aca="false">IF(OR(BT1="",NOT(ISNUMBER(BT37)),BT39=""),"",ROUND(BT37-BT39+BT40,1))</f>
        <v>1.3</v>
      </c>
      <c r="BU38" s="50" t="n">
        <f aca="false">IF(OR(BU1="",NOT(ISNUMBER(BU37)),BU39=""),"",ROUND(BU37-BU39+BU40,1))</f>
        <v>1.1</v>
      </c>
      <c r="BV38" s="50" t="n">
        <f aca="false">IF(OR(BV1="",NOT(ISNUMBER(BV37)),BV39=""),"",ROUND(BV37-BV39+BV40,1))</f>
        <v>1</v>
      </c>
      <c r="BW38" s="50" t="n">
        <f aca="false">IF(OR(BW1="",NOT(ISNUMBER(BW37)),BW39=""),"",ROUND(BW37-BW39+BW40,1))</f>
        <v>0.5</v>
      </c>
      <c r="BX38" s="50" t="n">
        <f aca="false">IF(OR(BX1="",NOT(ISNUMBER(BX37)),BX39=""),"",ROUND(BX37-BX39+BX40,1))</f>
        <v>2.3</v>
      </c>
      <c r="BY38" s="50" t="n">
        <f aca="false">IF(OR(BY1="",NOT(ISNUMBER(BY37)),BY39=""),"",ROUND(BY37-BY39+BY40,1))</f>
        <v>2</v>
      </c>
      <c r="BZ38" s="50" t="n">
        <f aca="false">IF(OR(BZ1="",NOT(ISNUMBER(BZ37)),BZ39=""),"",ROUND(BZ37-BZ39+BZ40,1))</f>
        <v>1.5</v>
      </c>
      <c r="CA38" s="50" t="str">
        <f aca="false">IF(OR(CA1="",NOT(ISNUMBER(CA37)),CA39=""),"",ROUND(CA37-CA39+CA40,1))</f>
        <v/>
      </c>
      <c r="CB38" s="50" t="n">
        <f aca="false">IF(OR(CB1="",NOT(ISNUMBER(CB37)),CB39=""),"",ROUND(CB37-CB39+CB40,1))</f>
        <v>1</v>
      </c>
      <c r="CC38" s="50" t="n">
        <f aca="false">IF(OR(CC1="",NOT(ISNUMBER(CC37)),CC39=""),"",ROUND(CC37-CC39+CC40,1))</f>
        <v>-0.2</v>
      </c>
      <c r="CD38" s="50" t="n">
        <f aca="false">IF(OR(CD1="",NOT(ISNUMBER(CD37)),CD39=""),"",ROUND(CD37-CD39+CD40,1))</f>
        <v>-0.7</v>
      </c>
      <c r="CE38" s="50" t="n">
        <f aca="false">IF(OR(CE1="",NOT(ISNUMBER(CE37)),CE39=""),"",ROUND(CE37-CE39+CE40,1))</f>
        <v>2</v>
      </c>
      <c r="CF38" s="50" t="n">
        <f aca="false">IF(OR(CF1="",NOT(ISNUMBER(CF37)),CF39=""),"",ROUND(CF37-CF39+CF40,1))</f>
        <v>1.7</v>
      </c>
      <c r="CG38" s="50" t="n">
        <f aca="false">IF(OR(CG1="",NOT(ISNUMBER(CG37)),CG39=""),"",ROUND(CG37-CG39+CG40,1))</f>
        <v>1.5</v>
      </c>
      <c r="CH38" s="50" t="n">
        <f aca="false">IF(OR(CH1="",NOT(ISNUMBER(CH37)),CH39=""),"",ROUND(CH37-CH39+CH40,1))</f>
        <v>1</v>
      </c>
      <c r="CI38" s="50" t="n">
        <f aca="false">IF(OR(CI1="",NOT(ISNUMBER(CI37)),CI39=""),"",ROUND(CI37-CI39+CI40,1))</f>
        <v>3.8</v>
      </c>
      <c r="CJ38" s="50" t="n">
        <f aca="false">IF(OR(CJ1="",NOT(ISNUMBER(CJ37)),CJ39=""),"",ROUND(CJ37-CJ39+CJ40,1))</f>
        <v>3.2</v>
      </c>
      <c r="CK38" s="50" t="n">
        <f aca="false">IF(OR(CK1="",NOT(ISNUMBER(CK37)),CK39=""),"",ROUND(CK37-CK39+CK40,1))</f>
        <v>1.5</v>
      </c>
      <c r="CL38" s="50" t="n">
        <f aca="false">IF(OR(CL1="",NOT(ISNUMBER(CL37)),CL39=""),"",ROUND(CL37-CL39+CL40,1))</f>
        <v>0</v>
      </c>
      <c r="CM38" s="50" t="n">
        <f aca="false">IF(OR(CM1="",NOT(ISNUMBER(CM37)),CM39=""),"",ROUND(CM37-CM39+CM40,1))</f>
        <v>-0.3</v>
      </c>
      <c r="CN38" s="50" t="n">
        <f aca="false">IF(OR(CN1="",NOT(ISNUMBER(CN37)),CN39=""),"",ROUND(CN37-CN39+CN40,1))</f>
        <v>-1</v>
      </c>
      <c r="CO38" s="50" t="n">
        <f aca="false">IF(OR(CO1="",NOT(ISNUMBER(CO37)),CO39=""),"",ROUND(CO37-CO39+CO40,1))</f>
        <v>-5</v>
      </c>
      <c r="CP38" s="50" t="n">
        <f aca="false">IF(OR(CP1="",NOT(ISNUMBER(CP37)),CP39=""),"",ROUND(CP37-CP39+CP40,1))</f>
        <v>-8</v>
      </c>
      <c r="CQ38" s="50" t="n">
        <f aca="false">IF(OR(CQ1="",NOT(ISNUMBER(CQ37)),CQ39=""),"",ROUND(CQ37-CQ39+CQ40,1))</f>
        <v>-15</v>
      </c>
      <c r="CR38" s="50" t="n">
        <f aca="false">IF(OR(CR1="",NOT(ISNUMBER(CR37)),CR39=""),"",ROUND(CR37-CR39+CR40,1))</f>
        <v>-15</v>
      </c>
      <c r="CS38" s="50" t="n">
        <f aca="false">IF(OR(CS1="",NOT(ISNUMBER(CS37)),CS39=""),"",ROUND(CS37-CS39+CS40,1))</f>
        <v>-15</v>
      </c>
      <c r="CT38" s="50" t="n">
        <f aca="false">IF(OR(CT1="",NOT(ISNUMBER(CT37)),CT39=""),"",ROUND(CT37-CT39+CT40,1))</f>
        <v>-15</v>
      </c>
      <c r="CU38" s="50" t="n">
        <f aca="false">IF(OR(CU1="",NOT(ISNUMBER(CU37)),CU39=""),"",ROUND(CU37-CU39+CU40,1))</f>
        <v>-15</v>
      </c>
      <c r="CV38" s="50" t="n">
        <f aca="false">IF(OR(CV1="",NOT(ISNUMBER(CV37)),CV39=""),"",ROUND(CV37-CV39+CV40,1))</f>
        <v>-15</v>
      </c>
      <c r="CW38" s="50" t="n">
        <f aca="false">IF(OR(CW1="",NOT(ISNUMBER(CW37)),CW39=""),"",ROUND(CW37-CW39+CW40,1))</f>
        <v>-15</v>
      </c>
      <c r="CX38" s="50" t="n">
        <f aca="false">IF(OR(CX1="",NOT(ISNUMBER(CX37)),CX39=""),"",ROUND(CX37-CX39+CX40,1))</f>
        <v>1</v>
      </c>
      <c r="CY38" s="50" t="n">
        <f aca="false">IF(OR(CY1="",NOT(ISNUMBER(CY37)),CY39=""),"",ROUND(CY37-CY39+CY40,1))</f>
        <v>0.7</v>
      </c>
      <c r="CZ38" s="50" t="n">
        <f aca="false">IF(OR(CZ1="",NOT(ISNUMBER(CZ37)),CZ39=""),"",ROUND(CZ37-CZ39+CZ40,1))</f>
        <v>0.2</v>
      </c>
      <c r="DA38" s="50" t="n">
        <f aca="false">IF(OR(DA1="",NOT(ISNUMBER(DA37)),DA39=""),"",ROUND(DA37-DA39+DA40,1))</f>
        <v>1.7</v>
      </c>
      <c r="DB38" s="50" t="n">
        <f aca="false">IF(OR(DB1="",NOT(ISNUMBER(DB37)),DB39=""),"",ROUND(DB37-DB39+DB40,1))</f>
        <v>1</v>
      </c>
      <c r="DC38" s="50" t="n">
        <f aca="false">IF(OR(DC1="",NOT(ISNUMBER(DC37)),DC39=""),"",ROUND(DC37-DC39+DC40,1))</f>
        <v>0.5</v>
      </c>
      <c r="DD38" s="50" t="n">
        <f aca="false">IF(OR(DD1="",NOT(ISNUMBER(DD37)),DD39=""),"",ROUND(DD37-DD39+DD40,1))</f>
        <v>1.6</v>
      </c>
      <c r="DE38" s="50" t="n">
        <f aca="false">IF(OR(DE1="",NOT(ISNUMBER(DE37)),DE39=""),"",ROUND(DE37-DE39+DE40,1))</f>
        <v>1</v>
      </c>
      <c r="DF38" s="50" t="n">
        <f aca="false">IF(OR(DF1="",NOT(ISNUMBER(DF37)),DF39=""),"",ROUND(DF37-DF39+DF40,1))</f>
        <v>0.7</v>
      </c>
      <c r="DG38" s="50" t="n">
        <f aca="false">IF(OR(DG1="",NOT(ISNUMBER(DG37)),DG39=""),"",ROUND(DG37-DG39+DG40,1))</f>
        <v>0.3</v>
      </c>
      <c r="DH38" s="50" t="n">
        <f aca="false">IF(OR(DH1="",NOT(ISNUMBER(DH37)),DH39=""),"",ROUND(DH37-DH39+DH40,1))</f>
        <v>0.8</v>
      </c>
      <c r="DI38" s="50" t="n">
        <f aca="false">IF(OR(DI1="",NOT(ISNUMBER(DI37)),DI39=""),"",ROUND(DI37-DI39+DI40,1))</f>
        <v>0.4</v>
      </c>
      <c r="DJ38" s="50" t="n">
        <f aca="false">IF(OR(DJ1="",NOT(ISNUMBER(DJ37)),DJ39=""),"",ROUND(DJ37-DJ39+DJ40,1))</f>
        <v>-3</v>
      </c>
      <c r="DK38" s="50" t="n">
        <f aca="false">IF(OR(DK1="",NOT(ISNUMBER(DK37)),DK39=""),"",ROUND(DK37-DK39+DK40,1))</f>
        <v>-6</v>
      </c>
      <c r="DL38" s="50" t="str">
        <f aca="false">IF(OR(DL1="",NOT(ISNUMBER(DL37)),DL39=""),"",ROUND(DL37-DL39+DL40,1))</f>
        <v/>
      </c>
      <c r="DM38" s="50" t="n">
        <f aca="false">IF(OR(DM1="",NOT(ISNUMBER(DM37)),DM39=""),"",ROUND(DM37-DM39+DM40,1))</f>
        <v>-11</v>
      </c>
      <c r="DN38" s="50" t="n">
        <f aca="false">IF(OR(DN1="",NOT(ISNUMBER(DN37)),DN39=""),"",ROUND(DN37-DN39+DN40,1))</f>
        <v>-12</v>
      </c>
      <c r="DO38" s="50" t="n">
        <f aca="false">IF(OR(DO1="",NOT(ISNUMBER(DO37)),DO39=""),"",ROUND(DO37-DO39+DO40,1))</f>
        <v>1</v>
      </c>
      <c r="DP38" s="50" t="n">
        <f aca="false">IF(OR(DP1="",NOT(ISNUMBER(DP37)),DP39=""),"",ROUND(DP37-DP39+DP40,1))</f>
        <v>0.5</v>
      </c>
      <c r="DQ38" s="50" t="n">
        <f aca="false">IF(OR(DQ1="",NOT(ISNUMBER(DQ37)),DQ39=""),"",ROUND(DQ37-DQ39+DQ40,1))</f>
        <v>-4</v>
      </c>
      <c r="DR38" s="50" t="n">
        <f aca="false">IF(OR(DR1="",NOT(ISNUMBER(DR37)),DR39=""),"",ROUND(DR37-DR39+DR40,1))</f>
        <v>-9</v>
      </c>
      <c r="DS38" s="50" t="n">
        <f aca="false">IF(OR(DS1="",NOT(ISNUMBER(DS37)),DS39=""),"",ROUND(DS37-DS39+DS40,1))</f>
        <v>-12</v>
      </c>
      <c r="DT38" s="50" t="n">
        <f aca="false">IF(OR(DT1="",NOT(ISNUMBER(DT37)),DT39=""),"",ROUND(DT37-DT39+DT40,1))</f>
        <v>-15</v>
      </c>
      <c r="DU38" s="50" t="n">
        <f aca="false">IF(OR(DU1="",NOT(ISNUMBER(DU37)),DU39=""),"",ROUND(DU37-DU39+DU40,1))</f>
        <v>-15</v>
      </c>
      <c r="DV38" s="50" t="n">
        <f aca="false">IF(OR(DV1="",NOT(ISNUMBER(DV37)),DV39=""),"",ROUND(DV37-DV39+DV40,1))</f>
        <v>1</v>
      </c>
      <c r="DW38" s="50" t="n">
        <f aca="false">IF(OR(DW1="",NOT(ISNUMBER(DW37)),DW39=""),"",ROUND(DW37-DW39+DW40,1))</f>
        <v>0.5</v>
      </c>
      <c r="DX38" s="50" t="n">
        <f aca="false">IF(OR(DX1="",NOT(ISNUMBER(DX37)),DX39=""),"",ROUND(DX37-DX39+DX40,1))</f>
        <v>-2</v>
      </c>
      <c r="DY38" s="50" t="n">
        <f aca="false">IF(OR(DY1="",NOT(ISNUMBER(DY37)),DY39=""),"",ROUND(DY37-DY39+DY40,1))</f>
        <v>-7</v>
      </c>
      <c r="DZ38" s="50" t="n">
        <f aca="false">IF(OR(DZ1="",NOT(ISNUMBER(DZ37)),DZ39=""),"",ROUND(DZ37-DZ39+DZ40,1))</f>
        <v>-12</v>
      </c>
      <c r="EA38" s="50" t="n">
        <f aca="false">IF(OR(EA1="",NOT(ISNUMBER(EA37)),EA39=""),"",ROUND(EA37-EA39+EA40,1))</f>
        <v>-15</v>
      </c>
      <c r="EB38" s="50" t="n">
        <f aca="false">IF(OR(EB1="",NOT(ISNUMBER(EB37)),EB39=""),"",ROUND(EB37-EB39+EB40,1))</f>
        <v>-15</v>
      </c>
      <c r="EC38" s="50" t="n">
        <f aca="false">IF(OR(EC1="",NOT(ISNUMBER(EC37)),EC39=""),"",ROUND(EC37-EC39+EC40,1))</f>
        <v>1.5</v>
      </c>
      <c r="ED38" s="50" t="n">
        <f aca="false">IF(OR(ED1="",NOT(ISNUMBER(ED37)),ED39=""),"",ROUND(ED37-ED39+ED40,1))</f>
        <v>0.3</v>
      </c>
      <c r="EE38" s="50" t="n">
        <f aca="false">IF(OR(EE1="",NOT(ISNUMBER(EE37)),EE39=""),"",ROUND(EE37-EE39+EE40,1))</f>
        <v>2</v>
      </c>
      <c r="EF38" s="50" t="n">
        <f aca="false">IF(OR(EF1="",NOT(ISNUMBER(EF37)),EF39=""),"",ROUND(EF37-EF39+EF40,1))</f>
        <v>-1</v>
      </c>
      <c r="EG38" s="50" t="n">
        <f aca="false">IF(OR(EG1="",NOT(ISNUMBER(EG37)),EG39=""),"",ROUND(EG37-EG39+EG40,1))</f>
        <v>-5.7</v>
      </c>
      <c r="EH38" s="50" t="n">
        <f aca="false">IF(OR(EH1="",NOT(ISNUMBER(EH37)),EH39=""),"",ROUND(EH37-EH39+EH40,1))</f>
        <v>-11</v>
      </c>
      <c r="EI38" s="50" t="n">
        <f aca="false">IF(OR(EI1="",NOT(ISNUMBER(EI37)),EI39=""),"",ROUND(EI37-EI39+EI40,1))</f>
        <v>-14</v>
      </c>
      <c r="EJ38" s="50" t="n">
        <f aca="false">IF(OR(EJ1="",NOT(ISNUMBER(EJ37)),EJ39=""),"",ROUND(EJ37-EJ39+EJ40,1))</f>
        <v>-15</v>
      </c>
      <c r="EK38" s="50" t="n">
        <f aca="false">IF(OR(EK1="",NOT(ISNUMBER(EK37)),EK39=""),"",ROUND(EK37-EK39+EK40,1))</f>
        <v>3</v>
      </c>
      <c r="EL38" s="50" t="n">
        <f aca="false">IF(OR(EL1="",NOT(ISNUMBER(EL37)),EL39=""),"",ROUND(EL37-EL39+EL40,1))</f>
        <v>2</v>
      </c>
      <c r="EM38" s="50" t="n">
        <f aca="false">IF(OR(EM1="",NOT(ISNUMBER(EM37)),EM39=""),"",ROUND(EM37-EM39+EM40,1))</f>
        <v>3</v>
      </c>
      <c r="EN38" s="50" t="n">
        <f aca="false">IF(OR(EN1="",NOT(ISNUMBER(EN37)),EN39=""),"",ROUND(EN37-EN39+EN40,1))</f>
        <v>2</v>
      </c>
      <c r="EO38" s="50" t="n">
        <f aca="false">IF(OR(EO1="",NOT(ISNUMBER(EO37)),EO39=""),"",ROUND(EO37-EO39+EO40,1))</f>
        <v>0</v>
      </c>
      <c r="EP38" s="50" t="n">
        <f aca="false">IF(OR(EP1="",NOT(ISNUMBER(EP37)),EP39=""),"",ROUND(EP37-EP39+EP40,1))</f>
        <v>-3</v>
      </c>
      <c r="EQ38" s="50" t="n">
        <f aca="false">IF(OR(EQ1="",NOT(ISNUMBER(EQ37)),EQ39=""),"",ROUND(EQ37-EQ39+EQ40,1))</f>
        <v>-10</v>
      </c>
      <c r="ER38" s="50" t="n">
        <f aca="false">IF(OR(ER1="",NOT(ISNUMBER(ER37)),ER39=""),"",ROUND(ER37-ER39+ER40,1))</f>
        <v>-15</v>
      </c>
      <c r="ES38" s="50" t="n">
        <f aca="false">IF(OR(ES1="",NOT(ISNUMBER(ES37)),ES39=""),"",ROUND(ES37-ES39+ES40,1))</f>
        <v>-15</v>
      </c>
      <c r="ET38" s="50" t="n">
        <f aca="false">IF(OR(ET1="",NOT(ISNUMBER(ET37)),ET39=""),"",ROUND(ET37-ET39+ET40,1))</f>
        <v>-15</v>
      </c>
      <c r="EU38" s="50" t="str">
        <f aca="false">IF(OR(EU1="",NOT(ISNUMBER(EU37)),EU39=""),"",ROUND(EU37-EU39+EU40,1))</f>
        <v/>
      </c>
      <c r="EV38" s="50" t="str">
        <f aca="false">IF(OR(EV1="",NOT(ISNUMBER(EV37)),EV39=""),"",ROUND(EV37-EV39+EV40,1))</f>
        <v/>
      </c>
      <c r="EW38" s="50" t="str">
        <f aca="false">IF(OR(EW1="",NOT(ISNUMBER(EW37)),EW39=""),"",ROUND(EW37-EW39+EW40,1))</f>
        <v/>
      </c>
      <c r="EX38" s="50" t="str">
        <f aca="false">IF(OR(EX1="",NOT(ISNUMBER(EX37)),EX39=""),"",ROUND(EX37-EX39+EX40,1))</f>
        <v/>
      </c>
      <c r="EY38" s="50" t="str">
        <f aca="false">IF(OR(EY1="",NOT(ISNUMBER(EY37)),EY39=""),"",ROUND(EY37-EY39+EY40,1))</f>
        <v/>
      </c>
      <c r="EZ38" s="50" t="str">
        <f aca="false">IF(OR(EZ1="",NOT(ISNUMBER(EZ37)),EZ39=""),"",ROUND(EZ37-EZ39+EZ40,1))</f>
        <v/>
      </c>
      <c r="FA38" s="50" t="str">
        <f aca="false">IF(OR(FA1="",NOT(ISNUMBER(FA37)),FA39=""),"",ROUND(FA37-FA39+FA40,1))</f>
        <v/>
      </c>
      <c r="FB38" s="50" t="str">
        <f aca="false">IF(OR(FB1="",NOT(ISNUMBER(FB37)),FB39=""),"",ROUND(FB37-FB39+FB40,1))</f>
        <v/>
      </c>
      <c r="FC38" s="50" t="str">
        <f aca="false">IF(OR(FC1="",NOT(ISNUMBER(FC37)),FC39=""),"",ROUND(FC37-FC39+FC40,1))</f>
        <v/>
      </c>
      <c r="FD38" s="50" t="str">
        <f aca="false">IF(OR(FD1="",NOT(ISNUMBER(FD37)),FD39=""),"",ROUND(FD37-FD39+FD40,1))</f>
        <v/>
      </c>
      <c r="FE38" s="50" t="str">
        <f aca="false">IF(OR(FE1="",NOT(ISNUMBER(FE37)),FE39=""),"",ROUND(FE37-FE39+FE40,1))</f>
        <v/>
      </c>
      <c r="FF38" s="50" t="str">
        <f aca="false">IF(OR(FF1="",NOT(ISNUMBER(FF37)),FF39=""),"",ROUND(FF37-FF39+FF40,1))</f>
        <v/>
      </c>
      <c r="FG38" s="50" t="str">
        <f aca="false">IF(OR(FG1="",NOT(ISNUMBER(FG37)),FG39=""),"",ROUND(FG37-FG39+FG40,1))</f>
        <v/>
      </c>
      <c r="FH38" s="50" t="str">
        <f aca="false">IF(OR(FH1="",NOT(ISNUMBER(FH37)),FH39=""),"",ROUND(FH37-FH39+FH40,1))</f>
        <v/>
      </c>
      <c r="FI38" s="50" t="str">
        <f aca="false">IF(OR(FI1="",NOT(ISNUMBER(FI37)),FI39=""),"",ROUND(FI37-FI39+FI40,1))</f>
        <v/>
      </c>
      <c r="FJ38" s="50" t="str">
        <f aca="false">IF(OR(FJ1="",NOT(ISNUMBER(FJ37)),FJ39=""),"",ROUND(FJ37-FJ39+FJ40,1))</f>
        <v/>
      </c>
      <c r="FK38" s="50" t="str">
        <f aca="false">IF(OR(FK1="",NOT(ISNUMBER(FK37)),FK39=""),"",ROUND(FK37-FK39+FK40,1))</f>
        <v/>
      </c>
      <c r="FL38" s="50" t="str">
        <f aca="false">IF(OR(FL1="",NOT(ISNUMBER(FL37)),FL39=""),"",ROUND(FL37-FL39+FL40,1))</f>
        <v/>
      </c>
      <c r="FM38" s="50" t="str">
        <f aca="false">IF(OR(FM1="",NOT(ISNUMBER(FM37)),FM39=""),"",ROUND(FM37-FM39+FM40,1))</f>
        <v/>
      </c>
      <c r="FN38" s="50" t="str">
        <f aca="false">IF(OR(FN1="",NOT(ISNUMBER(FN37)),FN39=""),"",ROUND(FN37-FN39+FN40,1))</f>
        <v/>
      </c>
      <c r="FO38" s="50" t="str">
        <f aca="false">IF(OR(FO1="",NOT(ISNUMBER(FO37)),FO39=""),"",ROUND(FO37-FO39+FO40,1))</f>
        <v/>
      </c>
      <c r="FP38" s="50" t="str">
        <f aca="false">IF(OR(FP1="",NOT(ISNUMBER(FP37)),FP39=""),"",ROUND(FP37-FP39+FP40,1))</f>
        <v/>
      </c>
      <c r="FQ38" s="50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74</v>
      </c>
      <c r="B39" s="20" t="s">
        <v>396</v>
      </c>
      <c r="D39" s="50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0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0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0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0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0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0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0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0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0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0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0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0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0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0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0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0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0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0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0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0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0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0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0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0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0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0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0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0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0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0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0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0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0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0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0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0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0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0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0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0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0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0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0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0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0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0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0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0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0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0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0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0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0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0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0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0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0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0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0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0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0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0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0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0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0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0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0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0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0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0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0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0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0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0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0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0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0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0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0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0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0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0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0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0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0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0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0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0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0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0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0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0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0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0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0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0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0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0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0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0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0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0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0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0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0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0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0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0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0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0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0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0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0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0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0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0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0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0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0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0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0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0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0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0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0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0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0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0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0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0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0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0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0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0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0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0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0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0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0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0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0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0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0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0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0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0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0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0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0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0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0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0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0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0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0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0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0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0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0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0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0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0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0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0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0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0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0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0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0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3" t="s">
        <v>74</v>
      </c>
      <c r="B40" s="20" t="s">
        <v>397</v>
      </c>
      <c r="D40" s="50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0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0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0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0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0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0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0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0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0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0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0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0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0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0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0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0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0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0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0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0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0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0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0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0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0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0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0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0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0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0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0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0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0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0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0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0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0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0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0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0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0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0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0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0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0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0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0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0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0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0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0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0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0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0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0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0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0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0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0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0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0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0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0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0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0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0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0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0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0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0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0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0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0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0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0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0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0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0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0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0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0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0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0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0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0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0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0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0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0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0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0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0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0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0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0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0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0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0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0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0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0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0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0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0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0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0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0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0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0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0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0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0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0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0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0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0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0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0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0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0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0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0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0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0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0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0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0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0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0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0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0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0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0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0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0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0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0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0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0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0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0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0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0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0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0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0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0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0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0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0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0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0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0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0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0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0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0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0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0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0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0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0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0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0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0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0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0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0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0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3" t="s">
        <v>74</v>
      </c>
      <c r="B41" s="20" t="s">
        <v>398</v>
      </c>
      <c r="C41" s="27" t="str">
        <f aca="false">COUNT($D$46:$FQ$46)&amp;" বার সেচ"</f>
        <v>15 বার সেচ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74</v>
      </c>
      <c r="B42" s="20" t="s">
        <v>399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400.5</v>
      </c>
      <c r="BF42" s="57" t="str">
        <f aca="false">IF(2_Daily_input!BF19="","",2_Daily_input!BF19)</f>
        <v/>
      </c>
      <c r="BG42" s="57" t="n">
        <f aca="false">IF(2_Daily_input!BG19="","",2_Daily_input!BG19)</f>
        <v>402.5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402.4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401.5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401.3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401.5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402.7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401.3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401.5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402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402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404.5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74</v>
      </c>
      <c r="B43" s="20" t="s">
        <v>400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74</v>
      </c>
      <c r="B44" s="20" t="s">
        <v>401</v>
      </c>
      <c r="D44" s="50" t="str">
        <f aca="false">IF(AND(ISNUMBER(D41),ISNUMBER(D42),D39&lt;&gt;""),ROUND(D41-D39+D40,1),"")</f>
        <v/>
      </c>
      <c r="E44" s="50" t="str">
        <f aca="false">IF(AND(ISNUMBER(E41),ISNUMBER(E42),E39&lt;&gt;""),ROUND(E41-E39+E40,1),"")</f>
        <v/>
      </c>
      <c r="F44" s="50" t="str">
        <f aca="false">IF(AND(ISNUMBER(F41),ISNUMBER(F42),F39&lt;&gt;""),ROUND(F41-F39+F40,1),"")</f>
        <v/>
      </c>
      <c r="G44" s="50" t="str">
        <f aca="false">IF(AND(ISNUMBER(G41),ISNUMBER(G42),G39&lt;&gt;""),ROUND(G41-G39+G40,1),"")</f>
        <v/>
      </c>
      <c r="H44" s="50" t="str">
        <f aca="false">IF(AND(ISNUMBER(H41),ISNUMBER(H42),H39&lt;&gt;""),ROUND(H41-H39+H40,1),"")</f>
        <v/>
      </c>
      <c r="I44" s="50" t="str">
        <f aca="false">IF(AND(ISNUMBER(I41),ISNUMBER(I42),I39&lt;&gt;""),ROUND(I41-I39+I40,1),"")</f>
        <v/>
      </c>
      <c r="J44" s="50" t="str">
        <f aca="false">IF(AND(ISNUMBER(J41),ISNUMBER(J42),J39&lt;&gt;""),ROUND(J41-J39+J40,1),"")</f>
        <v/>
      </c>
      <c r="K44" s="50" t="str">
        <f aca="false">IF(AND(ISNUMBER(K41),ISNUMBER(K42),K39&lt;&gt;""),ROUND(K41-K39+K40,1),"")</f>
        <v/>
      </c>
      <c r="L44" s="50" t="str">
        <f aca="false">IF(AND(ISNUMBER(L41),ISNUMBER(L42),L39&lt;&gt;""),ROUND(L41-L39+L40,1),"")</f>
        <v/>
      </c>
      <c r="M44" s="50" t="str">
        <f aca="false">IF(AND(ISNUMBER(M41),ISNUMBER(M42),M39&lt;&gt;""),ROUND(M41-M39+M40,1),"")</f>
        <v/>
      </c>
      <c r="N44" s="50" t="str">
        <f aca="false">IF(AND(ISNUMBER(N41),ISNUMBER(N42),N39&lt;&gt;""),ROUND(N41-N39+N40,1),"")</f>
        <v/>
      </c>
      <c r="O44" s="50" t="str">
        <f aca="false">IF(AND(ISNUMBER(O41),ISNUMBER(O42),O39&lt;&gt;""),ROUND(O41-O39+O40,1),"")</f>
        <v/>
      </c>
      <c r="P44" s="50" t="str">
        <f aca="false">IF(AND(ISNUMBER(P41),ISNUMBER(P42),P39&lt;&gt;""),ROUND(P41-P39+P40,1),"")</f>
        <v/>
      </c>
      <c r="Q44" s="50" t="str">
        <f aca="false">IF(AND(ISNUMBER(Q41),ISNUMBER(Q42),Q39&lt;&gt;""),ROUND(Q41-Q39+Q40,1),"")</f>
        <v/>
      </c>
      <c r="R44" s="50" t="str">
        <f aca="false">IF(AND(ISNUMBER(R41),ISNUMBER(R42),R39&lt;&gt;""),ROUND(R41-R39+R40,1),"")</f>
        <v/>
      </c>
      <c r="S44" s="50" t="str">
        <f aca="false">IF(AND(ISNUMBER(S41),ISNUMBER(S42),S39&lt;&gt;""),ROUND(S41-S39+S40,1),"")</f>
        <v/>
      </c>
      <c r="T44" s="50" t="str">
        <f aca="false">IF(AND(ISNUMBER(T41),ISNUMBER(T42),T39&lt;&gt;""),ROUND(T41-T39+T40,1),"")</f>
        <v/>
      </c>
      <c r="U44" s="50" t="str">
        <f aca="false">IF(AND(ISNUMBER(U41),ISNUMBER(U42),U39&lt;&gt;""),ROUND(U41-U39+U40,1),"")</f>
        <v/>
      </c>
      <c r="V44" s="50" t="str">
        <f aca="false">IF(AND(ISNUMBER(V41),ISNUMBER(V42),V39&lt;&gt;""),ROUND(V41-V39+V40,1),"")</f>
        <v/>
      </c>
      <c r="W44" s="50" t="str">
        <f aca="false">IF(AND(ISNUMBER(W41),ISNUMBER(W42),W39&lt;&gt;""),ROUND(W41-W39+W40,1),"")</f>
        <v/>
      </c>
      <c r="X44" s="50" t="str">
        <f aca="false">IF(AND(ISNUMBER(X41),ISNUMBER(X42),X39&lt;&gt;""),ROUND(X41-X39+X40,1),"")</f>
        <v/>
      </c>
      <c r="Y44" s="50" t="str">
        <f aca="false">IF(AND(ISNUMBER(Y41),ISNUMBER(Y42),Y39&lt;&gt;""),ROUND(Y41-Y39+Y40,1),"")</f>
        <v/>
      </c>
      <c r="Z44" s="50" t="str">
        <f aca="false">IF(AND(ISNUMBER(Z41),ISNUMBER(Z42),Z39&lt;&gt;""),ROUND(Z41-Z39+Z40,1),"")</f>
        <v/>
      </c>
      <c r="AA44" s="50" t="str">
        <f aca="false">IF(AND(ISNUMBER(AA41),ISNUMBER(AA42),AA39&lt;&gt;""),ROUND(AA41-AA39+AA40,1),"")</f>
        <v/>
      </c>
      <c r="AB44" s="50" t="str">
        <f aca="false">IF(AND(ISNUMBER(AB41),ISNUMBER(AB42),AB39&lt;&gt;""),ROUND(AB41-AB39+AB40,1),"")</f>
        <v/>
      </c>
      <c r="AC44" s="50" t="str">
        <f aca="false">IF(AND(ISNUMBER(AC41),ISNUMBER(AC42),AC39&lt;&gt;""),ROUND(AC41-AC39+AC40,1),"")</f>
        <v/>
      </c>
      <c r="AD44" s="50" t="str">
        <f aca="false">IF(AND(ISNUMBER(AD41),ISNUMBER(AD42),AD39&lt;&gt;""),ROUND(AD41-AD39+AD40,1),"")</f>
        <v/>
      </c>
      <c r="AE44" s="50" t="str">
        <f aca="false">IF(AND(ISNUMBER(AE41),ISNUMBER(AE42),AE39&lt;&gt;""),ROUND(AE41-AE39+AE40,1),"")</f>
        <v/>
      </c>
      <c r="AF44" s="50" t="str">
        <f aca="false">IF(AND(ISNUMBER(AF41),ISNUMBER(AF42),AF39&lt;&gt;""),ROUND(AF41-AF39+AF40,1),"")</f>
        <v/>
      </c>
      <c r="AG44" s="50" t="str">
        <f aca="false">IF(AND(ISNUMBER(AG41),ISNUMBER(AG42),AG39&lt;&gt;""),ROUND(AG41-AG39+AG40,1),"")</f>
        <v/>
      </c>
      <c r="AH44" s="50" t="str">
        <f aca="false">IF(AND(ISNUMBER(AH41),ISNUMBER(AH42),AH39&lt;&gt;""),ROUND(AH41-AH39+AH40,1),"")</f>
        <v/>
      </c>
      <c r="AI44" s="50" t="str">
        <f aca="false">IF(AND(ISNUMBER(AI41),ISNUMBER(AI42),AI39&lt;&gt;""),ROUND(AI41-AI39+AI40,1),"")</f>
        <v/>
      </c>
      <c r="AJ44" s="50" t="str">
        <f aca="false">IF(AND(ISNUMBER(AJ41),ISNUMBER(AJ42),AJ39&lt;&gt;""),ROUND(AJ41-AJ39+AJ40,1),"")</f>
        <v/>
      </c>
      <c r="AK44" s="50" t="str">
        <f aca="false">IF(AND(ISNUMBER(AK41),ISNUMBER(AK42),AK39&lt;&gt;""),ROUND(AK41-AK39+AK40,1),"")</f>
        <v/>
      </c>
      <c r="AL44" s="50" t="str">
        <f aca="false">IF(AND(ISNUMBER(AL41),ISNUMBER(AL42),AL39&lt;&gt;""),ROUND(AL41-AL39+AL40,1),"")</f>
        <v/>
      </c>
      <c r="AM44" s="50" t="str">
        <f aca="false">IF(AND(ISNUMBER(AM41),ISNUMBER(AM42),AM39&lt;&gt;""),ROUND(AM41-AM39+AM40,1),"")</f>
        <v/>
      </c>
      <c r="AN44" s="50" t="str">
        <f aca="false">IF(AND(ISNUMBER(AN41),ISNUMBER(AN42),AN39&lt;&gt;""),ROUND(AN41-AN39+AN40,1),"")</f>
        <v/>
      </c>
      <c r="AO44" s="50" t="str">
        <f aca="false">IF(AND(ISNUMBER(AO41),ISNUMBER(AO42),AO39&lt;&gt;""),ROUND(AO41-AO39+AO40,1),"")</f>
        <v/>
      </c>
      <c r="AP44" s="50" t="str">
        <f aca="false">IF(AND(ISNUMBER(AP41),ISNUMBER(AP42),AP39&lt;&gt;""),ROUND(AP41-AP39+AP40,1),"")</f>
        <v/>
      </c>
      <c r="AQ44" s="50" t="str">
        <f aca="false">IF(AND(ISNUMBER(AQ41),ISNUMBER(AQ42),AQ39&lt;&gt;""),ROUND(AQ41-AQ39+AQ40,1),"")</f>
        <v/>
      </c>
      <c r="AR44" s="50" t="str">
        <f aca="false">IF(AND(ISNUMBER(AR41),ISNUMBER(AR42),AR39&lt;&gt;""),ROUND(AR41-AR39+AR40,1),"")</f>
        <v/>
      </c>
      <c r="AS44" s="50" t="str">
        <f aca="false">IF(AND(ISNUMBER(AS41),ISNUMBER(AS42),AS39&lt;&gt;""),ROUND(AS41-AS39+AS40,1),"")</f>
        <v/>
      </c>
      <c r="AT44" s="50" t="str">
        <f aca="false">IF(AND(ISNUMBER(AT41),ISNUMBER(AT42),AT39&lt;&gt;""),ROUND(AT41-AT39+AT40,1),"")</f>
        <v/>
      </c>
      <c r="AU44" s="50" t="str">
        <f aca="false">IF(AND(ISNUMBER(AU41),ISNUMBER(AU42),AU39&lt;&gt;""),ROUND(AU41-AU39+AU40,1),"")</f>
        <v/>
      </c>
      <c r="AV44" s="50" t="str">
        <f aca="false">IF(AND(ISNUMBER(AV41),ISNUMBER(AV42),AV39&lt;&gt;""),ROUND(AV41-AV39+AV40,1),"")</f>
        <v/>
      </c>
      <c r="AW44" s="50" t="str">
        <f aca="false">IF(AND(ISNUMBER(AW41),ISNUMBER(AW42),AW39&lt;&gt;""),ROUND(AW41-AW39+AW40,1),"")</f>
        <v/>
      </c>
      <c r="AX44" s="50" t="str">
        <f aca="false">IF(AND(ISNUMBER(AX41),ISNUMBER(AX42),AX39&lt;&gt;""),ROUND(AX41-AX39+AX40,1),"")</f>
        <v/>
      </c>
      <c r="AY44" s="50" t="str">
        <f aca="false">IF(AND(ISNUMBER(AY41),ISNUMBER(AY42),AY39&lt;&gt;""),ROUND(AY41-AY39+AY40,1),"")</f>
        <v/>
      </c>
      <c r="AZ44" s="50" t="str">
        <f aca="false">IF(AND(ISNUMBER(AZ41),ISNUMBER(AZ42),AZ39&lt;&gt;""),ROUND(AZ41-AZ39+AZ40,1),"")</f>
        <v/>
      </c>
      <c r="BA44" s="50" t="str">
        <f aca="false">IF(AND(ISNUMBER(BA41),ISNUMBER(BA42),BA39&lt;&gt;""),ROUND(BA41-BA39+BA40,1),"")</f>
        <v/>
      </c>
      <c r="BB44" s="50" t="str">
        <f aca="false">IF(AND(ISNUMBER(BB41),ISNUMBER(BB42),BB39&lt;&gt;""),ROUND(BB41-BB39+BB40,1),"")</f>
        <v/>
      </c>
      <c r="BC44" s="50" t="str">
        <f aca="false">IF(AND(ISNUMBER(BC41),ISNUMBER(BC42),BC39&lt;&gt;""),ROUND(BC41-BC39+BC40,1),"")</f>
        <v/>
      </c>
      <c r="BD44" s="50" t="str">
        <f aca="false">IF(AND(ISNUMBER(BD41),ISNUMBER(BD42),BD39&lt;&gt;""),ROUND(BD41-BD39+BD40,1),"")</f>
        <v/>
      </c>
      <c r="BE44" s="50" t="n">
        <f aca="false">IF(AND(ISNUMBER(BE41),ISNUMBER(BE42),BE39&lt;&gt;""),ROUND(BE41-BE39+BE40,1),"")</f>
        <v>1</v>
      </c>
      <c r="BF44" s="50" t="str">
        <f aca="false">IF(AND(ISNUMBER(BF41),ISNUMBER(BF42),BF39&lt;&gt;""),ROUND(BF41-BF39+BF40,1),"")</f>
        <v/>
      </c>
      <c r="BG44" s="50" t="n">
        <f aca="false">IF(AND(ISNUMBER(BG41),ISNUMBER(BG42),BG39&lt;&gt;""),ROUND(BG41-BG39+BG40,1),"")</f>
        <v>1</v>
      </c>
      <c r="BH44" s="50" t="str">
        <f aca="false">IF(AND(ISNUMBER(BH41),ISNUMBER(BH42),BH39&lt;&gt;""),ROUND(BH41-BH39+BH40,1),"")</f>
        <v/>
      </c>
      <c r="BI44" s="50" t="str">
        <f aca="false">IF(AND(ISNUMBER(BI41),ISNUMBER(BI42),BI39&lt;&gt;""),ROUND(BI41-BI39+BI40,1),"")</f>
        <v/>
      </c>
      <c r="BJ44" s="50" t="str">
        <f aca="false">IF(AND(ISNUMBER(BJ41),ISNUMBER(BJ42),BJ39&lt;&gt;""),ROUND(BJ41-BJ39+BJ40,1),"")</f>
        <v/>
      </c>
      <c r="BK44" s="50" t="n">
        <f aca="false">IF(AND(ISNUMBER(BK41),ISNUMBER(BK42),BK39&lt;&gt;""),ROUND(BK41-BK39+BK40,1),"")</f>
        <v>1.5</v>
      </c>
      <c r="BL44" s="50" t="str">
        <f aca="false">IF(AND(ISNUMBER(BL41),ISNUMBER(BL42),BL39&lt;&gt;""),ROUND(BL41-BL39+BL40,1),"")</f>
        <v/>
      </c>
      <c r="BM44" s="50" t="str">
        <f aca="false">IF(AND(ISNUMBER(BM41),ISNUMBER(BM42),BM39&lt;&gt;""),ROUND(BM41-BM39+BM40,1),"")</f>
        <v/>
      </c>
      <c r="BN44" s="50" t="str">
        <f aca="false">IF(AND(ISNUMBER(BN41),ISNUMBER(BN42),BN39&lt;&gt;""),ROUND(BN41-BN39+BN40,1),"")</f>
        <v/>
      </c>
      <c r="BO44" s="50" t="str">
        <f aca="false">IF(AND(ISNUMBER(BO41),ISNUMBER(BO42),BO39&lt;&gt;""),ROUND(BO41-BO39+BO40,1),"")</f>
        <v/>
      </c>
      <c r="BP44" s="50" t="n">
        <f aca="false">IF(AND(ISNUMBER(BP41),ISNUMBER(BP42),BP39&lt;&gt;""),ROUND(BP41-BP39+BP40,1),"")</f>
        <v>1.3</v>
      </c>
      <c r="BQ44" s="50" t="str">
        <f aca="false">IF(AND(ISNUMBER(BQ41),ISNUMBER(BQ42),BQ39&lt;&gt;""),ROUND(BQ41-BQ39+BQ40,1),"")</f>
        <v/>
      </c>
      <c r="BR44" s="50" t="str">
        <f aca="false">IF(AND(ISNUMBER(BR41),ISNUMBER(BR42),BR39&lt;&gt;""),ROUND(BR41-BR39+BR40,1),"")</f>
        <v/>
      </c>
      <c r="BS44" s="50" t="str">
        <f aca="false">IF(AND(ISNUMBER(BS41),ISNUMBER(BS42),BS39&lt;&gt;""),ROUND(BS41-BS39+BS40,1),"")</f>
        <v/>
      </c>
      <c r="BT44" s="50" t="str">
        <f aca="false">IF(AND(ISNUMBER(BT41),ISNUMBER(BT42),BT39&lt;&gt;""),ROUND(BT41-BT39+BT40,1),"")</f>
        <v/>
      </c>
      <c r="BU44" s="50" t="str">
        <f aca="false">IF(AND(ISNUMBER(BU41),ISNUMBER(BU42),BU39&lt;&gt;""),ROUND(BU41-BU39+BU40,1),"")</f>
        <v/>
      </c>
      <c r="BV44" s="50" t="str">
        <f aca="false">IF(AND(ISNUMBER(BV41),ISNUMBER(BV42),BV39&lt;&gt;""),ROUND(BV41-BV39+BV40,1),"")</f>
        <v/>
      </c>
      <c r="BW44" s="50" t="n">
        <f aca="false">IF(AND(ISNUMBER(BW41),ISNUMBER(BW42),BW39&lt;&gt;""),ROUND(BW41-BW39+BW40,1),"")</f>
        <v>0.5</v>
      </c>
      <c r="BX44" s="50" t="str">
        <f aca="false">IF(AND(ISNUMBER(BX41),ISNUMBER(BX42),BX39&lt;&gt;""),ROUND(BX41-BX39+BX40,1),"")</f>
        <v/>
      </c>
      <c r="BY44" s="50" t="str">
        <f aca="false">IF(AND(ISNUMBER(BY41),ISNUMBER(BY42),BY39&lt;&gt;""),ROUND(BY41-BY39+BY40,1),"")</f>
        <v/>
      </c>
      <c r="BZ44" s="50" t="str">
        <f aca="false">IF(AND(ISNUMBER(BZ41),ISNUMBER(BZ42),BZ39&lt;&gt;""),ROUND(BZ41-BZ39+BZ40,1),"")</f>
        <v/>
      </c>
      <c r="CA44" s="50" t="str">
        <f aca="false">IF(AND(ISNUMBER(CA41),ISNUMBER(CA42),CA39&lt;&gt;""),ROUND(CA41-CA39+CA40,1),"")</f>
        <v/>
      </c>
      <c r="CB44" s="50" t="str">
        <f aca="false">IF(AND(ISNUMBER(CB41),ISNUMBER(CB42),CB39&lt;&gt;""),ROUND(CB41-CB39+CB40,1),"")</f>
        <v/>
      </c>
      <c r="CC44" s="50" t="str">
        <f aca="false">IF(AND(ISNUMBER(CC41),ISNUMBER(CC42),CC39&lt;&gt;""),ROUND(CC41-CC39+CC40,1),"")</f>
        <v/>
      </c>
      <c r="CD44" s="50" t="n">
        <f aca="false">IF(AND(ISNUMBER(CD41),ISNUMBER(CD42),CD39&lt;&gt;""),ROUND(CD41-CD39+CD40,1),"")</f>
        <v>-0.7</v>
      </c>
      <c r="CE44" s="50" t="str">
        <f aca="false">IF(AND(ISNUMBER(CE41),ISNUMBER(CE42),CE39&lt;&gt;""),ROUND(CE41-CE39+CE40,1),"")</f>
        <v/>
      </c>
      <c r="CF44" s="50" t="str">
        <f aca="false">IF(AND(ISNUMBER(CF41),ISNUMBER(CF42),CF39&lt;&gt;""),ROUND(CF41-CF39+CF40,1),"")</f>
        <v/>
      </c>
      <c r="CG44" s="50" t="str">
        <f aca="false">IF(AND(ISNUMBER(CG41),ISNUMBER(CG42),CG39&lt;&gt;""),ROUND(CG41-CG39+CG40,1),"")</f>
        <v/>
      </c>
      <c r="CH44" s="50" t="n">
        <f aca="false">IF(AND(ISNUMBER(CH41),ISNUMBER(CH42),CH39&lt;&gt;""),ROUND(CH41-CH39+CH40,1),"")</f>
        <v>1</v>
      </c>
      <c r="CI44" s="50" t="str">
        <f aca="false">IF(AND(ISNUMBER(CI41),ISNUMBER(CI42),CI39&lt;&gt;""),ROUND(CI41-CI39+CI40,1),"")</f>
        <v/>
      </c>
      <c r="CJ44" s="50" t="str">
        <f aca="false">IF(AND(ISNUMBER(CJ41),ISNUMBER(CJ42),CJ39&lt;&gt;""),ROUND(CJ41-CJ39+CJ40,1),"")</f>
        <v/>
      </c>
      <c r="CK44" s="50" t="str">
        <f aca="false">IF(AND(ISNUMBER(CK41),ISNUMBER(CK42),CK39&lt;&gt;""),ROUND(CK41-CK39+CK40,1),"")</f>
        <v/>
      </c>
      <c r="CL44" s="50" t="str">
        <f aca="false">IF(AND(ISNUMBER(CL41),ISNUMBER(CL42),CL39&lt;&gt;""),ROUND(CL41-CL39+CL40,1),"")</f>
        <v/>
      </c>
      <c r="CM44" s="50" t="str">
        <f aca="false">IF(AND(ISNUMBER(CM41),ISNUMBER(CM42),CM39&lt;&gt;""),ROUND(CM41-CM39+CM40,1),"")</f>
        <v/>
      </c>
      <c r="CN44" s="50" t="str">
        <f aca="false">IF(AND(ISNUMBER(CN41),ISNUMBER(CN42),CN39&lt;&gt;""),ROUND(CN41-CN39+CN40,1),"")</f>
        <v/>
      </c>
      <c r="CO44" s="50" t="str">
        <f aca="false">IF(AND(ISNUMBER(CO41),ISNUMBER(CO42),CO39&lt;&gt;""),ROUND(CO41-CO39+CO40,1),"")</f>
        <v/>
      </c>
      <c r="CP44" s="50" t="str">
        <f aca="false">IF(AND(ISNUMBER(CP41),ISNUMBER(CP42),CP39&lt;&gt;""),ROUND(CP41-CP39+CP40,1),"")</f>
        <v/>
      </c>
      <c r="CQ44" s="50" t="str">
        <f aca="false">IF(AND(ISNUMBER(CQ41),ISNUMBER(CQ42),CQ39&lt;&gt;""),ROUND(CQ41-CQ39+CQ40,1),"")</f>
        <v/>
      </c>
      <c r="CR44" s="50" t="str">
        <f aca="false">IF(AND(ISNUMBER(CR41),ISNUMBER(CR42),CR39&lt;&gt;""),ROUND(CR41-CR39+CR40,1),"")</f>
        <v/>
      </c>
      <c r="CS44" s="50" t="str">
        <f aca="false">IF(AND(ISNUMBER(CS41),ISNUMBER(CS42),CS39&lt;&gt;""),ROUND(CS41-CS39+CS40,1),"")</f>
        <v/>
      </c>
      <c r="CT44" s="50" t="str">
        <f aca="false">IF(AND(ISNUMBER(CT41),ISNUMBER(CT42),CT39&lt;&gt;""),ROUND(CT41-CT39+CT40,1),"")</f>
        <v/>
      </c>
      <c r="CU44" s="50" t="str">
        <f aca="false">IF(AND(ISNUMBER(CU41),ISNUMBER(CU42),CU39&lt;&gt;""),ROUND(CU41-CU39+CU40,1),"")</f>
        <v/>
      </c>
      <c r="CV44" s="50" t="str">
        <f aca="false">IF(AND(ISNUMBER(CV41),ISNUMBER(CV42),CV39&lt;&gt;""),ROUND(CV41-CV39+CV40,1),"")</f>
        <v/>
      </c>
      <c r="CW44" s="50" t="n">
        <f aca="false">IF(AND(ISNUMBER(CW41),ISNUMBER(CW42),CW39&lt;&gt;""),ROUND(CW41-CW39+CW40,1),"")</f>
        <v>-15</v>
      </c>
      <c r="CX44" s="50" t="str">
        <f aca="false">IF(AND(ISNUMBER(CX41),ISNUMBER(CX42),CX39&lt;&gt;""),ROUND(CX41-CX39+CX40,1),"")</f>
        <v/>
      </c>
      <c r="CY44" s="50" t="str">
        <f aca="false">IF(AND(ISNUMBER(CY41),ISNUMBER(CY42),CY39&lt;&gt;""),ROUND(CY41-CY39+CY40,1),"")</f>
        <v/>
      </c>
      <c r="CZ44" s="50" t="n">
        <f aca="false">IF(AND(ISNUMBER(CZ41),ISNUMBER(CZ42),CZ39&lt;&gt;""),ROUND(CZ41-CZ39+CZ40,1),"")</f>
        <v>0.2</v>
      </c>
      <c r="DA44" s="50" t="str">
        <f aca="false">IF(AND(ISNUMBER(DA41),ISNUMBER(DA42),DA39&lt;&gt;""),ROUND(DA41-DA39+DA40,1),"")</f>
        <v/>
      </c>
      <c r="DB44" s="50" t="str">
        <f aca="false">IF(AND(ISNUMBER(DB41),ISNUMBER(DB42),DB39&lt;&gt;""),ROUND(DB41-DB39+DB40,1),"")</f>
        <v/>
      </c>
      <c r="DC44" s="50" t="n">
        <f aca="false">IF(AND(ISNUMBER(DC41),ISNUMBER(DC42),DC39&lt;&gt;""),ROUND(DC41-DC39+DC40,1),"")</f>
        <v>0.5</v>
      </c>
      <c r="DD44" s="50" t="str">
        <f aca="false">IF(AND(ISNUMBER(DD41),ISNUMBER(DD42),DD39&lt;&gt;""),ROUND(DD41-DD39+DD40,1),"")</f>
        <v/>
      </c>
      <c r="DE44" s="50" t="str">
        <f aca="false">IF(AND(ISNUMBER(DE41),ISNUMBER(DE42),DE39&lt;&gt;""),ROUND(DE41-DE39+DE40,1),"")</f>
        <v/>
      </c>
      <c r="DF44" s="50" t="str">
        <f aca="false">IF(AND(ISNUMBER(DF41),ISNUMBER(DF42),DF39&lt;&gt;""),ROUND(DF41-DF39+DF40,1),"")</f>
        <v/>
      </c>
      <c r="DG44" s="50" t="n">
        <f aca="false">IF(AND(ISNUMBER(DG41),ISNUMBER(DG42),DG39&lt;&gt;""),ROUND(DG41-DG39+DG40,1),"")</f>
        <v>0.3</v>
      </c>
      <c r="DH44" s="50" t="str">
        <f aca="false">IF(AND(ISNUMBER(DH41),ISNUMBER(DH42),DH39&lt;&gt;""),ROUND(DH41-DH39+DH40,1),"")</f>
        <v/>
      </c>
      <c r="DI44" s="50" t="str">
        <f aca="false">IF(AND(ISNUMBER(DI41),ISNUMBER(DI42),DI39&lt;&gt;""),ROUND(DI41-DI39+DI40,1),"")</f>
        <v/>
      </c>
      <c r="DJ44" s="50" t="str">
        <f aca="false">IF(AND(ISNUMBER(DJ41),ISNUMBER(DJ42),DJ39&lt;&gt;""),ROUND(DJ41-DJ39+DJ40,1),"")</f>
        <v/>
      </c>
      <c r="DK44" s="50" t="str">
        <f aca="false">IF(AND(ISNUMBER(DK41),ISNUMBER(DK42),DK39&lt;&gt;""),ROUND(DK41-DK39+DK40,1),"")</f>
        <v/>
      </c>
      <c r="DL44" s="50" t="str">
        <f aca="false">IF(AND(ISNUMBER(DL41),ISNUMBER(DL42),DL39&lt;&gt;""),ROUND(DL41-DL39+DL40,1),"")</f>
        <v/>
      </c>
      <c r="DM44" s="50" t="str">
        <f aca="false">IF(AND(ISNUMBER(DM41),ISNUMBER(DM42),DM39&lt;&gt;""),ROUND(DM41-DM39+DM40,1),"")</f>
        <v/>
      </c>
      <c r="DN44" s="50" t="n">
        <f aca="false">IF(AND(ISNUMBER(DN41),ISNUMBER(DN42),DN39&lt;&gt;""),ROUND(DN41-DN39+DN40,1),"")</f>
        <v>-12</v>
      </c>
      <c r="DO44" s="50" t="str">
        <f aca="false">IF(AND(ISNUMBER(DO41),ISNUMBER(DO42),DO39&lt;&gt;""),ROUND(DO41-DO39+DO40,1),"")</f>
        <v/>
      </c>
      <c r="DP44" s="50" t="str">
        <f aca="false">IF(AND(ISNUMBER(DP41),ISNUMBER(DP42),DP39&lt;&gt;""),ROUND(DP41-DP39+DP40,1),"")</f>
        <v/>
      </c>
      <c r="DQ44" s="50" t="str">
        <f aca="false">IF(AND(ISNUMBER(DQ41),ISNUMBER(DQ42),DQ39&lt;&gt;""),ROUND(DQ41-DQ39+DQ40,1),"")</f>
        <v/>
      </c>
      <c r="DR44" s="50" t="str">
        <f aca="false">IF(AND(ISNUMBER(DR41),ISNUMBER(DR42),DR39&lt;&gt;""),ROUND(DR41-DR39+DR40,1),"")</f>
        <v/>
      </c>
      <c r="DS44" s="50" t="str">
        <f aca="false">IF(AND(ISNUMBER(DS41),ISNUMBER(DS42),DS39&lt;&gt;""),ROUND(DS41-DS39+DS40,1),"")</f>
        <v/>
      </c>
      <c r="DT44" s="50" t="str">
        <f aca="false">IF(AND(ISNUMBER(DT41),ISNUMBER(DT42),DT39&lt;&gt;""),ROUND(DT41-DT39+DT40,1),"")</f>
        <v/>
      </c>
      <c r="DU44" s="50" t="n">
        <f aca="false">IF(AND(ISNUMBER(DU41),ISNUMBER(DU42),DU39&lt;&gt;""),ROUND(DU41-DU39+DU40,1),"")</f>
        <v>-15</v>
      </c>
      <c r="DV44" s="50" t="str">
        <f aca="false">IF(AND(ISNUMBER(DV41),ISNUMBER(DV42),DV39&lt;&gt;""),ROUND(DV41-DV39+DV40,1),"")</f>
        <v/>
      </c>
      <c r="DW44" s="50" t="str">
        <f aca="false">IF(AND(ISNUMBER(DW41),ISNUMBER(DW42),DW39&lt;&gt;""),ROUND(DW41-DW39+DW40,1),"")</f>
        <v/>
      </c>
      <c r="DX44" s="50" t="str">
        <f aca="false">IF(AND(ISNUMBER(DX41),ISNUMBER(DX42),DX39&lt;&gt;""),ROUND(DX41-DX39+DX40,1),"")</f>
        <v/>
      </c>
      <c r="DY44" s="50" t="str">
        <f aca="false">IF(AND(ISNUMBER(DY41),ISNUMBER(DY42),DY39&lt;&gt;""),ROUND(DY41-DY39+DY40,1),"")</f>
        <v/>
      </c>
      <c r="DZ44" s="50" t="str">
        <f aca="false">IF(AND(ISNUMBER(DZ41),ISNUMBER(DZ42),DZ39&lt;&gt;""),ROUND(DZ41-DZ39+DZ40,1),"")</f>
        <v/>
      </c>
      <c r="EA44" s="50" t="str">
        <f aca="false">IF(AND(ISNUMBER(EA41),ISNUMBER(EA42),EA39&lt;&gt;""),ROUND(EA41-EA39+EA40,1),"")</f>
        <v/>
      </c>
      <c r="EB44" s="50" t="n">
        <f aca="false">IF(AND(ISNUMBER(EB41),ISNUMBER(EB42),EB39&lt;&gt;""),ROUND(EB41-EB39+EB40,1),"")</f>
        <v>-15</v>
      </c>
      <c r="EC44" s="50" t="str">
        <f aca="false">IF(AND(ISNUMBER(EC41),ISNUMBER(EC42),EC39&lt;&gt;""),ROUND(EC41-EC39+EC40,1),"")</f>
        <v/>
      </c>
      <c r="ED44" s="50" t="str">
        <f aca="false">IF(AND(ISNUMBER(ED41),ISNUMBER(ED42),ED39&lt;&gt;""),ROUND(ED41-ED39+ED40,1),"")</f>
        <v/>
      </c>
      <c r="EE44" s="50" t="str">
        <f aca="false">IF(AND(ISNUMBER(EE41),ISNUMBER(EE42),EE39&lt;&gt;""),ROUND(EE41-EE39+EE40,1),"")</f>
        <v/>
      </c>
      <c r="EF44" s="50" t="str">
        <f aca="false">IF(AND(ISNUMBER(EF41),ISNUMBER(EF42),EF39&lt;&gt;""),ROUND(EF41-EF39+EF40,1),"")</f>
        <v/>
      </c>
      <c r="EG44" s="50" t="str">
        <f aca="false">IF(AND(ISNUMBER(EG41),ISNUMBER(EG42),EG39&lt;&gt;""),ROUND(EG41-EG39+EG40,1),"")</f>
        <v/>
      </c>
      <c r="EH44" s="50" t="str">
        <f aca="false">IF(AND(ISNUMBER(EH41),ISNUMBER(EH42),EH39&lt;&gt;""),ROUND(EH41-EH39+EH40,1),"")</f>
        <v/>
      </c>
      <c r="EI44" s="50" t="str">
        <f aca="false">IF(AND(ISNUMBER(EI41),ISNUMBER(EI42),EI39&lt;&gt;""),ROUND(EI41-EI39+EI40,1),"")</f>
        <v/>
      </c>
      <c r="EJ44" s="50" t="n">
        <f aca="false">IF(AND(ISNUMBER(EJ41),ISNUMBER(EJ42),EJ39&lt;&gt;""),ROUND(EJ41-EJ39+EJ40,1),"")</f>
        <v>-15</v>
      </c>
      <c r="EK44" s="50" t="str">
        <f aca="false">IF(AND(ISNUMBER(EK41),ISNUMBER(EK42),EK39&lt;&gt;""),ROUND(EK41-EK39+EK40,1),"")</f>
        <v/>
      </c>
      <c r="EL44" s="50" t="str">
        <f aca="false">IF(AND(ISNUMBER(EL41),ISNUMBER(EL42),EL39&lt;&gt;""),ROUND(EL41-EL39+EL40,1),"")</f>
        <v/>
      </c>
      <c r="EM44" s="50" t="str">
        <f aca="false">IF(AND(ISNUMBER(EM41),ISNUMBER(EM42),EM39&lt;&gt;""),ROUND(EM41-EM39+EM40,1),"")</f>
        <v/>
      </c>
      <c r="EN44" s="50" t="str">
        <f aca="false">IF(AND(ISNUMBER(EN41),ISNUMBER(EN42),EN39&lt;&gt;""),ROUND(EN41-EN39+EN40,1),"")</f>
        <v/>
      </c>
      <c r="EO44" s="50" t="str">
        <f aca="false">IF(AND(ISNUMBER(EO41),ISNUMBER(EO42),EO39&lt;&gt;""),ROUND(EO41-EO39+EO40,1),"")</f>
        <v/>
      </c>
      <c r="EP44" s="50" t="str">
        <f aca="false">IF(AND(ISNUMBER(EP41),ISNUMBER(EP42),EP39&lt;&gt;""),ROUND(EP41-EP39+EP40,1),"")</f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IF(AND(ISNUMBER(ER41),ISNUMBER(ER42),ER39&lt;&gt;""),ROUND(ER41-ER39+ER40,1),"")</f>
        <v/>
      </c>
      <c r="ES44" s="50" t="str">
        <f aca="false">IF(AND(ISNUMBER(ES41),ISNUMBER(ES42),ES39&lt;&gt;""),ROUND(ES41-ES39+ES40,1),"")</f>
        <v/>
      </c>
      <c r="ET44" s="50" t="str">
        <f aca="false">IF(AND(ISNUMBER(ET41),ISNUMBER(ET42),ET39&lt;&gt;""),ROUND(ET41-ET39+ET40,1),"")</f>
        <v/>
      </c>
      <c r="EU44" s="50" t="str">
        <f aca="false">IF(AND(ISNUMBER(EU41),ISNUMBER(EU42),EU39&lt;&gt;""),ROUND(EU41-EU39+EU40,1),"")</f>
        <v/>
      </c>
      <c r="EV44" s="50" t="str">
        <f aca="false">IF(AND(ISNUMBER(EV41),ISNUMBER(EV42),EV39&lt;&gt;""),ROUND(EV41-EV39+EV40,1),"")</f>
        <v/>
      </c>
      <c r="EW44" s="50" t="str">
        <f aca="false">IF(AND(ISNUMBER(EW41),ISNUMBER(EW42),EW39&lt;&gt;""),ROUND(EW41-EW39+EW40,1),"")</f>
        <v/>
      </c>
      <c r="EX44" s="50" t="str">
        <f aca="false">IF(AND(ISNUMBER(EX41),ISNUMBER(EX42),EX39&lt;&gt;""),ROUND(EX41-EX39+EX40,1),"")</f>
        <v/>
      </c>
      <c r="EY44" s="50" t="str">
        <f aca="false">IF(AND(ISNUMBER(EY41),ISNUMBER(EY42),EY39&lt;&gt;""),ROUND(EY41-EY39+EY40,1),"")</f>
        <v/>
      </c>
      <c r="EZ44" s="50" t="str">
        <f aca="false">IF(AND(ISNUMBER(EZ41),ISNUMBER(EZ42),EZ39&lt;&gt;""),ROUND(EZ41-EZ39+EZ40,1),"")</f>
        <v/>
      </c>
      <c r="FA44" s="50" t="str">
        <f aca="false">IF(AND(ISNUMBER(FA41),ISNUMBER(FA42),FA39&lt;&gt;""),ROUND(FA41-FA39+FA40,1),"")</f>
        <v/>
      </c>
      <c r="FB44" s="50" t="str">
        <f aca="false">IF(AND(ISNUMBER(FB41),ISNUMBER(FB42),FB39&lt;&gt;""),ROUND(FB41-FB39+FB40,1),"")</f>
        <v/>
      </c>
      <c r="FC44" s="50" t="str">
        <f aca="false">IF(AND(ISNUMBER(FC41),ISNUMBER(FC42),FC39&lt;&gt;""),ROUND(FC41-FC39+FC40,1),"")</f>
        <v/>
      </c>
      <c r="FD44" s="50" t="str">
        <f aca="false">IF(AND(ISNUMBER(FD41),ISNUMBER(FD42),FD39&lt;&gt;""),ROUND(FD41-FD39+FD40,1),"")</f>
        <v/>
      </c>
      <c r="FE44" s="50" t="str">
        <f aca="false">IF(AND(ISNUMBER(FE41),ISNUMBER(FE42),FE39&lt;&gt;""),ROUND(FE41-FE39+FE40,1),"")</f>
        <v/>
      </c>
      <c r="FF44" s="50" t="str">
        <f aca="false">IF(AND(ISNUMBER(FF41),ISNUMBER(FF42),FF39&lt;&gt;""),ROUND(FF41-FF39+FF40,1),"")</f>
        <v/>
      </c>
      <c r="FG44" s="50" t="str">
        <f aca="false">IF(AND(ISNUMBER(FG41),ISNUMBER(FG42),FG39&lt;&gt;""),ROUND(FG41-FG39+FG40,1),"")</f>
        <v/>
      </c>
      <c r="FH44" s="50" t="str">
        <f aca="false">IF(AND(ISNUMBER(FH41),ISNUMBER(FH42),FH39&lt;&gt;""),ROUND(FH41-FH39+FH40,1),"")</f>
        <v/>
      </c>
      <c r="FI44" s="50" t="str">
        <f aca="false">IF(AND(ISNUMBER(FI41),ISNUMBER(FI42),FI39&lt;&gt;""),ROUND(FI41-FI39+FI40,1),"")</f>
        <v/>
      </c>
      <c r="FJ44" s="50" t="str">
        <f aca="false">IF(AND(ISNUMBER(FJ41),ISNUMBER(FJ42),FJ39&lt;&gt;""),ROUND(FJ41-FJ39+FJ40,1),"")</f>
        <v/>
      </c>
      <c r="FK44" s="50" t="str">
        <f aca="false">IF(AND(ISNUMBER(FK41),ISNUMBER(FK42),FK39&lt;&gt;""),ROUND(FK41-FK39+FK40,1),"")</f>
        <v/>
      </c>
      <c r="FL44" s="50" t="str">
        <f aca="false">IF(AND(ISNUMBER(FL41),ISNUMBER(FL42),FL39&lt;&gt;""),ROUND(FL41-FL39+FL40,1),"")</f>
        <v/>
      </c>
      <c r="FM44" s="50" t="str">
        <f aca="false">IF(AND(ISNUMBER(FM41),ISNUMBER(FM42),FM39&lt;&gt;""),ROUND(FM41-FM39+FM40,1),"")</f>
        <v/>
      </c>
      <c r="FN44" s="50" t="str">
        <f aca="false">IF(AND(ISNUMBER(FN41),ISNUMBER(FN42),FN39&lt;&gt;""),ROUND(FN41-FN39+FN40,1),"")</f>
        <v/>
      </c>
      <c r="FO44" s="50" t="str">
        <f aca="false">IF(AND(ISNUMBER(FO41),ISNUMBER(FO42),FO39&lt;&gt;""),ROUND(FO41-FO39+FO40,1),"")</f>
        <v/>
      </c>
      <c r="FP44" s="50" t="str">
        <f aca="false">IF(AND(ISNUMBER(FP41),ISNUMBER(FP42),FP39&lt;&gt;""),ROUND(FP41-FP39+FP40,1),"")</f>
        <v/>
      </c>
      <c r="FQ44" s="50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74</v>
      </c>
      <c r="B45" s="20" t="s">
        <v>402</v>
      </c>
      <c r="D45" s="50" t="str">
        <f aca="false">IF(AND(ISNUMBER(D41),ISNUMBER(D42),D39&lt;&gt;""),ROUND(D42-D39+D40,1),"")</f>
        <v/>
      </c>
      <c r="E45" s="50" t="str">
        <f aca="false">IF(AND(ISNUMBER(E41),ISNUMBER(E42),E39&lt;&gt;""),ROUND(E42-E39+E40,1),"")</f>
        <v/>
      </c>
      <c r="F45" s="50" t="str">
        <f aca="false">IF(AND(ISNUMBER(F41),ISNUMBER(F42),F39&lt;&gt;""),ROUND(F42-F39+F40,1),"")</f>
        <v/>
      </c>
      <c r="G45" s="50" t="str">
        <f aca="false">IF(AND(ISNUMBER(G41),ISNUMBER(G42),G39&lt;&gt;""),ROUND(G42-G39+G40,1),"")</f>
        <v/>
      </c>
      <c r="H45" s="50" t="str">
        <f aca="false">IF(AND(ISNUMBER(H41),ISNUMBER(H42),H39&lt;&gt;""),ROUND(H42-H39+H40,1),"")</f>
        <v/>
      </c>
      <c r="I45" s="50" t="str">
        <f aca="false">IF(AND(ISNUMBER(I41),ISNUMBER(I42),I39&lt;&gt;""),ROUND(I42-I39+I40,1),"")</f>
        <v/>
      </c>
      <c r="J45" s="50" t="str">
        <f aca="false">IF(AND(ISNUMBER(J41),ISNUMBER(J42),J39&lt;&gt;""),ROUND(J42-J39+J40,1),"")</f>
        <v/>
      </c>
      <c r="K45" s="50" t="str">
        <f aca="false">IF(AND(ISNUMBER(K41),ISNUMBER(K42),K39&lt;&gt;""),ROUND(K42-K39+K40,1),"")</f>
        <v/>
      </c>
      <c r="L45" s="50" t="str">
        <f aca="false">IF(AND(ISNUMBER(L41),ISNUMBER(L42),L39&lt;&gt;""),ROUND(L42-L39+L40,1),"")</f>
        <v/>
      </c>
      <c r="M45" s="50" t="str">
        <f aca="false">IF(AND(ISNUMBER(M41),ISNUMBER(M42),M39&lt;&gt;""),ROUND(M42-M39+M40,1),"")</f>
        <v/>
      </c>
      <c r="N45" s="50" t="str">
        <f aca="false">IF(AND(ISNUMBER(N41),ISNUMBER(N42),N39&lt;&gt;""),ROUND(N42-N39+N40,1),"")</f>
        <v/>
      </c>
      <c r="O45" s="50" t="str">
        <f aca="false">IF(AND(ISNUMBER(O41),ISNUMBER(O42),O39&lt;&gt;""),ROUND(O42-O39+O40,1),"")</f>
        <v/>
      </c>
      <c r="P45" s="50" t="str">
        <f aca="false">IF(AND(ISNUMBER(P41),ISNUMBER(P42),P39&lt;&gt;""),ROUND(P42-P39+P40,1),"")</f>
        <v/>
      </c>
      <c r="Q45" s="50" t="str">
        <f aca="false">IF(AND(ISNUMBER(Q41),ISNUMBER(Q42),Q39&lt;&gt;""),ROUND(Q42-Q39+Q40,1),"")</f>
        <v/>
      </c>
      <c r="R45" s="50" t="str">
        <f aca="false">IF(AND(ISNUMBER(R41),ISNUMBER(R42),R39&lt;&gt;""),ROUND(R42-R39+R40,1),"")</f>
        <v/>
      </c>
      <c r="S45" s="50" t="str">
        <f aca="false">IF(AND(ISNUMBER(S41),ISNUMBER(S42),S39&lt;&gt;""),ROUND(S42-S39+S40,1),"")</f>
        <v/>
      </c>
      <c r="T45" s="50" t="str">
        <f aca="false">IF(AND(ISNUMBER(T41),ISNUMBER(T42),T39&lt;&gt;""),ROUND(T42-T39+T40,1),"")</f>
        <v/>
      </c>
      <c r="U45" s="50" t="str">
        <f aca="false">IF(AND(ISNUMBER(U41),ISNUMBER(U42),U39&lt;&gt;""),ROUND(U42-U39+U40,1),"")</f>
        <v/>
      </c>
      <c r="V45" s="50" t="str">
        <f aca="false">IF(AND(ISNUMBER(V41),ISNUMBER(V42),V39&lt;&gt;""),ROUND(V42-V39+V40,1),"")</f>
        <v/>
      </c>
      <c r="W45" s="50" t="str">
        <f aca="false">IF(AND(ISNUMBER(W41),ISNUMBER(W42),W39&lt;&gt;""),ROUND(W42-W39+W40,1),"")</f>
        <v/>
      </c>
      <c r="X45" s="50" t="str">
        <f aca="false">IF(AND(ISNUMBER(X41),ISNUMBER(X42),X39&lt;&gt;""),ROUND(X42-X39+X40,1),"")</f>
        <v/>
      </c>
      <c r="Y45" s="50" t="str">
        <f aca="false">IF(AND(ISNUMBER(Y41),ISNUMBER(Y42),Y39&lt;&gt;""),ROUND(Y42-Y39+Y40,1),"")</f>
        <v/>
      </c>
      <c r="Z45" s="50" t="str">
        <f aca="false">IF(AND(ISNUMBER(Z41),ISNUMBER(Z42),Z39&lt;&gt;""),ROUND(Z42-Z39+Z40,1),"")</f>
        <v/>
      </c>
      <c r="AA45" s="50" t="str">
        <f aca="false">IF(AND(ISNUMBER(AA41),ISNUMBER(AA42),AA39&lt;&gt;""),ROUND(AA42-AA39+AA40,1),"")</f>
        <v/>
      </c>
      <c r="AB45" s="50" t="str">
        <f aca="false">IF(AND(ISNUMBER(AB41),ISNUMBER(AB42),AB39&lt;&gt;""),ROUND(AB42-AB39+AB40,1),"")</f>
        <v/>
      </c>
      <c r="AC45" s="50" t="str">
        <f aca="false">IF(AND(ISNUMBER(AC41),ISNUMBER(AC42),AC39&lt;&gt;""),ROUND(AC42-AC39+AC40,1),"")</f>
        <v/>
      </c>
      <c r="AD45" s="50" t="str">
        <f aca="false">IF(AND(ISNUMBER(AD41),ISNUMBER(AD42),AD39&lt;&gt;""),ROUND(AD42-AD39+AD40,1),"")</f>
        <v/>
      </c>
      <c r="AE45" s="50" t="str">
        <f aca="false">IF(AND(ISNUMBER(AE41),ISNUMBER(AE42),AE39&lt;&gt;""),ROUND(AE42-AE39+AE40,1),"")</f>
        <v/>
      </c>
      <c r="AF45" s="50" t="str">
        <f aca="false">IF(AND(ISNUMBER(AF41),ISNUMBER(AF42),AF39&lt;&gt;""),ROUND(AF42-AF39+AF40,1),"")</f>
        <v/>
      </c>
      <c r="AG45" s="50" t="str">
        <f aca="false">IF(AND(ISNUMBER(AG41),ISNUMBER(AG42),AG39&lt;&gt;""),ROUND(AG42-AG39+AG40,1),"")</f>
        <v/>
      </c>
      <c r="AH45" s="50" t="str">
        <f aca="false">IF(AND(ISNUMBER(AH41),ISNUMBER(AH42),AH39&lt;&gt;""),ROUND(AH42-AH39+AH40,1),"")</f>
        <v/>
      </c>
      <c r="AI45" s="50" t="str">
        <f aca="false">IF(AND(ISNUMBER(AI41),ISNUMBER(AI42),AI39&lt;&gt;""),ROUND(AI42-AI39+AI40,1),"")</f>
        <v/>
      </c>
      <c r="AJ45" s="50" t="str">
        <f aca="false">IF(AND(ISNUMBER(AJ41),ISNUMBER(AJ42),AJ39&lt;&gt;""),ROUND(AJ42-AJ39+AJ40,1),"")</f>
        <v/>
      </c>
      <c r="AK45" s="50" t="str">
        <f aca="false">IF(AND(ISNUMBER(AK41),ISNUMBER(AK42),AK39&lt;&gt;""),ROUND(AK42-AK39+AK40,1),"")</f>
        <v/>
      </c>
      <c r="AL45" s="50" t="str">
        <f aca="false">IF(AND(ISNUMBER(AL41),ISNUMBER(AL42),AL39&lt;&gt;""),ROUND(AL42-AL39+AL40,1),"")</f>
        <v/>
      </c>
      <c r="AM45" s="50" t="str">
        <f aca="false">IF(AND(ISNUMBER(AM41),ISNUMBER(AM42),AM39&lt;&gt;""),ROUND(AM42-AM39+AM40,1),"")</f>
        <v/>
      </c>
      <c r="AN45" s="50" t="str">
        <f aca="false">IF(AND(ISNUMBER(AN41),ISNUMBER(AN42),AN39&lt;&gt;""),ROUND(AN42-AN39+AN40,1),"")</f>
        <v/>
      </c>
      <c r="AO45" s="50" t="str">
        <f aca="false">IF(AND(ISNUMBER(AO41),ISNUMBER(AO42),AO39&lt;&gt;""),ROUND(AO42-AO39+AO40,1),"")</f>
        <v/>
      </c>
      <c r="AP45" s="50" t="str">
        <f aca="false">IF(AND(ISNUMBER(AP41),ISNUMBER(AP42),AP39&lt;&gt;""),ROUND(AP42-AP39+AP40,1),"")</f>
        <v/>
      </c>
      <c r="AQ45" s="50" t="str">
        <f aca="false">IF(AND(ISNUMBER(AQ41),ISNUMBER(AQ42),AQ39&lt;&gt;""),ROUND(AQ42-AQ39+AQ40,1),"")</f>
        <v/>
      </c>
      <c r="AR45" s="50" t="str">
        <f aca="false">IF(AND(ISNUMBER(AR41),ISNUMBER(AR42),AR39&lt;&gt;""),ROUND(AR42-AR39+AR40,1),"")</f>
        <v/>
      </c>
      <c r="AS45" s="50" t="str">
        <f aca="false">IF(AND(ISNUMBER(AS41),ISNUMBER(AS42),AS39&lt;&gt;""),ROUND(AS42-AS39+AS40,1),"")</f>
        <v/>
      </c>
      <c r="AT45" s="50" t="str">
        <f aca="false">IF(AND(ISNUMBER(AT41),ISNUMBER(AT42),AT39&lt;&gt;""),ROUND(AT42-AT39+AT40,1),"")</f>
        <v/>
      </c>
      <c r="AU45" s="50" t="str">
        <f aca="false">IF(AND(ISNUMBER(AU41),ISNUMBER(AU42),AU39&lt;&gt;""),ROUND(AU42-AU39+AU40,1),"")</f>
        <v/>
      </c>
      <c r="AV45" s="50" t="str">
        <f aca="false">IF(AND(ISNUMBER(AV41),ISNUMBER(AV42),AV39&lt;&gt;""),ROUND(AV42-AV39+AV40,1),"")</f>
        <v/>
      </c>
      <c r="AW45" s="50" t="str">
        <f aca="false">IF(AND(ISNUMBER(AW41),ISNUMBER(AW42),AW39&lt;&gt;""),ROUND(AW42-AW39+AW40,1),"")</f>
        <v/>
      </c>
      <c r="AX45" s="50" t="str">
        <f aca="false">IF(AND(ISNUMBER(AX41),ISNUMBER(AX42),AX39&lt;&gt;""),ROUND(AX42-AX39+AX40,1),"")</f>
        <v/>
      </c>
      <c r="AY45" s="50" t="str">
        <f aca="false">IF(AND(ISNUMBER(AY41),ISNUMBER(AY42),AY39&lt;&gt;""),ROUND(AY42-AY39+AY40,1),"")</f>
        <v/>
      </c>
      <c r="AZ45" s="50" t="str">
        <f aca="false">IF(AND(ISNUMBER(AZ41),ISNUMBER(AZ42),AZ39&lt;&gt;""),ROUND(AZ42-AZ39+AZ40,1),"")</f>
        <v/>
      </c>
      <c r="BA45" s="50" t="str">
        <f aca="false">IF(AND(ISNUMBER(BA41),ISNUMBER(BA42),BA39&lt;&gt;""),ROUND(BA42-BA39+BA40,1),"")</f>
        <v/>
      </c>
      <c r="BB45" s="50" t="str">
        <f aca="false">IF(AND(ISNUMBER(BB41),ISNUMBER(BB42),BB39&lt;&gt;""),ROUND(BB42-BB39+BB40,1),"")</f>
        <v/>
      </c>
      <c r="BC45" s="50" t="str">
        <f aca="false">IF(AND(ISNUMBER(BC41),ISNUMBER(BC42),BC39&lt;&gt;""),ROUND(BC42-BC39+BC40,1),"")</f>
        <v/>
      </c>
      <c r="BD45" s="50" t="str">
        <f aca="false">IF(AND(ISNUMBER(BD41),ISNUMBER(BD42),BD39&lt;&gt;""),ROUND(BD42-BD39+BD40,1),"")</f>
        <v/>
      </c>
      <c r="BE45" s="50" t="n">
        <f aca="false">IF(AND(ISNUMBER(BE41),ISNUMBER(BE42),BE39&lt;&gt;""),ROUND(BE42-BE39+BE40,1),"")</f>
        <v>1.5</v>
      </c>
      <c r="BF45" s="50" t="str">
        <f aca="false">IF(AND(ISNUMBER(BF41),ISNUMBER(BF42),BF39&lt;&gt;""),ROUND(BF42-BF39+BF40,1),"")</f>
        <v/>
      </c>
      <c r="BG45" s="50" t="n">
        <f aca="false">IF(AND(ISNUMBER(BG41),ISNUMBER(BG42),BG39&lt;&gt;""),ROUND(BG42-BG39+BG40,1),"")</f>
        <v>3.5</v>
      </c>
      <c r="BH45" s="50" t="str">
        <f aca="false">IF(AND(ISNUMBER(BH41),ISNUMBER(BH42),BH39&lt;&gt;""),ROUND(BH42-BH39+BH40,1),"")</f>
        <v/>
      </c>
      <c r="BI45" s="50" t="str">
        <f aca="false">IF(AND(ISNUMBER(BI41),ISNUMBER(BI42),BI39&lt;&gt;""),ROUND(BI42-BI39+BI40,1),"")</f>
        <v/>
      </c>
      <c r="BJ45" s="50" t="str">
        <f aca="false">IF(AND(ISNUMBER(BJ41),ISNUMBER(BJ42),BJ39&lt;&gt;""),ROUND(BJ42-BJ39+BJ40,1),"")</f>
        <v/>
      </c>
      <c r="BK45" s="50" t="n">
        <f aca="false">IF(AND(ISNUMBER(BK41),ISNUMBER(BK42),BK39&lt;&gt;""),ROUND(BK42-BK39+BK40,1),"")</f>
        <v>3.4</v>
      </c>
      <c r="BL45" s="50" t="str">
        <f aca="false">IF(AND(ISNUMBER(BL41),ISNUMBER(BL42),BL39&lt;&gt;""),ROUND(BL42-BL39+BL40,1),"")</f>
        <v/>
      </c>
      <c r="BM45" s="50" t="str">
        <f aca="false">IF(AND(ISNUMBER(BM41),ISNUMBER(BM42),BM39&lt;&gt;""),ROUND(BM42-BM39+BM40,1),"")</f>
        <v/>
      </c>
      <c r="BN45" s="50" t="str">
        <f aca="false">IF(AND(ISNUMBER(BN41),ISNUMBER(BN42),BN39&lt;&gt;""),ROUND(BN42-BN39+BN40,1),"")</f>
        <v/>
      </c>
      <c r="BO45" s="50" t="str">
        <f aca="false">IF(AND(ISNUMBER(BO41),ISNUMBER(BO42),BO39&lt;&gt;""),ROUND(BO42-BO39+BO40,1),"")</f>
        <v/>
      </c>
      <c r="BP45" s="50" t="n">
        <f aca="false">IF(AND(ISNUMBER(BP41),ISNUMBER(BP42),BP39&lt;&gt;""),ROUND(BP42-BP39+BP40,1),"")</f>
        <v>3</v>
      </c>
      <c r="BQ45" s="50" t="str">
        <f aca="false">IF(AND(ISNUMBER(BQ41),ISNUMBER(BQ42),BQ39&lt;&gt;""),ROUND(BQ42-BQ39+BQ40,1),"")</f>
        <v/>
      </c>
      <c r="BR45" s="50" t="str">
        <f aca="false">IF(AND(ISNUMBER(BR41),ISNUMBER(BR42),BR39&lt;&gt;""),ROUND(BR42-BR39+BR40,1),"")</f>
        <v/>
      </c>
      <c r="BS45" s="50" t="str">
        <f aca="false">IF(AND(ISNUMBER(BS41),ISNUMBER(BS42),BS39&lt;&gt;""),ROUND(BS42-BS39+BS40,1),"")</f>
        <v/>
      </c>
      <c r="BT45" s="50" t="str">
        <f aca="false">IF(AND(ISNUMBER(BT41),ISNUMBER(BT42),BT39&lt;&gt;""),ROUND(BT42-BT39+BT40,1),"")</f>
        <v/>
      </c>
      <c r="BU45" s="50" t="str">
        <f aca="false">IF(AND(ISNUMBER(BU41),ISNUMBER(BU42),BU39&lt;&gt;""),ROUND(BU42-BU39+BU40,1),"")</f>
        <v/>
      </c>
      <c r="BV45" s="50" t="str">
        <f aca="false">IF(AND(ISNUMBER(BV41),ISNUMBER(BV42),BV39&lt;&gt;""),ROUND(BV42-BV39+BV40,1),"")</f>
        <v/>
      </c>
      <c r="BW45" s="50" t="n">
        <f aca="false">IF(AND(ISNUMBER(BW41),ISNUMBER(BW42),BW39&lt;&gt;""),ROUND(BW42-BW39+BW40,1),"")</f>
        <v>2.5</v>
      </c>
      <c r="BX45" s="50" t="str">
        <f aca="false">IF(AND(ISNUMBER(BX41),ISNUMBER(BX42),BX39&lt;&gt;""),ROUND(BX42-BX39+BX40,1),"")</f>
        <v/>
      </c>
      <c r="BY45" s="50" t="str">
        <f aca="false">IF(AND(ISNUMBER(BY41),ISNUMBER(BY42),BY39&lt;&gt;""),ROUND(BY42-BY39+BY40,1),"")</f>
        <v/>
      </c>
      <c r="BZ45" s="50" t="str">
        <f aca="false">IF(AND(ISNUMBER(BZ41),ISNUMBER(BZ42),BZ39&lt;&gt;""),ROUND(BZ42-BZ39+BZ40,1),"")</f>
        <v/>
      </c>
      <c r="CA45" s="50" t="str">
        <f aca="false">IF(AND(ISNUMBER(CA41),ISNUMBER(CA42),CA39&lt;&gt;""),ROUND(CA42-CA39+CA40,1),"")</f>
        <v/>
      </c>
      <c r="CB45" s="50" t="str">
        <f aca="false">IF(AND(ISNUMBER(CB41),ISNUMBER(CB42),CB39&lt;&gt;""),ROUND(CB42-CB39+CB40,1),"")</f>
        <v/>
      </c>
      <c r="CC45" s="50" t="str">
        <f aca="false">IF(AND(ISNUMBER(CC41),ISNUMBER(CC42),CC39&lt;&gt;""),ROUND(CC42-CC39+CC40,1),"")</f>
        <v/>
      </c>
      <c r="CD45" s="50" t="n">
        <f aca="false">IF(AND(ISNUMBER(CD41),ISNUMBER(CD42),CD39&lt;&gt;""),ROUND(CD42-CD39+CD40,1),"")</f>
        <v>2.3</v>
      </c>
      <c r="CE45" s="50" t="str">
        <f aca="false">IF(AND(ISNUMBER(CE41),ISNUMBER(CE42),CE39&lt;&gt;""),ROUND(CE42-CE39+CE40,1),"")</f>
        <v/>
      </c>
      <c r="CF45" s="50" t="str">
        <f aca="false">IF(AND(ISNUMBER(CF41),ISNUMBER(CF42),CF39&lt;&gt;""),ROUND(CF42-CF39+CF40,1),"")</f>
        <v/>
      </c>
      <c r="CG45" s="50" t="str">
        <f aca="false">IF(AND(ISNUMBER(CG41),ISNUMBER(CG42),CG39&lt;&gt;""),ROUND(CG42-CG39+CG40,1),"")</f>
        <v/>
      </c>
      <c r="CH45" s="50" t="n">
        <f aca="false">IF(AND(ISNUMBER(CH41),ISNUMBER(CH42),CH39&lt;&gt;""),ROUND(CH42-CH39+CH40,1),"")</f>
        <v>4</v>
      </c>
      <c r="CI45" s="50" t="str">
        <f aca="false">IF(AND(ISNUMBER(CI41),ISNUMBER(CI42),CI39&lt;&gt;""),ROUND(CI42-CI39+CI40,1),"")</f>
        <v/>
      </c>
      <c r="CJ45" s="50" t="str">
        <f aca="false">IF(AND(ISNUMBER(CJ41),ISNUMBER(CJ42),CJ39&lt;&gt;""),ROUND(CJ42-CJ39+CJ40,1),"")</f>
        <v/>
      </c>
      <c r="CK45" s="50" t="str">
        <f aca="false">IF(AND(ISNUMBER(CK41),ISNUMBER(CK42),CK39&lt;&gt;""),ROUND(CK42-CK39+CK40,1),"")</f>
        <v/>
      </c>
      <c r="CL45" s="50" t="str">
        <f aca="false">IF(AND(ISNUMBER(CL41),ISNUMBER(CL42),CL39&lt;&gt;""),ROUND(CL42-CL39+CL40,1),"")</f>
        <v/>
      </c>
      <c r="CM45" s="50" t="str">
        <f aca="false">IF(AND(ISNUMBER(CM41),ISNUMBER(CM42),CM39&lt;&gt;""),ROUND(CM42-CM39+CM40,1),"")</f>
        <v/>
      </c>
      <c r="CN45" s="50" t="str">
        <f aca="false">IF(AND(ISNUMBER(CN41),ISNUMBER(CN42),CN39&lt;&gt;""),ROUND(CN42-CN39+CN40,1),"")</f>
        <v/>
      </c>
      <c r="CO45" s="50" t="str">
        <f aca="false">IF(AND(ISNUMBER(CO41),ISNUMBER(CO42),CO39&lt;&gt;""),ROUND(CO42-CO39+CO40,1),"")</f>
        <v/>
      </c>
      <c r="CP45" s="50" t="str">
        <f aca="false">IF(AND(ISNUMBER(CP41),ISNUMBER(CP42),CP39&lt;&gt;""),ROUND(CP42-CP39+CP40,1),"")</f>
        <v/>
      </c>
      <c r="CQ45" s="50" t="str">
        <f aca="false">IF(AND(ISNUMBER(CQ41),ISNUMBER(CQ42),CQ39&lt;&gt;""),ROUND(CQ42-CQ39+CQ40,1),"")</f>
        <v/>
      </c>
      <c r="CR45" s="50" t="str">
        <f aca="false">IF(AND(ISNUMBER(CR41),ISNUMBER(CR42),CR39&lt;&gt;""),ROUND(CR42-CR39+CR40,1),"")</f>
        <v/>
      </c>
      <c r="CS45" s="50" t="str">
        <f aca="false">IF(AND(ISNUMBER(CS41),ISNUMBER(CS42),CS39&lt;&gt;""),ROUND(CS42-CS39+CS40,1),"")</f>
        <v/>
      </c>
      <c r="CT45" s="50" t="str">
        <f aca="false">IF(AND(ISNUMBER(CT41),ISNUMBER(CT42),CT39&lt;&gt;""),ROUND(CT42-CT39+CT40,1),"")</f>
        <v/>
      </c>
      <c r="CU45" s="50" t="str">
        <f aca="false">IF(AND(ISNUMBER(CU41),ISNUMBER(CU42),CU39&lt;&gt;""),ROUND(CU42-CU39+CU40,1),"")</f>
        <v/>
      </c>
      <c r="CV45" s="50" t="str">
        <f aca="false">IF(AND(ISNUMBER(CV41),ISNUMBER(CV42),CV39&lt;&gt;""),ROUND(CV42-CV39+CV40,1),"")</f>
        <v/>
      </c>
      <c r="CW45" s="50" t="n">
        <f aca="false">IF(AND(ISNUMBER(CW41),ISNUMBER(CW42),CW39&lt;&gt;""),ROUND(CW42-CW39+CW40,1),"")</f>
        <v>1.5</v>
      </c>
      <c r="CX45" s="50" t="str">
        <f aca="false">IF(AND(ISNUMBER(CX41),ISNUMBER(CX42),CX39&lt;&gt;""),ROUND(CX42-CX39+CX40,1),"")</f>
        <v/>
      </c>
      <c r="CY45" s="50" t="str">
        <f aca="false">IF(AND(ISNUMBER(CY41),ISNUMBER(CY42),CY39&lt;&gt;""),ROUND(CY42-CY39+CY40,1),"")</f>
        <v/>
      </c>
      <c r="CZ45" s="50" t="n">
        <f aca="false">IF(AND(ISNUMBER(CZ41),ISNUMBER(CZ42),CZ39&lt;&gt;""),ROUND(CZ42-CZ39+CZ40,1),"")</f>
        <v>2</v>
      </c>
      <c r="DA45" s="50" t="str">
        <f aca="false">IF(AND(ISNUMBER(DA41),ISNUMBER(DA42),DA39&lt;&gt;""),ROUND(DA42-DA39+DA40,1),"")</f>
        <v/>
      </c>
      <c r="DB45" s="50" t="str">
        <f aca="false">IF(AND(ISNUMBER(DB41),ISNUMBER(DB42),DB39&lt;&gt;""),ROUND(DB42-DB39+DB40,1),"")</f>
        <v/>
      </c>
      <c r="DC45" s="50" t="n">
        <f aca="false">IF(AND(ISNUMBER(DC41),ISNUMBER(DC42),DC39&lt;&gt;""),ROUND(DC42-DC39+DC40,1),"")</f>
        <v>2.7</v>
      </c>
      <c r="DD45" s="50" t="str">
        <f aca="false">IF(AND(ISNUMBER(DD41),ISNUMBER(DD42),DD39&lt;&gt;""),ROUND(DD42-DD39+DD40,1),"")</f>
        <v/>
      </c>
      <c r="DE45" s="50" t="str">
        <f aca="false">IF(AND(ISNUMBER(DE41),ISNUMBER(DE42),DE39&lt;&gt;""),ROUND(DE42-DE39+DE40,1),"")</f>
        <v/>
      </c>
      <c r="DF45" s="50" t="str">
        <f aca="false">IF(AND(ISNUMBER(DF41),ISNUMBER(DF42),DF39&lt;&gt;""),ROUND(DF42-DF39+DF40,1),"")</f>
        <v/>
      </c>
      <c r="DG45" s="50" t="n">
        <f aca="false">IF(AND(ISNUMBER(DG41),ISNUMBER(DG42),DG39&lt;&gt;""),ROUND(DG42-DG39+DG40,1),"")</f>
        <v>1.3</v>
      </c>
      <c r="DH45" s="50" t="str">
        <f aca="false">IF(AND(ISNUMBER(DH41),ISNUMBER(DH42),DH39&lt;&gt;""),ROUND(DH42-DH39+DH40,1),"")</f>
        <v/>
      </c>
      <c r="DI45" s="50" t="str">
        <f aca="false">IF(AND(ISNUMBER(DI41),ISNUMBER(DI42),DI39&lt;&gt;""),ROUND(DI42-DI39+DI40,1),"")</f>
        <v/>
      </c>
      <c r="DJ45" s="50" t="str">
        <f aca="false">IF(AND(ISNUMBER(DJ41),ISNUMBER(DJ42),DJ39&lt;&gt;""),ROUND(DJ42-DJ39+DJ40,1),"")</f>
        <v/>
      </c>
      <c r="DK45" s="50" t="str">
        <f aca="false">IF(AND(ISNUMBER(DK41),ISNUMBER(DK42),DK39&lt;&gt;""),ROUND(DK42-DK39+DK40,1),"")</f>
        <v/>
      </c>
      <c r="DL45" s="50" t="str">
        <f aca="false">IF(AND(ISNUMBER(DL41),ISNUMBER(DL42),DL39&lt;&gt;""),ROUND(DL42-DL39+DL40,1),"")</f>
        <v/>
      </c>
      <c r="DM45" s="50" t="str">
        <f aca="false">IF(AND(ISNUMBER(DM41),ISNUMBER(DM42),DM39&lt;&gt;""),ROUND(DM42-DM39+DM40,1),"")</f>
        <v/>
      </c>
      <c r="DN45" s="50" t="n">
        <f aca="false">IF(AND(ISNUMBER(DN41),ISNUMBER(DN42),DN39&lt;&gt;""),ROUND(DN42-DN39+DN40,1),"")</f>
        <v>1.5</v>
      </c>
      <c r="DO45" s="50" t="str">
        <f aca="false">IF(AND(ISNUMBER(DO41),ISNUMBER(DO42),DO39&lt;&gt;""),ROUND(DO42-DO39+DO40,1),"")</f>
        <v/>
      </c>
      <c r="DP45" s="50" t="str">
        <f aca="false">IF(AND(ISNUMBER(DP41),ISNUMBER(DP42),DP39&lt;&gt;""),ROUND(DP42-DP39+DP40,1),"")</f>
        <v/>
      </c>
      <c r="DQ45" s="50" t="str">
        <f aca="false">IF(AND(ISNUMBER(DQ41),ISNUMBER(DQ42),DQ39&lt;&gt;""),ROUND(DQ42-DQ39+DQ40,1),"")</f>
        <v/>
      </c>
      <c r="DR45" s="50" t="str">
        <f aca="false">IF(AND(ISNUMBER(DR41),ISNUMBER(DR42),DR39&lt;&gt;""),ROUND(DR42-DR39+DR40,1),"")</f>
        <v/>
      </c>
      <c r="DS45" s="50" t="str">
        <f aca="false">IF(AND(ISNUMBER(DS41),ISNUMBER(DS42),DS39&lt;&gt;""),ROUND(DS42-DS39+DS40,1),"")</f>
        <v/>
      </c>
      <c r="DT45" s="50" t="str">
        <f aca="false">IF(AND(ISNUMBER(DT41),ISNUMBER(DT42),DT39&lt;&gt;""),ROUND(DT42-DT39+DT40,1),"")</f>
        <v/>
      </c>
      <c r="DU45" s="50" t="n">
        <f aca="false">IF(AND(ISNUMBER(DU41),ISNUMBER(DU42),DU39&lt;&gt;""),ROUND(DU42-DU39+DU40,1),"")</f>
        <v>2</v>
      </c>
      <c r="DV45" s="50" t="str">
        <f aca="false">IF(AND(ISNUMBER(DV41),ISNUMBER(DV42),DV39&lt;&gt;""),ROUND(DV42-DV39+DV40,1),"")</f>
        <v/>
      </c>
      <c r="DW45" s="50" t="str">
        <f aca="false">IF(AND(ISNUMBER(DW41),ISNUMBER(DW42),DW39&lt;&gt;""),ROUND(DW42-DW39+DW40,1),"")</f>
        <v/>
      </c>
      <c r="DX45" s="50" t="str">
        <f aca="false">IF(AND(ISNUMBER(DX41),ISNUMBER(DX42),DX39&lt;&gt;""),ROUND(DX42-DX39+DX40,1),"")</f>
        <v/>
      </c>
      <c r="DY45" s="50" t="str">
        <f aca="false">IF(AND(ISNUMBER(DY41),ISNUMBER(DY42),DY39&lt;&gt;""),ROUND(DY42-DY39+DY40,1),"")</f>
        <v/>
      </c>
      <c r="DZ45" s="50" t="str">
        <f aca="false">IF(AND(ISNUMBER(DZ41),ISNUMBER(DZ42),DZ39&lt;&gt;""),ROUND(DZ42-DZ39+DZ40,1),"")</f>
        <v/>
      </c>
      <c r="EA45" s="50" t="str">
        <f aca="false">IF(AND(ISNUMBER(EA41),ISNUMBER(EA42),EA39&lt;&gt;""),ROUND(EA42-EA39+EA40,1),"")</f>
        <v/>
      </c>
      <c r="EB45" s="50" t="n">
        <f aca="false">IF(AND(ISNUMBER(EB41),ISNUMBER(EB42),EB39&lt;&gt;""),ROUND(EB42-EB39+EB40,1),"")</f>
        <v>2</v>
      </c>
      <c r="EC45" s="50" t="str">
        <f aca="false">IF(AND(ISNUMBER(EC41),ISNUMBER(EC42),EC39&lt;&gt;""),ROUND(EC42-EC39+EC40,1),"")</f>
        <v/>
      </c>
      <c r="ED45" s="50" t="str">
        <f aca="false">IF(AND(ISNUMBER(ED41),ISNUMBER(ED42),ED39&lt;&gt;""),ROUND(ED42-ED39+ED40,1),"")</f>
        <v/>
      </c>
      <c r="EE45" s="50" t="str">
        <f aca="false">IF(AND(ISNUMBER(EE41),ISNUMBER(EE42),EE39&lt;&gt;""),ROUND(EE42-EE39+EE40,1),"")</f>
        <v/>
      </c>
      <c r="EF45" s="50" t="str">
        <f aca="false">IF(AND(ISNUMBER(EF41),ISNUMBER(EF42),EF39&lt;&gt;""),ROUND(EF42-EF39+EF40,1),"")</f>
        <v/>
      </c>
      <c r="EG45" s="50" t="str">
        <f aca="false">IF(AND(ISNUMBER(EG41),ISNUMBER(EG42),EG39&lt;&gt;""),ROUND(EG42-EG39+EG40,1),"")</f>
        <v/>
      </c>
      <c r="EH45" s="50" t="str">
        <f aca="false">IF(AND(ISNUMBER(EH41),ISNUMBER(EH42),EH39&lt;&gt;""),ROUND(EH42-EH39+EH40,1),"")</f>
        <v/>
      </c>
      <c r="EI45" s="50" t="str">
        <f aca="false">IF(AND(ISNUMBER(EI41),ISNUMBER(EI42),EI39&lt;&gt;""),ROUND(EI42-EI39+EI40,1),"")</f>
        <v/>
      </c>
      <c r="EJ45" s="50" t="n">
        <f aca="false">IF(AND(ISNUMBER(EJ41),ISNUMBER(EJ42),EJ39&lt;&gt;""),ROUND(EJ42-EJ39+EJ40,1),"")</f>
        <v>4.5</v>
      </c>
      <c r="EK45" s="50" t="str">
        <f aca="false">IF(AND(ISNUMBER(EK41),ISNUMBER(EK42),EK39&lt;&gt;""),ROUND(EK42-EK39+EK40,1),"")</f>
        <v/>
      </c>
      <c r="EL45" s="50" t="str">
        <f aca="false">IF(AND(ISNUMBER(EL41),ISNUMBER(EL42),EL39&lt;&gt;""),ROUND(EL42-EL39+EL40,1),"")</f>
        <v/>
      </c>
      <c r="EM45" s="50" t="str">
        <f aca="false">IF(AND(ISNUMBER(EM41),ISNUMBER(EM42),EM39&lt;&gt;""),ROUND(EM42-EM39+EM40,1),"")</f>
        <v/>
      </c>
      <c r="EN45" s="50" t="str">
        <f aca="false">IF(AND(ISNUMBER(EN41),ISNUMBER(EN42),EN39&lt;&gt;""),ROUND(EN42-EN39+EN40,1),"")</f>
        <v/>
      </c>
      <c r="EO45" s="50" t="str">
        <f aca="false">IF(AND(ISNUMBER(EO41),ISNUMBER(EO42),EO39&lt;&gt;""),ROUND(EO42-EO39+EO40,1),"")</f>
        <v/>
      </c>
      <c r="EP45" s="50" t="str">
        <f aca="false">IF(AND(ISNUMBER(EP41),ISNUMBER(EP42),EP39&lt;&gt;""),ROUND(EP42-EP39+EP40,1),"")</f>
        <v/>
      </c>
      <c r="EQ45" s="50" t="str">
        <f aca="false">IF(AND(ISNUMBER(EQ41),ISNUMBER(EQ42),EQ39&lt;&gt;""),ROUND(EQ42-EQ39+EQ40,1),"")</f>
        <v/>
      </c>
      <c r="ER45" s="50" t="str">
        <f aca="false">IF(AND(ISNUMBER(ER41),ISNUMBER(ER42),ER39&lt;&gt;""),ROUND(ER42-ER39+ER40,1),"")</f>
        <v/>
      </c>
      <c r="ES45" s="50" t="str">
        <f aca="false">IF(AND(ISNUMBER(ES41),ISNUMBER(ES42),ES39&lt;&gt;""),ROUND(ES42-ES39+ES40,1),"")</f>
        <v/>
      </c>
      <c r="ET45" s="50" t="str">
        <f aca="false">IF(AND(ISNUMBER(ET41),ISNUMBER(ET42),ET39&lt;&gt;""),ROUND(ET42-ET39+ET40,1),"")</f>
        <v/>
      </c>
      <c r="EU45" s="50" t="str">
        <f aca="false">IF(AND(ISNUMBER(EU41),ISNUMBER(EU42),EU39&lt;&gt;""),ROUND(EU42-EU39+EU40,1),"")</f>
        <v/>
      </c>
      <c r="EV45" s="50" t="str">
        <f aca="false">IF(AND(ISNUMBER(EV41),ISNUMBER(EV42),EV39&lt;&gt;""),ROUND(EV42-EV39+EV40,1),"")</f>
        <v/>
      </c>
      <c r="EW45" s="50" t="str">
        <f aca="false">IF(AND(ISNUMBER(EW41),ISNUMBER(EW42),EW39&lt;&gt;""),ROUND(EW42-EW39+EW40,1),"")</f>
        <v/>
      </c>
      <c r="EX45" s="50" t="str">
        <f aca="false">IF(AND(ISNUMBER(EX41),ISNUMBER(EX42),EX39&lt;&gt;""),ROUND(EX42-EX39+EX40,1),"")</f>
        <v/>
      </c>
      <c r="EY45" s="50" t="str">
        <f aca="false">IF(AND(ISNUMBER(EY41),ISNUMBER(EY42),EY39&lt;&gt;""),ROUND(EY42-EY39+EY40,1),"")</f>
        <v/>
      </c>
      <c r="EZ45" s="50" t="str">
        <f aca="false">IF(AND(ISNUMBER(EZ41),ISNUMBER(EZ42),EZ39&lt;&gt;""),ROUND(EZ42-EZ39+EZ40,1),"")</f>
        <v/>
      </c>
      <c r="FA45" s="50" t="str">
        <f aca="false">IF(AND(ISNUMBER(FA41),ISNUMBER(FA42),FA39&lt;&gt;""),ROUND(FA42-FA39+FA40,1),"")</f>
        <v/>
      </c>
      <c r="FB45" s="50" t="str">
        <f aca="false">IF(AND(ISNUMBER(FB41),ISNUMBER(FB42),FB39&lt;&gt;""),ROUND(FB42-FB39+FB40,1),"")</f>
        <v/>
      </c>
      <c r="FC45" s="50" t="str">
        <f aca="false">IF(AND(ISNUMBER(FC41),ISNUMBER(FC42),FC39&lt;&gt;""),ROUND(FC42-FC39+FC40,1),"")</f>
        <v/>
      </c>
      <c r="FD45" s="50" t="str">
        <f aca="false">IF(AND(ISNUMBER(FD41),ISNUMBER(FD42),FD39&lt;&gt;""),ROUND(FD42-FD39+FD40,1),"")</f>
        <v/>
      </c>
      <c r="FE45" s="50" t="str">
        <f aca="false">IF(AND(ISNUMBER(FE41),ISNUMBER(FE42),FE39&lt;&gt;""),ROUND(FE42-FE39+FE40,1),"")</f>
        <v/>
      </c>
      <c r="FF45" s="50" t="str">
        <f aca="false">IF(AND(ISNUMBER(FF41),ISNUMBER(FF42),FF39&lt;&gt;""),ROUND(FF42-FF39+FF40,1),"")</f>
        <v/>
      </c>
      <c r="FG45" s="50" t="str">
        <f aca="false">IF(AND(ISNUMBER(FG41),ISNUMBER(FG42),FG39&lt;&gt;""),ROUND(FG42-FG39+FG40,1),"")</f>
        <v/>
      </c>
      <c r="FH45" s="50" t="str">
        <f aca="false">IF(AND(ISNUMBER(FH41),ISNUMBER(FH42),FH39&lt;&gt;""),ROUND(FH42-FH39+FH40,1),"")</f>
        <v/>
      </c>
      <c r="FI45" s="50" t="str">
        <f aca="false">IF(AND(ISNUMBER(FI41),ISNUMBER(FI42),FI39&lt;&gt;""),ROUND(FI42-FI39+FI40,1),"")</f>
        <v/>
      </c>
      <c r="FJ45" s="50" t="str">
        <f aca="false">IF(AND(ISNUMBER(FJ41),ISNUMBER(FJ42),FJ39&lt;&gt;""),ROUND(FJ42-FJ39+FJ40,1),"")</f>
        <v/>
      </c>
      <c r="FK45" s="50" t="str">
        <f aca="false">IF(AND(ISNUMBER(FK41),ISNUMBER(FK42),FK39&lt;&gt;""),ROUND(FK42-FK39+FK40,1),"")</f>
        <v/>
      </c>
      <c r="FL45" s="50" t="str">
        <f aca="false">IF(AND(ISNUMBER(FL41),ISNUMBER(FL42),FL39&lt;&gt;""),ROUND(FL42-FL39+FL40,1),"")</f>
        <v/>
      </c>
      <c r="FM45" s="50" t="str">
        <f aca="false">IF(AND(ISNUMBER(FM41),ISNUMBER(FM42),FM39&lt;&gt;""),ROUND(FM42-FM39+FM40,1),"")</f>
        <v/>
      </c>
      <c r="FN45" s="50" t="str">
        <f aca="false">IF(AND(ISNUMBER(FN41),ISNUMBER(FN42),FN39&lt;&gt;""),ROUND(FN42-FN39+FN40,1),"")</f>
        <v/>
      </c>
      <c r="FO45" s="50" t="str">
        <f aca="false">IF(AND(ISNUMBER(FO41),ISNUMBER(FO42),FO39&lt;&gt;""),ROUND(FO42-FO39+FO40,1),"")</f>
        <v/>
      </c>
      <c r="FP45" s="50" t="str">
        <f aca="false">IF(AND(ISNUMBER(FP41),ISNUMBER(FP42),FP39&lt;&gt;""),ROUND(FP42-FP39+FP40,1),"")</f>
        <v/>
      </c>
      <c r="FQ45" s="50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74</v>
      </c>
      <c r="B46" s="20" t="s">
        <v>403</v>
      </c>
      <c r="C46" s="48" t="n">
        <f aca="false">ROUND(SUM($D$46:$FQ$46),0)</f>
        <v>304</v>
      </c>
      <c r="D46" s="50" t="str">
        <f aca="false">IF(AND(ISNUMBER(D37),ISNUMBER(D44),ISNUMBER(D45)),ROUND((D45-MAX(D44,0))*10,1),"")</f>
        <v/>
      </c>
      <c r="E46" s="50" t="str">
        <f aca="false">IF(AND(ISNUMBER(E37),ISNUMBER(E44),ISNUMBER(E45)),ROUND((E45-MAX(E44,0))*10,1),"")</f>
        <v/>
      </c>
      <c r="F46" s="50" t="str">
        <f aca="false">IF(AND(ISNUMBER(F37),ISNUMBER(F44),ISNUMBER(F45)),ROUND((F45-MAX(F44,0))*10,1),"")</f>
        <v/>
      </c>
      <c r="G46" s="50" t="str">
        <f aca="false">IF(AND(ISNUMBER(G37),ISNUMBER(G44),ISNUMBER(G45)),ROUND((G45-MAX(G44,0))*10,1),"")</f>
        <v/>
      </c>
      <c r="H46" s="50" t="str">
        <f aca="false">IF(AND(ISNUMBER(H37),ISNUMBER(H44),ISNUMBER(H45)),ROUND((H45-MAX(H44,0))*10,1),"")</f>
        <v/>
      </c>
      <c r="I46" s="50" t="str">
        <f aca="false">IF(AND(ISNUMBER(I37),ISNUMBER(I44),ISNUMBER(I45)),ROUND((I45-MAX(I44,0))*10,1),"")</f>
        <v/>
      </c>
      <c r="J46" s="50" t="str">
        <f aca="false">IF(AND(ISNUMBER(J37),ISNUMBER(J44),ISNUMBER(J45)),ROUND((J45-MAX(J44,0))*10,1),"")</f>
        <v/>
      </c>
      <c r="K46" s="50" t="str">
        <f aca="false">IF(AND(ISNUMBER(K37),ISNUMBER(K44),ISNUMBER(K45)),ROUND((K45-MAX(K44,0))*10,1),"")</f>
        <v/>
      </c>
      <c r="L46" s="50" t="str">
        <f aca="false">IF(AND(ISNUMBER(L37),ISNUMBER(L44),ISNUMBER(L45)),ROUND((L45-MAX(L44,0))*10,1),"")</f>
        <v/>
      </c>
      <c r="M46" s="50" t="str">
        <f aca="false">IF(AND(ISNUMBER(M37),ISNUMBER(M44),ISNUMBER(M45)),ROUND((M45-MAX(M44,0))*10,1),"")</f>
        <v/>
      </c>
      <c r="N46" s="50" t="str">
        <f aca="false">IF(AND(ISNUMBER(N37),ISNUMBER(N44),ISNUMBER(N45)),ROUND((N45-MAX(N44,0))*10,1),"")</f>
        <v/>
      </c>
      <c r="O46" s="50" t="str">
        <f aca="false">IF(AND(ISNUMBER(O37),ISNUMBER(O44),ISNUMBER(O45)),ROUND((O45-MAX(O44,0))*10,1),"")</f>
        <v/>
      </c>
      <c r="P46" s="50" t="str">
        <f aca="false">IF(AND(ISNUMBER(P37),ISNUMBER(P44),ISNUMBER(P45)),ROUND((P45-MAX(P44,0))*10,1),"")</f>
        <v/>
      </c>
      <c r="Q46" s="50" t="str">
        <f aca="false">IF(AND(ISNUMBER(Q37),ISNUMBER(Q44),ISNUMBER(Q45)),ROUND((Q45-MAX(Q44,0))*10,1),"")</f>
        <v/>
      </c>
      <c r="R46" s="50" t="str">
        <f aca="false">IF(AND(ISNUMBER(R37),ISNUMBER(R44),ISNUMBER(R45)),ROUND((R45-MAX(R44,0))*10,1),"")</f>
        <v/>
      </c>
      <c r="S46" s="50" t="str">
        <f aca="false">IF(AND(ISNUMBER(S37),ISNUMBER(S44),ISNUMBER(S45)),ROUND((S45-MAX(S44,0))*10,1),"")</f>
        <v/>
      </c>
      <c r="T46" s="50" t="str">
        <f aca="false">IF(AND(ISNUMBER(T37),ISNUMBER(T44),ISNUMBER(T45)),ROUND((T45-MAX(T44,0))*10,1),"")</f>
        <v/>
      </c>
      <c r="U46" s="50" t="str">
        <f aca="false">IF(AND(ISNUMBER(U37),ISNUMBER(U44),ISNUMBER(U45)),ROUND((U45-MAX(U44,0))*10,1),"")</f>
        <v/>
      </c>
      <c r="V46" s="50" t="str">
        <f aca="false">IF(AND(ISNUMBER(V37),ISNUMBER(V44),ISNUMBER(V45)),ROUND((V45-MAX(V44,0))*10,1),"")</f>
        <v/>
      </c>
      <c r="W46" s="50" t="str">
        <f aca="false">IF(AND(ISNUMBER(W37),ISNUMBER(W44),ISNUMBER(W45)),ROUND((W45-MAX(W44,0))*10,1),"")</f>
        <v/>
      </c>
      <c r="X46" s="50" t="str">
        <f aca="false">IF(AND(ISNUMBER(X37),ISNUMBER(X44),ISNUMBER(X45)),ROUND((X45-MAX(X44,0))*10,1),"")</f>
        <v/>
      </c>
      <c r="Y46" s="50" t="str">
        <f aca="false">IF(AND(ISNUMBER(Y37),ISNUMBER(Y44),ISNUMBER(Y45)),ROUND((Y45-MAX(Y44,0))*10,1),"")</f>
        <v/>
      </c>
      <c r="Z46" s="50" t="str">
        <f aca="false">IF(AND(ISNUMBER(Z37),ISNUMBER(Z44),ISNUMBER(Z45)),ROUND((Z45-MAX(Z44,0))*10,1),"")</f>
        <v/>
      </c>
      <c r="AA46" s="50" t="str">
        <f aca="false">IF(AND(ISNUMBER(AA37),ISNUMBER(AA44),ISNUMBER(AA45)),ROUND((AA45-MAX(AA44,0))*10,1),"")</f>
        <v/>
      </c>
      <c r="AB46" s="50" t="str">
        <f aca="false">IF(AND(ISNUMBER(AB37),ISNUMBER(AB44),ISNUMBER(AB45)),ROUND((AB45-MAX(AB44,0))*10,1),"")</f>
        <v/>
      </c>
      <c r="AC46" s="50" t="str">
        <f aca="false">IF(AND(ISNUMBER(AC37),ISNUMBER(AC44),ISNUMBER(AC45)),ROUND((AC45-MAX(AC44,0))*10,1),"")</f>
        <v/>
      </c>
      <c r="AD46" s="50" t="str">
        <f aca="false">IF(AND(ISNUMBER(AD37),ISNUMBER(AD44),ISNUMBER(AD45)),ROUND((AD45-MAX(AD44,0))*10,1),"")</f>
        <v/>
      </c>
      <c r="AE46" s="50" t="str">
        <f aca="false">IF(AND(ISNUMBER(AE37),ISNUMBER(AE44),ISNUMBER(AE45)),ROUND((AE45-MAX(AE44,0))*10,1),"")</f>
        <v/>
      </c>
      <c r="AF46" s="50" t="str">
        <f aca="false">IF(AND(ISNUMBER(AF37),ISNUMBER(AF44),ISNUMBER(AF45)),ROUND((AF45-MAX(AF44,0))*10,1),"")</f>
        <v/>
      </c>
      <c r="AG46" s="50" t="str">
        <f aca="false">IF(AND(ISNUMBER(AG37),ISNUMBER(AG44),ISNUMBER(AG45)),ROUND((AG45-MAX(AG44,0))*10,1),"")</f>
        <v/>
      </c>
      <c r="AH46" s="50" t="str">
        <f aca="false">IF(AND(ISNUMBER(AH37),ISNUMBER(AH44),ISNUMBER(AH45)),ROUND((AH45-MAX(AH44,0))*10,1),"")</f>
        <v/>
      </c>
      <c r="AI46" s="50" t="str">
        <f aca="false">IF(AND(ISNUMBER(AI37),ISNUMBER(AI44),ISNUMBER(AI45)),ROUND((AI45-MAX(AI44,0))*10,1),"")</f>
        <v/>
      </c>
      <c r="AJ46" s="50" t="str">
        <f aca="false">IF(AND(ISNUMBER(AJ37),ISNUMBER(AJ44),ISNUMBER(AJ45)),ROUND((AJ45-MAX(AJ44,0))*10,1),"")</f>
        <v/>
      </c>
      <c r="AK46" s="50" t="str">
        <f aca="false">IF(AND(ISNUMBER(AK37),ISNUMBER(AK44),ISNUMBER(AK45)),ROUND((AK45-MAX(AK44,0))*10,1),"")</f>
        <v/>
      </c>
      <c r="AL46" s="50" t="str">
        <f aca="false">IF(AND(ISNUMBER(AL37),ISNUMBER(AL44),ISNUMBER(AL45)),ROUND((AL45-MAX(AL44,0))*10,1),"")</f>
        <v/>
      </c>
      <c r="AM46" s="50" t="str">
        <f aca="false">IF(AND(ISNUMBER(AM37),ISNUMBER(AM44),ISNUMBER(AM45)),ROUND((AM45-MAX(AM44,0))*10,1),"")</f>
        <v/>
      </c>
      <c r="AN46" s="50" t="str">
        <f aca="false">IF(AND(ISNUMBER(AN37),ISNUMBER(AN44),ISNUMBER(AN45)),ROUND((AN45-MAX(AN44,0))*10,1),"")</f>
        <v/>
      </c>
      <c r="AO46" s="50" t="str">
        <f aca="false">IF(AND(ISNUMBER(AO37),ISNUMBER(AO44),ISNUMBER(AO45)),ROUND((AO45-MAX(AO44,0))*10,1),"")</f>
        <v/>
      </c>
      <c r="AP46" s="50" t="str">
        <f aca="false">IF(AND(ISNUMBER(AP37),ISNUMBER(AP44),ISNUMBER(AP45)),ROUND((AP45-MAX(AP44,0))*10,1),"")</f>
        <v/>
      </c>
      <c r="AQ46" s="50" t="str">
        <f aca="false">IF(AND(ISNUMBER(AQ37),ISNUMBER(AQ44),ISNUMBER(AQ45)),ROUND((AQ45-MAX(AQ44,0))*10,1),"")</f>
        <v/>
      </c>
      <c r="AR46" s="50" t="str">
        <f aca="false">IF(AND(ISNUMBER(AR37),ISNUMBER(AR44),ISNUMBER(AR45)),ROUND((AR45-MAX(AR44,0))*10,1),"")</f>
        <v/>
      </c>
      <c r="AS46" s="50" t="str">
        <f aca="false">IF(AND(ISNUMBER(AS37),ISNUMBER(AS44),ISNUMBER(AS45)),ROUND((AS45-MAX(AS44,0))*10,1),"")</f>
        <v/>
      </c>
      <c r="AT46" s="50" t="str">
        <f aca="false">IF(AND(ISNUMBER(AT37),ISNUMBER(AT44),ISNUMBER(AT45)),ROUND((AT45-MAX(AT44,0))*10,1),"")</f>
        <v/>
      </c>
      <c r="AU46" s="50" t="str">
        <f aca="false">IF(AND(ISNUMBER(AU37),ISNUMBER(AU44),ISNUMBER(AU45)),ROUND((AU45-MAX(AU44,0))*10,1),"")</f>
        <v/>
      </c>
      <c r="AV46" s="50" t="str">
        <f aca="false">IF(AND(ISNUMBER(AV37),ISNUMBER(AV44),ISNUMBER(AV45)),ROUND((AV45-MAX(AV44,0))*10,1),"")</f>
        <v/>
      </c>
      <c r="AW46" s="50" t="str">
        <f aca="false">IF(AND(ISNUMBER(AW37),ISNUMBER(AW44),ISNUMBER(AW45)),ROUND((AW45-MAX(AW44,0))*10,1),"")</f>
        <v/>
      </c>
      <c r="AX46" s="50" t="str">
        <f aca="false">IF(AND(ISNUMBER(AX37),ISNUMBER(AX44),ISNUMBER(AX45)),ROUND((AX45-MAX(AX44,0))*10,1),"")</f>
        <v/>
      </c>
      <c r="AY46" s="50" t="str">
        <f aca="false">IF(AND(ISNUMBER(AY37),ISNUMBER(AY44),ISNUMBER(AY45)),ROUND((AY45-MAX(AY44,0))*10,1),"")</f>
        <v/>
      </c>
      <c r="AZ46" s="50" t="str">
        <f aca="false">IF(AND(ISNUMBER(AZ37),ISNUMBER(AZ44),ISNUMBER(AZ45)),ROUND((AZ45-MAX(AZ44,0))*10,1),"")</f>
        <v/>
      </c>
      <c r="BA46" s="50" t="str">
        <f aca="false">IF(AND(ISNUMBER(BA37),ISNUMBER(BA44),ISNUMBER(BA45)),ROUND((BA45-MAX(BA44,0))*10,1),"")</f>
        <v/>
      </c>
      <c r="BB46" s="50" t="str">
        <f aca="false">IF(AND(ISNUMBER(BB37),ISNUMBER(BB44),ISNUMBER(BB45)),ROUND((BB45-MAX(BB44,0))*10,1),"")</f>
        <v/>
      </c>
      <c r="BC46" s="50" t="str">
        <f aca="false">IF(AND(ISNUMBER(BC37),ISNUMBER(BC44),ISNUMBER(BC45)),ROUND((BC45-MAX(BC44,0))*10,1),"")</f>
        <v/>
      </c>
      <c r="BD46" s="50" t="str">
        <f aca="false">IF(AND(ISNUMBER(BD37),ISNUMBER(BD44),ISNUMBER(BD45)),ROUND((BD45-MAX(BD44,0))*10,1),"")</f>
        <v/>
      </c>
      <c r="BE46" s="50" t="n">
        <f aca="false">IF(AND(ISNUMBER(BE37),ISNUMBER(BE44),ISNUMBER(BE45)),ROUND((BE45-MAX(BE44,0))*10,1),"")</f>
        <v>5</v>
      </c>
      <c r="BF46" s="50" t="str">
        <f aca="false">IF(AND(ISNUMBER(BF37),ISNUMBER(BF44),ISNUMBER(BF45)),ROUND((BF45-MAX(BF44,0))*10,1),"")</f>
        <v/>
      </c>
      <c r="BG46" s="50" t="n">
        <f aca="false">IF(AND(ISNUMBER(BG37),ISNUMBER(BG44),ISNUMBER(BG45)),ROUND((BG45-MAX(BG44,0))*10,1),"")</f>
        <v>25</v>
      </c>
      <c r="BH46" s="50" t="str">
        <f aca="false">IF(AND(ISNUMBER(BH37),ISNUMBER(BH44),ISNUMBER(BH45)),ROUND((BH45-MAX(BH44,0))*10,1),"")</f>
        <v/>
      </c>
      <c r="BI46" s="50" t="str">
        <f aca="false">IF(AND(ISNUMBER(BI37),ISNUMBER(BI44),ISNUMBER(BI45)),ROUND((BI45-MAX(BI44,0))*10,1),"")</f>
        <v/>
      </c>
      <c r="BJ46" s="50" t="str">
        <f aca="false">IF(AND(ISNUMBER(BJ37),ISNUMBER(BJ44),ISNUMBER(BJ45)),ROUND((BJ45-MAX(BJ44,0))*10,1),"")</f>
        <v/>
      </c>
      <c r="BK46" s="50" t="n">
        <f aca="false">IF(AND(ISNUMBER(BK37),ISNUMBER(BK44),ISNUMBER(BK45)),ROUND((BK45-MAX(BK44,0))*10,1),"")</f>
        <v>19</v>
      </c>
      <c r="BL46" s="50" t="str">
        <f aca="false">IF(AND(ISNUMBER(BL37),ISNUMBER(BL44),ISNUMBER(BL45)),ROUND((BL45-MAX(BL44,0))*10,1),"")</f>
        <v/>
      </c>
      <c r="BM46" s="50" t="str">
        <f aca="false">IF(AND(ISNUMBER(BM37),ISNUMBER(BM44),ISNUMBER(BM45)),ROUND((BM45-MAX(BM44,0))*10,1),"")</f>
        <v/>
      </c>
      <c r="BN46" s="50" t="str">
        <f aca="false">IF(AND(ISNUMBER(BN37),ISNUMBER(BN44),ISNUMBER(BN45)),ROUND((BN45-MAX(BN44,0))*10,1),"")</f>
        <v/>
      </c>
      <c r="BO46" s="50" t="str">
        <f aca="false">IF(AND(ISNUMBER(BO37),ISNUMBER(BO44),ISNUMBER(BO45)),ROUND((BO45-MAX(BO44,0))*10,1),"")</f>
        <v/>
      </c>
      <c r="BP46" s="50" t="n">
        <f aca="false">IF(AND(ISNUMBER(BP37),ISNUMBER(BP44),ISNUMBER(BP45)),ROUND((BP45-MAX(BP44,0))*10,1),"")</f>
        <v>17</v>
      </c>
      <c r="BQ46" s="50" t="str">
        <f aca="false">IF(AND(ISNUMBER(BQ37),ISNUMBER(BQ44),ISNUMBER(BQ45)),ROUND((BQ45-MAX(BQ44,0))*10,1),"")</f>
        <v/>
      </c>
      <c r="BR46" s="50" t="str">
        <f aca="false">IF(AND(ISNUMBER(BR37),ISNUMBER(BR44),ISNUMBER(BR45)),ROUND((BR45-MAX(BR44,0))*10,1),"")</f>
        <v/>
      </c>
      <c r="BS46" s="50" t="str">
        <f aca="false">IF(AND(ISNUMBER(BS37),ISNUMBER(BS44),ISNUMBER(BS45)),ROUND((BS45-MAX(BS44,0))*10,1),"")</f>
        <v/>
      </c>
      <c r="BT46" s="50" t="str">
        <f aca="false">IF(AND(ISNUMBER(BT37),ISNUMBER(BT44),ISNUMBER(BT45)),ROUND((BT45-MAX(BT44,0))*10,1),"")</f>
        <v/>
      </c>
      <c r="BU46" s="50" t="str">
        <f aca="false">IF(AND(ISNUMBER(BU37),ISNUMBER(BU44),ISNUMBER(BU45)),ROUND((BU45-MAX(BU44,0))*10,1),"")</f>
        <v/>
      </c>
      <c r="BV46" s="50" t="str">
        <f aca="false">IF(AND(ISNUMBER(BV37),ISNUMBER(BV44),ISNUMBER(BV45)),ROUND((BV45-MAX(BV44,0))*10,1),"")</f>
        <v/>
      </c>
      <c r="BW46" s="50" t="n">
        <f aca="false">IF(AND(ISNUMBER(BW37),ISNUMBER(BW44),ISNUMBER(BW45)),ROUND((BW45-MAX(BW44,0))*10,1),"")</f>
        <v>20</v>
      </c>
      <c r="BX46" s="50" t="str">
        <f aca="false">IF(AND(ISNUMBER(BX37),ISNUMBER(BX44),ISNUMBER(BX45)),ROUND((BX45-MAX(BX44,0))*10,1),"")</f>
        <v/>
      </c>
      <c r="BY46" s="50" t="str">
        <f aca="false">IF(AND(ISNUMBER(BY37),ISNUMBER(BY44),ISNUMBER(BY45)),ROUND((BY45-MAX(BY44,0))*10,1),"")</f>
        <v/>
      </c>
      <c r="BZ46" s="50" t="str">
        <f aca="false">IF(AND(ISNUMBER(BZ37),ISNUMBER(BZ44),ISNUMBER(BZ45)),ROUND((BZ45-MAX(BZ44,0))*10,1),"")</f>
        <v/>
      </c>
      <c r="CA46" s="50" t="str">
        <f aca="false">IF(AND(ISNUMBER(CA37),ISNUMBER(CA44),ISNUMBER(CA45)),ROUND((CA45-MAX(CA44,0))*10,1),"")</f>
        <v/>
      </c>
      <c r="CB46" s="50" t="str">
        <f aca="false">IF(AND(ISNUMBER(CB37),ISNUMBER(CB44),ISNUMBER(CB45)),ROUND((CB45-MAX(CB44,0))*10,1),"")</f>
        <v/>
      </c>
      <c r="CC46" s="50" t="str">
        <f aca="false">IF(AND(ISNUMBER(CC37),ISNUMBER(CC44),ISNUMBER(CC45)),ROUND((CC45-MAX(CC44,0))*10,1),"")</f>
        <v/>
      </c>
      <c r="CD46" s="50" t="n">
        <f aca="false">IF(AND(ISNUMBER(CD37),ISNUMBER(CD44),ISNUMBER(CD45)),ROUND((CD45-MAX(CD44,0))*10,1),"")</f>
        <v>23</v>
      </c>
      <c r="CE46" s="50" t="str">
        <f aca="false">IF(AND(ISNUMBER(CE37),ISNUMBER(CE44),ISNUMBER(CE45)),ROUND((CE45-MAX(CE44,0))*10,1),"")</f>
        <v/>
      </c>
      <c r="CF46" s="50" t="str">
        <f aca="false">IF(AND(ISNUMBER(CF37),ISNUMBER(CF44),ISNUMBER(CF45)),ROUND((CF45-MAX(CF44,0))*10,1),"")</f>
        <v/>
      </c>
      <c r="CG46" s="50" t="str">
        <f aca="false">IF(AND(ISNUMBER(CG37),ISNUMBER(CG44),ISNUMBER(CG45)),ROUND((CG45-MAX(CG44,0))*10,1),"")</f>
        <v/>
      </c>
      <c r="CH46" s="50" t="n">
        <f aca="false">IF(AND(ISNUMBER(CH37),ISNUMBER(CH44),ISNUMBER(CH45)),ROUND((CH45-MAX(CH44,0))*10,1),"")</f>
        <v>30</v>
      </c>
      <c r="CI46" s="50" t="str">
        <f aca="false">IF(AND(ISNUMBER(CI37),ISNUMBER(CI44),ISNUMBER(CI45)),ROUND((CI45-MAX(CI44,0))*10,1),"")</f>
        <v/>
      </c>
      <c r="CJ46" s="50" t="str">
        <f aca="false">IF(AND(ISNUMBER(CJ37),ISNUMBER(CJ44),ISNUMBER(CJ45)),ROUND((CJ45-MAX(CJ44,0))*10,1),"")</f>
        <v/>
      </c>
      <c r="CK46" s="50" t="str">
        <f aca="false">IF(AND(ISNUMBER(CK37),ISNUMBER(CK44),ISNUMBER(CK45)),ROUND((CK45-MAX(CK44,0))*10,1),"")</f>
        <v/>
      </c>
      <c r="CL46" s="50" t="str">
        <f aca="false">IF(AND(ISNUMBER(CL37),ISNUMBER(CL44),ISNUMBER(CL45)),ROUND((CL45-MAX(CL44,0))*10,1),"")</f>
        <v/>
      </c>
      <c r="CM46" s="50" t="str">
        <f aca="false">IF(AND(ISNUMBER(CM37),ISNUMBER(CM44),ISNUMBER(CM45)),ROUND((CM45-MAX(CM44,0))*10,1),"")</f>
        <v/>
      </c>
      <c r="CN46" s="50" t="str">
        <f aca="false">IF(AND(ISNUMBER(CN37),ISNUMBER(CN44),ISNUMBER(CN45)),ROUND((CN45-MAX(CN44,0))*10,1),"")</f>
        <v/>
      </c>
      <c r="CO46" s="50" t="str">
        <f aca="false">IF(AND(ISNUMBER(CO37),ISNUMBER(CO44),ISNUMBER(CO45)),ROUND((CO45-MAX(CO44,0))*10,1),"")</f>
        <v/>
      </c>
      <c r="CP46" s="50" t="str">
        <f aca="false">IF(AND(ISNUMBER(CP37),ISNUMBER(CP44),ISNUMBER(CP45)),ROUND((CP45-MAX(CP44,0))*10,1),"")</f>
        <v/>
      </c>
      <c r="CQ46" s="50" t="str">
        <f aca="false">IF(AND(ISNUMBER(CQ37),ISNUMBER(CQ44),ISNUMBER(CQ45)),ROUND((CQ45-MAX(CQ44,0))*10,1),"")</f>
        <v/>
      </c>
      <c r="CR46" s="50" t="str">
        <f aca="false">IF(AND(ISNUMBER(CR37),ISNUMBER(CR44),ISNUMBER(CR45)),ROUND((CR45-MAX(CR44,0))*10,1),"")</f>
        <v/>
      </c>
      <c r="CS46" s="50" t="str">
        <f aca="false">IF(AND(ISNUMBER(CS37),ISNUMBER(CS44),ISNUMBER(CS45)),ROUND((CS45-MAX(CS44,0))*10,1),"")</f>
        <v/>
      </c>
      <c r="CT46" s="50" t="str">
        <f aca="false">IF(AND(ISNUMBER(CT37),ISNUMBER(CT44),ISNUMBER(CT45)),ROUND((CT45-MAX(CT44,0))*10,1),"")</f>
        <v/>
      </c>
      <c r="CU46" s="50" t="str">
        <f aca="false">IF(AND(ISNUMBER(CU37),ISNUMBER(CU44),ISNUMBER(CU45)),ROUND((CU45-MAX(CU44,0))*10,1),"")</f>
        <v/>
      </c>
      <c r="CV46" s="50" t="str">
        <f aca="false">IF(AND(ISNUMBER(CV37),ISNUMBER(CV44),ISNUMBER(CV45)),ROUND((CV45-MAX(CV44,0))*10,1),"")</f>
        <v/>
      </c>
      <c r="CW46" s="50" t="n">
        <f aca="false">IF(AND(ISNUMBER(CW37),ISNUMBER(CW44),ISNUMBER(CW45)),ROUND((CW45-MAX(CW44,0))*10,1),"")</f>
        <v>15</v>
      </c>
      <c r="CX46" s="50" t="str">
        <f aca="false">IF(AND(ISNUMBER(CX37),ISNUMBER(CX44),ISNUMBER(CX45)),ROUND((CX45-MAX(CX44,0))*10,1),"")</f>
        <v/>
      </c>
      <c r="CY46" s="50" t="str">
        <f aca="false">IF(AND(ISNUMBER(CY37),ISNUMBER(CY44),ISNUMBER(CY45)),ROUND((CY45-MAX(CY44,0))*10,1),"")</f>
        <v/>
      </c>
      <c r="CZ46" s="50" t="n">
        <f aca="false">IF(AND(ISNUMBER(CZ37),ISNUMBER(CZ44),ISNUMBER(CZ45)),ROUND((CZ45-MAX(CZ44,0))*10,1),"")</f>
        <v>18</v>
      </c>
      <c r="DA46" s="50" t="str">
        <f aca="false">IF(AND(ISNUMBER(DA37),ISNUMBER(DA44),ISNUMBER(DA45)),ROUND((DA45-MAX(DA44,0))*10,1),"")</f>
        <v/>
      </c>
      <c r="DB46" s="50" t="str">
        <f aca="false">IF(AND(ISNUMBER(DB37),ISNUMBER(DB44),ISNUMBER(DB45)),ROUND((DB45-MAX(DB44,0))*10,1),"")</f>
        <v/>
      </c>
      <c r="DC46" s="50" t="n">
        <f aca="false">IF(AND(ISNUMBER(DC37),ISNUMBER(DC44),ISNUMBER(DC45)),ROUND((DC45-MAX(DC44,0))*10,1),"")</f>
        <v>22</v>
      </c>
      <c r="DD46" s="50" t="str">
        <f aca="false">IF(AND(ISNUMBER(DD37),ISNUMBER(DD44),ISNUMBER(DD45)),ROUND((DD45-MAX(DD44,0))*10,1),"")</f>
        <v/>
      </c>
      <c r="DE46" s="50" t="str">
        <f aca="false">IF(AND(ISNUMBER(DE37),ISNUMBER(DE44),ISNUMBER(DE45)),ROUND((DE45-MAX(DE44,0))*10,1),"")</f>
        <v/>
      </c>
      <c r="DF46" s="50" t="str">
        <f aca="false">IF(AND(ISNUMBER(DF37),ISNUMBER(DF44),ISNUMBER(DF45)),ROUND((DF45-MAX(DF44,0))*10,1),"")</f>
        <v/>
      </c>
      <c r="DG46" s="50" t="n">
        <f aca="false">IF(AND(ISNUMBER(DG37),ISNUMBER(DG44),ISNUMBER(DG45)),ROUND((DG45-MAX(DG44,0))*10,1),"")</f>
        <v>10</v>
      </c>
      <c r="DH46" s="50" t="str">
        <f aca="false">IF(AND(ISNUMBER(DH37),ISNUMBER(DH44),ISNUMBER(DH45)),ROUND((DH45-MAX(DH44,0))*10,1),"")</f>
        <v/>
      </c>
      <c r="DI46" s="50" t="str">
        <f aca="false">IF(AND(ISNUMBER(DI37),ISNUMBER(DI44),ISNUMBER(DI45)),ROUND((DI45-MAX(DI44,0))*10,1),"")</f>
        <v/>
      </c>
      <c r="DJ46" s="50" t="str">
        <f aca="false">IF(AND(ISNUMBER(DJ37),ISNUMBER(DJ44),ISNUMBER(DJ45)),ROUND((DJ45-MAX(DJ44,0))*10,1),"")</f>
        <v/>
      </c>
      <c r="DK46" s="50" t="str">
        <f aca="false">IF(AND(ISNUMBER(DK37),ISNUMBER(DK44),ISNUMBER(DK45)),ROUND((DK45-MAX(DK44,0))*10,1),"")</f>
        <v/>
      </c>
      <c r="DL46" s="50" t="str">
        <f aca="false">IF(AND(ISNUMBER(DL37),ISNUMBER(DL44),ISNUMBER(DL45)),ROUND((DL45-MAX(DL44,0))*10,1),"")</f>
        <v/>
      </c>
      <c r="DM46" s="50" t="str">
        <f aca="false">IF(AND(ISNUMBER(DM37),ISNUMBER(DM44),ISNUMBER(DM45)),ROUND((DM45-MAX(DM44,0))*10,1),"")</f>
        <v/>
      </c>
      <c r="DN46" s="50" t="n">
        <f aca="false">IF(AND(ISNUMBER(DN37),ISNUMBER(DN44),ISNUMBER(DN45)),ROUND((DN45-MAX(DN44,0))*10,1),"")</f>
        <v>15</v>
      </c>
      <c r="DO46" s="50" t="str">
        <f aca="false">IF(AND(ISNUMBER(DO37),ISNUMBER(DO44),ISNUMBER(DO45)),ROUND((DO45-MAX(DO44,0))*10,1),"")</f>
        <v/>
      </c>
      <c r="DP46" s="50" t="str">
        <f aca="false">IF(AND(ISNUMBER(DP37),ISNUMBER(DP44),ISNUMBER(DP45)),ROUND((DP45-MAX(DP44,0))*10,1),"")</f>
        <v/>
      </c>
      <c r="DQ46" s="50" t="str">
        <f aca="false">IF(AND(ISNUMBER(DQ37),ISNUMBER(DQ44),ISNUMBER(DQ45)),ROUND((DQ45-MAX(DQ44,0))*10,1),"")</f>
        <v/>
      </c>
      <c r="DR46" s="50" t="str">
        <f aca="false">IF(AND(ISNUMBER(DR37),ISNUMBER(DR44),ISNUMBER(DR45)),ROUND((DR45-MAX(DR44,0))*10,1),"")</f>
        <v/>
      </c>
      <c r="DS46" s="50" t="str">
        <f aca="false">IF(AND(ISNUMBER(DS37),ISNUMBER(DS44),ISNUMBER(DS45)),ROUND((DS45-MAX(DS44,0))*10,1),"")</f>
        <v/>
      </c>
      <c r="DT46" s="50" t="str">
        <f aca="false">IF(AND(ISNUMBER(DT37),ISNUMBER(DT44),ISNUMBER(DT45)),ROUND((DT45-MAX(DT44,0))*10,1),"")</f>
        <v/>
      </c>
      <c r="DU46" s="50" t="n">
        <f aca="false">IF(AND(ISNUMBER(DU37),ISNUMBER(DU44),ISNUMBER(DU45)),ROUND((DU45-MAX(DU44,0))*10,1),"")</f>
        <v>20</v>
      </c>
      <c r="DV46" s="50" t="str">
        <f aca="false">IF(AND(ISNUMBER(DV37),ISNUMBER(DV44),ISNUMBER(DV45)),ROUND((DV45-MAX(DV44,0))*10,1),"")</f>
        <v/>
      </c>
      <c r="DW46" s="50" t="str">
        <f aca="false">IF(AND(ISNUMBER(DW37),ISNUMBER(DW44),ISNUMBER(DW45)),ROUND((DW45-MAX(DW44,0))*10,1),"")</f>
        <v/>
      </c>
      <c r="DX46" s="50" t="str">
        <f aca="false">IF(AND(ISNUMBER(DX37),ISNUMBER(DX44),ISNUMBER(DX45)),ROUND((DX45-MAX(DX44,0))*10,1),"")</f>
        <v/>
      </c>
      <c r="DY46" s="50" t="str">
        <f aca="false">IF(AND(ISNUMBER(DY37),ISNUMBER(DY44),ISNUMBER(DY45)),ROUND((DY45-MAX(DY44,0))*10,1),"")</f>
        <v/>
      </c>
      <c r="DZ46" s="50" t="str">
        <f aca="false">IF(AND(ISNUMBER(DZ37),ISNUMBER(DZ44),ISNUMBER(DZ45)),ROUND((DZ45-MAX(DZ44,0))*10,1),"")</f>
        <v/>
      </c>
      <c r="EA46" s="50" t="str">
        <f aca="false">IF(AND(ISNUMBER(EA37),ISNUMBER(EA44),ISNUMBER(EA45)),ROUND((EA45-MAX(EA44,0))*10,1),"")</f>
        <v/>
      </c>
      <c r="EB46" s="50" t="n">
        <f aca="false">IF(AND(ISNUMBER(EB37),ISNUMBER(EB44),ISNUMBER(EB45)),ROUND((EB45-MAX(EB44,0))*10,1),"")</f>
        <v>20</v>
      </c>
      <c r="EC46" s="50" t="str">
        <f aca="false">IF(AND(ISNUMBER(EC37),ISNUMBER(EC44),ISNUMBER(EC45)),ROUND((EC45-MAX(EC44,0))*10,1),"")</f>
        <v/>
      </c>
      <c r="ED46" s="50" t="str">
        <f aca="false">IF(AND(ISNUMBER(ED37),ISNUMBER(ED44),ISNUMBER(ED45)),ROUND((ED45-MAX(ED44,0))*10,1),"")</f>
        <v/>
      </c>
      <c r="EE46" s="50" t="str">
        <f aca="false">IF(AND(ISNUMBER(EE37),ISNUMBER(EE44),ISNUMBER(EE45)),ROUND((EE45-MAX(EE44,0))*10,1),"")</f>
        <v/>
      </c>
      <c r="EF46" s="50" t="str">
        <f aca="false">IF(AND(ISNUMBER(EF37),ISNUMBER(EF44),ISNUMBER(EF45)),ROUND((EF45-MAX(EF44,0))*10,1),"")</f>
        <v/>
      </c>
      <c r="EG46" s="50" t="str">
        <f aca="false">IF(AND(ISNUMBER(EG37),ISNUMBER(EG44),ISNUMBER(EG45)),ROUND((EG45-MAX(EG44,0))*10,1),"")</f>
        <v/>
      </c>
      <c r="EH46" s="50" t="str">
        <f aca="false">IF(AND(ISNUMBER(EH37),ISNUMBER(EH44),ISNUMBER(EH45)),ROUND((EH45-MAX(EH44,0))*10,1),"")</f>
        <v/>
      </c>
      <c r="EI46" s="50" t="str">
        <f aca="false">IF(AND(ISNUMBER(EI37),ISNUMBER(EI44),ISNUMBER(EI45)),ROUND((EI45-MAX(EI44,0))*10,1),"")</f>
        <v/>
      </c>
      <c r="EJ46" s="50" t="n">
        <f aca="false">IF(AND(ISNUMBER(EJ37),ISNUMBER(EJ44),ISNUMBER(EJ45)),ROUND((EJ45-MAX(EJ44,0))*10,1),"")</f>
        <v>45</v>
      </c>
      <c r="EK46" s="50" t="str">
        <f aca="false">IF(AND(ISNUMBER(EK37),ISNUMBER(EK44),ISNUMBER(EK45)),ROUND((EK45-MAX(EK44,0))*10,1),"")</f>
        <v/>
      </c>
      <c r="EL46" s="50" t="str">
        <f aca="false">IF(AND(ISNUMBER(EL37),ISNUMBER(EL44),ISNUMBER(EL45)),ROUND((EL45-MAX(EL44,0))*10,1),"")</f>
        <v/>
      </c>
      <c r="EM46" s="50" t="str">
        <f aca="false">IF(AND(ISNUMBER(EM37),ISNUMBER(EM44),ISNUMBER(EM45)),ROUND((EM45-MAX(EM44,0))*10,1),"")</f>
        <v/>
      </c>
      <c r="EN46" s="50" t="str">
        <f aca="false">IF(AND(ISNUMBER(EN37),ISNUMBER(EN44),ISNUMBER(EN45)),ROUND((EN45-MAX(EN44,0))*10,1),"")</f>
        <v/>
      </c>
      <c r="EO46" s="50" t="str">
        <f aca="false">IF(AND(ISNUMBER(EO37),ISNUMBER(EO44),ISNUMBER(EO45)),ROUND((EO45-MAX(EO44,0))*10,1),"")</f>
        <v/>
      </c>
      <c r="EP46" s="50" t="str">
        <f aca="false">IF(AND(ISNUMBER(EP37),ISNUMBER(EP44),ISNUMBER(EP45)),ROUND((EP45-MAX(EP44,0))*10,1),"")</f>
        <v/>
      </c>
      <c r="EQ46" s="50" t="str">
        <f aca="false">IF(AND(ISNUMBER(EQ37),ISNUMBER(EQ44),ISNUMBER(EQ45)),ROUND((EQ45-MAX(EQ44,0))*10,1),"")</f>
        <v/>
      </c>
      <c r="ER46" s="50" t="str">
        <f aca="false">IF(AND(ISNUMBER(ER37),ISNUMBER(ER44),ISNUMBER(ER45)),ROUND((ER45-MAX(ER44,0))*10,1),"")</f>
        <v/>
      </c>
      <c r="ES46" s="50" t="str">
        <f aca="false">IF(AND(ISNUMBER(ES37),ISNUMBER(ES44),ISNUMBER(ES45)),ROUND((ES45-MAX(ES44,0))*10,1),"")</f>
        <v/>
      </c>
      <c r="ET46" s="50" t="str">
        <f aca="false">IF(AND(ISNUMBER(ET37),ISNUMBER(ET44),ISNUMBER(ET45)),ROUND((ET45-MAX(ET44,0))*10,1),"")</f>
        <v/>
      </c>
      <c r="EU46" s="50" t="str">
        <f aca="false">IF(AND(ISNUMBER(EU37),ISNUMBER(EU44),ISNUMBER(EU45)),ROUND((EU45-MAX(EU44,0))*10,1),"")</f>
        <v/>
      </c>
      <c r="EV46" s="50" t="str">
        <f aca="false">IF(AND(ISNUMBER(EV37),ISNUMBER(EV44),ISNUMBER(EV45)),ROUND((EV45-MAX(EV44,0))*10,1),"")</f>
        <v/>
      </c>
      <c r="EW46" s="50" t="str">
        <f aca="false">IF(AND(ISNUMBER(EW37),ISNUMBER(EW44),ISNUMBER(EW45)),ROUND((EW45-MAX(EW44,0))*10,1),"")</f>
        <v/>
      </c>
      <c r="EX46" s="50" t="str">
        <f aca="false">IF(AND(ISNUMBER(EX37),ISNUMBER(EX44),ISNUMBER(EX45)),ROUND((EX45-MAX(EX44,0))*10,1),"")</f>
        <v/>
      </c>
      <c r="EY46" s="50" t="str">
        <f aca="false">IF(AND(ISNUMBER(EY37),ISNUMBER(EY44),ISNUMBER(EY45)),ROUND((EY45-MAX(EY44,0))*10,1),"")</f>
        <v/>
      </c>
      <c r="EZ46" s="50" t="str">
        <f aca="false">IF(AND(ISNUMBER(EZ37),ISNUMBER(EZ44),ISNUMBER(EZ45)),ROUND((EZ45-MAX(EZ44,0))*10,1),"")</f>
        <v/>
      </c>
      <c r="FA46" s="50" t="str">
        <f aca="false">IF(AND(ISNUMBER(FA37),ISNUMBER(FA44),ISNUMBER(FA45)),ROUND((FA45-MAX(FA44,0))*10,1),"")</f>
        <v/>
      </c>
      <c r="FB46" s="50" t="str">
        <f aca="false">IF(AND(ISNUMBER(FB37),ISNUMBER(FB44),ISNUMBER(FB45)),ROUND((FB45-MAX(FB44,0))*10,1),"")</f>
        <v/>
      </c>
      <c r="FC46" s="50" t="str">
        <f aca="false">IF(AND(ISNUMBER(FC37),ISNUMBER(FC44),ISNUMBER(FC45)),ROUND((FC45-MAX(FC44,0))*10,1),"")</f>
        <v/>
      </c>
      <c r="FD46" s="50" t="str">
        <f aca="false">IF(AND(ISNUMBER(FD37),ISNUMBER(FD44),ISNUMBER(FD45)),ROUND((FD45-MAX(FD44,0))*10,1),"")</f>
        <v/>
      </c>
      <c r="FE46" s="50" t="str">
        <f aca="false">IF(AND(ISNUMBER(FE37),ISNUMBER(FE44),ISNUMBER(FE45)),ROUND((FE45-MAX(FE44,0))*10,1),"")</f>
        <v/>
      </c>
      <c r="FF46" s="50" t="str">
        <f aca="false">IF(AND(ISNUMBER(FF37),ISNUMBER(FF44),ISNUMBER(FF45)),ROUND((FF45-MAX(FF44,0))*10,1),"")</f>
        <v/>
      </c>
      <c r="FG46" s="50" t="str">
        <f aca="false">IF(AND(ISNUMBER(FG37),ISNUMBER(FG44),ISNUMBER(FG45)),ROUND((FG45-MAX(FG44,0))*10,1),"")</f>
        <v/>
      </c>
      <c r="FH46" s="50" t="str">
        <f aca="false">IF(AND(ISNUMBER(FH37),ISNUMBER(FH44),ISNUMBER(FH45)),ROUND((FH45-MAX(FH44,0))*10,1),"")</f>
        <v/>
      </c>
      <c r="FI46" s="50" t="str">
        <f aca="false">IF(AND(ISNUMBER(FI37),ISNUMBER(FI44),ISNUMBER(FI45)),ROUND((FI45-MAX(FI44,0))*10,1),"")</f>
        <v/>
      </c>
      <c r="FJ46" s="50" t="str">
        <f aca="false">IF(AND(ISNUMBER(FJ37),ISNUMBER(FJ44),ISNUMBER(FJ45)),ROUND((FJ45-MAX(FJ44,0))*10,1),"")</f>
        <v/>
      </c>
      <c r="FK46" s="50" t="str">
        <f aca="false">IF(AND(ISNUMBER(FK37),ISNUMBER(FK44),ISNUMBER(FK45)),ROUND((FK45-MAX(FK44,0))*10,1),"")</f>
        <v/>
      </c>
      <c r="FL46" s="50" t="str">
        <f aca="false">IF(AND(ISNUMBER(FL37),ISNUMBER(FL44),ISNUMBER(FL45)),ROUND((FL45-MAX(FL44,0))*10,1),"")</f>
        <v/>
      </c>
      <c r="FM46" s="50" t="str">
        <f aca="false">IF(AND(ISNUMBER(FM37),ISNUMBER(FM44),ISNUMBER(FM45)),ROUND((FM45-MAX(FM44,0))*10,1),"")</f>
        <v/>
      </c>
      <c r="FN46" s="50" t="str">
        <f aca="false">IF(AND(ISNUMBER(FN37),ISNUMBER(FN44),ISNUMBER(FN45)),ROUND((FN45-MAX(FN44,0))*10,1),"")</f>
        <v/>
      </c>
      <c r="FO46" s="50" t="str">
        <f aca="false">IF(AND(ISNUMBER(FO37),ISNUMBER(FO44),ISNUMBER(FO45)),ROUND((FO45-MAX(FO44,0))*10,1),"")</f>
        <v/>
      </c>
      <c r="FP46" s="50" t="str">
        <f aca="false">IF(AND(ISNUMBER(FP37),ISNUMBER(FP44),ISNUMBER(FP45)),ROUND((FP45-MAX(FP44,0))*10,1),"")</f>
        <v/>
      </c>
      <c r="FQ46" s="50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74</v>
      </c>
      <c r="B47" s="20" t="s">
        <v>404</v>
      </c>
      <c r="C47" s="48" t="n">
        <f aca="false">IF(COUNT($D$47:$FQ$47)=0,"",MAX($D$47:$FQ$47))</f>
        <v>304</v>
      </c>
      <c r="D47" s="50" t="str">
        <f aca="false">IF(D38="","",ROUND(SUM($D$46:D46),1))</f>
        <v/>
      </c>
      <c r="E47" s="50" t="str">
        <f aca="false">IF(E38="","",ROUND(SUM($D$46:E46),1))</f>
        <v/>
      </c>
      <c r="F47" s="50" t="str">
        <f aca="false">IF(F38="","",ROUND(SUM($D$46:F46),1))</f>
        <v/>
      </c>
      <c r="G47" s="50" t="str">
        <f aca="false">IF(G38="","",ROUND(SUM($D$46:G46),1))</f>
        <v/>
      </c>
      <c r="H47" s="50" t="str">
        <f aca="false">IF(H38="","",ROUND(SUM($D$46:H46),1))</f>
        <v/>
      </c>
      <c r="I47" s="50" t="str">
        <f aca="false">IF(I38="","",ROUND(SUM($D$46:I46),1))</f>
        <v/>
      </c>
      <c r="J47" s="50" t="str">
        <f aca="false">IF(J38="","",ROUND(SUM($D$46:J46),1))</f>
        <v/>
      </c>
      <c r="K47" s="50" t="str">
        <f aca="false">IF(K38="","",ROUND(SUM($D$46:K46),1))</f>
        <v/>
      </c>
      <c r="L47" s="50" t="str">
        <f aca="false">IF(L38="","",ROUND(SUM($D$46:L46),1))</f>
        <v/>
      </c>
      <c r="M47" s="50" t="str">
        <f aca="false">IF(M38="","",ROUND(SUM($D$46:M46),1))</f>
        <v/>
      </c>
      <c r="N47" s="50" t="str">
        <f aca="false">IF(N38="","",ROUND(SUM($D$46:N46),1))</f>
        <v/>
      </c>
      <c r="O47" s="50" t="str">
        <f aca="false">IF(O38="","",ROUND(SUM($D$46:O46),1))</f>
        <v/>
      </c>
      <c r="P47" s="50" t="str">
        <f aca="false">IF(P38="","",ROUND(SUM($D$46:P46),1))</f>
        <v/>
      </c>
      <c r="Q47" s="50" t="str">
        <f aca="false">IF(Q38="","",ROUND(SUM($D$46:Q46),1))</f>
        <v/>
      </c>
      <c r="R47" s="50" t="str">
        <f aca="false">IF(R38="","",ROUND(SUM($D$46:R46),1))</f>
        <v/>
      </c>
      <c r="S47" s="50" t="str">
        <f aca="false">IF(S38="","",ROUND(SUM($D$46:S46),1))</f>
        <v/>
      </c>
      <c r="T47" s="50" t="str">
        <f aca="false">IF(T38="","",ROUND(SUM($D$46:T46),1))</f>
        <v/>
      </c>
      <c r="U47" s="50" t="str">
        <f aca="false">IF(U38="","",ROUND(SUM($D$46:U46),1))</f>
        <v/>
      </c>
      <c r="V47" s="50" t="str">
        <f aca="false">IF(V38="","",ROUND(SUM($D$46:V46),1))</f>
        <v/>
      </c>
      <c r="W47" s="50" t="str">
        <f aca="false">IF(W38="","",ROUND(SUM($D$46:W46),1))</f>
        <v/>
      </c>
      <c r="X47" s="50" t="str">
        <f aca="false">IF(X38="","",ROUND(SUM($D$46:X46),1))</f>
        <v/>
      </c>
      <c r="Y47" s="50" t="str">
        <f aca="false">IF(Y38="","",ROUND(SUM($D$46:Y46),1))</f>
        <v/>
      </c>
      <c r="Z47" s="50" t="str">
        <f aca="false">IF(Z38="","",ROUND(SUM($D$46:Z46),1))</f>
        <v/>
      </c>
      <c r="AA47" s="50" t="str">
        <f aca="false">IF(AA38="","",ROUND(SUM($D$46:AA46),1))</f>
        <v/>
      </c>
      <c r="AB47" s="50" t="str">
        <f aca="false">IF(AB38="","",ROUND(SUM($D$46:AB46),1))</f>
        <v/>
      </c>
      <c r="AC47" s="50" t="str">
        <f aca="false">IF(AC38="","",ROUND(SUM($D$46:AC46),1))</f>
        <v/>
      </c>
      <c r="AD47" s="50" t="str">
        <f aca="false">IF(AD38="","",ROUND(SUM($D$46:AD46),1))</f>
        <v/>
      </c>
      <c r="AE47" s="50" t="str">
        <f aca="false">IF(AE38="","",ROUND(SUM($D$46:AE46),1))</f>
        <v/>
      </c>
      <c r="AF47" s="50" t="str">
        <f aca="false">IF(AF38="","",ROUND(SUM($D$46:AF46),1))</f>
        <v/>
      </c>
      <c r="AG47" s="50" t="str">
        <f aca="false">IF(AG38="","",ROUND(SUM($D$46:AG46),1))</f>
        <v/>
      </c>
      <c r="AH47" s="50" t="str">
        <f aca="false">IF(AH38="","",ROUND(SUM($D$46:AH46),1))</f>
        <v/>
      </c>
      <c r="AI47" s="50" t="str">
        <f aca="false">IF(AI38="","",ROUND(SUM($D$46:AI46),1))</f>
        <v/>
      </c>
      <c r="AJ47" s="50" t="str">
        <f aca="false">IF(AJ38="","",ROUND(SUM($D$46:AJ46),1))</f>
        <v/>
      </c>
      <c r="AK47" s="50" t="str">
        <f aca="false">IF(AK38="","",ROUND(SUM($D$46:AK46),1))</f>
        <v/>
      </c>
      <c r="AL47" s="50" t="str">
        <f aca="false">IF(AL38="","",ROUND(SUM($D$46:AL46),1))</f>
        <v/>
      </c>
      <c r="AM47" s="50" t="str">
        <f aca="false">IF(AM38="","",ROUND(SUM($D$46:AM46),1))</f>
        <v/>
      </c>
      <c r="AN47" s="50" t="str">
        <f aca="false">IF(AN38="","",ROUND(SUM($D$46:AN46),1))</f>
        <v/>
      </c>
      <c r="AO47" s="50" t="str">
        <f aca="false">IF(AO38="","",ROUND(SUM($D$46:AO46),1))</f>
        <v/>
      </c>
      <c r="AP47" s="50" t="str">
        <f aca="false">IF(AP38="","",ROUND(SUM($D$46:AP46),1))</f>
        <v/>
      </c>
      <c r="AQ47" s="50" t="str">
        <f aca="false">IF(AQ38="","",ROUND(SUM($D$46:AQ46),1))</f>
        <v/>
      </c>
      <c r="AR47" s="50" t="str">
        <f aca="false">IF(AR38="","",ROUND(SUM($D$46:AR46),1))</f>
        <v/>
      </c>
      <c r="AS47" s="50" t="str">
        <f aca="false">IF(AS38="","",ROUND(SUM($D$46:AS46),1))</f>
        <v/>
      </c>
      <c r="AT47" s="50" t="str">
        <f aca="false">IF(AT38="","",ROUND(SUM($D$46:AT46),1))</f>
        <v/>
      </c>
      <c r="AU47" s="50" t="str">
        <f aca="false">IF(AU38="","",ROUND(SUM($D$46:AU46),1))</f>
        <v/>
      </c>
      <c r="AV47" s="50" t="str">
        <f aca="false">IF(AV38="","",ROUND(SUM($D$46:AV46),1))</f>
        <v/>
      </c>
      <c r="AW47" s="50" t="str">
        <f aca="false">IF(AW38="","",ROUND(SUM($D$46:AW46),1))</f>
        <v/>
      </c>
      <c r="AX47" s="50" t="str">
        <f aca="false">IF(AX38="","",ROUND(SUM($D$46:AX46),1))</f>
        <v/>
      </c>
      <c r="AY47" s="50" t="str">
        <f aca="false">IF(AY38="","",ROUND(SUM($D$46:AY46),1))</f>
        <v/>
      </c>
      <c r="AZ47" s="50" t="str">
        <f aca="false">IF(AZ38="","",ROUND(SUM($D$46:AZ46),1))</f>
        <v/>
      </c>
      <c r="BA47" s="50" t="str">
        <f aca="false">IF(BA38="","",ROUND(SUM($D$46:BA46),1))</f>
        <v/>
      </c>
      <c r="BB47" s="50" t="str">
        <f aca="false">IF(BB38="","",ROUND(SUM($D$46:BB46),1))</f>
        <v/>
      </c>
      <c r="BC47" s="50" t="str">
        <f aca="false">IF(BC38="","",ROUND(SUM($D$46:BC46),1))</f>
        <v/>
      </c>
      <c r="BD47" s="50" t="n">
        <f aca="false">IF(BD38="","",ROUND(SUM($D$46:BD46),1))</f>
        <v>0</v>
      </c>
      <c r="BE47" s="50" t="n">
        <f aca="false">IF(BE38="","",ROUND(SUM($D$46:BE46),1))</f>
        <v>5</v>
      </c>
      <c r="BF47" s="50" t="n">
        <f aca="false">IF(BF38="","",ROUND(SUM($D$46:BF46),1))</f>
        <v>5</v>
      </c>
      <c r="BG47" s="50" t="n">
        <f aca="false">IF(BG38="","",ROUND(SUM($D$46:BG46),1))</f>
        <v>30</v>
      </c>
      <c r="BH47" s="50" t="n">
        <f aca="false">IF(BH38="","",ROUND(SUM($D$46:BH46),1))</f>
        <v>30</v>
      </c>
      <c r="BI47" s="50" t="n">
        <f aca="false">IF(BI38="","",ROUND(SUM($D$46:BI46),1))</f>
        <v>30</v>
      </c>
      <c r="BJ47" s="50" t="n">
        <f aca="false">IF(BJ38="","",ROUND(SUM($D$46:BJ46),1))</f>
        <v>30</v>
      </c>
      <c r="BK47" s="50" t="n">
        <f aca="false">IF(BK38="","",ROUND(SUM($D$46:BK46),1))</f>
        <v>49</v>
      </c>
      <c r="BL47" s="50" t="n">
        <f aca="false">IF(BL38="","",ROUND(SUM($D$46:BL46),1))</f>
        <v>49</v>
      </c>
      <c r="BM47" s="50" t="n">
        <f aca="false">IF(BM38="","",ROUND(SUM($D$46:BM46),1))</f>
        <v>49</v>
      </c>
      <c r="BN47" s="50" t="n">
        <f aca="false">IF(BN38="","",ROUND(SUM($D$46:BN46),1))</f>
        <v>49</v>
      </c>
      <c r="BO47" s="50" t="n">
        <f aca="false">IF(BO38="","",ROUND(SUM($D$46:BO46),1))</f>
        <v>49</v>
      </c>
      <c r="BP47" s="50" t="n">
        <f aca="false">IF(BP38="","",ROUND(SUM($D$46:BP46),1))</f>
        <v>66</v>
      </c>
      <c r="BQ47" s="50" t="n">
        <f aca="false">IF(BQ38="","",ROUND(SUM($D$46:BQ46),1))</f>
        <v>66</v>
      </c>
      <c r="BR47" s="50" t="n">
        <f aca="false">IF(BR38="","",ROUND(SUM($D$46:BR46),1))</f>
        <v>66</v>
      </c>
      <c r="BS47" s="50" t="n">
        <f aca="false">IF(BS38="","",ROUND(SUM($D$46:BS46),1))</f>
        <v>66</v>
      </c>
      <c r="BT47" s="50" t="n">
        <f aca="false">IF(BT38="","",ROUND(SUM($D$46:BT46),1))</f>
        <v>66</v>
      </c>
      <c r="BU47" s="50" t="n">
        <f aca="false">IF(BU38="","",ROUND(SUM($D$46:BU46),1))</f>
        <v>66</v>
      </c>
      <c r="BV47" s="50" t="n">
        <f aca="false">IF(BV38="","",ROUND(SUM($D$46:BV46),1))</f>
        <v>66</v>
      </c>
      <c r="BW47" s="50" t="n">
        <f aca="false">IF(BW38="","",ROUND(SUM($D$46:BW46),1))</f>
        <v>86</v>
      </c>
      <c r="BX47" s="50" t="n">
        <f aca="false">IF(BX38="","",ROUND(SUM($D$46:BX46),1))</f>
        <v>86</v>
      </c>
      <c r="BY47" s="50" t="n">
        <f aca="false">IF(BY38="","",ROUND(SUM($D$46:BY46),1))</f>
        <v>86</v>
      </c>
      <c r="BZ47" s="50" t="n">
        <f aca="false">IF(BZ38="","",ROUND(SUM($D$46:BZ46),1))</f>
        <v>86</v>
      </c>
      <c r="CA47" s="50" t="str">
        <f aca="false">IF(CA38="","",ROUND(SUM($D$46:CA46),1))</f>
        <v/>
      </c>
      <c r="CB47" s="50" t="n">
        <f aca="false">IF(CB38="","",ROUND(SUM($D$46:CB46),1))</f>
        <v>86</v>
      </c>
      <c r="CC47" s="50" t="n">
        <f aca="false">IF(CC38="","",ROUND(SUM($D$46:CC46),1))</f>
        <v>86</v>
      </c>
      <c r="CD47" s="50" t="n">
        <f aca="false">IF(CD38="","",ROUND(SUM($D$46:CD46),1))</f>
        <v>109</v>
      </c>
      <c r="CE47" s="50" t="n">
        <f aca="false">IF(CE38="","",ROUND(SUM($D$46:CE46),1))</f>
        <v>109</v>
      </c>
      <c r="CF47" s="50" t="n">
        <f aca="false">IF(CF38="","",ROUND(SUM($D$46:CF46),1))</f>
        <v>109</v>
      </c>
      <c r="CG47" s="50" t="n">
        <f aca="false">IF(CG38="","",ROUND(SUM($D$46:CG46),1))</f>
        <v>109</v>
      </c>
      <c r="CH47" s="50" t="n">
        <f aca="false">IF(CH38="","",ROUND(SUM($D$46:CH46),1))</f>
        <v>139</v>
      </c>
      <c r="CI47" s="50" t="n">
        <f aca="false">IF(CI38="","",ROUND(SUM($D$46:CI46),1))</f>
        <v>139</v>
      </c>
      <c r="CJ47" s="50" t="n">
        <f aca="false">IF(CJ38="","",ROUND(SUM($D$46:CJ46),1))</f>
        <v>139</v>
      </c>
      <c r="CK47" s="50" t="n">
        <f aca="false">IF(CK38="","",ROUND(SUM($D$46:CK46),1))</f>
        <v>139</v>
      </c>
      <c r="CL47" s="50" t="n">
        <f aca="false">IF(CL38="","",ROUND(SUM($D$46:CL46),1))</f>
        <v>139</v>
      </c>
      <c r="CM47" s="50" t="n">
        <f aca="false">IF(CM38="","",ROUND(SUM($D$46:CM46),1))</f>
        <v>139</v>
      </c>
      <c r="CN47" s="50" t="n">
        <f aca="false">IF(CN38="","",ROUND(SUM($D$46:CN46),1))</f>
        <v>139</v>
      </c>
      <c r="CO47" s="50" t="n">
        <f aca="false">IF(CO38="","",ROUND(SUM($D$46:CO46),1))</f>
        <v>139</v>
      </c>
      <c r="CP47" s="50" t="n">
        <f aca="false">IF(CP38="","",ROUND(SUM($D$46:CP46),1))</f>
        <v>139</v>
      </c>
      <c r="CQ47" s="50" t="n">
        <f aca="false">IF(CQ38="","",ROUND(SUM($D$46:CQ46),1))</f>
        <v>139</v>
      </c>
      <c r="CR47" s="50" t="n">
        <f aca="false">IF(CR38="","",ROUND(SUM($D$46:CR46),1))</f>
        <v>139</v>
      </c>
      <c r="CS47" s="50" t="n">
        <f aca="false">IF(CS38="","",ROUND(SUM($D$46:CS46),1))</f>
        <v>139</v>
      </c>
      <c r="CT47" s="50" t="n">
        <f aca="false">IF(CT38="","",ROUND(SUM($D$46:CT46),1))</f>
        <v>139</v>
      </c>
      <c r="CU47" s="50" t="n">
        <f aca="false">IF(CU38="","",ROUND(SUM($D$46:CU46),1))</f>
        <v>139</v>
      </c>
      <c r="CV47" s="50" t="n">
        <f aca="false">IF(CV38="","",ROUND(SUM($D$46:CV46),1))</f>
        <v>139</v>
      </c>
      <c r="CW47" s="50" t="n">
        <f aca="false">IF(CW38="","",ROUND(SUM($D$46:CW46),1))</f>
        <v>154</v>
      </c>
      <c r="CX47" s="50" t="n">
        <f aca="false">IF(CX38="","",ROUND(SUM($D$46:CX46),1))</f>
        <v>154</v>
      </c>
      <c r="CY47" s="50" t="n">
        <f aca="false">IF(CY38="","",ROUND(SUM($D$46:CY46),1))</f>
        <v>154</v>
      </c>
      <c r="CZ47" s="50" t="n">
        <f aca="false">IF(CZ38="","",ROUND(SUM($D$46:CZ46),1))</f>
        <v>172</v>
      </c>
      <c r="DA47" s="50" t="n">
        <f aca="false">IF(DA38="","",ROUND(SUM($D$46:DA46),1))</f>
        <v>172</v>
      </c>
      <c r="DB47" s="50" t="n">
        <f aca="false">IF(DB38="","",ROUND(SUM($D$46:DB46),1))</f>
        <v>172</v>
      </c>
      <c r="DC47" s="50" t="n">
        <f aca="false">IF(DC38="","",ROUND(SUM($D$46:DC46),1))</f>
        <v>194</v>
      </c>
      <c r="DD47" s="50" t="n">
        <f aca="false">IF(DD38="","",ROUND(SUM($D$46:DD46),1))</f>
        <v>194</v>
      </c>
      <c r="DE47" s="50" t="n">
        <f aca="false">IF(DE38="","",ROUND(SUM($D$46:DE46),1))</f>
        <v>194</v>
      </c>
      <c r="DF47" s="50" t="n">
        <f aca="false">IF(DF38="","",ROUND(SUM($D$46:DF46),1))</f>
        <v>194</v>
      </c>
      <c r="DG47" s="50" t="n">
        <f aca="false">IF(DG38="","",ROUND(SUM($D$46:DG46),1))</f>
        <v>204</v>
      </c>
      <c r="DH47" s="50" t="n">
        <f aca="false">IF(DH38="","",ROUND(SUM($D$46:DH46),1))</f>
        <v>204</v>
      </c>
      <c r="DI47" s="50" t="n">
        <f aca="false">IF(DI38="","",ROUND(SUM($D$46:DI46),1))</f>
        <v>204</v>
      </c>
      <c r="DJ47" s="50" t="n">
        <f aca="false">IF(DJ38="","",ROUND(SUM($D$46:DJ46),1))</f>
        <v>204</v>
      </c>
      <c r="DK47" s="50" t="n">
        <f aca="false">IF(DK38="","",ROUND(SUM($D$46:DK46),1))</f>
        <v>204</v>
      </c>
      <c r="DL47" s="50" t="str">
        <f aca="false">IF(DL38="","",ROUND(SUM($D$46:DL46),1))</f>
        <v/>
      </c>
      <c r="DM47" s="50" t="n">
        <f aca="false">IF(DM38="","",ROUND(SUM($D$46:DM46),1))</f>
        <v>204</v>
      </c>
      <c r="DN47" s="50" t="n">
        <f aca="false">IF(DN38="","",ROUND(SUM($D$46:DN46),1))</f>
        <v>219</v>
      </c>
      <c r="DO47" s="50" t="n">
        <f aca="false">IF(DO38="","",ROUND(SUM($D$46:DO46),1))</f>
        <v>219</v>
      </c>
      <c r="DP47" s="50" t="n">
        <f aca="false">IF(DP38="","",ROUND(SUM($D$46:DP46),1))</f>
        <v>219</v>
      </c>
      <c r="DQ47" s="50" t="n">
        <f aca="false">IF(DQ38="","",ROUND(SUM($D$46:DQ46),1))</f>
        <v>219</v>
      </c>
      <c r="DR47" s="50" t="n">
        <f aca="false">IF(DR38="","",ROUND(SUM($D$46:DR46),1))</f>
        <v>219</v>
      </c>
      <c r="DS47" s="50" t="n">
        <f aca="false">IF(DS38="","",ROUND(SUM($D$46:DS46),1))</f>
        <v>219</v>
      </c>
      <c r="DT47" s="50" t="n">
        <f aca="false">IF(DT38="","",ROUND(SUM($D$46:DT46),1))</f>
        <v>219</v>
      </c>
      <c r="DU47" s="50" t="n">
        <f aca="false">IF(DU38="","",ROUND(SUM($D$46:DU46),1))</f>
        <v>239</v>
      </c>
      <c r="DV47" s="50" t="n">
        <f aca="false">IF(DV38="","",ROUND(SUM($D$46:DV46),1))</f>
        <v>239</v>
      </c>
      <c r="DW47" s="50" t="n">
        <f aca="false">IF(DW38="","",ROUND(SUM($D$46:DW46),1))</f>
        <v>239</v>
      </c>
      <c r="DX47" s="50" t="n">
        <f aca="false">IF(DX38="","",ROUND(SUM($D$46:DX46),1))</f>
        <v>239</v>
      </c>
      <c r="DY47" s="50" t="n">
        <f aca="false">IF(DY38="","",ROUND(SUM($D$46:DY46),1))</f>
        <v>239</v>
      </c>
      <c r="DZ47" s="50" t="n">
        <f aca="false">IF(DZ38="","",ROUND(SUM($D$46:DZ46),1))</f>
        <v>239</v>
      </c>
      <c r="EA47" s="50" t="n">
        <f aca="false">IF(EA38="","",ROUND(SUM($D$46:EA46),1))</f>
        <v>239</v>
      </c>
      <c r="EB47" s="50" t="n">
        <f aca="false">IF(EB38="","",ROUND(SUM($D$46:EB46),1))</f>
        <v>259</v>
      </c>
      <c r="EC47" s="50" t="n">
        <f aca="false">IF(EC38="","",ROUND(SUM($D$46:EC46),1))</f>
        <v>259</v>
      </c>
      <c r="ED47" s="50" t="n">
        <f aca="false">IF(ED38="","",ROUND(SUM($D$46:ED46),1))</f>
        <v>259</v>
      </c>
      <c r="EE47" s="50" t="n">
        <f aca="false">IF(EE38="","",ROUND(SUM($D$46:EE46),1))</f>
        <v>259</v>
      </c>
      <c r="EF47" s="50" t="n">
        <f aca="false">IF(EF38="","",ROUND(SUM($D$46:EF46),1))</f>
        <v>259</v>
      </c>
      <c r="EG47" s="50" t="n">
        <f aca="false">IF(EG38="","",ROUND(SUM($D$46:EG46),1))</f>
        <v>259</v>
      </c>
      <c r="EH47" s="50" t="n">
        <f aca="false">IF(EH38="","",ROUND(SUM($D$46:EH46),1))</f>
        <v>259</v>
      </c>
      <c r="EI47" s="50" t="n">
        <f aca="false">IF(EI38="","",ROUND(SUM($D$46:EI46),1))</f>
        <v>259</v>
      </c>
      <c r="EJ47" s="50" t="n">
        <f aca="false">IF(EJ38="","",ROUND(SUM($D$46:EJ46),1))</f>
        <v>304</v>
      </c>
      <c r="EK47" s="50" t="n">
        <f aca="false">IF(EK38="","",ROUND(SUM($D$46:EK46),1))</f>
        <v>304</v>
      </c>
      <c r="EL47" s="50" t="n">
        <f aca="false">IF(EL38="","",ROUND(SUM($D$46:EL46),1))</f>
        <v>304</v>
      </c>
      <c r="EM47" s="50" t="n">
        <f aca="false">IF(EM38="","",ROUND(SUM($D$46:EM46),1))</f>
        <v>304</v>
      </c>
      <c r="EN47" s="50" t="n">
        <f aca="false">IF(EN38="","",ROUND(SUM($D$46:EN46),1))</f>
        <v>304</v>
      </c>
      <c r="EO47" s="50" t="n">
        <f aca="false">IF(EO38="","",ROUND(SUM($D$46:EO46),1))</f>
        <v>304</v>
      </c>
      <c r="EP47" s="50" t="n">
        <f aca="false">IF(EP38="","",ROUND(SUM($D$46:EP46),1))</f>
        <v>304</v>
      </c>
      <c r="EQ47" s="50" t="n">
        <f aca="false">IF(EQ38="","",ROUND(SUM($D$46:EQ46),1))</f>
        <v>304</v>
      </c>
      <c r="ER47" s="50" t="n">
        <f aca="false">IF(ER38="","",ROUND(SUM($D$46:ER46),1))</f>
        <v>304</v>
      </c>
      <c r="ES47" s="50" t="n">
        <f aca="false">IF(ES38="","",ROUND(SUM($D$46:ES46),1))</f>
        <v>304</v>
      </c>
      <c r="ET47" s="50" t="n">
        <f aca="false">IF(ET38="","",ROUND(SUM($D$46:ET46),1))</f>
        <v>304</v>
      </c>
      <c r="EU47" s="50" t="str">
        <f aca="false">IF(EU38="","",ROUND(SUM($D$46:EU46),1))</f>
        <v/>
      </c>
      <c r="EV47" s="50" t="str">
        <f aca="false">IF(EV38="","",ROUND(SUM($D$46:EV46),1))</f>
        <v/>
      </c>
      <c r="EW47" s="50" t="str">
        <f aca="false">IF(EW38="","",ROUND(SUM($D$46:EW46),1))</f>
        <v/>
      </c>
      <c r="EX47" s="50" t="str">
        <f aca="false">IF(EX38="","",ROUND(SUM($D$46:EX46),1))</f>
        <v/>
      </c>
      <c r="EY47" s="50" t="str">
        <f aca="false">IF(EY38="","",ROUND(SUM($D$46:EY46),1))</f>
        <v/>
      </c>
      <c r="EZ47" s="50" t="str">
        <f aca="false">IF(EZ38="","",ROUND(SUM($D$46:EZ46),1))</f>
        <v/>
      </c>
      <c r="FA47" s="50" t="str">
        <f aca="false">IF(FA38="","",ROUND(SUM($D$46:FA46),1))</f>
        <v/>
      </c>
      <c r="FB47" s="50" t="str">
        <f aca="false">IF(FB38="","",ROUND(SUM($D$46:FB46),1))</f>
        <v/>
      </c>
      <c r="FC47" s="50" t="str">
        <f aca="false">IF(FC38="","",ROUND(SUM($D$46:FC46),1))</f>
        <v/>
      </c>
      <c r="FD47" s="50" t="str">
        <f aca="false">IF(FD38="","",ROUND(SUM($D$46:FD46),1))</f>
        <v/>
      </c>
      <c r="FE47" s="50" t="str">
        <f aca="false">IF(FE38="","",ROUND(SUM($D$46:FE46),1))</f>
        <v/>
      </c>
      <c r="FF47" s="50" t="str">
        <f aca="false">IF(FF38="","",ROUND(SUM($D$46:FF46),1))</f>
        <v/>
      </c>
      <c r="FG47" s="50" t="str">
        <f aca="false">IF(FG38="","",ROUND(SUM($D$46:FG46),1))</f>
        <v/>
      </c>
      <c r="FH47" s="50" t="str">
        <f aca="false">IF(FH38="","",ROUND(SUM($D$46:FH46),1))</f>
        <v/>
      </c>
      <c r="FI47" s="50" t="str">
        <f aca="false">IF(FI38="","",ROUND(SUM($D$46:FI46),1))</f>
        <v/>
      </c>
      <c r="FJ47" s="50" t="str">
        <f aca="false">IF(FJ38="","",ROUND(SUM($D$46:FJ46),1))</f>
        <v/>
      </c>
      <c r="FK47" s="50" t="str">
        <f aca="false">IF(FK38="","",ROUND(SUM($D$46:FK46),1))</f>
        <v/>
      </c>
      <c r="FL47" s="50" t="str">
        <f aca="false">IF(FL38="","",ROUND(SUM($D$46:FL46),1))</f>
        <v/>
      </c>
      <c r="FM47" s="50" t="str">
        <f aca="false">IF(FM38="","",ROUND(SUM($D$46:FM46),1))</f>
        <v/>
      </c>
      <c r="FN47" s="50" t="str">
        <f aca="false">IF(FN38="","",ROUND(SUM($D$46:FN46),1))</f>
        <v/>
      </c>
      <c r="FO47" s="50" t="str">
        <f aca="false">IF(FO38="","",ROUND(SUM($D$46:FO46),1))</f>
        <v/>
      </c>
      <c r="FP47" s="50" t="str">
        <f aca="false">IF(FP38="","",ROUND(SUM($D$46:FP46),1))</f>
        <v/>
      </c>
      <c r="FQ47" s="50" t="str">
        <f aca="false">IF(FQ38="","",ROUND(SUM($D$46:FQ46),1))</f>
        <v/>
      </c>
    </row>
    <row r="48" customFormat="false" ht="15" hidden="false" customHeight="false" outlineLevel="0" collapsed="false">
      <c r="A48" s="33" t="s">
        <v>74</v>
      </c>
      <c r="B48" s="20" t="s">
        <v>405</v>
      </c>
      <c r="D48" s="50" t="str">
        <f aca="false">""</f>
        <v/>
      </c>
      <c r="E48" s="50" t="str">
        <f aca="false">IF(AND(ISNUMBER(D57),ISNUMBER(E38)),ROUND((D57-E38)*10,1),"")</f>
        <v/>
      </c>
      <c r="F48" s="50" t="str">
        <f aca="false">IF(AND(ISNUMBER(E57),ISNUMBER(F38)),ROUND((E57-F38)*10,1),"")</f>
        <v/>
      </c>
      <c r="G48" s="50" t="str">
        <f aca="false">IF(AND(ISNUMBER(F57),ISNUMBER(G38)),ROUND((F57-G38)*10,1),"")</f>
        <v/>
      </c>
      <c r="H48" s="50" t="str">
        <f aca="false">IF(AND(ISNUMBER(G57),ISNUMBER(H38)),ROUND((G57-H38)*10,1),"")</f>
        <v/>
      </c>
      <c r="I48" s="50" t="str">
        <f aca="false">IF(AND(ISNUMBER(H57),ISNUMBER(I38)),ROUND((H57-I38)*10,1),"")</f>
        <v/>
      </c>
      <c r="J48" s="50" t="str">
        <f aca="false">IF(AND(ISNUMBER(I57),ISNUMBER(J38)),ROUND((I57-J38)*10,1),"")</f>
        <v/>
      </c>
      <c r="K48" s="50" t="str">
        <f aca="false">IF(AND(ISNUMBER(J57),ISNUMBER(K38)),ROUND((J57-K38)*10,1),"")</f>
        <v/>
      </c>
      <c r="L48" s="50" t="str">
        <f aca="false">IF(AND(ISNUMBER(K57),ISNUMBER(L38)),ROUND((K57-L38)*10,1),"")</f>
        <v/>
      </c>
      <c r="M48" s="50" t="str">
        <f aca="false">IF(AND(ISNUMBER(L57),ISNUMBER(M38)),ROUND((L57-M38)*10,1),"")</f>
        <v/>
      </c>
      <c r="N48" s="50" t="str">
        <f aca="false">IF(AND(ISNUMBER(M57),ISNUMBER(N38)),ROUND((M57-N38)*10,1),"")</f>
        <v/>
      </c>
      <c r="O48" s="50" t="str">
        <f aca="false">IF(AND(ISNUMBER(N57),ISNUMBER(O38)),ROUND((N57-O38)*10,1),"")</f>
        <v/>
      </c>
      <c r="P48" s="50" t="str">
        <f aca="false">IF(AND(ISNUMBER(O57),ISNUMBER(P38)),ROUND((O57-P38)*10,1),"")</f>
        <v/>
      </c>
      <c r="Q48" s="50" t="str">
        <f aca="false">IF(AND(ISNUMBER(P57),ISNUMBER(Q38)),ROUND((P57-Q38)*10,1),"")</f>
        <v/>
      </c>
      <c r="R48" s="50" t="str">
        <f aca="false">IF(AND(ISNUMBER(Q57),ISNUMBER(R38)),ROUND((Q57-R38)*10,1),"")</f>
        <v/>
      </c>
      <c r="S48" s="50" t="str">
        <f aca="false">IF(AND(ISNUMBER(R57),ISNUMBER(S38)),ROUND((R57-S38)*10,1),"")</f>
        <v/>
      </c>
      <c r="T48" s="50" t="str">
        <f aca="false">IF(AND(ISNUMBER(S57),ISNUMBER(T38)),ROUND((S57-T38)*10,1),"")</f>
        <v/>
      </c>
      <c r="U48" s="50" t="str">
        <f aca="false">IF(AND(ISNUMBER(T57),ISNUMBER(U38)),ROUND((T57-U38)*10,1),"")</f>
        <v/>
      </c>
      <c r="V48" s="50" t="str">
        <f aca="false">IF(AND(ISNUMBER(U57),ISNUMBER(V38)),ROUND((U57-V38)*10,1),"")</f>
        <v/>
      </c>
      <c r="W48" s="50" t="str">
        <f aca="false">IF(AND(ISNUMBER(V57),ISNUMBER(W38)),ROUND((V57-W38)*10,1),"")</f>
        <v/>
      </c>
      <c r="X48" s="50" t="str">
        <f aca="false">IF(AND(ISNUMBER(W57),ISNUMBER(X38)),ROUND((W57-X38)*10,1),"")</f>
        <v/>
      </c>
      <c r="Y48" s="50" t="str">
        <f aca="false">IF(AND(ISNUMBER(X57),ISNUMBER(Y38)),ROUND((X57-Y38)*10,1),"")</f>
        <v/>
      </c>
      <c r="Z48" s="50" t="str">
        <f aca="false">IF(AND(ISNUMBER(Y57),ISNUMBER(Z38)),ROUND((Y57-Z38)*10,1),"")</f>
        <v/>
      </c>
      <c r="AA48" s="50" t="str">
        <f aca="false">IF(AND(ISNUMBER(Z57),ISNUMBER(AA38)),ROUND((Z57-AA38)*10,1),"")</f>
        <v/>
      </c>
      <c r="AB48" s="50" t="str">
        <f aca="false">IF(AND(ISNUMBER(AA57),ISNUMBER(AB38)),ROUND((AA57-AB38)*10,1),"")</f>
        <v/>
      </c>
      <c r="AC48" s="50" t="str">
        <f aca="false">IF(AND(ISNUMBER(AB57),ISNUMBER(AC38)),ROUND((AB57-AC38)*10,1),"")</f>
        <v/>
      </c>
      <c r="AD48" s="50" t="str">
        <f aca="false">IF(AND(ISNUMBER(AC57),ISNUMBER(AD38)),ROUND((AC57-AD38)*10,1),"")</f>
        <v/>
      </c>
      <c r="AE48" s="50" t="str">
        <f aca="false">IF(AND(ISNUMBER(AD57),ISNUMBER(AE38)),ROUND((AD57-AE38)*10,1),"")</f>
        <v/>
      </c>
      <c r="AF48" s="50" t="str">
        <f aca="false">IF(AND(ISNUMBER(AE57),ISNUMBER(AF38)),ROUND((AE57-AF38)*10,1),"")</f>
        <v/>
      </c>
      <c r="AG48" s="50" t="str">
        <f aca="false">IF(AND(ISNUMBER(AF57),ISNUMBER(AG38)),ROUND((AF57-AG38)*10,1),"")</f>
        <v/>
      </c>
      <c r="AH48" s="50" t="str">
        <f aca="false">IF(AND(ISNUMBER(AG57),ISNUMBER(AH38)),ROUND((AG57-AH38)*10,1),"")</f>
        <v/>
      </c>
      <c r="AI48" s="50" t="str">
        <f aca="false">IF(AND(ISNUMBER(AH57),ISNUMBER(AI38)),ROUND((AH57-AI38)*10,1),"")</f>
        <v/>
      </c>
      <c r="AJ48" s="50" t="str">
        <f aca="false">IF(AND(ISNUMBER(AI57),ISNUMBER(AJ38)),ROUND((AI57-AJ38)*10,1),"")</f>
        <v/>
      </c>
      <c r="AK48" s="50" t="str">
        <f aca="false">IF(AND(ISNUMBER(AJ57),ISNUMBER(AK38)),ROUND((AJ57-AK38)*10,1),"")</f>
        <v/>
      </c>
      <c r="AL48" s="50" t="str">
        <f aca="false">IF(AND(ISNUMBER(AK57),ISNUMBER(AL38)),ROUND((AK57-AL38)*10,1),"")</f>
        <v/>
      </c>
      <c r="AM48" s="50" t="str">
        <f aca="false">IF(AND(ISNUMBER(AL57),ISNUMBER(AM38)),ROUND((AL57-AM38)*10,1),"")</f>
        <v/>
      </c>
      <c r="AN48" s="50" t="str">
        <f aca="false">IF(AND(ISNUMBER(AM57),ISNUMBER(AN38)),ROUND((AM57-AN38)*10,1),"")</f>
        <v/>
      </c>
      <c r="AO48" s="50" t="str">
        <f aca="false">IF(AND(ISNUMBER(AN57),ISNUMBER(AO38)),ROUND((AN57-AO38)*10,1),"")</f>
        <v/>
      </c>
      <c r="AP48" s="50" t="str">
        <f aca="false">IF(AND(ISNUMBER(AO57),ISNUMBER(AP38)),ROUND((AO57-AP38)*10,1),"")</f>
        <v/>
      </c>
      <c r="AQ48" s="50" t="str">
        <f aca="false">IF(AND(ISNUMBER(AP57),ISNUMBER(AQ38)),ROUND((AP57-AQ38)*10,1),"")</f>
        <v/>
      </c>
      <c r="AR48" s="50" t="str">
        <f aca="false">IF(AND(ISNUMBER(AQ57),ISNUMBER(AR38)),ROUND((AQ57-AR38)*10,1),"")</f>
        <v/>
      </c>
      <c r="AS48" s="50" t="str">
        <f aca="false">IF(AND(ISNUMBER(AR57),ISNUMBER(AS38)),ROUND((AR57-AS38)*10,1),"")</f>
        <v/>
      </c>
      <c r="AT48" s="50" t="str">
        <f aca="false">IF(AND(ISNUMBER(AS57),ISNUMBER(AT38)),ROUND((AS57-AT38)*10,1),"")</f>
        <v/>
      </c>
      <c r="AU48" s="50" t="str">
        <f aca="false">IF(AND(ISNUMBER(AT57),ISNUMBER(AU38)),ROUND((AT57-AU38)*10,1),"")</f>
        <v/>
      </c>
      <c r="AV48" s="50" t="str">
        <f aca="false">IF(AND(ISNUMBER(AU57),ISNUMBER(AV38)),ROUND((AU57-AV38)*10,1),"")</f>
        <v/>
      </c>
      <c r="AW48" s="50" t="str">
        <f aca="false">IF(AND(ISNUMBER(AV57),ISNUMBER(AW38)),ROUND((AV57-AW38)*10,1),"")</f>
        <v/>
      </c>
      <c r="AX48" s="50" t="str">
        <f aca="false">IF(AND(ISNUMBER(AW57),ISNUMBER(AX38)),ROUND((AW57-AX38)*10,1),"")</f>
        <v/>
      </c>
      <c r="AY48" s="50" t="str">
        <f aca="false">IF(AND(ISNUMBER(AX57),ISNUMBER(AY38)),ROUND((AX57-AY38)*10,1),"")</f>
        <v/>
      </c>
      <c r="AZ48" s="50" t="str">
        <f aca="false">IF(AND(ISNUMBER(AY57),ISNUMBER(AZ38)),ROUND((AY57-AZ38)*10,1),"")</f>
        <v/>
      </c>
      <c r="BA48" s="50" t="str">
        <f aca="false">IF(AND(ISNUMBER(AZ57),ISNUMBER(BA38)),ROUND((AZ57-BA38)*10,1),"")</f>
        <v/>
      </c>
      <c r="BB48" s="50" t="str">
        <f aca="false">IF(AND(ISNUMBER(BA57),ISNUMBER(BB38)),ROUND((BA57-BB38)*10,1),"")</f>
        <v/>
      </c>
      <c r="BC48" s="50" t="str">
        <f aca="false">IF(AND(ISNUMBER(BB57),ISNUMBER(BC38)),ROUND((BB57-BC38)*10,1),"")</f>
        <v/>
      </c>
      <c r="BD48" s="50" t="str">
        <f aca="false">IF(AND(ISNUMBER(BC57),ISNUMBER(BD38)),ROUND((BC57-BD38)*10,1),"")</f>
        <v/>
      </c>
      <c r="BE48" s="50" t="n">
        <f aca="false">IF(AND(ISNUMBER(BD57),ISNUMBER(BE38)),ROUND((BD57-BE38)*10,1),"")</f>
        <v>3</v>
      </c>
      <c r="BF48" s="50" t="n">
        <f aca="false">IF(AND(ISNUMBER(BE57),ISNUMBER(BF38)),ROUND((BE57-BF38)*10,1),"")</f>
        <v>2</v>
      </c>
      <c r="BG48" s="50" t="n">
        <f aca="false">IF(AND(ISNUMBER(BF57),ISNUMBER(BG38)),ROUND((BF57-BG38)*10,1),"")</f>
        <v>3</v>
      </c>
      <c r="BH48" s="50" t="n">
        <f aca="false">IF(AND(ISNUMBER(BG57),ISNUMBER(BH38)),ROUND((BG57-BH38)*10,1),"")</f>
        <v>3</v>
      </c>
      <c r="BI48" s="50" t="n">
        <f aca="false">IF(AND(ISNUMBER(BH57),ISNUMBER(BI38)),ROUND((BH57-BI38)*10,1),"")</f>
        <v>9</v>
      </c>
      <c r="BJ48" s="50" t="n">
        <f aca="false">IF(AND(ISNUMBER(BI57),ISNUMBER(BJ38)),ROUND((BI57-BJ38)*10,1),"")</f>
        <v>2</v>
      </c>
      <c r="BK48" s="50" t="n">
        <f aca="false">IF(AND(ISNUMBER(BJ57),ISNUMBER(BK38)),ROUND((BJ57-BK38)*10,1),"")</f>
        <v>6</v>
      </c>
      <c r="BL48" s="50" t="n">
        <f aca="false">IF(AND(ISNUMBER(BK57),ISNUMBER(BL38)),ROUND((BK57-BL38)*10,1),"")</f>
        <v>4</v>
      </c>
      <c r="BM48" s="50" t="n">
        <f aca="false">IF(AND(ISNUMBER(BL57),ISNUMBER(BM38)),ROUND((BL57-BM38)*10,1),"")</f>
        <v>5</v>
      </c>
      <c r="BN48" s="50" t="n">
        <f aca="false">IF(AND(ISNUMBER(BM57),ISNUMBER(BN38)),ROUND((BM57-BN38)*10,1),"")</f>
        <v>5</v>
      </c>
      <c r="BO48" s="50" t="n">
        <f aca="false">IF(AND(ISNUMBER(BN57),ISNUMBER(BO38)),ROUND((BN57-BO38)*10,1),"")</f>
        <v>5</v>
      </c>
      <c r="BP48" s="50" t="n">
        <f aca="false">IF(AND(ISNUMBER(BO57),ISNUMBER(BP38)),ROUND((BO57-BP38)*10,1),"")</f>
        <v>2</v>
      </c>
      <c r="BQ48" s="50" t="n">
        <f aca="false">IF(AND(ISNUMBER(BP57),ISNUMBER(BQ38)),ROUND((BP57-BQ38)*10,1),"")</f>
        <v>5</v>
      </c>
      <c r="BR48" s="50" t="n">
        <f aca="false">IF(AND(ISNUMBER(BQ57),ISNUMBER(BR38)),ROUND((BQ57-BR38)*10,1),"")</f>
        <v>5</v>
      </c>
      <c r="BS48" s="50" t="n">
        <f aca="false">IF(AND(ISNUMBER(BR57),ISNUMBER(BS38)),ROUND((BR57-BS38)*10,1),"")</f>
        <v>5</v>
      </c>
      <c r="BT48" s="50" t="n">
        <f aca="false">IF(AND(ISNUMBER(BS57),ISNUMBER(BT38)),ROUND((BS57-BT38)*10,1),"")</f>
        <v>2</v>
      </c>
      <c r="BU48" s="50" t="n">
        <f aca="false">IF(AND(ISNUMBER(BT57),ISNUMBER(BU38)),ROUND((BT57-BU38)*10,1),"")</f>
        <v>2</v>
      </c>
      <c r="BV48" s="50" t="n">
        <f aca="false">IF(AND(ISNUMBER(BU57),ISNUMBER(BV38)),ROUND((BU57-BV38)*10,1),"")</f>
        <v>1</v>
      </c>
      <c r="BW48" s="50" t="n">
        <f aca="false">IF(AND(ISNUMBER(BV57),ISNUMBER(BW38)),ROUND((BV57-BW38)*10,1),"")</f>
        <v>5</v>
      </c>
      <c r="BX48" s="50" t="n">
        <f aca="false">IF(AND(ISNUMBER(BW57),ISNUMBER(BX38)),ROUND((BW57-BX38)*10,1),"")</f>
        <v>2</v>
      </c>
      <c r="BY48" s="50" t="n">
        <f aca="false">IF(AND(ISNUMBER(BX57),ISNUMBER(BY38)),ROUND((BX57-BY38)*10,1),"")</f>
        <v>3</v>
      </c>
      <c r="BZ48" s="50" t="n">
        <f aca="false">IF(AND(ISNUMBER(BY57),ISNUMBER(BZ38)),ROUND((BY57-BZ38)*10,1),"")</f>
        <v>5</v>
      </c>
      <c r="CA48" s="50" t="str">
        <f aca="false">IF(AND(ISNUMBER(BZ57),ISNUMBER(CA38)),ROUND((BZ57-CA38)*10,1),"")</f>
        <v/>
      </c>
      <c r="CB48" s="50" t="str">
        <f aca="false">IF(AND(ISNUMBER(CA57),ISNUMBER(CB38)),ROUND((CA57-CB38)*10,1),"")</f>
        <v/>
      </c>
      <c r="CC48" s="50" t="n">
        <f aca="false">IF(AND(ISNUMBER(CB57),ISNUMBER(CC38)),ROUND((CB57-CC38)*10,1),"")</f>
        <v>12</v>
      </c>
      <c r="CD48" s="50" t="n">
        <f aca="false">IF(AND(ISNUMBER(CC57),ISNUMBER(CD38)),ROUND((CC57-CD38)*10,1),"")</f>
        <v>5</v>
      </c>
      <c r="CE48" s="50" t="n">
        <f aca="false">IF(AND(ISNUMBER(CD57),ISNUMBER(CE38)),ROUND((CD57-CE38)*10,1),"")</f>
        <v>3</v>
      </c>
      <c r="CF48" s="50" t="n">
        <f aca="false">IF(AND(ISNUMBER(CE57),ISNUMBER(CF38)),ROUND((CE57-CF38)*10,1),"")</f>
        <v>3</v>
      </c>
      <c r="CG48" s="50" t="n">
        <f aca="false">IF(AND(ISNUMBER(CF57),ISNUMBER(CG38)),ROUND((CF57-CG38)*10,1),"")</f>
        <v>2</v>
      </c>
      <c r="CH48" s="50" t="n">
        <f aca="false">IF(AND(ISNUMBER(CG57),ISNUMBER(CH38)),ROUND((CG57-CH38)*10,1),"")</f>
        <v>5</v>
      </c>
      <c r="CI48" s="50" t="n">
        <f aca="false">IF(AND(ISNUMBER(CH57),ISNUMBER(CI38)),ROUND((CH57-CI38)*10,1),"")</f>
        <v>2</v>
      </c>
      <c r="CJ48" s="50" t="n">
        <f aca="false">IF(AND(ISNUMBER(CI57),ISNUMBER(CJ38)),ROUND((CI57-CJ38)*10,1),"")</f>
        <v>6</v>
      </c>
      <c r="CK48" s="50" t="n">
        <f aca="false">IF(AND(ISNUMBER(CJ57),ISNUMBER(CK38)),ROUND((CJ57-CK38)*10,1),"")</f>
        <v>17</v>
      </c>
      <c r="CL48" s="50" t="n">
        <f aca="false">IF(AND(ISNUMBER(CK57),ISNUMBER(CL38)),ROUND((CK57-CL38)*10,1),"")</f>
        <v>15</v>
      </c>
      <c r="CM48" s="50" t="n">
        <f aca="false">IF(AND(ISNUMBER(CL57),ISNUMBER(CM38)),ROUND((CL57-CM38)*10,1),"")</f>
        <v>3</v>
      </c>
      <c r="CN48" s="50" t="n">
        <f aca="false">IF(AND(ISNUMBER(CM57),ISNUMBER(CN38)),ROUND((CM57-CN38)*10,1),"")</f>
        <v>7</v>
      </c>
      <c r="CO48" s="50" t="n">
        <f aca="false">IF(AND(ISNUMBER(CN57),ISNUMBER(CO38)),ROUND((CN57-CO38)*10,1),"")</f>
        <v>40</v>
      </c>
      <c r="CP48" s="50" t="n">
        <f aca="false">IF(AND(ISNUMBER(CO57),ISNUMBER(CP38)),ROUND((CO57-CP38)*10,1),"")</f>
        <v>30</v>
      </c>
      <c r="CQ48" s="50" t="n">
        <f aca="false">IF(AND(ISNUMBER(CP57),ISNUMBER(CQ38)),ROUND((CP57-CQ38)*10,1),"")</f>
        <v>70</v>
      </c>
      <c r="CR48" s="50" t="n">
        <f aca="false">IF(AND(ISNUMBER(CQ57),ISNUMBER(CR38)),ROUND((CQ57-CR38)*10,1),"")</f>
        <v>0</v>
      </c>
      <c r="CS48" s="50" t="n">
        <f aca="false">IF(AND(ISNUMBER(CR57),ISNUMBER(CS38)),ROUND((CR57-CS38)*10,1),"")</f>
        <v>0</v>
      </c>
      <c r="CT48" s="50" t="n">
        <f aca="false">IF(AND(ISNUMBER(CS57),ISNUMBER(CT38)),ROUND((CS57-CT38)*10,1),"")</f>
        <v>0</v>
      </c>
      <c r="CU48" s="50" t="n">
        <f aca="false">IF(AND(ISNUMBER(CT57),ISNUMBER(CU38)),ROUND((CT57-CU38)*10,1),"")</f>
        <v>0</v>
      </c>
      <c r="CV48" s="50" t="n">
        <f aca="false">IF(AND(ISNUMBER(CU57),ISNUMBER(CV38)),ROUND((CU57-CV38)*10,1),"")</f>
        <v>0</v>
      </c>
      <c r="CW48" s="50" t="n">
        <f aca="false">IF(AND(ISNUMBER(CV57),ISNUMBER(CW38)),ROUND((CV57-CW38)*10,1),"")</f>
        <v>0</v>
      </c>
      <c r="CX48" s="50" t="n">
        <f aca="false">IF(AND(ISNUMBER(CW57),ISNUMBER(CX38)),ROUND((CW57-CX38)*10,1),"")</f>
        <v>5</v>
      </c>
      <c r="CY48" s="50" t="n">
        <f aca="false">IF(AND(ISNUMBER(CX57),ISNUMBER(CY38)),ROUND((CX57-CY38)*10,1),"")</f>
        <v>3</v>
      </c>
      <c r="CZ48" s="50" t="n">
        <f aca="false">IF(AND(ISNUMBER(CY57),ISNUMBER(CZ38)),ROUND((CY57-CZ38)*10,1),"")</f>
        <v>5</v>
      </c>
      <c r="DA48" s="50" t="n">
        <f aca="false">IF(AND(ISNUMBER(CZ57),ISNUMBER(DA38)),ROUND((CZ57-DA38)*10,1),"")</f>
        <v>3</v>
      </c>
      <c r="DB48" s="50" t="n">
        <f aca="false">IF(AND(ISNUMBER(DA57),ISNUMBER(DB38)),ROUND((DA57-DB38)*10,1),"")</f>
        <v>7</v>
      </c>
      <c r="DC48" s="50" t="n">
        <f aca="false">IF(AND(ISNUMBER(DB57),ISNUMBER(DC38)),ROUND((DB57-DC38)*10,1),"")</f>
        <v>5</v>
      </c>
      <c r="DD48" s="50" t="n">
        <f aca="false">IF(AND(ISNUMBER(DC57),ISNUMBER(DD38)),ROUND((DC57-DD38)*10,1),"")</f>
        <v>11</v>
      </c>
      <c r="DE48" s="50" t="n">
        <f aca="false">IF(AND(ISNUMBER(DD57),ISNUMBER(DE38)),ROUND((DD57-DE38)*10,1),"")</f>
        <v>6</v>
      </c>
      <c r="DF48" s="50" t="n">
        <f aca="false">IF(AND(ISNUMBER(DE57),ISNUMBER(DF38)),ROUND((DE57-DF38)*10,1),"")</f>
        <v>3</v>
      </c>
      <c r="DG48" s="50" t="n">
        <f aca="false">IF(AND(ISNUMBER(DF57),ISNUMBER(DG38)),ROUND((DF57-DG38)*10,1),"")</f>
        <v>4</v>
      </c>
      <c r="DH48" s="50" t="n">
        <f aca="false">IF(AND(ISNUMBER(DG57),ISNUMBER(DH38)),ROUND((DG57-DH38)*10,1),"")</f>
        <v>5</v>
      </c>
      <c r="DI48" s="50" t="n">
        <f aca="false">IF(AND(ISNUMBER(DH57),ISNUMBER(DI38)),ROUND((DH57-DI38)*10,1),"")</f>
        <v>4</v>
      </c>
      <c r="DJ48" s="50" t="n">
        <f aca="false">IF(AND(ISNUMBER(DI57),ISNUMBER(DJ38)),ROUND((DI57-DJ38)*10,1),"")</f>
        <v>34</v>
      </c>
      <c r="DK48" s="50" t="n">
        <f aca="false">IF(AND(ISNUMBER(DJ57),ISNUMBER(DK38)),ROUND((DJ57-DK38)*10,1),"")</f>
        <v>30</v>
      </c>
      <c r="DL48" s="50" t="str">
        <f aca="false">IF(AND(ISNUMBER(DK57),ISNUMBER(DL38)),ROUND((DK57-DL38)*10,1),"")</f>
        <v/>
      </c>
      <c r="DM48" s="50" t="str">
        <f aca="false">IF(AND(ISNUMBER(DL57),ISNUMBER(DM38)),ROUND((DL57-DM38)*10,1),"")</f>
        <v/>
      </c>
      <c r="DN48" s="50" t="n">
        <f aca="false">IF(AND(ISNUMBER(DM57),ISNUMBER(DN38)),ROUND((DM57-DN38)*10,1),"")</f>
        <v>10</v>
      </c>
      <c r="DO48" s="50" t="n">
        <f aca="false">IF(AND(ISNUMBER(DN57),ISNUMBER(DO38)),ROUND((DN57-DO38)*10,1),"")</f>
        <v>5</v>
      </c>
      <c r="DP48" s="50" t="n">
        <f aca="false">IF(AND(ISNUMBER(DO57),ISNUMBER(DP38)),ROUND((DO57-DP38)*10,1),"")</f>
        <v>5</v>
      </c>
      <c r="DQ48" s="50" t="n">
        <f aca="false">IF(AND(ISNUMBER(DP57),ISNUMBER(DQ38)),ROUND((DP57-DQ38)*10,1),"")</f>
        <v>45</v>
      </c>
      <c r="DR48" s="50" t="n">
        <f aca="false">IF(AND(ISNUMBER(DQ57),ISNUMBER(DR38)),ROUND((DQ57-DR38)*10,1),"")</f>
        <v>50</v>
      </c>
      <c r="DS48" s="50" t="n">
        <f aca="false">IF(AND(ISNUMBER(DR57),ISNUMBER(DS38)),ROUND((DR57-DS38)*10,1),"")</f>
        <v>30</v>
      </c>
      <c r="DT48" s="50" t="n">
        <f aca="false">IF(AND(ISNUMBER(DS57),ISNUMBER(DT38)),ROUND((DS57-DT38)*10,1),"")</f>
        <v>30</v>
      </c>
      <c r="DU48" s="50" t="n">
        <f aca="false">IF(AND(ISNUMBER(DT57),ISNUMBER(DU38)),ROUND((DT57-DU38)*10,1),"")</f>
        <v>0</v>
      </c>
      <c r="DV48" s="50" t="n">
        <f aca="false">IF(AND(ISNUMBER(DU57),ISNUMBER(DV38)),ROUND((DU57-DV38)*10,1),"")</f>
        <v>10</v>
      </c>
      <c r="DW48" s="50" t="n">
        <f aca="false">IF(AND(ISNUMBER(DV57),ISNUMBER(DW38)),ROUND((DV57-DW38)*10,1),"")</f>
        <v>5</v>
      </c>
      <c r="DX48" s="50" t="n">
        <f aca="false">IF(AND(ISNUMBER(DW57),ISNUMBER(DX38)),ROUND((DW57-DX38)*10,1),"")</f>
        <v>25</v>
      </c>
      <c r="DY48" s="50" t="n">
        <f aca="false">IF(AND(ISNUMBER(DX57),ISNUMBER(DY38)),ROUND((DX57-DY38)*10,1),"")</f>
        <v>50</v>
      </c>
      <c r="DZ48" s="50" t="n">
        <f aca="false">IF(AND(ISNUMBER(DY57),ISNUMBER(DZ38)),ROUND((DY57-DZ38)*10,1),"")</f>
        <v>50</v>
      </c>
      <c r="EA48" s="50" t="n">
        <f aca="false">IF(AND(ISNUMBER(DZ57),ISNUMBER(EA38)),ROUND((DZ57-EA38)*10,1),"")</f>
        <v>30</v>
      </c>
      <c r="EB48" s="50" t="n">
        <f aca="false">IF(AND(ISNUMBER(EA57),ISNUMBER(EB38)),ROUND((EA57-EB38)*10,1),"")</f>
        <v>0</v>
      </c>
      <c r="EC48" s="50" t="n">
        <f aca="false">IF(AND(ISNUMBER(EB57),ISNUMBER(EC38)),ROUND((EB57-EC38)*10,1),"")</f>
        <v>5</v>
      </c>
      <c r="ED48" s="50" t="n">
        <f aca="false">IF(AND(ISNUMBER(EC57),ISNUMBER(ED38)),ROUND((EC57-ED38)*10,1),"")</f>
        <v>12</v>
      </c>
      <c r="EE48" s="50" t="n">
        <f aca="false">IF(AND(ISNUMBER(ED57),ISNUMBER(EE38)),ROUND((ED57-EE38)*10,1),"")</f>
        <v>-17</v>
      </c>
      <c r="EF48" s="50" t="n">
        <f aca="false">IF(AND(ISNUMBER(EE57),ISNUMBER(EF38)),ROUND((EE57-EF38)*10,1),"")</f>
        <v>30</v>
      </c>
      <c r="EG48" s="50" t="n">
        <f aca="false">IF(AND(ISNUMBER(EF57),ISNUMBER(EG38)),ROUND((EF57-EG38)*10,1),"")</f>
        <v>47</v>
      </c>
      <c r="EH48" s="50" t="n">
        <f aca="false">IF(AND(ISNUMBER(EG57),ISNUMBER(EH38)),ROUND((EG57-EH38)*10,1),"")</f>
        <v>53</v>
      </c>
      <c r="EI48" s="50" t="n">
        <f aca="false">IF(AND(ISNUMBER(EH57),ISNUMBER(EI38)),ROUND((EH57-EI38)*10,1),"")</f>
        <v>30</v>
      </c>
      <c r="EJ48" s="50" t="n">
        <f aca="false">IF(AND(ISNUMBER(EI57),ISNUMBER(EJ38)),ROUND((EI57-EJ38)*10,1),"")</f>
        <v>10</v>
      </c>
      <c r="EK48" s="50" t="n">
        <f aca="false">IF(AND(ISNUMBER(EJ57),ISNUMBER(EK38)),ROUND((EJ57-EK38)*10,1),"")</f>
        <v>15</v>
      </c>
      <c r="EL48" s="50" t="n">
        <f aca="false">IF(AND(ISNUMBER(EK57),ISNUMBER(EL38)),ROUND((EK57-EL38)*10,1),"")</f>
        <v>10</v>
      </c>
      <c r="EM48" s="50" t="n">
        <f aca="false">IF(AND(ISNUMBER(EL57),ISNUMBER(EM38)),ROUND((EL57-EM38)*10,1),"")</f>
        <v>-10</v>
      </c>
      <c r="EN48" s="50" t="n">
        <f aca="false">IF(AND(ISNUMBER(EM57),ISNUMBER(EN38)),ROUND((EM57-EN38)*10,1),"")</f>
        <v>10</v>
      </c>
      <c r="EO48" s="50" t="n">
        <f aca="false">IF(AND(ISNUMBER(EN57),ISNUMBER(EO38)),ROUND((EN57-EO38)*10,1),"")</f>
        <v>20</v>
      </c>
      <c r="EP48" s="50" t="n">
        <f aca="false">IF(AND(ISNUMBER(EO57),ISNUMBER(EP38)),ROUND((EO57-EP38)*10,1),"")</f>
        <v>30</v>
      </c>
      <c r="EQ48" s="50" t="n">
        <f aca="false">IF(AND(ISNUMBER(EP57),ISNUMBER(EQ38)),ROUND((EP57-EQ38)*10,1),"")</f>
        <v>70</v>
      </c>
      <c r="ER48" s="50" t="n">
        <f aca="false">IF(AND(ISNUMBER(EQ57),ISNUMBER(ER38)),ROUND((EQ57-ER38)*10,1),"")</f>
        <v>50</v>
      </c>
      <c r="ES48" s="50" t="n">
        <f aca="false">IF(AND(ISNUMBER(ER57),ISNUMBER(ES38)),ROUND((ER57-ES38)*10,1),"")</f>
        <v>0</v>
      </c>
      <c r="ET48" s="50" t="n">
        <f aca="false">IF(AND(ISNUMBER(ES57),ISNUMBER(ET38)),ROUND((ES57-ET38)*10,1),"")</f>
        <v>0</v>
      </c>
      <c r="EU48" s="50" t="str">
        <f aca="false">IF(AND(ISNUMBER(ET57),ISNUMBER(EU38)),ROUND((ET57-EU38)*10,1),"")</f>
        <v/>
      </c>
      <c r="EV48" s="50" t="str">
        <f aca="false">IF(AND(ISNUMBER(EU57),ISNUMBER(EV38)),ROUND((EU57-EV38)*10,1),"")</f>
        <v/>
      </c>
      <c r="EW48" s="50" t="str">
        <f aca="false">IF(AND(ISNUMBER(EV57),ISNUMBER(EW38)),ROUND((EV57-EW38)*10,1),"")</f>
        <v/>
      </c>
      <c r="EX48" s="50" t="str">
        <f aca="false">IF(AND(ISNUMBER(EW57),ISNUMBER(EX38)),ROUND((EW57-EX38)*10,1),"")</f>
        <v/>
      </c>
      <c r="EY48" s="50" t="str">
        <f aca="false">IF(AND(ISNUMBER(EX57),ISNUMBER(EY38)),ROUND((EX57-EY38)*10,1),"")</f>
        <v/>
      </c>
      <c r="EZ48" s="50" t="str">
        <f aca="false">IF(AND(ISNUMBER(EY57),ISNUMBER(EZ38)),ROUND((EY57-EZ38)*10,1),"")</f>
        <v/>
      </c>
      <c r="FA48" s="50" t="str">
        <f aca="false">IF(AND(ISNUMBER(EZ57),ISNUMBER(FA38)),ROUND((EZ57-FA38)*10,1),"")</f>
        <v/>
      </c>
      <c r="FB48" s="50" t="str">
        <f aca="false">IF(AND(ISNUMBER(FA57),ISNUMBER(FB38)),ROUND((FA57-FB38)*10,1),"")</f>
        <v/>
      </c>
      <c r="FC48" s="50" t="str">
        <f aca="false">IF(AND(ISNUMBER(FB57),ISNUMBER(FC38)),ROUND((FB57-FC38)*10,1),"")</f>
        <v/>
      </c>
      <c r="FD48" s="50" t="str">
        <f aca="false">IF(AND(ISNUMBER(FC57),ISNUMBER(FD38)),ROUND((FC57-FD38)*10,1),"")</f>
        <v/>
      </c>
      <c r="FE48" s="50" t="str">
        <f aca="false">IF(AND(ISNUMBER(FD57),ISNUMBER(FE38)),ROUND((FD57-FE38)*10,1),"")</f>
        <v/>
      </c>
      <c r="FF48" s="50" t="str">
        <f aca="false">IF(AND(ISNUMBER(FE57),ISNUMBER(FF38)),ROUND((FE57-FF38)*10,1),"")</f>
        <v/>
      </c>
      <c r="FG48" s="50" t="str">
        <f aca="false">IF(AND(ISNUMBER(FF57),ISNUMBER(FG38)),ROUND((FF57-FG38)*10,1),"")</f>
        <v/>
      </c>
      <c r="FH48" s="50" t="str">
        <f aca="false">IF(AND(ISNUMBER(FG57),ISNUMBER(FH38)),ROUND((FG57-FH38)*10,1),"")</f>
        <v/>
      </c>
      <c r="FI48" s="50" t="str">
        <f aca="false">IF(AND(ISNUMBER(FH57),ISNUMBER(FI38)),ROUND((FH57-FI38)*10,1),"")</f>
        <v/>
      </c>
      <c r="FJ48" s="50" t="str">
        <f aca="false">IF(AND(ISNUMBER(FI57),ISNUMBER(FJ38)),ROUND((FI57-FJ38)*10,1),"")</f>
        <v/>
      </c>
      <c r="FK48" s="50" t="str">
        <f aca="false">IF(AND(ISNUMBER(FJ57),ISNUMBER(FK38)),ROUND((FJ57-FK38)*10,1),"")</f>
        <v/>
      </c>
      <c r="FL48" s="50" t="str">
        <f aca="false">IF(AND(ISNUMBER(FK57),ISNUMBER(FL38)),ROUND((FK57-FL38)*10,1),"")</f>
        <v/>
      </c>
      <c r="FM48" s="50" t="str">
        <f aca="false">IF(AND(ISNUMBER(FL57),ISNUMBER(FM38)),ROUND((FL57-FM38)*10,1),"")</f>
        <v/>
      </c>
      <c r="FN48" s="50" t="str">
        <f aca="false">IF(AND(ISNUMBER(FM57),ISNUMBER(FN38)),ROUND((FM57-FN38)*10,1),"")</f>
        <v/>
      </c>
      <c r="FO48" s="50" t="str">
        <f aca="false">IF(AND(ISNUMBER(FN57),ISNUMBER(FO38)),ROUND((FN57-FO38)*10,1),"")</f>
        <v/>
      </c>
      <c r="FP48" s="50" t="str">
        <f aca="false">IF(AND(ISNUMBER(FO57),ISNUMBER(FP38)),ROUND((FO57-FP38)*10,1),"")</f>
        <v/>
      </c>
      <c r="FQ48" s="50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74</v>
      </c>
      <c r="B49" s="20" t="s">
        <v>406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74</v>
      </c>
      <c r="B50" s="20" t="s">
        <v>407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ভালো</v>
      </c>
      <c r="BE50" s="57" t="str">
        <f aca="false">IF(2_Daily_input!BE41="","",2_Daily_input!BE41)</f>
        <v>ভালো</v>
      </c>
      <c r="BF50" s="57" t="str">
        <f aca="false">IF(2_Daily_input!BF41="","",2_Daily_input!BF41)</f>
        <v>ভালো</v>
      </c>
      <c r="BG50" s="57" t="str">
        <f aca="false">IF(2_Daily_input!BG41="","",2_Daily_input!BG41)</f>
        <v>ভালো</v>
      </c>
      <c r="BH50" s="57" t="str">
        <f aca="false">IF(2_Daily_input!BH41="","",2_Daily_input!BH41)</f>
        <v>ভালো</v>
      </c>
      <c r="BI50" s="57" t="str">
        <f aca="false">IF(2_Daily_input!BI41="","",2_Daily_input!BI41)</f>
        <v>ভালো</v>
      </c>
      <c r="BJ50" s="57" t="str">
        <f aca="false">IF(2_Daily_input!BJ41="","",2_Daily_input!BJ41)</f>
        <v>ভালো</v>
      </c>
      <c r="BK50" s="57" t="str">
        <f aca="false">IF(2_Daily_input!BK41="","",2_Daily_input!BK41)</f>
        <v>ভালো</v>
      </c>
      <c r="BL50" s="57" t="str">
        <f aca="false">IF(2_Daily_input!BL41="","",2_Daily_input!BL41)</f>
        <v>ভালো</v>
      </c>
      <c r="BM50" s="57" t="str">
        <f aca="false">IF(2_Daily_input!BM41="","",2_Daily_input!BM41)</f>
        <v>ভালো</v>
      </c>
      <c r="BN50" s="57" t="str">
        <f aca="false">IF(2_Daily_input!BN41="","",2_Daily_input!BN41)</f>
        <v>ভালো</v>
      </c>
      <c r="BO50" s="57" t="str">
        <f aca="false">IF(2_Daily_input!BO41="","",2_Daily_input!BO41)</f>
        <v>ভালো</v>
      </c>
      <c r="BP50" s="57" t="str">
        <f aca="false">IF(2_Daily_input!BP41="","",2_Daily_input!BP41)</f>
        <v>ভালো</v>
      </c>
      <c r="BQ50" s="57" t="str">
        <f aca="false">IF(2_Daily_input!BQ41="","",2_Daily_input!BQ41)</f>
        <v>ভালো</v>
      </c>
      <c r="BR50" s="57" t="str">
        <f aca="false">IF(2_Daily_input!BR41="","",2_Daily_input!BR41)</f>
        <v>ভালো</v>
      </c>
      <c r="BS50" s="57" t="str">
        <f aca="false">IF(2_Daily_input!BS41="","",2_Daily_input!BS41)</f>
        <v>ভালো</v>
      </c>
      <c r="BT50" s="57" t="str">
        <f aca="false">IF(2_Daily_input!BT41="","",2_Daily_input!BT41)</f>
        <v>ভালো</v>
      </c>
      <c r="BU50" s="57" t="str">
        <f aca="false">IF(2_Daily_input!BU41="","",2_Daily_input!BU41)</f>
        <v>ভালো</v>
      </c>
      <c r="BV50" s="57" t="str">
        <f aca="false">IF(2_Daily_input!BV41="","",2_Daily_input!BV41)</f>
        <v>ভালো</v>
      </c>
      <c r="BW50" s="57" t="str">
        <f aca="false">IF(2_Daily_input!BW41="","",2_Daily_input!BW41)</f>
        <v>ভালো</v>
      </c>
      <c r="BX50" s="57" t="str">
        <f aca="false">IF(2_Daily_input!BX41="","",2_Daily_input!BX41)</f>
        <v>ভালো</v>
      </c>
      <c r="BY50" s="57" t="str">
        <f aca="false">IF(2_Daily_input!BY41="","",2_Daily_input!BY41)</f>
        <v>ভালো</v>
      </c>
      <c r="BZ50" s="57" t="str">
        <f aca="false">IF(2_Daily_input!BZ41="","",2_Daily_input!BZ41)</f>
        <v>ভালো</v>
      </c>
      <c r="CA50" s="57" t="str">
        <f aca="false">IF(2_Daily_input!CA41="","",2_Daily_input!CA41)</f>
        <v/>
      </c>
      <c r="CB50" s="57" t="str">
        <f aca="false">IF(2_Daily_input!CB41="","",2_Daily_input!CB41)</f>
        <v>ভালো</v>
      </c>
      <c r="CC50" s="57" t="str">
        <f aca="false">IF(2_Daily_input!CC41="","",2_Daily_input!CC41)</f>
        <v>ভালো</v>
      </c>
      <c r="CD50" s="57" t="str">
        <f aca="false">IF(2_Daily_input!CD41="","",2_Daily_input!CD41)</f>
        <v>ভালো</v>
      </c>
      <c r="CE50" s="57" t="str">
        <f aca="false">IF(2_Daily_input!CE41="","",2_Daily_input!CE41)</f>
        <v>ভালো</v>
      </c>
      <c r="CF50" s="57" t="str">
        <f aca="false">IF(2_Daily_input!CF41="","",2_Daily_input!CF41)</f>
        <v>ভালো</v>
      </c>
      <c r="CG50" s="57" t="str">
        <f aca="false">IF(2_Daily_input!CG41="","",2_Daily_input!CG41)</f>
        <v>ভালো</v>
      </c>
      <c r="CH50" s="57" t="str">
        <f aca="false">IF(2_Daily_input!CH41="","",2_Daily_input!CH41)</f>
        <v>ভালো</v>
      </c>
      <c r="CI50" s="57" t="str">
        <f aca="false">IF(2_Daily_input!CI41="","",2_Daily_input!CI41)</f>
        <v>ভালো</v>
      </c>
      <c r="CJ50" s="57" t="str">
        <f aca="false">IF(2_Daily_input!CJ41="","",2_Daily_input!CJ41)</f>
        <v>ভালো</v>
      </c>
      <c r="CK50" s="57" t="str">
        <f aca="false">IF(2_Daily_input!CK41="","",2_Daily_input!CK41)</f>
        <v>ভালো</v>
      </c>
      <c r="CL50" s="57" t="str">
        <f aca="false">IF(2_Daily_input!CL41="","",2_Daily_input!CL41)</f>
        <v>ভালো</v>
      </c>
      <c r="CM50" s="57" t="str">
        <f aca="false">IF(2_Daily_input!CM41="","",2_Daily_input!CM41)</f>
        <v>ভালো</v>
      </c>
      <c r="CN50" s="57" t="str">
        <f aca="false">IF(2_Daily_input!CN41="","",2_Daily_input!CN41)</f>
        <v>ভালো</v>
      </c>
      <c r="CO50" s="57" t="str">
        <f aca="false">IF(2_Daily_input!CO41="","",2_Daily_input!CO41)</f>
        <v>ভালো</v>
      </c>
      <c r="CP50" s="57" t="str">
        <f aca="false">IF(2_Daily_input!CP41="","",2_Daily_input!CP41)</f>
        <v>ভালো</v>
      </c>
      <c r="CQ50" s="57" t="str">
        <f aca="false">IF(2_Daily_input!CQ41="","",2_Daily_input!CQ41)</f>
        <v>ভালো</v>
      </c>
      <c r="CR50" s="57" t="str">
        <f aca="false">IF(2_Daily_input!CR41="","",2_Daily_input!CR41)</f>
        <v>ভালো</v>
      </c>
      <c r="CS50" s="57" t="str">
        <f aca="false">IF(2_Daily_input!CS41="","",2_Daily_input!CS41)</f>
        <v>ভালো</v>
      </c>
      <c r="CT50" s="57" t="str">
        <f aca="false">IF(2_Daily_input!CT41="","",2_Daily_input!CT41)</f>
        <v>ভালো</v>
      </c>
      <c r="CU50" s="57" t="str">
        <f aca="false">IF(2_Daily_input!CU41="","",2_Daily_input!CU41)</f>
        <v>ভালো</v>
      </c>
      <c r="CV50" s="57" t="str">
        <f aca="false">IF(2_Daily_input!CV41="","",2_Daily_input!CV41)</f>
        <v>ভালো</v>
      </c>
      <c r="CW50" s="57" t="str">
        <f aca="false">IF(2_Daily_input!CW41="","",2_Daily_input!CW41)</f>
        <v>ভালো</v>
      </c>
      <c r="CX50" s="57" t="str">
        <f aca="false">IF(2_Daily_input!CX41="","",2_Daily_input!CX41)</f>
        <v>ভালো</v>
      </c>
      <c r="CY50" s="57" t="str">
        <f aca="false">IF(2_Daily_input!CY41="","",2_Daily_input!CY41)</f>
        <v>ভালো</v>
      </c>
      <c r="CZ50" s="57" t="str">
        <f aca="false">IF(2_Daily_input!CZ41="","",2_Daily_input!CZ41)</f>
        <v>ভালো</v>
      </c>
      <c r="DA50" s="57" t="str">
        <f aca="false">IF(2_Daily_input!DA41="","",2_Daily_input!DA41)</f>
        <v>ভালো</v>
      </c>
      <c r="DB50" s="57" t="str">
        <f aca="false">IF(2_Daily_input!DB41="","",2_Daily_input!DB41)</f>
        <v>ভালো</v>
      </c>
      <c r="DC50" s="57" t="str">
        <f aca="false">IF(2_Daily_input!DC41="","",2_Daily_input!DC41)</f>
        <v>ভালো</v>
      </c>
      <c r="DD50" s="57" t="str">
        <f aca="false">IF(2_Daily_input!DD41="","",2_Daily_input!DD41)</f>
        <v>ভালো</v>
      </c>
      <c r="DE50" s="57" t="str">
        <f aca="false">IF(2_Daily_input!DE41="","",2_Daily_input!DE41)</f>
        <v>ভালো</v>
      </c>
      <c r="DF50" s="57" t="str">
        <f aca="false">IF(2_Daily_input!DF41="","",2_Daily_input!DF41)</f>
        <v>ভালো</v>
      </c>
      <c r="DG50" s="57" t="str">
        <f aca="false">IF(2_Daily_input!DG41="","",2_Daily_input!DG41)</f>
        <v>ভালো</v>
      </c>
      <c r="DH50" s="57" t="str">
        <f aca="false">IF(2_Daily_input!DH41="","",2_Daily_input!DH41)</f>
        <v>ভালো</v>
      </c>
      <c r="DI50" s="57" t="str">
        <f aca="false">IF(2_Daily_input!DI41="","",2_Daily_input!DI41)</f>
        <v>ভালো</v>
      </c>
      <c r="DJ50" s="57" t="str">
        <f aca="false">IF(2_Daily_input!DJ41="","",2_Daily_input!DJ41)</f>
        <v>ভালো</v>
      </c>
      <c r="DK50" s="57" t="str">
        <f aca="false">IF(2_Daily_input!DK41="","",2_Daily_input!DK41)</f>
        <v>ভালো</v>
      </c>
      <c r="DL50" s="57" t="str">
        <f aca="false">IF(2_Daily_input!DL41="","",2_Daily_input!DL41)</f>
        <v/>
      </c>
      <c r="DM50" s="57" t="str">
        <f aca="false">IF(2_Daily_input!DM41="","",2_Daily_input!DM41)</f>
        <v>ভালো</v>
      </c>
      <c r="DN50" s="57" t="str">
        <f aca="false">IF(2_Daily_input!DN41="","",2_Daily_input!DN41)</f>
        <v>ভালো</v>
      </c>
      <c r="DO50" s="57" t="str">
        <f aca="false">IF(2_Daily_input!DO41="","",2_Daily_input!DO41)</f>
        <v>ভালো</v>
      </c>
      <c r="DP50" s="57" t="str">
        <f aca="false">IF(2_Daily_input!DP41="","",2_Daily_input!DP41)</f>
        <v>ভালো</v>
      </c>
      <c r="DQ50" s="57" t="str">
        <f aca="false">IF(2_Daily_input!DQ41="","",2_Daily_input!DQ41)</f>
        <v>ভালো</v>
      </c>
      <c r="DR50" s="57" t="str">
        <f aca="false">IF(2_Daily_input!DR41="","",2_Daily_input!DR41)</f>
        <v>ভালো</v>
      </c>
      <c r="DS50" s="57" t="str">
        <f aca="false">IF(2_Daily_input!DS41="","",2_Daily_input!DS41)</f>
        <v>ভালো</v>
      </c>
      <c r="DT50" s="57" t="str">
        <f aca="false">IF(2_Daily_input!DT41="","",2_Daily_input!DT41)</f>
        <v>ভালো</v>
      </c>
      <c r="DU50" s="57" t="str">
        <f aca="false">IF(2_Daily_input!DU41="","",2_Daily_input!DU41)</f>
        <v>ভালো</v>
      </c>
      <c r="DV50" s="57" t="str">
        <f aca="false">IF(2_Daily_input!DV41="","",2_Daily_input!DV41)</f>
        <v>ভালো</v>
      </c>
      <c r="DW50" s="57" t="str">
        <f aca="false">IF(2_Daily_input!DW41="","",2_Daily_input!DW41)</f>
        <v>ভালো</v>
      </c>
      <c r="DX50" s="57" t="str">
        <f aca="false">IF(2_Daily_input!DX41="","",2_Daily_input!DX41)</f>
        <v>ভালো</v>
      </c>
      <c r="DY50" s="57" t="str">
        <f aca="false">IF(2_Daily_input!DY41="","",2_Daily_input!DY41)</f>
        <v>ভালো</v>
      </c>
      <c r="DZ50" s="57" t="str">
        <f aca="false">IF(2_Daily_input!DZ41="","",2_Daily_input!DZ41)</f>
        <v>ভালো</v>
      </c>
      <c r="EA50" s="57" t="str">
        <f aca="false">IF(2_Daily_input!EA41="","",2_Daily_input!EA41)</f>
        <v>ভালো</v>
      </c>
      <c r="EB50" s="57" t="str">
        <f aca="false">IF(2_Daily_input!EB41="","",2_Daily_input!EB41)</f>
        <v>ভালো</v>
      </c>
      <c r="EC50" s="57" t="str">
        <f aca="false">IF(2_Daily_input!EC41="","",2_Daily_input!EC41)</f>
        <v>ভালো</v>
      </c>
      <c r="ED50" s="57" t="str">
        <f aca="false">IF(2_Daily_input!ED41="","",2_Daily_input!ED41)</f>
        <v>ভালো</v>
      </c>
      <c r="EE50" s="57" t="str">
        <f aca="false">IF(2_Daily_input!EE41="","",2_Daily_input!EE41)</f>
        <v>ভালো</v>
      </c>
      <c r="EF50" s="57" t="str">
        <f aca="false">IF(2_Daily_input!EF41="","",2_Daily_input!EF41)</f>
        <v>ভালো</v>
      </c>
      <c r="EG50" s="57" t="str">
        <f aca="false">IF(2_Daily_input!EG41="","",2_Daily_input!EG41)</f>
        <v>ভালো</v>
      </c>
      <c r="EH50" s="57" t="str">
        <f aca="false">IF(2_Daily_input!EH41="","",2_Daily_input!EH41)</f>
        <v>ভালো</v>
      </c>
      <c r="EI50" s="57" t="str">
        <f aca="false">IF(2_Daily_input!EI41="","",2_Daily_input!EI41)</f>
        <v>ভালো</v>
      </c>
      <c r="EJ50" s="57" t="str">
        <f aca="false">IF(2_Daily_input!EJ41="","",2_Daily_input!EJ41)</f>
        <v>ভালো</v>
      </c>
      <c r="EK50" s="57" t="str">
        <f aca="false">IF(2_Daily_input!EK41="","",2_Daily_input!EK41)</f>
        <v>ভালো</v>
      </c>
      <c r="EL50" s="57" t="str">
        <f aca="false">IF(2_Daily_input!EL41="","",2_Daily_input!EL41)</f>
        <v>ভালো</v>
      </c>
      <c r="EM50" s="57" t="str">
        <f aca="false">IF(2_Daily_input!EM41="","",2_Daily_input!EM41)</f>
        <v>ভালো</v>
      </c>
      <c r="EN50" s="57" t="str">
        <f aca="false">IF(2_Daily_input!EN41="","",2_Daily_input!EN41)</f>
        <v>ভালো</v>
      </c>
      <c r="EO50" s="57" t="str">
        <f aca="false">IF(2_Daily_input!EO41="","",2_Daily_input!EO41)</f>
        <v>ভালো</v>
      </c>
      <c r="EP50" s="57" t="str">
        <f aca="false">IF(2_Daily_input!EP41="","",2_Daily_input!EP41)</f>
        <v>ভালো</v>
      </c>
      <c r="EQ50" s="57" t="str">
        <f aca="false">IF(2_Daily_input!EQ41="","",2_Daily_input!EQ41)</f>
        <v>ভালো</v>
      </c>
      <c r="ER50" s="57" t="str">
        <f aca="false">IF(2_Daily_input!ER41="","",2_Daily_input!ER41)</f>
        <v>ভালো</v>
      </c>
      <c r="ES50" s="57" t="str">
        <f aca="false">IF(2_Daily_input!ES41="","",2_Daily_input!ES41)</f>
        <v>ভালো</v>
      </c>
      <c r="ET50" s="57" t="str">
        <f aca="false">IF(2_Daily_input!ET41="","",2_Daily_input!ET41)</f>
        <v>ভালো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74</v>
      </c>
      <c r="B51" s="20" t="s">
        <v>408</v>
      </c>
      <c r="C51" s="48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74</v>
      </c>
      <c r="B52" s="20" t="s">
        <v>409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সেচ</v>
      </c>
      <c r="BF52" s="57" t="str">
        <f aca="false">IF(2_Daily_input!BF43="","",2_Daily_input!BF43)</f>
        <v/>
      </c>
      <c r="BG52" s="57" t="str">
        <f aca="false">IF(2_Daily_input!BG43="","",2_Daily_input!BG43)</f>
        <v>সেচ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সেচ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সেচ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সেচ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সেচ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সেচ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সেচ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সেচ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সেচ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সেচ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সেচ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সেচ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সেচ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সেচ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74</v>
      </c>
      <c r="B53" s="20" t="s">
        <v>410</v>
      </c>
      <c r="C53" s="48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74</v>
      </c>
      <c r="B54" s="20" t="s">
        <v>411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74</v>
      </c>
      <c r="B55" s="20" t="s">
        <v>412</v>
      </c>
      <c r="D55" s="36" t="str">
        <f aca="false">IF(D1="","",IF(AND(ISNUMBER(D38),OR(D38&lt;-30,D38&gt;20)),"পানির স্তর সীমার বাইরে; ","")&amp;IF(AND(ISNUMBER(D37),D38=""),"TP/b নেই; ","")&amp;IF(AND(ISNUMBER(D44),ISNUMBER(D45)),IF(D45&lt;D44,"সেচের পরে &lt; আগে; ",""),"")&amp;IF(AND(ISNUMBER(D37),ISNUMBER(D41)&lt;&gt;ISNUMBER(D42)),"সেচের মাপ অসম্পূর্ণ; ","")&amp;IF(ISNUMBER(D48),IF(AND(ABS(D48)&gt;50,NOT(N(D8)&gt;0)),"পানির স্তর হঠাৎ &gt;5 সেমি বদল; ",""),"")&amp;IF(AND(ISNUMBER(PitanE),ISNUMBER(D56),D1&gt;PitanE+2,D56&lt;PitanE),"পিটানের পরে TP/b আবার মাপুন; ",""))</f>
        <v/>
      </c>
      <c r="E55" s="36" t="str">
        <f aca="false">IF(E1="","",IF(AND(ISNUMBER(E38),OR(E38&lt;-30,E38&gt;20)),"পানির স্তর সীমার বাইরে; ","")&amp;IF(AND(ISNUMBER(E37),E38=""),"TP/b নেই; ","")&amp;IF(AND(ISNUMBER(E44),ISNUMBER(E45)),IF(E45&lt;E44,"সেচের পরে &lt; আগে; ",""),"")&amp;IF(AND(ISNUMBER(E37),ISNUMBER(E41)&lt;&gt;ISNUMBER(E42)),"সেচের মাপ অসম্পূর্ণ; ","")&amp;IF(ISNUMBER(E48),IF(AND(ABS(E48)&gt;50,NOT(N(E8)&gt;0)),"পানির স্তর হঠাৎ &gt;5 সেমি বদল; ",""),"")&amp;IF(AND(ISNUMBER(PitanE),ISNUMBER(E56),E1&gt;PitanE+2,E56&lt;PitanE),"পিটানের পরে TP/b আবার মাপুন; ",""))</f>
        <v/>
      </c>
      <c r="F55" s="36" t="str">
        <f aca="false">IF(F1="","",IF(AND(ISNUMBER(F38),OR(F38&lt;-30,F38&gt;20)),"পানির স্তর সীমার বাইরে; ","")&amp;IF(AND(ISNUMBER(F37),F38=""),"TP/b নেই; ","")&amp;IF(AND(ISNUMBER(F44),ISNUMBER(F45)),IF(F45&lt;F44,"সেচের পরে &lt; আগে; ",""),"")&amp;IF(AND(ISNUMBER(F37),ISNUMBER(F41)&lt;&gt;ISNUMBER(F42)),"সেচের মাপ অসম্পূর্ণ; ","")&amp;IF(ISNUMBER(F48),IF(AND(ABS(F48)&gt;50,NOT(N(F8)&gt;0)),"পানির স্তর হঠাৎ &gt;5 সেমি বদল; ",""),"")&amp;IF(AND(ISNUMBER(PitanE),ISNUMBER(F56),F1&gt;PitanE+2,F56&lt;PitanE),"পিটানের পরে TP/b আবার মাপুন; ",""))</f>
        <v/>
      </c>
      <c r="G55" s="36" t="str">
        <f aca="false">IF(G1="","",IF(AND(ISNUMBER(G38),OR(G38&lt;-30,G38&gt;20)),"পানির স্তর সীমার বাইরে; ","")&amp;IF(AND(ISNUMBER(G37),G38=""),"TP/b নেই; ","")&amp;IF(AND(ISNUMBER(G44),ISNUMBER(G45)),IF(G45&lt;G44,"সেচের পরে &lt; আগে; ",""),"")&amp;IF(AND(ISNUMBER(G37),ISNUMBER(G41)&lt;&gt;ISNUMBER(G42)),"সেচের মাপ অসম্পূর্ণ; ","")&amp;IF(ISNUMBER(G48),IF(AND(ABS(G48)&gt;50,NOT(N(G8)&gt;0)),"পানির স্তর হঠাৎ &gt;5 সেমি বদল; ",""),"")&amp;IF(AND(ISNUMBER(PitanE),ISNUMBER(G56),G1&gt;PitanE+2,G56&lt;PitanE),"পিটানের পরে TP/b আবার মাপুন; ",""))</f>
        <v/>
      </c>
      <c r="H55" s="36" t="str">
        <f aca="false">IF(H1="","",IF(AND(ISNUMBER(H38),OR(H38&lt;-30,H38&gt;20)),"পানির স্তর সীমার বাইরে; ","")&amp;IF(AND(ISNUMBER(H37),H38=""),"TP/b নেই; ","")&amp;IF(AND(ISNUMBER(H44),ISNUMBER(H45)),IF(H45&lt;H44,"সেচের পরে &lt; আগে; ",""),"")&amp;IF(AND(ISNUMBER(H37),ISNUMBER(H41)&lt;&gt;ISNUMBER(H42)),"সেচের মাপ অসম্পূর্ণ; ","")&amp;IF(ISNUMBER(H48),IF(AND(ABS(H48)&gt;50,NOT(N(H8)&gt;0)),"পানির স্তর হঠাৎ &gt;5 সেমি বদল; ",""),"")&amp;IF(AND(ISNUMBER(PitanE),ISNUMBER(H56),H1&gt;PitanE+2,H56&lt;PitanE),"পিটানের পরে TP/b আবার মাপুন; ",""))</f>
        <v/>
      </c>
      <c r="I55" s="36" t="str">
        <f aca="false">IF(I1="","",IF(AND(ISNUMBER(I38),OR(I38&lt;-30,I38&gt;20)),"পানির স্তর সীমার বাইরে; ","")&amp;IF(AND(ISNUMBER(I37),I38=""),"TP/b নেই; ","")&amp;IF(AND(ISNUMBER(I44),ISNUMBER(I45)),IF(I45&lt;I44,"সেচের পরে &lt; আগে; ",""),"")&amp;IF(AND(ISNUMBER(I37),ISNUMBER(I41)&lt;&gt;ISNUMBER(I42)),"সেচের মাপ অসম্পূর্ণ; ","")&amp;IF(ISNUMBER(I48),IF(AND(ABS(I48)&gt;50,NOT(N(I8)&gt;0)),"পানির স্তর হঠাৎ &gt;5 সেমি বদল; ",""),"")&amp;IF(AND(ISNUMBER(PitanE),ISNUMBER(I56),I1&gt;PitanE+2,I56&lt;PitanE),"পিটানের পরে TP/b আবার মাপুন; ",""))</f>
        <v/>
      </c>
      <c r="J55" s="36" t="str">
        <f aca="false">IF(J1="","",IF(AND(ISNUMBER(J38),OR(J38&lt;-30,J38&gt;20)),"পানির স্তর সীমার বাইরে; ","")&amp;IF(AND(ISNUMBER(J37),J38=""),"TP/b নেই; ","")&amp;IF(AND(ISNUMBER(J44),ISNUMBER(J45)),IF(J45&lt;J44,"সেচের পরে &lt; আগে; ",""),"")&amp;IF(AND(ISNUMBER(J37),ISNUMBER(J41)&lt;&gt;ISNUMBER(J42)),"সেচের মাপ অসম্পূর্ণ; ","")&amp;IF(ISNUMBER(J48),IF(AND(ABS(J48)&gt;50,NOT(N(J8)&gt;0)),"পানির স্তর হঠাৎ &gt;5 সেমি বদল; ",""),"")&amp;IF(AND(ISNUMBER(PitanE),ISNUMBER(J56),J1&gt;PitanE+2,J56&lt;PitanE),"পিটানের পরে TP/b আবার মাপুন; ",""))</f>
        <v/>
      </c>
      <c r="K55" s="36" t="str">
        <f aca="false">IF(K1="","",IF(AND(ISNUMBER(K38),OR(K38&lt;-30,K38&gt;20)),"পানির স্তর সীমার বাইরে; ","")&amp;IF(AND(ISNUMBER(K37),K38=""),"TP/b নেই; ","")&amp;IF(AND(ISNUMBER(K44),ISNUMBER(K45)),IF(K45&lt;K44,"সেচের পরে &lt; আগে; ",""),"")&amp;IF(AND(ISNUMBER(K37),ISNUMBER(K41)&lt;&gt;ISNUMBER(K42)),"সেচের মাপ অসম্পূর্ণ; ","")&amp;IF(ISNUMBER(K48),IF(AND(ABS(K48)&gt;50,NOT(N(K8)&gt;0)),"পানির স্তর হঠাৎ &gt;5 সেমি বদল; ",""),"")&amp;IF(AND(ISNUMBER(PitanE),ISNUMBER(K56),K1&gt;PitanE+2,K56&lt;PitanE),"পিটানের পরে TP/b আবার মাপুন; ",""))</f>
        <v/>
      </c>
      <c r="L55" s="36" t="str">
        <f aca="false">IF(L1="","",IF(AND(ISNUMBER(L38),OR(L38&lt;-30,L38&gt;20)),"পানির স্তর সীমার বাইরে; ","")&amp;IF(AND(ISNUMBER(L37),L38=""),"TP/b নেই; ","")&amp;IF(AND(ISNUMBER(L44),ISNUMBER(L45)),IF(L45&lt;L44,"সেচের পরে &lt; আগে; ",""),"")&amp;IF(AND(ISNUMBER(L37),ISNUMBER(L41)&lt;&gt;ISNUMBER(L42)),"সেচের মাপ অসম্পূর্ণ; ","")&amp;IF(ISNUMBER(L48),IF(AND(ABS(L48)&gt;50,NOT(N(L8)&gt;0)),"পানির স্তর হঠাৎ &gt;5 সেমি বদল; ",""),"")&amp;IF(AND(ISNUMBER(PitanE),ISNUMBER(L56),L1&gt;PitanE+2,L56&lt;PitanE),"পিটানের পরে TP/b আবার মাপুন; ",""))</f>
        <v/>
      </c>
      <c r="M55" s="36" t="str">
        <f aca="false">IF(M1="","",IF(AND(ISNUMBER(M38),OR(M38&lt;-30,M38&gt;20)),"পানির স্তর সীমার বাইরে; ","")&amp;IF(AND(ISNUMBER(M37),M38=""),"TP/b নেই; ","")&amp;IF(AND(ISNUMBER(M44),ISNUMBER(M45)),IF(M45&lt;M44,"সেচের পরে &lt; আগে; ",""),"")&amp;IF(AND(ISNUMBER(M37),ISNUMBER(M41)&lt;&gt;ISNUMBER(M42)),"সেচের মাপ অসম্পূর্ণ; ","")&amp;IF(ISNUMBER(M48),IF(AND(ABS(M48)&gt;50,NOT(N(M8)&gt;0)),"পানির স্তর হঠাৎ &gt;5 সেমি বদল; ",""),"")&amp;IF(AND(ISNUMBER(PitanE),ISNUMBER(M56),M1&gt;PitanE+2,M56&lt;PitanE),"পিটানের পরে TP/b আবার মাপুন; ",""))</f>
        <v/>
      </c>
      <c r="N55" s="36" t="str">
        <f aca="false">IF(N1="","",IF(AND(ISNUMBER(N38),OR(N38&lt;-30,N38&gt;20)),"পানির স্তর সীমার বাইরে; ","")&amp;IF(AND(ISNUMBER(N37),N38=""),"TP/b নেই; ","")&amp;IF(AND(ISNUMBER(N44),ISNUMBER(N45)),IF(N45&lt;N44,"সেচের পরে &lt; আগে; ",""),"")&amp;IF(AND(ISNUMBER(N37),ISNUMBER(N41)&lt;&gt;ISNUMBER(N42)),"সেচের মাপ অসম্পূর্ণ; ","")&amp;IF(ISNUMBER(N48),IF(AND(ABS(N48)&gt;50,NOT(N(N8)&gt;0)),"পানির স্তর হঠাৎ &gt;5 সেমি বদল; ",""),"")&amp;IF(AND(ISNUMBER(PitanE),ISNUMBER(N56),N1&gt;PitanE+2,N56&lt;PitanE),"পিটানের পরে TP/b আবার মাপুন; ",""))</f>
        <v/>
      </c>
      <c r="O55" s="36" t="str">
        <f aca="false">IF(O1="","",IF(AND(ISNUMBER(O38),OR(O38&lt;-30,O38&gt;20)),"পানির স্তর সীমার বাইরে; ","")&amp;IF(AND(ISNUMBER(O37),O38=""),"TP/b নেই; ","")&amp;IF(AND(ISNUMBER(O44),ISNUMBER(O45)),IF(O45&lt;O44,"সেচের পরে &lt; আগে; ",""),"")&amp;IF(AND(ISNUMBER(O37),ISNUMBER(O41)&lt;&gt;ISNUMBER(O42)),"সেচের মাপ অসম্পূর্ণ; ","")&amp;IF(ISNUMBER(O48),IF(AND(ABS(O48)&gt;50,NOT(N(O8)&gt;0)),"পানির স্তর হঠাৎ &gt;5 সেমি বদল; ",""),"")&amp;IF(AND(ISNUMBER(PitanE),ISNUMBER(O56),O1&gt;PitanE+2,O56&lt;PitanE),"পিটানের পরে TP/b আবার মাপুন; ",""))</f>
        <v/>
      </c>
      <c r="P55" s="36" t="str">
        <f aca="false">IF(P1="","",IF(AND(ISNUMBER(P38),OR(P38&lt;-30,P38&gt;20)),"পানির স্তর সীমার বাইরে; ","")&amp;IF(AND(ISNUMBER(P37),P38=""),"TP/b নেই; ","")&amp;IF(AND(ISNUMBER(P44),ISNUMBER(P45)),IF(P45&lt;P44,"সেচের পরে &lt; আগে; ",""),"")&amp;IF(AND(ISNUMBER(P37),ISNUMBER(P41)&lt;&gt;ISNUMBER(P42)),"সেচের মাপ অসম্পূর্ণ; ","")&amp;IF(ISNUMBER(P48),IF(AND(ABS(P48)&gt;50,NOT(N(P8)&gt;0)),"পানির স্তর হঠাৎ &gt;5 সেমি বদল; ",""),"")&amp;IF(AND(ISNUMBER(PitanE),ISNUMBER(P56),P1&gt;PitanE+2,P56&lt;PitanE),"পিটানের পরে TP/b আবার মাপুন; ",""))</f>
        <v/>
      </c>
      <c r="Q55" s="36" t="str">
        <f aca="false">IF(Q1="","",IF(AND(ISNUMBER(Q38),OR(Q38&lt;-30,Q38&gt;20)),"পানির স্তর সীমার বাইরে; ","")&amp;IF(AND(ISNUMBER(Q37),Q38=""),"TP/b নেই; ","")&amp;IF(AND(ISNUMBER(Q44),ISNUMBER(Q45)),IF(Q45&lt;Q44,"সেচের পরে &lt; আগে; ",""),"")&amp;IF(AND(ISNUMBER(Q37),ISNUMBER(Q41)&lt;&gt;ISNUMBER(Q42)),"সেচের মাপ অসম্পূর্ণ; ","")&amp;IF(ISNUMBER(Q48),IF(AND(ABS(Q48)&gt;50,NOT(N(Q8)&gt;0)),"পানির স্তর হঠাৎ &gt;5 সেমি বদল; ",""),"")&amp;IF(AND(ISNUMBER(PitanE),ISNUMBER(Q56),Q1&gt;PitanE+2,Q56&lt;PitanE),"পিটানের পরে TP/b আবার মাপুন; ",""))</f>
        <v/>
      </c>
      <c r="R55" s="36" t="str">
        <f aca="false">IF(R1="","",IF(AND(ISNUMBER(R38),OR(R38&lt;-30,R38&gt;20)),"পানির স্তর সীমার বাইরে; ","")&amp;IF(AND(ISNUMBER(R37),R38=""),"TP/b নেই; ","")&amp;IF(AND(ISNUMBER(R44),ISNUMBER(R45)),IF(R45&lt;R44,"সেচের পরে &lt; আগে; ",""),"")&amp;IF(AND(ISNUMBER(R37),ISNUMBER(R41)&lt;&gt;ISNUMBER(R42)),"সেচের মাপ অসম্পূর্ণ; ","")&amp;IF(ISNUMBER(R48),IF(AND(ABS(R48)&gt;50,NOT(N(R8)&gt;0)),"পানির স্তর হঠাৎ &gt;5 সেমি বদল; ",""),"")&amp;IF(AND(ISNUMBER(PitanE),ISNUMBER(R56),R1&gt;PitanE+2,R56&lt;PitanE),"পিটানের পরে TP/b আবার মাপুন; ",""))</f>
        <v/>
      </c>
      <c r="S55" s="36" t="str">
        <f aca="false">IF(S1="","",IF(AND(ISNUMBER(S38),OR(S38&lt;-30,S38&gt;20)),"পানির স্তর সীমার বাইরে; ","")&amp;IF(AND(ISNUMBER(S37),S38=""),"TP/b নেই; ","")&amp;IF(AND(ISNUMBER(S44),ISNUMBER(S45)),IF(S45&lt;S44,"সেচের পরে &lt; আগে; ",""),"")&amp;IF(AND(ISNUMBER(S37),ISNUMBER(S41)&lt;&gt;ISNUMBER(S42)),"সেচের মাপ অসম্পূর্ণ; ","")&amp;IF(ISNUMBER(S48),IF(AND(ABS(S48)&gt;50,NOT(N(S8)&gt;0)),"পানির স্তর হঠাৎ &gt;5 সেমি বদল; ",""),"")&amp;IF(AND(ISNUMBER(PitanE),ISNUMBER(S56),S1&gt;PitanE+2,S56&lt;PitanE),"পিটানের পরে TP/b আবার মাপুন; ",""))</f>
        <v/>
      </c>
      <c r="T55" s="36" t="str">
        <f aca="false">IF(T1="","",IF(AND(ISNUMBER(T38),OR(T38&lt;-30,T38&gt;20)),"পানির স্তর সীমার বাইরে; ","")&amp;IF(AND(ISNUMBER(T37),T38=""),"TP/b নেই; ","")&amp;IF(AND(ISNUMBER(T44),ISNUMBER(T45)),IF(T45&lt;T44,"সেচের পরে &lt; আগে; ",""),"")&amp;IF(AND(ISNUMBER(T37),ISNUMBER(T41)&lt;&gt;ISNUMBER(T42)),"সেচের মাপ অসম্পূর্ণ; ","")&amp;IF(ISNUMBER(T48),IF(AND(ABS(T48)&gt;50,NOT(N(T8)&gt;0)),"পানির স্তর হঠাৎ &gt;5 সেমি বদল; ",""),"")&amp;IF(AND(ISNUMBER(PitanE),ISNUMBER(T56),T1&gt;PitanE+2,T56&lt;PitanE),"পিটানের পরে TP/b আবার মাপুন; ",""))</f>
        <v/>
      </c>
      <c r="U55" s="36" t="str">
        <f aca="false">IF(U1="","",IF(AND(ISNUMBER(U38),OR(U38&lt;-30,U38&gt;20)),"পানির স্তর সীমার বাইরে; ","")&amp;IF(AND(ISNUMBER(U37),U38=""),"TP/b নেই; ","")&amp;IF(AND(ISNUMBER(U44),ISNUMBER(U45)),IF(U45&lt;U44,"সেচের পরে &lt; আগে; ",""),"")&amp;IF(AND(ISNUMBER(U37),ISNUMBER(U41)&lt;&gt;ISNUMBER(U42)),"সেচের মাপ অসম্পূর্ণ; ","")&amp;IF(ISNUMBER(U48),IF(AND(ABS(U48)&gt;50,NOT(N(U8)&gt;0)),"পানির স্তর হঠাৎ &gt;5 সেমি বদল; ",""),"")&amp;IF(AND(ISNUMBER(PitanE),ISNUMBER(U56),U1&gt;PitanE+2,U56&lt;PitanE),"পিটানের পরে TP/b আবার মাপুন; ",""))</f>
        <v/>
      </c>
      <c r="V55" s="36" t="str">
        <f aca="false">IF(V1="","",IF(AND(ISNUMBER(V38),OR(V38&lt;-30,V38&gt;20)),"পানির স্তর সীমার বাইরে; ","")&amp;IF(AND(ISNUMBER(V37),V38=""),"TP/b নেই; ","")&amp;IF(AND(ISNUMBER(V44),ISNUMBER(V45)),IF(V45&lt;V44,"সেচের পরে &lt; আগে; ",""),"")&amp;IF(AND(ISNUMBER(V37),ISNUMBER(V41)&lt;&gt;ISNUMBER(V42)),"সেচের মাপ অসম্পূর্ণ; ","")&amp;IF(ISNUMBER(V48),IF(AND(ABS(V48)&gt;50,NOT(N(V8)&gt;0)),"পানির স্তর হঠাৎ &gt;5 সেমি বদল; ",""),"")&amp;IF(AND(ISNUMBER(PitanE),ISNUMBER(V56),V1&gt;PitanE+2,V56&lt;PitanE),"পিটানের পরে TP/b আবার মাপুন; ",""))</f>
        <v/>
      </c>
      <c r="W55" s="36" t="str">
        <f aca="false">IF(W1="","",IF(AND(ISNUMBER(W38),OR(W38&lt;-30,W38&gt;20)),"পানির স্তর সীমার বাইরে; ","")&amp;IF(AND(ISNUMBER(W37),W38=""),"TP/b নেই; ","")&amp;IF(AND(ISNUMBER(W44),ISNUMBER(W45)),IF(W45&lt;W44,"সেচের পরে &lt; আগে; ",""),"")&amp;IF(AND(ISNUMBER(W37),ISNUMBER(W41)&lt;&gt;ISNUMBER(W42)),"সেচের মাপ অসম্পূর্ণ; ","")&amp;IF(ISNUMBER(W48),IF(AND(ABS(W48)&gt;50,NOT(N(W8)&gt;0)),"পানির স্তর হঠাৎ &gt;5 সেমি বদল; ",""),"")&amp;IF(AND(ISNUMBER(PitanE),ISNUMBER(W56),W1&gt;PitanE+2,W56&lt;PitanE),"পিটানের পরে TP/b আবার মাপুন; ",""))</f>
        <v/>
      </c>
      <c r="X55" s="36" t="str">
        <f aca="false">IF(X1="","",IF(AND(ISNUMBER(X38),OR(X38&lt;-30,X38&gt;20)),"পানির স্তর সীমার বাইরে; ","")&amp;IF(AND(ISNUMBER(X37),X38=""),"TP/b নেই; ","")&amp;IF(AND(ISNUMBER(X44),ISNUMBER(X45)),IF(X45&lt;X44,"সেচের পরে &lt; আগে; ",""),"")&amp;IF(AND(ISNUMBER(X37),ISNUMBER(X41)&lt;&gt;ISNUMBER(X42)),"সেচের মাপ অসম্পূর্ণ; ","")&amp;IF(ISNUMBER(X48),IF(AND(ABS(X48)&gt;50,NOT(N(X8)&gt;0)),"পানির স্তর হঠাৎ &gt;5 সেমি বদল; ",""),"")&amp;IF(AND(ISNUMBER(PitanE),ISNUMBER(X56),X1&gt;PitanE+2,X56&lt;PitanE),"পিটানের পরে TP/b আবার মাপুন; ",""))</f>
        <v/>
      </c>
      <c r="Y55" s="36" t="str">
        <f aca="false">IF(Y1="","",IF(AND(ISNUMBER(Y38),OR(Y38&lt;-30,Y38&gt;20)),"পানির স্তর সীমার বাইরে; ","")&amp;IF(AND(ISNUMBER(Y37),Y38=""),"TP/b নেই; ","")&amp;IF(AND(ISNUMBER(Y44),ISNUMBER(Y45)),IF(Y45&lt;Y44,"সেচের পরে &lt; আগে; ",""),"")&amp;IF(AND(ISNUMBER(Y37),ISNUMBER(Y41)&lt;&gt;ISNUMBER(Y42)),"সেচের মাপ অসম্পূর্ণ; ","")&amp;IF(ISNUMBER(Y48),IF(AND(ABS(Y48)&gt;50,NOT(N(Y8)&gt;0)),"পানির স্তর হঠাৎ &gt;5 সেমি বদল; ",""),"")&amp;IF(AND(ISNUMBER(PitanE),ISNUMBER(Y56),Y1&gt;PitanE+2,Y56&lt;PitanE),"পিটানের পরে TP/b আবার মাপুন; ",""))</f>
        <v/>
      </c>
      <c r="Z55" s="36" t="str">
        <f aca="false">IF(Z1="","",IF(AND(ISNUMBER(Z38),OR(Z38&lt;-30,Z38&gt;20)),"পানির স্তর সীমার বাইরে; ","")&amp;IF(AND(ISNUMBER(Z37),Z38=""),"TP/b নেই; ","")&amp;IF(AND(ISNUMBER(Z44),ISNUMBER(Z45)),IF(Z45&lt;Z44,"সেচের পরে &lt; আগে; ",""),"")&amp;IF(AND(ISNUMBER(Z37),ISNUMBER(Z41)&lt;&gt;ISNUMBER(Z42)),"সেচের মাপ অসম্পূর্ণ; ","")&amp;IF(ISNUMBER(Z48),IF(AND(ABS(Z48)&gt;50,NOT(N(Z8)&gt;0)),"পানির স্তর হঠাৎ &gt;5 সেমি বদল; ",""),"")&amp;IF(AND(ISNUMBER(PitanE),ISNUMBER(Z56),Z1&gt;PitanE+2,Z56&lt;PitanE),"পিটানের পরে TP/b আবার মাপুন; ",""))</f>
        <v/>
      </c>
      <c r="AA55" s="36" t="str">
        <f aca="false">IF(AA1="","",IF(AND(ISNUMBER(AA38),OR(AA38&lt;-30,AA38&gt;20)),"পানির স্তর সীমার বাইরে; ","")&amp;IF(AND(ISNUMBER(AA37),AA38=""),"TP/b নেই; ","")&amp;IF(AND(ISNUMBER(AA44),ISNUMBER(AA45)),IF(AA45&lt;AA44,"সেচের পরে &lt; আগে; ",""),"")&amp;IF(AND(ISNUMBER(AA37),ISNUMBER(AA41)&lt;&gt;ISNUMBER(AA42)),"সেচের মাপ অসম্পূর্ণ; ","")&amp;IF(ISNUMBER(AA48),IF(AND(ABS(AA48)&gt;50,NOT(N(AA8)&gt;0)),"পানির স্তর হঠাৎ &gt;5 সেমি বদল; ",""),"")&amp;IF(AND(ISNUMBER(PitanE),ISNUMBER(AA56),AA1&gt;PitanE+2,AA56&lt;PitanE),"পিটানের পরে TP/b আবার মাপুন; ",""))</f>
        <v/>
      </c>
      <c r="AB55" s="36" t="str">
        <f aca="false">IF(AB1="","",IF(AND(ISNUMBER(AB38),OR(AB38&lt;-30,AB38&gt;20)),"পানির স্তর সীমার বাইরে; ","")&amp;IF(AND(ISNUMBER(AB37),AB38=""),"TP/b নেই; ","")&amp;IF(AND(ISNUMBER(AB44),ISNUMBER(AB45)),IF(AB45&lt;AB44,"সেচের পরে &lt; আগে; ",""),"")&amp;IF(AND(ISNUMBER(AB37),ISNUMBER(AB41)&lt;&gt;ISNUMBER(AB42)),"সেচের মাপ অসম্পূর্ণ; ","")&amp;IF(ISNUMBER(AB48),IF(AND(ABS(AB48)&gt;50,NOT(N(AB8)&gt;0)),"পানির স্তর হঠাৎ &gt;5 সেমি বদল; ",""),"")&amp;IF(AND(ISNUMBER(PitanE),ISNUMBER(AB56),AB1&gt;PitanE+2,AB56&lt;PitanE),"পিটানের পরে TP/b আবার মাপুন; ",""))</f>
        <v/>
      </c>
      <c r="AC55" s="36" t="str">
        <f aca="false">IF(AC1="","",IF(AND(ISNUMBER(AC38),OR(AC38&lt;-30,AC38&gt;20)),"পানির স্তর সীমার বাইরে; ","")&amp;IF(AND(ISNUMBER(AC37),AC38=""),"TP/b নেই; ","")&amp;IF(AND(ISNUMBER(AC44),ISNUMBER(AC45)),IF(AC45&lt;AC44,"সেচের পরে &lt; আগে; ",""),"")&amp;IF(AND(ISNUMBER(AC37),ISNUMBER(AC41)&lt;&gt;ISNUMBER(AC42)),"সেচের মাপ অসম্পূর্ণ; ","")&amp;IF(ISNUMBER(AC48),IF(AND(ABS(AC48)&gt;50,NOT(N(AC8)&gt;0)),"পানির স্তর হঠাৎ &gt;5 সেমি বদল; ",""),"")&amp;IF(AND(ISNUMBER(PitanE),ISNUMBER(AC56),AC1&gt;PitanE+2,AC56&lt;PitanE),"পিটানের পরে TP/b আবার মাপুন; ",""))</f>
        <v/>
      </c>
      <c r="AD55" s="36" t="str">
        <f aca="false">IF(AD1="","",IF(AND(ISNUMBER(AD38),OR(AD38&lt;-30,AD38&gt;20)),"পানির স্তর সীমার বাইরে; ","")&amp;IF(AND(ISNUMBER(AD37),AD38=""),"TP/b নেই; ","")&amp;IF(AND(ISNUMBER(AD44),ISNUMBER(AD45)),IF(AD45&lt;AD44,"সেচের পরে &lt; আগে; ",""),"")&amp;IF(AND(ISNUMBER(AD37),ISNUMBER(AD41)&lt;&gt;ISNUMBER(AD42)),"সেচের মাপ অসম্পূর্ণ; ","")&amp;IF(ISNUMBER(AD48),IF(AND(ABS(AD48)&gt;50,NOT(N(AD8)&gt;0)),"পানির স্তর হঠাৎ &gt;5 সেমি বদল; ",""),"")&amp;IF(AND(ISNUMBER(PitanE),ISNUMBER(AD56),AD1&gt;PitanE+2,AD56&lt;PitanE),"পিটানের পরে TP/b আবার মাপুন; ",""))</f>
        <v/>
      </c>
      <c r="AE55" s="36" t="str">
        <f aca="false">IF(AE1="","",IF(AND(ISNUMBER(AE38),OR(AE38&lt;-30,AE38&gt;20)),"পানির স্তর সীমার বাইরে; ","")&amp;IF(AND(ISNUMBER(AE37),AE38=""),"TP/b নেই; ","")&amp;IF(AND(ISNUMBER(AE44),ISNUMBER(AE45)),IF(AE45&lt;AE44,"সেচের পরে &lt; আগে; ",""),"")&amp;IF(AND(ISNUMBER(AE37),ISNUMBER(AE41)&lt;&gt;ISNUMBER(AE42)),"সেচের মাপ অসম্পূর্ণ; ","")&amp;IF(ISNUMBER(AE48),IF(AND(ABS(AE48)&gt;50,NOT(N(AE8)&gt;0)),"পানির স্তর হঠাৎ &gt;5 সেমি বদল; ",""),"")&amp;IF(AND(ISNUMBER(PitanE),ISNUMBER(AE56),AE1&gt;PitanE+2,AE56&lt;PitanE),"পিটানের পরে TP/b আবার মাপুন; ",""))</f>
        <v/>
      </c>
      <c r="AF55" s="36" t="str">
        <f aca="false">IF(AF1="","",IF(AND(ISNUMBER(AF38),OR(AF38&lt;-30,AF38&gt;20)),"পানির স্তর সীমার বাইরে; ","")&amp;IF(AND(ISNUMBER(AF37),AF38=""),"TP/b নেই; ","")&amp;IF(AND(ISNUMBER(AF44),ISNUMBER(AF45)),IF(AF45&lt;AF44,"সেচের পরে &lt; আগে; ",""),"")&amp;IF(AND(ISNUMBER(AF37),ISNUMBER(AF41)&lt;&gt;ISNUMBER(AF42)),"সেচের মাপ অসম্পূর্ণ; ","")&amp;IF(ISNUMBER(AF48),IF(AND(ABS(AF48)&gt;50,NOT(N(AF8)&gt;0)),"পানির স্তর হঠাৎ &gt;5 সেমি বদল; ",""),"")&amp;IF(AND(ISNUMBER(PitanE),ISNUMBER(AF56),AF1&gt;PitanE+2,AF56&lt;PitanE),"পিটানের পরে TP/b আবার মাপুন; ",""))</f>
        <v/>
      </c>
      <c r="AG55" s="36" t="str">
        <f aca="false">IF(AG1="","",IF(AND(ISNUMBER(AG38),OR(AG38&lt;-30,AG38&gt;20)),"পানির স্তর সীমার বাইরে; ","")&amp;IF(AND(ISNUMBER(AG37),AG38=""),"TP/b নেই; ","")&amp;IF(AND(ISNUMBER(AG44),ISNUMBER(AG45)),IF(AG45&lt;AG44,"সেচের পরে &lt; আগে; ",""),"")&amp;IF(AND(ISNUMBER(AG37),ISNUMBER(AG41)&lt;&gt;ISNUMBER(AG42)),"সেচের মাপ অসম্পূর্ণ; ","")&amp;IF(ISNUMBER(AG48),IF(AND(ABS(AG48)&gt;50,NOT(N(AG8)&gt;0)),"পানির স্তর হঠাৎ &gt;5 সেমি বদল; ",""),"")&amp;IF(AND(ISNUMBER(PitanE),ISNUMBER(AG56),AG1&gt;PitanE+2,AG56&lt;PitanE),"পিটানের পরে TP/b আবার মাপুন; ",""))</f>
        <v/>
      </c>
      <c r="AH55" s="36" t="str">
        <f aca="false">IF(AH1="","",IF(AND(ISNUMBER(AH38),OR(AH38&lt;-30,AH38&gt;20)),"পানির স্তর সীমার বাইরে; ","")&amp;IF(AND(ISNUMBER(AH37),AH38=""),"TP/b নেই; ","")&amp;IF(AND(ISNUMBER(AH44),ISNUMBER(AH45)),IF(AH45&lt;AH44,"সেচের পরে &lt; আগে; ",""),"")&amp;IF(AND(ISNUMBER(AH37),ISNUMBER(AH41)&lt;&gt;ISNUMBER(AH42)),"সেচের মাপ অসম্পূর্ণ; ","")&amp;IF(ISNUMBER(AH48),IF(AND(ABS(AH48)&gt;50,NOT(N(AH8)&gt;0)),"পানির স্তর হঠাৎ &gt;5 সেমি বদল; ",""),"")&amp;IF(AND(ISNUMBER(PitanE),ISNUMBER(AH56),AH1&gt;PitanE+2,AH56&lt;PitanE),"পিটানের পরে TP/b আবার মাপুন; ",""))</f>
        <v/>
      </c>
      <c r="AI55" s="36" t="str">
        <f aca="false">IF(AI1="","",IF(AND(ISNUMBER(AI38),OR(AI38&lt;-30,AI38&gt;20)),"পানির স্তর সীমার বাইরে; ","")&amp;IF(AND(ISNUMBER(AI37),AI38=""),"TP/b নেই; ","")&amp;IF(AND(ISNUMBER(AI44),ISNUMBER(AI45)),IF(AI45&lt;AI44,"সেচের পরে &lt; আগে; ",""),"")&amp;IF(AND(ISNUMBER(AI37),ISNUMBER(AI41)&lt;&gt;ISNUMBER(AI42)),"সেচের মাপ অসম্পূর্ণ; ","")&amp;IF(ISNUMBER(AI48),IF(AND(ABS(AI48)&gt;50,NOT(N(AI8)&gt;0)),"পানির স্তর হঠাৎ &gt;5 সেমি বদল; ",""),"")&amp;IF(AND(ISNUMBER(PitanE),ISNUMBER(AI56),AI1&gt;PitanE+2,AI56&lt;PitanE),"পিটানের পরে TP/b আবার মাপুন; ",""))</f>
        <v/>
      </c>
      <c r="AJ55" s="36" t="str">
        <f aca="false">IF(AJ1="","",IF(AND(ISNUMBER(AJ38),OR(AJ38&lt;-30,AJ38&gt;20)),"পানির স্তর সীমার বাইরে; ","")&amp;IF(AND(ISNUMBER(AJ37),AJ38=""),"TP/b নেই; ","")&amp;IF(AND(ISNUMBER(AJ44),ISNUMBER(AJ45)),IF(AJ45&lt;AJ44,"সেচের পরে &lt; আগে; ",""),"")&amp;IF(AND(ISNUMBER(AJ37),ISNUMBER(AJ41)&lt;&gt;ISNUMBER(AJ42)),"সেচের মাপ অসম্পূর্ণ; ","")&amp;IF(ISNUMBER(AJ48),IF(AND(ABS(AJ48)&gt;50,NOT(N(AJ8)&gt;0)),"পানির স্তর হঠাৎ &gt;5 সেমি বদল; ",""),"")&amp;IF(AND(ISNUMBER(PitanE),ISNUMBER(AJ56),AJ1&gt;PitanE+2,AJ56&lt;PitanE),"পিটানের পরে TP/b আবার মাপুন; ",""))</f>
        <v/>
      </c>
      <c r="AK55" s="36" t="str">
        <f aca="false">IF(AK1="","",IF(AND(ISNUMBER(AK38),OR(AK38&lt;-30,AK38&gt;20)),"পানির স্তর সীমার বাইরে; ","")&amp;IF(AND(ISNUMBER(AK37),AK38=""),"TP/b নেই; ","")&amp;IF(AND(ISNUMBER(AK44),ISNUMBER(AK45)),IF(AK45&lt;AK44,"সেচের পরে &lt; আগে; ",""),"")&amp;IF(AND(ISNUMBER(AK37),ISNUMBER(AK41)&lt;&gt;ISNUMBER(AK42)),"সেচের মাপ অসম্পূর্ণ; ","")&amp;IF(ISNUMBER(AK48),IF(AND(ABS(AK48)&gt;50,NOT(N(AK8)&gt;0)),"পানির স্তর হঠাৎ &gt;5 সেমি বদল; ",""),"")&amp;IF(AND(ISNUMBER(PitanE),ISNUMBER(AK56),AK1&gt;PitanE+2,AK56&lt;PitanE),"পিটানের পরে TP/b আবার মাপুন; ",""))</f>
        <v/>
      </c>
      <c r="AL55" s="36" t="str">
        <f aca="false">IF(AL1="","",IF(AND(ISNUMBER(AL38),OR(AL38&lt;-30,AL38&gt;20)),"পানির স্তর সীমার বাইরে; ","")&amp;IF(AND(ISNUMBER(AL37),AL38=""),"TP/b নেই; ","")&amp;IF(AND(ISNUMBER(AL44),ISNUMBER(AL45)),IF(AL45&lt;AL44,"সেচের পরে &lt; আগে; ",""),"")&amp;IF(AND(ISNUMBER(AL37),ISNUMBER(AL41)&lt;&gt;ISNUMBER(AL42)),"সেচের মাপ অসম্পূর্ণ; ","")&amp;IF(ISNUMBER(AL48),IF(AND(ABS(AL48)&gt;50,NOT(N(AL8)&gt;0)),"পানির স্তর হঠাৎ &gt;5 সেমি বদল; ",""),"")&amp;IF(AND(ISNUMBER(PitanE),ISNUMBER(AL56),AL1&gt;PitanE+2,AL56&lt;PitanE),"পিটানের পরে TP/b আবার মাপুন; ",""))</f>
        <v/>
      </c>
      <c r="AM55" s="36" t="str">
        <f aca="false">IF(AM1="","",IF(AND(ISNUMBER(AM38),OR(AM38&lt;-30,AM38&gt;20)),"পানির স্তর সীমার বাইরে; ","")&amp;IF(AND(ISNUMBER(AM37),AM38=""),"TP/b নেই; ","")&amp;IF(AND(ISNUMBER(AM44),ISNUMBER(AM45)),IF(AM45&lt;AM44,"সেচের পরে &lt; আগে; ",""),"")&amp;IF(AND(ISNUMBER(AM37),ISNUMBER(AM41)&lt;&gt;ISNUMBER(AM42)),"সেচের মাপ অসম্পূর্ণ; ","")&amp;IF(ISNUMBER(AM48),IF(AND(ABS(AM48)&gt;50,NOT(N(AM8)&gt;0)),"পানির স্তর হঠাৎ &gt;5 সেমি বদল; ",""),"")&amp;IF(AND(ISNUMBER(PitanE),ISNUMBER(AM56),AM1&gt;PitanE+2,AM56&lt;PitanE),"পিটানের পরে TP/b আবার মাপুন; ",""))</f>
        <v/>
      </c>
      <c r="AN55" s="36" t="str">
        <f aca="false">IF(AN1="","",IF(AND(ISNUMBER(AN38),OR(AN38&lt;-30,AN38&gt;20)),"পানির স্তর সীমার বাইরে; ","")&amp;IF(AND(ISNUMBER(AN37),AN38=""),"TP/b নেই; ","")&amp;IF(AND(ISNUMBER(AN44),ISNUMBER(AN45)),IF(AN45&lt;AN44,"সেচের পরে &lt; আগে; ",""),"")&amp;IF(AND(ISNUMBER(AN37),ISNUMBER(AN41)&lt;&gt;ISNUMBER(AN42)),"সেচের মাপ অসম্পূর্ণ; ","")&amp;IF(ISNUMBER(AN48),IF(AND(ABS(AN48)&gt;50,NOT(N(AN8)&gt;0)),"পানির স্তর হঠাৎ &gt;5 সেমি বদল; ",""),"")&amp;IF(AND(ISNUMBER(PitanE),ISNUMBER(AN56),AN1&gt;PitanE+2,AN56&lt;PitanE),"পিটানের পরে TP/b আবার মাপুন; ",""))</f>
        <v/>
      </c>
      <c r="AO55" s="36" t="str">
        <f aca="false">IF(AO1="","",IF(AND(ISNUMBER(AO38),OR(AO38&lt;-30,AO38&gt;20)),"পানির স্তর সীমার বাইরে; ","")&amp;IF(AND(ISNUMBER(AO37),AO38=""),"TP/b নেই; ","")&amp;IF(AND(ISNUMBER(AO44),ISNUMBER(AO45)),IF(AO45&lt;AO44,"সেচের পরে &lt; আগে; ",""),"")&amp;IF(AND(ISNUMBER(AO37),ISNUMBER(AO41)&lt;&gt;ISNUMBER(AO42)),"সেচের মাপ অসম্পূর্ণ; ","")&amp;IF(ISNUMBER(AO48),IF(AND(ABS(AO48)&gt;50,NOT(N(AO8)&gt;0)),"পানির স্তর হঠাৎ &gt;5 সেমি বদল; ",""),"")&amp;IF(AND(ISNUMBER(PitanE),ISNUMBER(AO56),AO1&gt;PitanE+2,AO56&lt;PitanE),"পিটানের পরে TP/b আবার মাপুন; ",""))</f>
        <v/>
      </c>
      <c r="AP55" s="36" t="str">
        <f aca="false">IF(AP1="","",IF(AND(ISNUMBER(AP38),OR(AP38&lt;-30,AP38&gt;20)),"পানির স্তর সীমার বাইরে; ","")&amp;IF(AND(ISNUMBER(AP37),AP38=""),"TP/b নেই; ","")&amp;IF(AND(ISNUMBER(AP44),ISNUMBER(AP45)),IF(AP45&lt;AP44,"সেচের পরে &lt; আগে; ",""),"")&amp;IF(AND(ISNUMBER(AP37),ISNUMBER(AP41)&lt;&gt;ISNUMBER(AP42)),"সেচের মাপ অসম্পূর্ণ; ","")&amp;IF(ISNUMBER(AP48),IF(AND(ABS(AP48)&gt;50,NOT(N(AP8)&gt;0)),"পানির স্তর হঠাৎ &gt;5 সেমি বদল; ",""),"")&amp;IF(AND(ISNUMBER(PitanE),ISNUMBER(AP56),AP1&gt;PitanE+2,AP56&lt;PitanE),"পিটানের পরে TP/b আবার মাপুন; ",""))</f>
        <v/>
      </c>
      <c r="AQ55" s="36" t="str">
        <f aca="false">IF(AQ1="","",IF(AND(ISNUMBER(AQ38),OR(AQ38&lt;-30,AQ38&gt;20)),"পানির স্তর সীমার বাইরে; ","")&amp;IF(AND(ISNUMBER(AQ37),AQ38=""),"TP/b নেই; ","")&amp;IF(AND(ISNUMBER(AQ44),ISNUMBER(AQ45)),IF(AQ45&lt;AQ44,"সেচের পরে &lt; আগে; ",""),"")&amp;IF(AND(ISNUMBER(AQ37),ISNUMBER(AQ41)&lt;&gt;ISNUMBER(AQ42)),"সেচের মাপ অসম্পূর্ণ; ","")&amp;IF(ISNUMBER(AQ48),IF(AND(ABS(AQ48)&gt;50,NOT(N(AQ8)&gt;0)),"পানির স্তর হঠাৎ &gt;5 সেমি বদল; ",""),"")&amp;IF(AND(ISNUMBER(PitanE),ISNUMBER(AQ56),AQ1&gt;PitanE+2,AQ56&lt;PitanE),"পিটানের পরে TP/b আবার মাপুন; ",""))</f>
        <v/>
      </c>
      <c r="AR55" s="36" t="str">
        <f aca="false">IF(AR1="","",IF(AND(ISNUMBER(AR38),OR(AR38&lt;-30,AR38&gt;20)),"পানির স্তর সীমার বাইরে; ","")&amp;IF(AND(ISNUMBER(AR37),AR38=""),"TP/b নেই; ","")&amp;IF(AND(ISNUMBER(AR44),ISNUMBER(AR45)),IF(AR45&lt;AR44,"সেচের পরে &lt; আগে; ",""),"")&amp;IF(AND(ISNUMBER(AR37),ISNUMBER(AR41)&lt;&gt;ISNUMBER(AR42)),"সেচের মাপ অসম্পূর্ণ; ","")&amp;IF(ISNUMBER(AR48),IF(AND(ABS(AR48)&gt;50,NOT(N(AR8)&gt;0)),"পানির স্তর হঠাৎ &gt;5 সেমি বদল; ",""),"")&amp;IF(AND(ISNUMBER(PitanE),ISNUMBER(AR56),AR1&gt;PitanE+2,AR56&lt;PitanE),"পিটানের পরে TP/b আবার মাপুন; ",""))</f>
        <v/>
      </c>
      <c r="AS55" s="36" t="str">
        <f aca="false">IF(AS1="","",IF(AND(ISNUMBER(AS38),OR(AS38&lt;-30,AS38&gt;20)),"পানির স্তর সীমার বাইরে; ","")&amp;IF(AND(ISNUMBER(AS37),AS38=""),"TP/b নেই; ","")&amp;IF(AND(ISNUMBER(AS44),ISNUMBER(AS45)),IF(AS45&lt;AS44,"সেচের পরে &lt; আগে; ",""),"")&amp;IF(AND(ISNUMBER(AS37),ISNUMBER(AS41)&lt;&gt;ISNUMBER(AS42)),"সেচের মাপ অসম্পূর্ণ; ","")&amp;IF(ISNUMBER(AS48),IF(AND(ABS(AS48)&gt;50,NOT(N(AS8)&gt;0)),"পানির স্তর হঠাৎ &gt;5 সেমি বদল; ",""),"")&amp;IF(AND(ISNUMBER(PitanE),ISNUMBER(AS56),AS1&gt;PitanE+2,AS56&lt;PitanE),"পিটানের পরে TP/b আবার মাপুন; ",""))</f>
        <v/>
      </c>
      <c r="AT55" s="36" t="str">
        <f aca="false">IF(AT1="","",IF(AND(ISNUMBER(AT38),OR(AT38&lt;-30,AT38&gt;20)),"পানির স্তর সীমার বাইরে; ","")&amp;IF(AND(ISNUMBER(AT37),AT38=""),"TP/b নেই; ","")&amp;IF(AND(ISNUMBER(AT44),ISNUMBER(AT45)),IF(AT45&lt;AT44,"সেচের পরে &lt; আগে; ",""),"")&amp;IF(AND(ISNUMBER(AT37),ISNUMBER(AT41)&lt;&gt;ISNUMBER(AT42)),"সেচের মাপ অসম্পূর্ণ; ","")&amp;IF(ISNUMBER(AT48),IF(AND(ABS(AT48)&gt;50,NOT(N(AT8)&gt;0)),"পানির স্তর হঠাৎ &gt;5 সেমি বদল; ",""),"")&amp;IF(AND(ISNUMBER(PitanE),ISNUMBER(AT56),AT1&gt;PitanE+2,AT56&lt;PitanE),"পিটানের পরে TP/b আবার মাপুন; ",""))</f>
        <v/>
      </c>
      <c r="AU55" s="36" t="str">
        <f aca="false">IF(AU1="","",IF(AND(ISNUMBER(AU38),OR(AU38&lt;-30,AU38&gt;20)),"পানির স্তর সীমার বাইরে; ","")&amp;IF(AND(ISNUMBER(AU37),AU38=""),"TP/b নেই; ","")&amp;IF(AND(ISNUMBER(AU44),ISNUMBER(AU45)),IF(AU45&lt;AU44,"সেচের পরে &lt; আগে; ",""),"")&amp;IF(AND(ISNUMBER(AU37),ISNUMBER(AU41)&lt;&gt;ISNUMBER(AU42)),"সেচের মাপ অসম্পূর্ণ; ","")&amp;IF(ISNUMBER(AU48),IF(AND(ABS(AU48)&gt;50,NOT(N(AU8)&gt;0)),"পানির স্তর হঠাৎ &gt;5 সেমি বদল; ",""),"")&amp;IF(AND(ISNUMBER(PitanE),ISNUMBER(AU56),AU1&gt;PitanE+2,AU56&lt;PitanE),"পিটানের পরে TP/b আবার মাপুন; ",""))</f>
        <v/>
      </c>
      <c r="AV55" s="36" t="str">
        <f aca="false">IF(AV1="","",IF(AND(ISNUMBER(AV38),OR(AV38&lt;-30,AV38&gt;20)),"পানির স্তর সীমার বাইরে; ","")&amp;IF(AND(ISNUMBER(AV37),AV38=""),"TP/b নেই; ","")&amp;IF(AND(ISNUMBER(AV44),ISNUMBER(AV45)),IF(AV45&lt;AV44,"সেচের পরে &lt; আগে; ",""),"")&amp;IF(AND(ISNUMBER(AV37),ISNUMBER(AV41)&lt;&gt;ISNUMBER(AV42)),"সেচের মাপ অসম্পূর্ণ; ","")&amp;IF(ISNUMBER(AV48),IF(AND(ABS(AV48)&gt;50,NOT(N(AV8)&gt;0)),"পানির স্তর হঠাৎ &gt;5 সেমি বদল; ",""),"")&amp;IF(AND(ISNUMBER(PitanE),ISNUMBER(AV56),AV1&gt;PitanE+2,AV56&lt;PitanE),"পিটানের পরে TP/b আবার মাপুন; ",""))</f>
        <v/>
      </c>
      <c r="AW55" s="36" t="str">
        <f aca="false">IF(AW1="","",IF(AND(ISNUMBER(AW38),OR(AW38&lt;-30,AW38&gt;20)),"পানির স্তর সীমার বাইরে; ","")&amp;IF(AND(ISNUMBER(AW37),AW38=""),"TP/b নেই; ","")&amp;IF(AND(ISNUMBER(AW44),ISNUMBER(AW45)),IF(AW45&lt;AW44,"সেচের পরে &lt; আগে; ",""),"")&amp;IF(AND(ISNUMBER(AW37),ISNUMBER(AW41)&lt;&gt;ISNUMBER(AW42)),"সেচের মাপ অসম্পূর্ণ; ","")&amp;IF(ISNUMBER(AW48),IF(AND(ABS(AW48)&gt;50,NOT(N(AW8)&gt;0)),"পানির স্তর হঠাৎ &gt;5 সেমি বদল; ",""),"")&amp;IF(AND(ISNUMBER(PitanE),ISNUMBER(AW56),AW1&gt;PitanE+2,AW56&lt;PitanE),"পিটানের পরে TP/b আবার মাপুন; ",""))</f>
        <v/>
      </c>
      <c r="AX55" s="36" t="str">
        <f aca="false">IF(AX1="","",IF(AND(ISNUMBER(AX38),OR(AX38&lt;-30,AX38&gt;20)),"পানির স্তর সীমার বাইরে; ","")&amp;IF(AND(ISNUMBER(AX37),AX38=""),"TP/b নেই; ","")&amp;IF(AND(ISNUMBER(AX44),ISNUMBER(AX45)),IF(AX45&lt;AX44,"সেচের পরে &lt; আগে; ",""),"")&amp;IF(AND(ISNUMBER(AX37),ISNUMBER(AX41)&lt;&gt;ISNUMBER(AX42)),"সেচের মাপ অসম্পূর্ণ; ","")&amp;IF(ISNUMBER(AX48),IF(AND(ABS(AX48)&gt;50,NOT(N(AX8)&gt;0)),"পানির স্তর হঠাৎ &gt;5 সেমি বদল; ",""),"")&amp;IF(AND(ISNUMBER(PitanE),ISNUMBER(AX56),AX1&gt;PitanE+2,AX56&lt;PitanE),"পিটানের পরে TP/b আবার মাপুন; ",""))</f>
        <v/>
      </c>
      <c r="AY55" s="36" t="str">
        <f aca="false">IF(AY1="","",IF(AND(ISNUMBER(AY38),OR(AY38&lt;-30,AY38&gt;20)),"পানির স্তর সীমার বাইরে; ","")&amp;IF(AND(ISNUMBER(AY37),AY38=""),"TP/b নেই; ","")&amp;IF(AND(ISNUMBER(AY44),ISNUMBER(AY45)),IF(AY45&lt;AY44,"সেচের পরে &lt; আগে; ",""),"")&amp;IF(AND(ISNUMBER(AY37),ISNUMBER(AY41)&lt;&gt;ISNUMBER(AY42)),"সেচের মাপ অসম্পূর্ণ; ","")&amp;IF(ISNUMBER(AY48),IF(AND(ABS(AY48)&gt;50,NOT(N(AY8)&gt;0)),"পানির স্তর হঠাৎ &gt;5 সেমি বদল; ",""),"")&amp;IF(AND(ISNUMBER(PitanE),ISNUMBER(AY56),AY1&gt;PitanE+2,AY56&lt;PitanE),"পিটানের পরে TP/b আবার মাপুন; ",""))</f>
        <v/>
      </c>
      <c r="AZ55" s="36" t="str">
        <f aca="false">IF(AZ1="","",IF(AND(ISNUMBER(AZ38),OR(AZ38&lt;-30,AZ38&gt;20)),"পানির স্তর সীমার বাইরে; ","")&amp;IF(AND(ISNUMBER(AZ37),AZ38=""),"TP/b নেই; ","")&amp;IF(AND(ISNUMBER(AZ44),ISNUMBER(AZ45)),IF(AZ45&lt;AZ44,"সেচের পরে &lt; আগে; ",""),"")&amp;IF(AND(ISNUMBER(AZ37),ISNUMBER(AZ41)&lt;&gt;ISNUMBER(AZ42)),"সেচের মাপ অসম্পূর্ণ; ","")&amp;IF(ISNUMBER(AZ48),IF(AND(ABS(AZ48)&gt;50,NOT(N(AZ8)&gt;0)),"পানির স্তর হঠাৎ &gt;5 সেমি বদল; ",""),"")&amp;IF(AND(ISNUMBER(PitanE),ISNUMBER(AZ56),AZ1&gt;PitanE+2,AZ56&lt;PitanE),"পিটানের পরে TP/b আবার মাপুন; ",""))</f>
        <v/>
      </c>
      <c r="BA55" s="36" t="str">
        <f aca="false">IF(BA1="","",IF(AND(ISNUMBER(BA38),OR(BA38&lt;-30,BA38&gt;20)),"পানির স্তর সীমার বাইরে; ","")&amp;IF(AND(ISNUMBER(BA37),BA38=""),"TP/b নেই; ","")&amp;IF(AND(ISNUMBER(BA44),ISNUMBER(BA45)),IF(BA45&lt;BA44,"সেচের পরে &lt; আগে; ",""),"")&amp;IF(AND(ISNUMBER(BA37),ISNUMBER(BA41)&lt;&gt;ISNUMBER(BA42)),"সেচের মাপ অসম্পূর্ণ; ","")&amp;IF(ISNUMBER(BA48),IF(AND(ABS(BA48)&gt;50,NOT(N(BA8)&gt;0)),"পানির স্তর হঠাৎ &gt;5 সেমি বদল; ",""),"")&amp;IF(AND(ISNUMBER(PitanE),ISNUMBER(BA56),BA1&gt;PitanE+2,BA56&lt;PitanE),"পিটানের পরে TP/b আবার মাপুন; ",""))</f>
        <v/>
      </c>
      <c r="BB55" s="36" t="str">
        <f aca="false">IF(BB1="","",IF(AND(ISNUMBER(BB38),OR(BB38&lt;-30,BB38&gt;20)),"পানির স্তর সীমার বাইরে; ","")&amp;IF(AND(ISNUMBER(BB37),BB38=""),"TP/b নেই; ","")&amp;IF(AND(ISNUMBER(BB44),ISNUMBER(BB45)),IF(BB45&lt;BB44,"সেচের পরে &lt; আগে; ",""),"")&amp;IF(AND(ISNUMBER(BB37),ISNUMBER(BB41)&lt;&gt;ISNUMBER(BB42)),"সেচের মাপ অসম্পূর্ণ; ","")&amp;IF(ISNUMBER(BB48),IF(AND(ABS(BB48)&gt;50,NOT(N(BB8)&gt;0)),"পানির স্তর হঠাৎ &gt;5 সেমি বদল; ",""),"")&amp;IF(AND(ISNUMBER(PitanE),ISNUMBER(BB56),BB1&gt;PitanE+2,BB56&lt;PitanE),"পিটানের পরে TP/b আবার মাপুন; ",""))</f>
        <v/>
      </c>
      <c r="BC55" s="36" t="str">
        <f aca="false">IF(BC1="","",IF(AND(ISNUMBER(BC38),OR(BC38&lt;-30,BC38&gt;20)),"পানির স্তর সীমার বাইরে; ","")&amp;IF(AND(ISNUMBER(BC37),BC38=""),"TP/b নেই; ","")&amp;IF(AND(ISNUMBER(BC44),ISNUMBER(BC45)),IF(BC45&lt;BC44,"সেচের পরে &lt; আগে; ",""),"")&amp;IF(AND(ISNUMBER(BC37),ISNUMBER(BC41)&lt;&gt;ISNUMBER(BC42)),"সেচের মাপ অসম্পূর্ণ; ","")&amp;IF(ISNUMBER(BC48),IF(AND(ABS(BC48)&gt;50,NOT(N(BC8)&gt;0)),"পানির স্তর হঠাৎ &gt;5 সেমি বদল; ",""),"")&amp;IF(AND(ISNUMBER(PitanE),ISNUMBER(BC56),BC1&gt;PitanE+2,BC56&lt;PitanE),"পিটানের পরে TP/b আবার মাপুন; ",""))</f>
        <v/>
      </c>
      <c r="BD55" s="36" t="str">
        <f aca="false">IF(BD1="","",IF(AND(ISNUMBER(BD38),OR(BD38&lt;-30,BD38&gt;20)),"পানির স্তর সীমার বাইরে; ","")&amp;IF(AND(ISNUMBER(BD37),BD38=""),"TP/b নেই; ","")&amp;IF(AND(ISNUMBER(BD44),ISNUMBER(BD45)),IF(BD45&lt;BD44,"সেচের পরে &lt; আগে; ",""),"")&amp;IF(AND(ISNUMBER(BD37),ISNUMBER(BD41)&lt;&gt;ISNUMBER(BD42)),"সেচের মাপ অসম্পূর্ণ; ","")&amp;IF(ISNUMBER(BD48),IF(AND(ABS(BD48)&gt;50,NOT(N(BD8)&gt;0)),"পানির স্তর হঠাৎ &gt;5 সেমি বদল; ",""),"")&amp;IF(AND(ISNUMBER(PitanE),ISNUMBER(BD56),BD1&gt;PitanE+2,BD56&lt;PitanE),"পিটানের পরে TP/b আবার মাপুন; ",""))</f>
        <v/>
      </c>
      <c r="BE55" s="36" t="str">
        <f aca="false">IF(BE1="","",IF(AND(ISNUMBER(BE38),OR(BE38&lt;-30,BE38&gt;20)),"পানির স্তর সীমার বাইরে; ","")&amp;IF(AND(ISNUMBER(BE37),BE38=""),"TP/b নেই; ","")&amp;IF(AND(ISNUMBER(BE44),ISNUMBER(BE45)),IF(BE45&lt;BE44,"সেচের পরে &lt; আগে; ",""),"")&amp;IF(AND(ISNUMBER(BE37),ISNUMBER(BE41)&lt;&gt;ISNUMBER(BE42)),"সেচের মাপ অসম্পূর্ণ; ","")&amp;IF(ISNUMBER(BE48),IF(AND(ABS(BE48)&gt;50,NOT(N(BE8)&gt;0)),"পানির স্তর হঠাৎ &gt;5 সেমি বদল; ",""),"")&amp;IF(AND(ISNUMBER(PitanE),ISNUMBER(BE56),BE1&gt;PitanE+2,BE56&lt;PitanE),"পিটানের পরে TP/b আবার মাপুন; ",""))</f>
        <v/>
      </c>
      <c r="BF55" s="36" t="str">
        <f aca="false">IF(BF1="","",IF(AND(ISNUMBER(BF38),OR(BF38&lt;-30,BF38&gt;20)),"পানির স্তর সীমার বাইরে; ","")&amp;IF(AND(ISNUMBER(BF37),BF38=""),"TP/b নেই; ","")&amp;IF(AND(ISNUMBER(BF44),ISNUMBER(BF45)),IF(BF45&lt;BF44,"সেচের পরে &lt; আগে; ",""),"")&amp;IF(AND(ISNUMBER(BF37),ISNUMBER(BF41)&lt;&gt;ISNUMBER(BF42)),"সেচের মাপ অসম্পূর্ণ; ","")&amp;IF(ISNUMBER(BF48),IF(AND(ABS(BF48)&gt;50,NOT(N(BF8)&gt;0)),"পানির স্তর হঠাৎ &gt;5 সেমি বদল; ",""),"")&amp;IF(AND(ISNUMBER(PitanE),ISNUMBER(BF56),BF1&gt;PitanE+2,BF56&lt;PitanE),"পিটানের পরে TP/b আবার মাপুন; ",""))</f>
        <v/>
      </c>
      <c r="BG55" s="36" t="str">
        <f aca="false">IF(BG1="","",IF(AND(ISNUMBER(BG38),OR(BG38&lt;-30,BG38&gt;20)),"পানির স্তর সীমার বাইরে; ","")&amp;IF(AND(ISNUMBER(BG37),BG38=""),"TP/b নেই; ","")&amp;IF(AND(ISNUMBER(BG44),ISNUMBER(BG45)),IF(BG45&lt;BG44,"সেচের পরে &lt; আগে; ",""),"")&amp;IF(AND(ISNUMBER(BG37),ISNUMBER(BG41)&lt;&gt;ISNUMBER(BG42)),"সেচের মাপ অসম্পূর্ণ; ","")&amp;IF(ISNUMBER(BG48),IF(AND(ABS(BG48)&gt;50,NOT(N(BG8)&gt;0)),"পানির স্তর হঠাৎ &gt;5 সেমি বদল; ",""),"")&amp;IF(AND(ISNUMBER(PitanE),ISNUMBER(BG56),BG1&gt;PitanE+2,BG56&lt;PitanE),"পিটানের পরে TP/b আবার মাপুন; ",""))</f>
        <v/>
      </c>
      <c r="BH55" s="36" t="str">
        <f aca="false">IF(BH1="","",IF(AND(ISNUMBER(BH38),OR(BH38&lt;-30,BH38&gt;20)),"পানির স্তর সীমার বাইরে; ","")&amp;IF(AND(ISNUMBER(BH37),BH38=""),"TP/b নেই; ","")&amp;IF(AND(ISNUMBER(BH44),ISNUMBER(BH45)),IF(BH45&lt;BH44,"সেচের পরে &lt; আগে; ",""),"")&amp;IF(AND(ISNUMBER(BH37),ISNUMBER(BH41)&lt;&gt;ISNUMBER(BH42)),"সেচের মাপ অসম্পূর্ণ; ","")&amp;IF(ISNUMBER(BH48),IF(AND(ABS(BH48)&gt;50,NOT(N(BH8)&gt;0)),"পানির স্তর হঠাৎ &gt;5 সেমি বদল; ",""),"")&amp;IF(AND(ISNUMBER(PitanE),ISNUMBER(BH56),BH1&gt;PitanE+2,BH56&lt;PitanE),"পিটানের পরে TP/b আবার মাপুন; ",""))</f>
        <v/>
      </c>
      <c r="BI55" s="36" t="str">
        <f aca="false">IF(BI1="","",IF(AND(ISNUMBER(BI38),OR(BI38&lt;-30,BI38&gt;20)),"পানির স্তর সীমার বাইরে; ","")&amp;IF(AND(ISNUMBER(BI37),BI38=""),"TP/b নেই; ","")&amp;IF(AND(ISNUMBER(BI44),ISNUMBER(BI45)),IF(BI45&lt;BI44,"সেচের পরে &lt; আগে; ",""),"")&amp;IF(AND(ISNUMBER(BI37),ISNUMBER(BI41)&lt;&gt;ISNUMBER(BI42)),"সেচের মাপ অসম্পূর্ণ; ","")&amp;IF(ISNUMBER(BI48),IF(AND(ABS(BI48)&gt;50,NOT(N(BI8)&gt;0)),"পানির স্তর হঠাৎ &gt;5 সেমি বদল; ",""),"")&amp;IF(AND(ISNUMBER(PitanE),ISNUMBER(BI56),BI1&gt;PitanE+2,BI56&lt;PitanE),"পিটানের পরে TP/b আবার মাপুন; ",""))</f>
        <v/>
      </c>
      <c r="BJ55" s="36" t="str">
        <f aca="false">IF(BJ1="","",IF(AND(ISNUMBER(BJ38),OR(BJ38&lt;-30,BJ38&gt;20)),"পানির স্তর সীমার বাইরে; ","")&amp;IF(AND(ISNUMBER(BJ37),BJ38=""),"TP/b নেই; ","")&amp;IF(AND(ISNUMBER(BJ44),ISNUMBER(BJ45)),IF(BJ45&lt;BJ44,"সেচের পরে &lt; আগে; ",""),"")&amp;IF(AND(ISNUMBER(BJ37),ISNUMBER(BJ41)&lt;&gt;ISNUMBER(BJ42)),"সেচের মাপ অসম্পূর্ণ; ","")&amp;IF(ISNUMBER(BJ48),IF(AND(ABS(BJ48)&gt;50,NOT(N(BJ8)&gt;0)),"পানির স্তর হঠাৎ &gt;5 সেমি বদল; ",""),"")&amp;IF(AND(ISNUMBER(PitanE),ISNUMBER(BJ56),BJ1&gt;PitanE+2,BJ56&lt;PitanE),"পিটানের পরে TP/b আবার মাপুন; ",""))</f>
        <v/>
      </c>
      <c r="BK55" s="36" t="str">
        <f aca="false">IF(BK1="","",IF(AND(ISNUMBER(BK38),OR(BK38&lt;-30,BK38&gt;20)),"পানির স্তর সীমার বাইরে; ","")&amp;IF(AND(ISNUMBER(BK37),BK38=""),"TP/b নেই; ","")&amp;IF(AND(ISNUMBER(BK44),ISNUMBER(BK45)),IF(BK45&lt;BK44,"সেচের পরে &lt; আগে; ",""),"")&amp;IF(AND(ISNUMBER(BK37),ISNUMBER(BK41)&lt;&gt;ISNUMBER(BK42)),"সেচের মাপ অসম্পূর্ণ; ","")&amp;IF(ISNUMBER(BK48),IF(AND(ABS(BK48)&gt;50,NOT(N(BK8)&gt;0)),"পানির স্তর হঠাৎ &gt;5 সেমি বদল; ",""),"")&amp;IF(AND(ISNUMBER(PitanE),ISNUMBER(BK56),BK1&gt;PitanE+2,BK56&lt;PitanE),"পিটানের পরে TP/b আবার মাপুন; ",""))</f>
        <v/>
      </c>
      <c r="BL55" s="36" t="str">
        <f aca="false">IF(BL1="","",IF(AND(ISNUMBER(BL38),OR(BL38&lt;-30,BL38&gt;20)),"পানির স্তর সীমার বাইরে; ","")&amp;IF(AND(ISNUMBER(BL37),BL38=""),"TP/b নেই; ","")&amp;IF(AND(ISNUMBER(BL44),ISNUMBER(BL45)),IF(BL45&lt;BL44,"সেচের পরে &lt; আগে; ",""),"")&amp;IF(AND(ISNUMBER(BL37),ISNUMBER(BL41)&lt;&gt;ISNUMBER(BL42)),"সেচের মাপ অসম্পূর্ণ; ","")&amp;IF(ISNUMBER(BL48),IF(AND(ABS(BL48)&gt;50,NOT(N(BL8)&gt;0)),"পানির স্তর হঠাৎ &gt;5 সেমি বদল; ",""),"")&amp;IF(AND(ISNUMBER(PitanE),ISNUMBER(BL56),BL1&gt;PitanE+2,BL56&lt;PitanE),"পিটানের পরে TP/b আবার মাপুন; ",""))</f>
        <v/>
      </c>
      <c r="BM55" s="36" t="str">
        <f aca="false">IF(BM1="","",IF(AND(ISNUMBER(BM38),OR(BM38&lt;-30,BM38&gt;20)),"পানির স্তর সীমার বাইরে; ","")&amp;IF(AND(ISNUMBER(BM37),BM38=""),"TP/b নেই; ","")&amp;IF(AND(ISNUMBER(BM44),ISNUMBER(BM45)),IF(BM45&lt;BM44,"সেচের পরে &lt; আগে; ",""),"")&amp;IF(AND(ISNUMBER(BM37),ISNUMBER(BM41)&lt;&gt;ISNUMBER(BM42)),"সেচের মাপ অসম্পূর্ণ; ","")&amp;IF(ISNUMBER(BM48),IF(AND(ABS(BM48)&gt;50,NOT(N(BM8)&gt;0)),"পানির স্তর হঠাৎ &gt;5 সেমি বদল; ",""),"")&amp;IF(AND(ISNUMBER(PitanE),ISNUMBER(BM56),BM1&gt;PitanE+2,BM56&lt;PitanE),"পিটানের পরে TP/b আবার মাপুন; ",""))</f>
        <v/>
      </c>
      <c r="BN55" s="36" t="str">
        <f aca="false">IF(BN1="","",IF(AND(ISNUMBER(BN38),OR(BN38&lt;-30,BN38&gt;20)),"পানির স্তর সীমার বাইরে; ","")&amp;IF(AND(ISNUMBER(BN37),BN38=""),"TP/b নেই; ","")&amp;IF(AND(ISNUMBER(BN44),ISNUMBER(BN45)),IF(BN45&lt;BN44,"সেচের পরে &lt; আগে; ",""),"")&amp;IF(AND(ISNUMBER(BN37),ISNUMBER(BN41)&lt;&gt;ISNUMBER(BN42)),"সেচের মাপ অসম্পূর্ণ; ","")&amp;IF(ISNUMBER(BN48),IF(AND(ABS(BN48)&gt;50,NOT(N(BN8)&gt;0)),"পানির স্তর হঠাৎ &gt;5 সেমি বদল; ",""),"")&amp;IF(AND(ISNUMBER(PitanE),ISNUMBER(BN56),BN1&gt;PitanE+2,BN56&lt;PitanE),"পিটানের পরে TP/b আবার মাপুন; ",""))</f>
        <v/>
      </c>
      <c r="BO55" s="36" t="str">
        <f aca="false">IF(BO1="","",IF(AND(ISNUMBER(BO38),OR(BO38&lt;-30,BO38&gt;20)),"পানির স্তর সীমার বাইরে; ","")&amp;IF(AND(ISNUMBER(BO37),BO38=""),"TP/b নেই; ","")&amp;IF(AND(ISNUMBER(BO44),ISNUMBER(BO45)),IF(BO45&lt;BO44,"সেচের পরে &lt; আগে; ",""),"")&amp;IF(AND(ISNUMBER(BO37),ISNUMBER(BO41)&lt;&gt;ISNUMBER(BO42)),"সেচের মাপ অসম্পূর্ণ; ","")&amp;IF(ISNUMBER(BO48),IF(AND(ABS(BO48)&gt;50,NOT(N(BO8)&gt;0)),"পানির স্তর হঠাৎ &gt;5 সেমি বদল; ",""),"")&amp;IF(AND(ISNUMBER(PitanE),ISNUMBER(BO56),BO1&gt;PitanE+2,BO56&lt;PitanE),"পিটানের পরে TP/b আবার মাপুন; ",""))</f>
        <v/>
      </c>
      <c r="BP55" s="36" t="str">
        <f aca="false">IF(BP1="","",IF(AND(ISNUMBER(BP38),OR(BP38&lt;-30,BP38&gt;20)),"পানির স্তর সীমার বাইরে; ","")&amp;IF(AND(ISNUMBER(BP37),BP38=""),"TP/b নেই; ","")&amp;IF(AND(ISNUMBER(BP44),ISNUMBER(BP45)),IF(BP45&lt;BP44,"সেচের পরে &lt; আগে; ",""),"")&amp;IF(AND(ISNUMBER(BP37),ISNUMBER(BP41)&lt;&gt;ISNUMBER(BP42)),"সেচের মাপ অসম্পূর্ণ; ","")&amp;IF(ISNUMBER(BP48),IF(AND(ABS(BP48)&gt;50,NOT(N(BP8)&gt;0)),"পানির স্তর হঠাৎ &gt;5 সেমি বদল; ",""),"")&amp;IF(AND(ISNUMBER(PitanE),ISNUMBER(BP56),BP1&gt;PitanE+2,BP56&lt;PitanE),"পিটানের পরে TP/b আবার মাপুন; ",""))</f>
        <v/>
      </c>
      <c r="BQ55" s="36" t="str">
        <f aca="false">IF(BQ1="","",IF(AND(ISNUMBER(BQ38),OR(BQ38&lt;-30,BQ38&gt;20)),"পানির স্তর সীমার বাইরে; ","")&amp;IF(AND(ISNUMBER(BQ37),BQ38=""),"TP/b নেই; ","")&amp;IF(AND(ISNUMBER(BQ44),ISNUMBER(BQ45)),IF(BQ45&lt;BQ44,"সেচের পরে &lt; আগে; ",""),"")&amp;IF(AND(ISNUMBER(BQ37),ISNUMBER(BQ41)&lt;&gt;ISNUMBER(BQ42)),"সেচের মাপ অসম্পূর্ণ; ","")&amp;IF(ISNUMBER(BQ48),IF(AND(ABS(BQ48)&gt;50,NOT(N(BQ8)&gt;0)),"পানির স্তর হঠাৎ &gt;5 সেমি বদল; ",""),"")&amp;IF(AND(ISNUMBER(PitanE),ISNUMBER(BQ56),BQ1&gt;PitanE+2,BQ56&lt;PitanE),"পিটানের পরে TP/b আবার মাপুন; ",""))</f>
        <v/>
      </c>
      <c r="BR55" s="36" t="str">
        <f aca="false">IF(BR1="","",IF(AND(ISNUMBER(BR38),OR(BR38&lt;-30,BR38&gt;20)),"পানির স্তর সীমার বাইরে; ","")&amp;IF(AND(ISNUMBER(BR37),BR38=""),"TP/b নেই; ","")&amp;IF(AND(ISNUMBER(BR44),ISNUMBER(BR45)),IF(BR45&lt;BR44,"সেচের পরে &lt; আগে; ",""),"")&amp;IF(AND(ISNUMBER(BR37),ISNUMBER(BR41)&lt;&gt;ISNUMBER(BR42)),"সেচের মাপ অসম্পূর্ণ; ","")&amp;IF(ISNUMBER(BR48),IF(AND(ABS(BR48)&gt;50,NOT(N(BR8)&gt;0)),"পানির স্তর হঠাৎ &gt;5 সেমি বদল; ",""),"")&amp;IF(AND(ISNUMBER(PitanE),ISNUMBER(BR56),BR1&gt;PitanE+2,BR56&lt;PitanE),"পিটানের পরে TP/b আবার মাপুন; ",""))</f>
        <v/>
      </c>
      <c r="BS55" s="36" t="str">
        <f aca="false">IF(BS1="","",IF(AND(ISNUMBER(BS38),OR(BS38&lt;-30,BS38&gt;20)),"পানির স্তর সীমার বাইরে; ","")&amp;IF(AND(ISNUMBER(BS37),BS38=""),"TP/b নেই; ","")&amp;IF(AND(ISNUMBER(BS44),ISNUMBER(BS45)),IF(BS45&lt;BS44,"সেচের পরে &lt; আগে; ",""),"")&amp;IF(AND(ISNUMBER(BS37),ISNUMBER(BS41)&lt;&gt;ISNUMBER(BS42)),"সেচের মাপ অসম্পূর্ণ; ","")&amp;IF(ISNUMBER(BS48),IF(AND(ABS(BS48)&gt;50,NOT(N(BS8)&gt;0)),"পানির স্তর হঠাৎ &gt;5 সেমি বদল; ",""),"")&amp;IF(AND(ISNUMBER(PitanE),ISNUMBER(BS56),BS1&gt;PitanE+2,BS56&lt;PitanE),"পিটানের পরে TP/b আবার মাপুন; ",""))</f>
        <v/>
      </c>
      <c r="BT55" s="36" t="str">
        <f aca="false">IF(BT1="","",IF(AND(ISNUMBER(BT38),OR(BT38&lt;-30,BT38&gt;20)),"পানির স্তর সীমার বাইরে; ","")&amp;IF(AND(ISNUMBER(BT37),BT38=""),"TP/b নেই; ","")&amp;IF(AND(ISNUMBER(BT44),ISNUMBER(BT45)),IF(BT45&lt;BT44,"সেচের পরে &lt; আগে; ",""),"")&amp;IF(AND(ISNUMBER(BT37),ISNUMBER(BT41)&lt;&gt;ISNUMBER(BT42)),"সেচের মাপ অসম্পূর্ণ; ","")&amp;IF(ISNUMBER(BT48),IF(AND(ABS(BT48)&gt;50,NOT(N(BT8)&gt;0)),"পানির স্তর হঠাৎ &gt;5 সেমি বদল; ",""),"")&amp;IF(AND(ISNUMBER(PitanE),ISNUMBER(BT56),BT1&gt;PitanE+2,BT56&lt;PitanE),"পিটানের পরে TP/b আবার মাপুন; ",""))</f>
        <v/>
      </c>
      <c r="BU55" s="36" t="str">
        <f aca="false">IF(BU1="","",IF(AND(ISNUMBER(BU38),OR(BU38&lt;-30,BU38&gt;20)),"পানির স্তর সীমার বাইরে; ","")&amp;IF(AND(ISNUMBER(BU37),BU38=""),"TP/b নেই; ","")&amp;IF(AND(ISNUMBER(BU44),ISNUMBER(BU45)),IF(BU45&lt;BU44,"সেচের পরে &lt; আগে; ",""),"")&amp;IF(AND(ISNUMBER(BU37),ISNUMBER(BU41)&lt;&gt;ISNUMBER(BU42)),"সেচের মাপ অসম্পূর্ণ; ","")&amp;IF(ISNUMBER(BU48),IF(AND(ABS(BU48)&gt;50,NOT(N(BU8)&gt;0)),"পানির স্তর হঠাৎ &gt;5 সেমি বদল; ",""),"")&amp;IF(AND(ISNUMBER(PitanE),ISNUMBER(BU56),BU1&gt;PitanE+2,BU56&lt;PitanE),"পিটানের পরে TP/b আবার মাপুন; ",""))</f>
        <v/>
      </c>
      <c r="BV55" s="36" t="str">
        <f aca="false">IF(BV1="","",IF(AND(ISNUMBER(BV38),OR(BV38&lt;-30,BV38&gt;20)),"পানির স্তর সীমার বাইরে; ","")&amp;IF(AND(ISNUMBER(BV37),BV38=""),"TP/b নেই; ","")&amp;IF(AND(ISNUMBER(BV44),ISNUMBER(BV45)),IF(BV45&lt;BV44,"সেচের পরে &lt; আগে; ",""),"")&amp;IF(AND(ISNUMBER(BV37),ISNUMBER(BV41)&lt;&gt;ISNUMBER(BV42)),"সেচের মাপ অসম্পূর্ণ; ","")&amp;IF(ISNUMBER(BV48),IF(AND(ABS(BV48)&gt;50,NOT(N(BV8)&gt;0)),"পানির স্তর হঠাৎ &gt;5 সেমি বদল; ",""),"")&amp;IF(AND(ISNUMBER(PitanE),ISNUMBER(BV56),BV1&gt;PitanE+2,BV56&lt;PitanE),"পিটানের পরে TP/b আবার মাপুন; ",""))</f>
        <v/>
      </c>
      <c r="BW55" s="36" t="str">
        <f aca="false">IF(BW1="","",IF(AND(ISNUMBER(BW38),OR(BW38&lt;-30,BW38&gt;20)),"পানির স্তর সীমার বাইরে; ","")&amp;IF(AND(ISNUMBER(BW37),BW38=""),"TP/b নেই; ","")&amp;IF(AND(ISNUMBER(BW44),ISNUMBER(BW45)),IF(BW45&lt;BW44,"সেচের পরে &lt; আগে; ",""),"")&amp;IF(AND(ISNUMBER(BW37),ISNUMBER(BW41)&lt;&gt;ISNUMBER(BW42)),"সেচের মাপ অসম্পূর্ণ; ","")&amp;IF(ISNUMBER(BW48),IF(AND(ABS(BW48)&gt;50,NOT(N(BW8)&gt;0)),"পানির স্তর হঠাৎ &gt;5 সেমি বদল; ",""),"")&amp;IF(AND(ISNUMBER(PitanE),ISNUMBER(BW56),BW1&gt;PitanE+2,BW56&lt;PitanE),"পিটানের পরে TP/b আবার মাপুন; ",""))</f>
        <v/>
      </c>
      <c r="BX55" s="36" t="str">
        <f aca="false">IF(BX1="","",IF(AND(ISNUMBER(BX38),OR(BX38&lt;-30,BX38&gt;20)),"পানির স্তর সীমার বাইরে; ","")&amp;IF(AND(ISNUMBER(BX37),BX38=""),"TP/b নেই; ","")&amp;IF(AND(ISNUMBER(BX44),ISNUMBER(BX45)),IF(BX45&lt;BX44,"সেচের পরে &lt; আগে; ",""),"")&amp;IF(AND(ISNUMBER(BX37),ISNUMBER(BX41)&lt;&gt;ISNUMBER(BX42)),"সেচের মাপ অসম্পূর্ণ; ","")&amp;IF(ISNUMBER(BX48),IF(AND(ABS(BX48)&gt;50,NOT(N(BX8)&gt;0)),"পানির স্তর হঠাৎ &gt;5 সেমি বদল; ",""),"")&amp;IF(AND(ISNUMBER(PitanE),ISNUMBER(BX56),BX1&gt;PitanE+2,BX56&lt;PitanE),"পিটানের পরে TP/b আবার মাপুন; ",""))</f>
        <v/>
      </c>
      <c r="BY55" s="36" t="str">
        <f aca="false">IF(BY1="","",IF(AND(ISNUMBER(BY38),OR(BY38&lt;-30,BY38&gt;20)),"পানির স্তর সীমার বাইরে; ","")&amp;IF(AND(ISNUMBER(BY37),BY38=""),"TP/b নেই; ","")&amp;IF(AND(ISNUMBER(BY44),ISNUMBER(BY45)),IF(BY45&lt;BY44,"সেচের পরে &lt; আগে; ",""),"")&amp;IF(AND(ISNUMBER(BY37),ISNUMBER(BY41)&lt;&gt;ISNUMBER(BY42)),"সেচের মাপ অসম্পূর্ণ; ","")&amp;IF(ISNUMBER(BY48),IF(AND(ABS(BY48)&gt;50,NOT(N(BY8)&gt;0)),"পানির স্তর হঠাৎ &gt;5 সেমি বদল; ",""),"")&amp;IF(AND(ISNUMBER(PitanE),ISNUMBER(BY56),BY1&gt;PitanE+2,BY56&lt;PitanE),"পিটানের পরে TP/b আবার মাপুন; ",""))</f>
        <v/>
      </c>
      <c r="BZ55" s="36" t="str">
        <f aca="false">IF(BZ1="","",IF(AND(ISNUMBER(BZ38),OR(BZ38&lt;-30,BZ38&gt;20)),"পানির স্তর সীমার বাইরে; ","")&amp;IF(AND(ISNUMBER(BZ37),BZ38=""),"TP/b নেই; ","")&amp;IF(AND(ISNUMBER(BZ44),ISNUMBER(BZ45)),IF(BZ45&lt;BZ44,"সেচের পরে &lt; আগে; ",""),"")&amp;IF(AND(ISNUMBER(BZ37),ISNUMBER(BZ41)&lt;&gt;ISNUMBER(BZ42)),"সেচের মাপ অসম্পূর্ণ; ","")&amp;IF(ISNUMBER(BZ48),IF(AND(ABS(BZ48)&gt;50,NOT(N(BZ8)&gt;0)),"পানির স্তর হঠাৎ &gt;5 সেমি বদল; ",""),"")&amp;IF(AND(ISNUMBER(PitanE),ISNUMBER(BZ56),BZ1&gt;PitanE+2,BZ56&lt;PitanE),"পিটানের পরে TP/b আবার মাপুন; ",""))</f>
        <v/>
      </c>
      <c r="CA55" s="36" t="str">
        <f aca="false">IF(CA1="","",IF(AND(ISNUMBER(CA38),OR(CA38&lt;-30,CA38&gt;20)),"পানির স্তর সীমার বাইরে; ","")&amp;IF(AND(ISNUMBER(CA37),CA38=""),"TP/b নেই; ","")&amp;IF(AND(ISNUMBER(CA44),ISNUMBER(CA45)),IF(CA45&lt;CA44,"সেচের পরে &lt; আগে; ",""),"")&amp;IF(AND(ISNUMBER(CA37),ISNUMBER(CA41)&lt;&gt;ISNUMBER(CA42)),"সেচের মাপ অসম্পূর্ণ; ","")&amp;IF(ISNUMBER(CA48),IF(AND(ABS(CA48)&gt;50,NOT(N(CA8)&gt;0)),"পানির স্তর হঠাৎ &gt;5 সেমি বদল; ",""),"")&amp;IF(AND(ISNUMBER(PitanE),ISNUMBER(CA56),CA1&gt;PitanE+2,CA56&lt;PitanE),"পিটানের পরে TP/b আবার মাপুন; ",""))</f>
        <v/>
      </c>
      <c r="CB55" s="36" t="str">
        <f aca="false">IF(CB1="","",IF(AND(ISNUMBER(CB38),OR(CB38&lt;-30,CB38&gt;20)),"পানির স্তর সীমার বাইরে; ","")&amp;IF(AND(ISNUMBER(CB37),CB38=""),"TP/b নেই; ","")&amp;IF(AND(ISNUMBER(CB44),ISNUMBER(CB45)),IF(CB45&lt;CB44,"সেচের পরে &lt; আগে; ",""),"")&amp;IF(AND(ISNUMBER(CB37),ISNUMBER(CB41)&lt;&gt;ISNUMBER(CB42)),"সেচের মাপ অসম্পূর্ণ; ","")&amp;IF(ISNUMBER(CB48),IF(AND(ABS(CB48)&gt;50,NOT(N(CB8)&gt;0)),"পানির স্তর হঠাৎ &gt;5 সেমি বদল; ",""),"")&amp;IF(AND(ISNUMBER(PitanE),ISNUMBER(CB56),CB1&gt;PitanE+2,CB56&lt;PitanE),"পিটানের পরে TP/b আবার মাপুন; ",""))</f>
        <v/>
      </c>
      <c r="CC55" s="36" t="str">
        <f aca="false">IF(CC1="","",IF(AND(ISNUMBER(CC38),OR(CC38&lt;-30,CC38&gt;20)),"পানির স্তর সীমার বাইরে; ","")&amp;IF(AND(ISNUMBER(CC37),CC38=""),"TP/b নেই; ","")&amp;IF(AND(ISNUMBER(CC44),ISNUMBER(CC45)),IF(CC45&lt;CC44,"সেচের পরে &lt; আগে; ",""),"")&amp;IF(AND(ISNUMBER(CC37),ISNUMBER(CC41)&lt;&gt;ISNUMBER(CC42)),"সেচের মাপ অসম্পূর্ণ; ","")&amp;IF(ISNUMBER(CC48),IF(AND(ABS(CC48)&gt;50,NOT(N(CC8)&gt;0)),"পানির স্তর হঠাৎ &gt;5 সেমি বদল; ",""),"")&amp;IF(AND(ISNUMBER(PitanE),ISNUMBER(CC56),CC1&gt;PitanE+2,CC56&lt;PitanE),"পিটানের পরে TP/b আবার মাপুন; ",""))</f>
        <v/>
      </c>
      <c r="CD55" s="36" t="str">
        <f aca="false">IF(CD1="","",IF(AND(ISNUMBER(CD38),OR(CD38&lt;-30,CD38&gt;20)),"পানির স্তর সীমার বাইরে; ","")&amp;IF(AND(ISNUMBER(CD37),CD38=""),"TP/b নেই; ","")&amp;IF(AND(ISNUMBER(CD44),ISNUMBER(CD45)),IF(CD45&lt;CD44,"সেচের পরে &lt; আগে; ",""),"")&amp;IF(AND(ISNUMBER(CD37),ISNUMBER(CD41)&lt;&gt;ISNUMBER(CD42)),"সেচের মাপ অসম্পূর্ণ; ","")&amp;IF(ISNUMBER(CD48),IF(AND(ABS(CD48)&gt;50,NOT(N(CD8)&gt;0)),"পানির স্তর হঠাৎ &gt;5 সেমি বদল; ",""),"")&amp;IF(AND(ISNUMBER(PitanE),ISNUMBER(CD56),CD1&gt;PitanE+2,CD56&lt;PitanE),"পিটানের পরে TP/b আবার মাপুন; ",""))</f>
        <v/>
      </c>
      <c r="CE55" s="36" t="str">
        <f aca="false">IF(CE1="","",IF(AND(ISNUMBER(CE38),OR(CE38&lt;-30,CE38&gt;20)),"পানির স্তর সীমার বাইরে; ","")&amp;IF(AND(ISNUMBER(CE37),CE38=""),"TP/b নেই; ","")&amp;IF(AND(ISNUMBER(CE44),ISNUMBER(CE45)),IF(CE45&lt;CE44,"সেচের পরে &lt; আগে; ",""),"")&amp;IF(AND(ISNUMBER(CE37),ISNUMBER(CE41)&lt;&gt;ISNUMBER(CE42)),"সেচের মাপ অসম্পূর্ণ; ","")&amp;IF(ISNUMBER(CE48),IF(AND(ABS(CE48)&gt;50,NOT(N(CE8)&gt;0)),"পানির স্তর হঠাৎ &gt;5 সেমি বদল; ",""),"")&amp;IF(AND(ISNUMBER(PitanE),ISNUMBER(CE56),CE1&gt;PitanE+2,CE56&lt;PitanE),"পিটানের পরে TP/b আবার মাপুন; ",""))</f>
        <v/>
      </c>
      <c r="CF55" s="36" t="str">
        <f aca="false">IF(CF1="","",IF(AND(ISNUMBER(CF38),OR(CF38&lt;-30,CF38&gt;20)),"পানির স্তর সীমার বাইরে; ","")&amp;IF(AND(ISNUMBER(CF37),CF38=""),"TP/b নেই; ","")&amp;IF(AND(ISNUMBER(CF44),ISNUMBER(CF45)),IF(CF45&lt;CF44,"সেচের পরে &lt; আগে; ",""),"")&amp;IF(AND(ISNUMBER(CF37),ISNUMBER(CF41)&lt;&gt;ISNUMBER(CF42)),"সেচের মাপ অসম্পূর্ণ; ","")&amp;IF(ISNUMBER(CF48),IF(AND(ABS(CF48)&gt;50,NOT(N(CF8)&gt;0)),"পানির স্তর হঠাৎ &gt;5 সেমি বদল; ",""),"")&amp;IF(AND(ISNUMBER(PitanE),ISNUMBER(CF56),CF1&gt;PitanE+2,CF56&lt;PitanE),"পিটানের পরে TP/b আবার মাপুন; ",""))</f>
        <v/>
      </c>
      <c r="CG55" s="36" t="str">
        <f aca="false">IF(CG1="","",IF(AND(ISNUMBER(CG38),OR(CG38&lt;-30,CG38&gt;20)),"পানির স্তর সীমার বাইরে; ","")&amp;IF(AND(ISNUMBER(CG37),CG38=""),"TP/b নেই; ","")&amp;IF(AND(ISNUMBER(CG44),ISNUMBER(CG45)),IF(CG45&lt;CG44,"সেচের পরে &lt; আগে; ",""),"")&amp;IF(AND(ISNUMBER(CG37),ISNUMBER(CG41)&lt;&gt;ISNUMBER(CG42)),"সেচের মাপ অসম্পূর্ণ; ","")&amp;IF(ISNUMBER(CG48),IF(AND(ABS(CG48)&gt;50,NOT(N(CG8)&gt;0)),"পানির স্তর হঠাৎ &gt;5 সেমি বদল; ",""),"")&amp;IF(AND(ISNUMBER(PitanE),ISNUMBER(CG56),CG1&gt;PitanE+2,CG56&lt;PitanE),"পিটানের পরে TP/b আবার মাপুন; ",""))</f>
        <v/>
      </c>
      <c r="CH55" s="36" t="str">
        <f aca="false">IF(CH1="","",IF(AND(ISNUMBER(CH38),OR(CH38&lt;-30,CH38&gt;20)),"পানির স্তর সীমার বাইরে; ","")&amp;IF(AND(ISNUMBER(CH37),CH38=""),"TP/b নেই; ","")&amp;IF(AND(ISNUMBER(CH44),ISNUMBER(CH45)),IF(CH45&lt;CH44,"সেচের পরে &lt; আগে; ",""),"")&amp;IF(AND(ISNUMBER(CH37),ISNUMBER(CH41)&lt;&gt;ISNUMBER(CH42)),"সেচের মাপ অসম্পূর্ণ; ","")&amp;IF(ISNUMBER(CH48),IF(AND(ABS(CH48)&gt;50,NOT(N(CH8)&gt;0)),"পানির স্তর হঠাৎ &gt;5 সেমি বদল; ",""),"")&amp;IF(AND(ISNUMBER(PitanE),ISNUMBER(CH56),CH1&gt;PitanE+2,CH56&lt;PitanE),"পিটানের পরে TP/b আবার মাপুন; ",""))</f>
        <v/>
      </c>
      <c r="CI55" s="36" t="str">
        <f aca="false">IF(CI1="","",IF(AND(ISNUMBER(CI38),OR(CI38&lt;-30,CI38&gt;20)),"পানির স্তর সীমার বাইরে; ","")&amp;IF(AND(ISNUMBER(CI37),CI38=""),"TP/b নেই; ","")&amp;IF(AND(ISNUMBER(CI44),ISNUMBER(CI45)),IF(CI45&lt;CI44,"সেচের পরে &lt; আগে; ",""),"")&amp;IF(AND(ISNUMBER(CI37),ISNUMBER(CI41)&lt;&gt;ISNUMBER(CI42)),"সেচের মাপ অসম্পূর্ণ; ","")&amp;IF(ISNUMBER(CI48),IF(AND(ABS(CI48)&gt;50,NOT(N(CI8)&gt;0)),"পানির স্তর হঠাৎ &gt;5 সেমি বদল; ",""),"")&amp;IF(AND(ISNUMBER(PitanE),ISNUMBER(CI56),CI1&gt;PitanE+2,CI56&lt;PitanE),"পিটানের পরে TP/b আবার মাপুন; ",""))</f>
        <v/>
      </c>
      <c r="CJ55" s="36" t="str">
        <f aca="false">IF(CJ1="","",IF(AND(ISNUMBER(CJ38),OR(CJ38&lt;-30,CJ38&gt;20)),"পানির স্তর সীমার বাইরে; ","")&amp;IF(AND(ISNUMBER(CJ37),CJ38=""),"TP/b নেই; ","")&amp;IF(AND(ISNUMBER(CJ44),ISNUMBER(CJ45)),IF(CJ45&lt;CJ44,"সেচের পরে &lt; আগে; ",""),"")&amp;IF(AND(ISNUMBER(CJ37),ISNUMBER(CJ41)&lt;&gt;ISNUMBER(CJ42)),"সেচের মাপ অসম্পূর্ণ; ","")&amp;IF(ISNUMBER(CJ48),IF(AND(ABS(CJ48)&gt;50,NOT(N(CJ8)&gt;0)),"পানির স্তর হঠাৎ &gt;5 সেমি বদল; ",""),"")&amp;IF(AND(ISNUMBER(PitanE),ISNUMBER(CJ56),CJ1&gt;PitanE+2,CJ56&lt;PitanE),"পিটানের পরে TP/b আবার মাপুন; ",""))</f>
        <v/>
      </c>
      <c r="CK55" s="36" t="str">
        <f aca="false">IF(CK1="","",IF(AND(ISNUMBER(CK38),OR(CK38&lt;-30,CK38&gt;20)),"পানির স্তর সীমার বাইরে; ","")&amp;IF(AND(ISNUMBER(CK37),CK38=""),"TP/b নেই; ","")&amp;IF(AND(ISNUMBER(CK44),ISNUMBER(CK45)),IF(CK45&lt;CK44,"সেচের পরে &lt; আগে; ",""),"")&amp;IF(AND(ISNUMBER(CK37),ISNUMBER(CK41)&lt;&gt;ISNUMBER(CK42)),"সেচের মাপ অসম্পূর্ণ; ","")&amp;IF(ISNUMBER(CK48),IF(AND(ABS(CK48)&gt;50,NOT(N(CK8)&gt;0)),"পানির স্তর হঠাৎ &gt;5 সেমি বদল; ",""),"")&amp;IF(AND(ISNUMBER(PitanE),ISNUMBER(CK56),CK1&gt;PitanE+2,CK56&lt;PitanE),"পিটানের পরে TP/b আবার মাপুন; ",""))</f>
        <v/>
      </c>
      <c r="CL55" s="36" t="str">
        <f aca="false">IF(CL1="","",IF(AND(ISNUMBER(CL38),OR(CL38&lt;-30,CL38&gt;20)),"পানির স্তর সীমার বাইরে; ","")&amp;IF(AND(ISNUMBER(CL37),CL38=""),"TP/b নেই; ","")&amp;IF(AND(ISNUMBER(CL44),ISNUMBER(CL45)),IF(CL45&lt;CL44,"সেচের পরে &lt; আগে; ",""),"")&amp;IF(AND(ISNUMBER(CL37),ISNUMBER(CL41)&lt;&gt;ISNUMBER(CL42)),"সেচের মাপ অসম্পূর্ণ; ","")&amp;IF(ISNUMBER(CL48),IF(AND(ABS(CL48)&gt;50,NOT(N(CL8)&gt;0)),"পানির স্তর হঠাৎ &gt;5 সেমি বদল; ",""),"")&amp;IF(AND(ISNUMBER(PitanE),ISNUMBER(CL56),CL1&gt;PitanE+2,CL56&lt;PitanE),"পিটানের পরে TP/b আবার মাপুন; ",""))</f>
        <v/>
      </c>
      <c r="CM55" s="36" t="str">
        <f aca="false">IF(CM1="","",IF(AND(ISNUMBER(CM38),OR(CM38&lt;-30,CM38&gt;20)),"পানির স্তর সীমার বাইরে; ","")&amp;IF(AND(ISNUMBER(CM37),CM38=""),"TP/b নেই; ","")&amp;IF(AND(ISNUMBER(CM44),ISNUMBER(CM45)),IF(CM45&lt;CM44,"সেচের পরে &lt; আগে; ",""),"")&amp;IF(AND(ISNUMBER(CM37),ISNUMBER(CM41)&lt;&gt;ISNUMBER(CM42)),"সেচের মাপ অসম্পূর্ণ; ","")&amp;IF(ISNUMBER(CM48),IF(AND(ABS(CM48)&gt;50,NOT(N(CM8)&gt;0)),"পানির স্তর হঠাৎ &gt;5 সেমি বদল; ",""),"")&amp;IF(AND(ISNUMBER(PitanE),ISNUMBER(CM56),CM1&gt;PitanE+2,CM56&lt;PitanE),"পিটানের পরে TP/b আবার মাপুন; ",""))</f>
        <v/>
      </c>
      <c r="CN55" s="36" t="str">
        <f aca="false">IF(CN1="","",IF(AND(ISNUMBER(CN38),OR(CN38&lt;-30,CN38&gt;20)),"পানির স্তর সীমার বাইরে; ","")&amp;IF(AND(ISNUMBER(CN37),CN38=""),"TP/b নেই; ","")&amp;IF(AND(ISNUMBER(CN44),ISNUMBER(CN45)),IF(CN45&lt;CN44,"সেচের পরে &lt; আগে; ",""),"")&amp;IF(AND(ISNUMBER(CN37),ISNUMBER(CN41)&lt;&gt;ISNUMBER(CN42)),"সেচের মাপ অসম্পূর্ণ; ","")&amp;IF(ISNUMBER(CN48),IF(AND(ABS(CN48)&gt;50,NOT(N(CN8)&gt;0)),"পানির স্তর হঠাৎ &gt;5 সেমি বদল; ",""),"")&amp;IF(AND(ISNUMBER(PitanE),ISNUMBER(CN56),CN1&gt;PitanE+2,CN56&lt;PitanE),"পিটানের পরে TP/b আবার মাপুন; ",""))</f>
        <v/>
      </c>
      <c r="CO55" s="36" t="str">
        <f aca="false">IF(CO1="","",IF(AND(ISNUMBER(CO38),OR(CO38&lt;-30,CO38&gt;20)),"পানির স্তর সীমার বাইরে; ","")&amp;IF(AND(ISNUMBER(CO37),CO38=""),"TP/b নেই; ","")&amp;IF(AND(ISNUMBER(CO44),ISNUMBER(CO45)),IF(CO45&lt;CO44,"সেচের পরে &lt; আগে; ",""),"")&amp;IF(AND(ISNUMBER(CO37),ISNUMBER(CO41)&lt;&gt;ISNUMBER(CO42)),"সেচের মাপ অসম্পূর্ণ; ","")&amp;IF(ISNUMBER(CO48),IF(AND(ABS(CO48)&gt;50,NOT(N(CO8)&gt;0)),"পানির স্তর হঠাৎ &gt;5 সেমি বদল; ",""),"")&amp;IF(AND(ISNUMBER(PitanE),ISNUMBER(CO56),CO1&gt;PitanE+2,CO56&lt;PitanE),"পিটানের পরে TP/b আবার মাপুন; ",""))</f>
        <v/>
      </c>
      <c r="CP55" s="36" t="str">
        <f aca="false">IF(CP1="","",IF(AND(ISNUMBER(CP38),OR(CP38&lt;-30,CP38&gt;20)),"পানির স্তর সীমার বাইরে; ","")&amp;IF(AND(ISNUMBER(CP37),CP38=""),"TP/b নেই; ","")&amp;IF(AND(ISNUMBER(CP44),ISNUMBER(CP45)),IF(CP45&lt;CP44,"সেচের পরে &lt; আগে; ",""),"")&amp;IF(AND(ISNUMBER(CP37),ISNUMBER(CP41)&lt;&gt;ISNUMBER(CP42)),"সেচের মাপ অসম্পূর্ণ; ","")&amp;IF(ISNUMBER(CP48),IF(AND(ABS(CP48)&gt;50,NOT(N(CP8)&gt;0)),"পানির স্তর হঠাৎ &gt;5 সেমি বদল; ",""),"")&amp;IF(AND(ISNUMBER(PitanE),ISNUMBER(CP56),CP1&gt;PitanE+2,CP56&lt;PitanE),"পিটানের পরে TP/b আবার মাপুন; ",""))</f>
        <v/>
      </c>
      <c r="CQ55" s="36" t="str">
        <f aca="false">IF(CQ1="","",IF(AND(ISNUMBER(CQ38),OR(CQ38&lt;-30,CQ38&gt;20)),"পানির স্তর সীমার বাইরে; ","")&amp;IF(AND(ISNUMBER(CQ37),CQ38=""),"TP/b নেই; ","")&amp;IF(AND(ISNUMBER(CQ44),ISNUMBER(CQ45)),IF(CQ45&lt;CQ44,"সেচের পরে &lt; আগে; ",""),"")&amp;IF(AND(ISNUMBER(CQ37),ISNUMBER(CQ41)&lt;&gt;ISNUMBER(CQ42)),"সেচের মাপ অসম্পূর্ণ; ","")&amp;IF(ISNUMBER(CQ48),IF(AND(ABS(CQ48)&gt;50,NOT(N(CQ8)&gt;0)),"পানির স্তর হঠাৎ &gt;5 সেমি বদল; ",""),"")&amp;IF(AND(ISNUMBER(PitanE),ISNUMBER(CQ56),CQ1&gt;PitanE+2,CQ56&lt;PitanE),"পিটানের পরে TP/b আবার মাপুন; ",""))</f>
        <v>পানির স্তর হঠাৎ &gt;5 সেমি বদল; </v>
      </c>
      <c r="CR55" s="36" t="str">
        <f aca="false">IF(CR1="","",IF(AND(ISNUMBER(CR38),OR(CR38&lt;-30,CR38&gt;20)),"পানির স্তর সীমার বাইরে; ","")&amp;IF(AND(ISNUMBER(CR37),CR38=""),"TP/b নেই; ","")&amp;IF(AND(ISNUMBER(CR44),ISNUMBER(CR45)),IF(CR45&lt;CR44,"সেচের পরে &lt; আগে; ",""),"")&amp;IF(AND(ISNUMBER(CR37),ISNUMBER(CR41)&lt;&gt;ISNUMBER(CR42)),"সেচের মাপ অসম্পূর্ণ; ","")&amp;IF(ISNUMBER(CR48),IF(AND(ABS(CR48)&gt;50,NOT(N(CR8)&gt;0)),"পানির স্তর হঠাৎ &gt;5 সেমি বদল; ",""),"")&amp;IF(AND(ISNUMBER(PitanE),ISNUMBER(CR56),CR1&gt;PitanE+2,CR56&lt;PitanE),"পিটানের পরে TP/b আবার মাপুন; ",""))</f>
        <v/>
      </c>
      <c r="CS55" s="36" t="str">
        <f aca="false">IF(CS1="","",IF(AND(ISNUMBER(CS38),OR(CS38&lt;-30,CS38&gt;20)),"পানির স্তর সীমার বাইরে; ","")&amp;IF(AND(ISNUMBER(CS37),CS38=""),"TP/b নেই; ","")&amp;IF(AND(ISNUMBER(CS44),ISNUMBER(CS45)),IF(CS45&lt;CS44,"সেচের পরে &lt; আগে; ",""),"")&amp;IF(AND(ISNUMBER(CS37),ISNUMBER(CS41)&lt;&gt;ISNUMBER(CS42)),"সেচের মাপ অসম্পূর্ণ; ","")&amp;IF(ISNUMBER(CS48),IF(AND(ABS(CS48)&gt;50,NOT(N(CS8)&gt;0)),"পানির স্তর হঠাৎ &gt;5 সেমি বদল; ",""),"")&amp;IF(AND(ISNUMBER(PitanE),ISNUMBER(CS56),CS1&gt;PitanE+2,CS56&lt;PitanE),"পিটানের পরে TP/b আবার মাপুন; ",""))</f>
        <v/>
      </c>
      <c r="CT55" s="36" t="str">
        <f aca="false">IF(CT1="","",IF(AND(ISNUMBER(CT38),OR(CT38&lt;-30,CT38&gt;20)),"পানির স্তর সীমার বাইরে; ","")&amp;IF(AND(ISNUMBER(CT37),CT38=""),"TP/b নেই; ","")&amp;IF(AND(ISNUMBER(CT44),ISNUMBER(CT45)),IF(CT45&lt;CT44,"সেচের পরে &lt; আগে; ",""),"")&amp;IF(AND(ISNUMBER(CT37),ISNUMBER(CT41)&lt;&gt;ISNUMBER(CT42)),"সেচের মাপ অসম্পূর্ণ; ","")&amp;IF(ISNUMBER(CT48),IF(AND(ABS(CT48)&gt;50,NOT(N(CT8)&gt;0)),"পানির স্তর হঠাৎ &gt;5 সেমি বদল; ",""),"")&amp;IF(AND(ISNUMBER(PitanE),ISNUMBER(CT56),CT1&gt;PitanE+2,CT56&lt;PitanE),"পিটানের পরে TP/b আবার মাপুন; ",""))</f>
        <v/>
      </c>
      <c r="CU55" s="36" t="str">
        <f aca="false">IF(CU1="","",IF(AND(ISNUMBER(CU38),OR(CU38&lt;-30,CU38&gt;20)),"পানির স্তর সীমার বাইরে; ","")&amp;IF(AND(ISNUMBER(CU37),CU38=""),"TP/b নেই; ","")&amp;IF(AND(ISNUMBER(CU44),ISNUMBER(CU45)),IF(CU45&lt;CU44,"সেচের পরে &lt; আগে; ",""),"")&amp;IF(AND(ISNUMBER(CU37),ISNUMBER(CU41)&lt;&gt;ISNUMBER(CU42)),"সেচের মাপ অসম্পূর্ণ; ","")&amp;IF(ISNUMBER(CU48),IF(AND(ABS(CU48)&gt;50,NOT(N(CU8)&gt;0)),"পানির স্তর হঠাৎ &gt;5 সেমি বদল; ",""),"")&amp;IF(AND(ISNUMBER(PitanE),ISNUMBER(CU56),CU1&gt;PitanE+2,CU56&lt;PitanE),"পিটানের পরে TP/b আবার মাপুন; ",""))</f>
        <v/>
      </c>
      <c r="CV55" s="36" t="str">
        <f aca="false">IF(CV1="","",IF(AND(ISNUMBER(CV38),OR(CV38&lt;-30,CV38&gt;20)),"পানির স্তর সীমার বাইরে; ","")&amp;IF(AND(ISNUMBER(CV37),CV38=""),"TP/b নেই; ","")&amp;IF(AND(ISNUMBER(CV44),ISNUMBER(CV45)),IF(CV45&lt;CV44,"সেচের পরে &lt; আগে; ",""),"")&amp;IF(AND(ISNUMBER(CV37),ISNUMBER(CV41)&lt;&gt;ISNUMBER(CV42)),"সেচের মাপ অসম্পূর্ণ; ","")&amp;IF(ISNUMBER(CV48),IF(AND(ABS(CV48)&gt;50,NOT(N(CV8)&gt;0)),"পানির স্তর হঠাৎ &gt;5 সেমি বদল; ",""),"")&amp;IF(AND(ISNUMBER(PitanE),ISNUMBER(CV56),CV1&gt;PitanE+2,CV56&lt;PitanE),"পিটানের পরে TP/b আবার মাপুন; ",""))</f>
        <v/>
      </c>
      <c r="CW55" s="36" t="str">
        <f aca="false">IF(CW1="","",IF(AND(ISNUMBER(CW38),OR(CW38&lt;-30,CW38&gt;20)),"পানির স্তর সীমার বাইরে; ","")&amp;IF(AND(ISNUMBER(CW37),CW38=""),"TP/b নেই; ","")&amp;IF(AND(ISNUMBER(CW44),ISNUMBER(CW45)),IF(CW45&lt;CW44,"সেচের পরে &lt; আগে; ",""),"")&amp;IF(AND(ISNUMBER(CW37),ISNUMBER(CW41)&lt;&gt;ISNUMBER(CW42)),"সেচের মাপ অসম্পূর্ণ; ","")&amp;IF(ISNUMBER(CW48),IF(AND(ABS(CW48)&gt;50,NOT(N(CW8)&gt;0)),"পানির স্তর হঠাৎ &gt;5 সেমি বদল; ",""),"")&amp;IF(AND(ISNUMBER(PitanE),ISNUMBER(CW56),CW1&gt;PitanE+2,CW56&lt;PitanE),"পিটানের পরে TP/b আবার মাপুন; ",""))</f>
        <v/>
      </c>
      <c r="CX55" s="36" t="str">
        <f aca="false">IF(CX1="","",IF(AND(ISNUMBER(CX38),OR(CX38&lt;-30,CX38&gt;20)),"পানির স্তর সীমার বাইরে; ","")&amp;IF(AND(ISNUMBER(CX37),CX38=""),"TP/b নেই; ","")&amp;IF(AND(ISNUMBER(CX44),ISNUMBER(CX45)),IF(CX45&lt;CX44,"সেচের পরে &lt; আগে; ",""),"")&amp;IF(AND(ISNUMBER(CX37),ISNUMBER(CX41)&lt;&gt;ISNUMBER(CX42)),"সেচের মাপ অসম্পূর্ণ; ","")&amp;IF(ISNUMBER(CX48),IF(AND(ABS(CX48)&gt;50,NOT(N(CX8)&gt;0)),"পানির স্তর হঠাৎ &gt;5 সেমি বদল; ",""),"")&amp;IF(AND(ISNUMBER(PitanE),ISNUMBER(CX56),CX1&gt;PitanE+2,CX56&lt;PitanE),"পিটানের পরে TP/b আবার মাপুন; ",""))</f>
        <v/>
      </c>
      <c r="CY55" s="36" t="str">
        <f aca="false">IF(CY1="","",IF(AND(ISNUMBER(CY38),OR(CY38&lt;-30,CY38&gt;20)),"পানির স্তর সীমার বাইরে; ","")&amp;IF(AND(ISNUMBER(CY37),CY38=""),"TP/b নেই; ","")&amp;IF(AND(ISNUMBER(CY44),ISNUMBER(CY45)),IF(CY45&lt;CY44,"সেচের পরে &lt; আগে; ",""),"")&amp;IF(AND(ISNUMBER(CY37),ISNUMBER(CY41)&lt;&gt;ISNUMBER(CY42)),"সেচের মাপ অসম্পূর্ণ; ","")&amp;IF(ISNUMBER(CY48),IF(AND(ABS(CY48)&gt;50,NOT(N(CY8)&gt;0)),"পানির স্তর হঠাৎ &gt;5 সেমি বদল; ",""),"")&amp;IF(AND(ISNUMBER(PitanE),ISNUMBER(CY56),CY1&gt;PitanE+2,CY56&lt;PitanE),"পিটানের পরে TP/b আবার মাপুন; ",""))</f>
        <v/>
      </c>
      <c r="CZ55" s="36" t="str">
        <f aca="false">IF(CZ1="","",IF(AND(ISNUMBER(CZ38),OR(CZ38&lt;-30,CZ38&gt;20)),"পানির স্তর সীমার বাইরে; ","")&amp;IF(AND(ISNUMBER(CZ37),CZ38=""),"TP/b নেই; ","")&amp;IF(AND(ISNUMBER(CZ44),ISNUMBER(CZ45)),IF(CZ45&lt;CZ44,"সেচের পরে &lt; আগে; ",""),"")&amp;IF(AND(ISNUMBER(CZ37),ISNUMBER(CZ41)&lt;&gt;ISNUMBER(CZ42)),"সেচের মাপ অসম্পূর্ণ; ","")&amp;IF(ISNUMBER(CZ48),IF(AND(ABS(CZ48)&gt;50,NOT(N(CZ8)&gt;0)),"পানির স্তর হঠাৎ &gt;5 সেমি বদল; ",""),"")&amp;IF(AND(ISNUMBER(PitanE),ISNUMBER(CZ56),CZ1&gt;PitanE+2,CZ56&lt;PitanE),"পিটানের পরে TP/b আবার মাপুন; ",""))</f>
        <v/>
      </c>
      <c r="DA55" s="36" t="str">
        <f aca="false">IF(DA1="","",IF(AND(ISNUMBER(DA38),OR(DA38&lt;-30,DA38&gt;20)),"পানির স্তর সীমার বাইরে; ","")&amp;IF(AND(ISNUMBER(DA37),DA38=""),"TP/b নেই; ","")&amp;IF(AND(ISNUMBER(DA44),ISNUMBER(DA45)),IF(DA45&lt;DA44,"সেচের পরে &lt; আগে; ",""),"")&amp;IF(AND(ISNUMBER(DA37),ISNUMBER(DA41)&lt;&gt;ISNUMBER(DA42)),"সেচের মাপ অসম্পূর্ণ; ","")&amp;IF(ISNUMBER(DA48),IF(AND(ABS(DA48)&gt;50,NOT(N(DA8)&gt;0)),"পানির স্তর হঠাৎ &gt;5 সেমি বদল; ",""),"")&amp;IF(AND(ISNUMBER(PitanE),ISNUMBER(DA56),DA1&gt;PitanE+2,DA56&lt;PitanE),"পিটানের পরে TP/b আবার মাপুন; ",""))</f>
        <v/>
      </c>
      <c r="DB55" s="36" t="str">
        <f aca="false">IF(DB1="","",IF(AND(ISNUMBER(DB38),OR(DB38&lt;-30,DB38&gt;20)),"পানির স্তর সীমার বাইরে; ","")&amp;IF(AND(ISNUMBER(DB37),DB38=""),"TP/b নেই; ","")&amp;IF(AND(ISNUMBER(DB44),ISNUMBER(DB45)),IF(DB45&lt;DB44,"সেচের পরে &lt; আগে; ",""),"")&amp;IF(AND(ISNUMBER(DB37),ISNUMBER(DB41)&lt;&gt;ISNUMBER(DB42)),"সেচের মাপ অসম্পূর্ণ; ","")&amp;IF(ISNUMBER(DB48),IF(AND(ABS(DB48)&gt;50,NOT(N(DB8)&gt;0)),"পানির স্তর হঠাৎ &gt;5 সেমি বদল; ",""),"")&amp;IF(AND(ISNUMBER(PitanE),ISNUMBER(DB56),DB1&gt;PitanE+2,DB56&lt;PitanE),"পিটানের পরে TP/b আবার মাপুন; ",""))</f>
        <v/>
      </c>
      <c r="DC55" s="36" t="str">
        <f aca="false">IF(DC1="","",IF(AND(ISNUMBER(DC38),OR(DC38&lt;-30,DC38&gt;20)),"পানির স্তর সীমার বাইরে; ","")&amp;IF(AND(ISNUMBER(DC37),DC38=""),"TP/b নেই; ","")&amp;IF(AND(ISNUMBER(DC44),ISNUMBER(DC45)),IF(DC45&lt;DC44,"সেচের পরে &lt; আগে; ",""),"")&amp;IF(AND(ISNUMBER(DC37),ISNUMBER(DC41)&lt;&gt;ISNUMBER(DC42)),"সেচের মাপ অসম্পূর্ণ; ","")&amp;IF(ISNUMBER(DC48),IF(AND(ABS(DC48)&gt;50,NOT(N(DC8)&gt;0)),"পানির স্তর হঠাৎ &gt;5 সেমি বদল; ",""),"")&amp;IF(AND(ISNUMBER(PitanE),ISNUMBER(DC56),DC1&gt;PitanE+2,DC56&lt;PitanE),"পিটানের পরে TP/b আবার মাপুন; ",""))</f>
        <v/>
      </c>
      <c r="DD55" s="36" t="str">
        <f aca="false">IF(DD1="","",IF(AND(ISNUMBER(DD38),OR(DD38&lt;-30,DD38&gt;20)),"পানির স্তর সীমার বাইরে; ","")&amp;IF(AND(ISNUMBER(DD37),DD38=""),"TP/b নেই; ","")&amp;IF(AND(ISNUMBER(DD44),ISNUMBER(DD45)),IF(DD45&lt;DD44,"সেচের পরে &lt; আগে; ",""),"")&amp;IF(AND(ISNUMBER(DD37),ISNUMBER(DD41)&lt;&gt;ISNUMBER(DD42)),"সেচের মাপ অসম্পূর্ণ; ","")&amp;IF(ISNUMBER(DD48),IF(AND(ABS(DD48)&gt;50,NOT(N(DD8)&gt;0)),"পানির স্তর হঠাৎ &gt;5 সেমি বদল; ",""),"")&amp;IF(AND(ISNUMBER(PitanE),ISNUMBER(DD56),DD1&gt;PitanE+2,DD56&lt;PitanE),"পিটানের পরে TP/b আবার মাপুন; ",""))</f>
        <v/>
      </c>
      <c r="DE55" s="36" t="str">
        <f aca="false">IF(DE1="","",IF(AND(ISNUMBER(DE38),OR(DE38&lt;-30,DE38&gt;20)),"পানির স্তর সীমার বাইরে; ","")&amp;IF(AND(ISNUMBER(DE37),DE38=""),"TP/b নেই; ","")&amp;IF(AND(ISNUMBER(DE44),ISNUMBER(DE45)),IF(DE45&lt;DE44,"সেচের পরে &lt; আগে; ",""),"")&amp;IF(AND(ISNUMBER(DE37),ISNUMBER(DE41)&lt;&gt;ISNUMBER(DE42)),"সেচের মাপ অসম্পূর্ণ; ","")&amp;IF(ISNUMBER(DE48),IF(AND(ABS(DE48)&gt;50,NOT(N(DE8)&gt;0)),"পানির স্তর হঠাৎ &gt;5 সেমি বদল; ",""),"")&amp;IF(AND(ISNUMBER(PitanE),ISNUMBER(DE56),DE1&gt;PitanE+2,DE56&lt;PitanE),"পিটানের পরে TP/b আবার মাপুন; ",""))</f>
        <v/>
      </c>
      <c r="DF55" s="36" t="str">
        <f aca="false">IF(DF1="","",IF(AND(ISNUMBER(DF38),OR(DF38&lt;-30,DF38&gt;20)),"পানির স্তর সীমার বাইরে; ","")&amp;IF(AND(ISNUMBER(DF37),DF38=""),"TP/b নেই; ","")&amp;IF(AND(ISNUMBER(DF44),ISNUMBER(DF45)),IF(DF45&lt;DF44,"সেচের পরে &lt; আগে; ",""),"")&amp;IF(AND(ISNUMBER(DF37),ISNUMBER(DF41)&lt;&gt;ISNUMBER(DF42)),"সেচের মাপ অসম্পূর্ণ; ","")&amp;IF(ISNUMBER(DF48),IF(AND(ABS(DF48)&gt;50,NOT(N(DF8)&gt;0)),"পানির স্তর হঠাৎ &gt;5 সেমি বদল; ",""),"")&amp;IF(AND(ISNUMBER(PitanE),ISNUMBER(DF56),DF1&gt;PitanE+2,DF56&lt;PitanE),"পিটানের পরে TP/b আবার মাপুন; ",""))</f>
        <v/>
      </c>
      <c r="DG55" s="36" t="str">
        <f aca="false">IF(DG1="","",IF(AND(ISNUMBER(DG38),OR(DG38&lt;-30,DG38&gt;20)),"পানির স্তর সীমার বাইরে; ","")&amp;IF(AND(ISNUMBER(DG37),DG38=""),"TP/b নেই; ","")&amp;IF(AND(ISNUMBER(DG44),ISNUMBER(DG45)),IF(DG45&lt;DG44,"সেচের পরে &lt; আগে; ",""),"")&amp;IF(AND(ISNUMBER(DG37),ISNUMBER(DG41)&lt;&gt;ISNUMBER(DG42)),"সেচের মাপ অসম্পূর্ণ; ","")&amp;IF(ISNUMBER(DG48),IF(AND(ABS(DG48)&gt;50,NOT(N(DG8)&gt;0)),"পানির স্তর হঠাৎ &gt;5 সেমি বদল; ",""),"")&amp;IF(AND(ISNUMBER(PitanE),ISNUMBER(DG56),DG1&gt;PitanE+2,DG56&lt;PitanE),"পিটানের পরে TP/b আবার মাপুন; ",""))</f>
        <v/>
      </c>
      <c r="DH55" s="36" t="str">
        <f aca="false">IF(DH1="","",IF(AND(ISNUMBER(DH38),OR(DH38&lt;-30,DH38&gt;20)),"পানির স্তর সীমার বাইরে; ","")&amp;IF(AND(ISNUMBER(DH37),DH38=""),"TP/b নেই; ","")&amp;IF(AND(ISNUMBER(DH44),ISNUMBER(DH45)),IF(DH45&lt;DH44,"সেচের পরে &lt; আগে; ",""),"")&amp;IF(AND(ISNUMBER(DH37),ISNUMBER(DH41)&lt;&gt;ISNUMBER(DH42)),"সেচের মাপ অসম্পূর্ণ; ","")&amp;IF(ISNUMBER(DH48),IF(AND(ABS(DH48)&gt;50,NOT(N(DH8)&gt;0)),"পানির স্তর হঠাৎ &gt;5 সেমি বদল; ",""),"")&amp;IF(AND(ISNUMBER(PitanE),ISNUMBER(DH56),DH1&gt;PitanE+2,DH56&lt;PitanE),"পিটানের পরে TP/b আবার মাপুন; ",""))</f>
        <v/>
      </c>
      <c r="DI55" s="36" t="str">
        <f aca="false">IF(DI1="","",IF(AND(ISNUMBER(DI38),OR(DI38&lt;-30,DI38&gt;20)),"পানির স্তর সীমার বাইরে; ","")&amp;IF(AND(ISNUMBER(DI37),DI38=""),"TP/b নেই; ","")&amp;IF(AND(ISNUMBER(DI44),ISNUMBER(DI45)),IF(DI45&lt;DI44,"সেচের পরে &lt; আগে; ",""),"")&amp;IF(AND(ISNUMBER(DI37),ISNUMBER(DI41)&lt;&gt;ISNUMBER(DI42)),"সেচের মাপ অসম্পূর্ণ; ","")&amp;IF(ISNUMBER(DI48),IF(AND(ABS(DI48)&gt;50,NOT(N(DI8)&gt;0)),"পানির স্তর হঠাৎ &gt;5 সেমি বদল; ",""),"")&amp;IF(AND(ISNUMBER(PitanE),ISNUMBER(DI56),DI1&gt;PitanE+2,DI56&lt;PitanE),"পিটানের পরে TP/b আবার মাপুন; ",""))</f>
        <v/>
      </c>
      <c r="DJ55" s="36" t="str">
        <f aca="false">IF(DJ1="","",IF(AND(ISNUMBER(DJ38),OR(DJ38&lt;-30,DJ38&gt;20)),"পানির স্তর সীমার বাইরে; ","")&amp;IF(AND(ISNUMBER(DJ37),DJ38=""),"TP/b নেই; ","")&amp;IF(AND(ISNUMBER(DJ44),ISNUMBER(DJ45)),IF(DJ45&lt;DJ44,"সেচের পরে &lt; আগে; ",""),"")&amp;IF(AND(ISNUMBER(DJ37),ISNUMBER(DJ41)&lt;&gt;ISNUMBER(DJ42)),"সেচের মাপ অসম্পূর্ণ; ","")&amp;IF(ISNUMBER(DJ48),IF(AND(ABS(DJ48)&gt;50,NOT(N(DJ8)&gt;0)),"পানির স্তর হঠাৎ &gt;5 সেমি বদল; ",""),"")&amp;IF(AND(ISNUMBER(PitanE),ISNUMBER(DJ56),DJ1&gt;PitanE+2,DJ56&lt;PitanE),"পিটানের পরে TP/b আবার মাপুন; ",""))</f>
        <v/>
      </c>
      <c r="DK55" s="36" t="str">
        <f aca="false">IF(DK1="","",IF(AND(ISNUMBER(DK38),OR(DK38&lt;-30,DK38&gt;20)),"পানির স্তর সীমার বাইরে; ","")&amp;IF(AND(ISNUMBER(DK37),DK38=""),"TP/b নেই; ","")&amp;IF(AND(ISNUMBER(DK44),ISNUMBER(DK45)),IF(DK45&lt;DK44,"সেচের পরে &lt; আগে; ",""),"")&amp;IF(AND(ISNUMBER(DK37),ISNUMBER(DK41)&lt;&gt;ISNUMBER(DK42)),"সেচের মাপ অসম্পূর্ণ; ","")&amp;IF(ISNUMBER(DK48),IF(AND(ABS(DK48)&gt;50,NOT(N(DK8)&gt;0)),"পানির স্তর হঠাৎ &gt;5 সেমি বদল; ",""),"")&amp;IF(AND(ISNUMBER(PitanE),ISNUMBER(DK56),DK1&gt;PitanE+2,DK56&lt;PitanE),"পিটানের পরে TP/b আবার মাপুন; ",""))</f>
        <v/>
      </c>
      <c r="DL55" s="36" t="str">
        <f aca="false">IF(DL1="","",IF(AND(ISNUMBER(DL38),OR(DL38&lt;-30,DL38&gt;20)),"পানির স্তর সীমার বাইরে; ","")&amp;IF(AND(ISNUMBER(DL37),DL38=""),"TP/b নেই; ","")&amp;IF(AND(ISNUMBER(DL44),ISNUMBER(DL45)),IF(DL45&lt;DL44,"সেচের পরে &lt; আগে; ",""),"")&amp;IF(AND(ISNUMBER(DL37),ISNUMBER(DL41)&lt;&gt;ISNUMBER(DL42)),"সেচের মাপ অসম্পূর্ণ; ","")&amp;IF(ISNUMBER(DL48),IF(AND(ABS(DL48)&gt;50,NOT(N(DL8)&gt;0)),"পানির স্তর হঠাৎ &gt;5 সেমি বদল; ",""),"")&amp;IF(AND(ISNUMBER(PitanE),ISNUMBER(DL56),DL1&gt;PitanE+2,DL56&lt;PitanE),"পিটানের পরে TP/b আবার মাপুন; ",""))</f>
        <v/>
      </c>
      <c r="DM55" s="36" t="str">
        <f aca="false">IF(DM1="","",IF(AND(ISNUMBER(DM38),OR(DM38&lt;-30,DM38&gt;20)),"পানির স্তর সীমার বাইরে; ","")&amp;IF(AND(ISNUMBER(DM37),DM38=""),"TP/b নেই; ","")&amp;IF(AND(ISNUMBER(DM44),ISNUMBER(DM45)),IF(DM45&lt;DM44,"সেচের পরে &lt; আগে; ",""),"")&amp;IF(AND(ISNUMBER(DM37),ISNUMBER(DM41)&lt;&gt;ISNUMBER(DM42)),"সেচের মাপ অসম্পূর্ণ; ","")&amp;IF(ISNUMBER(DM48),IF(AND(ABS(DM48)&gt;50,NOT(N(DM8)&gt;0)),"পানির স্তর হঠাৎ &gt;5 সেমি বদল; ",""),"")&amp;IF(AND(ISNUMBER(PitanE),ISNUMBER(DM56),DM1&gt;PitanE+2,DM56&lt;PitanE),"পিটানের পরে TP/b আবার মাপুন; ",""))</f>
        <v/>
      </c>
      <c r="DN55" s="36" t="str">
        <f aca="false">IF(DN1="","",IF(AND(ISNUMBER(DN38),OR(DN38&lt;-30,DN38&gt;20)),"পানির স্তর সীমার বাইরে; ","")&amp;IF(AND(ISNUMBER(DN37),DN38=""),"TP/b নেই; ","")&amp;IF(AND(ISNUMBER(DN44),ISNUMBER(DN45)),IF(DN45&lt;DN44,"সেচের পরে &lt; আগে; ",""),"")&amp;IF(AND(ISNUMBER(DN37),ISNUMBER(DN41)&lt;&gt;ISNUMBER(DN42)),"সেচের মাপ অসম্পূর্ণ; ","")&amp;IF(ISNUMBER(DN48),IF(AND(ABS(DN48)&gt;50,NOT(N(DN8)&gt;0)),"পানির স্তর হঠাৎ &gt;5 সেমি বদল; ",""),"")&amp;IF(AND(ISNUMBER(PitanE),ISNUMBER(DN56),DN1&gt;PitanE+2,DN56&lt;PitanE),"পিটানের পরে TP/b আবার মাপুন; ",""))</f>
        <v/>
      </c>
      <c r="DO55" s="36" t="str">
        <f aca="false">IF(DO1="","",IF(AND(ISNUMBER(DO38),OR(DO38&lt;-30,DO38&gt;20)),"পানির স্তর সীমার বাইরে; ","")&amp;IF(AND(ISNUMBER(DO37),DO38=""),"TP/b নেই; ","")&amp;IF(AND(ISNUMBER(DO44),ISNUMBER(DO45)),IF(DO45&lt;DO44,"সেচের পরে &lt; আগে; ",""),"")&amp;IF(AND(ISNUMBER(DO37),ISNUMBER(DO41)&lt;&gt;ISNUMBER(DO42)),"সেচের মাপ অসম্পূর্ণ; ","")&amp;IF(ISNUMBER(DO48),IF(AND(ABS(DO48)&gt;50,NOT(N(DO8)&gt;0)),"পানির স্তর হঠাৎ &gt;5 সেমি বদল; ",""),"")&amp;IF(AND(ISNUMBER(PitanE),ISNUMBER(DO56),DO1&gt;PitanE+2,DO56&lt;PitanE),"পিটানের পরে TP/b আবার মাপুন; ",""))</f>
        <v/>
      </c>
      <c r="DP55" s="36" t="str">
        <f aca="false">IF(DP1="","",IF(AND(ISNUMBER(DP38),OR(DP38&lt;-30,DP38&gt;20)),"পানির স্তর সীমার বাইরে; ","")&amp;IF(AND(ISNUMBER(DP37),DP38=""),"TP/b নেই; ","")&amp;IF(AND(ISNUMBER(DP44),ISNUMBER(DP45)),IF(DP45&lt;DP44,"সেচের পরে &lt; আগে; ",""),"")&amp;IF(AND(ISNUMBER(DP37),ISNUMBER(DP41)&lt;&gt;ISNUMBER(DP42)),"সেচের মাপ অসম্পূর্ণ; ","")&amp;IF(ISNUMBER(DP48),IF(AND(ABS(DP48)&gt;50,NOT(N(DP8)&gt;0)),"পানির স্তর হঠাৎ &gt;5 সেমি বদল; ",""),"")&amp;IF(AND(ISNUMBER(PitanE),ISNUMBER(DP56),DP1&gt;PitanE+2,DP56&lt;PitanE),"পিটানের পরে TP/b আবার মাপুন; ",""))</f>
        <v/>
      </c>
      <c r="DQ55" s="36" t="str">
        <f aca="false">IF(DQ1="","",IF(AND(ISNUMBER(DQ38),OR(DQ38&lt;-30,DQ38&gt;20)),"পানির স্তর সীমার বাইরে; ","")&amp;IF(AND(ISNUMBER(DQ37),DQ38=""),"TP/b নেই; ","")&amp;IF(AND(ISNUMBER(DQ44),ISNUMBER(DQ45)),IF(DQ45&lt;DQ44,"সেচের পরে &lt; আগে; ",""),"")&amp;IF(AND(ISNUMBER(DQ37),ISNUMBER(DQ41)&lt;&gt;ISNUMBER(DQ42)),"সেচের মাপ অসম্পূর্ণ; ","")&amp;IF(ISNUMBER(DQ48),IF(AND(ABS(DQ48)&gt;50,NOT(N(DQ8)&gt;0)),"পানির স্তর হঠাৎ &gt;5 সেমি বদল; ",""),"")&amp;IF(AND(ISNUMBER(PitanE),ISNUMBER(DQ56),DQ1&gt;PitanE+2,DQ56&lt;PitanE),"পিটানের পরে TP/b আবার মাপুন; ",""))</f>
        <v/>
      </c>
      <c r="DR55" s="36" t="str">
        <f aca="false">IF(DR1="","",IF(AND(ISNUMBER(DR38),OR(DR38&lt;-30,DR38&gt;20)),"পানির স্তর সীমার বাইরে; ","")&amp;IF(AND(ISNUMBER(DR37),DR38=""),"TP/b নেই; ","")&amp;IF(AND(ISNUMBER(DR44),ISNUMBER(DR45)),IF(DR45&lt;DR44,"সেচের পরে &lt; আগে; ",""),"")&amp;IF(AND(ISNUMBER(DR37),ISNUMBER(DR41)&lt;&gt;ISNUMBER(DR42)),"সেচের মাপ অসম্পূর্ণ; ","")&amp;IF(ISNUMBER(DR48),IF(AND(ABS(DR48)&gt;50,NOT(N(DR8)&gt;0)),"পানির স্তর হঠাৎ &gt;5 সেমি বদল; ",""),"")&amp;IF(AND(ISNUMBER(PitanE),ISNUMBER(DR56),DR1&gt;PitanE+2,DR56&lt;PitanE),"পিটানের পরে TP/b আবার মাপুন; ",""))</f>
        <v/>
      </c>
      <c r="DS55" s="36" t="str">
        <f aca="false">IF(DS1="","",IF(AND(ISNUMBER(DS38),OR(DS38&lt;-30,DS38&gt;20)),"পানির স্তর সীমার বাইরে; ","")&amp;IF(AND(ISNUMBER(DS37),DS38=""),"TP/b নেই; ","")&amp;IF(AND(ISNUMBER(DS44),ISNUMBER(DS45)),IF(DS45&lt;DS44,"সেচের পরে &lt; আগে; ",""),"")&amp;IF(AND(ISNUMBER(DS37),ISNUMBER(DS41)&lt;&gt;ISNUMBER(DS42)),"সেচের মাপ অসম্পূর্ণ; ","")&amp;IF(ISNUMBER(DS48),IF(AND(ABS(DS48)&gt;50,NOT(N(DS8)&gt;0)),"পানির স্তর হঠাৎ &gt;5 সেমি বদল; ",""),"")&amp;IF(AND(ISNUMBER(PitanE),ISNUMBER(DS56),DS1&gt;PitanE+2,DS56&lt;PitanE),"পিটানের পরে TP/b আবার মাপুন; ",""))</f>
        <v/>
      </c>
      <c r="DT55" s="36" t="str">
        <f aca="false">IF(DT1="","",IF(AND(ISNUMBER(DT38),OR(DT38&lt;-30,DT38&gt;20)),"পানির স্তর সীমার বাইরে; ","")&amp;IF(AND(ISNUMBER(DT37),DT38=""),"TP/b নেই; ","")&amp;IF(AND(ISNUMBER(DT44),ISNUMBER(DT45)),IF(DT45&lt;DT44,"সেচের পরে &lt; আগে; ",""),"")&amp;IF(AND(ISNUMBER(DT37),ISNUMBER(DT41)&lt;&gt;ISNUMBER(DT42)),"সেচের মাপ অসম্পূর্ণ; ","")&amp;IF(ISNUMBER(DT48),IF(AND(ABS(DT48)&gt;50,NOT(N(DT8)&gt;0)),"পানির স্তর হঠাৎ &gt;5 সেমি বদল; ",""),"")&amp;IF(AND(ISNUMBER(PitanE),ISNUMBER(DT56),DT1&gt;PitanE+2,DT56&lt;PitanE),"পিটানের পরে TP/b আবার মাপুন; ",""))</f>
        <v/>
      </c>
      <c r="DU55" s="36" t="str">
        <f aca="false">IF(DU1="","",IF(AND(ISNUMBER(DU38),OR(DU38&lt;-30,DU38&gt;20)),"পানির স্তর সীমার বাইরে; ","")&amp;IF(AND(ISNUMBER(DU37),DU38=""),"TP/b নেই; ","")&amp;IF(AND(ISNUMBER(DU44),ISNUMBER(DU45)),IF(DU45&lt;DU44,"সেচের পরে &lt; আগে; ",""),"")&amp;IF(AND(ISNUMBER(DU37),ISNUMBER(DU41)&lt;&gt;ISNUMBER(DU42)),"সেচের মাপ অসম্পূর্ণ; ","")&amp;IF(ISNUMBER(DU48),IF(AND(ABS(DU48)&gt;50,NOT(N(DU8)&gt;0)),"পানির স্তর হঠাৎ &gt;5 সেমি বদল; ",""),"")&amp;IF(AND(ISNUMBER(PitanE),ISNUMBER(DU56),DU1&gt;PitanE+2,DU56&lt;PitanE),"পিটানের পরে TP/b আবার মাপুন; ",""))</f>
        <v/>
      </c>
      <c r="DV55" s="36" t="str">
        <f aca="false">IF(DV1="","",IF(AND(ISNUMBER(DV38),OR(DV38&lt;-30,DV38&gt;20)),"পানির স্তর সীমার বাইরে; ","")&amp;IF(AND(ISNUMBER(DV37),DV38=""),"TP/b নেই; ","")&amp;IF(AND(ISNUMBER(DV44),ISNUMBER(DV45)),IF(DV45&lt;DV44,"সেচের পরে &lt; আগে; ",""),"")&amp;IF(AND(ISNUMBER(DV37),ISNUMBER(DV41)&lt;&gt;ISNUMBER(DV42)),"সেচের মাপ অসম্পূর্ণ; ","")&amp;IF(ISNUMBER(DV48),IF(AND(ABS(DV48)&gt;50,NOT(N(DV8)&gt;0)),"পানির স্তর হঠাৎ &gt;5 সেমি বদল; ",""),"")&amp;IF(AND(ISNUMBER(PitanE),ISNUMBER(DV56),DV1&gt;PitanE+2,DV56&lt;PitanE),"পিটানের পরে TP/b আবার মাপুন; ",""))</f>
        <v/>
      </c>
      <c r="DW55" s="36" t="str">
        <f aca="false">IF(DW1="","",IF(AND(ISNUMBER(DW38),OR(DW38&lt;-30,DW38&gt;20)),"পানির স্তর সীমার বাইরে; ","")&amp;IF(AND(ISNUMBER(DW37),DW38=""),"TP/b নেই; ","")&amp;IF(AND(ISNUMBER(DW44),ISNUMBER(DW45)),IF(DW45&lt;DW44,"সেচের পরে &lt; আগে; ",""),"")&amp;IF(AND(ISNUMBER(DW37),ISNUMBER(DW41)&lt;&gt;ISNUMBER(DW42)),"সেচের মাপ অসম্পূর্ণ; ","")&amp;IF(ISNUMBER(DW48),IF(AND(ABS(DW48)&gt;50,NOT(N(DW8)&gt;0)),"পানির স্তর হঠাৎ &gt;5 সেমি বদল; ",""),"")&amp;IF(AND(ISNUMBER(PitanE),ISNUMBER(DW56),DW1&gt;PitanE+2,DW56&lt;PitanE),"পিটানের পরে TP/b আবার মাপুন; ",""))</f>
        <v/>
      </c>
      <c r="DX55" s="36" t="str">
        <f aca="false">IF(DX1="","",IF(AND(ISNUMBER(DX38),OR(DX38&lt;-30,DX38&gt;20)),"পানির স্তর সীমার বাইরে; ","")&amp;IF(AND(ISNUMBER(DX37),DX38=""),"TP/b নেই; ","")&amp;IF(AND(ISNUMBER(DX44),ISNUMBER(DX45)),IF(DX45&lt;DX44,"সেচের পরে &lt; আগে; ",""),"")&amp;IF(AND(ISNUMBER(DX37),ISNUMBER(DX41)&lt;&gt;ISNUMBER(DX42)),"সেচের মাপ অসম্পূর্ণ; ","")&amp;IF(ISNUMBER(DX48),IF(AND(ABS(DX48)&gt;50,NOT(N(DX8)&gt;0)),"পানির স্তর হঠাৎ &gt;5 সেমি বদল; ",""),"")&amp;IF(AND(ISNUMBER(PitanE),ISNUMBER(DX56),DX1&gt;PitanE+2,DX56&lt;PitanE),"পিটানের পরে TP/b আবার মাপুন; ",""))</f>
        <v/>
      </c>
      <c r="DY55" s="36" t="str">
        <f aca="false">IF(DY1="","",IF(AND(ISNUMBER(DY38),OR(DY38&lt;-30,DY38&gt;20)),"পানির স্তর সীমার বাইরে; ","")&amp;IF(AND(ISNUMBER(DY37),DY38=""),"TP/b নেই; ","")&amp;IF(AND(ISNUMBER(DY44),ISNUMBER(DY45)),IF(DY45&lt;DY44,"সেচের পরে &lt; আগে; ",""),"")&amp;IF(AND(ISNUMBER(DY37),ISNUMBER(DY41)&lt;&gt;ISNUMBER(DY42)),"সেচের মাপ অসম্পূর্ণ; ","")&amp;IF(ISNUMBER(DY48),IF(AND(ABS(DY48)&gt;50,NOT(N(DY8)&gt;0)),"পানির স্তর হঠাৎ &gt;5 সেমি বদল; ",""),"")&amp;IF(AND(ISNUMBER(PitanE),ISNUMBER(DY56),DY1&gt;PitanE+2,DY56&lt;PitanE),"পিটানের পরে TP/b আবার মাপুন; ",""))</f>
        <v/>
      </c>
      <c r="DZ55" s="36" t="str">
        <f aca="false">IF(DZ1="","",IF(AND(ISNUMBER(DZ38),OR(DZ38&lt;-30,DZ38&gt;20)),"পানির স্তর সীমার বাইরে; ","")&amp;IF(AND(ISNUMBER(DZ37),DZ38=""),"TP/b নেই; ","")&amp;IF(AND(ISNUMBER(DZ44),ISNUMBER(DZ45)),IF(DZ45&lt;DZ44,"সেচের পরে &lt; আগে; ",""),"")&amp;IF(AND(ISNUMBER(DZ37),ISNUMBER(DZ41)&lt;&gt;ISNUMBER(DZ42)),"সেচের মাপ অসম্পূর্ণ; ","")&amp;IF(ISNUMBER(DZ48),IF(AND(ABS(DZ48)&gt;50,NOT(N(DZ8)&gt;0)),"পানির স্তর হঠাৎ &gt;5 সেমি বদল; ",""),"")&amp;IF(AND(ISNUMBER(PitanE),ISNUMBER(DZ56),DZ1&gt;PitanE+2,DZ56&lt;PitanE),"পিটানের পরে TP/b আবার মাপুন; ",""))</f>
        <v/>
      </c>
      <c r="EA55" s="36" t="str">
        <f aca="false">IF(EA1="","",IF(AND(ISNUMBER(EA38),OR(EA38&lt;-30,EA38&gt;20)),"পানির স্তর সীমার বাইরে; ","")&amp;IF(AND(ISNUMBER(EA37),EA38=""),"TP/b নেই; ","")&amp;IF(AND(ISNUMBER(EA44),ISNUMBER(EA45)),IF(EA45&lt;EA44,"সেচের পরে &lt; আগে; ",""),"")&amp;IF(AND(ISNUMBER(EA37),ISNUMBER(EA41)&lt;&gt;ISNUMBER(EA42)),"সেচের মাপ অসম্পূর্ণ; ","")&amp;IF(ISNUMBER(EA48),IF(AND(ABS(EA48)&gt;50,NOT(N(EA8)&gt;0)),"পানির স্তর হঠাৎ &gt;5 সেমি বদল; ",""),"")&amp;IF(AND(ISNUMBER(PitanE),ISNUMBER(EA56),EA1&gt;PitanE+2,EA56&lt;PitanE),"পিটানের পরে TP/b আবার মাপুন; ",""))</f>
        <v/>
      </c>
      <c r="EB55" s="36" t="str">
        <f aca="false">IF(EB1="","",IF(AND(ISNUMBER(EB38),OR(EB38&lt;-30,EB38&gt;20)),"পানির স্তর সীমার বাইরে; ","")&amp;IF(AND(ISNUMBER(EB37),EB38=""),"TP/b নেই; ","")&amp;IF(AND(ISNUMBER(EB44),ISNUMBER(EB45)),IF(EB45&lt;EB44,"সেচের পরে &lt; আগে; ",""),"")&amp;IF(AND(ISNUMBER(EB37),ISNUMBER(EB41)&lt;&gt;ISNUMBER(EB42)),"সেচের মাপ অসম্পূর্ণ; ","")&amp;IF(ISNUMBER(EB48),IF(AND(ABS(EB48)&gt;50,NOT(N(EB8)&gt;0)),"পানির স্তর হঠাৎ &gt;5 সেমি বদল; ",""),"")&amp;IF(AND(ISNUMBER(PitanE),ISNUMBER(EB56),EB1&gt;PitanE+2,EB56&lt;PitanE),"পিটানের পরে TP/b আবার মাপুন; ",""))</f>
        <v/>
      </c>
      <c r="EC55" s="36" t="str">
        <f aca="false">IF(EC1="","",IF(AND(ISNUMBER(EC38),OR(EC38&lt;-30,EC38&gt;20)),"পানির স্তর সীমার বাইরে; ","")&amp;IF(AND(ISNUMBER(EC37),EC38=""),"TP/b নেই; ","")&amp;IF(AND(ISNUMBER(EC44),ISNUMBER(EC45)),IF(EC45&lt;EC44,"সেচের পরে &lt; আগে; ",""),"")&amp;IF(AND(ISNUMBER(EC37),ISNUMBER(EC41)&lt;&gt;ISNUMBER(EC42)),"সেচের মাপ অসম্পূর্ণ; ","")&amp;IF(ISNUMBER(EC48),IF(AND(ABS(EC48)&gt;50,NOT(N(EC8)&gt;0)),"পানির স্তর হঠাৎ &gt;5 সেমি বদল; ",""),"")&amp;IF(AND(ISNUMBER(PitanE),ISNUMBER(EC56),EC1&gt;PitanE+2,EC56&lt;PitanE),"পিটানের পরে TP/b আবার মাপুন; ",""))</f>
        <v/>
      </c>
      <c r="ED55" s="36" t="str">
        <f aca="false">IF(ED1="","",IF(AND(ISNUMBER(ED38),OR(ED38&lt;-30,ED38&gt;20)),"পানির স্তর সীমার বাইরে; ","")&amp;IF(AND(ISNUMBER(ED37),ED38=""),"TP/b নেই; ","")&amp;IF(AND(ISNUMBER(ED44),ISNUMBER(ED45)),IF(ED45&lt;ED44,"সেচের পরে &lt; আগে; ",""),"")&amp;IF(AND(ISNUMBER(ED37),ISNUMBER(ED41)&lt;&gt;ISNUMBER(ED42)),"সেচের মাপ অসম্পূর্ণ; ","")&amp;IF(ISNUMBER(ED48),IF(AND(ABS(ED48)&gt;50,NOT(N(ED8)&gt;0)),"পানির স্তর হঠাৎ &gt;5 সেমি বদল; ",""),"")&amp;IF(AND(ISNUMBER(PitanE),ISNUMBER(ED56),ED1&gt;PitanE+2,ED56&lt;PitanE),"পিটানের পরে TP/b আবার মাপুন; ",""))</f>
        <v/>
      </c>
      <c r="EE55" s="36" t="str">
        <f aca="false">IF(EE1="","",IF(AND(ISNUMBER(EE38),OR(EE38&lt;-30,EE38&gt;20)),"পানির স্তর সীমার বাইরে; ","")&amp;IF(AND(ISNUMBER(EE37),EE38=""),"TP/b নেই; ","")&amp;IF(AND(ISNUMBER(EE44),ISNUMBER(EE45)),IF(EE45&lt;EE44,"সেচের পরে &lt; আগে; ",""),"")&amp;IF(AND(ISNUMBER(EE37),ISNUMBER(EE41)&lt;&gt;ISNUMBER(EE42)),"সেচের মাপ অসম্পূর্ণ; ","")&amp;IF(ISNUMBER(EE48),IF(AND(ABS(EE48)&gt;50,NOT(N(EE8)&gt;0)),"পানির স্তর হঠাৎ &gt;5 সেমি বদল; ",""),"")&amp;IF(AND(ISNUMBER(PitanE),ISNUMBER(EE56),EE1&gt;PitanE+2,EE56&lt;PitanE),"পিটানের পরে TP/b আবার মাপুন; ",""))</f>
        <v/>
      </c>
      <c r="EF55" s="36" t="str">
        <f aca="false">IF(EF1="","",IF(AND(ISNUMBER(EF38),OR(EF38&lt;-30,EF38&gt;20)),"পানির স্তর সীমার বাইরে; ","")&amp;IF(AND(ISNUMBER(EF37),EF38=""),"TP/b নেই; ","")&amp;IF(AND(ISNUMBER(EF44),ISNUMBER(EF45)),IF(EF45&lt;EF44,"সেচের পরে &lt; আগে; ",""),"")&amp;IF(AND(ISNUMBER(EF37),ISNUMBER(EF41)&lt;&gt;ISNUMBER(EF42)),"সেচের মাপ অসম্পূর্ণ; ","")&amp;IF(ISNUMBER(EF48),IF(AND(ABS(EF48)&gt;50,NOT(N(EF8)&gt;0)),"পানির স্তর হঠাৎ &gt;5 সেমি বদল; ",""),"")&amp;IF(AND(ISNUMBER(PitanE),ISNUMBER(EF56),EF1&gt;PitanE+2,EF56&lt;PitanE),"পিটানের পরে TP/b আবার মাপুন; ",""))</f>
        <v/>
      </c>
      <c r="EG55" s="36" t="str">
        <f aca="false">IF(EG1="","",IF(AND(ISNUMBER(EG38),OR(EG38&lt;-30,EG38&gt;20)),"পানির স্তর সীমার বাইরে; ","")&amp;IF(AND(ISNUMBER(EG37),EG38=""),"TP/b নেই; ","")&amp;IF(AND(ISNUMBER(EG44),ISNUMBER(EG45)),IF(EG45&lt;EG44,"সেচের পরে &lt; আগে; ",""),"")&amp;IF(AND(ISNUMBER(EG37),ISNUMBER(EG41)&lt;&gt;ISNUMBER(EG42)),"সেচের মাপ অসম্পূর্ণ; ","")&amp;IF(ISNUMBER(EG48),IF(AND(ABS(EG48)&gt;50,NOT(N(EG8)&gt;0)),"পানির স্তর হঠাৎ &gt;5 সেমি বদল; ",""),"")&amp;IF(AND(ISNUMBER(PitanE),ISNUMBER(EG56),EG1&gt;PitanE+2,EG56&lt;PitanE),"পিটানের পরে TP/b আবার মাপুন; ",""))</f>
        <v/>
      </c>
      <c r="EH55" s="36" t="str">
        <f aca="false">IF(EH1="","",IF(AND(ISNUMBER(EH38),OR(EH38&lt;-30,EH38&gt;20)),"পানির স্তর সীমার বাইরে; ","")&amp;IF(AND(ISNUMBER(EH37),EH38=""),"TP/b নেই; ","")&amp;IF(AND(ISNUMBER(EH44),ISNUMBER(EH45)),IF(EH45&lt;EH44,"সেচের পরে &lt; আগে; ",""),"")&amp;IF(AND(ISNUMBER(EH37),ISNUMBER(EH41)&lt;&gt;ISNUMBER(EH42)),"সেচের মাপ অসম্পূর্ণ; ","")&amp;IF(ISNUMBER(EH48),IF(AND(ABS(EH48)&gt;50,NOT(N(EH8)&gt;0)),"পানির স্তর হঠাৎ &gt;5 সেমি বদল; ",""),"")&amp;IF(AND(ISNUMBER(PitanE),ISNUMBER(EH56),EH1&gt;PitanE+2,EH56&lt;PitanE),"পিটানের পরে TP/b আবার মাপুন; ",""))</f>
        <v>পানির স্তর হঠাৎ &gt;5 সেমি বদল; </v>
      </c>
      <c r="EI55" s="36" t="str">
        <f aca="false">IF(EI1="","",IF(AND(ISNUMBER(EI38),OR(EI38&lt;-30,EI38&gt;20)),"পানির স্তর সীমার বাইরে; ","")&amp;IF(AND(ISNUMBER(EI37),EI38=""),"TP/b নেই; ","")&amp;IF(AND(ISNUMBER(EI44),ISNUMBER(EI45)),IF(EI45&lt;EI44,"সেচের পরে &lt; আগে; ",""),"")&amp;IF(AND(ISNUMBER(EI37),ISNUMBER(EI41)&lt;&gt;ISNUMBER(EI42)),"সেচের মাপ অসম্পূর্ণ; ","")&amp;IF(ISNUMBER(EI48),IF(AND(ABS(EI48)&gt;50,NOT(N(EI8)&gt;0)),"পানির স্তর হঠাৎ &gt;5 সেমি বদল; ",""),"")&amp;IF(AND(ISNUMBER(PitanE),ISNUMBER(EI56),EI1&gt;PitanE+2,EI56&lt;PitanE),"পিটানের পরে TP/b আবার মাপুন; ",""))</f>
        <v/>
      </c>
      <c r="EJ55" s="36" t="str">
        <f aca="false">IF(EJ1="","",IF(AND(ISNUMBER(EJ38),OR(EJ38&lt;-30,EJ38&gt;20)),"পানির স্তর সীমার বাইরে; ","")&amp;IF(AND(ISNUMBER(EJ37),EJ38=""),"TP/b নেই; ","")&amp;IF(AND(ISNUMBER(EJ44),ISNUMBER(EJ45)),IF(EJ45&lt;EJ44,"সেচের পরে &lt; আগে; ",""),"")&amp;IF(AND(ISNUMBER(EJ37),ISNUMBER(EJ41)&lt;&gt;ISNUMBER(EJ42)),"সেচের মাপ অসম্পূর্ণ; ","")&amp;IF(ISNUMBER(EJ48),IF(AND(ABS(EJ48)&gt;50,NOT(N(EJ8)&gt;0)),"পানির স্তর হঠাৎ &gt;5 সেমি বদল; ",""),"")&amp;IF(AND(ISNUMBER(PitanE),ISNUMBER(EJ56),EJ1&gt;PitanE+2,EJ56&lt;PitanE),"পিটানের পরে TP/b আবার মাপুন; ",""))</f>
        <v/>
      </c>
      <c r="EK55" s="36" t="str">
        <f aca="false">IF(EK1="","",IF(AND(ISNUMBER(EK38),OR(EK38&lt;-30,EK38&gt;20)),"পানির স্তর সীমার বাইরে; ","")&amp;IF(AND(ISNUMBER(EK37),EK38=""),"TP/b নেই; ","")&amp;IF(AND(ISNUMBER(EK44),ISNUMBER(EK45)),IF(EK45&lt;EK44,"সেচের পরে &lt; আগে; ",""),"")&amp;IF(AND(ISNUMBER(EK37),ISNUMBER(EK41)&lt;&gt;ISNUMBER(EK42)),"সেচের মাপ অসম্পূর্ণ; ","")&amp;IF(ISNUMBER(EK48),IF(AND(ABS(EK48)&gt;50,NOT(N(EK8)&gt;0)),"পানির স্তর হঠাৎ &gt;5 সেমি বদল; ",""),"")&amp;IF(AND(ISNUMBER(PitanE),ISNUMBER(EK56),EK1&gt;PitanE+2,EK56&lt;PitanE),"পিটানের পরে TP/b আবার মাপুন; ",""))</f>
        <v/>
      </c>
      <c r="EL55" s="36" t="str">
        <f aca="false">IF(EL1="","",IF(AND(ISNUMBER(EL38),OR(EL38&lt;-30,EL38&gt;20)),"পানির স্তর সীমার বাইরে; ","")&amp;IF(AND(ISNUMBER(EL37),EL38=""),"TP/b নেই; ","")&amp;IF(AND(ISNUMBER(EL44),ISNUMBER(EL45)),IF(EL45&lt;EL44,"সেচের পরে &lt; আগে; ",""),"")&amp;IF(AND(ISNUMBER(EL37),ISNUMBER(EL41)&lt;&gt;ISNUMBER(EL42)),"সেচের মাপ অসম্পূর্ণ; ","")&amp;IF(ISNUMBER(EL48),IF(AND(ABS(EL48)&gt;50,NOT(N(EL8)&gt;0)),"পানির স্তর হঠাৎ &gt;5 সেমি বদল; ",""),"")&amp;IF(AND(ISNUMBER(PitanE),ISNUMBER(EL56),EL1&gt;PitanE+2,EL56&lt;PitanE),"পিটানের পরে TP/b আবার মাপুন; ",""))</f>
        <v/>
      </c>
      <c r="EM55" s="36" t="str">
        <f aca="false">IF(EM1="","",IF(AND(ISNUMBER(EM38),OR(EM38&lt;-30,EM38&gt;20)),"পানির স্তর সীমার বাইরে; ","")&amp;IF(AND(ISNUMBER(EM37),EM38=""),"TP/b নেই; ","")&amp;IF(AND(ISNUMBER(EM44),ISNUMBER(EM45)),IF(EM45&lt;EM44,"সেচের পরে &lt; আগে; ",""),"")&amp;IF(AND(ISNUMBER(EM37),ISNUMBER(EM41)&lt;&gt;ISNUMBER(EM42)),"সেচের মাপ অসম্পূর্ণ; ","")&amp;IF(ISNUMBER(EM48),IF(AND(ABS(EM48)&gt;50,NOT(N(EM8)&gt;0)),"পানির স্তর হঠাৎ &gt;5 সেমি বদল; ",""),"")&amp;IF(AND(ISNUMBER(PitanE),ISNUMBER(EM56),EM1&gt;PitanE+2,EM56&lt;PitanE),"পিটানের পরে TP/b আবার মাপুন; ",""))</f>
        <v/>
      </c>
      <c r="EN55" s="36" t="str">
        <f aca="false">IF(EN1="","",IF(AND(ISNUMBER(EN38),OR(EN38&lt;-30,EN38&gt;20)),"পানির স্তর সীমার বাইরে; ","")&amp;IF(AND(ISNUMBER(EN37),EN38=""),"TP/b নেই; ","")&amp;IF(AND(ISNUMBER(EN44),ISNUMBER(EN45)),IF(EN45&lt;EN44,"সেচের পরে &lt; আগে; ",""),"")&amp;IF(AND(ISNUMBER(EN37),ISNUMBER(EN41)&lt;&gt;ISNUMBER(EN42)),"সেচের মাপ অসম্পূর্ণ; ","")&amp;IF(ISNUMBER(EN48),IF(AND(ABS(EN48)&gt;50,NOT(N(EN8)&gt;0)),"পানির স্তর হঠাৎ &gt;5 সেমি বদল; ",""),"")&amp;IF(AND(ISNUMBER(PitanE),ISNUMBER(EN56),EN1&gt;PitanE+2,EN56&lt;PitanE),"পিটানের পরে TP/b আবার মাপুন; ",""))</f>
        <v/>
      </c>
      <c r="EO55" s="36" t="str">
        <f aca="false">IF(EO1="","",IF(AND(ISNUMBER(EO38),OR(EO38&lt;-30,EO38&gt;20)),"পানির স্তর সীমার বাইরে; ","")&amp;IF(AND(ISNUMBER(EO37),EO38=""),"TP/b নেই; ","")&amp;IF(AND(ISNUMBER(EO44),ISNUMBER(EO45)),IF(EO45&lt;EO44,"সেচের পরে &lt; আগে; ",""),"")&amp;IF(AND(ISNUMBER(EO37),ISNUMBER(EO41)&lt;&gt;ISNUMBER(EO42)),"সেচের মাপ অসম্পূর্ণ; ","")&amp;IF(ISNUMBER(EO48),IF(AND(ABS(EO48)&gt;50,NOT(N(EO8)&gt;0)),"পানির স্তর হঠাৎ &gt;5 সেমি বদল; ",""),"")&amp;IF(AND(ISNUMBER(PitanE),ISNUMBER(EO56),EO1&gt;PitanE+2,EO56&lt;PitanE),"পিটানের পরে TP/b আবার মাপুন; ",""))</f>
        <v/>
      </c>
      <c r="EP55" s="36" t="str">
        <f aca="false">IF(EP1="","",IF(AND(ISNUMBER(EP38),OR(EP38&lt;-30,EP38&gt;20)),"পানির স্তর সীমার বাইরে; ","")&amp;IF(AND(ISNUMBER(EP37),EP38=""),"TP/b নেই; ","")&amp;IF(AND(ISNUMBER(EP44),ISNUMBER(EP45)),IF(EP45&lt;EP44,"সেচের পরে &lt; আগে; ",""),"")&amp;IF(AND(ISNUMBER(EP37),ISNUMBER(EP41)&lt;&gt;ISNUMBER(EP42)),"সেচের মাপ অসম্পূর্ণ; ","")&amp;IF(ISNUMBER(EP48),IF(AND(ABS(EP48)&gt;50,NOT(N(EP8)&gt;0)),"পানির স্তর হঠাৎ &gt;5 সেমি বদল; ",""),"")&amp;IF(AND(ISNUMBER(PitanE),ISNUMBER(EP56),EP1&gt;PitanE+2,EP56&lt;PitanE),"পিটানের পরে TP/b আবার মাপুন; ",""))</f>
        <v/>
      </c>
      <c r="EQ55" s="36" t="str">
        <f aca="false">IF(EQ1="","",IF(AND(ISNUMBER(EQ38),OR(EQ38&lt;-30,EQ38&gt;20)),"পানির স্তর সীমার বাইরে; ","")&amp;IF(AND(ISNUMBER(EQ37),EQ38=""),"TP/b নেই; ","")&amp;IF(AND(ISNUMBER(EQ44),ISNUMBER(EQ45)),IF(EQ45&lt;EQ44,"সেচের পরে &lt; আগে; ",""),"")&amp;IF(AND(ISNUMBER(EQ37),ISNUMBER(EQ41)&lt;&gt;ISNUMBER(EQ42)),"সেচের মাপ অসম্পূর্ণ; ","")&amp;IF(ISNUMBER(EQ48),IF(AND(ABS(EQ48)&gt;50,NOT(N(EQ8)&gt;0)),"পানির স্তর হঠাৎ &gt;5 সেমি বদল; ",""),"")&amp;IF(AND(ISNUMBER(PitanE),ISNUMBER(EQ56),EQ1&gt;PitanE+2,EQ56&lt;PitanE),"পিটানের পরে TP/b আবার মাপুন; ",""))</f>
        <v>পানির স্তর হঠাৎ &gt;5 সেমি বদল; </v>
      </c>
      <c r="ER55" s="36" t="str">
        <f aca="false">IF(ER1="","",IF(AND(ISNUMBER(ER38),OR(ER38&lt;-30,ER38&gt;20)),"পানির স্তর সীমার বাইরে; ","")&amp;IF(AND(ISNUMBER(ER37),ER38=""),"TP/b নেই; ","")&amp;IF(AND(ISNUMBER(ER44),ISNUMBER(ER45)),IF(ER45&lt;ER44,"সেচের পরে &lt; আগে; ",""),"")&amp;IF(AND(ISNUMBER(ER37),ISNUMBER(ER41)&lt;&gt;ISNUMBER(ER42)),"সেচের মাপ অসম্পূর্ণ; ","")&amp;IF(ISNUMBER(ER48),IF(AND(ABS(ER48)&gt;50,NOT(N(ER8)&gt;0)),"পানির স্তর হঠাৎ &gt;5 সেমি বদল; ",""),"")&amp;IF(AND(ISNUMBER(PitanE),ISNUMBER(ER56),ER1&gt;PitanE+2,ER56&lt;PitanE),"পিটানের পরে TP/b আবার মাপুন; ",""))</f>
        <v/>
      </c>
      <c r="ES55" s="36" t="str">
        <f aca="false">IF(ES1="","",IF(AND(ISNUMBER(ES38),OR(ES38&lt;-30,ES38&gt;20)),"পানির স্তর সীমার বাইরে; ","")&amp;IF(AND(ISNUMBER(ES37),ES38=""),"TP/b নেই; ","")&amp;IF(AND(ISNUMBER(ES44),ISNUMBER(ES45)),IF(ES45&lt;ES44,"সেচের পরে &lt; আগে; ",""),"")&amp;IF(AND(ISNUMBER(ES37),ISNUMBER(ES41)&lt;&gt;ISNUMBER(ES42)),"সেচের মাপ অসম্পূর্ণ; ","")&amp;IF(ISNUMBER(ES48),IF(AND(ABS(ES48)&gt;50,NOT(N(ES8)&gt;0)),"পানির স্তর হঠাৎ &gt;5 সেমি বদল; ",""),"")&amp;IF(AND(ISNUMBER(PitanE),ISNUMBER(ES56),ES1&gt;PitanE+2,ES56&lt;PitanE),"পিটানের পরে TP/b আবার মাপুন; ",""))</f>
        <v/>
      </c>
      <c r="ET55" s="36" t="str">
        <f aca="false">IF(ET1="","",IF(AND(ISNUMBER(ET38),OR(ET38&lt;-30,ET38&gt;20)),"পানির স্তর সীমার বাইরে; ","")&amp;IF(AND(ISNUMBER(ET37),ET38=""),"TP/b নেই; ","")&amp;IF(AND(ISNUMBER(ET44),ISNUMBER(ET45)),IF(ET45&lt;ET44,"সেচের পরে &lt; আগে; ",""),"")&amp;IF(AND(ISNUMBER(ET37),ISNUMBER(ET41)&lt;&gt;ISNUMBER(ET42)),"সেচের মাপ অসম্পূর্ণ; ","")&amp;IF(ISNUMBER(ET48),IF(AND(ABS(ET48)&gt;50,NOT(N(ET8)&gt;0)),"পানির স্তর হঠাৎ &gt;5 সেমি বদল; ",""),"")&amp;IF(AND(ISNUMBER(PitanE),ISNUMBER(ET56),ET1&gt;PitanE+2,ET56&lt;PitanE),"পিটানের পরে TP/b আবার মাপুন; ",""))</f>
        <v/>
      </c>
      <c r="EU55" s="36" t="str">
        <f aca="false">IF(EU1="","",IF(AND(ISNUMBER(EU38),OR(EU38&lt;-30,EU38&gt;20)),"পানির স্তর সীমার বাইরে; ","")&amp;IF(AND(ISNUMBER(EU37),EU38=""),"TP/b নেই; ","")&amp;IF(AND(ISNUMBER(EU44),ISNUMBER(EU45)),IF(EU45&lt;EU44,"সেচের পরে &lt; আগে; ",""),"")&amp;IF(AND(ISNUMBER(EU37),ISNUMBER(EU41)&lt;&gt;ISNUMBER(EU42)),"সেচের মাপ অসম্পূর্ণ; ","")&amp;IF(ISNUMBER(EU48),IF(AND(ABS(EU48)&gt;50,NOT(N(EU8)&gt;0)),"পানির স্তর হঠাৎ &gt;5 সেমি বদল; ",""),"")&amp;IF(AND(ISNUMBER(PitanE),ISNUMBER(EU56),EU1&gt;PitanE+2,EU56&lt;PitanE),"পিটানের পরে TP/b আবার মাপুন; ",""))</f>
        <v/>
      </c>
      <c r="EV55" s="36" t="str">
        <f aca="false">IF(EV1="","",IF(AND(ISNUMBER(EV38),OR(EV38&lt;-30,EV38&gt;20)),"পানির স্তর সীমার বাইরে; ","")&amp;IF(AND(ISNUMBER(EV37),EV38=""),"TP/b নেই; ","")&amp;IF(AND(ISNUMBER(EV44),ISNUMBER(EV45)),IF(EV45&lt;EV44,"সেচের পরে &lt; আগে; ",""),"")&amp;IF(AND(ISNUMBER(EV37),ISNUMBER(EV41)&lt;&gt;ISNUMBER(EV42)),"সেচের মাপ অসম্পূর্ণ; ","")&amp;IF(ISNUMBER(EV48),IF(AND(ABS(EV48)&gt;50,NOT(N(EV8)&gt;0)),"পানির স্তর হঠাৎ &gt;5 সেমি বদল; ",""),"")&amp;IF(AND(ISNUMBER(PitanE),ISNUMBER(EV56),EV1&gt;PitanE+2,EV56&lt;PitanE),"পিটানের পরে TP/b আবার মাপুন; ",""))</f>
        <v/>
      </c>
      <c r="EW55" s="36" t="str">
        <f aca="false">IF(EW1="","",IF(AND(ISNUMBER(EW38),OR(EW38&lt;-30,EW38&gt;20)),"পানির স্তর সীমার বাইরে; ","")&amp;IF(AND(ISNUMBER(EW37),EW38=""),"TP/b নেই; ","")&amp;IF(AND(ISNUMBER(EW44),ISNUMBER(EW45)),IF(EW45&lt;EW44,"সেচের পরে &lt; আগে; ",""),"")&amp;IF(AND(ISNUMBER(EW37),ISNUMBER(EW41)&lt;&gt;ISNUMBER(EW42)),"সেচের মাপ অসম্পূর্ণ; ","")&amp;IF(ISNUMBER(EW48),IF(AND(ABS(EW48)&gt;50,NOT(N(EW8)&gt;0)),"পানির স্তর হঠাৎ &gt;5 সেমি বদল; ",""),"")&amp;IF(AND(ISNUMBER(PitanE),ISNUMBER(EW56),EW1&gt;PitanE+2,EW56&lt;PitanE),"পিটানের পরে TP/b আবার মাপুন; ",""))</f>
        <v/>
      </c>
      <c r="EX55" s="36" t="str">
        <f aca="false">IF(EX1="","",IF(AND(ISNUMBER(EX38),OR(EX38&lt;-30,EX38&gt;20)),"পানির স্তর সীমার বাইরে; ","")&amp;IF(AND(ISNUMBER(EX37),EX38=""),"TP/b নেই; ","")&amp;IF(AND(ISNUMBER(EX44),ISNUMBER(EX45)),IF(EX45&lt;EX44,"সেচের পরে &lt; আগে; ",""),"")&amp;IF(AND(ISNUMBER(EX37),ISNUMBER(EX41)&lt;&gt;ISNUMBER(EX42)),"সেচের মাপ অসম্পূর্ণ; ","")&amp;IF(ISNUMBER(EX48),IF(AND(ABS(EX48)&gt;50,NOT(N(EX8)&gt;0)),"পানির স্তর হঠাৎ &gt;5 সেমি বদল; ",""),"")&amp;IF(AND(ISNUMBER(PitanE),ISNUMBER(EX56),EX1&gt;PitanE+2,EX56&lt;PitanE),"পিটানের পরে TP/b আবার মাপুন; ",""))</f>
        <v/>
      </c>
      <c r="EY55" s="36" t="str">
        <f aca="false">IF(EY1="","",IF(AND(ISNUMBER(EY38),OR(EY38&lt;-30,EY38&gt;20)),"পানির স্তর সীমার বাইরে; ","")&amp;IF(AND(ISNUMBER(EY37),EY38=""),"TP/b নেই; ","")&amp;IF(AND(ISNUMBER(EY44),ISNUMBER(EY45)),IF(EY45&lt;EY44,"সেচের পরে &lt; আগে; ",""),"")&amp;IF(AND(ISNUMBER(EY37),ISNUMBER(EY41)&lt;&gt;ISNUMBER(EY42)),"সেচের মাপ অসম্পূর্ণ; ","")&amp;IF(ISNUMBER(EY48),IF(AND(ABS(EY48)&gt;50,NOT(N(EY8)&gt;0)),"পানির স্তর হঠাৎ &gt;5 সেমি বদল; ",""),"")&amp;IF(AND(ISNUMBER(PitanE),ISNUMBER(EY56),EY1&gt;PitanE+2,EY56&lt;PitanE),"পিটানের পরে TP/b আবার মাপুন; ",""))</f>
        <v/>
      </c>
      <c r="EZ55" s="36" t="str">
        <f aca="false">IF(EZ1="","",IF(AND(ISNUMBER(EZ38),OR(EZ38&lt;-30,EZ38&gt;20)),"পানির স্তর সীমার বাইরে; ","")&amp;IF(AND(ISNUMBER(EZ37),EZ38=""),"TP/b নেই; ","")&amp;IF(AND(ISNUMBER(EZ44),ISNUMBER(EZ45)),IF(EZ45&lt;EZ44,"সেচের পরে &lt; আগে; ",""),"")&amp;IF(AND(ISNUMBER(EZ37),ISNUMBER(EZ41)&lt;&gt;ISNUMBER(EZ42)),"সেচের মাপ অসম্পূর্ণ; ","")&amp;IF(ISNUMBER(EZ48),IF(AND(ABS(EZ48)&gt;50,NOT(N(EZ8)&gt;0)),"পানির স্তর হঠাৎ &gt;5 সেমি বদল; ",""),"")&amp;IF(AND(ISNUMBER(PitanE),ISNUMBER(EZ56),EZ1&gt;PitanE+2,EZ56&lt;PitanE),"পিটানের পরে TP/b আবার মাপুন; ",""))</f>
        <v/>
      </c>
      <c r="FA55" s="36" t="str">
        <f aca="false">IF(FA1="","",IF(AND(ISNUMBER(FA38),OR(FA38&lt;-30,FA38&gt;20)),"পানির স্তর সীমার বাইরে; ","")&amp;IF(AND(ISNUMBER(FA37),FA38=""),"TP/b নেই; ","")&amp;IF(AND(ISNUMBER(FA44),ISNUMBER(FA45)),IF(FA45&lt;FA44,"সেচের পরে &lt; আগে; ",""),"")&amp;IF(AND(ISNUMBER(FA37),ISNUMBER(FA41)&lt;&gt;ISNUMBER(FA42)),"সেচের মাপ অসম্পূর্ণ; ","")&amp;IF(ISNUMBER(FA48),IF(AND(ABS(FA48)&gt;50,NOT(N(FA8)&gt;0)),"পানির স্তর হঠাৎ &gt;5 সেমি বদল; ",""),"")&amp;IF(AND(ISNUMBER(PitanE),ISNUMBER(FA56),FA1&gt;PitanE+2,FA56&lt;PitanE),"পিটানের পরে TP/b আবার মাপুন; ",""))</f>
        <v/>
      </c>
      <c r="FB55" s="36" t="str">
        <f aca="false">IF(FB1="","",IF(AND(ISNUMBER(FB38),OR(FB38&lt;-30,FB38&gt;20)),"পানির স্তর সীমার বাইরে; ","")&amp;IF(AND(ISNUMBER(FB37),FB38=""),"TP/b নেই; ","")&amp;IF(AND(ISNUMBER(FB44),ISNUMBER(FB45)),IF(FB45&lt;FB44,"সেচের পরে &lt; আগে; ",""),"")&amp;IF(AND(ISNUMBER(FB37),ISNUMBER(FB41)&lt;&gt;ISNUMBER(FB42)),"সেচের মাপ অসম্পূর্ণ; ","")&amp;IF(ISNUMBER(FB48),IF(AND(ABS(FB48)&gt;50,NOT(N(FB8)&gt;0)),"পানির স্তর হঠাৎ &gt;5 সেমি বদল; ",""),"")&amp;IF(AND(ISNUMBER(PitanE),ISNUMBER(FB56),FB1&gt;PitanE+2,FB56&lt;PitanE),"পিটানের পরে TP/b আবার মাপুন; ",""))</f>
        <v/>
      </c>
      <c r="FC55" s="36" t="str">
        <f aca="false">IF(FC1="","",IF(AND(ISNUMBER(FC38),OR(FC38&lt;-30,FC38&gt;20)),"পানির স্তর সীমার বাইরে; ","")&amp;IF(AND(ISNUMBER(FC37),FC38=""),"TP/b নেই; ","")&amp;IF(AND(ISNUMBER(FC44),ISNUMBER(FC45)),IF(FC45&lt;FC44,"সেচের পরে &lt; আগে; ",""),"")&amp;IF(AND(ISNUMBER(FC37),ISNUMBER(FC41)&lt;&gt;ISNUMBER(FC42)),"সেচের মাপ অসম্পূর্ণ; ","")&amp;IF(ISNUMBER(FC48),IF(AND(ABS(FC48)&gt;50,NOT(N(FC8)&gt;0)),"পানির স্তর হঠাৎ &gt;5 সেমি বদল; ",""),"")&amp;IF(AND(ISNUMBER(PitanE),ISNUMBER(FC56),FC1&gt;PitanE+2,FC56&lt;PitanE),"পিটানের পরে TP/b আবার মাপুন; ",""))</f>
        <v/>
      </c>
      <c r="FD55" s="36" t="str">
        <f aca="false">IF(FD1="","",IF(AND(ISNUMBER(FD38),OR(FD38&lt;-30,FD38&gt;20)),"পানির স্তর সীমার বাইরে; ","")&amp;IF(AND(ISNUMBER(FD37),FD38=""),"TP/b নেই; ","")&amp;IF(AND(ISNUMBER(FD44),ISNUMBER(FD45)),IF(FD45&lt;FD44,"সেচের পরে &lt; আগে; ",""),"")&amp;IF(AND(ISNUMBER(FD37),ISNUMBER(FD41)&lt;&gt;ISNUMBER(FD42)),"সেচের মাপ অসম্পূর্ণ; ","")&amp;IF(ISNUMBER(FD48),IF(AND(ABS(FD48)&gt;50,NOT(N(FD8)&gt;0)),"পানির স্তর হঠাৎ &gt;5 সেমি বদল; ",""),"")&amp;IF(AND(ISNUMBER(PitanE),ISNUMBER(FD56),FD1&gt;PitanE+2,FD56&lt;PitanE),"পিটানের পরে TP/b আবার মাপুন; ",""))</f>
        <v/>
      </c>
      <c r="FE55" s="36" t="str">
        <f aca="false">IF(FE1="","",IF(AND(ISNUMBER(FE38),OR(FE38&lt;-30,FE38&gt;20)),"পানির স্তর সীমার বাইরে; ","")&amp;IF(AND(ISNUMBER(FE37),FE38=""),"TP/b নেই; ","")&amp;IF(AND(ISNUMBER(FE44),ISNUMBER(FE45)),IF(FE45&lt;FE44,"সেচের পরে &lt; আগে; ",""),"")&amp;IF(AND(ISNUMBER(FE37),ISNUMBER(FE41)&lt;&gt;ISNUMBER(FE42)),"সেচের মাপ অসম্পূর্ণ; ","")&amp;IF(ISNUMBER(FE48),IF(AND(ABS(FE48)&gt;50,NOT(N(FE8)&gt;0)),"পানির স্তর হঠাৎ &gt;5 সেমি বদল; ",""),"")&amp;IF(AND(ISNUMBER(PitanE),ISNUMBER(FE56),FE1&gt;PitanE+2,FE56&lt;PitanE),"পিটানের পরে TP/b আবার মাপুন; ",""))</f>
        <v/>
      </c>
      <c r="FF55" s="36" t="str">
        <f aca="false">IF(FF1="","",IF(AND(ISNUMBER(FF38),OR(FF38&lt;-30,FF38&gt;20)),"পানির স্তর সীমার বাইরে; ","")&amp;IF(AND(ISNUMBER(FF37),FF38=""),"TP/b নেই; ","")&amp;IF(AND(ISNUMBER(FF44),ISNUMBER(FF45)),IF(FF45&lt;FF44,"সেচের পরে &lt; আগে; ",""),"")&amp;IF(AND(ISNUMBER(FF37),ISNUMBER(FF41)&lt;&gt;ISNUMBER(FF42)),"সেচের মাপ অসম্পূর্ণ; ","")&amp;IF(ISNUMBER(FF48),IF(AND(ABS(FF48)&gt;50,NOT(N(FF8)&gt;0)),"পানির স্তর হঠাৎ &gt;5 সেমি বদল; ",""),"")&amp;IF(AND(ISNUMBER(PitanE),ISNUMBER(FF56),FF1&gt;PitanE+2,FF56&lt;PitanE),"পিটানের পরে TP/b আবার মাপুন; ",""))</f>
        <v/>
      </c>
      <c r="FG55" s="36" t="str">
        <f aca="false">IF(FG1="","",IF(AND(ISNUMBER(FG38),OR(FG38&lt;-30,FG38&gt;20)),"পানির স্তর সীমার বাইরে; ","")&amp;IF(AND(ISNUMBER(FG37),FG38=""),"TP/b নেই; ","")&amp;IF(AND(ISNUMBER(FG44),ISNUMBER(FG45)),IF(FG45&lt;FG44,"সেচের পরে &lt; আগে; ",""),"")&amp;IF(AND(ISNUMBER(FG37),ISNUMBER(FG41)&lt;&gt;ISNUMBER(FG42)),"সেচের মাপ অসম্পূর্ণ; ","")&amp;IF(ISNUMBER(FG48),IF(AND(ABS(FG48)&gt;50,NOT(N(FG8)&gt;0)),"পানির স্তর হঠাৎ &gt;5 সেমি বদল; ",""),"")&amp;IF(AND(ISNUMBER(PitanE),ISNUMBER(FG56),FG1&gt;PitanE+2,FG56&lt;PitanE),"পিটানের পরে TP/b আবার মাপুন; ",""))</f>
        <v/>
      </c>
      <c r="FH55" s="36" t="str">
        <f aca="false">IF(FH1="","",IF(AND(ISNUMBER(FH38),OR(FH38&lt;-30,FH38&gt;20)),"পানির স্তর সীমার বাইরে; ","")&amp;IF(AND(ISNUMBER(FH37),FH38=""),"TP/b নেই; ","")&amp;IF(AND(ISNUMBER(FH44),ISNUMBER(FH45)),IF(FH45&lt;FH44,"সেচের পরে &lt; আগে; ",""),"")&amp;IF(AND(ISNUMBER(FH37),ISNUMBER(FH41)&lt;&gt;ISNUMBER(FH42)),"সেচের মাপ অসম্পূর্ণ; ","")&amp;IF(ISNUMBER(FH48),IF(AND(ABS(FH48)&gt;50,NOT(N(FH8)&gt;0)),"পানির স্তর হঠাৎ &gt;5 সেমি বদল; ",""),"")&amp;IF(AND(ISNUMBER(PitanE),ISNUMBER(FH56),FH1&gt;PitanE+2,FH56&lt;PitanE),"পিটানের পরে TP/b আবার মাপুন; ",""))</f>
        <v/>
      </c>
      <c r="FI55" s="36" t="str">
        <f aca="false">IF(FI1="","",IF(AND(ISNUMBER(FI38),OR(FI38&lt;-30,FI38&gt;20)),"পানির স্তর সীমার বাইরে; ","")&amp;IF(AND(ISNUMBER(FI37),FI38=""),"TP/b নেই; ","")&amp;IF(AND(ISNUMBER(FI44),ISNUMBER(FI45)),IF(FI45&lt;FI44,"সেচের পরে &lt; আগে; ",""),"")&amp;IF(AND(ISNUMBER(FI37),ISNUMBER(FI41)&lt;&gt;ISNUMBER(FI42)),"সেচের মাপ অসম্পূর্ণ; ","")&amp;IF(ISNUMBER(FI48),IF(AND(ABS(FI48)&gt;50,NOT(N(FI8)&gt;0)),"পানির স্তর হঠাৎ &gt;5 সেমি বদল; ",""),"")&amp;IF(AND(ISNUMBER(PitanE),ISNUMBER(FI56),FI1&gt;PitanE+2,FI56&lt;PitanE),"পিটানের পরে TP/b আবার মাপুন; ",""))</f>
        <v/>
      </c>
      <c r="FJ55" s="36" t="str">
        <f aca="false">IF(FJ1="","",IF(AND(ISNUMBER(FJ38),OR(FJ38&lt;-30,FJ38&gt;20)),"পানির স্তর সীমার বাইরে; ","")&amp;IF(AND(ISNUMBER(FJ37),FJ38=""),"TP/b নেই; ","")&amp;IF(AND(ISNUMBER(FJ44),ISNUMBER(FJ45)),IF(FJ45&lt;FJ44,"সেচের পরে &lt; আগে; ",""),"")&amp;IF(AND(ISNUMBER(FJ37),ISNUMBER(FJ41)&lt;&gt;ISNUMBER(FJ42)),"সেচের মাপ অসম্পূর্ণ; ","")&amp;IF(ISNUMBER(FJ48),IF(AND(ABS(FJ48)&gt;50,NOT(N(FJ8)&gt;0)),"পানির স্তর হঠাৎ &gt;5 সেমি বদল; ",""),"")&amp;IF(AND(ISNUMBER(PitanE),ISNUMBER(FJ56),FJ1&gt;PitanE+2,FJ56&lt;PitanE),"পিটানের পরে TP/b আবার মাপুন; ",""))</f>
        <v/>
      </c>
      <c r="FK55" s="36" t="str">
        <f aca="false">IF(FK1="","",IF(AND(ISNUMBER(FK38),OR(FK38&lt;-30,FK38&gt;20)),"পানির স্তর সীমার বাইরে; ","")&amp;IF(AND(ISNUMBER(FK37),FK38=""),"TP/b নেই; ","")&amp;IF(AND(ISNUMBER(FK44),ISNUMBER(FK45)),IF(FK45&lt;FK44,"সেচের পরে &lt; আগে; ",""),"")&amp;IF(AND(ISNUMBER(FK37),ISNUMBER(FK41)&lt;&gt;ISNUMBER(FK42)),"সেচের মাপ অসম্পূর্ণ; ","")&amp;IF(ISNUMBER(FK48),IF(AND(ABS(FK48)&gt;50,NOT(N(FK8)&gt;0)),"পানির স্তর হঠাৎ &gt;5 সেমি বদল; ",""),"")&amp;IF(AND(ISNUMBER(PitanE),ISNUMBER(FK56),FK1&gt;PitanE+2,FK56&lt;PitanE),"পিটানের পরে TP/b আবার মাপুন; ",""))</f>
        <v/>
      </c>
      <c r="FL55" s="36" t="str">
        <f aca="false">IF(FL1="","",IF(AND(ISNUMBER(FL38),OR(FL38&lt;-30,FL38&gt;20)),"পানির স্তর সীমার বাইরে; ","")&amp;IF(AND(ISNUMBER(FL37),FL38=""),"TP/b নেই; ","")&amp;IF(AND(ISNUMBER(FL44),ISNUMBER(FL45)),IF(FL45&lt;FL44,"সেচের পরে &lt; আগে; ",""),"")&amp;IF(AND(ISNUMBER(FL37),ISNUMBER(FL41)&lt;&gt;ISNUMBER(FL42)),"সেচের মাপ অসম্পূর্ণ; ","")&amp;IF(ISNUMBER(FL48),IF(AND(ABS(FL48)&gt;50,NOT(N(FL8)&gt;0)),"পানির স্তর হঠাৎ &gt;5 সেমি বদল; ",""),"")&amp;IF(AND(ISNUMBER(PitanE),ISNUMBER(FL56),FL1&gt;PitanE+2,FL56&lt;PitanE),"পিটানের পরে TP/b আবার মাপুন; ",""))</f>
        <v/>
      </c>
      <c r="FM55" s="36" t="str">
        <f aca="false">IF(FM1="","",IF(AND(ISNUMBER(FM38),OR(FM38&lt;-30,FM38&gt;20)),"পানির স্তর সীমার বাইরে; ","")&amp;IF(AND(ISNUMBER(FM37),FM38=""),"TP/b নেই; ","")&amp;IF(AND(ISNUMBER(FM44),ISNUMBER(FM45)),IF(FM45&lt;FM44,"সেচের পরে &lt; আগে; ",""),"")&amp;IF(AND(ISNUMBER(FM37),ISNUMBER(FM41)&lt;&gt;ISNUMBER(FM42)),"সেচের মাপ অসম্পূর্ণ; ","")&amp;IF(ISNUMBER(FM48),IF(AND(ABS(FM48)&gt;50,NOT(N(FM8)&gt;0)),"পানির স্তর হঠাৎ &gt;5 সেমি বদল; ",""),"")&amp;IF(AND(ISNUMBER(PitanE),ISNUMBER(FM56),FM1&gt;PitanE+2,FM56&lt;PitanE),"পিটানের পরে TP/b আবার মাপুন; ",""))</f>
        <v/>
      </c>
      <c r="FN55" s="36" t="str">
        <f aca="false">IF(FN1="","",IF(AND(ISNUMBER(FN38),OR(FN38&lt;-30,FN38&gt;20)),"পানির স্তর সীমার বাইরে; ","")&amp;IF(AND(ISNUMBER(FN37),FN38=""),"TP/b নেই; ","")&amp;IF(AND(ISNUMBER(FN44),ISNUMBER(FN45)),IF(FN45&lt;FN44,"সেচের পরে &lt; আগে; ",""),"")&amp;IF(AND(ISNUMBER(FN37),ISNUMBER(FN41)&lt;&gt;ISNUMBER(FN42)),"সেচের মাপ অসম্পূর্ণ; ","")&amp;IF(ISNUMBER(FN48),IF(AND(ABS(FN48)&gt;50,NOT(N(FN8)&gt;0)),"পানির স্তর হঠাৎ &gt;5 সেমি বদল; ",""),"")&amp;IF(AND(ISNUMBER(PitanE),ISNUMBER(FN56),FN1&gt;PitanE+2,FN56&lt;PitanE),"পিটানের পরে TP/b আবার মাপুন; ",""))</f>
        <v/>
      </c>
      <c r="FO55" s="36" t="str">
        <f aca="false">IF(FO1="","",IF(AND(ISNUMBER(FO38),OR(FO38&lt;-30,FO38&gt;20)),"পানির স্তর সীমার বাইরে; ","")&amp;IF(AND(ISNUMBER(FO37),FO38=""),"TP/b নেই; ","")&amp;IF(AND(ISNUMBER(FO44),ISNUMBER(FO45)),IF(FO45&lt;FO44,"সেচের পরে &lt; আগে; ",""),"")&amp;IF(AND(ISNUMBER(FO37),ISNUMBER(FO41)&lt;&gt;ISNUMBER(FO42)),"সেচের মাপ অসম্পূর্ণ; ","")&amp;IF(ISNUMBER(FO48),IF(AND(ABS(FO48)&gt;50,NOT(N(FO8)&gt;0)),"পানির স্তর হঠাৎ &gt;5 সেমি বদল; ",""),"")&amp;IF(AND(ISNUMBER(PitanE),ISNUMBER(FO56),FO1&gt;PitanE+2,FO56&lt;PitanE),"পিটানের পরে TP/b আবার মাপুন; ",""))</f>
        <v/>
      </c>
      <c r="FP55" s="36" t="str">
        <f aca="false">IF(FP1="","",IF(AND(ISNUMBER(FP38),OR(FP38&lt;-30,FP38&gt;20)),"পানির স্তর সীমার বাইরে; ","")&amp;IF(AND(ISNUMBER(FP37),FP38=""),"TP/b নেই; ","")&amp;IF(AND(ISNUMBER(FP44),ISNUMBER(FP45)),IF(FP45&lt;FP44,"সেচের পরে &lt; আগে; ",""),"")&amp;IF(AND(ISNUMBER(FP37),ISNUMBER(FP41)&lt;&gt;ISNUMBER(FP42)),"সেচের মাপ অসম্পূর্ণ; ","")&amp;IF(ISNUMBER(FP48),IF(AND(ABS(FP48)&gt;50,NOT(N(FP8)&gt;0)),"পানির স্তর হঠাৎ &gt;5 সেমি বদল; ",""),"")&amp;IF(AND(ISNUMBER(PitanE),ISNUMBER(FP56),FP1&gt;PitanE+2,FP56&lt;PitanE),"পিটানের পরে TP/b আবার মাপুন; ",""))</f>
        <v/>
      </c>
      <c r="FQ55" s="36" t="str">
        <f aca="false">IF(FQ1="","",IF(AND(ISNUMBER(FQ38),OR(FQ38&lt;-30,FQ38&gt;20)),"পানির স্তর সীমার বাইরে; ","")&amp;IF(AND(ISNUMBER(FQ37),FQ38=""),"TP/b নেই; ","")&amp;IF(AND(ISNUMBER(FQ44),ISNUMBER(FQ45)),IF(FQ45&lt;FQ44,"সেচের পরে &lt; আগে; ",""),"")&amp;IF(AND(ISNUMBER(FQ37),ISNUMBER(FQ41)&lt;&gt;ISNUMBER(FQ42)),"সেচের মাপ অসম্পূর্ণ; ","")&amp;IF(ISNUMBER(FQ48),IF(AND(ABS(FQ48)&gt;50,NOT(N(FQ8)&gt;0)),"পানির স্তর হঠাৎ &gt;5 সেমি বদল; ",""),"")&amp;IF(AND(ISNUMBER(PitanE),ISNUMBER(FQ56),FQ1&gt;PitanE+2,FQ56&lt;PitanE),"পিটানের পরে TP/b আবার মাপুন; ",""))</f>
        <v/>
      </c>
    </row>
    <row r="56" customFormat="false" ht="15" hidden="true" customHeight="false" outlineLevel="0" collapsed="false">
      <c r="A56" s="33" t="s">
        <v>74</v>
      </c>
      <c r="B56" s="62" t="s">
        <v>413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false" outlineLevel="0" collapsed="false">
      <c r="A57" s="33" t="s">
        <v>74</v>
      </c>
      <c r="B57" s="62" t="s">
        <v>414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n">
        <f aca="false">IF(BD38="","",IF(ISNUMBER(BD45),BD45,BD38))</f>
        <v>1.3</v>
      </c>
      <c r="BE57" s="27" t="n">
        <f aca="false">IF(BE38="","",IF(ISNUMBER(BE45),BE45,BE38))</f>
        <v>1.5</v>
      </c>
      <c r="BF57" s="27" t="n">
        <f aca="false">IF(BF38="","",IF(ISNUMBER(BF45),BF45,BF38))</f>
        <v>1.3</v>
      </c>
      <c r="BG57" s="27" t="n">
        <f aca="false">IF(BG38="","",IF(ISNUMBER(BG45),BG45,BG38))</f>
        <v>3.5</v>
      </c>
      <c r="BH57" s="27" t="n">
        <f aca="false">IF(BH38="","",IF(ISNUMBER(BH45),BH45,BH38))</f>
        <v>3.2</v>
      </c>
      <c r="BI57" s="27" t="n">
        <f aca="false">IF(BI38="","",IF(ISNUMBER(BI45),BI45,BI38))</f>
        <v>2.3</v>
      </c>
      <c r="BJ57" s="27" t="n">
        <f aca="false">IF(BJ38="","",IF(ISNUMBER(BJ45),BJ45,BJ38))</f>
        <v>2.1</v>
      </c>
      <c r="BK57" s="27" t="n">
        <f aca="false">IF(BK38="","",IF(ISNUMBER(BK45),BK45,BK38))</f>
        <v>3.4</v>
      </c>
      <c r="BL57" s="27" t="n">
        <f aca="false">IF(BL38="","",IF(ISNUMBER(BL45),BL45,BL38))</f>
        <v>3</v>
      </c>
      <c r="BM57" s="27" t="n">
        <f aca="false">IF(BM38="","",IF(ISNUMBER(BM45),BM45,BM38))</f>
        <v>2.5</v>
      </c>
      <c r="BN57" s="27" t="n">
        <f aca="false">IF(BN38="","",IF(ISNUMBER(BN45),BN45,BN38))</f>
        <v>2</v>
      </c>
      <c r="BO57" s="27" t="n">
        <f aca="false">IF(BO38="","",IF(ISNUMBER(BO45),BO45,BO38))</f>
        <v>1.5</v>
      </c>
      <c r="BP57" s="27" t="n">
        <f aca="false">IF(BP38="","",IF(ISNUMBER(BP45),BP45,BP38))</f>
        <v>3</v>
      </c>
      <c r="BQ57" s="27" t="n">
        <f aca="false">IF(BQ38="","",IF(ISNUMBER(BQ45),BQ45,BQ38))</f>
        <v>2.5</v>
      </c>
      <c r="BR57" s="27" t="n">
        <f aca="false">IF(BR38="","",IF(ISNUMBER(BR45),BR45,BR38))</f>
        <v>2</v>
      </c>
      <c r="BS57" s="27" t="n">
        <f aca="false">IF(BS38="","",IF(ISNUMBER(BS45),BS45,BS38))</f>
        <v>1.5</v>
      </c>
      <c r="BT57" s="27" t="n">
        <f aca="false">IF(BT38="","",IF(ISNUMBER(BT45),BT45,BT38))</f>
        <v>1.3</v>
      </c>
      <c r="BU57" s="27" t="n">
        <f aca="false">IF(BU38="","",IF(ISNUMBER(BU45),BU45,BU38))</f>
        <v>1.1</v>
      </c>
      <c r="BV57" s="27" t="n">
        <f aca="false">IF(BV38="","",IF(ISNUMBER(BV45),BV45,BV38))</f>
        <v>1</v>
      </c>
      <c r="BW57" s="27" t="n">
        <f aca="false">IF(BW38="","",IF(ISNUMBER(BW45),BW45,BW38))</f>
        <v>2.5</v>
      </c>
      <c r="BX57" s="27" t="n">
        <f aca="false">IF(BX38="","",IF(ISNUMBER(BX45),BX45,BX38))</f>
        <v>2.3</v>
      </c>
      <c r="BY57" s="27" t="n">
        <f aca="false">IF(BY38="","",IF(ISNUMBER(BY45),BY45,BY38))</f>
        <v>2</v>
      </c>
      <c r="BZ57" s="27" t="n">
        <f aca="false">IF(BZ38="","",IF(ISNUMBER(BZ45),BZ45,BZ38))</f>
        <v>1.5</v>
      </c>
      <c r="CA57" s="27" t="str">
        <f aca="false">IF(CA38="","",IF(ISNUMBER(CA45),CA45,CA38))</f>
        <v/>
      </c>
      <c r="CB57" s="27" t="n">
        <f aca="false">IF(CB38="","",IF(ISNUMBER(CB45),CB45,CB38))</f>
        <v>1</v>
      </c>
      <c r="CC57" s="27" t="n">
        <f aca="false">IF(CC38="","",IF(ISNUMBER(CC45),CC45,CC38))</f>
        <v>-0.2</v>
      </c>
      <c r="CD57" s="27" t="n">
        <f aca="false">IF(CD38="","",IF(ISNUMBER(CD45),CD45,CD38))</f>
        <v>2.3</v>
      </c>
      <c r="CE57" s="27" t="n">
        <f aca="false">IF(CE38="","",IF(ISNUMBER(CE45),CE45,CE38))</f>
        <v>2</v>
      </c>
      <c r="CF57" s="27" t="n">
        <f aca="false">IF(CF38="","",IF(ISNUMBER(CF45),CF45,CF38))</f>
        <v>1.7</v>
      </c>
      <c r="CG57" s="27" t="n">
        <f aca="false">IF(CG38="","",IF(ISNUMBER(CG45),CG45,CG38))</f>
        <v>1.5</v>
      </c>
      <c r="CH57" s="27" t="n">
        <f aca="false">IF(CH38="","",IF(ISNUMBER(CH45),CH45,CH38))</f>
        <v>4</v>
      </c>
      <c r="CI57" s="27" t="n">
        <f aca="false">IF(CI38="","",IF(ISNUMBER(CI45),CI45,CI38))</f>
        <v>3.8</v>
      </c>
      <c r="CJ57" s="27" t="n">
        <f aca="false">IF(CJ38="","",IF(ISNUMBER(CJ45),CJ45,CJ38))</f>
        <v>3.2</v>
      </c>
      <c r="CK57" s="27" t="n">
        <f aca="false">IF(CK38="","",IF(ISNUMBER(CK45),CK45,CK38))</f>
        <v>1.5</v>
      </c>
      <c r="CL57" s="27" t="n">
        <f aca="false">IF(CL38="","",IF(ISNUMBER(CL45),CL45,CL38))</f>
        <v>0</v>
      </c>
      <c r="CM57" s="27" t="n">
        <f aca="false">IF(CM38="","",IF(ISNUMBER(CM45),CM45,CM38))</f>
        <v>-0.3</v>
      </c>
      <c r="CN57" s="27" t="n">
        <f aca="false">IF(CN38="","",IF(ISNUMBER(CN45),CN45,CN38))</f>
        <v>-1</v>
      </c>
      <c r="CO57" s="27" t="n">
        <f aca="false">IF(CO38="","",IF(ISNUMBER(CO45),CO45,CO38))</f>
        <v>-5</v>
      </c>
      <c r="CP57" s="27" t="n">
        <f aca="false">IF(CP38="","",IF(ISNUMBER(CP45),CP45,CP38))</f>
        <v>-8</v>
      </c>
      <c r="CQ57" s="27" t="n">
        <f aca="false">IF(CQ38="","",IF(ISNUMBER(CQ45),CQ45,CQ38))</f>
        <v>-15</v>
      </c>
      <c r="CR57" s="27" t="n">
        <f aca="false">IF(CR38="","",IF(ISNUMBER(CR45),CR45,CR38))</f>
        <v>-15</v>
      </c>
      <c r="CS57" s="27" t="n">
        <f aca="false">IF(CS38="","",IF(ISNUMBER(CS45),CS45,CS38))</f>
        <v>-15</v>
      </c>
      <c r="CT57" s="27" t="n">
        <f aca="false">IF(CT38="","",IF(ISNUMBER(CT45),CT45,CT38))</f>
        <v>-15</v>
      </c>
      <c r="CU57" s="27" t="n">
        <f aca="false">IF(CU38="","",IF(ISNUMBER(CU45),CU45,CU38))</f>
        <v>-15</v>
      </c>
      <c r="CV57" s="27" t="n">
        <f aca="false">IF(CV38="","",IF(ISNUMBER(CV45),CV45,CV38))</f>
        <v>-15</v>
      </c>
      <c r="CW57" s="27" t="n">
        <f aca="false">IF(CW38="","",IF(ISNUMBER(CW45),CW45,CW38))</f>
        <v>1.5</v>
      </c>
      <c r="CX57" s="27" t="n">
        <f aca="false">IF(CX38="","",IF(ISNUMBER(CX45),CX45,CX38))</f>
        <v>1</v>
      </c>
      <c r="CY57" s="27" t="n">
        <f aca="false">IF(CY38="","",IF(ISNUMBER(CY45),CY45,CY38))</f>
        <v>0.7</v>
      </c>
      <c r="CZ57" s="27" t="n">
        <f aca="false">IF(CZ38="","",IF(ISNUMBER(CZ45),CZ45,CZ38))</f>
        <v>2</v>
      </c>
      <c r="DA57" s="27" t="n">
        <f aca="false">IF(DA38="","",IF(ISNUMBER(DA45),DA45,DA38))</f>
        <v>1.7</v>
      </c>
      <c r="DB57" s="27" t="n">
        <f aca="false">IF(DB38="","",IF(ISNUMBER(DB45),DB45,DB38))</f>
        <v>1</v>
      </c>
      <c r="DC57" s="27" t="n">
        <f aca="false">IF(DC38="","",IF(ISNUMBER(DC45),DC45,DC38))</f>
        <v>2.7</v>
      </c>
      <c r="DD57" s="27" t="n">
        <f aca="false">IF(DD38="","",IF(ISNUMBER(DD45),DD45,DD38))</f>
        <v>1.6</v>
      </c>
      <c r="DE57" s="27" t="n">
        <f aca="false">IF(DE38="","",IF(ISNUMBER(DE45),DE45,DE38))</f>
        <v>1</v>
      </c>
      <c r="DF57" s="27" t="n">
        <f aca="false">IF(DF38="","",IF(ISNUMBER(DF45),DF45,DF38))</f>
        <v>0.7</v>
      </c>
      <c r="DG57" s="27" t="n">
        <f aca="false">IF(DG38="","",IF(ISNUMBER(DG45),DG45,DG38))</f>
        <v>1.3</v>
      </c>
      <c r="DH57" s="27" t="n">
        <f aca="false">IF(DH38="","",IF(ISNUMBER(DH45),DH45,DH38))</f>
        <v>0.8</v>
      </c>
      <c r="DI57" s="27" t="n">
        <f aca="false">IF(DI38="","",IF(ISNUMBER(DI45),DI45,DI38))</f>
        <v>0.4</v>
      </c>
      <c r="DJ57" s="27" t="n">
        <f aca="false">IF(DJ38="","",IF(ISNUMBER(DJ45),DJ45,DJ38))</f>
        <v>-3</v>
      </c>
      <c r="DK57" s="27" t="n">
        <f aca="false">IF(DK38="","",IF(ISNUMBER(DK45),DK45,DK38))</f>
        <v>-6</v>
      </c>
      <c r="DL57" s="27" t="str">
        <f aca="false">IF(DL38="","",IF(ISNUMBER(DL45),DL45,DL38))</f>
        <v/>
      </c>
      <c r="DM57" s="27" t="n">
        <f aca="false">IF(DM38="","",IF(ISNUMBER(DM45),DM45,DM38))</f>
        <v>-11</v>
      </c>
      <c r="DN57" s="27" t="n">
        <f aca="false">IF(DN38="","",IF(ISNUMBER(DN45),DN45,DN38))</f>
        <v>1.5</v>
      </c>
      <c r="DO57" s="27" t="n">
        <f aca="false">IF(DO38="","",IF(ISNUMBER(DO45),DO45,DO38))</f>
        <v>1</v>
      </c>
      <c r="DP57" s="27" t="n">
        <f aca="false">IF(DP38="","",IF(ISNUMBER(DP45),DP45,DP38))</f>
        <v>0.5</v>
      </c>
      <c r="DQ57" s="27" t="n">
        <f aca="false">IF(DQ38="","",IF(ISNUMBER(DQ45),DQ45,DQ38))</f>
        <v>-4</v>
      </c>
      <c r="DR57" s="27" t="n">
        <f aca="false">IF(DR38="","",IF(ISNUMBER(DR45),DR45,DR38))</f>
        <v>-9</v>
      </c>
      <c r="DS57" s="27" t="n">
        <f aca="false">IF(DS38="","",IF(ISNUMBER(DS45),DS45,DS38))</f>
        <v>-12</v>
      </c>
      <c r="DT57" s="27" t="n">
        <f aca="false">IF(DT38="","",IF(ISNUMBER(DT45),DT45,DT38))</f>
        <v>-15</v>
      </c>
      <c r="DU57" s="27" t="n">
        <f aca="false">IF(DU38="","",IF(ISNUMBER(DU45),DU45,DU38))</f>
        <v>2</v>
      </c>
      <c r="DV57" s="27" t="n">
        <f aca="false">IF(DV38="","",IF(ISNUMBER(DV45),DV45,DV38))</f>
        <v>1</v>
      </c>
      <c r="DW57" s="27" t="n">
        <f aca="false">IF(DW38="","",IF(ISNUMBER(DW45),DW45,DW38))</f>
        <v>0.5</v>
      </c>
      <c r="DX57" s="27" t="n">
        <f aca="false">IF(DX38="","",IF(ISNUMBER(DX45),DX45,DX38))</f>
        <v>-2</v>
      </c>
      <c r="DY57" s="27" t="n">
        <f aca="false">IF(DY38="","",IF(ISNUMBER(DY45),DY45,DY38))</f>
        <v>-7</v>
      </c>
      <c r="DZ57" s="27" t="n">
        <f aca="false">IF(DZ38="","",IF(ISNUMBER(DZ45),DZ45,DZ38))</f>
        <v>-12</v>
      </c>
      <c r="EA57" s="27" t="n">
        <f aca="false">IF(EA38="","",IF(ISNUMBER(EA45),EA45,EA38))</f>
        <v>-15</v>
      </c>
      <c r="EB57" s="27" t="n">
        <f aca="false">IF(EB38="","",IF(ISNUMBER(EB45),EB45,EB38))</f>
        <v>2</v>
      </c>
      <c r="EC57" s="27" t="n">
        <f aca="false">IF(EC38="","",IF(ISNUMBER(EC45),EC45,EC38))</f>
        <v>1.5</v>
      </c>
      <c r="ED57" s="27" t="n">
        <f aca="false">IF(ED38="","",IF(ISNUMBER(ED45),ED45,ED38))</f>
        <v>0.3</v>
      </c>
      <c r="EE57" s="27" t="n">
        <f aca="false">IF(EE38="","",IF(ISNUMBER(EE45),EE45,EE38))</f>
        <v>2</v>
      </c>
      <c r="EF57" s="27" t="n">
        <f aca="false">IF(EF38="","",IF(ISNUMBER(EF45),EF45,EF38))</f>
        <v>-1</v>
      </c>
      <c r="EG57" s="27" t="n">
        <f aca="false">IF(EG38="","",IF(ISNUMBER(EG45),EG45,EG38))</f>
        <v>-5.7</v>
      </c>
      <c r="EH57" s="27" t="n">
        <f aca="false">IF(EH38="","",IF(ISNUMBER(EH45),EH45,EH38))</f>
        <v>-11</v>
      </c>
      <c r="EI57" s="27" t="n">
        <f aca="false">IF(EI38="","",IF(ISNUMBER(EI45),EI45,EI38))</f>
        <v>-14</v>
      </c>
      <c r="EJ57" s="27" t="n">
        <f aca="false">IF(EJ38="","",IF(ISNUMBER(EJ45),EJ45,EJ38))</f>
        <v>4.5</v>
      </c>
      <c r="EK57" s="27" t="n">
        <f aca="false">IF(EK38="","",IF(ISNUMBER(EK45),EK45,EK38))</f>
        <v>3</v>
      </c>
      <c r="EL57" s="27" t="n">
        <f aca="false">IF(EL38="","",IF(ISNUMBER(EL45),EL45,EL38))</f>
        <v>2</v>
      </c>
      <c r="EM57" s="27" t="n">
        <f aca="false">IF(EM38="","",IF(ISNUMBER(EM45),EM45,EM38))</f>
        <v>3</v>
      </c>
      <c r="EN57" s="27" t="n">
        <f aca="false">IF(EN38="","",IF(ISNUMBER(EN45),EN45,EN38))</f>
        <v>2</v>
      </c>
      <c r="EO57" s="27" t="n">
        <f aca="false">IF(EO38="","",IF(ISNUMBER(EO45),EO45,EO38))</f>
        <v>0</v>
      </c>
      <c r="EP57" s="27" t="n">
        <f aca="false">IF(EP38="","",IF(ISNUMBER(EP45),EP45,EP38))</f>
        <v>-3</v>
      </c>
      <c r="EQ57" s="27" t="n">
        <f aca="false">IF(EQ38="","",IF(ISNUMBER(EQ45),EQ45,EQ38))</f>
        <v>-10</v>
      </c>
      <c r="ER57" s="27" t="n">
        <f aca="false">IF(ER38="","",IF(ISNUMBER(ER45),ER45,ER38))</f>
        <v>-15</v>
      </c>
      <c r="ES57" s="27" t="n">
        <f aca="false">IF(ES38="","",IF(ISNUMBER(ES45),ES45,ES38))</f>
        <v>-15</v>
      </c>
      <c r="ET57" s="27" t="n">
        <f aca="false">IF(ET38="","",IF(ISNUMBER(ET45),ET45,ET38))</f>
        <v>-15</v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74</v>
      </c>
      <c r="B58" s="62" t="s">
        <v>415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1</v>
      </c>
      <c r="BE58" s="27" t="n">
        <f aca="false">IF(ISNUMBER(BE38),1,0)</f>
        <v>1</v>
      </c>
      <c r="BF58" s="27" t="n">
        <f aca="false">IF(ISNUMBER(BF38),1,0)</f>
        <v>1</v>
      </c>
      <c r="BG58" s="27" t="n">
        <f aca="false">IF(ISNUMBER(BG38),1,0)</f>
        <v>1</v>
      </c>
      <c r="BH58" s="27" t="n">
        <f aca="false">IF(ISNUMBER(BH38),1,0)</f>
        <v>1</v>
      </c>
      <c r="BI58" s="27" t="n">
        <f aca="false">IF(ISNUMBER(BI38),1,0)</f>
        <v>1</v>
      </c>
      <c r="BJ58" s="27" t="n">
        <f aca="false">IF(ISNUMBER(BJ38),1,0)</f>
        <v>1</v>
      </c>
      <c r="BK58" s="27" t="n">
        <f aca="false">IF(ISNUMBER(BK38),1,0)</f>
        <v>1</v>
      </c>
      <c r="BL58" s="27" t="n">
        <f aca="false">IF(ISNUMBER(BL38),1,0)</f>
        <v>1</v>
      </c>
      <c r="BM58" s="27" t="n">
        <f aca="false">IF(ISNUMBER(BM38),1,0)</f>
        <v>1</v>
      </c>
      <c r="BN58" s="27" t="n">
        <f aca="false">IF(ISNUMBER(BN38),1,0)</f>
        <v>1</v>
      </c>
      <c r="BO58" s="27" t="n">
        <f aca="false">IF(ISNUMBER(BO38),1,0)</f>
        <v>1</v>
      </c>
      <c r="BP58" s="27" t="n">
        <f aca="false">IF(ISNUMBER(BP38),1,0)</f>
        <v>1</v>
      </c>
      <c r="BQ58" s="27" t="n">
        <f aca="false">IF(ISNUMBER(BQ38),1,0)</f>
        <v>1</v>
      </c>
      <c r="BR58" s="27" t="n">
        <f aca="false">IF(ISNUMBER(BR38),1,0)</f>
        <v>1</v>
      </c>
      <c r="BS58" s="27" t="n">
        <f aca="false">IF(ISNUMBER(BS38),1,0)</f>
        <v>1</v>
      </c>
      <c r="BT58" s="27" t="n">
        <f aca="false">IF(ISNUMBER(BT38),1,0)</f>
        <v>1</v>
      </c>
      <c r="BU58" s="27" t="n">
        <f aca="false">IF(ISNUMBER(BU38),1,0)</f>
        <v>1</v>
      </c>
      <c r="BV58" s="27" t="n">
        <f aca="false">IF(ISNUMBER(BV38),1,0)</f>
        <v>1</v>
      </c>
      <c r="BW58" s="27" t="n">
        <f aca="false">IF(ISNUMBER(BW38),1,0)</f>
        <v>1</v>
      </c>
      <c r="BX58" s="27" t="n">
        <f aca="false">IF(ISNUMBER(BX38),1,0)</f>
        <v>1</v>
      </c>
      <c r="BY58" s="27" t="n">
        <f aca="false">IF(ISNUMBER(BY38),1,0)</f>
        <v>1</v>
      </c>
      <c r="BZ58" s="27" t="n">
        <f aca="false">IF(ISNUMBER(BZ38),1,0)</f>
        <v>1</v>
      </c>
      <c r="CA58" s="27" t="n">
        <f aca="false">IF(ISNUMBER(CA38),1,0)</f>
        <v>0</v>
      </c>
      <c r="CB58" s="27" t="n">
        <f aca="false">IF(ISNUMBER(CB38),1,0)</f>
        <v>1</v>
      </c>
      <c r="CC58" s="27" t="n">
        <f aca="false">IF(ISNUMBER(CC38),1,0)</f>
        <v>1</v>
      </c>
      <c r="CD58" s="27" t="n">
        <f aca="false">IF(ISNUMBER(CD38),1,0)</f>
        <v>1</v>
      </c>
      <c r="CE58" s="27" t="n">
        <f aca="false">IF(ISNUMBER(CE38),1,0)</f>
        <v>1</v>
      </c>
      <c r="CF58" s="27" t="n">
        <f aca="false">IF(ISNUMBER(CF38),1,0)</f>
        <v>1</v>
      </c>
      <c r="CG58" s="27" t="n">
        <f aca="false">IF(ISNUMBER(CG38),1,0)</f>
        <v>1</v>
      </c>
      <c r="CH58" s="27" t="n">
        <f aca="false">IF(ISNUMBER(CH38),1,0)</f>
        <v>1</v>
      </c>
      <c r="CI58" s="27" t="n">
        <f aca="false">IF(ISNUMBER(CI38),1,0)</f>
        <v>1</v>
      </c>
      <c r="CJ58" s="27" t="n">
        <f aca="false">IF(ISNUMBER(CJ38),1,0)</f>
        <v>1</v>
      </c>
      <c r="CK58" s="27" t="n">
        <f aca="false">IF(ISNUMBER(CK38),1,0)</f>
        <v>1</v>
      </c>
      <c r="CL58" s="27" t="n">
        <f aca="false">IF(ISNUMBER(CL38),1,0)</f>
        <v>1</v>
      </c>
      <c r="CM58" s="27" t="n">
        <f aca="false">IF(ISNUMBER(CM38),1,0)</f>
        <v>1</v>
      </c>
      <c r="CN58" s="27" t="n">
        <f aca="false">IF(ISNUMBER(CN38),1,0)</f>
        <v>1</v>
      </c>
      <c r="CO58" s="27" t="n">
        <f aca="false">IF(ISNUMBER(CO38),1,0)</f>
        <v>1</v>
      </c>
      <c r="CP58" s="27" t="n">
        <f aca="false">IF(ISNUMBER(CP38),1,0)</f>
        <v>1</v>
      </c>
      <c r="CQ58" s="27" t="n">
        <f aca="false">IF(ISNUMBER(CQ38),1,0)</f>
        <v>1</v>
      </c>
      <c r="CR58" s="27" t="n">
        <f aca="false">IF(ISNUMBER(CR38),1,0)</f>
        <v>1</v>
      </c>
      <c r="CS58" s="27" t="n">
        <f aca="false">IF(ISNUMBER(CS38),1,0)</f>
        <v>1</v>
      </c>
      <c r="CT58" s="27" t="n">
        <f aca="false">IF(ISNUMBER(CT38),1,0)</f>
        <v>1</v>
      </c>
      <c r="CU58" s="27" t="n">
        <f aca="false">IF(ISNUMBER(CU38),1,0)</f>
        <v>1</v>
      </c>
      <c r="CV58" s="27" t="n">
        <f aca="false">IF(ISNUMBER(CV38),1,0)</f>
        <v>1</v>
      </c>
      <c r="CW58" s="27" t="n">
        <f aca="false">IF(ISNUMBER(CW38),1,0)</f>
        <v>1</v>
      </c>
      <c r="CX58" s="27" t="n">
        <f aca="false">IF(ISNUMBER(CX38),1,0)</f>
        <v>1</v>
      </c>
      <c r="CY58" s="27" t="n">
        <f aca="false">IF(ISNUMBER(CY38),1,0)</f>
        <v>1</v>
      </c>
      <c r="CZ58" s="27" t="n">
        <f aca="false">IF(ISNUMBER(CZ38),1,0)</f>
        <v>1</v>
      </c>
      <c r="DA58" s="27" t="n">
        <f aca="false">IF(ISNUMBER(DA38),1,0)</f>
        <v>1</v>
      </c>
      <c r="DB58" s="27" t="n">
        <f aca="false">IF(ISNUMBER(DB38),1,0)</f>
        <v>1</v>
      </c>
      <c r="DC58" s="27" t="n">
        <f aca="false">IF(ISNUMBER(DC38),1,0)</f>
        <v>1</v>
      </c>
      <c r="DD58" s="27" t="n">
        <f aca="false">IF(ISNUMBER(DD38),1,0)</f>
        <v>1</v>
      </c>
      <c r="DE58" s="27" t="n">
        <f aca="false">IF(ISNUMBER(DE38),1,0)</f>
        <v>1</v>
      </c>
      <c r="DF58" s="27" t="n">
        <f aca="false">IF(ISNUMBER(DF38),1,0)</f>
        <v>1</v>
      </c>
      <c r="DG58" s="27" t="n">
        <f aca="false">IF(ISNUMBER(DG38),1,0)</f>
        <v>1</v>
      </c>
      <c r="DH58" s="27" t="n">
        <f aca="false">IF(ISNUMBER(DH38),1,0)</f>
        <v>1</v>
      </c>
      <c r="DI58" s="27" t="n">
        <f aca="false">IF(ISNUMBER(DI38),1,0)</f>
        <v>1</v>
      </c>
      <c r="DJ58" s="27" t="n">
        <f aca="false">IF(ISNUMBER(DJ38),1,0)</f>
        <v>1</v>
      </c>
      <c r="DK58" s="27" t="n">
        <f aca="false">IF(ISNUMBER(DK38),1,0)</f>
        <v>1</v>
      </c>
      <c r="DL58" s="27" t="n">
        <f aca="false">IF(ISNUMBER(DL38),1,0)</f>
        <v>0</v>
      </c>
      <c r="DM58" s="27" t="n">
        <f aca="false">IF(ISNUMBER(DM38),1,0)</f>
        <v>1</v>
      </c>
      <c r="DN58" s="27" t="n">
        <f aca="false">IF(ISNUMBER(DN38),1,0)</f>
        <v>1</v>
      </c>
      <c r="DO58" s="27" t="n">
        <f aca="false">IF(ISNUMBER(DO38),1,0)</f>
        <v>1</v>
      </c>
      <c r="DP58" s="27" t="n">
        <f aca="false">IF(ISNUMBER(DP38),1,0)</f>
        <v>1</v>
      </c>
      <c r="DQ58" s="27" t="n">
        <f aca="false">IF(ISNUMBER(DQ38),1,0)</f>
        <v>1</v>
      </c>
      <c r="DR58" s="27" t="n">
        <f aca="false">IF(ISNUMBER(DR38),1,0)</f>
        <v>1</v>
      </c>
      <c r="DS58" s="27" t="n">
        <f aca="false">IF(ISNUMBER(DS38),1,0)</f>
        <v>1</v>
      </c>
      <c r="DT58" s="27" t="n">
        <f aca="false">IF(ISNUMBER(DT38),1,0)</f>
        <v>1</v>
      </c>
      <c r="DU58" s="27" t="n">
        <f aca="false">IF(ISNUMBER(DU38),1,0)</f>
        <v>1</v>
      </c>
      <c r="DV58" s="27" t="n">
        <f aca="false">IF(ISNUMBER(DV38),1,0)</f>
        <v>1</v>
      </c>
      <c r="DW58" s="27" t="n">
        <f aca="false">IF(ISNUMBER(DW38),1,0)</f>
        <v>1</v>
      </c>
      <c r="DX58" s="27" t="n">
        <f aca="false">IF(ISNUMBER(DX38),1,0)</f>
        <v>1</v>
      </c>
      <c r="DY58" s="27" t="n">
        <f aca="false">IF(ISNUMBER(DY38),1,0)</f>
        <v>1</v>
      </c>
      <c r="DZ58" s="27" t="n">
        <f aca="false">IF(ISNUMBER(DZ38),1,0)</f>
        <v>1</v>
      </c>
      <c r="EA58" s="27" t="n">
        <f aca="false">IF(ISNUMBER(EA38),1,0)</f>
        <v>1</v>
      </c>
      <c r="EB58" s="27" t="n">
        <f aca="false">IF(ISNUMBER(EB38),1,0)</f>
        <v>1</v>
      </c>
      <c r="EC58" s="27" t="n">
        <f aca="false">IF(ISNUMBER(EC38),1,0)</f>
        <v>1</v>
      </c>
      <c r="ED58" s="27" t="n">
        <f aca="false">IF(ISNUMBER(ED38),1,0)</f>
        <v>1</v>
      </c>
      <c r="EE58" s="27" t="n">
        <f aca="false">IF(ISNUMBER(EE38),1,0)</f>
        <v>1</v>
      </c>
      <c r="EF58" s="27" t="n">
        <f aca="false">IF(ISNUMBER(EF38),1,0)</f>
        <v>1</v>
      </c>
      <c r="EG58" s="27" t="n">
        <f aca="false">IF(ISNUMBER(EG38),1,0)</f>
        <v>1</v>
      </c>
      <c r="EH58" s="27" t="n">
        <f aca="false">IF(ISNUMBER(EH38),1,0)</f>
        <v>1</v>
      </c>
      <c r="EI58" s="27" t="n">
        <f aca="false">IF(ISNUMBER(EI38),1,0)</f>
        <v>1</v>
      </c>
      <c r="EJ58" s="27" t="n">
        <f aca="false">IF(ISNUMBER(EJ38),1,0)</f>
        <v>1</v>
      </c>
      <c r="EK58" s="27" t="n">
        <f aca="false">IF(ISNUMBER(EK38),1,0)</f>
        <v>1</v>
      </c>
      <c r="EL58" s="27" t="n">
        <f aca="false">IF(ISNUMBER(EL38),1,0)</f>
        <v>1</v>
      </c>
      <c r="EM58" s="27" t="n">
        <f aca="false">IF(ISNUMBER(EM38),1,0)</f>
        <v>1</v>
      </c>
      <c r="EN58" s="27" t="n">
        <f aca="false">IF(ISNUMBER(EN38),1,0)</f>
        <v>1</v>
      </c>
      <c r="EO58" s="27" t="n">
        <f aca="false">IF(ISNUMBER(EO38),1,0)</f>
        <v>1</v>
      </c>
      <c r="EP58" s="27" t="n">
        <f aca="false">IF(ISNUMBER(EP38),1,0)</f>
        <v>1</v>
      </c>
      <c r="EQ58" s="27" t="n">
        <f aca="false">IF(ISNUMBER(EQ38),1,0)</f>
        <v>1</v>
      </c>
      <c r="ER58" s="27" t="n">
        <f aca="false">IF(ISNUMBER(ER38),1,0)</f>
        <v>1</v>
      </c>
      <c r="ES58" s="27" t="n">
        <f aca="false">IF(ISNUMBER(ES38),1,0)</f>
        <v>1</v>
      </c>
      <c r="ET58" s="27" t="n">
        <f aca="false">IF(ISNUMBER(ET38),1,0)</f>
        <v>1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8" t="s">
        <v>317</v>
      </c>
      <c r="B60" s="17" t="s">
        <v>417</v>
      </c>
    </row>
    <row r="61" customFormat="false" ht="15" hidden="false" customHeight="false" outlineLevel="0" collapsed="false">
      <c r="A61" s="31" t="s">
        <v>317</v>
      </c>
      <c r="B61" s="31" t="s">
        <v>418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6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12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16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15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317</v>
      </c>
      <c r="B62" s="31" t="s">
        <v>419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8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14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18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17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317</v>
      </c>
      <c r="B63" s="31" t="s">
        <v>420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7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13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15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16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317</v>
      </c>
      <c r="B64" s="31" t="s">
        <v>421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9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15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17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14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317</v>
      </c>
      <c r="B65" s="31" t="s">
        <v>422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7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12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19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18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317</v>
      </c>
      <c r="B66" s="17" t="s">
        <v>423</v>
      </c>
      <c r="D66" s="49" t="str">
        <f aca="false">IF(COUNT(D61:D65)=5,ROUND((LARGE(D61:D65,2)+LARGE(D61:D65,3)+LARGE(D61:D65,4))/3,1),"")</f>
        <v/>
      </c>
      <c r="E66" s="49" t="str">
        <f aca="false">IF(COUNT(E61:E65)=5,ROUND((LARGE(E61:E65,2)+LARGE(E61:E65,3)+LARGE(E61:E65,4))/3,1),"")</f>
        <v/>
      </c>
      <c r="F66" s="49" t="str">
        <f aca="false">IF(COUNT(F61:F65)=5,ROUND((LARGE(F61:F65,2)+LARGE(F61:F65,3)+LARGE(F61:F65,4))/3,1),"")</f>
        <v/>
      </c>
      <c r="G66" s="49" t="str">
        <f aca="false">IF(COUNT(G61:G65)=5,ROUND((LARGE(G61:G65,2)+LARGE(G61:G65,3)+LARGE(G61:G65,4))/3,1),"")</f>
        <v/>
      </c>
      <c r="H66" s="49" t="str">
        <f aca="false">IF(COUNT(H61:H65)=5,ROUND((LARGE(H61:H65,2)+LARGE(H61:H65,3)+LARGE(H61:H65,4))/3,1),"")</f>
        <v/>
      </c>
      <c r="I66" s="49" t="str">
        <f aca="false">IF(COUNT(I61:I65)=5,ROUND((LARGE(I61:I65,2)+LARGE(I61:I65,3)+LARGE(I61:I65,4))/3,1),"")</f>
        <v/>
      </c>
      <c r="J66" s="49" t="str">
        <f aca="false">IF(COUNT(J61:J65)=5,ROUND((LARGE(J61:J65,2)+LARGE(J61:J65,3)+LARGE(J61:J65,4))/3,1),"")</f>
        <v/>
      </c>
      <c r="K66" s="49" t="str">
        <f aca="false">IF(COUNT(K61:K65)=5,ROUND((LARGE(K61:K65,2)+LARGE(K61:K65,3)+LARGE(K61:K65,4))/3,1),"")</f>
        <v/>
      </c>
      <c r="L66" s="49" t="str">
        <f aca="false">IF(COUNT(L61:L65)=5,ROUND((LARGE(L61:L65,2)+LARGE(L61:L65,3)+LARGE(L61:L65,4))/3,1),"")</f>
        <v/>
      </c>
      <c r="M66" s="49" t="str">
        <f aca="false">IF(COUNT(M61:M65)=5,ROUND((LARGE(M61:M65,2)+LARGE(M61:M65,3)+LARGE(M61:M65,4))/3,1),"")</f>
        <v/>
      </c>
      <c r="N66" s="49" t="str">
        <f aca="false">IF(COUNT(N61:N65)=5,ROUND((LARGE(N61:N65,2)+LARGE(N61:N65,3)+LARGE(N61:N65,4))/3,1),"")</f>
        <v/>
      </c>
      <c r="O66" s="49" t="str">
        <f aca="false">IF(COUNT(O61:O65)=5,ROUND((LARGE(O61:O65,2)+LARGE(O61:O65,3)+LARGE(O61:O65,4))/3,1),"")</f>
        <v/>
      </c>
      <c r="P66" s="49" t="str">
        <f aca="false">IF(COUNT(P61:P65)=5,ROUND((LARGE(P61:P65,2)+LARGE(P61:P65,3)+LARGE(P61:P65,4))/3,1),"")</f>
        <v/>
      </c>
      <c r="Q66" s="49" t="str">
        <f aca="false">IF(COUNT(Q61:Q65)=5,ROUND((LARGE(Q61:Q65,2)+LARGE(Q61:Q65,3)+LARGE(Q61:Q65,4))/3,1),"")</f>
        <v/>
      </c>
      <c r="R66" s="49" t="str">
        <f aca="false">IF(COUNT(R61:R65)=5,ROUND((LARGE(R61:R65,2)+LARGE(R61:R65,3)+LARGE(R61:R65,4))/3,1),"")</f>
        <v/>
      </c>
      <c r="S66" s="49" t="str">
        <f aca="false">IF(COUNT(S61:S65)=5,ROUND((LARGE(S61:S65,2)+LARGE(S61:S65,3)+LARGE(S61:S65,4))/3,1),"")</f>
        <v/>
      </c>
      <c r="T66" s="49" t="str">
        <f aca="false">IF(COUNT(T61:T65)=5,ROUND((LARGE(T61:T65,2)+LARGE(T61:T65,3)+LARGE(T61:T65,4))/3,1),"")</f>
        <v/>
      </c>
      <c r="U66" s="49" t="str">
        <f aca="false">IF(COUNT(U61:U65)=5,ROUND((LARGE(U61:U65,2)+LARGE(U61:U65,3)+LARGE(U61:U65,4))/3,1),"")</f>
        <v/>
      </c>
      <c r="V66" s="49" t="str">
        <f aca="false">IF(COUNT(V61:V65)=5,ROUND((LARGE(V61:V65,2)+LARGE(V61:V65,3)+LARGE(V61:V65,4))/3,1),"")</f>
        <v/>
      </c>
      <c r="W66" s="49" t="str">
        <f aca="false">IF(COUNT(W61:W65)=5,ROUND((LARGE(W61:W65,2)+LARGE(W61:W65,3)+LARGE(W61:W65,4))/3,1),"")</f>
        <v/>
      </c>
      <c r="X66" s="49" t="str">
        <f aca="false">IF(COUNT(X61:X65)=5,ROUND((LARGE(X61:X65,2)+LARGE(X61:X65,3)+LARGE(X61:X65,4))/3,1),"")</f>
        <v/>
      </c>
      <c r="Y66" s="49" t="str">
        <f aca="false">IF(COUNT(Y61:Y65)=5,ROUND((LARGE(Y61:Y65,2)+LARGE(Y61:Y65,3)+LARGE(Y61:Y65,4))/3,1),"")</f>
        <v/>
      </c>
      <c r="Z66" s="49" t="str">
        <f aca="false">IF(COUNT(Z61:Z65)=5,ROUND((LARGE(Z61:Z65,2)+LARGE(Z61:Z65,3)+LARGE(Z61:Z65,4))/3,1),"")</f>
        <v/>
      </c>
      <c r="AA66" s="49" t="str">
        <f aca="false">IF(COUNT(AA61:AA65)=5,ROUND((LARGE(AA61:AA65,2)+LARGE(AA61:AA65,3)+LARGE(AA61:AA65,4))/3,1),"")</f>
        <v/>
      </c>
      <c r="AB66" s="49" t="str">
        <f aca="false">IF(COUNT(AB61:AB65)=5,ROUND((LARGE(AB61:AB65,2)+LARGE(AB61:AB65,3)+LARGE(AB61:AB65,4))/3,1),"")</f>
        <v/>
      </c>
      <c r="AC66" s="49" t="str">
        <f aca="false">IF(COUNT(AC61:AC65)=5,ROUND((LARGE(AC61:AC65,2)+LARGE(AC61:AC65,3)+LARGE(AC61:AC65,4))/3,1),"")</f>
        <v/>
      </c>
      <c r="AD66" s="49" t="str">
        <f aca="false">IF(COUNT(AD61:AD65)=5,ROUND((LARGE(AD61:AD65,2)+LARGE(AD61:AD65,3)+LARGE(AD61:AD65,4))/3,1),"")</f>
        <v/>
      </c>
      <c r="AE66" s="49" t="str">
        <f aca="false">IF(COUNT(AE61:AE65)=5,ROUND((LARGE(AE61:AE65,2)+LARGE(AE61:AE65,3)+LARGE(AE61:AE65,4))/3,1),"")</f>
        <v/>
      </c>
      <c r="AF66" s="49" t="str">
        <f aca="false">IF(COUNT(AF61:AF65)=5,ROUND((LARGE(AF61:AF65,2)+LARGE(AF61:AF65,3)+LARGE(AF61:AF65,4))/3,1),"")</f>
        <v/>
      </c>
      <c r="AG66" s="49" t="str">
        <f aca="false">IF(COUNT(AG61:AG65)=5,ROUND((LARGE(AG61:AG65,2)+LARGE(AG61:AG65,3)+LARGE(AG61:AG65,4))/3,1),"")</f>
        <v/>
      </c>
      <c r="AH66" s="49" t="str">
        <f aca="false">IF(COUNT(AH61:AH65)=5,ROUND((LARGE(AH61:AH65,2)+LARGE(AH61:AH65,3)+LARGE(AH61:AH65,4))/3,1),"")</f>
        <v/>
      </c>
      <c r="AI66" s="49" t="str">
        <f aca="false">IF(COUNT(AI61:AI65)=5,ROUND((LARGE(AI61:AI65,2)+LARGE(AI61:AI65,3)+LARGE(AI61:AI65,4))/3,1),"")</f>
        <v/>
      </c>
      <c r="AJ66" s="49" t="str">
        <f aca="false">IF(COUNT(AJ61:AJ65)=5,ROUND((LARGE(AJ61:AJ65,2)+LARGE(AJ61:AJ65,3)+LARGE(AJ61:AJ65,4))/3,1),"")</f>
        <v/>
      </c>
      <c r="AK66" s="49" t="str">
        <f aca="false">IF(COUNT(AK61:AK65)=5,ROUND((LARGE(AK61:AK65,2)+LARGE(AK61:AK65,3)+LARGE(AK61:AK65,4))/3,1),"")</f>
        <v/>
      </c>
      <c r="AL66" s="49" t="str">
        <f aca="false">IF(COUNT(AL61:AL65)=5,ROUND((LARGE(AL61:AL65,2)+LARGE(AL61:AL65,3)+LARGE(AL61:AL65,4))/3,1),"")</f>
        <v/>
      </c>
      <c r="AM66" s="49" t="str">
        <f aca="false">IF(COUNT(AM61:AM65)=5,ROUND((LARGE(AM61:AM65,2)+LARGE(AM61:AM65,3)+LARGE(AM61:AM65,4))/3,1),"")</f>
        <v/>
      </c>
      <c r="AN66" s="49" t="str">
        <f aca="false">IF(COUNT(AN61:AN65)=5,ROUND((LARGE(AN61:AN65,2)+LARGE(AN61:AN65,3)+LARGE(AN61:AN65,4))/3,1),"")</f>
        <v/>
      </c>
      <c r="AO66" s="49" t="str">
        <f aca="false">IF(COUNT(AO61:AO65)=5,ROUND((LARGE(AO61:AO65,2)+LARGE(AO61:AO65,3)+LARGE(AO61:AO65,4))/3,1),"")</f>
        <v/>
      </c>
      <c r="AP66" s="49" t="str">
        <f aca="false">IF(COUNT(AP61:AP65)=5,ROUND((LARGE(AP61:AP65,2)+LARGE(AP61:AP65,3)+LARGE(AP61:AP65,4))/3,1),"")</f>
        <v/>
      </c>
      <c r="AQ66" s="49" t="str">
        <f aca="false">IF(COUNT(AQ61:AQ65)=5,ROUND((LARGE(AQ61:AQ65,2)+LARGE(AQ61:AQ65,3)+LARGE(AQ61:AQ65,4))/3,1),"")</f>
        <v/>
      </c>
      <c r="AR66" s="49" t="str">
        <f aca="false">IF(COUNT(AR61:AR65)=5,ROUND((LARGE(AR61:AR65,2)+LARGE(AR61:AR65,3)+LARGE(AR61:AR65,4))/3,1),"")</f>
        <v/>
      </c>
      <c r="AS66" s="49" t="str">
        <f aca="false">IF(COUNT(AS61:AS65)=5,ROUND((LARGE(AS61:AS65,2)+LARGE(AS61:AS65,3)+LARGE(AS61:AS65,4))/3,1),"")</f>
        <v/>
      </c>
      <c r="AT66" s="49" t="str">
        <f aca="false">IF(COUNT(AT61:AT65)=5,ROUND((LARGE(AT61:AT65,2)+LARGE(AT61:AT65,3)+LARGE(AT61:AT65,4))/3,1),"")</f>
        <v/>
      </c>
      <c r="AU66" s="49" t="str">
        <f aca="false">IF(COUNT(AU61:AU65)=5,ROUND((LARGE(AU61:AU65,2)+LARGE(AU61:AU65,3)+LARGE(AU61:AU65,4))/3,1),"")</f>
        <v/>
      </c>
      <c r="AV66" s="49" t="str">
        <f aca="false">IF(COUNT(AV61:AV65)=5,ROUND((LARGE(AV61:AV65,2)+LARGE(AV61:AV65,3)+LARGE(AV61:AV65,4))/3,1),"")</f>
        <v/>
      </c>
      <c r="AW66" s="49" t="str">
        <f aca="false">IF(COUNT(AW61:AW65)=5,ROUND((LARGE(AW61:AW65,2)+LARGE(AW61:AW65,3)+LARGE(AW61:AW65,4))/3,1),"")</f>
        <v/>
      </c>
      <c r="AX66" s="49" t="str">
        <f aca="false">IF(COUNT(AX61:AX65)=5,ROUND((LARGE(AX61:AX65,2)+LARGE(AX61:AX65,3)+LARGE(AX61:AX65,4))/3,1),"")</f>
        <v/>
      </c>
      <c r="AY66" s="49" t="str">
        <f aca="false">IF(COUNT(AY61:AY65)=5,ROUND((LARGE(AY61:AY65,2)+LARGE(AY61:AY65,3)+LARGE(AY61:AY65,4))/3,1),"")</f>
        <v/>
      </c>
      <c r="AZ66" s="49" t="str">
        <f aca="false">IF(COUNT(AZ61:AZ65)=5,ROUND((LARGE(AZ61:AZ65,2)+LARGE(AZ61:AZ65,3)+LARGE(AZ61:AZ65,4))/3,1),"")</f>
        <v/>
      </c>
      <c r="BA66" s="49" t="str">
        <f aca="false">IF(COUNT(BA61:BA65)=5,ROUND((LARGE(BA61:BA65,2)+LARGE(BA61:BA65,3)+LARGE(BA61:BA65,4))/3,1),"")</f>
        <v/>
      </c>
      <c r="BB66" s="49" t="str">
        <f aca="false">IF(COUNT(BB61:BB65)=5,ROUND((LARGE(BB61:BB65,2)+LARGE(BB61:BB65,3)+LARGE(BB61:BB65,4))/3,1),"")</f>
        <v/>
      </c>
      <c r="BC66" s="49" t="str">
        <f aca="false">IF(COUNT(BC61:BC65)=5,ROUND((LARGE(BC61:BC65,2)+LARGE(BC61:BC65,3)+LARGE(BC61:BC65,4))/3,1),"")</f>
        <v/>
      </c>
      <c r="BD66" s="49" t="str">
        <f aca="false">IF(COUNT(BD61:BD65)=5,ROUND((LARGE(BD61:BD65,2)+LARGE(BD61:BD65,3)+LARGE(BD61:BD65,4))/3,1),"")</f>
        <v/>
      </c>
      <c r="BE66" s="49" t="str">
        <f aca="false">IF(COUNT(BE61:BE65)=5,ROUND((LARGE(BE61:BE65,2)+LARGE(BE61:BE65,3)+LARGE(BE61:BE65,4))/3,1),"")</f>
        <v/>
      </c>
      <c r="BF66" s="49" t="str">
        <f aca="false">IF(COUNT(BF61:BF65)=5,ROUND((LARGE(BF61:BF65,2)+LARGE(BF61:BF65,3)+LARGE(BF61:BF65,4))/3,1),"")</f>
        <v/>
      </c>
      <c r="BG66" s="49" t="str">
        <f aca="false">IF(COUNT(BG61:BG65)=5,ROUND((LARGE(BG61:BG65,2)+LARGE(BG61:BG65,3)+LARGE(BG61:BG65,4))/3,1),"")</f>
        <v/>
      </c>
      <c r="BH66" s="49" t="str">
        <f aca="false">IF(COUNT(BH61:BH65)=5,ROUND((LARGE(BH61:BH65,2)+LARGE(BH61:BH65,3)+LARGE(BH61:BH65,4))/3,1),"")</f>
        <v/>
      </c>
      <c r="BI66" s="49" t="str">
        <f aca="false">IF(COUNT(BI61:BI65)=5,ROUND((LARGE(BI61:BI65,2)+LARGE(BI61:BI65,3)+LARGE(BI61:BI65,4))/3,1),"")</f>
        <v/>
      </c>
      <c r="BJ66" s="49" t="str">
        <f aca="false">IF(COUNT(BJ61:BJ65)=5,ROUND((LARGE(BJ61:BJ65,2)+LARGE(BJ61:BJ65,3)+LARGE(BJ61:BJ65,4))/3,1),"")</f>
        <v/>
      </c>
      <c r="BK66" s="49" t="str">
        <f aca="false">IF(COUNT(BK61:BK65)=5,ROUND((LARGE(BK61:BK65,2)+LARGE(BK61:BK65,3)+LARGE(BK61:BK65,4))/3,1),"")</f>
        <v/>
      </c>
      <c r="BL66" s="49" t="str">
        <f aca="false">IF(COUNT(BL61:BL65)=5,ROUND((LARGE(BL61:BL65,2)+LARGE(BL61:BL65,3)+LARGE(BL61:BL65,4))/3,1),"")</f>
        <v/>
      </c>
      <c r="BM66" s="49" t="str">
        <f aca="false">IF(COUNT(BM61:BM65)=5,ROUND((LARGE(BM61:BM65,2)+LARGE(BM61:BM65,3)+LARGE(BM61:BM65,4))/3,1),"")</f>
        <v/>
      </c>
      <c r="BN66" s="49" t="str">
        <f aca="false">IF(COUNT(BN61:BN65)=5,ROUND((LARGE(BN61:BN65,2)+LARGE(BN61:BN65,3)+LARGE(BN61:BN65,4))/3,1),"")</f>
        <v/>
      </c>
      <c r="BO66" s="49" t="str">
        <f aca="false">IF(COUNT(BO61:BO65)=5,ROUND((LARGE(BO61:BO65,2)+LARGE(BO61:BO65,3)+LARGE(BO61:BO65,4))/3,1),"")</f>
        <v/>
      </c>
      <c r="BP66" s="49" t="str">
        <f aca="false">IF(COUNT(BP61:BP65)=5,ROUND((LARGE(BP61:BP65,2)+LARGE(BP61:BP65,3)+LARGE(BP61:BP65,4))/3,1),"")</f>
        <v/>
      </c>
      <c r="BQ66" s="49" t="str">
        <f aca="false">IF(COUNT(BQ61:BQ65)=5,ROUND((LARGE(BQ61:BQ65,2)+LARGE(BQ61:BQ65,3)+LARGE(BQ61:BQ65,4))/3,1),"")</f>
        <v/>
      </c>
      <c r="BR66" s="49" t="str">
        <f aca="false">IF(COUNT(BR61:BR65)=5,ROUND((LARGE(BR61:BR65,2)+LARGE(BR61:BR65,3)+LARGE(BR61:BR65,4))/3,1),"")</f>
        <v/>
      </c>
      <c r="BS66" s="49" t="str">
        <f aca="false">IF(COUNT(BS61:BS65)=5,ROUND((LARGE(BS61:BS65,2)+LARGE(BS61:BS65,3)+LARGE(BS61:BS65,4))/3,1),"")</f>
        <v/>
      </c>
      <c r="BT66" s="49" t="str">
        <f aca="false">IF(COUNT(BT61:BT65)=5,ROUND((LARGE(BT61:BT65,2)+LARGE(BT61:BT65,3)+LARGE(BT61:BT65,4))/3,1),"")</f>
        <v/>
      </c>
      <c r="BU66" s="49" t="str">
        <f aca="false">IF(COUNT(BU61:BU65)=5,ROUND((LARGE(BU61:BU65,2)+LARGE(BU61:BU65,3)+LARGE(BU61:BU65,4))/3,1),"")</f>
        <v/>
      </c>
      <c r="BV66" s="49" t="str">
        <f aca="false">IF(COUNT(BV61:BV65)=5,ROUND((LARGE(BV61:BV65,2)+LARGE(BV61:BV65,3)+LARGE(BV61:BV65,4))/3,1),"")</f>
        <v/>
      </c>
      <c r="BW66" s="49" t="str">
        <f aca="false">IF(COUNT(BW61:BW65)=5,ROUND((LARGE(BW61:BW65,2)+LARGE(BW61:BW65,3)+LARGE(BW61:BW65,4))/3,1),"")</f>
        <v/>
      </c>
      <c r="BX66" s="49" t="str">
        <f aca="false">IF(COUNT(BX61:BX65)=5,ROUND((LARGE(BX61:BX65,2)+LARGE(BX61:BX65,3)+LARGE(BX61:BX65,4))/3,1),"")</f>
        <v/>
      </c>
      <c r="BY66" s="49" t="n">
        <f aca="false">IF(COUNT(BY61:BY65)=5,ROUND((LARGE(BY61:BY65,2)+LARGE(BY61:BY65,3)+LARGE(BY61:BY65,4))/3,1),"")</f>
        <v>7.3</v>
      </c>
      <c r="BZ66" s="49" t="str">
        <f aca="false">IF(COUNT(BZ61:BZ65)=5,ROUND((LARGE(BZ61:BZ65,2)+LARGE(BZ61:BZ65,3)+LARGE(BZ61:BZ65,4))/3,1),"")</f>
        <v/>
      </c>
      <c r="CA66" s="49" t="str">
        <f aca="false">IF(COUNT(CA61:CA65)=5,ROUND((LARGE(CA61:CA65,2)+LARGE(CA61:CA65,3)+LARGE(CA61:CA65,4))/3,1),"")</f>
        <v/>
      </c>
      <c r="CB66" s="49" t="str">
        <f aca="false">IF(COUNT(CB61:CB65)=5,ROUND((LARGE(CB61:CB65,2)+LARGE(CB61:CB65,3)+LARGE(CB61:CB65,4))/3,1),"")</f>
        <v/>
      </c>
      <c r="CC66" s="49" t="str">
        <f aca="false">IF(COUNT(CC61:CC65)=5,ROUND((LARGE(CC61:CC65,2)+LARGE(CC61:CC65,3)+LARGE(CC61:CC65,4))/3,1),"")</f>
        <v/>
      </c>
      <c r="CD66" s="49" t="str">
        <f aca="false">IF(COUNT(CD61:CD65)=5,ROUND((LARGE(CD61:CD65,2)+LARGE(CD61:CD65,3)+LARGE(CD61:CD65,4))/3,1),"")</f>
        <v/>
      </c>
      <c r="CE66" s="49" t="str">
        <f aca="false">IF(COUNT(CE61:CE65)=5,ROUND((LARGE(CE61:CE65,2)+LARGE(CE61:CE65,3)+LARGE(CE61:CE65,4))/3,1),"")</f>
        <v/>
      </c>
      <c r="CF66" s="49" t="str">
        <f aca="false">IF(COUNT(CF61:CF65)=5,ROUND((LARGE(CF61:CF65,2)+LARGE(CF61:CF65,3)+LARGE(CF61:CF65,4))/3,1),"")</f>
        <v/>
      </c>
      <c r="CG66" s="49" t="str">
        <f aca="false">IF(COUNT(CG61:CG65)=5,ROUND((LARGE(CG61:CG65,2)+LARGE(CG61:CG65,3)+LARGE(CG61:CG65,4))/3,1),"")</f>
        <v/>
      </c>
      <c r="CH66" s="49" t="str">
        <f aca="false">IF(COUNT(CH61:CH65)=5,ROUND((LARGE(CH61:CH65,2)+LARGE(CH61:CH65,3)+LARGE(CH61:CH65,4))/3,1),"")</f>
        <v/>
      </c>
      <c r="CI66" s="49" t="str">
        <f aca="false">IF(COUNT(CI61:CI65)=5,ROUND((LARGE(CI61:CI65,2)+LARGE(CI61:CI65,3)+LARGE(CI61:CI65,4))/3,1),"")</f>
        <v/>
      </c>
      <c r="CJ66" s="49" t="str">
        <f aca="false">IF(COUNT(CJ61:CJ65)=5,ROUND((LARGE(CJ61:CJ65,2)+LARGE(CJ61:CJ65,3)+LARGE(CJ61:CJ65,4))/3,1),"")</f>
        <v/>
      </c>
      <c r="CK66" s="49" t="str">
        <f aca="false">IF(COUNT(CK61:CK65)=5,ROUND((LARGE(CK61:CK65,2)+LARGE(CK61:CK65,3)+LARGE(CK61:CK65,4))/3,1),"")</f>
        <v/>
      </c>
      <c r="CL66" s="49" t="str">
        <f aca="false">IF(COUNT(CL61:CL65)=5,ROUND((LARGE(CL61:CL65,2)+LARGE(CL61:CL65,3)+LARGE(CL61:CL65,4))/3,1),"")</f>
        <v/>
      </c>
      <c r="CM66" s="49" t="str">
        <f aca="false">IF(COUNT(CM61:CM65)=5,ROUND((LARGE(CM61:CM65,2)+LARGE(CM61:CM65,3)+LARGE(CM61:CM65,4))/3,1),"")</f>
        <v/>
      </c>
      <c r="CN66" s="49" t="n">
        <f aca="false">IF(COUNT(CN61:CN65)=5,ROUND((LARGE(CN61:CN65,2)+LARGE(CN61:CN65,3)+LARGE(CN61:CN65,4))/3,1),"")</f>
        <v>13</v>
      </c>
      <c r="CO66" s="49" t="str">
        <f aca="false">IF(COUNT(CO61:CO65)=5,ROUND((LARGE(CO61:CO65,2)+LARGE(CO61:CO65,3)+LARGE(CO61:CO65,4))/3,1),"")</f>
        <v/>
      </c>
      <c r="CP66" s="49" t="str">
        <f aca="false">IF(COUNT(CP61:CP65)=5,ROUND((LARGE(CP61:CP65,2)+LARGE(CP61:CP65,3)+LARGE(CP61:CP65,4))/3,1),"")</f>
        <v/>
      </c>
      <c r="CQ66" s="49" t="str">
        <f aca="false">IF(COUNT(CQ61:CQ65)=5,ROUND((LARGE(CQ61:CQ65,2)+LARGE(CQ61:CQ65,3)+LARGE(CQ61:CQ65,4))/3,1),"")</f>
        <v/>
      </c>
      <c r="CR66" s="49" t="str">
        <f aca="false">IF(COUNT(CR61:CR65)=5,ROUND((LARGE(CR61:CR65,2)+LARGE(CR61:CR65,3)+LARGE(CR61:CR65,4))/3,1),"")</f>
        <v/>
      </c>
      <c r="CS66" s="49" t="str">
        <f aca="false">IF(COUNT(CS61:CS65)=5,ROUND((LARGE(CS61:CS65,2)+LARGE(CS61:CS65,3)+LARGE(CS61:CS65,4))/3,1),"")</f>
        <v/>
      </c>
      <c r="CT66" s="49" t="str">
        <f aca="false">IF(COUNT(CT61:CT65)=5,ROUND((LARGE(CT61:CT65,2)+LARGE(CT61:CT65,3)+LARGE(CT61:CT65,4))/3,1),"")</f>
        <v/>
      </c>
      <c r="CU66" s="49" t="str">
        <f aca="false">IF(COUNT(CU61:CU65)=5,ROUND((LARGE(CU61:CU65,2)+LARGE(CU61:CU65,3)+LARGE(CU61:CU65,4))/3,1),"")</f>
        <v/>
      </c>
      <c r="CV66" s="49" t="str">
        <f aca="false">IF(COUNT(CV61:CV65)=5,ROUND((LARGE(CV61:CV65,2)+LARGE(CV61:CV65,3)+LARGE(CV61:CV65,4))/3,1),"")</f>
        <v/>
      </c>
      <c r="CW66" s="49" t="str">
        <f aca="false">IF(COUNT(CW61:CW65)=5,ROUND((LARGE(CW61:CW65,2)+LARGE(CW61:CW65,3)+LARGE(CW61:CW65,4))/3,1),"")</f>
        <v/>
      </c>
      <c r="CX66" s="49" t="str">
        <f aca="false">IF(COUNT(CX61:CX65)=5,ROUND((LARGE(CX61:CX65,2)+LARGE(CX61:CX65,3)+LARGE(CX61:CX65,4))/3,1),"")</f>
        <v/>
      </c>
      <c r="CY66" s="49" t="str">
        <f aca="false">IF(COUNT(CY61:CY65)=5,ROUND((LARGE(CY61:CY65,2)+LARGE(CY61:CY65,3)+LARGE(CY61:CY65,4))/3,1),"")</f>
        <v/>
      </c>
      <c r="CZ66" s="49" t="str">
        <f aca="false">IF(COUNT(CZ61:CZ65)=5,ROUND((LARGE(CZ61:CZ65,2)+LARGE(CZ61:CZ65,3)+LARGE(CZ61:CZ65,4))/3,1),"")</f>
        <v/>
      </c>
      <c r="DA66" s="49" t="str">
        <f aca="false">IF(COUNT(DA61:DA65)=5,ROUND((LARGE(DA61:DA65,2)+LARGE(DA61:DA65,3)+LARGE(DA61:DA65,4))/3,1),"")</f>
        <v/>
      </c>
      <c r="DB66" s="49" t="str">
        <f aca="false">IF(COUNT(DB61:DB65)=5,ROUND((LARGE(DB61:DB65,2)+LARGE(DB61:DB65,3)+LARGE(DB61:DB65,4))/3,1),"")</f>
        <v/>
      </c>
      <c r="DC66" s="49" t="n">
        <f aca="false">IF(COUNT(DC61:DC65)=5,ROUND((LARGE(DC61:DC65,2)+LARGE(DC61:DC65,3)+LARGE(DC61:DC65,4))/3,1),"")</f>
        <v>17</v>
      </c>
      <c r="DD66" s="49" t="str">
        <f aca="false">IF(COUNT(DD61:DD65)=5,ROUND((LARGE(DD61:DD65,2)+LARGE(DD61:DD65,3)+LARGE(DD61:DD65,4))/3,1),"")</f>
        <v/>
      </c>
      <c r="DE66" s="49" t="str">
        <f aca="false">IF(COUNT(DE61:DE65)=5,ROUND((LARGE(DE61:DE65,2)+LARGE(DE61:DE65,3)+LARGE(DE61:DE65,4))/3,1),"")</f>
        <v/>
      </c>
      <c r="DF66" s="49" t="str">
        <f aca="false">IF(COUNT(DF61:DF65)=5,ROUND((LARGE(DF61:DF65,2)+LARGE(DF61:DF65,3)+LARGE(DF61:DF65,4))/3,1),"")</f>
        <v/>
      </c>
      <c r="DG66" s="49" t="str">
        <f aca="false">IF(COUNT(DG61:DG65)=5,ROUND((LARGE(DG61:DG65,2)+LARGE(DG61:DG65,3)+LARGE(DG61:DG65,4))/3,1),"")</f>
        <v/>
      </c>
      <c r="DH66" s="49" t="str">
        <f aca="false">IF(COUNT(DH61:DH65)=5,ROUND((LARGE(DH61:DH65,2)+LARGE(DH61:DH65,3)+LARGE(DH61:DH65,4))/3,1),"")</f>
        <v/>
      </c>
      <c r="DI66" s="49" t="str">
        <f aca="false">IF(COUNT(DI61:DI65)=5,ROUND((LARGE(DI61:DI65,2)+LARGE(DI61:DI65,3)+LARGE(DI61:DI65,4))/3,1),"")</f>
        <v/>
      </c>
      <c r="DJ66" s="49" t="str">
        <f aca="false">IF(COUNT(DJ61:DJ65)=5,ROUND((LARGE(DJ61:DJ65,2)+LARGE(DJ61:DJ65,3)+LARGE(DJ61:DJ65,4))/3,1),"")</f>
        <v/>
      </c>
      <c r="DK66" s="49" t="str">
        <f aca="false">IF(COUNT(DK61:DK65)=5,ROUND((LARGE(DK61:DK65,2)+LARGE(DK61:DK65,3)+LARGE(DK61:DK65,4))/3,1),"")</f>
        <v/>
      </c>
      <c r="DL66" s="49" t="str">
        <f aca="false">IF(COUNT(DL61:DL65)=5,ROUND((LARGE(DL61:DL65,2)+LARGE(DL61:DL65,3)+LARGE(DL61:DL65,4))/3,1),"")</f>
        <v/>
      </c>
      <c r="DM66" s="49" t="str">
        <f aca="false">IF(COUNT(DM61:DM65)=5,ROUND((LARGE(DM61:DM65,2)+LARGE(DM61:DM65,3)+LARGE(DM61:DM65,4))/3,1),"")</f>
        <v/>
      </c>
      <c r="DN66" s="49" t="str">
        <f aca="false">IF(COUNT(DN61:DN65)=5,ROUND((LARGE(DN61:DN65,2)+LARGE(DN61:DN65,3)+LARGE(DN61:DN65,4))/3,1),"")</f>
        <v/>
      </c>
      <c r="DO66" s="49" t="str">
        <f aca="false">IF(COUNT(DO61:DO65)=5,ROUND((LARGE(DO61:DO65,2)+LARGE(DO61:DO65,3)+LARGE(DO61:DO65,4))/3,1),"")</f>
        <v/>
      </c>
      <c r="DP66" s="49" t="str">
        <f aca="false">IF(COUNT(DP61:DP65)=5,ROUND((LARGE(DP61:DP65,2)+LARGE(DP61:DP65,3)+LARGE(DP61:DP65,4))/3,1),"")</f>
        <v/>
      </c>
      <c r="DQ66" s="49" t="str">
        <f aca="false">IF(COUNT(DQ61:DQ65)=5,ROUND((LARGE(DQ61:DQ65,2)+LARGE(DQ61:DQ65,3)+LARGE(DQ61:DQ65,4))/3,1),"")</f>
        <v/>
      </c>
      <c r="DR66" s="49" t="n">
        <f aca="false">IF(COUNT(DR61:DR65)=5,ROUND((LARGE(DR61:DR65,2)+LARGE(DR61:DR65,3)+LARGE(DR61:DR65,4))/3,1),"")</f>
        <v>16</v>
      </c>
      <c r="DS66" s="49" t="str">
        <f aca="false">IF(COUNT(DS61:DS65)=5,ROUND((LARGE(DS61:DS65,2)+LARGE(DS61:DS65,3)+LARGE(DS61:DS65,4))/3,1),"")</f>
        <v/>
      </c>
      <c r="DT66" s="49" t="str">
        <f aca="false">IF(COUNT(DT61:DT65)=5,ROUND((LARGE(DT61:DT65,2)+LARGE(DT61:DT65,3)+LARGE(DT61:DT65,4))/3,1),"")</f>
        <v/>
      </c>
      <c r="DU66" s="49" t="str">
        <f aca="false">IF(COUNT(DU61:DU65)=5,ROUND((LARGE(DU61:DU65,2)+LARGE(DU61:DU65,3)+LARGE(DU61:DU65,4))/3,1),"")</f>
        <v/>
      </c>
      <c r="DV66" s="49" t="str">
        <f aca="false">IF(COUNT(DV61:DV65)=5,ROUND((LARGE(DV61:DV65,2)+LARGE(DV61:DV65,3)+LARGE(DV61:DV65,4))/3,1),"")</f>
        <v/>
      </c>
      <c r="DW66" s="49" t="str">
        <f aca="false">IF(COUNT(DW61:DW65)=5,ROUND((LARGE(DW61:DW65,2)+LARGE(DW61:DW65,3)+LARGE(DW61:DW65,4))/3,1),"")</f>
        <v/>
      </c>
      <c r="DX66" s="49" t="str">
        <f aca="false">IF(COUNT(DX61:DX65)=5,ROUND((LARGE(DX61:DX65,2)+LARGE(DX61:DX65,3)+LARGE(DX61:DX65,4))/3,1),"")</f>
        <v/>
      </c>
      <c r="DY66" s="49" t="str">
        <f aca="false">IF(COUNT(DY61:DY65)=5,ROUND((LARGE(DY61:DY65,2)+LARGE(DY61:DY65,3)+LARGE(DY61:DY65,4))/3,1),"")</f>
        <v/>
      </c>
      <c r="DZ66" s="49" t="str">
        <f aca="false">IF(COUNT(DZ61:DZ65)=5,ROUND((LARGE(DZ61:DZ65,2)+LARGE(DZ61:DZ65,3)+LARGE(DZ61:DZ65,4))/3,1),"")</f>
        <v/>
      </c>
      <c r="EA66" s="49" t="str">
        <f aca="false">IF(COUNT(EA61:EA65)=5,ROUND((LARGE(EA61:EA65,2)+LARGE(EA61:EA65,3)+LARGE(EA61:EA65,4))/3,1),"")</f>
        <v/>
      </c>
      <c r="EB66" s="49" t="str">
        <f aca="false">IF(COUNT(EB61:EB65)=5,ROUND((LARGE(EB61:EB65,2)+LARGE(EB61:EB65,3)+LARGE(EB61:EB65,4))/3,1),"")</f>
        <v/>
      </c>
      <c r="EC66" s="49" t="str">
        <f aca="false">IF(COUNT(EC61:EC65)=5,ROUND((LARGE(EC61:EC65,2)+LARGE(EC61:EC65,3)+LARGE(EC61:EC65,4))/3,1),"")</f>
        <v/>
      </c>
      <c r="ED66" s="49" t="str">
        <f aca="false">IF(COUNT(ED61:ED65)=5,ROUND((LARGE(ED61:ED65,2)+LARGE(ED61:ED65,3)+LARGE(ED61:ED65,4))/3,1),"")</f>
        <v/>
      </c>
      <c r="EE66" s="49" t="str">
        <f aca="false">IF(COUNT(EE61:EE65)=5,ROUND((LARGE(EE61:EE65,2)+LARGE(EE61:EE65,3)+LARGE(EE61:EE65,4))/3,1),"")</f>
        <v/>
      </c>
      <c r="EF66" s="49" t="str">
        <f aca="false">IF(COUNT(EF61:EF65)=5,ROUND((LARGE(EF61:EF65,2)+LARGE(EF61:EF65,3)+LARGE(EF61:EF65,4))/3,1),"")</f>
        <v/>
      </c>
      <c r="EG66" s="49" t="str">
        <f aca="false">IF(COUNT(EG61:EG65)=5,ROUND((LARGE(EG61:EG65,2)+LARGE(EG61:EG65,3)+LARGE(EG61:EG65,4))/3,1),"")</f>
        <v/>
      </c>
      <c r="EH66" s="49" t="str">
        <f aca="false">IF(COUNT(EH61:EH65)=5,ROUND((LARGE(EH61:EH65,2)+LARGE(EH61:EH65,3)+LARGE(EH61:EH65,4))/3,1),"")</f>
        <v/>
      </c>
      <c r="EI66" s="49" t="str">
        <f aca="false">IF(COUNT(EI61:EI65)=5,ROUND((LARGE(EI61:EI65,2)+LARGE(EI61:EI65,3)+LARGE(EI61:EI65,4))/3,1),"")</f>
        <v/>
      </c>
      <c r="EJ66" s="49" t="str">
        <f aca="false">IF(COUNT(EJ61:EJ65)=5,ROUND((LARGE(EJ61:EJ65,2)+LARGE(EJ61:EJ65,3)+LARGE(EJ61:EJ65,4))/3,1),"")</f>
        <v/>
      </c>
      <c r="EK66" s="49" t="str">
        <f aca="false">IF(COUNT(EK61:EK65)=5,ROUND((LARGE(EK61:EK65,2)+LARGE(EK61:EK65,3)+LARGE(EK61:EK65,4))/3,1),"")</f>
        <v/>
      </c>
      <c r="EL66" s="49" t="str">
        <f aca="false">IF(COUNT(EL61:EL65)=5,ROUND((LARGE(EL61:EL65,2)+LARGE(EL61:EL65,3)+LARGE(EL61:EL65,4))/3,1),"")</f>
        <v/>
      </c>
      <c r="EM66" s="49" t="str">
        <f aca="false">IF(COUNT(EM61:EM65)=5,ROUND((LARGE(EM61:EM65,2)+LARGE(EM61:EM65,3)+LARGE(EM61:EM65,4))/3,1),"")</f>
        <v/>
      </c>
      <c r="EN66" s="49" t="str">
        <f aca="false">IF(COUNT(EN61:EN65)=5,ROUND((LARGE(EN61:EN65,2)+LARGE(EN61:EN65,3)+LARGE(EN61:EN65,4))/3,1),"")</f>
        <v/>
      </c>
      <c r="EO66" s="49" t="str">
        <f aca="false">IF(COUNT(EO61:EO65)=5,ROUND((LARGE(EO61:EO65,2)+LARGE(EO61:EO65,3)+LARGE(EO61:EO65,4))/3,1),"")</f>
        <v/>
      </c>
      <c r="EP66" s="49" t="str">
        <f aca="false">IF(COUNT(EP61:EP65)=5,ROUND((LARGE(EP61:EP65,2)+LARGE(EP61:EP65,3)+LARGE(EP61:EP65,4))/3,1),"")</f>
        <v/>
      </c>
      <c r="EQ66" s="49" t="str">
        <f aca="false">IF(COUNT(EQ61:EQ65)=5,ROUND((LARGE(EQ61:EQ65,2)+LARGE(EQ61:EQ65,3)+LARGE(EQ61:EQ65,4))/3,1),"")</f>
        <v/>
      </c>
      <c r="ER66" s="49" t="str">
        <f aca="false">IF(COUNT(ER61:ER65)=5,ROUND((LARGE(ER61:ER65,2)+LARGE(ER61:ER65,3)+LARGE(ER61:ER65,4))/3,1),"")</f>
        <v/>
      </c>
      <c r="ES66" s="49" t="str">
        <f aca="false">IF(COUNT(ES61:ES65)=5,ROUND((LARGE(ES61:ES65,2)+LARGE(ES61:ES65,3)+LARGE(ES61:ES65,4))/3,1),"")</f>
        <v/>
      </c>
      <c r="ET66" s="49" t="str">
        <f aca="false">IF(COUNT(ET61:ET65)=5,ROUND((LARGE(ET61:ET65,2)+LARGE(ET61:ET65,3)+LARGE(ET61:ET65,4))/3,1),"")</f>
        <v/>
      </c>
      <c r="EU66" s="49" t="str">
        <f aca="false">IF(COUNT(EU61:EU65)=5,ROUND((LARGE(EU61:EU65,2)+LARGE(EU61:EU65,3)+LARGE(EU61:EU65,4))/3,1),"")</f>
        <v/>
      </c>
      <c r="EV66" s="49" t="str">
        <f aca="false">IF(COUNT(EV61:EV65)=5,ROUND((LARGE(EV61:EV65,2)+LARGE(EV61:EV65,3)+LARGE(EV61:EV65,4))/3,1),"")</f>
        <v/>
      </c>
      <c r="EW66" s="49" t="str">
        <f aca="false">IF(COUNT(EW61:EW65)=5,ROUND((LARGE(EW61:EW65,2)+LARGE(EW61:EW65,3)+LARGE(EW61:EW65,4))/3,1),"")</f>
        <v/>
      </c>
      <c r="EX66" s="49" t="str">
        <f aca="false">IF(COUNT(EX61:EX65)=5,ROUND((LARGE(EX61:EX65,2)+LARGE(EX61:EX65,3)+LARGE(EX61:EX65,4))/3,1),"")</f>
        <v/>
      </c>
      <c r="EY66" s="49" t="str">
        <f aca="false">IF(COUNT(EY61:EY65)=5,ROUND((LARGE(EY61:EY65,2)+LARGE(EY61:EY65,3)+LARGE(EY61:EY65,4))/3,1),"")</f>
        <v/>
      </c>
      <c r="EZ66" s="49" t="str">
        <f aca="false">IF(COUNT(EZ61:EZ65)=5,ROUND((LARGE(EZ61:EZ65,2)+LARGE(EZ61:EZ65,3)+LARGE(EZ61:EZ65,4))/3,1),"")</f>
        <v/>
      </c>
      <c r="FA66" s="49" t="str">
        <f aca="false">IF(COUNT(FA61:FA65)=5,ROUND((LARGE(FA61:FA65,2)+LARGE(FA61:FA65,3)+LARGE(FA61:FA65,4))/3,1),"")</f>
        <v/>
      </c>
      <c r="FB66" s="49" t="str">
        <f aca="false">IF(COUNT(FB61:FB65)=5,ROUND((LARGE(FB61:FB65,2)+LARGE(FB61:FB65,3)+LARGE(FB61:FB65,4))/3,1),"")</f>
        <v/>
      </c>
      <c r="FC66" s="49" t="str">
        <f aca="false">IF(COUNT(FC61:FC65)=5,ROUND((LARGE(FC61:FC65,2)+LARGE(FC61:FC65,3)+LARGE(FC61:FC65,4))/3,1),"")</f>
        <v/>
      </c>
      <c r="FD66" s="49" t="str">
        <f aca="false">IF(COUNT(FD61:FD65)=5,ROUND((LARGE(FD61:FD65,2)+LARGE(FD61:FD65,3)+LARGE(FD61:FD65,4))/3,1),"")</f>
        <v/>
      </c>
      <c r="FE66" s="49" t="str">
        <f aca="false">IF(COUNT(FE61:FE65)=5,ROUND((LARGE(FE61:FE65,2)+LARGE(FE61:FE65,3)+LARGE(FE61:FE65,4))/3,1),"")</f>
        <v/>
      </c>
      <c r="FF66" s="49" t="str">
        <f aca="false">IF(COUNT(FF61:FF65)=5,ROUND((LARGE(FF61:FF65,2)+LARGE(FF61:FF65,3)+LARGE(FF61:FF65,4))/3,1),"")</f>
        <v/>
      </c>
      <c r="FG66" s="49" t="str">
        <f aca="false">IF(COUNT(FG61:FG65)=5,ROUND((LARGE(FG61:FG65,2)+LARGE(FG61:FG65,3)+LARGE(FG61:FG65,4))/3,1),"")</f>
        <v/>
      </c>
      <c r="FH66" s="49" t="str">
        <f aca="false">IF(COUNT(FH61:FH65)=5,ROUND((LARGE(FH61:FH65,2)+LARGE(FH61:FH65,3)+LARGE(FH61:FH65,4))/3,1),"")</f>
        <v/>
      </c>
      <c r="FI66" s="49" t="str">
        <f aca="false">IF(COUNT(FI61:FI65)=5,ROUND((LARGE(FI61:FI65,2)+LARGE(FI61:FI65,3)+LARGE(FI61:FI65,4))/3,1),"")</f>
        <v/>
      </c>
      <c r="FJ66" s="49" t="str">
        <f aca="false">IF(COUNT(FJ61:FJ65)=5,ROUND((LARGE(FJ61:FJ65,2)+LARGE(FJ61:FJ65,3)+LARGE(FJ61:FJ65,4))/3,1),"")</f>
        <v/>
      </c>
      <c r="FK66" s="49" t="str">
        <f aca="false">IF(COUNT(FK61:FK65)=5,ROUND((LARGE(FK61:FK65,2)+LARGE(FK61:FK65,3)+LARGE(FK61:FK65,4))/3,1),"")</f>
        <v/>
      </c>
      <c r="FL66" s="49" t="str">
        <f aca="false">IF(COUNT(FL61:FL65)=5,ROUND((LARGE(FL61:FL65,2)+LARGE(FL61:FL65,3)+LARGE(FL61:FL65,4))/3,1),"")</f>
        <v/>
      </c>
      <c r="FM66" s="49" t="str">
        <f aca="false">IF(COUNT(FM61:FM65)=5,ROUND((LARGE(FM61:FM65,2)+LARGE(FM61:FM65,3)+LARGE(FM61:FM65,4))/3,1),"")</f>
        <v/>
      </c>
      <c r="FN66" s="49" t="str">
        <f aca="false">IF(COUNT(FN61:FN65)=5,ROUND((LARGE(FN61:FN65,2)+LARGE(FN61:FN65,3)+LARGE(FN61:FN65,4))/3,1),"")</f>
        <v/>
      </c>
      <c r="FO66" s="49" t="str">
        <f aca="false">IF(COUNT(FO61:FO65)=5,ROUND((LARGE(FO61:FO65,2)+LARGE(FO61:FO65,3)+LARGE(FO61:FO65,4))/3,1),"")</f>
        <v/>
      </c>
      <c r="FP66" s="49" t="str">
        <f aca="false">IF(COUNT(FP61:FP65)=5,ROUND((LARGE(FP61:FP65,2)+LARGE(FP61:FP65,3)+LARGE(FP61:FP65,4))/3,1),"")</f>
        <v/>
      </c>
      <c r="FQ66" s="49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74</v>
      </c>
      <c r="B67" s="20" t="s">
        <v>417</v>
      </c>
    </row>
    <row r="68" customFormat="false" ht="15" hidden="false" customHeight="false" outlineLevel="0" collapsed="false">
      <c r="A68" s="33" t="s">
        <v>74</v>
      </c>
      <c r="B68" s="33" t="s">
        <v>418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6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11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18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19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74</v>
      </c>
      <c r="B69" s="33" t="s">
        <v>419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7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13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20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22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74</v>
      </c>
      <c r="B70" s="33" t="s">
        <v>420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7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14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17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20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74</v>
      </c>
      <c r="B71" s="33" t="s">
        <v>421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8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12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19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18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74</v>
      </c>
      <c r="B72" s="33" t="s">
        <v>422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6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13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21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21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74</v>
      </c>
      <c r="B73" s="20" t="s">
        <v>423</v>
      </c>
      <c r="D73" s="49" t="str">
        <f aca="false">IF(COUNT(D68:D72)=5,ROUND((LARGE(D68:D72,2)+LARGE(D68:D72,3)+LARGE(D68:D72,4))/3,1),"")</f>
        <v/>
      </c>
      <c r="E73" s="49" t="str">
        <f aca="false">IF(COUNT(E68:E72)=5,ROUND((LARGE(E68:E72,2)+LARGE(E68:E72,3)+LARGE(E68:E72,4))/3,1),"")</f>
        <v/>
      </c>
      <c r="F73" s="49" t="str">
        <f aca="false">IF(COUNT(F68:F72)=5,ROUND((LARGE(F68:F72,2)+LARGE(F68:F72,3)+LARGE(F68:F72,4))/3,1),"")</f>
        <v/>
      </c>
      <c r="G73" s="49" t="str">
        <f aca="false">IF(COUNT(G68:G72)=5,ROUND((LARGE(G68:G72,2)+LARGE(G68:G72,3)+LARGE(G68:G72,4))/3,1),"")</f>
        <v/>
      </c>
      <c r="H73" s="49" t="str">
        <f aca="false">IF(COUNT(H68:H72)=5,ROUND((LARGE(H68:H72,2)+LARGE(H68:H72,3)+LARGE(H68:H72,4))/3,1),"")</f>
        <v/>
      </c>
      <c r="I73" s="49" t="str">
        <f aca="false">IF(COUNT(I68:I72)=5,ROUND((LARGE(I68:I72,2)+LARGE(I68:I72,3)+LARGE(I68:I72,4))/3,1),"")</f>
        <v/>
      </c>
      <c r="J73" s="49" t="str">
        <f aca="false">IF(COUNT(J68:J72)=5,ROUND((LARGE(J68:J72,2)+LARGE(J68:J72,3)+LARGE(J68:J72,4))/3,1),"")</f>
        <v/>
      </c>
      <c r="K73" s="49" t="str">
        <f aca="false">IF(COUNT(K68:K72)=5,ROUND((LARGE(K68:K72,2)+LARGE(K68:K72,3)+LARGE(K68:K72,4))/3,1),"")</f>
        <v/>
      </c>
      <c r="L73" s="49" t="str">
        <f aca="false">IF(COUNT(L68:L72)=5,ROUND((LARGE(L68:L72,2)+LARGE(L68:L72,3)+LARGE(L68:L72,4))/3,1),"")</f>
        <v/>
      </c>
      <c r="M73" s="49" t="str">
        <f aca="false">IF(COUNT(M68:M72)=5,ROUND((LARGE(M68:M72,2)+LARGE(M68:M72,3)+LARGE(M68:M72,4))/3,1),"")</f>
        <v/>
      </c>
      <c r="N73" s="49" t="str">
        <f aca="false">IF(COUNT(N68:N72)=5,ROUND((LARGE(N68:N72,2)+LARGE(N68:N72,3)+LARGE(N68:N72,4))/3,1),"")</f>
        <v/>
      </c>
      <c r="O73" s="49" t="str">
        <f aca="false">IF(COUNT(O68:O72)=5,ROUND((LARGE(O68:O72,2)+LARGE(O68:O72,3)+LARGE(O68:O72,4))/3,1),"")</f>
        <v/>
      </c>
      <c r="P73" s="49" t="str">
        <f aca="false">IF(COUNT(P68:P72)=5,ROUND((LARGE(P68:P72,2)+LARGE(P68:P72,3)+LARGE(P68:P72,4))/3,1),"")</f>
        <v/>
      </c>
      <c r="Q73" s="49" t="str">
        <f aca="false">IF(COUNT(Q68:Q72)=5,ROUND((LARGE(Q68:Q72,2)+LARGE(Q68:Q72,3)+LARGE(Q68:Q72,4))/3,1),"")</f>
        <v/>
      </c>
      <c r="R73" s="49" t="str">
        <f aca="false">IF(COUNT(R68:R72)=5,ROUND((LARGE(R68:R72,2)+LARGE(R68:R72,3)+LARGE(R68:R72,4))/3,1),"")</f>
        <v/>
      </c>
      <c r="S73" s="49" t="str">
        <f aca="false">IF(COUNT(S68:S72)=5,ROUND((LARGE(S68:S72,2)+LARGE(S68:S72,3)+LARGE(S68:S72,4))/3,1),"")</f>
        <v/>
      </c>
      <c r="T73" s="49" t="str">
        <f aca="false">IF(COUNT(T68:T72)=5,ROUND((LARGE(T68:T72,2)+LARGE(T68:T72,3)+LARGE(T68:T72,4))/3,1),"")</f>
        <v/>
      </c>
      <c r="U73" s="49" t="str">
        <f aca="false">IF(COUNT(U68:U72)=5,ROUND((LARGE(U68:U72,2)+LARGE(U68:U72,3)+LARGE(U68:U72,4))/3,1),"")</f>
        <v/>
      </c>
      <c r="V73" s="49" t="str">
        <f aca="false">IF(COUNT(V68:V72)=5,ROUND((LARGE(V68:V72,2)+LARGE(V68:V72,3)+LARGE(V68:V72,4))/3,1),"")</f>
        <v/>
      </c>
      <c r="W73" s="49" t="str">
        <f aca="false">IF(COUNT(W68:W72)=5,ROUND((LARGE(W68:W72,2)+LARGE(W68:W72,3)+LARGE(W68:W72,4))/3,1),"")</f>
        <v/>
      </c>
      <c r="X73" s="49" t="str">
        <f aca="false">IF(COUNT(X68:X72)=5,ROUND((LARGE(X68:X72,2)+LARGE(X68:X72,3)+LARGE(X68:X72,4))/3,1),"")</f>
        <v/>
      </c>
      <c r="Y73" s="49" t="str">
        <f aca="false">IF(COUNT(Y68:Y72)=5,ROUND((LARGE(Y68:Y72,2)+LARGE(Y68:Y72,3)+LARGE(Y68:Y72,4))/3,1),"")</f>
        <v/>
      </c>
      <c r="Z73" s="49" t="str">
        <f aca="false">IF(COUNT(Z68:Z72)=5,ROUND((LARGE(Z68:Z72,2)+LARGE(Z68:Z72,3)+LARGE(Z68:Z72,4))/3,1),"")</f>
        <v/>
      </c>
      <c r="AA73" s="49" t="str">
        <f aca="false">IF(COUNT(AA68:AA72)=5,ROUND((LARGE(AA68:AA72,2)+LARGE(AA68:AA72,3)+LARGE(AA68:AA72,4))/3,1),"")</f>
        <v/>
      </c>
      <c r="AB73" s="49" t="str">
        <f aca="false">IF(COUNT(AB68:AB72)=5,ROUND((LARGE(AB68:AB72,2)+LARGE(AB68:AB72,3)+LARGE(AB68:AB72,4))/3,1),"")</f>
        <v/>
      </c>
      <c r="AC73" s="49" t="str">
        <f aca="false">IF(COUNT(AC68:AC72)=5,ROUND((LARGE(AC68:AC72,2)+LARGE(AC68:AC72,3)+LARGE(AC68:AC72,4))/3,1),"")</f>
        <v/>
      </c>
      <c r="AD73" s="49" t="str">
        <f aca="false">IF(COUNT(AD68:AD72)=5,ROUND((LARGE(AD68:AD72,2)+LARGE(AD68:AD72,3)+LARGE(AD68:AD72,4))/3,1),"")</f>
        <v/>
      </c>
      <c r="AE73" s="49" t="str">
        <f aca="false">IF(COUNT(AE68:AE72)=5,ROUND((LARGE(AE68:AE72,2)+LARGE(AE68:AE72,3)+LARGE(AE68:AE72,4))/3,1),"")</f>
        <v/>
      </c>
      <c r="AF73" s="49" t="str">
        <f aca="false">IF(COUNT(AF68:AF72)=5,ROUND((LARGE(AF68:AF72,2)+LARGE(AF68:AF72,3)+LARGE(AF68:AF72,4))/3,1),"")</f>
        <v/>
      </c>
      <c r="AG73" s="49" t="str">
        <f aca="false">IF(COUNT(AG68:AG72)=5,ROUND((LARGE(AG68:AG72,2)+LARGE(AG68:AG72,3)+LARGE(AG68:AG72,4))/3,1),"")</f>
        <v/>
      </c>
      <c r="AH73" s="49" t="str">
        <f aca="false">IF(COUNT(AH68:AH72)=5,ROUND((LARGE(AH68:AH72,2)+LARGE(AH68:AH72,3)+LARGE(AH68:AH72,4))/3,1),"")</f>
        <v/>
      </c>
      <c r="AI73" s="49" t="str">
        <f aca="false">IF(COUNT(AI68:AI72)=5,ROUND((LARGE(AI68:AI72,2)+LARGE(AI68:AI72,3)+LARGE(AI68:AI72,4))/3,1),"")</f>
        <v/>
      </c>
      <c r="AJ73" s="49" t="str">
        <f aca="false">IF(COUNT(AJ68:AJ72)=5,ROUND((LARGE(AJ68:AJ72,2)+LARGE(AJ68:AJ72,3)+LARGE(AJ68:AJ72,4))/3,1),"")</f>
        <v/>
      </c>
      <c r="AK73" s="49" t="str">
        <f aca="false">IF(COUNT(AK68:AK72)=5,ROUND((LARGE(AK68:AK72,2)+LARGE(AK68:AK72,3)+LARGE(AK68:AK72,4))/3,1),"")</f>
        <v/>
      </c>
      <c r="AL73" s="49" t="str">
        <f aca="false">IF(COUNT(AL68:AL72)=5,ROUND((LARGE(AL68:AL72,2)+LARGE(AL68:AL72,3)+LARGE(AL68:AL72,4))/3,1),"")</f>
        <v/>
      </c>
      <c r="AM73" s="49" t="str">
        <f aca="false">IF(COUNT(AM68:AM72)=5,ROUND((LARGE(AM68:AM72,2)+LARGE(AM68:AM72,3)+LARGE(AM68:AM72,4))/3,1),"")</f>
        <v/>
      </c>
      <c r="AN73" s="49" t="str">
        <f aca="false">IF(COUNT(AN68:AN72)=5,ROUND((LARGE(AN68:AN72,2)+LARGE(AN68:AN72,3)+LARGE(AN68:AN72,4))/3,1),"")</f>
        <v/>
      </c>
      <c r="AO73" s="49" t="str">
        <f aca="false">IF(COUNT(AO68:AO72)=5,ROUND((LARGE(AO68:AO72,2)+LARGE(AO68:AO72,3)+LARGE(AO68:AO72,4))/3,1),"")</f>
        <v/>
      </c>
      <c r="AP73" s="49" t="str">
        <f aca="false">IF(COUNT(AP68:AP72)=5,ROUND((LARGE(AP68:AP72,2)+LARGE(AP68:AP72,3)+LARGE(AP68:AP72,4))/3,1),"")</f>
        <v/>
      </c>
      <c r="AQ73" s="49" t="str">
        <f aca="false">IF(COUNT(AQ68:AQ72)=5,ROUND((LARGE(AQ68:AQ72,2)+LARGE(AQ68:AQ72,3)+LARGE(AQ68:AQ72,4))/3,1),"")</f>
        <v/>
      </c>
      <c r="AR73" s="49" t="str">
        <f aca="false">IF(COUNT(AR68:AR72)=5,ROUND((LARGE(AR68:AR72,2)+LARGE(AR68:AR72,3)+LARGE(AR68:AR72,4))/3,1),"")</f>
        <v/>
      </c>
      <c r="AS73" s="49" t="str">
        <f aca="false">IF(COUNT(AS68:AS72)=5,ROUND((LARGE(AS68:AS72,2)+LARGE(AS68:AS72,3)+LARGE(AS68:AS72,4))/3,1),"")</f>
        <v/>
      </c>
      <c r="AT73" s="49" t="str">
        <f aca="false">IF(COUNT(AT68:AT72)=5,ROUND((LARGE(AT68:AT72,2)+LARGE(AT68:AT72,3)+LARGE(AT68:AT72,4))/3,1),"")</f>
        <v/>
      </c>
      <c r="AU73" s="49" t="str">
        <f aca="false">IF(COUNT(AU68:AU72)=5,ROUND((LARGE(AU68:AU72,2)+LARGE(AU68:AU72,3)+LARGE(AU68:AU72,4))/3,1),"")</f>
        <v/>
      </c>
      <c r="AV73" s="49" t="str">
        <f aca="false">IF(COUNT(AV68:AV72)=5,ROUND((LARGE(AV68:AV72,2)+LARGE(AV68:AV72,3)+LARGE(AV68:AV72,4))/3,1),"")</f>
        <v/>
      </c>
      <c r="AW73" s="49" t="str">
        <f aca="false">IF(COUNT(AW68:AW72)=5,ROUND((LARGE(AW68:AW72,2)+LARGE(AW68:AW72,3)+LARGE(AW68:AW72,4))/3,1),"")</f>
        <v/>
      </c>
      <c r="AX73" s="49" t="str">
        <f aca="false">IF(COUNT(AX68:AX72)=5,ROUND((LARGE(AX68:AX72,2)+LARGE(AX68:AX72,3)+LARGE(AX68:AX72,4))/3,1),"")</f>
        <v/>
      </c>
      <c r="AY73" s="49" t="str">
        <f aca="false">IF(COUNT(AY68:AY72)=5,ROUND((LARGE(AY68:AY72,2)+LARGE(AY68:AY72,3)+LARGE(AY68:AY72,4))/3,1),"")</f>
        <v/>
      </c>
      <c r="AZ73" s="49" t="str">
        <f aca="false">IF(COUNT(AZ68:AZ72)=5,ROUND((LARGE(AZ68:AZ72,2)+LARGE(AZ68:AZ72,3)+LARGE(AZ68:AZ72,4))/3,1),"")</f>
        <v/>
      </c>
      <c r="BA73" s="49" t="str">
        <f aca="false">IF(COUNT(BA68:BA72)=5,ROUND((LARGE(BA68:BA72,2)+LARGE(BA68:BA72,3)+LARGE(BA68:BA72,4))/3,1),"")</f>
        <v/>
      </c>
      <c r="BB73" s="49" t="str">
        <f aca="false">IF(COUNT(BB68:BB72)=5,ROUND((LARGE(BB68:BB72,2)+LARGE(BB68:BB72,3)+LARGE(BB68:BB72,4))/3,1),"")</f>
        <v/>
      </c>
      <c r="BC73" s="49" t="str">
        <f aca="false">IF(COUNT(BC68:BC72)=5,ROUND((LARGE(BC68:BC72,2)+LARGE(BC68:BC72,3)+LARGE(BC68:BC72,4))/3,1),"")</f>
        <v/>
      </c>
      <c r="BD73" s="49" t="str">
        <f aca="false">IF(COUNT(BD68:BD72)=5,ROUND((LARGE(BD68:BD72,2)+LARGE(BD68:BD72,3)+LARGE(BD68:BD72,4))/3,1),"")</f>
        <v/>
      </c>
      <c r="BE73" s="49" t="str">
        <f aca="false">IF(COUNT(BE68:BE72)=5,ROUND((LARGE(BE68:BE72,2)+LARGE(BE68:BE72,3)+LARGE(BE68:BE72,4))/3,1),"")</f>
        <v/>
      </c>
      <c r="BF73" s="49" t="str">
        <f aca="false">IF(COUNT(BF68:BF72)=5,ROUND((LARGE(BF68:BF72,2)+LARGE(BF68:BF72,3)+LARGE(BF68:BF72,4))/3,1),"")</f>
        <v/>
      </c>
      <c r="BG73" s="49" t="str">
        <f aca="false">IF(COUNT(BG68:BG72)=5,ROUND((LARGE(BG68:BG72,2)+LARGE(BG68:BG72,3)+LARGE(BG68:BG72,4))/3,1),"")</f>
        <v/>
      </c>
      <c r="BH73" s="49" t="str">
        <f aca="false">IF(COUNT(BH68:BH72)=5,ROUND((LARGE(BH68:BH72,2)+LARGE(BH68:BH72,3)+LARGE(BH68:BH72,4))/3,1),"")</f>
        <v/>
      </c>
      <c r="BI73" s="49" t="str">
        <f aca="false">IF(COUNT(BI68:BI72)=5,ROUND((LARGE(BI68:BI72,2)+LARGE(BI68:BI72,3)+LARGE(BI68:BI72,4))/3,1),"")</f>
        <v/>
      </c>
      <c r="BJ73" s="49" t="str">
        <f aca="false">IF(COUNT(BJ68:BJ72)=5,ROUND((LARGE(BJ68:BJ72,2)+LARGE(BJ68:BJ72,3)+LARGE(BJ68:BJ72,4))/3,1),"")</f>
        <v/>
      </c>
      <c r="BK73" s="49" t="str">
        <f aca="false">IF(COUNT(BK68:BK72)=5,ROUND((LARGE(BK68:BK72,2)+LARGE(BK68:BK72,3)+LARGE(BK68:BK72,4))/3,1),"")</f>
        <v/>
      </c>
      <c r="BL73" s="49" t="str">
        <f aca="false">IF(COUNT(BL68:BL72)=5,ROUND((LARGE(BL68:BL72,2)+LARGE(BL68:BL72,3)+LARGE(BL68:BL72,4))/3,1),"")</f>
        <v/>
      </c>
      <c r="BM73" s="49" t="str">
        <f aca="false">IF(COUNT(BM68:BM72)=5,ROUND((LARGE(BM68:BM72,2)+LARGE(BM68:BM72,3)+LARGE(BM68:BM72,4))/3,1),"")</f>
        <v/>
      </c>
      <c r="BN73" s="49" t="str">
        <f aca="false">IF(COUNT(BN68:BN72)=5,ROUND((LARGE(BN68:BN72,2)+LARGE(BN68:BN72,3)+LARGE(BN68:BN72,4))/3,1),"")</f>
        <v/>
      </c>
      <c r="BO73" s="49" t="str">
        <f aca="false">IF(COUNT(BO68:BO72)=5,ROUND((LARGE(BO68:BO72,2)+LARGE(BO68:BO72,3)+LARGE(BO68:BO72,4))/3,1),"")</f>
        <v/>
      </c>
      <c r="BP73" s="49" t="str">
        <f aca="false">IF(COUNT(BP68:BP72)=5,ROUND((LARGE(BP68:BP72,2)+LARGE(BP68:BP72,3)+LARGE(BP68:BP72,4))/3,1),"")</f>
        <v/>
      </c>
      <c r="BQ73" s="49" t="str">
        <f aca="false">IF(COUNT(BQ68:BQ72)=5,ROUND((LARGE(BQ68:BQ72,2)+LARGE(BQ68:BQ72,3)+LARGE(BQ68:BQ72,4))/3,1),"")</f>
        <v/>
      </c>
      <c r="BR73" s="49" t="str">
        <f aca="false">IF(COUNT(BR68:BR72)=5,ROUND((LARGE(BR68:BR72,2)+LARGE(BR68:BR72,3)+LARGE(BR68:BR72,4))/3,1),"")</f>
        <v/>
      </c>
      <c r="BS73" s="49" t="str">
        <f aca="false">IF(COUNT(BS68:BS72)=5,ROUND((LARGE(BS68:BS72,2)+LARGE(BS68:BS72,3)+LARGE(BS68:BS72,4))/3,1),"")</f>
        <v/>
      </c>
      <c r="BT73" s="49" t="str">
        <f aca="false">IF(COUNT(BT68:BT72)=5,ROUND((LARGE(BT68:BT72,2)+LARGE(BT68:BT72,3)+LARGE(BT68:BT72,4))/3,1),"")</f>
        <v/>
      </c>
      <c r="BU73" s="49" t="str">
        <f aca="false">IF(COUNT(BU68:BU72)=5,ROUND((LARGE(BU68:BU72,2)+LARGE(BU68:BU72,3)+LARGE(BU68:BU72,4))/3,1),"")</f>
        <v/>
      </c>
      <c r="BV73" s="49" t="str">
        <f aca="false">IF(COUNT(BV68:BV72)=5,ROUND((LARGE(BV68:BV72,2)+LARGE(BV68:BV72,3)+LARGE(BV68:BV72,4))/3,1),"")</f>
        <v/>
      </c>
      <c r="BW73" s="49" t="str">
        <f aca="false">IF(COUNT(BW68:BW72)=5,ROUND((LARGE(BW68:BW72,2)+LARGE(BW68:BW72,3)+LARGE(BW68:BW72,4))/3,1),"")</f>
        <v/>
      </c>
      <c r="BX73" s="49" t="str">
        <f aca="false">IF(COUNT(BX68:BX72)=5,ROUND((LARGE(BX68:BX72,2)+LARGE(BX68:BX72,3)+LARGE(BX68:BX72,4))/3,1),"")</f>
        <v/>
      </c>
      <c r="BY73" s="49" t="n">
        <f aca="false">IF(COUNT(BY68:BY72)=5,ROUND((LARGE(BY68:BY72,2)+LARGE(BY68:BY72,3)+LARGE(BY68:BY72,4))/3,1),"")</f>
        <v>6.7</v>
      </c>
      <c r="BZ73" s="49" t="str">
        <f aca="false">IF(COUNT(BZ68:BZ72)=5,ROUND((LARGE(BZ68:BZ72,2)+LARGE(BZ68:BZ72,3)+LARGE(BZ68:BZ72,4))/3,1),"")</f>
        <v/>
      </c>
      <c r="CA73" s="49" t="str">
        <f aca="false">IF(COUNT(CA68:CA72)=5,ROUND((LARGE(CA68:CA72,2)+LARGE(CA68:CA72,3)+LARGE(CA68:CA72,4))/3,1),"")</f>
        <v/>
      </c>
      <c r="CB73" s="49" t="str">
        <f aca="false">IF(COUNT(CB68:CB72)=5,ROUND((LARGE(CB68:CB72,2)+LARGE(CB68:CB72,3)+LARGE(CB68:CB72,4))/3,1),"")</f>
        <v/>
      </c>
      <c r="CC73" s="49" t="str">
        <f aca="false">IF(COUNT(CC68:CC72)=5,ROUND((LARGE(CC68:CC72,2)+LARGE(CC68:CC72,3)+LARGE(CC68:CC72,4))/3,1),"")</f>
        <v/>
      </c>
      <c r="CD73" s="49" t="str">
        <f aca="false">IF(COUNT(CD68:CD72)=5,ROUND((LARGE(CD68:CD72,2)+LARGE(CD68:CD72,3)+LARGE(CD68:CD72,4))/3,1),"")</f>
        <v/>
      </c>
      <c r="CE73" s="49" t="str">
        <f aca="false">IF(COUNT(CE68:CE72)=5,ROUND((LARGE(CE68:CE72,2)+LARGE(CE68:CE72,3)+LARGE(CE68:CE72,4))/3,1),"")</f>
        <v/>
      </c>
      <c r="CF73" s="49" t="str">
        <f aca="false">IF(COUNT(CF68:CF72)=5,ROUND((LARGE(CF68:CF72,2)+LARGE(CF68:CF72,3)+LARGE(CF68:CF72,4))/3,1),"")</f>
        <v/>
      </c>
      <c r="CG73" s="49" t="str">
        <f aca="false">IF(COUNT(CG68:CG72)=5,ROUND((LARGE(CG68:CG72,2)+LARGE(CG68:CG72,3)+LARGE(CG68:CG72,4))/3,1),"")</f>
        <v/>
      </c>
      <c r="CH73" s="49" t="str">
        <f aca="false">IF(COUNT(CH68:CH72)=5,ROUND((LARGE(CH68:CH72,2)+LARGE(CH68:CH72,3)+LARGE(CH68:CH72,4))/3,1),"")</f>
        <v/>
      </c>
      <c r="CI73" s="49" t="str">
        <f aca="false">IF(COUNT(CI68:CI72)=5,ROUND((LARGE(CI68:CI72,2)+LARGE(CI68:CI72,3)+LARGE(CI68:CI72,4))/3,1),"")</f>
        <v/>
      </c>
      <c r="CJ73" s="49" t="str">
        <f aca="false">IF(COUNT(CJ68:CJ72)=5,ROUND((LARGE(CJ68:CJ72,2)+LARGE(CJ68:CJ72,3)+LARGE(CJ68:CJ72,4))/3,1),"")</f>
        <v/>
      </c>
      <c r="CK73" s="49" t="str">
        <f aca="false">IF(COUNT(CK68:CK72)=5,ROUND((LARGE(CK68:CK72,2)+LARGE(CK68:CK72,3)+LARGE(CK68:CK72,4))/3,1),"")</f>
        <v/>
      </c>
      <c r="CL73" s="49" t="str">
        <f aca="false">IF(COUNT(CL68:CL72)=5,ROUND((LARGE(CL68:CL72,2)+LARGE(CL68:CL72,3)+LARGE(CL68:CL72,4))/3,1),"")</f>
        <v/>
      </c>
      <c r="CM73" s="49" t="str">
        <f aca="false">IF(COUNT(CM68:CM72)=5,ROUND((LARGE(CM68:CM72,2)+LARGE(CM68:CM72,3)+LARGE(CM68:CM72,4))/3,1),"")</f>
        <v/>
      </c>
      <c r="CN73" s="49" t="n">
        <f aca="false">IF(COUNT(CN68:CN72)=5,ROUND((LARGE(CN68:CN72,2)+LARGE(CN68:CN72,3)+LARGE(CN68:CN72,4))/3,1),"")</f>
        <v>12.7</v>
      </c>
      <c r="CO73" s="49" t="str">
        <f aca="false">IF(COUNT(CO68:CO72)=5,ROUND((LARGE(CO68:CO72,2)+LARGE(CO68:CO72,3)+LARGE(CO68:CO72,4))/3,1),"")</f>
        <v/>
      </c>
      <c r="CP73" s="49" t="str">
        <f aca="false">IF(COUNT(CP68:CP72)=5,ROUND((LARGE(CP68:CP72,2)+LARGE(CP68:CP72,3)+LARGE(CP68:CP72,4))/3,1),"")</f>
        <v/>
      </c>
      <c r="CQ73" s="49" t="str">
        <f aca="false">IF(COUNT(CQ68:CQ72)=5,ROUND((LARGE(CQ68:CQ72,2)+LARGE(CQ68:CQ72,3)+LARGE(CQ68:CQ72,4))/3,1),"")</f>
        <v/>
      </c>
      <c r="CR73" s="49" t="str">
        <f aca="false">IF(COUNT(CR68:CR72)=5,ROUND((LARGE(CR68:CR72,2)+LARGE(CR68:CR72,3)+LARGE(CR68:CR72,4))/3,1),"")</f>
        <v/>
      </c>
      <c r="CS73" s="49" t="str">
        <f aca="false">IF(COUNT(CS68:CS72)=5,ROUND((LARGE(CS68:CS72,2)+LARGE(CS68:CS72,3)+LARGE(CS68:CS72,4))/3,1),"")</f>
        <v/>
      </c>
      <c r="CT73" s="49" t="str">
        <f aca="false">IF(COUNT(CT68:CT72)=5,ROUND((LARGE(CT68:CT72,2)+LARGE(CT68:CT72,3)+LARGE(CT68:CT72,4))/3,1),"")</f>
        <v/>
      </c>
      <c r="CU73" s="49" t="str">
        <f aca="false">IF(COUNT(CU68:CU72)=5,ROUND((LARGE(CU68:CU72,2)+LARGE(CU68:CU72,3)+LARGE(CU68:CU72,4))/3,1),"")</f>
        <v/>
      </c>
      <c r="CV73" s="49" t="str">
        <f aca="false">IF(COUNT(CV68:CV72)=5,ROUND((LARGE(CV68:CV72,2)+LARGE(CV68:CV72,3)+LARGE(CV68:CV72,4))/3,1),"")</f>
        <v/>
      </c>
      <c r="CW73" s="49" t="str">
        <f aca="false">IF(COUNT(CW68:CW72)=5,ROUND((LARGE(CW68:CW72,2)+LARGE(CW68:CW72,3)+LARGE(CW68:CW72,4))/3,1),"")</f>
        <v/>
      </c>
      <c r="CX73" s="49" t="str">
        <f aca="false">IF(COUNT(CX68:CX72)=5,ROUND((LARGE(CX68:CX72,2)+LARGE(CX68:CX72,3)+LARGE(CX68:CX72,4))/3,1),"")</f>
        <v/>
      </c>
      <c r="CY73" s="49" t="str">
        <f aca="false">IF(COUNT(CY68:CY72)=5,ROUND((LARGE(CY68:CY72,2)+LARGE(CY68:CY72,3)+LARGE(CY68:CY72,4))/3,1),"")</f>
        <v/>
      </c>
      <c r="CZ73" s="49" t="str">
        <f aca="false">IF(COUNT(CZ68:CZ72)=5,ROUND((LARGE(CZ68:CZ72,2)+LARGE(CZ68:CZ72,3)+LARGE(CZ68:CZ72,4))/3,1),"")</f>
        <v/>
      </c>
      <c r="DA73" s="49" t="str">
        <f aca="false">IF(COUNT(DA68:DA72)=5,ROUND((LARGE(DA68:DA72,2)+LARGE(DA68:DA72,3)+LARGE(DA68:DA72,4))/3,1),"")</f>
        <v/>
      </c>
      <c r="DB73" s="49" t="str">
        <f aca="false">IF(COUNT(DB68:DB72)=5,ROUND((LARGE(DB68:DB72,2)+LARGE(DB68:DB72,3)+LARGE(DB68:DB72,4))/3,1),"")</f>
        <v/>
      </c>
      <c r="DC73" s="49" t="n">
        <f aca="false">IF(COUNT(DC68:DC72)=5,ROUND((LARGE(DC68:DC72,2)+LARGE(DC68:DC72,3)+LARGE(DC68:DC72,4))/3,1),"")</f>
        <v>19</v>
      </c>
      <c r="DD73" s="49" t="str">
        <f aca="false">IF(COUNT(DD68:DD72)=5,ROUND((LARGE(DD68:DD72,2)+LARGE(DD68:DD72,3)+LARGE(DD68:DD72,4))/3,1),"")</f>
        <v/>
      </c>
      <c r="DE73" s="49" t="str">
        <f aca="false">IF(COUNT(DE68:DE72)=5,ROUND((LARGE(DE68:DE72,2)+LARGE(DE68:DE72,3)+LARGE(DE68:DE72,4))/3,1),"")</f>
        <v/>
      </c>
      <c r="DF73" s="49" t="str">
        <f aca="false">IF(COUNT(DF68:DF72)=5,ROUND((LARGE(DF68:DF72,2)+LARGE(DF68:DF72,3)+LARGE(DF68:DF72,4))/3,1),"")</f>
        <v/>
      </c>
      <c r="DG73" s="49" t="str">
        <f aca="false">IF(COUNT(DG68:DG72)=5,ROUND((LARGE(DG68:DG72,2)+LARGE(DG68:DG72,3)+LARGE(DG68:DG72,4))/3,1),"")</f>
        <v/>
      </c>
      <c r="DH73" s="49" t="str">
        <f aca="false">IF(COUNT(DH68:DH72)=5,ROUND((LARGE(DH68:DH72,2)+LARGE(DH68:DH72,3)+LARGE(DH68:DH72,4))/3,1),"")</f>
        <v/>
      </c>
      <c r="DI73" s="49" t="str">
        <f aca="false">IF(COUNT(DI68:DI72)=5,ROUND((LARGE(DI68:DI72,2)+LARGE(DI68:DI72,3)+LARGE(DI68:DI72,4))/3,1),"")</f>
        <v/>
      </c>
      <c r="DJ73" s="49" t="str">
        <f aca="false">IF(COUNT(DJ68:DJ72)=5,ROUND((LARGE(DJ68:DJ72,2)+LARGE(DJ68:DJ72,3)+LARGE(DJ68:DJ72,4))/3,1),"")</f>
        <v/>
      </c>
      <c r="DK73" s="49" t="str">
        <f aca="false">IF(COUNT(DK68:DK72)=5,ROUND((LARGE(DK68:DK72,2)+LARGE(DK68:DK72,3)+LARGE(DK68:DK72,4))/3,1),"")</f>
        <v/>
      </c>
      <c r="DL73" s="49" t="str">
        <f aca="false">IF(COUNT(DL68:DL72)=5,ROUND((LARGE(DL68:DL72,2)+LARGE(DL68:DL72,3)+LARGE(DL68:DL72,4))/3,1),"")</f>
        <v/>
      </c>
      <c r="DM73" s="49" t="str">
        <f aca="false">IF(COUNT(DM68:DM72)=5,ROUND((LARGE(DM68:DM72,2)+LARGE(DM68:DM72,3)+LARGE(DM68:DM72,4))/3,1),"")</f>
        <v/>
      </c>
      <c r="DN73" s="49" t="str">
        <f aca="false">IF(COUNT(DN68:DN72)=5,ROUND((LARGE(DN68:DN72,2)+LARGE(DN68:DN72,3)+LARGE(DN68:DN72,4))/3,1),"")</f>
        <v/>
      </c>
      <c r="DO73" s="49" t="str">
        <f aca="false">IF(COUNT(DO68:DO72)=5,ROUND((LARGE(DO68:DO72,2)+LARGE(DO68:DO72,3)+LARGE(DO68:DO72,4))/3,1),"")</f>
        <v/>
      </c>
      <c r="DP73" s="49" t="str">
        <f aca="false">IF(COUNT(DP68:DP72)=5,ROUND((LARGE(DP68:DP72,2)+LARGE(DP68:DP72,3)+LARGE(DP68:DP72,4))/3,1),"")</f>
        <v/>
      </c>
      <c r="DQ73" s="49" t="str">
        <f aca="false">IF(COUNT(DQ68:DQ72)=5,ROUND((LARGE(DQ68:DQ72,2)+LARGE(DQ68:DQ72,3)+LARGE(DQ68:DQ72,4))/3,1),"")</f>
        <v/>
      </c>
      <c r="DR73" s="49" t="n">
        <f aca="false">IF(COUNT(DR68:DR72)=5,ROUND((LARGE(DR68:DR72,2)+LARGE(DR68:DR72,3)+LARGE(DR68:DR72,4))/3,1),"")</f>
        <v>20</v>
      </c>
      <c r="DS73" s="49" t="str">
        <f aca="false">IF(COUNT(DS68:DS72)=5,ROUND((LARGE(DS68:DS72,2)+LARGE(DS68:DS72,3)+LARGE(DS68:DS72,4))/3,1),"")</f>
        <v/>
      </c>
      <c r="DT73" s="49" t="str">
        <f aca="false">IF(COUNT(DT68:DT72)=5,ROUND((LARGE(DT68:DT72,2)+LARGE(DT68:DT72,3)+LARGE(DT68:DT72,4))/3,1),"")</f>
        <v/>
      </c>
      <c r="DU73" s="49" t="str">
        <f aca="false">IF(COUNT(DU68:DU72)=5,ROUND((LARGE(DU68:DU72,2)+LARGE(DU68:DU72,3)+LARGE(DU68:DU72,4))/3,1),"")</f>
        <v/>
      </c>
      <c r="DV73" s="49" t="str">
        <f aca="false">IF(COUNT(DV68:DV72)=5,ROUND((LARGE(DV68:DV72,2)+LARGE(DV68:DV72,3)+LARGE(DV68:DV72,4))/3,1),"")</f>
        <v/>
      </c>
      <c r="DW73" s="49" t="str">
        <f aca="false">IF(COUNT(DW68:DW72)=5,ROUND((LARGE(DW68:DW72,2)+LARGE(DW68:DW72,3)+LARGE(DW68:DW72,4))/3,1),"")</f>
        <v/>
      </c>
      <c r="DX73" s="49" t="str">
        <f aca="false">IF(COUNT(DX68:DX72)=5,ROUND((LARGE(DX68:DX72,2)+LARGE(DX68:DX72,3)+LARGE(DX68:DX72,4))/3,1),"")</f>
        <v/>
      </c>
      <c r="DY73" s="49" t="str">
        <f aca="false">IF(COUNT(DY68:DY72)=5,ROUND((LARGE(DY68:DY72,2)+LARGE(DY68:DY72,3)+LARGE(DY68:DY72,4))/3,1),"")</f>
        <v/>
      </c>
      <c r="DZ73" s="49" t="str">
        <f aca="false">IF(COUNT(DZ68:DZ72)=5,ROUND((LARGE(DZ68:DZ72,2)+LARGE(DZ68:DZ72,3)+LARGE(DZ68:DZ72,4))/3,1),"")</f>
        <v/>
      </c>
      <c r="EA73" s="49" t="str">
        <f aca="false">IF(COUNT(EA68:EA72)=5,ROUND((LARGE(EA68:EA72,2)+LARGE(EA68:EA72,3)+LARGE(EA68:EA72,4))/3,1),"")</f>
        <v/>
      </c>
      <c r="EB73" s="49" t="str">
        <f aca="false">IF(COUNT(EB68:EB72)=5,ROUND((LARGE(EB68:EB72,2)+LARGE(EB68:EB72,3)+LARGE(EB68:EB72,4))/3,1),"")</f>
        <v/>
      </c>
      <c r="EC73" s="49" t="str">
        <f aca="false">IF(COUNT(EC68:EC72)=5,ROUND((LARGE(EC68:EC72,2)+LARGE(EC68:EC72,3)+LARGE(EC68:EC72,4))/3,1),"")</f>
        <v/>
      </c>
      <c r="ED73" s="49" t="str">
        <f aca="false">IF(COUNT(ED68:ED72)=5,ROUND((LARGE(ED68:ED72,2)+LARGE(ED68:ED72,3)+LARGE(ED68:ED72,4))/3,1),"")</f>
        <v/>
      </c>
      <c r="EE73" s="49" t="str">
        <f aca="false">IF(COUNT(EE68:EE72)=5,ROUND((LARGE(EE68:EE72,2)+LARGE(EE68:EE72,3)+LARGE(EE68:EE72,4))/3,1),"")</f>
        <v/>
      </c>
      <c r="EF73" s="49" t="str">
        <f aca="false">IF(COUNT(EF68:EF72)=5,ROUND((LARGE(EF68:EF72,2)+LARGE(EF68:EF72,3)+LARGE(EF68:EF72,4))/3,1),"")</f>
        <v/>
      </c>
      <c r="EG73" s="49" t="str">
        <f aca="false">IF(COUNT(EG68:EG72)=5,ROUND((LARGE(EG68:EG72,2)+LARGE(EG68:EG72,3)+LARGE(EG68:EG72,4))/3,1),"")</f>
        <v/>
      </c>
      <c r="EH73" s="49" t="str">
        <f aca="false">IF(COUNT(EH68:EH72)=5,ROUND((LARGE(EH68:EH72,2)+LARGE(EH68:EH72,3)+LARGE(EH68:EH72,4))/3,1),"")</f>
        <v/>
      </c>
      <c r="EI73" s="49" t="str">
        <f aca="false">IF(COUNT(EI68:EI72)=5,ROUND((LARGE(EI68:EI72,2)+LARGE(EI68:EI72,3)+LARGE(EI68:EI72,4))/3,1),"")</f>
        <v/>
      </c>
      <c r="EJ73" s="49" t="str">
        <f aca="false">IF(COUNT(EJ68:EJ72)=5,ROUND((LARGE(EJ68:EJ72,2)+LARGE(EJ68:EJ72,3)+LARGE(EJ68:EJ72,4))/3,1),"")</f>
        <v/>
      </c>
      <c r="EK73" s="49" t="str">
        <f aca="false">IF(COUNT(EK68:EK72)=5,ROUND((LARGE(EK68:EK72,2)+LARGE(EK68:EK72,3)+LARGE(EK68:EK72,4))/3,1),"")</f>
        <v/>
      </c>
      <c r="EL73" s="49" t="str">
        <f aca="false">IF(COUNT(EL68:EL72)=5,ROUND((LARGE(EL68:EL72,2)+LARGE(EL68:EL72,3)+LARGE(EL68:EL72,4))/3,1),"")</f>
        <v/>
      </c>
      <c r="EM73" s="49" t="str">
        <f aca="false">IF(COUNT(EM68:EM72)=5,ROUND((LARGE(EM68:EM72,2)+LARGE(EM68:EM72,3)+LARGE(EM68:EM72,4))/3,1),"")</f>
        <v/>
      </c>
      <c r="EN73" s="49" t="str">
        <f aca="false">IF(COUNT(EN68:EN72)=5,ROUND((LARGE(EN68:EN72,2)+LARGE(EN68:EN72,3)+LARGE(EN68:EN72,4))/3,1),"")</f>
        <v/>
      </c>
      <c r="EO73" s="49" t="str">
        <f aca="false">IF(COUNT(EO68:EO72)=5,ROUND((LARGE(EO68:EO72,2)+LARGE(EO68:EO72,3)+LARGE(EO68:EO72,4))/3,1),"")</f>
        <v/>
      </c>
      <c r="EP73" s="49" t="str">
        <f aca="false">IF(COUNT(EP68:EP72)=5,ROUND((LARGE(EP68:EP72,2)+LARGE(EP68:EP72,3)+LARGE(EP68:EP72,4))/3,1),"")</f>
        <v/>
      </c>
      <c r="EQ73" s="49" t="str">
        <f aca="false">IF(COUNT(EQ68:EQ72)=5,ROUND((LARGE(EQ68:EQ72,2)+LARGE(EQ68:EQ72,3)+LARGE(EQ68:EQ72,4))/3,1),"")</f>
        <v/>
      </c>
      <c r="ER73" s="49" t="str">
        <f aca="false">IF(COUNT(ER68:ER72)=5,ROUND((LARGE(ER68:ER72,2)+LARGE(ER68:ER72,3)+LARGE(ER68:ER72,4))/3,1),"")</f>
        <v/>
      </c>
      <c r="ES73" s="49" t="str">
        <f aca="false">IF(COUNT(ES68:ES72)=5,ROUND((LARGE(ES68:ES72,2)+LARGE(ES68:ES72,3)+LARGE(ES68:ES72,4))/3,1),"")</f>
        <v/>
      </c>
      <c r="ET73" s="49" t="str">
        <f aca="false">IF(COUNT(ET68:ET72)=5,ROUND((LARGE(ET68:ET72,2)+LARGE(ET68:ET72,3)+LARGE(ET68:ET72,4))/3,1),"")</f>
        <v/>
      </c>
      <c r="EU73" s="49" t="str">
        <f aca="false">IF(COUNT(EU68:EU72)=5,ROUND((LARGE(EU68:EU72,2)+LARGE(EU68:EU72,3)+LARGE(EU68:EU72,4))/3,1),"")</f>
        <v/>
      </c>
      <c r="EV73" s="49" t="str">
        <f aca="false">IF(COUNT(EV68:EV72)=5,ROUND((LARGE(EV68:EV72,2)+LARGE(EV68:EV72,3)+LARGE(EV68:EV72,4))/3,1),"")</f>
        <v/>
      </c>
      <c r="EW73" s="49" t="str">
        <f aca="false">IF(COUNT(EW68:EW72)=5,ROUND((LARGE(EW68:EW72,2)+LARGE(EW68:EW72,3)+LARGE(EW68:EW72,4))/3,1),"")</f>
        <v/>
      </c>
      <c r="EX73" s="49" t="str">
        <f aca="false">IF(COUNT(EX68:EX72)=5,ROUND((LARGE(EX68:EX72,2)+LARGE(EX68:EX72,3)+LARGE(EX68:EX72,4))/3,1),"")</f>
        <v/>
      </c>
      <c r="EY73" s="49" t="str">
        <f aca="false">IF(COUNT(EY68:EY72)=5,ROUND((LARGE(EY68:EY72,2)+LARGE(EY68:EY72,3)+LARGE(EY68:EY72,4))/3,1),"")</f>
        <v/>
      </c>
      <c r="EZ73" s="49" t="str">
        <f aca="false">IF(COUNT(EZ68:EZ72)=5,ROUND((LARGE(EZ68:EZ72,2)+LARGE(EZ68:EZ72,3)+LARGE(EZ68:EZ72,4))/3,1),"")</f>
        <v/>
      </c>
      <c r="FA73" s="49" t="str">
        <f aca="false">IF(COUNT(FA68:FA72)=5,ROUND((LARGE(FA68:FA72,2)+LARGE(FA68:FA72,3)+LARGE(FA68:FA72,4))/3,1),"")</f>
        <v/>
      </c>
      <c r="FB73" s="49" t="str">
        <f aca="false">IF(COUNT(FB68:FB72)=5,ROUND((LARGE(FB68:FB72,2)+LARGE(FB68:FB72,3)+LARGE(FB68:FB72,4))/3,1),"")</f>
        <v/>
      </c>
      <c r="FC73" s="49" t="str">
        <f aca="false">IF(COUNT(FC68:FC72)=5,ROUND((LARGE(FC68:FC72,2)+LARGE(FC68:FC72,3)+LARGE(FC68:FC72,4))/3,1),"")</f>
        <v/>
      </c>
      <c r="FD73" s="49" t="str">
        <f aca="false">IF(COUNT(FD68:FD72)=5,ROUND((LARGE(FD68:FD72,2)+LARGE(FD68:FD72,3)+LARGE(FD68:FD72,4))/3,1),"")</f>
        <v/>
      </c>
      <c r="FE73" s="49" t="str">
        <f aca="false">IF(COUNT(FE68:FE72)=5,ROUND((LARGE(FE68:FE72,2)+LARGE(FE68:FE72,3)+LARGE(FE68:FE72,4))/3,1),"")</f>
        <v/>
      </c>
      <c r="FF73" s="49" t="str">
        <f aca="false">IF(COUNT(FF68:FF72)=5,ROUND((LARGE(FF68:FF72,2)+LARGE(FF68:FF72,3)+LARGE(FF68:FF72,4))/3,1),"")</f>
        <v/>
      </c>
      <c r="FG73" s="49" t="str">
        <f aca="false">IF(COUNT(FG68:FG72)=5,ROUND((LARGE(FG68:FG72,2)+LARGE(FG68:FG72,3)+LARGE(FG68:FG72,4))/3,1),"")</f>
        <v/>
      </c>
      <c r="FH73" s="49" t="str">
        <f aca="false">IF(COUNT(FH68:FH72)=5,ROUND((LARGE(FH68:FH72,2)+LARGE(FH68:FH72,3)+LARGE(FH68:FH72,4))/3,1),"")</f>
        <v/>
      </c>
      <c r="FI73" s="49" t="str">
        <f aca="false">IF(COUNT(FI68:FI72)=5,ROUND((LARGE(FI68:FI72,2)+LARGE(FI68:FI72,3)+LARGE(FI68:FI72,4))/3,1),"")</f>
        <v/>
      </c>
      <c r="FJ73" s="49" t="str">
        <f aca="false">IF(COUNT(FJ68:FJ72)=5,ROUND((LARGE(FJ68:FJ72,2)+LARGE(FJ68:FJ72,3)+LARGE(FJ68:FJ72,4))/3,1),"")</f>
        <v/>
      </c>
      <c r="FK73" s="49" t="str">
        <f aca="false">IF(COUNT(FK68:FK72)=5,ROUND((LARGE(FK68:FK72,2)+LARGE(FK68:FK72,3)+LARGE(FK68:FK72,4))/3,1),"")</f>
        <v/>
      </c>
      <c r="FL73" s="49" t="str">
        <f aca="false">IF(COUNT(FL68:FL72)=5,ROUND((LARGE(FL68:FL72,2)+LARGE(FL68:FL72,3)+LARGE(FL68:FL72,4))/3,1),"")</f>
        <v/>
      </c>
      <c r="FM73" s="49" t="str">
        <f aca="false">IF(COUNT(FM68:FM72)=5,ROUND((LARGE(FM68:FM72,2)+LARGE(FM68:FM72,3)+LARGE(FM68:FM72,4))/3,1),"")</f>
        <v/>
      </c>
      <c r="FN73" s="49" t="str">
        <f aca="false">IF(COUNT(FN68:FN72)=5,ROUND((LARGE(FN68:FN72,2)+LARGE(FN68:FN72,3)+LARGE(FN68:FN72,4))/3,1),"")</f>
        <v/>
      </c>
      <c r="FO73" s="49" t="str">
        <f aca="false">IF(COUNT(FO68:FO72)=5,ROUND((LARGE(FO68:FO72,2)+LARGE(FO68:FO72,3)+LARGE(FO68:FO72,4))/3,1),"")</f>
        <v/>
      </c>
      <c r="FP73" s="49" t="str">
        <f aca="false">IF(COUNT(FP68:FP72)=5,ROUND((LARGE(FP68:FP72,2)+LARGE(FP68:FP72,3)+LARGE(FP68:FP72,4))/3,1),"")</f>
        <v/>
      </c>
      <c r="FQ73" s="49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388</v>
      </c>
      <c r="B74" s="38" t="s">
        <v>424</v>
      </c>
    </row>
    <row r="75" customFormat="false" ht="15" hidden="false" customHeight="false" outlineLevel="0" collapsed="false">
      <c r="A75" s="37" t="s">
        <v>388</v>
      </c>
      <c r="B75" s="38" t="s">
        <v>425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388</v>
      </c>
      <c r="B76" s="38" t="s">
        <v>426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388</v>
      </c>
      <c r="B77" s="38" t="s">
        <v>427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পানি বের করা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388</v>
      </c>
      <c r="B78" s="38" t="s">
        <v>428</v>
      </c>
      <c r="D78" s="36" t="str">
        <f aca="false">IF(D1="","",IF(AND(ISNUMBER(D8),OR(D8&lt;0,D8&gt;300)),"বৃষ্টি সীমার বাইরে; ","")&amp;IF(AND(ISNUMBER(D9),OR(D9&lt;0,D9&gt;45)),"তাপমাত্রা সীমার বাইরে; ","")&amp;IF(AND(ISNUMBER(D10),OR(D10&lt;0,D10&gt;100)),"আর্দ্রতা সীমার বাইরে; ",""))</f>
        <v/>
      </c>
      <c r="E78" s="36" t="str">
        <f aca="false">IF(E1="","",IF(AND(ISNUMBER(E8),OR(E8&lt;0,E8&gt;300)),"বৃষ্টি সীমার বাইরে; ","")&amp;IF(AND(ISNUMBER(E9),OR(E9&lt;0,E9&gt;45)),"তাপমাত্রা সীমার বাইরে; ","")&amp;IF(AND(ISNUMBER(E10),OR(E10&lt;0,E10&gt;100)),"আর্দ্রতা সীমার বাইরে; ",""))</f>
        <v/>
      </c>
      <c r="F78" s="36" t="str">
        <f aca="false">IF(F1="","",IF(AND(ISNUMBER(F8),OR(F8&lt;0,F8&gt;300)),"বৃষ্টি সীমার বাইরে; ","")&amp;IF(AND(ISNUMBER(F9),OR(F9&lt;0,F9&gt;45)),"তাপমাত্রা সীমার বাইরে; ","")&amp;IF(AND(ISNUMBER(F10),OR(F10&lt;0,F10&gt;100)),"আর্দ্রতা সীমার বাইরে; ",""))</f>
        <v/>
      </c>
      <c r="G78" s="36" t="str">
        <f aca="false">IF(G1="","",IF(AND(ISNUMBER(G8),OR(G8&lt;0,G8&gt;300)),"বৃষ্টি সীমার বাইরে; ","")&amp;IF(AND(ISNUMBER(G9),OR(G9&lt;0,G9&gt;45)),"তাপমাত্রা সীমার বাইরে; ","")&amp;IF(AND(ISNUMBER(G10),OR(G10&lt;0,G10&gt;100)),"আর্দ্রতা সীমার বাইরে; ",""))</f>
        <v/>
      </c>
      <c r="H78" s="36" t="str">
        <f aca="false">IF(H1="","",IF(AND(ISNUMBER(H8),OR(H8&lt;0,H8&gt;300)),"বৃষ্টি সীমার বাইরে; ","")&amp;IF(AND(ISNUMBER(H9),OR(H9&lt;0,H9&gt;45)),"তাপমাত্রা সীমার বাইরে; ","")&amp;IF(AND(ISNUMBER(H10),OR(H10&lt;0,H10&gt;100)),"আর্দ্রতা সীমার বাইরে; ",""))</f>
        <v/>
      </c>
      <c r="I78" s="36" t="str">
        <f aca="false">IF(I1="","",IF(AND(ISNUMBER(I8),OR(I8&lt;0,I8&gt;300)),"বৃষ্টি সীমার বাইরে; ","")&amp;IF(AND(ISNUMBER(I9),OR(I9&lt;0,I9&gt;45)),"তাপমাত্রা সীমার বাইরে; ","")&amp;IF(AND(ISNUMBER(I10),OR(I10&lt;0,I10&gt;100)),"আর্দ্রতা সীমার বাইরে; ",""))</f>
        <v/>
      </c>
      <c r="J78" s="36" t="str">
        <f aca="false">IF(J1="","",IF(AND(ISNUMBER(J8),OR(J8&lt;0,J8&gt;300)),"বৃষ্টি সীমার বাইরে; ","")&amp;IF(AND(ISNUMBER(J9),OR(J9&lt;0,J9&gt;45)),"তাপমাত্রা সীমার বাইরে; ","")&amp;IF(AND(ISNUMBER(J10),OR(J10&lt;0,J10&gt;100)),"আর্দ্রতা সীমার বাইরে; ",""))</f>
        <v/>
      </c>
      <c r="K78" s="36" t="str">
        <f aca="false">IF(K1="","",IF(AND(ISNUMBER(K8),OR(K8&lt;0,K8&gt;300)),"বৃষ্টি সীমার বাইরে; ","")&amp;IF(AND(ISNUMBER(K9),OR(K9&lt;0,K9&gt;45)),"তাপমাত্রা সীমার বাইরে; ","")&amp;IF(AND(ISNUMBER(K10),OR(K10&lt;0,K10&gt;100)),"আর্দ্রতা সীমার বাইরে; ",""))</f>
        <v/>
      </c>
      <c r="L78" s="36" t="str">
        <f aca="false">IF(L1="","",IF(AND(ISNUMBER(L8),OR(L8&lt;0,L8&gt;300)),"বৃষ্টি সীমার বাইরে; ","")&amp;IF(AND(ISNUMBER(L9),OR(L9&lt;0,L9&gt;45)),"তাপমাত্রা সীমার বাইরে; ","")&amp;IF(AND(ISNUMBER(L10),OR(L10&lt;0,L10&gt;100)),"আর্দ্রতা সীমার বাইরে; ",""))</f>
        <v/>
      </c>
      <c r="M78" s="36" t="str">
        <f aca="false">IF(M1="","",IF(AND(ISNUMBER(M8),OR(M8&lt;0,M8&gt;300)),"বৃষ্টি সীমার বাইরে; ","")&amp;IF(AND(ISNUMBER(M9),OR(M9&lt;0,M9&gt;45)),"তাপমাত্রা সীমার বাইরে; ","")&amp;IF(AND(ISNUMBER(M10),OR(M10&lt;0,M10&gt;100)),"আর্দ্রতা সীমার বাইরে; ",""))</f>
        <v/>
      </c>
      <c r="N78" s="36" t="str">
        <f aca="false">IF(N1="","",IF(AND(ISNUMBER(N8),OR(N8&lt;0,N8&gt;300)),"বৃষ্টি সীমার বাইরে; ","")&amp;IF(AND(ISNUMBER(N9),OR(N9&lt;0,N9&gt;45)),"তাপমাত্রা সীমার বাইরে; ","")&amp;IF(AND(ISNUMBER(N10),OR(N10&lt;0,N10&gt;100)),"আর্দ্রতা সীমার বাইরে; ",""))</f>
        <v/>
      </c>
      <c r="O78" s="36" t="str">
        <f aca="false">IF(O1="","",IF(AND(ISNUMBER(O8),OR(O8&lt;0,O8&gt;300)),"বৃষ্টি সীমার বাইরে; ","")&amp;IF(AND(ISNUMBER(O9),OR(O9&lt;0,O9&gt;45)),"তাপমাত্রা সীমার বাইরে; ","")&amp;IF(AND(ISNUMBER(O10),OR(O10&lt;0,O10&gt;100)),"আর্দ্রতা সীমার বাইরে; ",""))</f>
        <v/>
      </c>
      <c r="P78" s="36" t="str">
        <f aca="false">IF(P1="","",IF(AND(ISNUMBER(P8),OR(P8&lt;0,P8&gt;300)),"বৃষ্টি সীমার বাইরে; ","")&amp;IF(AND(ISNUMBER(P9),OR(P9&lt;0,P9&gt;45)),"তাপমাত্রা সীমার বাইরে; ","")&amp;IF(AND(ISNUMBER(P10),OR(P10&lt;0,P10&gt;100)),"আর্দ্রতা সীমার বাইরে; ",""))</f>
        <v/>
      </c>
      <c r="Q78" s="36" t="str">
        <f aca="false">IF(Q1="","",IF(AND(ISNUMBER(Q8),OR(Q8&lt;0,Q8&gt;300)),"বৃষ্টি সীমার বাইরে; ","")&amp;IF(AND(ISNUMBER(Q9),OR(Q9&lt;0,Q9&gt;45)),"তাপমাত্রা সীমার বাইরে; ","")&amp;IF(AND(ISNUMBER(Q10),OR(Q10&lt;0,Q10&gt;100)),"আর্দ্রতা সীমার বাইরে; ",""))</f>
        <v/>
      </c>
      <c r="R78" s="36" t="str">
        <f aca="false">IF(R1="","",IF(AND(ISNUMBER(R8),OR(R8&lt;0,R8&gt;300)),"বৃষ্টি সীমার বাইরে; ","")&amp;IF(AND(ISNUMBER(R9),OR(R9&lt;0,R9&gt;45)),"তাপমাত্রা সীমার বাইরে; ","")&amp;IF(AND(ISNUMBER(R10),OR(R10&lt;0,R10&gt;100)),"আর্দ্রতা সীমার বাইরে; ",""))</f>
        <v/>
      </c>
      <c r="S78" s="36" t="str">
        <f aca="false">IF(S1="","",IF(AND(ISNUMBER(S8),OR(S8&lt;0,S8&gt;300)),"বৃষ্টি সীমার বাইরে; ","")&amp;IF(AND(ISNUMBER(S9),OR(S9&lt;0,S9&gt;45)),"তাপমাত্রা সীমার বাইরে; ","")&amp;IF(AND(ISNUMBER(S10),OR(S10&lt;0,S10&gt;100)),"আর্দ্রতা সীমার বাইরে; ",""))</f>
        <v/>
      </c>
      <c r="T78" s="36" t="str">
        <f aca="false">IF(T1="","",IF(AND(ISNUMBER(T8),OR(T8&lt;0,T8&gt;300)),"বৃষ্টি সীমার বাইরে; ","")&amp;IF(AND(ISNUMBER(T9),OR(T9&lt;0,T9&gt;45)),"তাপমাত্রা সীমার বাইরে; ","")&amp;IF(AND(ISNUMBER(T10),OR(T10&lt;0,T10&gt;100)),"আর্দ্রতা সীমার বাইরে; ",""))</f>
        <v/>
      </c>
      <c r="U78" s="36" t="str">
        <f aca="false">IF(U1="","",IF(AND(ISNUMBER(U8),OR(U8&lt;0,U8&gt;300)),"বৃষ্টি সীমার বাইরে; ","")&amp;IF(AND(ISNUMBER(U9),OR(U9&lt;0,U9&gt;45)),"তাপমাত্রা সীমার বাইরে; ","")&amp;IF(AND(ISNUMBER(U10),OR(U10&lt;0,U10&gt;100)),"আর্দ্রতা সীমার বাইরে; ",""))</f>
        <v/>
      </c>
      <c r="V78" s="36" t="str">
        <f aca="false">IF(V1="","",IF(AND(ISNUMBER(V8),OR(V8&lt;0,V8&gt;300)),"বৃষ্টি সীমার বাইরে; ","")&amp;IF(AND(ISNUMBER(V9),OR(V9&lt;0,V9&gt;45)),"তাপমাত্রা সীমার বাইরে; ","")&amp;IF(AND(ISNUMBER(V10),OR(V10&lt;0,V10&gt;100)),"আর্দ্রতা সীমার বাইরে; ",""))</f>
        <v/>
      </c>
      <c r="W78" s="36" t="str">
        <f aca="false">IF(W1="","",IF(AND(ISNUMBER(W8),OR(W8&lt;0,W8&gt;300)),"বৃষ্টি সীমার বাইরে; ","")&amp;IF(AND(ISNUMBER(W9),OR(W9&lt;0,W9&gt;45)),"তাপমাত্রা সীমার বাইরে; ","")&amp;IF(AND(ISNUMBER(W10),OR(W10&lt;0,W10&gt;100)),"আর্দ্রতা সীমার বাইরে; ",""))</f>
        <v/>
      </c>
      <c r="X78" s="36" t="str">
        <f aca="false">IF(X1="","",IF(AND(ISNUMBER(X8),OR(X8&lt;0,X8&gt;300)),"বৃষ্টি সীমার বাইরে; ","")&amp;IF(AND(ISNUMBER(X9),OR(X9&lt;0,X9&gt;45)),"তাপমাত্রা সীমার বাইরে; ","")&amp;IF(AND(ISNUMBER(X10),OR(X10&lt;0,X10&gt;100)),"আর্দ্রতা সীমার বাইরে; ",""))</f>
        <v/>
      </c>
      <c r="Y78" s="36" t="str">
        <f aca="false">IF(Y1="","",IF(AND(ISNUMBER(Y8),OR(Y8&lt;0,Y8&gt;300)),"বৃষ্টি সীমার বাইরে; ","")&amp;IF(AND(ISNUMBER(Y9),OR(Y9&lt;0,Y9&gt;45)),"তাপমাত্রা সীমার বাইরে; ","")&amp;IF(AND(ISNUMBER(Y10),OR(Y10&lt;0,Y10&gt;100)),"আর্দ্রতা সীমার বাইরে; ",""))</f>
        <v/>
      </c>
      <c r="Z78" s="36" t="str">
        <f aca="false">IF(Z1="","",IF(AND(ISNUMBER(Z8),OR(Z8&lt;0,Z8&gt;300)),"বৃষ্টি সীমার বাইরে; ","")&amp;IF(AND(ISNUMBER(Z9),OR(Z9&lt;0,Z9&gt;45)),"তাপমাত্রা সীমার বাইরে; ","")&amp;IF(AND(ISNUMBER(Z10),OR(Z10&lt;0,Z10&gt;100)),"আর্দ্রতা সীমার বাইরে; ",""))</f>
        <v/>
      </c>
      <c r="AA78" s="36" t="str">
        <f aca="false">IF(AA1="","",IF(AND(ISNUMBER(AA8),OR(AA8&lt;0,AA8&gt;300)),"বৃষ্টি সীমার বাইরে; ","")&amp;IF(AND(ISNUMBER(AA9),OR(AA9&lt;0,AA9&gt;45)),"তাপমাত্রা সীমার বাইরে; ","")&amp;IF(AND(ISNUMBER(AA10),OR(AA10&lt;0,AA10&gt;100)),"আর্দ্রতা সীমার বাইরে; ",""))</f>
        <v/>
      </c>
      <c r="AB78" s="36" t="str">
        <f aca="false">IF(AB1="","",IF(AND(ISNUMBER(AB8),OR(AB8&lt;0,AB8&gt;300)),"বৃষ্টি সীমার বাইরে; ","")&amp;IF(AND(ISNUMBER(AB9),OR(AB9&lt;0,AB9&gt;45)),"তাপমাত্রা সীমার বাইরে; ","")&amp;IF(AND(ISNUMBER(AB10),OR(AB10&lt;0,AB10&gt;100)),"আর্দ্রতা সীমার বাইরে; ",""))</f>
        <v/>
      </c>
      <c r="AC78" s="36" t="str">
        <f aca="false">IF(AC1="","",IF(AND(ISNUMBER(AC8),OR(AC8&lt;0,AC8&gt;300)),"বৃষ্টি সীমার বাইরে; ","")&amp;IF(AND(ISNUMBER(AC9),OR(AC9&lt;0,AC9&gt;45)),"তাপমাত্রা সীমার বাইরে; ","")&amp;IF(AND(ISNUMBER(AC10),OR(AC10&lt;0,AC10&gt;100)),"আর্দ্রতা সীমার বাইরে; ",""))</f>
        <v/>
      </c>
      <c r="AD78" s="36" t="str">
        <f aca="false">IF(AD1="","",IF(AND(ISNUMBER(AD8),OR(AD8&lt;0,AD8&gt;300)),"বৃষ্টি সীমার বাইরে; ","")&amp;IF(AND(ISNUMBER(AD9),OR(AD9&lt;0,AD9&gt;45)),"তাপমাত্রা সীমার বাইরে; ","")&amp;IF(AND(ISNUMBER(AD10),OR(AD10&lt;0,AD10&gt;100)),"আর্দ্রতা সীমার বাইরে; ",""))</f>
        <v/>
      </c>
      <c r="AE78" s="36" t="str">
        <f aca="false">IF(AE1="","",IF(AND(ISNUMBER(AE8),OR(AE8&lt;0,AE8&gt;300)),"বৃষ্টি সীমার বাইরে; ","")&amp;IF(AND(ISNUMBER(AE9),OR(AE9&lt;0,AE9&gt;45)),"তাপমাত্রা সীমার বাইরে; ","")&amp;IF(AND(ISNUMBER(AE10),OR(AE10&lt;0,AE10&gt;100)),"আর্দ্রতা সীমার বাইরে; ",""))</f>
        <v/>
      </c>
      <c r="AF78" s="36" t="str">
        <f aca="false">IF(AF1="","",IF(AND(ISNUMBER(AF8),OR(AF8&lt;0,AF8&gt;300)),"বৃষ্টি সীমার বাইরে; ","")&amp;IF(AND(ISNUMBER(AF9),OR(AF9&lt;0,AF9&gt;45)),"তাপমাত্রা সীমার বাইরে; ","")&amp;IF(AND(ISNUMBER(AF10),OR(AF10&lt;0,AF10&gt;100)),"আর্দ্রতা সীমার বাইরে; ",""))</f>
        <v/>
      </c>
      <c r="AG78" s="36" t="str">
        <f aca="false">IF(AG1="","",IF(AND(ISNUMBER(AG8),OR(AG8&lt;0,AG8&gt;300)),"বৃষ্টি সীমার বাইরে; ","")&amp;IF(AND(ISNUMBER(AG9),OR(AG9&lt;0,AG9&gt;45)),"তাপমাত্রা সীমার বাইরে; ","")&amp;IF(AND(ISNUMBER(AG10),OR(AG10&lt;0,AG10&gt;100)),"আর্দ্রতা সীমার বাইরে; ",""))</f>
        <v/>
      </c>
      <c r="AH78" s="36" t="str">
        <f aca="false">IF(AH1="","",IF(AND(ISNUMBER(AH8),OR(AH8&lt;0,AH8&gt;300)),"বৃষ্টি সীমার বাইরে; ","")&amp;IF(AND(ISNUMBER(AH9),OR(AH9&lt;0,AH9&gt;45)),"তাপমাত্রা সীমার বাইরে; ","")&amp;IF(AND(ISNUMBER(AH10),OR(AH10&lt;0,AH10&gt;100)),"আর্দ্রতা সীমার বাইরে; ",""))</f>
        <v/>
      </c>
      <c r="AI78" s="36" t="str">
        <f aca="false">IF(AI1="","",IF(AND(ISNUMBER(AI8),OR(AI8&lt;0,AI8&gt;300)),"বৃষ্টি সীমার বাইরে; ","")&amp;IF(AND(ISNUMBER(AI9),OR(AI9&lt;0,AI9&gt;45)),"তাপমাত্রা সীমার বাইরে; ","")&amp;IF(AND(ISNUMBER(AI10),OR(AI10&lt;0,AI10&gt;100)),"আর্দ্রতা সীমার বাইরে; ",""))</f>
        <v/>
      </c>
      <c r="AJ78" s="36" t="str">
        <f aca="false">IF(AJ1="","",IF(AND(ISNUMBER(AJ8),OR(AJ8&lt;0,AJ8&gt;300)),"বৃষ্টি সীমার বাইরে; ","")&amp;IF(AND(ISNUMBER(AJ9),OR(AJ9&lt;0,AJ9&gt;45)),"তাপমাত্রা সীমার বাইরে; ","")&amp;IF(AND(ISNUMBER(AJ10),OR(AJ10&lt;0,AJ10&gt;100)),"আর্দ্রতা সীমার বাইরে; ",""))</f>
        <v/>
      </c>
      <c r="AK78" s="36" t="str">
        <f aca="false">IF(AK1="","",IF(AND(ISNUMBER(AK8),OR(AK8&lt;0,AK8&gt;300)),"বৃষ্টি সীমার বাইরে; ","")&amp;IF(AND(ISNUMBER(AK9),OR(AK9&lt;0,AK9&gt;45)),"তাপমাত্রা সীমার বাইরে; ","")&amp;IF(AND(ISNUMBER(AK10),OR(AK10&lt;0,AK10&gt;100)),"আর্দ্রতা সীমার বাইরে; ",""))</f>
        <v/>
      </c>
      <c r="AL78" s="36" t="str">
        <f aca="false">IF(AL1="","",IF(AND(ISNUMBER(AL8),OR(AL8&lt;0,AL8&gt;300)),"বৃষ্টি সীমার বাইরে; ","")&amp;IF(AND(ISNUMBER(AL9),OR(AL9&lt;0,AL9&gt;45)),"তাপমাত্রা সীমার বাইরে; ","")&amp;IF(AND(ISNUMBER(AL10),OR(AL10&lt;0,AL10&gt;100)),"আর্দ্রতা সীমার বাইরে; ",""))</f>
        <v/>
      </c>
      <c r="AM78" s="36" t="str">
        <f aca="false">IF(AM1="","",IF(AND(ISNUMBER(AM8),OR(AM8&lt;0,AM8&gt;300)),"বৃষ্টি সীমার বাইরে; ","")&amp;IF(AND(ISNUMBER(AM9),OR(AM9&lt;0,AM9&gt;45)),"তাপমাত্রা সীমার বাইরে; ","")&amp;IF(AND(ISNUMBER(AM10),OR(AM10&lt;0,AM10&gt;100)),"আর্দ্রতা সীমার বাইরে; ",""))</f>
        <v/>
      </c>
      <c r="AN78" s="36" t="str">
        <f aca="false">IF(AN1="","",IF(AND(ISNUMBER(AN8),OR(AN8&lt;0,AN8&gt;300)),"বৃষ্টি সীমার বাইরে; ","")&amp;IF(AND(ISNUMBER(AN9),OR(AN9&lt;0,AN9&gt;45)),"তাপমাত্রা সীমার বাইরে; ","")&amp;IF(AND(ISNUMBER(AN10),OR(AN10&lt;0,AN10&gt;100)),"আর্দ্রতা সীমার বাইরে; ",""))</f>
        <v/>
      </c>
      <c r="AO78" s="36" t="str">
        <f aca="false">IF(AO1="","",IF(AND(ISNUMBER(AO8),OR(AO8&lt;0,AO8&gt;300)),"বৃষ্টি সীমার বাইরে; ","")&amp;IF(AND(ISNUMBER(AO9),OR(AO9&lt;0,AO9&gt;45)),"তাপমাত্রা সীমার বাইরে; ","")&amp;IF(AND(ISNUMBER(AO10),OR(AO10&lt;0,AO10&gt;100)),"আর্দ্রতা সীমার বাইরে; ",""))</f>
        <v/>
      </c>
      <c r="AP78" s="36" t="str">
        <f aca="false">IF(AP1="","",IF(AND(ISNUMBER(AP8),OR(AP8&lt;0,AP8&gt;300)),"বৃষ্টি সীমার বাইরে; ","")&amp;IF(AND(ISNUMBER(AP9),OR(AP9&lt;0,AP9&gt;45)),"তাপমাত্রা সীমার বাইরে; ","")&amp;IF(AND(ISNUMBER(AP10),OR(AP10&lt;0,AP10&gt;100)),"আর্দ্রতা সীমার বাইরে; ",""))</f>
        <v/>
      </c>
      <c r="AQ78" s="36" t="str">
        <f aca="false">IF(AQ1="","",IF(AND(ISNUMBER(AQ8),OR(AQ8&lt;0,AQ8&gt;300)),"বৃষ্টি সীমার বাইরে; ","")&amp;IF(AND(ISNUMBER(AQ9),OR(AQ9&lt;0,AQ9&gt;45)),"তাপমাত্রা সীমার বাইরে; ","")&amp;IF(AND(ISNUMBER(AQ10),OR(AQ10&lt;0,AQ10&gt;100)),"আর্দ্রতা সীমার বাইরে; ",""))</f>
        <v/>
      </c>
      <c r="AR78" s="36" t="str">
        <f aca="false">IF(AR1="","",IF(AND(ISNUMBER(AR8),OR(AR8&lt;0,AR8&gt;300)),"বৃষ্টি সীমার বাইরে; ","")&amp;IF(AND(ISNUMBER(AR9),OR(AR9&lt;0,AR9&gt;45)),"তাপমাত্রা সীমার বাইরে; ","")&amp;IF(AND(ISNUMBER(AR10),OR(AR10&lt;0,AR10&gt;100)),"আর্দ্রতা সীমার বাইরে; ",""))</f>
        <v/>
      </c>
      <c r="AS78" s="36" t="str">
        <f aca="false">IF(AS1="","",IF(AND(ISNUMBER(AS8),OR(AS8&lt;0,AS8&gt;300)),"বৃষ্টি সীমার বাইরে; ","")&amp;IF(AND(ISNUMBER(AS9),OR(AS9&lt;0,AS9&gt;45)),"তাপমাত্রা সীমার বাইরে; ","")&amp;IF(AND(ISNUMBER(AS10),OR(AS10&lt;0,AS10&gt;100)),"আর্দ্রতা সীমার বাইরে; ",""))</f>
        <v/>
      </c>
      <c r="AT78" s="36" t="str">
        <f aca="false">IF(AT1="","",IF(AND(ISNUMBER(AT8),OR(AT8&lt;0,AT8&gt;300)),"বৃষ্টি সীমার বাইরে; ","")&amp;IF(AND(ISNUMBER(AT9),OR(AT9&lt;0,AT9&gt;45)),"তাপমাত্রা সীমার বাইরে; ","")&amp;IF(AND(ISNUMBER(AT10),OR(AT10&lt;0,AT10&gt;100)),"আর্দ্রতা সীমার বাইরে; ",""))</f>
        <v/>
      </c>
      <c r="AU78" s="36" t="str">
        <f aca="false">IF(AU1="","",IF(AND(ISNUMBER(AU8),OR(AU8&lt;0,AU8&gt;300)),"বৃষ্টি সীমার বাইরে; ","")&amp;IF(AND(ISNUMBER(AU9),OR(AU9&lt;0,AU9&gt;45)),"তাপমাত্রা সীমার বাইরে; ","")&amp;IF(AND(ISNUMBER(AU10),OR(AU10&lt;0,AU10&gt;100)),"আর্দ্রতা সীমার বাইরে; ",""))</f>
        <v/>
      </c>
      <c r="AV78" s="36" t="str">
        <f aca="false">IF(AV1="","",IF(AND(ISNUMBER(AV8),OR(AV8&lt;0,AV8&gt;300)),"বৃষ্টি সীমার বাইরে; ","")&amp;IF(AND(ISNUMBER(AV9),OR(AV9&lt;0,AV9&gt;45)),"তাপমাত্রা সীমার বাইরে; ","")&amp;IF(AND(ISNUMBER(AV10),OR(AV10&lt;0,AV10&gt;100)),"আর্দ্রতা সীমার বাইরে; ",""))</f>
        <v/>
      </c>
      <c r="AW78" s="36" t="str">
        <f aca="false">IF(AW1="","",IF(AND(ISNUMBER(AW8),OR(AW8&lt;0,AW8&gt;300)),"বৃষ্টি সীমার বাইরে; ","")&amp;IF(AND(ISNUMBER(AW9),OR(AW9&lt;0,AW9&gt;45)),"তাপমাত্রা সীমার বাইরে; ","")&amp;IF(AND(ISNUMBER(AW10),OR(AW10&lt;0,AW10&gt;100)),"আর্দ্রতা সীমার বাইরে; ",""))</f>
        <v/>
      </c>
      <c r="AX78" s="36" t="str">
        <f aca="false">IF(AX1="","",IF(AND(ISNUMBER(AX8),OR(AX8&lt;0,AX8&gt;300)),"বৃষ্টি সীমার বাইরে; ","")&amp;IF(AND(ISNUMBER(AX9),OR(AX9&lt;0,AX9&gt;45)),"তাপমাত্রা সীমার বাইরে; ","")&amp;IF(AND(ISNUMBER(AX10),OR(AX10&lt;0,AX10&gt;100)),"আর্দ্রতা সীমার বাইরে; ",""))</f>
        <v/>
      </c>
      <c r="AY78" s="36" t="str">
        <f aca="false">IF(AY1="","",IF(AND(ISNUMBER(AY8),OR(AY8&lt;0,AY8&gt;300)),"বৃষ্টি সীমার বাইরে; ","")&amp;IF(AND(ISNUMBER(AY9),OR(AY9&lt;0,AY9&gt;45)),"তাপমাত্রা সীমার বাইরে; ","")&amp;IF(AND(ISNUMBER(AY10),OR(AY10&lt;0,AY10&gt;100)),"আর্দ্রতা সীমার বাইরে; ",""))</f>
        <v/>
      </c>
      <c r="AZ78" s="36" t="str">
        <f aca="false">IF(AZ1="","",IF(AND(ISNUMBER(AZ8),OR(AZ8&lt;0,AZ8&gt;300)),"বৃষ্টি সীমার বাইরে; ","")&amp;IF(AND(ISNUMBER(AZ9),OR(AZ9&lt;0,AZ9&gt;45)),"তাপমাত্রা সীমার বাইরে; ","")&amp;IF(AND(ISNUMBER(AZ10),OR(AZ10&lt;0,AZ10&gt;100)),"আর্দ্রতা সীমার বাইরে; ",""))</f>
        <v/>
      </c>
      <c r="BA78" s="36" t="str">
        <f aca="false">IF(BA1="","",IF(AND(ISNUMBER(BA8),OR(BA8&lt;0,BA8&gt;300)),"বৃষ্টি সীমার বাইরে; ","")&amp;IF(AND(ISNUMBER(BA9),OR(BA9&lt;0,BA9&gt;45)),"তাপমাত্রা সীমার বাইরে; ","")&amp;IF(AND(ISNUMBER(BA10),OR(BA10&lt;0,BA10&gt;100)),"আর্দ্রতা সীমার বাইরে; ",""))</f>
        <v/>
      </c>
      <c r="BB78" s="36" t="str">
        <f aca="false">IF(BB1="","",IF(AND(ISNUMBER(BB8),OR(BB8&lt;0,BB8&gt;300)),"বৃষ্টি সীমার বাইরে; ","")&amp;IF(AND(ISNUMBER(BB9),OR(BB9&lt;0,BB9&gt;45)),"তাপমাত্রা সীমার বাইরে; ","")&amp;IF(AND(ISNUMBER(BB10),OR(BB10&lt;0,BB10&gt;100)),"আর্দ্রতা সীমার বাইরে; ",""))</f>
        <v/>
      </c>
      <c r="BC78" s="36" t="str">
        <f aca="false">IF(BC1="","",IF(AND(ISNUMBER(BC8),OR(BC8&lt;0,BC8&gt;300)),"বৃষ্টি সীমার বাইরে; ","")&amp;IF(AND(ISNUMBER(BC9),OR(BC9&lt;0,BC9&gt;45)),"তাপমাত্রা সীমার বাইরে; ","")&amp;IF(AND(ISNUMBER(BC10),OR(BC10&lt;0,BC10&gt;100)),"আর্দ্রতা সীমার বাইরে; ",""))</f>
        <v/>
      </c>
      <c r="BD78" s="36" t="str">
        <f aca="false">IF(BD1="","",IF(AND(ISNUMBER(BD8),OR(BD8&lt;0,BD8&gt;300)),"বৃষ্টি সীমার বাইরে; ","")&amp;IF(AND(ISNUMBER(BD9),OR(BD9&lt;0,BD9&gt;45)),"তাপমাত্রা সীমার বাইরে; ","")&amp;IF(AND(ISNUMBER(BD10),OR(BD10&lt;0,BD10&gt;100)),"আর্দ্রতা সীমার বাইরে; ",""))</f>
        <v/>
      </c>
      <c r="BE78" s="36" t="str">
        <f aca="false">IF(BE1="","",IF(AND(ISNUMBER(BE8),OR(BE8&lt;0,BE8&gt;300)),"বৃষ্টি সীমার বাইরে; ","")&amp;IF(AND(ISNUMBER(BE9),OR(BE9&lt;0,BE9&gt;45)),"তাপমাত্রা সীমার বাইরে; ","")&amp;IF(AND(ISNUMBER(BE10),OR(BE10&lt;0,BE10&gt;100)),"আর্দ্রতা সীমার বাইরে; ",""))</f>
        <v/>
      </c>
      <c r="BF78" s="36" t="str">
        <f aca="false">IF(BF1="","",IF(AND(ISNUMBER(BF8),OR(BF8&lt;0,BF8&gt;300)),"বৃষ্টি সীমার বাইরে; ","")&amp;IF(AND(ISNUMBER(BF9),OR(BF9&lt;0,BF9&gt;45)),"তাপমাত্রা সীমার বাইরে; ","")&amp;IF(AND(ISNUMBER(BF10),OR(BF10&lt;0,BF10&gt;100)),"আর্দ্রতা সীমার বাইরে; ",""))</f>
        <v/>
      </c>
      <c r="BG78" s="36" t="str">
        <f aca="false">IF(BG1="","",IF(AND(ISNUMBER(BG8),OR(BG8&lt;0,BG8&gt;300)),"বৃষ্টি সীমার বাইরে; ","")&amp;IF(AND(ISNUMBER(BG9),OR(BG9&lt;0,BG9&gt;45)),"তাপমাত্রা সীমার বাইরে; ","")&amp;IF(AND(ISNUMBER(BG10),OR(BG10&lt;0,BG10&gt;100)),"আর্দ্রতা সীমার বাইরে; ",""))</f>
        <v/>
      </c>
      <c r="BH78" s="36" t="str">
        <f aca="false">IF(BH1="","",IF(AND(ISNUMBER(BH8),OR(BH8&lt;0,BH8&gt;300)),"বৃষ্টি সীমার বাইরে; ","")&amp;IF(AND(ISNUMBER(BH9),OR(BH9&lt;0,BH9&gt;45)),"তাপমাত্রা সীমার বাইরে; ","")&amp;IF(AND(ISNUMBER(BH10),OR(BH10&lt;0,BH10&gt;100)),"আর্দ্রতা সীমার বাইরে; ",""))</f>
        <v/>
      </c>
      <c r="BI78" s="36" t="str">
        <f aca="false">IF(BI1="","",IF(AND(ISNUMBER(BI8),OR(BI8&lt;0,BI8&gt;300)),"বৃষ্টি সীমার বাইরে; ","")&amp;IF(AND(ISNUMBER(BI9),OR(BI9&lt;0,BI9&gt;45)),"তাপমাত্রা সীমার বাইরে; ","")&amp;IF(AND(ISNUMBER(BI10),OR(BI10&lt;0,BI10&gt;100)),"আর্দ্রতা সীমার বাইরে; ",""))</f>
        <v/>
      </c>
      <c r="BJ78" s="36" t="str">
        <f aca="false">IF(BJ1="","",IF(AND(ISNUMBER(BJ8),OR(BJ8&lt;0,BJ8&gt;300)),"বৃষ্টি সীমার বাইরে; ","")&amp;IF(AND(ISNUMBER(BJ9),OR(BJ9&lt;0,BJ9&gt;45)),"তাপমাত্রা সীমার বাইরে; ","")&amp;IF(AND(ISNUMBER(BJ10),OR(BJ10&lt;0,BJ10&gt;100)),"আর্দ্রতা সীমার বাইরে; ",""))</f>
        <v/>
      </c>
      <c r="BK78" s="36" t="str">
        <f aca="false">IF(BK1="","",IF(AND(ISNUMBER(BK8),OR(BK8&lt;0,BK8&gt;300)),"বৃষ্টি সীমার বাইরে; ","")&amp;IF(AND(ISNUMBER(BK9),OR(BK9&lt;0,BK9&gt;45)),"তাপমাত্রা সীমার বাইরে; ","")&amp;IF(AND(ISNUMBER(BK10),OR(BK10&lt;0,BK10&gt;100)),"আর্দ্রতা সীমার বাইরে; ",""))</f>
        <v/>
      </c>
      <c r="BL78" s="36" t="str">
        <f aca="false">IF(BL1="","",IF(AND(ISNUMBER(BL8),OR(BL8&lt;0,BL8&gt;300)),"বৃষ্টি সীমার বাইরে; ","")&amp;IF(AND(ISNUMBER(BL9),OR(BL9&lt;0,BL9&gt;45)),"তাপমাত্রা সীমার বাইরে; ","")&amp;IF(AND(ISNUMBER(BL10),OR(BL10&lt;0,BL10&gt;100)),"আর্দ্রতা সীমার বাইরে; ",""))</f>
        <v/>
      </c>
      <c r="BM78" s="36" t="str">
        <f aca="false">IF(BM1="","",IF(AND(ISNUMBER(BM8),OR(BM8&lt;0,BM8&gt;300)),"বৃষ্টি সীমার বাইরে; ","")&amp;IF(AND(ISNUMBER(BM9),OR(BM9&lt;0,BM9&gt;45)),"তাপমাত্রা সীমার বাইরে; ","")&amp;IF(AND(ISNUMBER(BM10),OR(BM10&lt;0,BM10&gt;100)),"আর্দ্রতা সীমার বাইরে; ",""))</f>
        <v/>
      </c>
      <c r="BN78" s="36" t="str">
        <f aca="false">IF(BN1="","",IF(AND(ISNUMBER(BN8),OR(BN8&lt;0,BN8&gt;300)),"বৃষ্টি সীমার বাইরে; ","")&amp;IF(AND(ISNUMBER(BN9),OR(BN9&lt;0,BN9&gt;45)),"তাপমাত্রা সীমার বাইরে; ","")&amp;IF(AND(ISNUMBER(BN10),OR(BN10&lt;0,BN10&gt;100)),"আর্দ্রতা সীমার বাইরে; ",""))</f>
        <v/>
      </c>
      <c r="BO78" s="36" t="str">
        <f aca="false">IF(BO1="","",IF(AND(ISNUMBER(BO8),OR(BO8&lt;0,BO8&gt;300)),"বৃষ্টি সীমার বাইরে; ","")&amp;IF(AND(ISNUMBER(BO9),OR(BO9&lt;0,BO9&gt;45)),"তাপমাত্রা সীমার বাইরে; ","")&amp;IF(AND(ISNUMBER(BO10),OR(BO10&lt;0,BO10&gt;100)),"আর্দ্রতা সীমার বাইরে; ",""))</f>
        <v/>
      </c>
      <c r="BP78" s="36" t="str">
        <f aca="false">IF(BP1="","",IF(AND(ISNUMBER(BP8),OR(BP8&lt;0,BP8&gt;300)),"বৃষ্টি সীমার বাইরে; ","")&amp;IF(AND(ISNUMBER(BP9),OR(BP9&lt;0,BP9&gt;45)),"তাপমাত্রা সীমার বাইরে; ","")&amp;IF(AND(ISNUMBER(BP10),OR(BP10&lt;0,BP10&gt;100)),"আর্দ্রতা সীমার বাইরে; ",""))</f>
        <v/>
      </c>
      <c r="BQ78" s="36" t="str">
        <f aca="false">IF(BQ1="","",IF(AND(ISNUMBER(BQ8),OR(BQ8&lt;0,BQ8&gt;300)),"বৃষ্টি সীমার বাইরে; ","")&amp;IF(AND(ISNUMBER(BQ9),OR(BQ9&lt;0,BQ9&gt;45)),"তাপমাত্রা সীমার বাইরে; ","")&amp;IF(AND(ISNUMBER(BQ10),OR(BQ10&lt;0,BQ10&gt;100)),"আর্দ্রতা সীমার বাইরে; ",""))</f>
        <v/>
      </c>
      <c r="BR78" s="36" t="str">
        <f aca="false">IF(BR1="","",IF(AND(ISNUMBER(BR8),OR(BR8&lt;0,BR8&gt;300)),"বৃষ্টি সীমার বাইরে; ","")&amp;IF(AND(ISNUMBER(BR9),OR(BR9&lt;0,BR9&gt;45)),"তাপমাত্রা সীমার বাইরে; ","")&amp;IF(AND(ISNUMBER(BR10),OR(BR10&lt;0,BR10&gt;100)),"আর্দ্রতা সীমার বাইরে; ",""))</f>
        <v/>
      </c>
      <c r="BS78" s="36" t="str">
        <f aca="false">IF(BS1="","",IF(AND(ISNUMBER(BS8),OR(BS8&lt;0,BS8&gt;300)),"বৃষ্টি সীমার বাইরে; ","")&amp;IF(AND(ISNUMBER(BS9),OR(BS9&lt;0,BS9&gt;45)),"তাপমাত্রা সীমার বাইরে; ","")&amp;IF(AND(ISNUMBER(BS10),OR(BS10&lt;0,BS10&gt;100)),"আর্দ্রতা সীমার বাইরে; ",""))</f>
        <v/>
      </c>
      <c r="BT78" s="36" t="str">
        <f aca="false">IF(BT1="","",IF(AND(ISNUMBER(BT8),OR(BT8&lt;0,BT8&gt;300)),"বৃষ্টি সীমার বাইরে; ","")&amp;IF(AND(ISNUMBER(BT9),OR(BT9&lt;0,BT9&gt;45)),"তাপমাত্রা সীমার বাইরে; ","")&amp;IF(AND(ISNUMBER(BT10),OR(BT10&lt;0,BT10&gt;100)),"আর্দ্রতা সীমার বাইরে; ",""))</f>
        <v/>
      </c>
      <c r="BU78" s="36" t="str">
        <f aca="false">IF(BU1="","",IF(AND(ISNUMBER(BU8),OR(BU8&lt;0,BU8&gt;300)),"বৃষ্টি সীমার বাইরে; ","")&amp;IF(AND(ISNUMBER(BU9),OR(BU9&lt;0,BU9&gt;45)),"তাপমাত্রা সীমার বাইরে; ","")&amp;IF(AND(ISNUMBER(BU10),OR(BU10&lt;0,BU10&gt;100)),"আর্দ্রতা সীমার বাইরে; ",""))</f>
        <v/>
      </c>
      <c r="BV78" s="36" t="str">
        <f aca="false">IF(BV1="","",IF(AND(ISNUMBER(BV8),OR(BV8&lt;0,BV8&gt;300)),"বৃষ্টি সীমার বাইরে; ","")&amp;IF(AND(ISNUMBER(BV9),OR(BV9&lt;0,BV9&gt;45)),"তাপমাত্রা সীমার বাইরে; ","")&amp;IF(AND(ISNUMBER(BV10),OR(BV10&lt;0,BV10&gt;100)),"আর্দ্রতা সীমার বাইরে; ",""))</f>
        <v/>
      </c>
      <c r="BW78" s="36" t="str">
        <f aca="false">IF(BW1="","",IF(AND(ISNUMBER(BW8),OR(BW8&lt;0,BW8&gt;300)),"বৃষ্টি সীমার বাইরে; ","")&amp;IF(AND(ISNUMBER(BW9),OR(BW9&lt;0,BW9&gt;45)),"তাপমাত্রা সীমার বাইরে; ","")&amp;IF(AND(ISNUMBER(BW10),OR(BW10&lt;0,BW10&gt;100)),"আর্দ্রতা সীমার বাইরে; ",""))</f>
        <v/>
      </c>
      <c r="BX78" s="36" t="str">
        <f aca="false">IF(BX1="","",IF(AND(ISNUMBER(BX8),OR(BX8&lt;0,BX8&gt;300)),"বৃষ্টি সীমার বাইরে; ","")&amp;IF(AND(ISNUMBER(BX9),OR(BX9&lt;0,BX9&gt;45)),"তাপমাত্রা সীমার বাইরে; ","")&amp;IF(AND(ISNUMBER(BX10),OR(BX10&lt;0,BX10&gt;100)),"আর্দ্রতা সীমার বাইরে; ",""))</f>
        <v/>
      </c>
      <c r="BY78" s="36" t="str">
        <f aca="false">IF(BY1="","",IF(AND(ISNUMBER(BY8),OR(BY8&lt;0,BY8&gt;300)),"বৃষ্টি সীমার বাইরে; ","")&amp;IF(AND(ISNUMBER(BY9),OR(BY9&lt;0,BY9&gt;45)),"তাপমাত্রা সীমার বাইরে; ","")&amp;IF(AND(ISNUMBER(BY10),OR(BY10&lt;0,BY10&gt;100)),"আর্দ্রতা সীমার বাইরে; ",""))</f>
        <v/>
      </c>
      <c r="BZ78" s="36" t="str">
        <f aca="false">IF(BZ1="","",IF(AND(ISNUMBER(BZ8),OR(BZ8&lt;0,BZ8&gt;300)),"বৃষ্টি সীমার বাইরে; ","")&amp;IF(AND(ISNUMBER(BZ9),OR(BZ9&lt;0,BZ9&gt;45)),"তাপমাত্রা সীমার বাইরে; ","")&amp;IF(AND(ISNUMBER(BZ10),OR(BZ10&lt;0,BZ10&gt;100)),"আর্দ্রতা সীমার বাইরে; ",""))</f>
        <v/>
      </c>
      <c r="CA78" s="36" t="str">
        <f aca="false">IF(CA1="","",IF(AND(ISNUMBER(CA8),OR(CA8&lt;0,CA8&gt;300)),"বৃষ্টি সীমার বাইরে; ","")&amp;IF(AND(ISNUMBER(CA9),OR(CA9&lt;0,CA9&gt;45)),"তাপমাত্রা সীমার বাইরে; ","")&amp;IF(AND(ISNUMBER(CA10),OR(CA10&lt;0,CA10&gt;100)),"আর্দ্রতা সীমার বাইরে; ",""))</f>
        <v/>
      </c>
      <c r="CB78" s="36" t="str">
        <f aca="false">IF(CB1="","",IF(AND(ISNUMBER(CB8),OR(CB8&lt;0,CB8&gt;300)),"বৃষ্টি সীমার বাইরে; ","")&amp;IF(AND(ISNUMBER(CB9),OR(CB9&lt;0,CB9&gt;45)),"তাপমাত্রা সীমার বাইরে; ","")&amp;IF(AND(ISNUMBER(CB10),OR(CB10&lt;0,CB10&gt;100)),"আর্দ্রতা সীমার বাইরে; ",""))</f>
        <v/>
      </c>
      <c r="CC78" s="36" t="str">
        <f aca="false">IF(CC1="","",IF(AND(ISNUMBER(CC8),OR(CC8&lt;0,CC8&gt;300)),"বৃষ্টি সীমার বাইরে; ","")&amp;IF(AND(ISNUMBER(CC9),OR(CC9&lt;0,CC9&gt;45)),"তাপমাত্রা সীমার বাইরে; ","")&amp;IF(AND(ISNUMBER(CC10),OR(CC10&lt;0,CC10&gt;100)),"আর্দ্রতা সীমার বাইরে; ",""))</f>
        <v/>
      </c>
      <c r="CD78" s="36" t="str">
        <f aca="false">IF(CD1="","",IF(AND(ISNUMBER(CD8),OR(CD8&lt;0,CD8&gt;300)),"বৃষ্টি সীমার বাইরে; ","")&amp;IF(AND(ISNUMBER(CD9),OR(CD9&lt;0,CD9&gt;45)),"তাপমাত্রা সীমার বাইরে; ","")&amp;IF(AND(ISNUMBER(CD10),OR(CD10&lt;0,CD10&gt;100)),"আর্দ্রতা সীমার বাইরে; ",""))</f>
        <v/>
      </c>
      <c r="CE78" s="36" t="str">
        <f aca="false">IF(CE1="","",IF(AND(ISNUMBER(CE8),OR(CE8&lt;0,CE8&gt;300)),"বৃষ্টি সীমার বাইরে; ","")&amp;IF(AND(ISNUMBER(CE9),OR(CE9&lt;0,CE9&gt;45)),"তাপমাত্রা সীমার বাইরে; ","")&amp;IF(AND(ISNUMBER(CE10),OR(CE10&lt;0,CE10&gt;100)),"আর্দ্রতা সীমার বাইরে; ",""))</f>
        <v/>
      </c>
      <c r="CF78" s="36" t="str">
        <f aca="false">IF(CF1="","",IF(AND(ISNUMBER(CF8),OR(CF8&lt;0,CF8&gt;300)),"বৃষ্টি সীমার বাইরে; ","")&amp;IF(AND(ISNUMBER(CF9),OR(CF9&lt;0,CF9&gt;45)),"তাপমাত্রা সীমার বাইরে; ","")&amp;IF(AND(ISNUMBER(CF10),OR(CF10&lt;0,CF10&gt;100)),"আর্দ্রতা সীমার বাইরে; ",""))</f>
        <v/>
      </c>
      <c r="CG78" s="36" t="str">
        <f aca="false">IF(CG1="","",IF(AND(ISNUMBER(CG8),OR(CG8&lt;0,CG8&gt;300)),"বৃষ্টি সীমার বাইরে; ","")&amp;IF(AND(ISNUMBER(CG9),OR(CG9&lt;0,CG9&gt;45)),"তাপমাত্রা সীমার বাইরে; ","")&amp;IF(AND(ISNUMBER(CG10),OR(CG10&lt;0,CG10&gt;100)),"আর্দ্রতা সীমার বাইরে; ",""))</f>
        <v/>
      </c>
      <c r="CH78" s="36" t="str">
        <f aca="false">IF(CH1="","",IF(AND(ISNUMBER(CH8),OR(CH8&lt;0,CH8&gt;300)),"বৃষ্টি সীমার বাইরে; ","")&amp;IF(AND(ISNUMBER(CH9),OR(CH9&lt;0,CH9&gt;45)),"তাপমাত্রা সীমার বাইরে; ","")&amp;IF(AND(ISNUMBER(CH10),OR(CH10&lt;0,CH10&gt;100)),"আর্দ্রতা সীমার বাইরে; ",""))</f>
        <v/>
      </c>
      <c r="CI78" s="36" t="str">
        <f aca="false">IF(CI1="","",IF(AND(ISNUMBER(CI8),OR(CI8&lt;0,CI8&gt;300)),"বৃষ্টি সীমার বাইরে; ","")&amp;IF(AND(ISNUMBER(CI9),OR(CI9&lt;0,CI9&gt;45)),"তাপমাত্রা সীমার বাইরে; ","")&amp;IF(AND(ISNUMBER(CI10),OR(CI10&lt;0,CI10&gt;100)),"আর্দ্রতা সীমার বাইরে; ",""))</f>
        <v/>
      </c>
      <c r="CJ78" s="36" t="str">
        <f aca="false">IF(CJ1="","",IF(AND(ISNUMBER(CJ8),OR(CJ8&lt;0,CJ8&gt;300)),"বৃষ্টি সীমার বাইরে; ","")&amp;IF(AND(ISNUMBER(CJ9),OR(CJ9&lt;0,CJ9&gt;45)),"তাপমাত্রা সীমার বাইরে; ","")&amp;IF(AND(ISNUMBER(CJ10),OR(CJ10&lt;0,CJ10&gt;100)),"আর্দ্রতা সীমার বাইরে; ",""))</f>
        <v/>
      </c>
      <c r="CK78" s="36" t="str">
        <f aca="false">IF(CK1="","",IF(AND(ISNUMBER(CK8),OR(CK8&lt;0,CK8&gt;300)),"বৃষ্টি সীমার বাইরে; ","")&amp;IF(AND(ISNUMBER(CK9),OR(CK9&lt;0,CK9&gt;45)),"তাপমাত্রা সীমার বাইরে; ","")&amp;IF(AND(ISNUMBER(CK10),OR(CK10&lt;0,CK10&gt;100)),"আর্দ্রতা সীমার বাইরে; ",""))</f>
        <v/>
      </c>
      <c r="CL78" s="36" t="str">
        <f aca="false">IF(CL1="","",IF(AND(ISNUMBER(CL8),OR(CL8&lt;0,CL8&gt;300)),"বৃষ্টি সীমার বাইরে; ","")&amp;IF(AND(ISNUMBER(CL9),OR(CL9&lt;0,CL9&gt;45)),"তাপমাত্রা সীমার বাইরে; ","")&amp;IF(AND(ISNUMBER(CL10),OR(CL10&lt;0,CL10&gt;100)),"আর্দ্রতা সীমার বাইরে; ",""))</f>
        <v/>
      </c>
      <c r="CM78" s="36" t="str">
        <f aca="false">IF(CM1="","",IF(AND(ISNUMBER(CM8),OR(CM8&lt;0,CM8&gt;300)),"বৃষ্টি সীমার বাইরে; ","")&amp;IF(AND(ISNUMBER(CM9),OR(CM9&lt;0,CM9&gt;45)),"তাপমাত্রা সীমার বাইরে; ","")&amp;IF(AND(ISNUMBER(CM10),OR(CM10&lt;0,CM10&gt;100)),"আর্দ্রতা সীমার বাইরে; ",""))</f>
        <v/>
      </c>
      <c r="CN78" s="36" t="str">
        <f aca="false">IF(CN1="","",IF(AND(ISNUMBER(CN8),OR(CN8&lt;0,CN8&gt;300)),"বৃষ্টি সীমার বাইরে; ","")&amp;IF(AND(ISNUMBER(CN9),OR(CN9&lt;0,CN9&gt;45)),"তাপমাত্রা সীমার বাইরে; ","")&amp;IF(AND(ISNUMBER(CN10),OR(CN10&lt;0,CN10&gt;100)),"আর্দ্রতা সীমার বাইরে; ",""))</f>
        <v/>
      </c>
      <c r="CO78" s="36" t="str">
        <f aca="false">IF(CO1="","",IF(AND(ISNUMBER(CO8),OR(CO8&lt;0,CO8&gt;300)),"বৃষ্টি সীমার বাইরে; ","")&amp;IF(AND(ISNUMBER(CO9),OR(CO9&lt;0,CO9&gt;45)),"তাপমাত্রা সীমার বাইরে; ","")&amp;IF(AND(ISNUMBER(CO10),OR(CO10&lt;0,CO10&gt;100)),"আর্দ্রতা সীমার বাইরে; ",""))</f>
        <v/>
      </c>
      <c r="CP78" s="36" t="str">
        <f aca="false">IF(CP1="","",IF(AND(ISNUMBER(CP8),OR(CP8&lt;0,CP8&gt;300)),"বৃষ্টি সীমার বাইরে; ","")&amp;IF(AND(ISNUMBER(CP9),OR(CP9&lt;0,CP9&gt;45)),"তাপমাত্রা সীমার বাইরে; ","")&amp;IF(AND(ISNUMBER(CP10),OR(CP10&lt;0,CP10&gt;100)),"আর্দ্রতা সীমার বাইরে; ",""))</f>
        <v/>
      </c>
      <c r="CQ78" s="36" t="str">
        <f aca="false">IF(CQ1="","",IF(AND(ISNUMBER(CQ8),OR(CQ8&lt;0,CQ8&gt;300)),"বৃষ্টি সীমার বাইরে; ","")&amp;IF(AND(ISNUMBER(CQ9),OR(CQ9&lt;0,CQ9&gt;45)),"তাপমাত্রা সীমার বাইরে; ","")&amp;IF(AND(ISNUMBER(CQ10),OR(CQ10&lt;0,CQ10&gt;100)),"আর্দ্রতা সীমার বাইরে; ",""))</f>
        <v/>
      </c>
      <c r="CR78" s="36" t="str">
        <f aca="false">IF(CR1="","",IF(AND(ISNUMBER(CR8),OR(CR8&lt;0,CR8&gt;300)),"বৃষ্টি সীমার বাইরে; ","")&amp;IF(AND(ISNUMBER(CR9),OR(CR9&lt;0,CR9&gt;45)),"তাপমাত্রা সীমার বাইরে; ","")&amp;IF(AND(ISNUMBER(CR10),OR(CR10&lt;0,CR10&gt;100)),"আর্দ্রতা সীমার বাইরে; ",""))</f>
        <v/>
      </c>
      <c r="CS78" s="36" t="str">
        <f aca="false">IF(CS1="","",IF(AND(ISNUMBER(CS8),OR(CS8&lt;0,CS8&gt;300)),"বৃষ্টি সীমার বাইরে; ","")&amp;IF(AND(ISNUMBER(CS9),OR(CS9&lt;0,CS9&gt;45)),"তাপমাত্রা সীমার বাইরে; ","")&amp;IF(AND(ISNUMBER(CS10),OR(CS10&lt;0,CS10&gt;100)),"আর্দ্রতা সীমার বাইরে; ",""))</f>
        <v/>
      </c>
      <c r="CT78" s="36" t="str">
        <f aca="false">IF(CT1="","",IF(AND(ISNUMBER(CT8),OR(CT8&lt;0,CT8&gt;300)),"বৃষ্টি সীমার বাইরে; ","")&amp;IF(AND(ISNUMBER(CT9),OR(CT9&lt;0,CT9&gt;45)),"তাপমাত্রা সীমার বাইরে; ","")&amp;IF(AND(ISNUMBER(CT10),OR(CT10&lt;0,CT10&gt;100)),"আর্দ্রতা সীমার বাইরে; ",""))</f>
        <v/>
      </c>
      <c r="CU78" s="36" t="str">
        <f aca="false">IF(CU1="","",IF(AND(ISNUMBER(CU8),OR(CU8&lt;0,CU8&gt;300)),"বৃষ্টি সীমার বাইরে; ","")&amp;IF(AND(ISNUMBER(CU9),OR(CU9&lt;0,CU9&gt;45)),"তাপমাত্রা সীমার বাইরে; ","")&amp;IF(AND(ISNUMBER(CU10),OR(CU10&lt;0,CU10&gt;100)),"আর্দ্রতা সীমার বাইরে; ",""))</f>
        <v/>
      </c>
      <c r="CV78" s="36" t="str">
        <f aca="false">IF(CV1="","",IF(AND(ISNUMBER(CV8),OR(CV8&lt;0,CV8&gt;300)),"বৃষ্টি সীমার বাইরে; ","")&amp;IF(AND(ISNUMBER(CV9),OR(CV9&lt;0,CV9&gt;45)),"তাপমাত্রা সীমার বাইরে; ","")&amp;IF(AND(ISNUMBER(CV10),OR(CV10&lt;0,CV10&gt;100)),"আর্দ্রতা সীমার বাইরে; ",""))</f>
        <v/>
      </c>
      <c r="CW78" s="36" t="str">
        <f aca="false">IF(CW1="","",IF(AND(ISNUMBER(CW8),OR(CW8&lt;0,CW8&gt;300)),"বৃষ্টি সীমার বাইরে; ","")&amp;IF(AND(ISNUMBER(CW9),OR(CW9&lt;0,CW9&gt;45)),"তাপমাত্রা সীমার বাইরে; ","")&amp;IF(AND(ISNUMBER(CW10),OR(CW10&lt;0,CW10&gt;100)),"আর্দ্রতা সীমার বাইরে; ",""))</f>
        <v/>
      </c>
      <c r="CX78" s="36" t="str">
        <f aca="false">IF(CX1="","",IF(AND(ISNUMBER(CX8),OR(CX8&lt;0,CX8&gt;300)),"বৃষ্টি সীমার বাইরে; ","")&amp;IF(AND(ISNUMBER(CX9),OR(CX9&lt;0,CX9&gt;45)),"তাপমাত্রা সীমার বাইরে; ","")&amp;IF(AND(ISNUMBER(CX10),OR(CX10&lt;0,CX10&gt;100)),"আর্দ্রতা সীমার বাইরে; ",""))</f>
        <v/>
      </c>
      <c r="CY78" s="36" t="str">
        <f aca="false">IF(CY1="","",IF(AND(ISNUMBER(CY8),OR(CY8&lt;0,CY8&gt;300)),"বৃষ্টি সীমার বাইরে; ","")&amp;IF(AND(ISNUMBER(CY9),OR(CY9&lt;0,CY9&gt;45)),"তাপমাত্রা সীমার বাইরে; ","")&amp;IF(AND(ISNUMBER(CY10),OR(CY10&lt;0,CY10&gt;100)),"আর্দ্রতা সীমার বাইরে; ",""))</f>
        <v/>
      </c>
      <c r="CZ78" s="36" t="str">
        <f aca="false">IF(CZ1="","",IF(AND(ISNUMBER(CZ8),OR(CZ8&lt;0,CZ8&gt;300)),"বৃষ্টি সীমার বাইরে; ","")&amp;IF(AND(ISNUMBER(CZ9),OR(CZ9&lt;0,CZ9&gt;45)),"তাপমাত্রা সীমার বাইরে; ","")&amp;IF(AND(ISNUMBER(CZ10),OR(CZ10&lt;0,CZ10&gt;100)),"আর্দ্রতা সীমার বাইরে; ",""))</f>
        <v/>
      </c>
      <c r="DA78" s="36" t="str">
        <f aca="false">IF(DA1="","",IF(AND(ISNUMBER(DA8),OR(DA8&lt;0,DA8&gt;300)),"বৃষ্টি সীমার বাইরে; ","")&amp;IF(AND(ISNUMBER(DA9),OR(DA9&lt;0,DA9&gt;45)),"তাপমাত্রা সীমার বাইরে; ","")&amp;IF(AND(ISNUMBER(DA10),OR(DA10&lt;0,DA10&gt;100)),"আর্দ্রতা সীমার বাইরে; ",""))</f>
        <v/>
      </c>
      <c r="DB78" s="36" t="str">
        <f aca="false">IF(DB1="","",IF(AND(ISNUMBER(DB8),OR(DB8&lt;0,DB8&gt;300)),"বৃষ্টি সীমার বাইরে; ","")&amp;IF(AND(ISNUMBER(DB9),OR(DB9&lt;0,DB9&gt;45)),"তাপমাত্রা সীমার বাইরে; ","")&amp;IF(AND(ISNUMBER(DB10),OR(DB10&lt;0,DB10&gt;100)),"আর্দ্রতা সীমার বাইরে; ",""))</f>
        <v/>
      </c>
      <c r="DC78" s="36" t="str">
        <f aca="false">IF(DC1="","",IF(AND(ISNUMBER(DC8),OR(DC8&lt;0,DC8&gt;300)),"বৃষ্টি সীমার বাইরে; ","")&amp;IF(AND(ISNUMBER(DC9),OR(DC9&lt;0,DC9&gt;45)),"তাপমাত্রা সীমার বাইরে; ","")&amp;IF(AND(ISNUMBER(DC10),OR(DC10&lt;0,DC10&gt;100)),"আর্দ্রতা সীমার বাইরে; ",""))</f>
        <v/>
      </c>
      <c r="DD78" s="36" t="str">
        <f aca="false">IF(DD1="","",IF(AND(ISNUMBER(DD8),OR(DD8&lt;0,DD8&gt;300)),"বৃষ্টি সীমার বাইরে; ","")&amp;IF(AND(ISNUMBER(DD9),OR(DD9&lt;0,DD9&gt;45)),"তাপমাত্রা সীমার বাইরে; ","")&amp;IF(AND(ISNUMBER(DD10),OR(DD10&lt;0,DD10&gt;100)),"আর্দ্রতা সীমার বাইরে; ",""))</f>
        <v/>
      </c>
      <c r="DE78" s="36" t="str">
        <f aca="false">IF(DE1="","",IF(AND(ISNUMBER(DE8),OR(DE8&lt;0,DE8&gt;300)),"বৃষ্টি সীমার বাইরে; ","")&amp;IF(AND(ISNUMBER(DE9),OR(DE9&lt;0,DE9&gt;45)),"তাপমাত্রা সীমার বাইরে; ","")&amp;IF(AND(ISNUMBER(DE10),OR(DE10&lt;0,DE10&gt;100)),"আর্দ্রতা সীমার বাইরে; ",""))</f>
        <v/>
      </c>
      <c r="DF78" s="36" t="str">
        <f aca="false">IF(DF1="","",IF(AND(ISNUMBER(DF8),OR(DF8&lt;0,DF8&gt;300)),"বৃষ্টি সীমার বাইরে; ","")&amp;IF(AND(ISNUMBER(DF9),OR(DF9&lt;0,DF9&gt;45)),"তাপমাত্রা সীমার বাইরে; ","")&amp;IF(AND(ISNUMBER(DF10),OR(DF10&lt;0,DF10&gt;100)),"আর্দ্রতা সীমার বাইরে; ",""))</f>
        <v/>
      </c>
      <c r="DG78" s="36" t="str">
        <f aca="false">IF(DG1="","",IF(AND(ISNUMBER(DG8),OR(DG8&lt;0,DG8&gt;300)),"বৃষ্টি সীমার বাইরে; ","")&amp;IF(AND(ISNUMBER(DG9),OR(DG9&lt;0,DG9&gt;45)),"তাপমাত্রা সীমার বাইরে; ","")&amp;IF(AND(ISNUMBER(DG10),OR(DG10&lt;0,DG10&gt;100)),"আর্দ্রতা সীমার বাইরে; ",""))</f>
        <v/>
      </c>
      <c r="DH78" s="36" t="str">
        <f aca="false">IF(DH1="","",IF(AND(ISNUMBER(DH8),OR(DH8&lt;0,DH8&gt;300)),"বৃষ্টি সীমার বাইরে; ","")&amp;IF(AND(ISNUMBER(DH9),OR(DH9&lt;0,DH9&gt;45)),"তাপমাত্রা সীমার বাইরে; ","")&amp;IF(AND(ISNUMBER(DH10),OR(DH10&lt;0,DH10&gt;100)),"আর্দ্রতা সীমার বাইরে; ",""))</f>
        <v/>
      </c>
      <c r="DI78" s="36" t="str">
        <f aca="false">IF(DI1="","",IF(AND(ISNUMBER(DI8),OR(DI8&lt;0,DI8&gt;300)),"বৃষ্টি সীমার বাইরে; ","")&amp;IF(AND(ISNUMBER(DI9),OR(DI9&lt;0,DI9&gt;45)),"তাপমাত্রা সীমার বাইরে; ","")&amp;IF(AND(ISNUMBER(DI10),OR(DI10&lt;0,DI10&gt;100)),"আর্দ্রতা সীমার বাইরে; ",""))</f>
        <v/>
      </c>
      <c r="DJ78" s="36" t="str">
        <f aca="false">IF(DJ1="","",IF(AND(ISNUMBER(DJ8),OR(DJ8&lt;0,DJ8&gt;300)),"বৃষ্টি সীমার বাইরে; ","")&amp;IF(AND(ISNUMBER(DJ9),OR(DJ9&lt;0,DJ9&gt;45)),"তাপমাত্রা সীমার বাইরে; ","")&amp;IF(AND(ISNUMBER(DJ10),OR(DJ10&lt;0,DJ10&gt;100)),"আর্দ্রতা সীমার বাইরে; ",""))</f>
        <v/>
      </c>
      <c r="DK78" s="36" t="str">
        <f aca="false">IF(DK1="","",IF(AND(ISNUMBER(DK8),OR(DK8&lt;0,DK8&gt;300)),"বৃষ্টি সীমার বাইরে; ","")&amp;IF(AND(ISNUMBER(DK9),OR(DK9&lt;0,DK9&gt;45)),"তাপমাত্রা সীমার বাইরে; ","")&amp;IF(AND(ISNUMBER(DK10),OR(DK10&lt;0,DK10&gt;100)),"আর্দ্রতা সীমার বাইরে; ",""))</f>
        <v/>
      </c>
      <c r="DL78" s="36" t="str">
        <f aca="false">IF(DL1="","",IF(AND(ISNUMBER(DL8),OR(DL8&lt;0,DL8&gt;300)),"বৃষ্টি সীমার বাইরে; ","")&amp;IF(AND(ISNUMBER(DL9),OR(DL9&lt;0,DL9&gt;45)),"তাপমাত্রা সীমার বাইরে; ","")&amp;IF(AND(ISNUMBER(DL10),OR(DL10&lt;0,DL10&gt;100)),"আর্দ্রতা সীমার বাইরে; ",""))</f>
        <v/>
      </c>
      <c r="DM78" s="36" t="str">
        <f aca="false">IF(DM1="","",IF(AND(ISNUMBER(DM8),OR(DM8&lt;0,DM8&gt;300)),"বৃষ্টি সীমার বাইরে; ","")&amp;IF(AND(ISNUMBER(DM9),OR(DM9&lt;0,DM9&gt;45)),"তাপমাত্রা সীমার বাইরে; ","")&amp;IF(AND(ISNUMBER(DM10),OR(DM10&lt;0,DM10&gt;100)),"আর্দ্রতা সীমার বাইরে; ",""))</f>
        <v/>
      </c>
      <c r="DN78" s="36" t="str">
        <f aca="false">IF(DN1="","",IF(AND(ISNUMBER(DN8),OR(DN8&lt;0,DN8&gt;300)),"বৃষ্টি সীমার বাইরে; ","")&amp;IF(AND(ISNUMBER(DN9),OR(DN9&lt;0,DN9&gt;45)),"তাপমাত্রা সীমার বাইরে; ","")&amp;IF(AND(ISNUMBER(DN10),OR(DN10&lt;0,DN10&gt;100)),"আর্দ্রতা সীমার বাইরে; ",""))</f>
        <v/>
      </c>
      <c r="DO78" s="36" t="str">
        <f aca="false">IF(DO1="","",IF(AND(ISNUMBER(DO8),OR(DO8&lt;0,DO8&gt;300)),"বৃষ্টি সীমার বাইরে; ","")&amp;IF(AND(ISNUMBER(DO9),OR(DO9&lt;0,DO9&gt;45)),"তাপমাত্রা সীমার বাইরে; ","")&amp;IF(AND(ISNUMBER(DO10),OR(DO10&lt;0,DO10&gt;100)),"আর্দ্রতা সীমার বাইরে; ",""))</f>
        <v/>
      </c>
      <c r="DP78" s="36" t="str">
        <f aca="false">IF(DP1="","",IF(AND(ISNUMBER(DP8),OR(DP8&lt;0,DP8&gt;300)),"বৃষ্টি সীমার বাইরে; ","")&amp;IF(AND(ISNUMBER(DP9),OR(DP9&lt;0,DP9&gt;45)),"তাপমাত্রা সীমার বাইরে; ","")&amp;IF(AND(ISNUMBER(DP10),OR(DP10&lt;0,DP10&gt;100)),"আর্দ্রতা সীমার বাইরে; ",""))</f>
        <v/>
      </c>
      <c r="DQ78" s="36" t="str">
        <f aca="false">IF(DQ1="","",IF(AND(ISNUMBER(DQ8),OR(DQ8&lt;0,DQ8&gt;300)),"বৃষ্টি সীমার বাইরে; ","")&amp;IF(AND(ISNUMBER(DQ9),OR(DQ9&lt;0,DQ9&gt;45)),"তাপমাত্রা সীমার বাইরে; ","")&amp;IF(AND(ISNUMBER(DQ10),OR(DQ10&lt;0,DQ10&gt;100)),"আর্দ্রতা সীমার বাইরে; ",""))</f>
        <v/>
      </c>
      <c r="DR78" s="36" t="str">
        <f aca="false">IF(DR1="","",IF(AND(ISNUMBER(DR8),OR(DR8&lt;0,DR8&gt;300)),"বৃষ্টি সীমার বাইরে; ","")&amp;IF(AND(ISNUMBER(DR9),OR(DR9&lt;0,DR9&gt;45)),"তাপমাত্রা সীমার বাইরে; ","")&amp;IF(AND(ISNUMBER(DR10),OR(DR10&lt;0,DR10&gt;100)),"আর্দ্রতা সীমার বাইরে; ",""))</f>
        <v/>
      </c>
      <c r="DS78" s="36" t="str">
        <f aca="false">IF(DS1="","",IF(AND(ISNUMBER(DS8),OR(DS8&lt;0,DS8&gt;300)),"বৃষ্টি সীমার বাইরে; ","")&amp;IF(AND(ISNUMBER(DS9),OR(DS9&lt;0,DS9&gt;45)),"তাপমাত্রা সীমার বাইরে; ","")&amp;IF(AND(ISNUMBER(DS10),OR(DS10&lt;0,DS10&gt;100)),"আর্দ্রতা সীমার বাইরে; ",""))</f>
        <v/>
      </c>
      <c r="DT78" s="36" t="str">
        <f aca="false">IF(DT1="","",IF(AND(ISNUMBER(DT8),OR(DT8&lt;0,DT8&gt;300)),"বৃষ্টি সীমার বাইরে; ","")&amp;IF(AND(ISNUMBER(DT9),OR(DT9&lt;0,DT9&gt;45)),"তাপমাত্রা সীমার বাইরে; ","")&amp;IF(AND(ISNUMBER(DT10),OR(DT10&lt;0,DT10&gt;100)),"আর্দ্রতা সীমার বাইরে; ",""))</f>
        <v/>
      </c>
      <c r="DU78" s="36" t="str">
        <f aca="false">IF(DU1="","",IF(AND(ISNUMBER(DU8),OR(DU8&lt;0,DU8&gt;300)),"বৃষ্টি সীমার বাইরে; ","")&amp;IF(AND(ISNUMBER(DU9),OR(DU9&lt;0,DU9&gt;45)),"তাপমাত্রা সীমার বাইরে; ","")&amp;IF(AND(ISNUMBER(DU10),OR(DU10&lt;0,DU10&gt;100)),"আর্দ্রতা সীমার বাইরে; ",""))</f>
        <v/>
      </c>
      <c r="DV78" s="36" t="str">
        <f aca="false">IF(DV1="","",IF(AND(ISNUMBER(DV8),OR(DV8&lt;0,DV8&gt;300)),"বৃষ্টি সীমার বাইরে; ","")&amp;IF(AND(ISNUMBER(DV9),OR(DV9&lt;0,DV9&gt;45)),"তাপমাত্রা সীমার বাইরে; ","")&amp;IF(AND(ISNUMBER(DV10),OR(DV10&lt;0,DV10&gt;100)),"আর্দ্রতা সীমার বাইরে; ",""))</f>
        <v/>
      </c>
      <c r="DW78" s="36" t="str">
        <f aca="false">IF(DW1="","",IF(AND(ISNUMBER(DW8),OR(DW8&lt;0,DW8&gt;300)),"বৃষ্টি সীমার বাইরে; ","")&amp;IF(AND(ISNUMBER(DW9),OR(DW9&lt;0,DW9&gt;45)),"তাপমাত্রা সীমার বাইরে; ","")&amp;IF(AND(ISNUMBER(DW10),OR(DW10&lt;0,DW10&gt;100)),"আর্দ্রতা সীমার বাইরে; ",""))</f>
        <v/>
      </c>
      <c r="DX78" s="36" t="str">
        <f aca="false">IF(DX1="","",IF(AND(ISNUMBER(DX8),OR(DX8&lt;0,DX8&gt;300)),"বৃষ্টি সীমার বাইরে; ","")&amp;IF(AND(ISNUMBER(DX9),OR(DX9&lt;0,DX9&gt;45)),"তাপমাত্রা সীমার বাইরে; ","")&amp;IF(AND(ISNUMBER(DX10),OR(DX10&lt;0,DX10&gt;100)),"আর্দ্রতা সীমার বাইরে; ",""))</f>
        <v/>
      </c>
      <c r="DY78" s="36" t="str">
        <f aca="false">IF(DY1="","",IF(AND(ISNUMBER(DY8),OR(DY8&lt;0,DY8&gt;300)),"বৃষ্টি সীমার বাইরে; ","")&amp;IF(AND(ISNUMBER(DY9),OR(DY9&lt;0,DY9&gt;45)),"তাপমাত্রা সীমার বাইরে; ","")&amp;IF(AND(ISNUMBER(DY10),OR(DY10&lt;0,DY10&gt;100)),"আর্দ্রতা সীমার বাইরে; ",""))</f>
        <v/>
      </c>
      <c r="DZ78" s="36" t="str">
        <f aca="false">IF(DZ1="","",IF(AND(ISNUMBER(DZ8),OR(DZ8&lt;0,DZ8&gt;300)),"বৃষ্টি সীমার বাইরে; ","")&amp;IF(AND(ISNUMBER(DZ9),OR(DZ9&lt;0,DZ9&gt;45)),"তাপমাত্রা সীমার বাইরে; ","")&amp;IF(AND(ISNUMBER(DZ10),OR(DZ10&lt;0,DZ10&gt;100)),"আর্দ্রতা সীমার বাইরে; ",""))</f>
        <v/>
      </c>
      <c r="EA78" s="36" t="str">
        <f aca="false">IF(EA1="","",IF(AND(ISNUMBER(EA8),OR(EA8&lt;0,EA8&gt;300)),"বৃষ্টি সীমার বাইরে; ","")&amp;IF(AND(ISNUMBER(EA9),OR(EA9&lt;0,EA9&gt;45)),"তাপমাত্রা সীমার বাইরে; ","")&amp;IF(AND(ISNUMBER(EA10),OR(EA10&lt;0,EA10&gt;100)),"আর্দ্রতা সীমার বাইরে; ",""))</f>
        <v/>
      </c>
      <c r="EB78" s="36" t="str">
        <f aca="false">IF(EB1="","",IF(AND(ISNUMBER(EB8),OR(EB8&lt;0,EB8&gt;300)),"বৃষ্টি সীমার বাইরে; ","")&amp;IF(AND(ISNUMBER(EB9),OR(EB9&lt;0,EB9&gt;45)),"তাপমাত্রা সীমার বাইরে; ","")&amp;IF(AND(ISNUMBER(EB10),OR(EB10&lt;0,EB10&gt;100)),"আর্দ্রতা সীমার বাইরে; ",""))</f>
        <v/>
      </c>
      <c r="EC78" s="36" t="str">
        <f aca="false">IF(EC1="","",IF(AND(ISNUMBER(EC8),OR(EC8&lt;0,EC8&gt;300)),"বৃষ্টি সীমার বাইরে; ","")&amp;IF(AND(ISNUMBER(EC9),OR(EC9&lt;0,EC9&gt;45)),"তাপমাত্রা সীমার বাইরে; ","")&amp;IF(AND(ISNUMBER(EC10),OR(EC10&lt;0,EC10&gt;100)),"আর্দ্রতা সীমার বাইরে; ",""))</f>
        <v/>
      </c>
      <c r="ED78" s="36" t="str">
        <f aca="false">IF(ED1="","",IF(AND(ISNUMBER(ED8),OR(ED8&lt;0,ED8&gt;300)),"বৃষ্টি সীমার বাইরে; ","")&amp;IF(AND(ISNUMBER(ED9),OR(ED9&lt;0,ED9&gt;45)),"তাপমাত্রা সীমার বাইরে; ","")&amp;IF(AND(ISNUMBER(ED10),OR(ED10&lt;0,ED10&gt;100)),"আর্দ্রতা সীমার বাইরে; ",""))</f>
        <v/>
      </c>
      <c r="EE78" s="36" t="str">
        <f aca="false">IF(EE1="","",IF(AND(ISNUMBER(EE8),OR(EE8&lt;0,EE8&gt;300)),"বৃষ্টি সীমার বাইরে; ","")&amp;IF(AND(ISNUMBER(EE9),OR(EE9&lt;0,EE9&gt;45)),"তাপমাত্রা সীমার বাইরে; ","")&amp;IF(AND(ISNUMBER(EE10),OR(EE10&lt;0,EE10&gt;100)),"আর্দ্রতা সীমার বাইরে; ",""))</f>
        <v/>
      </c>
      <c r="EF78" s="36" t="str">
        <f aca="false">IF(EF1="","",IF(AND(ISNUMBER(EF8),OR(EF8&lt;0,EF8&gt;300)),"বৃষ্টি সীমার বাইরে; ","")&amp;IF(AND(ISNUMBER(EF9),OR(EF9&lt;0,EF9&gt;45)),"তাপমাত্রা সীমার বাইরে; ","")&amp;IF(AND(ISNUMBER(EF10),OR(EF10&lt;0,EF10&gt;100)),"আর্দ্রতা সীমার বাইরে; ",""))</f>
        <v/>
      </c>
      <c r="EG78" s="36" t="str">
        <f aca="false">IF(EG1="","",IF(AND(ISNUMBER(EG8),OR(EG8&lt;0,EG8&gt;300)),"বৃষ্টি সীমার বাইরে; ","")&amp;IF(AND(ISNUMBER(EG9),OR(EG9&lt;0,EG9&gt;45)),"তাপমাত্রা সীমার বাইরে; ","")&amp;IF(AND(ISNUMBER(EG10),OR(EG10&lt;0,EG10&gt;100)),"আর্দ্রতা সীমার বাইরে; ",""))</f>
        <v/>
      </c>
      <c r="EH78" s="36" t="str">
        <f aca="false">IF(EH1="","",IF(AND(ISNUMBER(EH8),OR(EH8&lt;0,EH8&gt;300)),"বৃষ্টি সীমার বাইরে; ","")&amp;IF(AND(ISNUMBER(EH9),OR(EH9&lt;0,EH9&gt;45)),"তাপমাত্রা সীমার বাইরে; ","")&amp;IF(AND(ISNUMBER(EH10),OR(EH10&lt;0,EH10&gt;100)),"আর্দ্রতা সীমার বাইরে; ",""))</f>
        <v/>
      </c>
      <c r="EI78" s="36" t="str">
        <f aca="false">IF(EI1="","",IF(AND(ISNUMBER(EI8),OR(EI8&lt;0,EI8&gt;300)),"বৃষ্টি সীমার বাইরে; ","")&amp;IF(AND(ISNUMBER(EI9),OR(EI9&lt;0,EI9&gt;45)),"তাপমাত্রা সীমার বাইরে; ","")&amp;IF(AND(ISNUMBER(EI10),OR(EI10&lt;0,EI10&gt;100)),"আর্দ্রতা সীমার বাইরে; ",""))</f>
        <v/>
      </c>
      <c r="EJ78" s="36" t="str">
        <f aca="false">IF(EJ1="","",IF(AND(ISNUMBER(EJ8),OR(EJ8&lt;0,EJ8&gt;300)),"বৃষ্টি সীমার বাইরে; ","")&amp;IF(AND(ISNUMBER(EJ9),OR(EJ9&lt;0,EJ9&gt;45)),"তাপমাত্রা সীমার বাইরে; ","")&amp;IF(AND(ISNUMBER(EJ10),OR(EJ10&lt;0,EJ10&gt;100)),"আর্দ্রতা সীমার বাইরে; ",""))</f>
        <v/>
      </c>
      <c r="EK78" s="36" t="str">
        <f aca="false">IF(EK1="","",IF(AND(ISNUMBER(EK8),OR(EK8&lt;0,EK8&gt;300)),"বৃষ্টি সীমার বাইরে; ","")&amp;IF(AND(ISNUMBER(EK9),OR(EK9&lt;0,EK9&gt;45)),"তাপমাত্রা সীমার বাইরে; ","")&amp;IF(AND(ISNUMBER(EK10),OR(EK10&lt;0,EK10&gt;100)),"আর্দ্রতা সীমার বাইরে; ",""))</f>
        <v/>
      </c>
      <c r="EL78" s="36" t="str">
        <f aca="false">IF(EL1="","",IF(AND(ISNUMBER(EL8),OR(EL8&lt;0,EL8&gt;300)),"বৃষ্টি সীমার বাইরে; ","")&amp;IF(AND(ISNUMBER(EL9),OR(EL9&lt;0,EL9&gt;45)),"তাপমাত্রা সীমার বাইরে; ","")&amp;IF(AND(ISNUMBER(EL10),OR(EL10&lt;0,EL10&gt;100)),"আর্দ্রতা সীমার বাইরে; ",""))</f>
        <v/>
      </c>
      <c r="EM78" s="36" t="str">
        <f aca="false">IF(EM1="","",IF(AND(ISNUMBER(EM8),OR(EM8&lt;0,EM8&gt;300)),"বৃষ্টি সীমার বাইরে; ","")&amp;IF(AND(ISNUMBER(EM9),OR(EM9&lt;0,EM9&gt;45)),"তাপমাত্রা সীমার বাইরে; ","")&amp;IF(AND(ISNUMBER(EM10),OR(EM10&lt;0,EM10&gt;100)),"আর্দ্রতা সীমার বাইরে; ",""))</f>
        <v/>
      </c>
      <c r="EN78" s="36" t="str">
        <f aca="false">IF(EN1="","",IF(AND(ISNUMBER(EN8),OR(EN8&lt;0,EN8&gt;300)),"বৃষ্টি সীমার বাইরে; ","")&amp;IF(AND(ISNUMBER(EN9),OR(EN9&lt;0,EN9&gt;45)),"তাপমাত্রা সীমার বাইরে; ","")&amp;IF(AND(ISNUMBER(EN10),OR(EN10&lt;0,EN10&gt;100)),"আর্দ্রতা সীমার বাইরে; ",""))</f>
        <v/>
      </c>
      <c r="EO78" s="36" t="str">
        <f aca="false">IF(EO1="","",IF(AND(ISNUMBER(EO8),OR(EO8&lt;0,EO8&gt;300)),"বৃষ্টি সীমার বাইরে; ","")&amp;IF(AND(ISNUMBER(EO9),OR(EO9&lt;0,EO9&gt;45)),"তাপমাত্রা সীমার বাইরে; ","")&amp;IF(AND(ISNUMBER(EO10),OR(EO10&lt;0,EO10&gt;100)),"আর্দ্রতা সীমার বাইরে; ",""))</f>
        <v/>
      </c>
      <c r="EP78" s="36" t="str">
        <f aca="false">IF(EP1="","",IF(AND(ISNUMBER(EP8),OR(EP8&lt;0,EP8&gt;300)),"বৃষ্টি সীমার বাইরে; ","")&amp;IF(AND(ISNUMBER(EP9),OR(EP9&lt;0,EP9&gt;45)),"তাপমাত্রা সীমার বাইরে; ","")&amp;IF(AND(ISNUMBER(EP10),OR(EP10&lt;0,EP10&gt;100)),"আর্দ্রতা সীমার বাইরে; ",""))</f>
        <v/>
      </c>
      <c r="EQ78" s="36" t="str">
        <f aca="false">IF(EQ1="","",IF(AND(ISNUMBER(EQ8),OR(EQ8&lt;0,EQ8&gt;300)),"বৃষ্টি সীমার বাইরে; ","")&amp;IF(AND(ISNUMBER(EQ9),OR(EQ9&lt;0,EQ9&gt;45)),"তাপমাত্রা সীমার বাইরে; ","")&amp;IF(AND(ISNUMBER(EQ10),OR(EQ10&lt;0,EQ10&gt;100)),"আর্দ্রতা সীমার বাইরে; ",""))</f>
        <v/>
      </c>
      <c r="ER78" s="36" t="str">
        <f aca="false">IF(ER1="","",IF(AND(ISNUMBER(ER8),OR(ER8&lt;0,ER8&gt;300)),"বৃষ্টি সীমার বাইরে; ","")&amp;IF(AND(ISNUMBER(ER9),OR(ER9&lt;0,ER9&gt;45)),"তাপমাত্রা সীমার বাইরে; ","")&amp;IF(AND(ISNUMBER(ER10),OR(ER10&lt;0,ER10&gt;100)),"আর্দ্রতা সীমার বাইরে; ",""))</f>
        <v/>
      </c>
      <c r="ES78" s="36" t="str">
        <f aca="false">IF(ES1="","",IF(AND(ISNUMBER(ES8),OR(ES8&lt;0,ES8&gt;300)),"বৃষ্টি সীমার বাইরে; ","")&amp;IF(AND(ISNUMBER(ES9),OR(ES9&lt;0,ES9&gt;45)),"তাপমাত্রা সীমার বাইরে; ","")&amp;IF(AND(ISNUMBER(ES10),OR(ES10&lt;0,ES10&gt;100)),"আর্দ্রতা সীমার বাইরে; ",""))</f>
        <v/>
      </c>
      <c r="ET78" s="36" t="str">
        <f aca="false">IF(ET1="","",IF(AND(ISNUMBER(ET8),OR(ET8&lt;0,ET8&gt;300)),"বৃষ্টি সীমার বাইরে; ","")&amp;IF(AND(ISNUMBER(ET9),OR(ET9&lt;0,ET9&gt;45)),"তাপমাত্রা সীমার বাইরে; ","")&amp;IF(AND(ISNUMBER(ET10),OR(ET10&lt;0,ET10&gt;100)),"আর্দ্রতা সীমার বাইরে; ",""))</f>
        <v/>
      </c>
      <c r="EU78" s="36" t="str">
        <f aca="false">IF(EU1="","",IF(AND(ISNUMBER(EU8),OR(EU8&lt;0,EU8&gt;300)),"বৃষ্টি সীমার বাইরে; ","")&amp;IF(AND(ISNUMBER(EU9),OR(EU9&lt;0,EU9&gt;45)),"তাপমাত্রা সীমার বাইরে; ","")&amp;IF(AND(ISNUMBER(EU10),OR(EU10&lt;0,EU10&gt;100)),"আর্দ্রতা সীমার বাইরে; ",""))</f>
        <v/>
      </c>
      <c r="EV78" s="36" t="str">
        <f aca="false">IF(EV1="","",IF(AND(ISNUMBER(EV8),OR(EV8&lt;0,EV8&gt;300)),"বৃষ্টি সীমার বাইরে; ","")&amp;IF(AND(ISNUMBER(EV9),OR(EV9&lt;0,EV9&gt;45)),"তাপমাত্রা সীমার বাইরে; ","")&amp;IF(AND(ISNUMBER(EV10),OR(EV10&lt;0,EV10&gt;100)),"আর্দ্রতা সীমার বাইরে; ",""))</f>
        <v/>
      </c>
      <c r="EW78" s="36" t="str">
        <f aca="false">IF(EW1="","",IF(AND(ISNUMBER(EW8),OR(EW8&lt;0,EW8&gt;300)),"বৃষ্টি সীমার বাইরে; ","")&amp;IF(AND(ISNUMBER(EW9),OR(EW9&lt;0,EW9&gt;45)),"তাপমাত্রা সীমার বাইরে; ","")&amp;IF(AND(ISNUMBER(EW10),OR(EW10&lt;0,EW10&gt;100)),"আর্দ্রতা সীমার বাইরে; ",""))</f>
        <v/>
      </c>
      <c r="EX78" s="36" t="str">
        <f aca="false">IF(EX1="","",IF(AND(ISNUMBER(EX8),OR(EX8&lt;0,EX8&gt;300)),"বৃষ্টি সীমার বাইরে; ","")&amp;IF(AND(ISNUMBER(EX9),OR(EX9&lt;0,EX9&gt;45)),"তাপমাত্রা সীমার বাইরে; ","")&amp;IF(AND(ISNUMBER(EX10),OR(EX10&lt;0,EX10&gt;100)),"আর্দ্রতা সীমার বাইরে; ",""))</f>
        <v/>
      </c>
      <c r="EY78" s="36" t="str">
        <f aca="false">IF(EY1="","",IF(AND(ISNUMBER(EY8),OR(EY8&lt;0,EY8&gt;300)),"বৃষ্টি সীমার বাইরে; ","")&amp;IF(AND(ISNUMBER(EY9),OR(EY9&lt;0,EY9&gt;45)),"তাপমাত্রা সীমার বাইরে; ","")&amp;IF(AND(ISNUMBER(EY10),OR(EY10&lt;0,EY10&gt;100)),"আর্দ্রতা সীমার বাইরে; ",""))</f>
        <v/>
      </c>
      <c r="EZ78" s="36" t="str">
        <f aca="false">IF(EZ1="","",IF(AND(ISNUMBER(EZ8),OR(EZ8&lt;0,EZ8&gt;300)),"বৃষ্টি সীমার বাইরে; ","")&amp;IF(AND(ISNUMBER(EZ9),OR(EZ9&lt;0,EZ9&gt;45)),"তাপমাত্রা সীমার বাইরে; ","")&amp;IF(AND(ISNUMBER(EZ10),OR(EZ10&lt;0,EZ10&gt;100)),"আর্দ্রতা সীমার বাইরে; ",""))</f>
        <v/>
      </c>
      <c r="FA78" s="36" t="str">
        <f aca="false">IF(FA1="","",IF(AND(ISNUMBER(FA8),OR(FA8&lt;0,FA8&gt;300)),"বৃষ্টি সীমার বাইরে; ","")&amp;IF(AND(ISNUMBER(FA9),OR(FA9&lt;0,FA9&gt;45)),"তাপমাত্রা সীমার বাইরে; ","")&amp;IF(AND(ISNUMBER(FA10),OR(FA10&lt;0,FA10&gt;100)),"আর্দ্রতা সীমার বাইরে; ",""))</f>
        <v/>
      </c>
      <c r="FB78" s="36" t="str">
        <f aca="false">IF(FB1="","",IF(AND(ISNUMBER(FB8),OR(FB8&lt;0,FB8&gt;300)),"বৃষ্টি সীমার বাইরে; ","")&amp;IF(AND(ISNUMBER(FB9),OR(FB9&lt;0,FB9&gt;45)),"তাপমাত্রা সীমার বাইরে; ","")&amp;IF(AND(ISNUMBER(FB10),OR(FB10&lt;0,FB10&gt;100)),"আর্দ্রতা সীমার বাইরে; ",""))</f>
        <v/>
      </c>
      <c r="FC78" s="36" t="str">
        <f aca="false">IF(FC1="","",IF(AND(ISNUMBER(FC8),OR(FC8&lt;0,FC8&gt;300)),"বৃষ্টি সীমার বাইরে; ","")&amp;IF(AND(ISNUMBER(FC9),OR(FC9&lt;0,FC9&gt;45)),"তাপমাত্রা সীমার বাইরে; ","")&amp;IF(AND(ISNUMBER(FC10),OR(FC10&lt;0,FC10&gt;100)),"আর্দ্রতা সীমার বাইরে; ",""))</f>
        <v/>
      </c>
      <c r="FD78" s="36" t="str">
        <f aca="false">IF(FD1="","",IF(AND(ISNUMBER(FD8),OR(FD8&lt;0,FD8&gt;300)),"বৃষ্টি সীমার বাইরে; ","")&amp;IF(AND(ISNUMBER(FD9),OR(FD9&lt;0,FD9&gt;45)),"তাপমাত্রা সীমার বাইরে; ","")&amp;IF(AND(ISNUMBER(FD10),OR(FD10&lt;0,FD10&gt;100)),"আর্দ্রতা সীমার বাইরে; ",""))</f>
        <v/>
      </c>
      <c r="FE78" s="36" t="str">
        <f aca="false">IF(FE1="","",IF(AND(ISNUMBER(FE8),OR(FE8&lt;0,FE8&gt;300)),"বৃষ্টি সীমার বাইরে; ","")&amp;IF(AND(ISNUMBER(FE9),OR(FE9&lt;0,FE9&gt;45)),"তাপমাত্রা সীমার বাইরে; ","")&amp;IF(AND(ISNUMBER(FE10),OR(FE10&lt;0,FE10&gt;100)),"আর্দ্রতা সীমার বাইরে; ",""))</f>
        <v/>
      </c>
      <c r="FF78" s="36" t="str">
        <f aca="false">IF(FF1="","",IF(AND(ISNUMBER(FF8),OR(FF8&lt;0,FF8&gt;300)),"বৃষ্টি সীমার বাইরে; ","")&amp;IF(AND(ISNUMBER(FF9),OR(FF9&lt;0,FF9&gt;45)),"তাপমাত্রা সীমার বাইরে; ","")&amp;IF(AND(ISNUMBER(FF10),OR(FF10&lt;0,FF10&gt;100)),"আর্দ্রতা সীমার বাইরে; ",""))</f>
        <v/>
      </c>
      <c r="FG78" s="36" t="str">
        <f aca="false">IF(FG1="","",IF(AND(ISNUMBER(FG8),OR(FG8&lt;0,FG8&gt;300)),"বৃষ্টি সীমার বাইরে; ","")&amp;IF(AND(ISNUMBER(FG9),OR(FG9&lt;0,FG9&gt;45)),"তাপমাত্রা সীমার বাইরে; ","")&amp;IF(AND(ISNUMBER(FG10),OR(FG10&lt;0,FG10&gt;100)),"আর্দ্রতা সীমার বাইরে; ",""))</f>
        <v/>
      </c>
      <c r="FH78" s="36" t="str">
        <f aca="false">IF(FH1="","",IF(AND(ISNUMBER(FH8),OR(FH8&lt;0,FH8&gt;300)),"বৃষ্টি সীমার বাইরে; ","")&amp;IF(AND(ISNUMBER(FH9),OR(FH9&lt;0,FH9&gt;45)),"তাপমাত্রা সীমার বাইরে; ","")&amp;IF(AND(ISNUMBER(FH10),OR(FH10&lt;0,FH10&gt;100)),"আর্দ্রতা সীমার বাইরে; ",""))</f>
        <v/>
      </c>
      <c r="FI78" s="36" t="str">
        <f aca="false">IF(FI1="","",IF(AND(ISNUMBER(FI8),OR(FI8&lt;0,FI8&gt;300)),"বৃষ্টি সীমার বাইরে; ","")&amp;IF(AND(ISNUMBER(FI9),OR(FI9&lt;0,FI9&gt;45)),"তাপমাত্রা সীমার বাইরে; ","")&amp;IF(AND(ISNUMBER(FI10),OR(FI10&lt;0,FI10&gt;100)),"আর্দ্রতা সীমার বাইরে; ",""))</f>
        <v/>
      </c>
      <c r="FJ78" s="36" t="str">
        <f aca="false">IF(FJ1="","",IF(AND(ISNUMBER(FJ8),OR(FJ8&lt;0,FJ8&gt;300)),"বৃষ্টি সীমার বাইরে; ","")&amp;IF(AND(ISNUMBER(FJ9),OR(FJ9&lt;0,FJ9&gt;45)),"তাপমাত্রা সীমার বাইরে; ","")&amp;IF(AND(ISNUMBER(FJ10),OR(FJ10&lt;0,FJ10&gt;100)),"আর্দ্রতা সীমার বাইরে; ",""))</f>
        <v/>
      </c>
      <c r="FK78" s="36" t="str">
        <f aca="false">IF(FK1="","",IF(AND(ISNUMBER(FK8),OR(FK8&lt;0,FK8&gt;300)),"বৃষ্টি সীমার বাইরে; ","")&amp;IF(AND(ISNUMBER(FK9),OR(FK9&lt;0,FK9&gt;45)),"তাপমাত্রা সীমার বাইরে; ","")&amp;IF(AND(ISNUMBER(FK10),OR(FK10&lt;0,FK10&gt;100)),"আর্দ্রতা সীমার বাইরে; ",""))</f>
        <v/>
      </c>
      <c r="FL78" s="36" t="str">
        <f aca="false">IF(FL1="","",IF(AND(ISNUMBER(FL8),OR(FL8&lt;0,FL8&gt;300)),"বৃষ্টি সীমার বাইরে; ","")&amp;IF(AND(ISNUMBER(FL9),OR(FL9&lt;0,FL9&gt;45)),"তাপমাত্রা সীমার বাইরে; ","")&amp;IF(AND(ISNUMBER(FL10),OR(FL10&lt;0,FL10&gt;100)),"আর্দ্রতা সীমার বাইরে; ",""))</f>
        <v/>
      </c>
      <c r="FM78" s="36" t="str">
        <f aca="false">IF(FM1="","",IF(AND(ISNUMBER(FM8),OR(FM8&lt;0,FM8&gt;300)),"বৃষ্টি সীমার বাইরে; ","")&amp;IF(AND(ISNUMBER(FM9),OR(FM9&lt;0,FM9&gt;45)),"তাপমাত্রা সীমার বাইরে; ","")&amp;IF(AND(ISNUMBER(FM10),OR(FM10&lt;0,FM10&gt;100)),"আর্দ্রতা সীমার বাইরে; ",""))</f>
        <v/>
      </c>
      <c r="FN78" s="36" t="str">
        <f aca="false">IF(FN1="","",IF(AND(ISNUMBER(FN8),OR(FN8&lt;0,FN8&gt;300)),"বৃষ্টি সীমার বাইরে; ","")&amp;IF(AND(ISNUMBER(FN9),OR(FN9&lt;0,FN9&gt;45)),"তাপমাত্রা সীমার বাইরে; ","")&amp;IF(AND(ISNUMBER(FN10),OR(FN10&lt;0,FN10&gt;100)),"আর্দ্রতা সীমার বাইরে; ",""))</f>
        <v/>
      </c>
      <c r="FO78" s="36" t="str">
        <f aca="false">IF(FO1="","",IF(AND(ISNUMBER(FO8),OR(FO8&lt;0,FO8&gt;300)),"বৃষ্টি সীমার বাইরে; ","")&amp;IF(AND(ISNUMBER(FO9),OR(FO9&lt;0,FO9&gt;45)),"তাপমাত্রা সীমার বাইরে; ","")&amp;IF(AND(ISNUMBER(FO10),OR(FO10&lt;0,FO10&gt;100)),"আর্দ্রতা সীমার বাইরে; ",""))</f>
        <v/>
      </c>
      <c r="FP78" s="36" t="str">
        <f aca="false">IF(FP1="","",IF(AND(ISNUMBER(FP8),OR(FP8&lt;0,FP8&gt;300)),"বৃষ্টি সীমার বাইরে; ","")&amp;IF(AND(ISNUMBER(FP9),OR(FP9&lt;0,FP9&gt;45)),"তাপমাত্রা সীমার বাইরে; ","")&amp;IF(AND(ISNUMBER(FP10),OR(FP10&lt;0,FP10&gt;100)),"আর্দ্রতা সীমার বাইরে; ",""))</f>
        <v/>
      </c>
      <c r="FQ78" s="36" t="str">
        <f aca="false">IF(FQ1="","",IF(AND(ISNUMBER(FQ8),OR(FQ8&lt;0,FQ8&gt;300)),"বৃষ্টি সীমার বাইরে; ","")&amp;IF(AND(ISNUMBER(FQ9),OR(FQ9&lt;0,FQ9&gt;45)),"তাপমাত্রা সীমার বাইরে; ","")&amp;IF(AND(ISNUMBER(FQ10),OR(FQ10&lt;0,FQ10&gt;100)),"আর্দ্রতা সীমার বাইরে; ",""))</f>
        <v/>
      </c>
    </row>
    <row r="80" customFormat="false" ht="15" hidden="true" customHeight="false" outlineLevel="0" collapsed="false">
      <c r="B80" s="22" t="s">
        <v>429</v>
      </c>
    </row>
    <row r="81" customFormat="false" ht="15" hidden="true" customHeight="false" outlineLevel="0" collapsed="false">
      <c r="B81" s="45" t="s">
        <v>430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431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432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433</v>
      </c>
      <c r="B85" s="22" t="s">
        <v>434</v>
      </c>
      <c r="D85" s="64" t="n">
        <f aca="false">IF(D1="","",N(D1))</f>
        <v>45990</v>
      </c>
      <c r="E85" s="64" t="n">
        <f aca="false">IF(E1="","",N(E1))</f>
        <v>45991</v>
      </c>
      <c r="F85" s="64" t="n">
        <f aca="false">IF(F1="","",N(F1))</f>
        <v>45992</v>
      </c>
      <c r="G85" s="64" t="n">
        <f aca="false">IF(G1="","",N(G1))</f>
        <v>45993</v>
      </c>
      <c r="H85" s="64" t="n">
        <f aca="false">IF(H1="","",N(H1))</f>
        <v>45994</v>
      </c>
      <c r="I85" s="64" t="n">
        <f aca="false">IF(I1="","",N(I1))</f>
        <v>45995</v>
      </c>
      <c r="J85" s="64" t="n">
        <f aca="false">IF(J1="","",N(J1))</f>
        <v>45996</v>
      </c>
      <c r="K85" s="64" t="n">
        <f aca="false">IF(K1="","",N(K1))</f>
        <v>45997</v>
      </c>
      <c r="L85" s="64" t="n">
        <f aca="false">IF(L1="","",N(L1))</f>
        <v>45998</v>
      </c>
      <c r="M85" s="64" t="n">
        <f aca="false">IF(M1="","",N(M1))</f>
        <v>45999</v>
      </c>
      <c r="N85" s="64" t="n">
        <f aca="false">IF(N1="","",N(N1))</f>
        <v>46000</v>
      </c>
      <c r="O85" s="64" t="n">
        <f aca="false">IF(O1="","",N(O1))</f>
        <v>46001</v>
      </c>
      <c r="P85" s="64" t="n">
        <f aca="false">IF(P1="","",N(P1))</f>
        <v>46002</v>
      </c>
      <c r="Q85" s="64" t="n">
        <f aca="false">IF(Q1="","",N(Q1))</f>
        <v>46003</v>
      </c>
      <c r="R85" s="64" t="n">
        <f aca="false">IF(R1="","",N(R1))</f>
        <v>46004</v>
      </c>
      <c r="S85" s="64" t="n">
        <f aca="false">IF(S1="","",N(S1))</f>
        <v>46005</v>
      </c>
      <c r="T85" s="64" t="n">
        <f aca="false">IF(T1="","",N(T1))</f>
        <v>46006</v>
      </c>
      <c r="U85" s="64" t="n">
        <f aca="false">IF(U1="","",N(U1))</f>
        <v>46007</v>
      </c>
      <c r="V85" s="64" t="n">
        <f aca="false">IF(V1="","",N(V1))</f>
        <v>46008</v>
      </c>
      <c r="W85" s="64" t="n">
        <f aca="false">IF(W1="","",N(W1))</f>
        <v>46009</v>
      </c>
      <c r="X85" s="64" t="n">
        <f aca="false">IF(X1="","",N(X1))</f>
        <v>46010</v>
      </c>
      <c r="Y85" s="64" t="n">
        <f aca="false">IF(Y1="","",N(Y1))</f>
        <v>46011</v>
      </c>
      <c r="Z85" s="64" t="n">
        <f aca="false">IF(Z1="","",N(Z1))</f>
        <v>46012</v>
      </c>
      <c r="AA85" s="64" t="n">
        <f aca="false">IF(AA1="","",N(AA1))</f>
        <v>46013</v>
      </c>
      <c r="AB85" s="64" t="n">
        <f aca="false">IF(AB1="","",N(AB1))</f>
        <v>46014</v>
      </c>
      <c r="AC85" s="64" t="n">
        <f aca="false">IF(AC1="","",N(AC1))</f>
        <v>46015</v>
      </c>
      <c r="AD85" s="64" t="n">
        <f aca="false">IF(AD1="","",N(AD1))</f>
        <v>46016</v>
      </c>
      <c r="AE85" s="64" t="n">
        <f aca="false">IF(AE1="","",N(AE1))</f>
        <v>46017</v>
      </c>
      <c r="AF85" s="64" t="n">
        <f aca="false">IF(AF1="","",N(AF1))</f>
        <v>46018</v>
      </c>
      <c r="AG85" s="64" t="n">
        <f aca="false">IF(AG1="","",N(AG1))</f>
        <v>46019</v>
      </c>
      <c r="AH85" s="64" t="n">
        <f aca="false">IF(AH1="","",N(AH1))</f>
        <v>46020</v>
      </c>
      <c r="AI85" s="64" t="n">
        <f aca="false">IF(AI1="","",N(AI1))</f>
        <v>46021</v>
      </c>
      <c r="AJ85" s="64" t="n">
        <f aca="false">IF(AJ1="","",N(AJ1))</f>
        <v>46022</v>
      </c>
      <c r="AK85" s="64" t="n">
        <f aca="false">IF(AK1="","",N(AK1))</f>
        <v>46023</v>
      </c>
      <c r="AL85" s="64" t="n">
        <f aca="false">IF(AL1="","",N(AL1))</f>
        <v>46024</v>
      </c>
      <c r="AM85" s="64" t="n">
        <f aca="false">IF(AM1="","",N(AM1))</f>
        <v>46025</v>
      </c>
      <c r="AN85" s="64" t="n">
        <f aca="false">IF(AN1="","",N(AN1))</f>
        <v>46026</v>
      </c>
      <c r="AO85" s="64" t="n">
        <f aca="false">IF(AO1="","",N(AO1))</f>
        <v>46027</v>
      </c>
      <c r="AP85" s="64" t="n">
        <f aca="false">IF(AP1="","",N(AP1))</f>
        <v>46028</v>
      </c>
      <c r="AQ85" s="64" t="n">
        <f aca="false">IF(AQ1="","",N(AQ1))</f>
        <v>46029</v>
      </c>
      <c r="AR85" s="64" t="n">
        <f aca="false">IF(AR1="","",N(AR1))</f>
        <v>46030</v>
      </c>
      <c r="AS85" s="64" t="n">
        <f aca="false">IF(AS1="","",N(AS1))</f>
        <v>46031</v>
      </c>
      <c r="AT85" s="64" t="n">
        <f aca="false">IF(AT1="","",N(AT1))</f>
        <v>46032</v>
      </c>
      <c r="AU85" s="64" t="n">
        <f aca="false">IF(AU1="","",N(AU1))</f>
        <v>46033</v>
      </c>
      <c r="AV85" s="64" t="n">
        <f aca="false">IF(AV1="","",N(AV1))</f>
        <v>46034</v>
      </c>
      <c r="AW85" s="64" t="n">
        <f aca="false">IF(AW1="","",N(AW1))</f>
        <v>46035</v>
      </c>
      <c r="AX85" s="64" t="n">
        <f aca="false">IF(AX1="","",N(AX1))</f>
        <v>46036</v>
      </c>
      <c r="AY85" s="64" t="n">
        <f aca="false">IF(AY1="","",N(AY1))</f>
        <v>46037</v>
      </c>
      <c r="AZ85" s="64" t="n">
        <f aca="false">IF(AZ1="","",N(AZ1))</f>
        <v>46038</v>
      </c>
      <c r="BA85" s="64" t="n">
        <f aca="false">IF(BA1="","",N(BA1))</f>
        <v>46039</v>
      </c>
      <c r="BB85" s="64" t="n">
        <f aca="false">IF(BB1="","",N(BB1))</f>
        <v>46040</v>
      </c>
      <c r="BC85" s="64" t="n">
        <f aca="false">IF(BC1="","",N(BC1))</f>
        <v>46041</v>
      </c>
      <c r="BD85" s="64" t="n">
        <f aca="false">IF(BD1="","",N(BD1))</f>
        <v>46042</v>
      </c>
      <c r="BE85" s="64" t="n">
        <f aca="false">IF(BE1="","",N(BE1))</f>
        <v>46043</v>
      </c>
      <c r="BF85" s="64" t="n">
        <f aca="false">IF(BF1="","",N(BF1))</f>
        <v>46044</v>
      </c>
      <c r="BG85" s="64" t="n">
        <f aca="false">IF(BG1="","",N(BG1))</f>
        <v>46045</v>
      </c>
      <c r="BH85" s="64" t="n">
        <f aca="false">IF(BH1="","",N(BH1))</f>
        <v>46046</v>
      </c>
      <c r="BI85" s="64" t="n">
        <f aca="false">IF(BI1="","",N(BI1))</f>
        <v>46047</v>
      </c>
      <c r="BJ85" s="64" t="n">
        <f aca="false">IF(BJ1="","",N(BJ1))</f>
        <v>46048</v>
      </c>
      <c r="BK85" s="64" t="n">
        <f aca="false">IF(BK1="","",N(BK1))</f>
        <v>46049</v>
      </c>
      <c r="BL85" s="64" t="n">
        <f aca="false">IF(BL1="","",N(BL1))</f>
        <v>46050</v>
      </c>
      <c r="BM85" s="64" t="n">
        <f aca="false">IF(BM1="","",N(BM1))</f>
        <v>46051</v>
      </c>
      <c r="BN85" s="64" t="n">
        <f aca="false">IF(BN1="","",N(BN1))</f>
        <v>46052</v>
      </c>
      <c r="BO85" s="64" t="n">
        <f aca="false">IF(BO1="","",N(BO1))</f>
        <v>46053</v>
      </c>
      <c r="BP85" s="64" t="n">
        <f aca="false">IF(BP1="","",N(BP1))</f>
        <v>46054</v>
      </c>
      <c r="BQ85" s="64" t="n">
        <f aca="false">IF(BQ1="","",N(BQ1))</f>
        <v>46055</v>
      </c>
      <c r="BR85" s="64" t="n">
        <f aca="false">IF(BR1="","",N(BR1))</f>
        <v>46056</v>
      </c>
      <c r="BS85" s="64" t="n">
        <f aca="false">IF(BS1="","",N(BS1))</f>
        <v>46057</v>
      </c>
      <c r="BT85" s="64" t="n">
        <f aca="false">IF(BT1="","",N(BT1))</f>
        <v>46058</v>
      </c>
      <c r="BU85" s="64" t="n">
        <f aca="false">IF(BU1="","",N(BU1))</f>
        <v>46059</v>
      </c>
      <c r="BV85" s="64" t="n">
        <f aca="false">IF(BV1="","",N(BV1))</f>
        <v>46060</v>
      </c>
      <c r="BW85" s="64" t="n">
        <f aca="false">IF(BW1="","",N(BW1))</f>
        <v>46061</v>
      </c>
      <c r="BX85" s="64" t="n">
        <f aca="false">IF(BX1="","",N(BX1))</f>
        <v>46062</v>
      </c>
      <c r="BY85" s="64" t="n">
        <f aca="false">IF(BY1="","",N(BY1))</f>
        <v>46063</v>
      </c>
      <c r="BZ85" s="64" t="n">
        <f aca="false">IF(BZ1="","",N(BZ1))</f>
        <v>46064</v>
      </c>
      <c r="CA85" s="64" t="n">
        <f aca="false">IF(CA1="","",N(CA1))</f>
        <v>46065</v>
      </c>
      <c r="CB85" s="64" t="n">
        <f aca="false">IF(CB1="","",N(CB1))</f>
        <v>46066</v>
      </c>
      <c r="CC85" s="64" t="n">
        <f aca="false">IF(CC1="","",N(CC1))</f>
        <v>46067</v>
      </c>
      <c r="CD85" s="64" t="n">
        <f aca="false">IF(CD1="","",N(CD1))</f>
        <v>46068</v>
      </c>
      <c r="CE85" s="64" t="n">
        <f aca="false">IF(CE1="","",N(CE1))</f>
        <v>46069</v>
      </c>
      <c r="CF85" s="64" t="n">
        <f aca="false">IF(CF1="","",N(CF1))</f>
        <v>46070</v>
      </c>
      <c r="CG85" s="64" t="n">
        <f aca="false">IF(CG1="","",N(CG1))</f>
        <v>46071</v>
      </c>
      <c r="CH85" s="64" t="n">
        <f aca="false">IF(CH1="","",N(CH1))</f>
        <v>46072</v>
      </c>
      <c r="CI85" s="64" t="n">
        <f aca="false">IF(CI1="","",N(CI1))</f>
        <v>46073</v>
      </c>
      <c r="CJ85" s="64" t="n">
        <f aca="false">IF(CJ1="","",N(CJ1))</f>
        <v>46074</v>
      </c>
      <c r="CK85" s="64" t="n">
        <f aca="false">IF(CK1="","",N(CK1))</f>
        <v>46075</v>
      </c>
      <c r="CL85" s="64" t="n">
        <f aca="false">IF(CL1="","",N(CL1))</f>
        <v>46076</v>
      </c>
      <c r="CM85" s="64" t="n">
        <f aca="false">IF(CM1="","",N(CM1))</f>
        <v>46077</v>
      </c>
      <c r="CN85" s="64" t="n">
        <f aca="false">IF(CN1="","",N(CN1))</f>
        <v>46078</v>
      </c>
      <c r="CO85" s="64" t="n">
        <f aca="false">IF(CO1="","",N(CO1))</f>
        <v>46079</v>
      </c>
      <c r="CP85" s="64" t="n">
        <f aca="false">IF(CP1="","",N(CP1))</f>
        <v>46080</v>
      </c>
      <c r="CQ85" s="64" t="n">
        <f aca="false">IF(CQ1="","",N(CQ1))</f>
        <v>46081</v>
      </c>
      <c r="CR85" s="64" t="n">
        <f aca="false">IF(CR1="","",N(CR1))</f>
        <v>46082</v>
      </c>
      <c r="CS85" s="64" t="n">
        <f aca="false">IF(CS1="","",N(CS1))</f>
        <v>46083</v>
      </c>
      <c r="CT85" s="64" t="n">
        <f aca="false">IF(CT1="","",N(CT1))</f>
        <v>46084</v>
      </c>
      <c r="CU85" s="64" t="n">
        <f aca="false">IF(CU1="","",N(CU1))</f>
        <v>46085</v>
      </c>
      <c r="CV85" s="64" t="n">
        <f aca="false">IF(CV1="","",N(CV1))</f>
        <v>46086</v>
      </c>
      <c r="CW85" s="64" t="n">
        <f aca="false">IF(CW1="","",N(CW1))</f>
        <v>46087</v>
      </c>
      <c r="CX85" s="64" t="n">
        <f aca="false">IF(CX1="","",N(CX1))</f>
        <v>46088</v>
      </c>
      <c r="CY85" s="64" t="n">
        <f aca="false">IF(CY1="","",N(CY1))</f>
        <v>46089</v>
      </c>
      <c r="CZ85" s="64" t="n">
        <f aca="false">IF(CZ1="","",N(CZ1))</f>
        <v>46090</v>
      </c>
      <c r="DA85" s="64" t="n">
        <f aca="false">IF(DA1="","",N(DA1))</f>
        <v>46091</v>
      </c>
      <c r="DB85" s="64" t="n">
        <f aca="false">IF(DB1="","",N(DB1))</f>
        <v>46092</v>
      </c>
      <c r="DC85" s="64" t="n">
        <f aca="false">IF(DC1="","",N(DC1))</f>
        <v>46093</v>
      </c>
      <c r="DD85" s="64" t="n">
        <f aca="false">IF(DD1="","",N(DD1))</f>
        <v>46094</v>
      </c>
      <c r="DE85" s="64" t="n">
        <f aca="false">IF(DE1="","",N(DE1))</f>
        <v>46095</v>
      </c>
      <c r="DF85" s="64" t="n">
        <f aca="false">IF(DF1="","",N(DF1))</f>
        <v>46096</v>
      </c>
      <c r="DG85" s="64" t="n">
        <f aca="false">IF(DG1="","",N(DG1))</f>
        <v>46097</v>
      </c>
      <c r="DH85" s="64" t="n">
        <f aca="false">IF(DH1="","",N(DH1))</f>
        <v>46098</v>
      </c>
      <c r="DI85" s="64" t="n">
        <f aca="false">IF(DI1="","",N(DI1))</f>
        <v>46099</v>
      </c>
      <c r="DJ85" s="64" t="n">
        <f aca="false">IF(DJ1="","",N(DJ1))</f>
        <v>46100</v>
      </c>
      <c r="DK85" s="64" t="n">
        <f aca="false">IF(DK1="","",N(DK1))</f>
        <v>46101</v>
      </c>
      <c r="DL85" s="64" t="n">
        <f aca="false">IF(DL1="","",N(DL1))</f>
        <v>46102</v>
      </c>
      <c r="DM85" s="64" t="n">
        <f aca="false">IF(DM1="","",N(DM1))</f>
        <v>46103</v>
      </c>
      <c r="DN85" s="64" t="n">
        <f aca="false">IF(DN1="","",N(DN1))</f>
        <v>46104</v>
      </c>
      <c r="DO85" s="64" t="n">
        <f aca="false">IF(DO1="","",N(DO1))</f>
        <v>46105</v>
      </c>
      <c r="DP85" s="64" t="n">
        <f aca="false">IF(DP1="","",N(DP1))</f>
        <v>46106</v>
      </c>
      <c r="DQ85" s="64" t="n">
        <f aca="false">IF(DQ1="","",N(DQ1))</f>
        <v>46107</v>
      </c>
      <c r="DR85" s="64" t="n">
        <f aca="false">IF(DR1="","",N(DR1))</f>
        <v>46108</v>
      </c>
      <c r="DS85" s="64" t="n">
        <f aca="false">IF(DS1="","",N(DS1))</f>
        <v>46109</v>
      </c>
      <c r="DT85" s="64" t="n">
        <f aca="false">IF(DT1="","",N(DT1))</f>
        <v>46110</v>
      </c>
      <c r="DU85" s="64" t="n">
        <f aca="false">IF(DU1="","",N(DU1))</f>
        <v>46111</v>
      </c>
      <c r="DV85" s="64" t="n">
        <f aca="false">IF(DV1="","",N(DV1))</f>
        <v>46112</v>
      </c>
      <c r="DW85" s="64" t="n">
        <f aca="false">IF(DW1="","",N(DW1))</f>
        <v>46113</v>
      </c>
      <c r="DX85" s="64" t="n">
        <f aca="false">IF(DX1="","",N(DX1))</f>
        <v>46114</v>
      </c>
      <c r="DY85" s="64" t="n">
        <f aca="false">IF(DY1="","",N(DY1))</f>
        <v>46115</v>
      </c>
      <c r="DZ85" s="64" t="n">
        <f aca="false">IF(DZ1="","",N(DZ1))</f>
        <v>46116</v>
      </c>
      <c r="EA85" s="64" t="n">
        <f aca="false">IF(EA1="","",N(EA1))</f>
        <v>46117</v>
      </c>
      <c r="EB85" s="64" t="n">
        <f aca="false">IF(EB1="","",N(EB1))</f>
        <v>46118</v>
      </c>
      <c r="EC85" s="64" t="n">
        <f aca="false">IF(EC1="","",N(EC1))</f>
        <v>46119</v>
      </c>
      <c r="ED85" s="64" t="n">
        <f aca="false">IF(ED1="","",N(ED1))</f>
        <v>46120</v>
      </c>
      <c r="EE85" s="64" t="n">
        <f aca="false">IF(EE1="","",N(EE1))</f>
        <v>46121</v>
      </c>
      <c r="EF85" s="64" t="n">
        <f aca="false">IF(EF1="","",N(EF1))</f>
        <v>46122</v>
      </c>
      <c r="EG85" s="64" t="n">
        <f aca="false">IF(EG1="","",N(EG1))</f>
        <v>46123</v>
      </c>
      <c r="EH85" s="64" t="n">
        <f aca="false">IF(EH1="","",N(EH1))</f>
        <v>46124</v>
      </c>
      <c r="EI85" s="64" t="n">
        <f aca="false">IF(EI1="","",N(EI1))</f>
        <v>46125</v>
      </c>
      <c r="EJ85" s="64" t="n">
        <f aca="false">IF(EJ1="","",N(EJ1))</f>
        <v>46126</v>
      </c>
      <c r="EK85" s="64" t="n">
        <f aca="false">IF(EK1="","",N(EK1))</f>
        <v>46127</v>
      </c>
      <c r="EL85" s="64" t="n">
        <f aca="false">IF(EL1="","",N(EL1))</f>
        <v>46128</v>
      </c>
      <c r="EM85" s="64" t="n">
        <f aca="false">IF(EM1="","",N(EM1))</f>
        <v>46129</v>
      </c>
      <c r="EN85" s="64" t="n">
        <f aca="false">IF(EN1="","",N(EN1))</f>
        <v>46130</v>
      </c>
      <c r="EO85" s="64" t="n">
        <f aca="false">IF(EO1="","",N(EO1))</f>
        <v>46131</v>
      </c>
      <c r="EP85" s="64" t="n">
        <f aca="false">IF(EP1="","",N(EP1))</f>
        <v>46132</v>
      </c>
      <c r="EQ85" s="64" t="n">
        <f aca="false">IF(EQ1="","",N(EQ1))</f>
        <v>46133</v>
      </c>
      <c r="ER85" s="64" t="n">
        <f aca="false">IF(ER1="","",N(ER1))</f>
        <v>46134</v>
      </c>
      <c r="ES85" s="64" t="n">
        <f aca="false">IF(ES1="","",N(ES1))</f>
        <v>46135</v>
      </c>
      <c r="ET85" s="64" t="n">
        <f aca="false">IF(ET1="","",N(ET1))</f>
        <v>46136</v>
      </c>
      <c r="EU85" s="64" t="n">
        <f aca="false">IF(EU1="","",N(EU1))</f>
        <v>46137</v>
      </c>
      <c r="EV85" s="64" t="n">
        <f aca="false">IF(EV1="","",N(EV1))</f>
        <v>46138</v>
      </c>
      <c r="EW85" s="64" t="n">
        <f aca="false">IF(EW1="","",N(EW1))</f>
        <v>46139</v>
      </c>
      <c r="EX85" s="64" t="n">
        <f aca="false">IF(EX1="","",N(EX1))</f>
        <v>46140</v>
      </c>
      <c r="EY85" s="64" t="n">
        <f aca="false">IF(EY1="","",N(EY1))</f>
        <v>46141</v>
      </c>
      <c r="EZ85" s="64" t="n">
        <f aca="false">IF(EZ1="","",N(EZ1))</f>
        <v>46142</v>
      </c>
      <c r="FA85" s="64" t="n">
        <f aca="false">IF(FA1="","",N(FA1))</f>
        <v>46143</v>
      </c>
      <c r="FB85" s="64" t="n">
        <f aca="false">IF(FB1="","",N(FB1))</f>
        <v>46144</v>
      </c>
      <c r="FC85" s="64" t="n">
        <f aca="false">IF(FC1="","",N(FC1))</f>
        <v>46145</v>
      </c>
      <c r="FD85" s="64" t="n">
        <f aca="false">IF(FD1="","",N(FD1))</f>
        <v>46146</v>
      </c>
      <c r="FE85" s="64" t="n">
        <f aca="false">IF(FE1="","",N(FE1))</f>
        <v>46147</v>
      </c>
      <c r="FF85" s="64" t="n">
        <f aca="false">IF(FF1="","",N(FF1))</f>
        <v>46148</v>
      </c>
      <c r="FG85" s="64" t="n">
        <f aca="false">IF(FG1="","",N(FG1))</f>
        <v>46149</v>
      </c>
      <c r="FH85" s="64" t="n">
        <f aca="false">IF(FH1="","",N(FH1))</f>
        <v>46150</v>
      </c>
      <c r="FI85" s="64" t="n">
        <f aca="false">IF(FI1="","",N(FI1))</f>
        <v>46151</v>
      </c>
      <c r="FJ85" s="64" t="n">
        <f aca="false">IF(FJ1="","",N(FJ1))</f>
        <v>46152</v>
      </c>
      <c r="FK85" s="64" t="n">
        <f aca="false">IF(FK1="","",N(FK1))</f>
        <v>46153</v>
      </c>
      <c r="FL85" s="64" t="n">
        <f aca="false">IF(FL1="","",N(FL1))</f>
        <v>46154</v>
      </c>
      <c r="FM85" s="64" t="n">
        <f aca="false">IF(FM1="","",N(FM1))</f>
        <v>46155</v>
      </c>
      <c r="FN85" s="64" t="n">
        <f aca="false">IF(FN1="","",N(FN1))</f>
        <v>46156</v>
      </c>
      <c r="FO85" s="64" t="n">
        <f aca="false">IF(FO1="","",N(FO1))</f>
        <v>46157</v>
      </c>
      <c r="FP85" s="64" t="n">
        <f aca="false">IF(FP1="","",N(FP1))</f>
        <v>46158</v>
      </c>
      <c r="FQ85" s="64" t="n">
        <f aca="false">IF(FQ1="","",N(FQ1))</f>
        <v>46159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435</v>
      </c>
      <c r="B87" s="65" t="str">
        <f aca="false">SiteName</f>
        <v>Demo Site-01</v>
      </c>
    </row>
    <row r="88" customFormat="false" ht="15" hidden="true" customHeight="false" outlineLevel="0" collapsed="false">
      <c r="A88" s="22" t="s">
        <v>436</v>
      </c>
      <c r="B88" s="65" t="str">
        <f aca="false">Place</f>
        <v>Chougachha, Jashore</v>
      </c>
    </row>
    <row r="89" customFormat="false" ht="15" hidden="true" customHeight="false" outlineLevel="0" collapsed="false">
      <c r="A89" s="22" t="s">
        <v>437</v>
      </c>
      <c r="B89" s="65" t="str">
        <f aca="false">Variety</f>
        <v>Rod miniket</v>
      </c>
    </row>
    <row r="90" customFormat="false" ht="15" hidden="true" customHeight="false" outlineLevel="0" collapsed="false">
      <c r="A90" s="22" t="s">
        <v>438</v>
      </c>
      <c r="B90" s="65" t="n">
        <f aca="false">IF(ISNUMBER(SowDate),N(SowDate),"")</f>
        <v>45993</v>
      </c>
    </row>
    <row r="91" customFormat="false" ht="15" hidden="true" customHeight="false" outlineLevel="0" collapsed="false">
      <c r="A91" s="22" t="s">
        <v>439</v>
      </c>
      <c r="B91" s="65" t="n">
        <f aca="false">IF(ISNUMBER(TransDate),N(TransDate),"")</f>
        <v>46042</v>
      </c>
    </row>
    <row r="92" customFormat="false" ht="15" hidden="true" customHeight="false" outlineLevel="0" collapsed="false">
      <c r="A92" s="22" t="s">
        <v>440</v>
      </c>
      <c r="B92" s="65" t="n">
        <f aca="false">IF(ISNUMBER(PitanS),N(PitanS),"")</f>
        <v>46072</v>
      </c>
    </row>
    <row r="93" customFormat="false" ht="15" hidden="true" customHeight="false" outlineLevel="0" collapsed="false">
      <c r="A93" s="22" t="s">
        <v>441</v>
      </c>
      <c r="B93" s="65" t="n">
        <f aca="false">IF(ISNUMBER(PitanE),N(PitanE),"")</f>
        <v>46075</v>
      </c>
    </row>
    <row r="94" customFormat="false" ht="15" hidden="true" customHeight="false" outlineLevel="0" collapsed="false">
      <c r="A94" s="22" t="s">
        <v>442</v>
      </c>
      <c r="B94" s="65" t="n">
        <f aca="false">IF(ISNUMBER(MDS),N(MDS),"")</f>
        <v>46073</v>
      </c>
    </row>
    <row r="95" customFormat="false" ht="15" hidden="true" customHeight="false" outlineLevel="0" collapsed="false">
      <c r="A95" s="22" t="s">
        <v>443</v>
      </c>
      <c r="B95" s="65" t="n">
        <f aca="false">IF(ISNUMBER(MDE),N(MDE),"")</f>
        <v>46081</v>
      </c>
    </row>
    <row r="96" customFormat="false" ht="15" hidden="true" customHeight="false" outlineLevel="0" collapsed="false">
      <c r="A96" s="22" t="s">
        <v>444</v>
      </c>
      <c r="B96" s="65" t="n">
        <f aca="false">IF(ISNUMBER(FloodS),N(FloodS),"")</f>
        <v>46093</v>
      </c>
    </row>
    <row r="97" customFormat="false" ht="15" hidden="true" customHeight="false" outlineLevel="0" collapsed="false">
      <c r="A97" s="22" t="s">
        <v>445</v>
      </c>
      <c r="B97" s="65" t="n">
        <f aca="false">IF(ISNUMBER(FloodE),N(FloodE),"")</f>
        <v>46097</v>
      </c>
    </row>
    <row r="98" customFormat="false" ht="15" hidden="true" customHeight="false" outlineLevel="0" collapsed="false">
      <c r="A98" s="22" t="s">
        <v>446</v>
      </c>
      <c r="B98" s="65" t="n">
        <f aca="false">IF(ISNUMBER(C1S),N(C1S),"")</f>
        <v>46097</v>
      </c>
    </row>
    <row r="99" customFormat="false" ht="15" hidden="true" customHeight="false" outlineLevel="0" collapsed="false">
      <c r="A99" s="22" t="s">
        <v>447</v>
      </c>
      <c r="B99" s="65" t="n">
        <f aca="false">IF(ISNUMBER(C3E),N(C3E),"")</f>
        <v>46140</v>
      </c>
    </row>
    <row r="100" customFormat="false" ht="15" hidden="true" customHeight="false" outlineLevel="0" collapsed="false">
      <c r="A100" s="22" t="s">
        <v>448</v>
      </c>
      <c r="B100" s="65" t="n">
        <f aca="false">IF(ISNUMBER(HeadD),N(HeadD),"")</f>
        <v>46118</v>
      </c>
    </row>
    <row r="101" customFormat="false" ht="15" hidden="true" customHeight="false" outlineLevel="0" collapsed="false">
      <c r="A101" s="22" t="s">
        <v>449</v>
      </c>
      <c r="B101" s="65" t="n">
        <f aca="false">IF(ISNUMBER(HarvD),N(HarvD),"")</f>
        <v>46146</v>
      </c>
    </row>
    <row r="102" customFormat="false" ht="15" hidden="true" customHeight="false" outlineLevel="0" collapsed="false">
      <c r="A102" s="22" t="s">
        <v>450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451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452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453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454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455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456</v>
      </c>
      <c r="B108" s="65" t="s">
        <v>457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458</v>
      </c>
    </row>
    <row r="3" customFormat="false" ht="15" hidden="false" customHeight="false" outlineLevel="0" collapsed="false">
      <c r="A3" s="15" t="s">
        <v>103</v>
      </c>
      <c r="B3" s="15" t="s">
        <v>459</v>
      </c>
      <c r="C3" s="15" t="s">
        <v>460</v>
      </c>
      <c r="D3" s="15" t="s">
        <v>461</v>
      </c>
      <c r="E3" s="15" t="s">
        <v>104</v>
      </c>
      <c r="F3" s="15" t="s">
        <v>105</v>
      </c>
    </row>
    <row r="4" customFormat="false" ht="15" hidden="false" customHeight="false" outlineLevel="0" collapsed="false">
      <c r="A4" s="54" t="s">
        <v>106</v>
      </c>
      <c r="B4" s="50" t="n">
        <f aca="false">SUM(2_Daily_input!$D$78:$FQ$78)</f>
        <v>0</v>
      </c>
      <c r="C4" s="50" t="n">
        <f aca="false">SUM(2_Daily_input!$D$93:$FQ$93)</f>
        <v>15</v>
      </c>
      <c r="D4" s="50" t="n">
        <f aca="false">SUM(2_Daily_input!$D$114:$FQ$114)</f>
        <v>15</v>
      </c>
      <c r="E4" s="50" t="n">
        <f aca="false">1_Settings!$C$48</f>
        <v>0.46</v>
      </c>
      <c r="F4" s="50" t="n">
        <f aca="false">1_Settings!$D$48</f>
        <v>0</v>
      </c>
    </row>
    <row r="5" customFormat="false" ht="15" hidden="false" customHeight="false" outlineLevel="0" collapsed="false">
      <c r="A5" s="54" t="s">
        <v>107</v>
      </c>
      <c r="B5" s="50" t="n">
        <f aca="false">SUM(2_Daily_input!$D$79:$FQ$79)</f>
        <v>0</v>
      </c>
      <c r="C5" s="50" t="n">
        <f aca="false">SUM(2_Daily_input!$D$94:$FQ$94)</f>
        <v>4</v>
      </c>
      <c r="D5" s="50" t="n">
        <f aca="false">SUM(2_Daily_input!$D$115:$FQ$115)</f>
        <v>4</v>
      </c>
      <c r="E5" s="50" t="n">
        <f aca="false">1_Settings!$C$49</f>
        <v>0</v>
      </c>
      <c r="F5" s="50" t="n">
        <f aca="false">1_Settings!$D$49</f>
        <v>0.2</v>
      </c>
    </row>
    <row r="6" customFormat="false" ht="15" hidden="false" customHeight="false" outlineLevel="0" collapsed="false">
      <c r="A6" s="54" t="s">
        <v>108</v>
      </c>
      <c r="B6" s="50" t="n">
        <f aca="false">SUM(2_Daily_input!$D$80:$FQ$80)</f>
        <v>0</v>
      </c>
      <c r="C6" s="50" t="n">
        <f aca="false">SUM(2_Daily_input!$D$95:$FQ$95)</f>
        <v>0</v>
      </c>
      <c r="D6" s="50" t="n">
        <f aca="false">SUM(2_Daily_input!$D$116:$FQ$116)</f>
        <v>0</v>
      </c>
      <c r="E6" s="50" t="n">
        <f aca="false">1_Settings!$C$50</f>
        <v>0.18</v>
      </c>
      <c r="F6" s="50" t="n">
        <f aca="false">1_Settings!$D$50</f>
        <v>0.2</v>
      </c>
    </row>
    <row r="7" customFormat="false" ht="15" hidden="false" customHeight="false" outlineLevel="0" collapsed="false">
      <c r="A7" s="54" t="s">
        <v>109</v>
      </c>
      <c r="B7" s="50" t="n">
        <f aca="false">SUM(2_Daily_input!$D$81:$FQ$81)</f>
        <v>0</v>
      </c>
      <c r="C7" s="50" t="n">
        <f aca="false">SUM(2_Daily_input!$D$96:$FQ$96)</f>
        <v>2</v>
      </c>
      <c r="D7" s="50" t="n">
        <f aca="false">SUM(2_Daily_input!$D$117:$FQ$117)</f>
        <v>2</v>
      </c>
      <c r="E7" s="50" t="n">
        <f aca="false">1_Settings!$C$51</f>
        <v>0</v>
      </c>
      <c r="F7" s="50" t="n">
        <f aca="false">1_Settings!$D$51</f>
        <v>0</v>
      </c>
    </row>
    <row r="8" customFormat="false" ht="15" hidden="false" customHeight="false" outlineLevel="0" collapsed="false">
      <c r="A8" s="54" t="s">
        <v>110</v>
      </c>
      <c r="B8" s="50" t="n">
        <f aca="false">SUM(2_Daily_input!$D$82:$FQ$82)</f>
        <v>0</v>
      </c>
      <c r="C8" s="50" t="n">
        <f aca="false">SUM(2_Daily_input!$D$97:$FQ$97)</f>
        <v>5</v>
      </c>
      <c r="D8" s="50" t="n">
        <f aca="false">SUM(2_Daily_input!$D$118:$FQ$118)</f>
        <v>5</v>
      </c>
      <c r="E8" s="50" t="n">
        <f aca="false">1_Settings!$C$52</f>
        <v>0</v>
      </c>
      <c r="F8" s="50" t="n">
        <f aca="false">1_Settings!$D$52</f>
        <v>0</v>
      </c>
    </row>
    <row r="9" customFormat="false" ht="15" hidden="false" customHeight="false" outlineLevel="0" collapsed="false">
      <c r="A9" s="54" t="s">
        <v>111</v>
      </c>
      <c r="B9" s="50" t="n">
        <f aca="false">SUM(2_Daily_input!$D$83:$FQ$83)</f>
        <v>0</v>
      </c>
      <c r="C9" s="50" t="n">
        <f aca="false">SUM(2_Daily_input!$D$98:$FQ$98)</f>
        <v>0</v>
      </c>
      <c r="D9" s="50" t="n">
        <f aca="false">SUM(2_Daily_input!$D$119:$FQ$119)</f>
        <v>0</v>
      </c>
      <c r="E9" s="50" t="n">
        <f aca="false">1_Settings!$C$53</f>
        <v>0</v>
      </c>
      <c r="F9" s="50" t="n">
        <f aca="false">1_Settings!$D$53</f>
        <v>0</v>
      </c>
    </row>
    <row r="10" customFormat="false" ht="15" hidden="false" customHeight="false" outlineLevel="0" collapsed="false">
      <c r="A10" s="54" t="s">
        <v>112</v>
      </c>
      <c r="B10" s="50" t="n">
        <f aca="false">SUM(2_Daily_input!$D$84:$FQ$84)</f>
        <v>0</v>
      </c>
      <c r="C10" s="50" t="n">
        <f aca="false">SUM(2_Daily_input!$D$99:$FQ$99)</f>
        <v>0</v>
      </c>
      <c r="D10" s="50" t="n">
        <f aca="false">SUM(2_Daily_input!$D$120:$FQ$120)</f>
        <v>0</v>
      </c>
      <c r="E10" s="50" t="n">
        <f aca="false">1_Settings!$C$54</f>
        <v>0</v>
      </c>
      <c r="F10" s="50" t="n">
        <f aca="false">1_Settings!$D$54</f>
        <v>0</v>
      </c>
    </row>
    <row r="11" customFormat="false" ht="15" hidden="false" customHeight="false" outlineLevel="0" collapsed="false">
      <c r="A11" s="54" t="s">
        <v>113</v>
      </c>
      <c r="B11" s="50" t="n">
        <f aca="false">SUM(2_Daily_input!$D$85:$FQ$85)</f>
        <v>0</v>
      </c>
      <c r="C11" s="50" t="n">
        <f aca="false">SUM(2_Daily_input!$D$100:$FQ$100)</f>
        <v>0</v>
      </c>
      <c r="D11" s="50" t="n">
        <f aca="false">SUM(2_Daily_input!$D$121:$FQ$121)</f>
        <v>0</v>
      </c>
      <c r="E11" s="50" t="n">
        <f aca="false">1_Settings!$C$55</f>
        <v>0</v>
      </c>
      <c r="F11" s="50" t="n">
        <f aca="false">1_Settings!$D$55</f>
        <v>0</v>
      </c>
    </row>
    <row r="12" customFormat="false" ht="15" hidden="false" customHeight="false" outlineLevel="0" collapsed="false">
      <c r="A12" s="54" t="s">
        <v>114</v>
      </c>
      <c r="B12" s="50"/>
      <c r="C12" s="50" t="n">
        <f aca="false">SUM(2_Daily_input!$D$101:$FQ$101)</f>
        <v>0</v>
      </c>
      <c r="D12" s="50" t="n">
        <f aca="false">SUM(2_Daily_input!$D$122:$FQ$122)</f>
        <v>0</v>
      </c>
      <c r="E12" s="50" t="n">
        <f aca="false">1_Settings!$C$56</f>
        <v>0</v>
      </c>
      <c r="F12" s="50" t="n">
        <f aca="false">1_Settings!$D$56</f>
        <v>0</v>
      </c>
    </row>
    <row r="13" customFormat="false" ht="15" hidden="false" customHeight="false" outlineLevel="0" collapsed="false">
      <c r="A13" s="54" t="s">
        <v>115</v>
      </c>
      <c r="B13" s="50" t="n">
        <f aca="false">SUM(2_Daily_input!$D$86:$FQ$86)</f>
        <v>0</v>
      </c>
      <c r="C13" s="50" t="n">
        <f aca="false">SUM(2_Daily_input!$D$102:$FQ$102)</f>
        <v>0</v>
      </c>
      <c r="D13" s="50" t="n">
        <f aca="false">SUM(2_Daily_input!$D$123:$FQ$123)</f>
        <v>0</v>
      </c>
      <c r="E13" s="50" t="n">
        <f aca="false">1_Settings!$C$57</f>
        <v>0</v>
      </c>
      <c r="F13" s="50" t="n">
        <f aca="false">1_Settings!$D$57</f>
        <v>0</v>
      </c>
    </row>
    <row r="14" customFormat="false" ht="15" hidden="false" customHeight="false" outlineLevel="0" collapsed="false">
      <c r="A14" s="54" t="s">
        <v>116</v>
      </c>
      <c r="B14" s="50"/>
      <c r="C14" s="50" t="n">
        <f aca="false">SUM(2_Daily_input!$D$103:$FQ$103)</f>
        <v>0</v>
      </c>
      <c r="D14" s="50" t="n">
        <f aca="false">SUM(2_Daily_input!$D$124:$FQ$124)</f>
        <v>0</v>
      </c>
      <c r="E14" s="50" t="n">
        <f aca="false">1_Settings!$C$58</f>
        <v>0</v>
      </c>
      <c r="F14" s="50" t="n">
        <f aca="false">1_Settings!$D$58</f>
        <v>0</v>
      </c>
    </row>
    <row r="15" customFormat="false" ht="15" hidden="false" customHeight="false" outlineLevel="0" collapsed="false">
      <c r="A15" s="54" t="s">
        <v>117</v>
      </c>
      <c r="B15" s="50"/>
      <c r="C15" s="50" t="n">
        <f aca="false">SUM(2_Daily_input!$D$104:$FQ$104)</f>
        <v>0</v>
      </c>
      <c r="D15" s="50" t="n">
        <f aca="false">SUM(2_Daily_input!$D$125:$FQ$125)</f>
        <v>0</v>
      </c>
      <c r="E15" s="50" t="n">
        <f aca="false">1_Settings!$C$59</f>
        <v>0</v>
      </c>
      <c r="F15" s="50" t="n">
        <f aca="false">1_Settings!$D$59</f>
        <v>0</v>
      </c>
    </row>
    <row r="17" customFormat="false" ht="23.85" hidden="false" customHeight="false" outlineLevel="0" collapsed="false">
      <c r="A17" s="15" t="s">
        <v>462</v>
      </c>
      <c r="B17" s="15" t="s">
        <v>463</v>
      </c>
      <c r="C17" s="15" t="s">
        <v>464</v>
      </c>
      <c r="D17" s="15" t="s">
        <v>465</v>
      </c>
      <c r="E17" s="15" t="s">
        <v>466</v>
      </c>
    </row>
    <row r="18" customFormat="false" ht="15" hidden="false" customHeight="false" outlineLevel="0" collapsed="false">
      <c r="A18" s="17" t="s">
        <v>317</v>
      </c>
      <c r="B18" s="48" t="n">
        <f aca="false">IF(ISNUMBER(FP_m2),ROUND(SUMPRODUCT(C4:C15,$E$4:$E$15)*1000/FP_m2,1),"")</f>
        <v>20.2</v>
      </c>
      <c r="C18" s="48" t="n">
        <f aca="false">IF(ISNUMBER(FP_m2),ROUND(SUMPRODUCT(C4:C15,$F$4:$F$15)*1000/FP_m2,1),"")</f>
        <v>2.3</v>
      </c>
      <c r="D18" s="50" t="n">
        <f aca="false">COUNTIF(2_Daily_input!$D$105:$FQ$105,"?*")</f>
        <v>2</v>
      </c>
      <c r="E18" s="50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74</v>
      </c>
      <c r="B19" s="48" t="n">
        <f aca="false">IF(ISNUMBER(MD_m2),ROUND(SUMPRODUCT(D4:D15,$E$4:$E$15)*1000/MD_m2,1),"")</f>
        <v>20.2</v>
      </c>
      <c r="C19" s="48" t="n">
        <f aca="false">IF(ISNUMBER(MD_m2),ROUND(SUMPRODUCT(D4:D15,$F$4:$F$15)*1000/MD_m2,1),"")</f>
        <v>2.3</v>
      </c>
      <c r="D19" s="50" t="n">
        <f aca="false">COUNTIF(2_Daily_input!$D$126:$FQ$126,"?*")</f>
        <v>1</v>
      </c>
      <c r="E19" s="50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23" t="s">
        <v>468</v>
      </c>
    </row>
    <row r="3" customFormat="false" ht="15" hidden="false" customHeight="false" outlineLevel="0" collapsed="false">
      <c r="B3" s="24" t="s">
        <v>469</v>
      </c>
      <c r="C3" s="24" t="s">
        <v>470</v>
      </c>
    </row>
    <row r="4" customFormat="false" ht="15" hidden="false" customHeight="false" outlineLevel="0" collapsed="false">
      <c r="B4" s="21" t="s">
        <v>471</v>
      </c>
      <c r="C4" s="18" t="n">
        <v>50</v>
      </c>
    </row>
    <row r="5" customFormat="false" ht="15" hidden="false" customHeight="false" outlineLevel="0" collapsed="false">
      <c r="B5" s="21" t="s">
        <v>472</v>
      </c>
      <c r="C5" s="18" t="n">
        <v>13</v>
      </c>
    </row>
    <row r="6" customFormat="false" ht="15" hidden="false" customHeight="false" outlineLevel="0" collapsed="false">
      <c r="B6" s="21" t="s">
        <v>473</v>
      </c>
      <c r="C6" s="18" t="n">
        <v>5</v>
      </c>
    </row>
    <row r="7" customFormat="false" ht="15" hidden="false" customHeight="false" outlineLevel="0" collapsed="false">
      <c r="B7" s="21" t="s">
        <v>474</v>
      </c>
      <c r="C7" s="18" t="n">
        <v>29.5</v>
      </c>
    </row>
    <row r="8" customFormat="false" ht="15" hidden="false" customHeight="false" outlineLevel="0" collapsed="false">
      <c r="B8" s="21" t="s">
        <v>475</v>
      </c>
      <c r="C8" s="18" t="n">
        <v>45</v>
      </c>
    </row>
    <row r="9" customFormat="false" ht="15" hidden="false" customHeight="false" outlineLevel="0" collapsed="false">
      <c r="B9" s="54" t="s">
        <v>476</v>
      </c>
      <c r="C9" s="48" t="n">
        <f aca="false">C7-C8+C5</f>
        <v>-2.5</v>
      </c>
    </row>
    <row r="11" customFormat="false" ht="31.5" hidden="false" customHeight="true" outlineLevel="0" collapsed="false">
      <c r="B11" s="66" t="s">
        <v>477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478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479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480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481</v>
      </c>
    </row>
    <row r="2" customFormat="false" ht="15" hidden="false" customHeight="false" outlineLevel="0" collapsed="false">
      <c r="A2" s="15" t="s">
        <v>153</v>
      </c>
      <c r="B2" s="15" t="s">
        <v>482</v>
      </c>
      <c r="C2" s="15" t="s">
        <v>483</v>
      </c>
      <c r="D2" s="15" t="s">
        <v>484</v>
      </c>
      <c r="E2" s="15" t="s">
        <v>485</v>
      </c>
      <c r="F2" s="15" t="s">
        <v>486</v>
      </c>
      <c r="G2" s="15" t="s">
        <v>487</v>
      </c>
      <c r="H2" s="15" t="s">
        <v>63</v>
      </c>
      <c r="I2" s="15" t="s">
        <v>488</v>
      </c>
      <c r="J2" s="15" t="s">
        <v>489</v>
      </c>
    </row>
    <row r="3" customFormat="false" ht="15" hidden="false" customHeight="false" outlineLevel="0" collapsed="false">
      <c r="A3" s="18" t="s">
        <v>490</v>
      </c>
      <c r="B3" s="18" t="s">
        <v>491</v>
      </c>
      <c r="C3" s="18" t="s">
        <v>492</v>
      </c>
      <c r="D3" s="18" t="s">
        <v>165</v>
      </c>
      <c r="E3" s="18" t="s">
        <v>169</v>
      </c>
      <c r="F3" s="18" t="s">
        <v>202</v>
      </c>
      <c r="G3" s="18" t="s">
        <v>244</v>
      </c>
      <c r="H3" s="18" t="s">
        <v>317</v>
      </c>
      <c r="I3" s="18" t="s">
        <v>202</v>
      </c>
      <c r="J3" s="18" t="s">
        <v>202</v>
      </c>
    </row>
    <row r="4" customFormat="false" ht="15" hidden="false" customHeight="false" outlineLevel="0" collapsed="false">
      <c r="A4" s="18" t="s">
        <v>493</v>
      </c>
      <c r="B4" s="18" t="s">
        <v>494</v>
      </c>
      <c r="C4" s="18" t="s">
        <v>495</v>
      </c>
      <c r="D4" s="18" t="s">
        <v>496</v>
      </c>
      <c r="E4" s="18" t="s">
        <v>497</v>
      </c>
      <c r="F4" s="18" t="s">
        <v>203</v>
      </c>
      <c r="G4" s="18" t="s">
        <v>245</v>
      </c>
      <c r="H4" s="18" t="s">
        <v>74</v>
      </c>
      <c r="I4" s="18" t="s">
        <v>203</v>
      </c>
      <c r="J4" s="18" t="s">
        <v>203</v>
      </c>
    </row>
    <row r="5" customFormat="false" ht="15" hidden="false" customHeight="false" outlineLevel="0" collapsed="false">
      <c r="A5" s="18" t="s">
        <v>498</v>
      </c>
      <c r="B5" s="18" t="s">
        <v>499</v>
      </c>
      <c r="C5" s="18" t="s">
        <v>500</v>
      </c>
      <c r="D5" s="18" t="s">
        <v>501</v>
      </c>
      <c r="E5" s="18" t="s">
        <v>502</v>
      </c>
      <c r="F5" s="18" t="s">
        <v>503</v>
      </c>
      <c r="G5" s="18" t="s">
        <v>504</v>
      </c>
      <c r="H5" s="18" t="s">
        <v>388</v>
      </c>
      <c r="I5" s="18" t="s">
        <v>347</v>
      </c>
      <c r="J5" s="18" t="s">
        <v>347</v>
      </c>
    </row>
    <row r="6" customFormat="false" ht="15" hidden="false" customHeight="false" outlineLevel="0" collapsed="false">
      <c r="A6" s="18" t="s">
        <v>505</v>
      </c>
      <c r="B6" s="18" t="s">
        <v>506</v>
      </c>
      <c r="C6" s="18" t="s">
        <v>507</v>
      </c>
      <c r="D6" s="18"/>
      <c r="E6" s="18" t="s">
        <v>508</v>
      </c>
      <c r="F6" s="18" t="s">
        <v>509</v>
      </c>
      <c r="G6" s="18" t="s">
        <v>507</v>
      </c>
      <c r="H6" s="18"/>
      <c r="I6" s="18" t="s">
        <v>348</v>
      </c>
      <c r="J6" s="18" t="s">
        <v>348</v>
      </c>
    </row>
    <row r="7" customFormat="false" ht="15" hidden="false" customHeight="false" outlineLevel="0" collapsed="false">
      <c r="A7" s="18" t="s">
        <v>510</v>
      </c>
      <c r="B7" s="18" t="s">
        <v>511</v>
      </c>
      <c r="C7" s="18"/>
      <c r="D7" s="18"/>
      <c r="E7" s="18" t="s">
        <v>512</v>
      </c>
      <c r="F7" s="18" t="s">
        <v>169</v>
      </c>
      <c r="G7" s="18"/>
      <c r="H7" s="18"/>
      <c r="I7" s="18" t="s">
        <v>204</v>
      </c>
      <c r="J7" s="18" t="s">
        <v>204</v>
      </c>
    </row>
    <row r="8" customFormat="false" ht="15" hidden="false" customHeight="false" outlineLevel="0" collapsed="false">
      <c r="A8" s="18" t="s">
        <v>513</v>
      </c>
      <c r="B8" s="18" t="s">
        <v>514</v>
      </c>
      <c r="C8" s="18"/>
      <c r="D8" s="18"/>
      <c r="E8" s="18" t="s">
        <v>349</v>
      </c>
      <c r="F8" s="18" t="s">
        <v>103</v>
      </c>
      <c r="G8" s="18"/>
      <c r="H8" s="18"/>
      <c r="I8" s="18" t="s">
        <v>350</v>
      </c>
      <c r="J8" s="18" t="s">
        <v>350</v>
      </c>
    </row>
    <row r="9" customFormat="false" ht="15" hidden="false" customHeight="false" outlineLevel="0" collapsed="false">
      <c r="A9" s="18" t="s">
        <v>515</v>
      </c>
      <c r="B9" s="18" t="s">
        <v>516</v>
      </c>
      <c r="C9" s="18"/>
      <c r="D9" s="18"/>
      <c r="E9" s="18" t="s">
        <v>517</v>
      </c>
      <c r="F9" s="18" t="s">
        <v>230</v>
      </c>
      <c r="G9" s="18"/>
      <c r="H9" s="18"/>
      <c r="I9" s="18" t="s">
        <v>518</v>
      </c>
      <c r="J9" s="18" t="s">
        <v>518</v>
      </c>
    </row>
    <row r="10" customFormat="false" ht="15" hidden="false" customHeight="false" outlineLevel="0" collapsed="false">
      <c r="A10" s="18" t="s">
        <v>507</v>
      </c>
      <c r="B10" s="18" t="s">
        <v>519</v>
      </c>
      <c r="C10" s="18"/>
      <c r="D10" s="18"/>
      <c r="E10" s="18" t="s">
        <v>347</v>
      </c>
      <c r="F10" s="18" t="s">
        <v>347</v>
      </c>
      <c r="G10" s="18"/>
      <c r="H10" s="18"/>
      <c r="I10" s="18" t="s">
        <v>520</v>
      </c>
      <c r="J10" s="18" t="s">
        <v>520</v>
      </c>
    </row>
    <row r="11" customFormat="false" ht="15" hidden="false" customHeight="false" outlineLevel="0" collapsed="false">
      <c r="A11" s="18"/>
      <c r="B11" s="18" t="s">
        <v>521</v>
      </c>
      <c r="C11" s="18"/>
      <c r="D11" s="18"/>
      <c r="E11" s="18" t="s">
        <v>522</v>
      </c>
      <c r="F11" s="18" t="s">
        <v>348</v>
      </c>
      <c r="G11" s="18"/>
      <c r="H11" s="18"/>
      <c r="I11" s="18" t="s">
        <v>353</v>
      </c>
      <c r="J11" s="18" t="s">
        <v>379</v>
      </c>
    </row>
    <row r="12" customFormat="false" ht="15" hidden="false" customHeight="false" outlineLevel="0" collapsed="false">
      <c r="A12" s="18"/>
      <c r="B12" s="18" t="s">
        <v>523</v>
      </c>
      <c r="C12" s="18"/>
      <c r="D12" s="18"/>
      <c r="E12" s="18" t="s">
        <v>524</v>
      </c>
      <c r="F12" s="18" t="s">
        <v>204</v>
      </c>
      <c r="G12" s="18"/>
      <c r="H12" s="18"/>
      <c r="I12" s="18" t="s">
        <v>525</v>
      </c>
      <c r="J12" s="18" t="s">
        <v>367</v>
      </c>
    </row>
    <row r="13" customFormat="false" ht="15" hidden="false" customHeight="false" outlineLevel="0" collapsed="false">
      <c r="A13" s="18"/>
      <c r="B13" s="18" t="s">
        <v>526</v>
      </c>
      <c r="C13" s="18"/>
      <c r="D13" s="18"/>
      <c r="E13" s="18" t="s">
        <v>527</v>
      </c>
      <c r="F13" s="18" t="s">
        <v>497</v>
      </c>
      <c r="G13" s="18"/>
      <c r="H13" s="18"/>
      <c r="I13" s="18" t="s">
        <v>528</v>
      </c>
      <c r="J13" s="18" t="s">
        <v>375</v>
      </c>
    </row>
    <row r="14" customFormat="false" ht="15" hidden="false" customHeight="false" outlineLevel="0" collapsed="false">
      <c r="A14" s="18"/>
      <c r="B14" s="18" t="s">
        <v>529</v>
      </c>
      <c r="C14" s="18"/>
      <c r="D14" s="18"/>
      <c r="E14" s="18" t="s">
        <v>176</v>
      </c>
      <c r="F14" s="18" t="s">
        <v>507</v>
      </c>
      <c r="G14" s="18"/>
      <c r="H14" s="18"/>
      <c r="I14" s="18" t="s">
        <v>358</v>
      </c>
      <c r="J14" s="18" t="s">
        <v>376</v>
      </c>
    </row>
    <row r="15" customFormat="false" ht="15" hidden="false" customHeight="false" outlineLevel="0" collapsed="false">
      <c r="A15" s="18"/>
      <c r="B15" s="18" t="s">
        <v>530</v>
      </c>
      <c r="C15" s="18"/>
      <c r="D15" s="18"/>
      <c r="E15" s="18" t="s">
        <v>531</v>
      </c>
      <c r="F15" s="18"/>
      <c r="G15" s="18"/>
      <c r="H15" s="18"/>
      <c r="I15" s="18" t="s">
        <v>532</v>
      </c>
      <c r="J15" s="18"/>
    </row>
    <row r="16" customFormat="false" ht="15" hidden="false" customHeight="false" outlineLevel="0" collapsed="false">
      <c r="A16" s="18"/>
      <c r="B16" s="18" t="s">
        <v>507</v>
      </c>
      <c r="C16" s="18"/>
      <c r="D16" s="18"/>
      <c r="E16" s="18" t="s">
        <v>533</v>
      </c>
      <c r="F16" s="18"/>
      <c r="G16" s="18"/>
      <c r="H16" s="18"/>
      <c r="I16" s="18" t="s">
        <v>534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535</v>
      </c>
      <c r="F17" s="18"/>
      <c r="G17" s="18"/>
      <c r="H17" s="18"/>
      <c r="I17" s="18" t="s">
        <v>536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507</v>
      </c>
      <c r="F18" s="18"/>
      <c r="G18" s="18"/>
      <c r="H18" s="18"/>
      <c r="I18" s="18" t="s">
        <v>537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538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539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205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206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207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367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375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376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540</v>
      </c>
      <c r="B1" s="67" t="s">
        <v>541</v>
      </c>
      <c r="C1" s="67" t="s">
        <v>542</v>
      </c>
      <c r="D1" s="67" t="s">
        <v>543</v>
      </c>
      <c r="E1" s="67" t="s">
        <v>544</v>
      </c>
      <c r="F1" s="67" t="s">
        <v>545</v>
      </c>
      <c r="G1" s="67" t="s">
        <v>546</v>
      </c>
      <c r="H1" s="67" t="s">
        <v>547</v>
      </c>
      <c r="I1" s="67" t="s">
        <v>548</v>
      </c>
      <c r="J1" s="67" t="s">
        <v>549</v>
      </c>
      <c r="K1" s="67" t="s">
        <v>550</v>
      </c>
      <c r="L1" s="67" t="s">
        <v>551</v>
      </c>
      <c r="M1" s="67" t="s">
        <v>552</v>
      </c>
      <c r="N1" s="67" t="s">
        <v>553</v>
      </c>
      <c r="O1" s="67" t="s">
        <v>554</v>
      </c>
      <c r="P1" s="67" t="s">
        <v>555</v>
      </c>
      <c r="Q1" s="67" t="s">
        <v>556</v>
      </c>
      <c r="R1" s="67" t="s">
        <v>557</v>
      </c>
      <c r="T1" s="67" t="s">
        <v>558</v>
      </c>
      <c r="U1" s="67" t="s">
        <v>559</v>
      </c>
      <c r="W1" s="68" t="s">
        <v>560</v>
      </c>
    </row>
    <row r="2" customFormat="false" ht="15" hidden="false" customHeight="false" outlineLevel="0" collapsed="false">
      <c r="A2" s="69" t="str">
        <f aca="false">IF(Data_Farmer!D85="","",""&amp;Data_Farmer!D85)</f>
        <v>45990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561</v>
      </c>
      <c r="U2" s="69" t="str">
        <f aca="false">""&amp;Data_Farmer!B87</f>
        <v>Demo Site-01</v>
      </c>
    </row>
    <row r="3" customFormat="false" ht="15" hidden="false" customHeight="false" outlineLevel="0" collapsed="false">
      <c r="A3" s="69" t="str">
        <f aca="false">IF(Data_Farmer!E85="","",""&amp;Data_Farmer!E85)</f>
        <v>45991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562</v>
      </c>
      <c r="U3" s="69" t="str">
        <f aca="false">""&amp;Data_Farmer!B88</f>
        <v>Chougachha, Jashore</v>
      </c>
    </row>
    <row r="4" customFormat="false" ht="15" hidden="false" customHeight="false" outlineLevel="0" collapsed="false">
      <c r="A4" s="69" t="str">
        <f aca="false">IF(Data_Farmer!F85="","",""&amp;Data_Farmer!F85)</f>
        <v>45992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563</v>
      </c>
      <c r="U4" s="69" t="str">
        <f aca="false">""&amp;Data_Farmer!B89</f>
        <v>Rod miniket</v>
      </c>
    </row>
    <row r="5" customFormat="false" ht="15" hidden="false" customHeight="false" outlineLevel="0" collapsed="false">
      <c r="A5" s="69" t="str">
        <f aca="false">IF(Data_Farmer!G85="","",""&amp;Data_Farmer!G85)</f>
        <v>45993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564</v>
      </c>
      <c r="U5" s="69" t="str">
        <f aca="false">""&amp;Data_Farmer!B90</f>
        <v>45993</v>
      </c>
    </row>
    <row r="6" customFormat="false" ht="15" hidden="false" customHeight="false" outlineLevel="0" collapsed="false">
      <c r="A6" s="69" t="str">
        <f aca="false">IF(Data_Farmer!H85="","",""&amp;Data_Farmer!H85)</f>
        <v>45994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565</v>
      </c>
      <c r="U6" s="69" t="str">
        <f aca="false">""&amp;Data_Farmer!B91</f>
        <v>46042</v>
      </c>
    </row>
    <row r="7" customFormat="false" ht="15" hidden="false" customHeight="false" outlineLevel="0" collapsed="false">
      <c r="A7" s="69" t="str">
        <f aca="false">IF(Data_Farmer!I85="","",""&amp;Data_Farmer!I85)</f>
        <v>45995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566</v>
      </c>
      <c r="U7" s="69" t="str">
        <f aca="false">""&amp;Data_Farmer!B92</f>
        <v>46072</v>
      </c>
    </row>
    <row r="8" customFormat="false" ht="15" hidden="false" customHeight="false" outlineLevel="0" collapsed="false">
      <c r="A8" s="69" t="str">
        <f aca="false">IF(Data_Farmer!J85="","",""&amp;Data_Farmer!J85)</f>
        <v>45996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567</v>
      </c>
      <c r="U8" s="69" t="str">
        <f aca="false">""&amp;Data_Farmer!B93</f>
        <v>46075</v>
      </c>
    </row>
    <row r="9" customFormat="false" ht="15" hidden="false" customHeight="false" outlineLevel="0" collapsed="false">
      <c r="A9" s="69" t="str">
        <f aca="false">IF(Data_Farmer!K85="","",""&amp;Data_Farmer!K85)</f>
        <v>45997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568</v>
      </c>
      <c r="U9" s="69" t="str">
        <f aca="false">""&amp;Data_Farmer!B94</f>
        <v>46073</v>
      </c>
    </row>
    <row r="10" customFormat="false" ht="15" hidden="false" customHeight="false" outlineLevel="0" collapsed="false">
      <c r="A10" s="69" t="str">
        <f aca="false">IF(Data_Farmer!L85="","",""&amp;Data_Farmer!L85)</f>
        <v>45998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569</v>
      </c>
      <c r="U10" s="69" t="str">
        <f aca="false">""&amp;Data_Farmer!B95</f>
        <v>46081</v>
      </c>
    </row>
    <row r="11" customFormat="false" ht="15" hidden="false" customHeight="false" outlineLevel="0" collapsed="false">
      <c r="A11" s="69" t="str">
        <f aca="false">IF(Data_Farmer!M85="","",""&amp;Data_Farmer!M85)</f>
        <v>45999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570</v>
      </c>
      <c r="U11" s="69" t="str">
        <f aca="false">""&amp;Data_Farmer!B96</f>
        <v>46093</v>
      </c>
    </row>
    <row r="12" customFormat="false" ht="15" hidden="false" customHeight="false" outlineLevel="0" collapsed="false">
      <c r="A12" s="69" t="str">
        <f aca="false">IF(Data_Farmer!N85="","",""&amp;Data_Farmer!N85)</f>
        <v>46000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571</v>
      </c>
      <c r="U12" s="69" t="str">
        <f aca="false">""&amp;Data_Farmer!B97</f>
        <v>46097</v>
      </c>
    </row>
    <row r="13" customFormat="false" ht="15" hidden="false" customHeight="false" outlineLevel="0" collapsed="false">
      <c r="A13" s="69" t="str">
        <f aca="false">IF(Data_Farmer!O85="","",""&amp;Data_Farmer!O85)</f>
        <v>46001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572</v>
      </c>
      <c r="U13" s="69" t="str">
        <f aca="false">""&amp;Data_Farmer!B98</f>
        <v>46097</v>
      </c>
    </row>
    <row r="14" customFormat="false" ht="15" hidden="false" customHeight="false" outlineLevel="0" collapsed="false">
      <c r="A14" s="69" t="str">
        <f aca="false">IF(Data_Farmer!P85="","",""&amp;Data_Farmer!P85)</f>
        <v>46002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573</v>
      </c>
      <c r="U14" s="69" t="str">
        <f aca="false">""&amp;Data_Farmer!B99</f>
        <v>46140</v>
      </c>
    </row>
    <row r="15" customFormat="false" ht="15" hidden="false" customHeight="false" outlineLevel="0" collapsed="false">
      <c r="A15" s="69" t="str">
        <f aca="false">IF(Data_Farmer!Q85="","",""&amp;Data_Farmer!Q85)</f>
        <v>46003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574</v>
      </c>
      <c r="U15" s="69" t="str">
        <f aca="false">""&amp;Data_Farmer!B100</f>
        <v>46118</v>
      </c>
    </row>
    <row r="16" customFormat="false" ht="15" hidden="false" customHeight="false" outlineLevel="0" collapsed="false">
      <c r="A16" s="69" t="str">
        <f aca="false">IF(Data_Farmer!R85="","",""&amp;Data_Farmer!R85)</f>
        <v>46004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575</v>
      </c>
      <c r="U16" s="69" t="str">
        <f aca="false">""&amp;Data_Farmer!B101</f>
        <v>46146</v>
      </c>
    </row>
    <row r="17" customFormat="false" ht="15" hidden="false" customHeight="false" outlineLevel="0" collapsed="false">
      <c r="A17" s="69" t="str">
        <f aca="false">IF(Data_Farmer!S85="","",""&amp;Data_Farmer!S85)</f>
        <v>46005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576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46006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577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46007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578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46008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579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46009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580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46010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581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46011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582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46012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46013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46014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46015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46016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46017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46018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46019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46020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46021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46022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46023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46024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46025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46026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46027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46028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46029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46030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46031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46032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46033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46034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46035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46036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46037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46038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46039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46040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46041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46042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46043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7</v>
      </c>
      <c r="F55" s="69" t="str">
        <f aca="false">IF(Data_Farmer!BE22="","",""&amp;Data_Farmer!BE22)</f>
        <v>7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5</v>
      </c>
      <c r="N55" s="69" t="str">
        <f aca="false">IF(Data_Farmer!BE47="","",""&amp;Data_Farmer!BE47)</f>
        <v>5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46044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7</v>
      </c>
      <c r="G56" s="69" t="str">
        <f aca="false">IF(Data_Farmer!BF23="","",""&amp;Data_Farmer!BF23)</f>
        <v>1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5</v>
      </c>
      <c r="O56" s="69" t="str">
        <f aca="false">IF(Data_Farmer!BF48="","",""&amp;Data_Farmer!BF48)</f>
        <v>2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46045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25</v>
      </c>
      <c r="F57" s="69" t="str">
        <f aca="false">IF(Data_Farmer!BG22="","",""&amp;Data_Farmer!BG22)</f>
        <v>32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25</v>
      </c>
      <c r="N57" s="69" t="str">
        <f aca="false">IF(Data_Farmer!BG47="","",""&amp;Data_Farmer!BG47)</f>
        <v>30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46046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32</v>
      </c>
      <c r="G58" s="69" t="str">
        <f aca="false">IF(Data_Farmer!BH23="","",""&amp;Data_Farmer!BH23)</f>
        <v>4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30</v>
      </c>
      <c r="O58" s="69" t="str">
        <f aca="false">IF(Data_Farmer!BH48="","",""&amp;Data_Farmer!BH48)</f>
        <v>3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46047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32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30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46048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32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30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46049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19</v>
      </c>
      <c r="F61" s="69" t="str">
        <f aca="false">IF(Data_Farmer!BK22="","",""&amp;Data_Farmer!BK22)</f>
        <v>51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19</v>
      </c>
      <c r="N61" s="69" t="str">
        <f aca="false">IF(Data_Farmer!BK47="","",""&amp;Data_Farmer!BK47)</f>
        <v>49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46050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51</v>
      </c>
      <c r="G62" s="69" t="str">
        <f aca="false">IF(Data_Farmer!BL23="","",""&amp;Data_Farmer!BL23)</f>
        <v>6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49</v>
      </c>
      <c r="O62" s="69" t="str">
        <f aca="false">IF(Data_Farmer!BL48="","",""&amp;Data_Farmer!BL48)</f>
        <v>4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46051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51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49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46052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51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49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46053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51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49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46054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17</v>
      </c>
      <c r="F66" s="69" t="str">
        <f aca="false">IF(Data_Farmer!BP22="","",""&amp;Data_Farmer!BP22)</f>
        <v>68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17</v>
      </c>
      <c r="N66" s="69" t="str">
        <f aca="false">IF(Data_Farmer!BP47="","",""&amp;Data_Farmer!BP47)</f>
        <v>66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46055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68</v>
      </c>
      <c r="G67" s="69" t="str">
        <f aca="false">IF(Data_Farmer!BQ23="","",""&amp;Data_Farmer!BQ23)</f>
        <v>5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66</v>
      </c>
      <c r="O67" s="69" t="str">
        <f aca="false">IF(Data_Farmer!BQ48="","",""&amp;Data_Farmer!BQ48)</f>
        <v>5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46056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68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66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46057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68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66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46058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68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66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46059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68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66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46060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68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66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46061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28</v>
      </c>
      <c r="F73" s="69" t="str">
        <f aca="false">IF(Data_Farmer!BW22="","",""&amp;Data_Farmer!BW22)</f>
        <v>96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20</v>
      </c>
      <c r="N73" s="69" t="str">
        <f aca="false">IF(Data_Farmer!BW47="","",""&amp;Data_Farmer!BW47)</f>
        <v>86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46062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96</v>
      </c>
      <c r="G74" s="69" t="str">
        <f aca="false">IF(Data_Farmer!BX23="","",""&amp;Data_Farmer!BX23)</f>
        <v>9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86</v>
      </c>
      <c r="O74" s="69" t="str">
        <f aca="false">IF(Data_Farmer!BX48="","",""&amp;Data_Farmer!BX48)</f>
        <v>2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46063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96</v>
      </c>
      <c r="G75" s="69" t="str">
        <f aca="false">IF(Data_Farmer!BY23="","",""&amp;Data_Farmer!BY23)</f>
        <v>2</v>
      </c>
      <c r="H75" s="69" t="str">
        <f aca="false">IF(Data_Farmer!BY66="","",""&amp;Data_Farmer!BY66)</f>
        <v>7.3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86</v>
      </c>
      <c r="O75" s="69" t="str">
        <f aca="false">IF(Data_Farmer!BY48="","",""&amp;Data_Farmer!BY48)</f>
        <v>3</v>
      </c>
      <c r="P75" s="69" t="str">
        <f aca="false">IF(Data_Farmer!BY73="","",""&amp;Data_Farmer!BY73)</f>
        <v>6.7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46064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96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86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46065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46066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96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86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46067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96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86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46068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24</v>
      </c>
      <c r="F80" s="69" t="str">
        <f aca="false">IF(Data_Farmer!CD22="","",""&amp;Data_Farmer!CD22)</f>
        <v>120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23</v>
      </c>
      <c r="N80" s="69" t="str">
        <f aca="false">IF(Data_Farmer!CD47="","",""&amp;Data_Farmer!CD47)</f>
        <v>109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46069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120</v>
      </c>
      <c r="G81" s="69" t="str">
        <f aca="false">IF(Data_Farmer!CE23="","",""&amp;Data_Farmer!CE23)</f>
        <v>4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109</v>
      </c>
      <c r="O81" s="69" t="str">
        <f aca="false">IF(Data_Farmer!CE48="","",""&amp;Data_Farmer!CE48)</f>
        <v>3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46070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120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109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46071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120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109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46072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31</v>
      </c>
      <c r="F84" s="69" t="str">
        <f aca="false">IF(Data_Farmer!CH22="","",""&amp;Data_Farmer!CH22)</f>
        <v>151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30</v>
      </c>
      <c r="N84" s="69" t="str">
        <f aca="false">IF(Data_Farmer!CH47="","",""&amp;Data_Farmer!CH47)</f>
        <v>139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46073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151</v>
      </c>
      <c r="G85" s="69" t="str">
        <f aca="false">IF(Data_Farmer!CI23="","",""&amp;Data_Farmer!CI23)</f>
        <v>2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139</v>
      </c>
      <c r="O85" s="69" t="str">
        <f aca="false">IF(Data_Farmer!CI48="","",""&amp;Data_Farmer!CI48)</f>
        <v>2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46074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151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139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46075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151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139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46076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151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139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46077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151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139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46078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151</v>
      </c>
      <c r="G90" s="69" t="str">
        <f aca="false">IF(Data_Farmer!CN23="","",""&amp;Data_Farmer!CN23)</f>
        <v>7</v>
      </c>
      <c r="H90" s="69" t="str">
        <f aca="false">IF(Data_Farmer!CN66="","",""&amp;Data_Farmer!CN66)</f>
        <v>13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139</v>
      </c>
      <c r="O90" s="69" t="str">
        <f aca="false">IF(Data_Farmer!CN48="","",""&amp;Data_Farmer!CN48)</f>
        <v>7</v>
      </c>
      <c r="P90" s="69" t="str">
        <f aca="false">IF(Data_Farmer!CN73="","",""&amp;Data_Farmer!CN73)</f>
        <v>12.7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46079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151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139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46080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151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139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46081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151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139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46082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151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139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46083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151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139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46084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151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139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46085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151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139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46086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151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139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46087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15</v>
      </c>
      <c r="F99" s="69" t="str">
        <f aca="false">IF(Data_Farmer!CW22="","",""&amp;Data_Farmer!CW22)</f>
        <v>166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15</v>
      </c>
      <c r="N99" s="69" t="str">
        <f aca="false">IF(Data_Farmer!CW47="","",""&amp;Data_Farmer!CW47)</f>
        <v>154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46088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166</v>
      </c>
      <c r="G100" s="69" t="str">
        <f aca="false">IF(Data_Farmer!CX23="","",""&amp;Data_Farmer!CX23)</f>
        <v>5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154</v>
      </c>
      <c r="O100" s="69" t="str">
        <f aca="false">IF(Data_Farmer!CX48="","",""&amp;Data_Farmer!CX48)</f>
        <v>5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46089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166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154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46090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18</v>
      </c>
      <c r="F102" s="69" t="str">
        <f aca="false">IF(Data_Farmer!CZ22="","",""&amp;Data_Farmer!CZ22)</f>
        <v>184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18</v>
      </c>
      <c r="N102" s="69" t="str">
        <f aca="false">IF(Data_Farmer!CZ47="","",""&amp;Data_Farmer!CZ47)</f>
        <v>172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46091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184</v>
      </c>
      <c r="G103" s="69" t="str">
        <f aca="false">IF(Data_Farmer!DA23="","",""&amp;Data_Farmer!DA23)</f>
        <v>3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172</v>
      </c>
      <c r="O103" s="69" t="str">
        <f aca="false">IF(Data_Farmer!DA48="","",""&amp;Data_Farmer!DA48)</f>
        <v>3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46092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184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172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46093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30</v>
      </c>
      <c r="F105" s="69" t="str">
        <f aca="false">IF(Data_Farmer!DC22="","",""&amp;Data_Farmer!DC22)</f>
        <v>214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17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22</v>
      </c>
      <c r="N105" s="69" t="str">
        <f aca="false">IF(Data_Farmer!DC47="","",""&amp;Data_Farmer!DC47)</f>
        <v>194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19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46094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214</v>
      </c>
      <c r="G106" s="69" t="str">
        <f aca="false">IF(Data_Farmer!DD23="","",""&amp;Data_Farmer!DD23)</f>
        <v>10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194</v>
      </c>
      <c r="O106" s="69" t="str">
        <f aca="false">IF(Data_Farmer!DD48="","",""&amp;Data_Farmer!DD48)</f>
        <v>11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46095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214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194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46096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214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194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46097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214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10</v>
      </c>
      <c r="N109" s="69" t="str">
        <f aca="false">IF(Data_Farmer!DG47="","",""&amp;Data_Farmer!DG47)</f>
        <v>204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46098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214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204</v>
      </c>
      <c r="O110" s="69" t="str">
        <f aca="false">IF(Data_Farmer!DH48="","",""&amp;Data_Farmer!DH48)</f>
        <v>5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46099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24</v>
      </c>
      <c r="F111" s="69" t="str">
        <f aca="false">IF(Data_Farmer!DI22="","",""&amp;Data_Farmer!DI22)</f>
        <v>238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204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46100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20</v>
      </c>
      <c r="F112" s="69" t="str">
        <f aca="false">IF(Data_Farmer!DJ22="","",""&amp;Data_Farmer!DJ22)</f>
        <v>258</v>
      </c>
      <c r="G112" s="69" t="str">
        <f aca="false">IF(Data_Farmer!DJ23="","",""&amp;Data_Farmer!DJ23)</f>
        <v>25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204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46101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258</v>
      </c>
      <c r="G113" s="69" t="str">
        <f aca="false">IF(Data_Farmer!DK23="","",""&amp;Data_Farmer!DK23)</f>
        <v>10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204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46102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46103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8</v>
      </c>
      <c r="F115" s="69" t="str">
        <f aca="false">IF(Data_Farmer!DM22="","",""&amp;Data_Farmer!DM22)</f>
        <v>266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204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46104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266</v>
      </c>
      <c r="G116" s="69" t="str">
        <f aca="false">IF(Data_Farmer!DN23="","",""&amp;Data_Farmer!DN23)</f>
        <v>1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15</v>
      </c>
      <c r="N116" s="69" t="str">
        <f aca="false">IF(Data_Farmer!DN47="","",""&amp;Data_Farmer!DN47)</f>
        <v>219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46105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20</v>
      </c>
      <c r="F117" s="69" t="str">
        <f aca="false">IF(Data_Farmer!DO22="","",""&amp;Data_Farmer!DO22)</f>
        <v>286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219</v>
      </c>
      <c r="O117" s="69" t="str">
        <f aca="false">IF(Data_Farmer!DO48="","",""&amp;Data_Farmer!DO48)</f>
        <v>5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46106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286</v>
      </c>
      <c r="G118" s="69" t="str">
        <f aca="false">IF(Data_Farmer!DP23="","",""&amp;Data_Farmer!DP23)</f>
        <v>10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219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46107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286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219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46108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7</v>
      </c>
      <c r="F120" s="69" t="str">
        <f aca="false">IF(Data_Farmer!DR22="","",""&amp;Data_Farmer!DR22)</f>
        <v>293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16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219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20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46109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293</v>
      </c>
      <c r="G121" s="69" t="str">
        <f aca="false">IF(Data_Farmer!DS23="","",""&amp;Data_Farmer!DS23)</f>
        <v>5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219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46110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20</v>
      </c>
      <c r="F122" s="69" t="str">
        <f aca="false">IF(Data_Farmer!DT22="","",""&amp;Data_Farmer!DT22)</f>
        <v>313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219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46111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313</v>
      </c>
      <c r="G123" s="69" t="str">
        <f aca="false">IF(Data_Farmer!DU23="","",""&amp;Data_Farmer!DU23)</f>
        <v>10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20</v>
      </c>
      <c r="N123" s="69" t="str">
        <f aca="false">IF(Data_Farmer!DU47="","",""&amp;Data_Farmer!DU47)</f>
        <v>239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46112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313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239</v>
      </c>
      <c r="O124" s="69" t="str">
        <f aca="false">IF(Data_Farmer!DV48="","",""&amp;Data_Farmer!DV48)</f>
        <v>10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46113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15</v>
      </c>
      <c r="F125" s="69" t="str">
        <f aca="false">IF(Data_Farmer!DW22="","",""&amp;Data_Farmer!DW22)</f>
        <v>328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239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46114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328</v>
      </c>
      <c r="G126" s="69" t="str">
        <f aca="false">IF(Data_Farmer!DX23="","",""&amp;Data_Farmer!DX23)</f>
        <v>10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239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46115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328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239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46116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328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239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46117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21</v>
      </c>
      <c r="F129" s="69" t="str">
        <f aca="false">IF(Data_Farmer!EA22="","",""&amp;Data_Farmer!EA22)</f>
        <v>349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239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46118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349</v>
      </c>
      <c r="G130" s="69" t="str">
        <f aca="false">IF(Data_Farmer!EB23="","",""&amp;Data_Farmer!EB23)</f>
        <v>7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20</v>
      </c>
      <c r="N130" s="69" t="str">
        <f aca="false">IF(Data_Farmer!EB47="","",""&amp;Data_Farmer!EB47)</f>
        <v>259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46119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349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259</v>
      </c>
      <c r="O131" s="69" t="str">
        <f aca="false">IF(Data_Farmer!EC48="","",""&amp;Data_Farmer!EC48)</f>
        <v>5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46120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349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259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46121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349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259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46122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349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259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46123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349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259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46124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14</v>
      </c>
      <c r="F136" s="69" t="str">
        <f aca="false">IF(Data_Farmer!EH22="","",""&amp;Data_Farmer!EH22)</f>
        <v>363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259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46125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363</v>
      </c>
      <c r="G137" s="69" t="str">
        <f aca="false">IF(Data_Farmer!EI23="","",""&amp;Data_Farmer!EI23)</f>
        <v>5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259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46126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25</v>
      </c>
      <c r="F138" s="69" t="str">
        <f aca="false">IF(Data_Farmer!EJ22="","",""&amp;Data_Farmer!EJ22)</f>
        <v>388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45</v>
      </c>
      <c r="N138" s="69" t="str">
        <f aca="false">IF(Data_Farmer!EJ47="","",""&amp;Data_Farmer!EJ47)</f>
        <v>304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46127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388</v>
      </c>
      <c r="G139" s="69" t="str">
        <f aca="false">IF(Data_Farmer!EK23="","",""&amp;Data_Farmer!EK23)</f>
        <v>10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304</v>
      </c>
      <c r="O139" s="69" t="str">
        <f aca="false">IF(Data_Farmer!EK48="","",""&amp;Data_Farmer!EK48)</f>
        <v>15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46128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388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304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46129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388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304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46130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388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304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46131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388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304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46132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15</v>
      </c>
      <c r="F144" s="69" t="str">
        <f aca="false">IF(Data_Farmer!EP22="","",""&amp;Data_Farmer!EP22)</f>
        <v>403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304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46133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403</v>
      </c>
      <c r="G145" s="69" t="str">
        <f aca="false">IF(Data_Farmer!EQ23="","",""&amp;Data_Farmer!EQ23)</f>
        <v>5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304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46134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403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304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46135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403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304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46136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403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304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46137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46138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46139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46140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46141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46142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46143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46144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46145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46146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46147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46148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46149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46150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46151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46152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46153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46154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46155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46156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46157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46158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46159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2026-10-18T06:18:20Z</dcterms:created>
  <dc:creator>openpyxl</dc:creator>
  <dc:description/>
  <dc:language>en-US</dc:language>
  <cp:lastModifiedBy/>
  <dcterms:modified xsi:type="dcterms:W3CDTF">2026-10-18T12:18:41Z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