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Data_Farmer" sheetId="3" state="visible" r:id="rId3"/>
    <sheet xmlns:r="http://schemas.openxmlformats.org/officeDocument/2006/relationships" name="Schedule_Farmer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TP-b" sheetId="6" state="visible" r:id="rId6"/>
    <sheet xmlns:r="http://schemas.openxmlformats.org/officeDocument/2006/relationships" name="Other_info" sheetId="7" state="visible" r:id="rId7"/>
    <sheet xmlns:r="http://schemas.openxmlformats.org/officeDocument/2006/relationships" name="Graphs" sheetId="8" state="visible" r:id="rId8"/>
    <sheet xmlns:r="http://schemas.openxmlformats.org/officeDocument/2006/relationships" name="How_to_measure_water_level" sheetId="9" state="visible" r:id="rId9"/>
    <sheet xmlns:r="http://schemas.openxmlformats.org/officeDocument/2006/relationships" name="pull-down list" sheetId="10" state="visible" r:id="rId10"/>
    <sheet xmlns:r="http://schemas.openxmlformats.org/officeDocument/2006/relationships" name="Guide" sheetId="11" state="visible" r:id="rId11"/>
  </sheets>
  <definedNames>
    <definedName name="SiteName">Setup!$B$3</definedName>
    <definedName name="Place">Setup!$B$4</definedName>
    <definedName name="Variety">Setup!$B$7</definedName>
    <definedName name="SowDate">Setup!$B$8</definedName>
    <definedName name="SeedAge">Setup!$B$9</definedName>
    <definedName name="TransDate">Setup!$B$10</definedName>
    <definedName name="Day_0">Setup!$B$11</definedName>
    <definedName name="DataStart">Setup!$B$13</definedName>
    <definedName name="FP_TP">Setup!$D$16</definedName>
    <definedName name="FP_b">Setup!$E$16</definedName>
    <definedName name="MD_TP">Setup!$D$17</definedName>
    <definedName name="MD_b">Setup!$E$17</definedName>
    <definedName name="FP_m2">Setup!$F$16</definedName>
    <definedName name="MD_m2">Setup!$F$17</definedName>
    <definedName name="TPDate">Setup!$B$18</definedName>
    <definedName name="cfg_0">Setup!$B$22</definedName>
    <definedName name="cfg_1">Setup!$B$23</definedName>
    <definedName name="cfg_2">Setup!$B$24</definedName>
    <definedName name="cfg_3">Setup!$B$25</definedName>
    <definedName name="cfg_4">Setup!$B$26</definedName>
    <definedName name="cfg_5">Setup!$B$27</definedName>
    <definedName name="cfg_6">Setup!$B$28</definedName>
    <definedName name="cfg_7">Setup!$B$29</definedName>
    <definedName name="cfg_8">Setup!$B$30</definedName>
    <definedName name="cfg_9">Setup!$B$31</definedName>
    <definedName name="cfg_10">Setup!$B$32</definedName>
    <definedName name="cfg_11">Setup!$B$33</definedName>
    <definedName name="cfg_12">Setup!$B$34</definedName>
    <definedName name="cfg_13">Setup!$B$35</definedName>
    <definedName name="PitanS">Schedule_Farmer!$J$11</definedName>
    <definedName name="PitanE">Schedule_Farmer!$K$11</definedName>
    <definedName name="MDS">Schedule_Farmer!$J$13</definedName>
    <definedName name="MDE">Schedule_Farmer!$K$13</definedName>
    <definedName name="FloodS">Schedule_Farmer!$J$15</definedName>
    <definedName name="FloodE">Schedule_Farmer!$K$15</definedName>
    <definedName name="C1S">Schedule_Farmer!$J$16</definedName>
    <definedName name="C3E">Schedule_Farmer!$J$23</definedName>
    <definedName name="HeadD">Schedule_Farmer!$J$19</definedName>
    <definedName name="HarvD">Schedule_Farmer!$J$25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 mmm yyyy"/>
    <numFmt numFmtId="165" formatCode="0.0"/>
    <numFmt numFmtId="166" formatCode="d"/>
    <numFmt numFmtId="167" formatCode="dd mmm"/>
  </numFmts>
  <fonts count="17">
    <font>
      <name val="Calibri"/>
      <family val="2"/>
      <color theme="1"/>
      <sz val="11"/>
      <scheme val="minor"/>
    </font>
    <font>
      <name val="Arial"/>
      <b val="1"/>
      <color rgb="000B6B53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sz val="9"/>
    </font>
    <font>
      <name val="Arial"/>
      <sz val="7"/>
    </font>
    <font>
      <name val="Arial"/>
      <sz val="6"/>
    </font>
    <font>
      <name val="Arial"/>
      <b val="1"/>
      <color rgb="000B6B53"/>
      <sz val="11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color rgb="000B6B53"/>
      <sz val="8"/>
    </font>
    <font>
      <name val="Arial"/>
      <b val="1"/>
      <color rgb="00B4570A"/>
      <sz val="8"/>
    </font>
    <font>
      <name val="Arial"/>
      <b val="1"/>
      <sz val="12"/>
    </font>
    <font>
      <name val="Arial"/>
      <b val="1"/>
      <color rgb="000B6B53"/>
      <sz val="15"/>
    </font>
    <font>
      <name val="Arial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0B6B53"/>
      </patternFill>
    </fill>
    <fill>
      <patternFill patternType="solid">
        <fgColor rgb="00FFF7D6"/>
      </patternFill>
    </fill>
    <fill>
      <patternFill patternType="solid">
        <fgColor rgb="00EEF2F0"/>
      </patternFill>
    </fill>
    <fill>
      <patternFill patternType="solid">
        <fgColor rgb="00E3EFE9"/>
      </patternFill>
    </fill>
    <fill>
      <patternFill patternType="solid">
        <fgColor rgb="00FBE3D3"/>
      </patternFill>
    </fill>
    <fill>
      <patternFill patternType="solid">
        <fgColor rgb="00D6E6F5"/>
      </patternFill>
    </fill>
  </fills>
  <borders count="6">
    <border>
      <left/>
      <right/>
      <top/>
      <bottom/>
      <diagonal/>
    </border>
    <border>
      <left style="thin">
        <color rgb="00C9D6CF"/>
      </left>
      <right style="thin">
        <color rgb="00C9D6CF"/>
      </right>
      <top style="thin">
        <color rgb="00C9D6CF"/>
      </top>
      <bottom style="thin">
        <color rgb="00C9D6CF"/>
      </bottom>
    </border>
    <border>
      <left/>
      <right/>
      <top style="thin">
        <color rgb="00C9D6CF"/>
      </top>
      <bottom/>
      <diagonal/>
    </border>
    <border>
      <left/>
      <right style="thin">
        <color rgb="00C9D6CF"/>
      </right>
      <top style="thin">
        <color rgb="00C9D6CF"/>
      </top>
      <bottom/>
      <diagonal/>
    </border>
    <border>
      <left/>
      <right/>
      <top style="thin">
        <color rgb="00C9D6CF"/>
      </top>
      <bottom style="thin">
        <color rgb="00C9D6CF"/>
      </bottom>
      <diagonal/>
    </border>
    <border>
      <left/>
      <right style="thin">
        <color rgb="00C9D6CF"/>
      </right>
      <top style="thin">
        <color rgb="00C9D6CF"/>
      </top>
      <bottom style="thin">
        <color rgb="00C9D6C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164" fontId="4" fillId="4" borderId="1" pivotButton="0" quotePrefix="0" xfId="0"/>
    <xf numFmtId="0" fontId="4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  <xf numFmtId="0" fontId="1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6" fillId="0" borderId="1" pivotButton="0" quotePrefix="0" xfId="0"/>
    <xf numFmtId="0" fontId="3" fillId="0" borderId="1" pivotButton="0" quotePrefix="0" xfId="0"/>
    <xf numFmtId="167" fontId="3" fillId="4" borderId="1" pivotButton="0" quotePrefix="0" xfId="0"/>
    <xf numFmtId="0" fontId="6" fillId="0" borderId="0" pivotButton="0" quotePrefix="0" xfId="0"/>
    <xf numFmtId="0" fontId="2" fillId="2" borderId="1" pivotButton="0" quotePrefix="0" xfId="0"/>
    <xf numFmtId="0" fontId="9" fillId="0" borderId="0" pivotButton="0" quotePrefix="0" xfId="0"/>
    <xf numFmtId="167" fontId="11" fillId="2" borderId="1" pivotButton="0" quotePrefix="0" xfId="0"/>
    <xf numFmtId="0" fontId="6" fillId="4" borderId="1" pivotButton="0" quotePrefix="0" xfId="0"/>
    <xf numFmtId="0" fontId="12" fillId="4" borderId="1" pivotButton="0" quotePrefix="0" xfId="0"/>
    <xf numFmtId="0" fontId="4" fillId="5" borderId="1" pivotButton="0" quotePrefix="0" xfId="0"/>
    <xf numFmtId="0" fontId="3" fillId="5" borderId="1" pivotButton="0" quotePrefix="0" xfId="0"/>
    <xf numFmtId="0" fontId="3" fillId="3" borderId="1" pivotButton="0" quotePrefix="0" xfId="0"/>
    <xf numFmtId="0" fontId="10" fillId="6" borderId="1" pivotButton="0" quotePrefix="0" xfId="0"/>
    <xf numFmtId="0" fontId="4" fillId="6" borderId="1" pivotButton="0" quotePrefix="0" xfId="0"/>
    <xf numFmtId="0" fontId="3" fillId="6" borderId="1" pivotButton="0" quotePrefix="0" xfId="0"/>
    <xf numFmtId="0" fontId="13" fillId="4" borderId="1" pivotButton="0" quotePrefix="0" xfId="0"/>
    <xf numFmtId="0" fontId="6" fillId="6" borderId="1" pivotButton="0" quotePrefix="0" xfId="0"/>
    <xf numFmtId="167" fontId="6" fillId="4" borderId="1" pivotButton="0" quotePrefix="0" xfId="0"/>
    <xf numFmtId="0" fontId="10" fillId="7" borderId="1" pivotButton="0" quotePrefix="0" xfId="0"/>
    <xf numFmtId="0" fontId="4" fillId="7" borderId="1" pivotButton="0" quotePrefix="0" xfId="0"/>
    <xf numFmtId="0" fontId="3" fillId="7" borderId="1" pivotButton="0" quotePrefix="0" xfId="0"/>
    <xf numFmtId="0" fontId="6" fillId="7" borderId="1" pivotButton="0" quotePrefix="0" xfId="0"/>
    <xf numFmtId="0" fontId="10" fillId="5" borderId="1" pivotButton="0" quotePrefix="0" xfId="0"/>
    <xf numFmtId="166" fontId="7" fillId="4" borderId="1" pivotButton="0" quotePrefix="0" xfId="0"/>
    <xf numFmtId="0" fontId="8" fillId="4" borderId="1" pivotButton="0" quotePrefix="0" xfId="0"/>
    <xf numFmtId="0" fontId="4" fillId="0" borderId="1" pivotButton="0" quotePrefix="0" xfId="0"/>
    <xf numFmtId="164" fontId="3" fillId="3" borderId="1" pivotButton="0" quotePrefix="0" xfId="0"/>
    <xf numFmtId="0" fontId="8" fillId="0" borderId="0" pivotButton="0" quotePrefix="0" xfId="0"/>
    <xf numFmtId="0" fontId="3" fillId="0" borderId="0" applyAlignment="1" pivotButton="0" quotePrefix="0" xfId="0">
      <alignment wrapText="1"/>
    </xf>
    <xf numFmtId="165" fontId="3" fillId="4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6" fillId="3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name val="Arial"/>
        <b val="1"/>
        <color rgb="00B4570A"/>
      </font>
      <fill>
        <patternFill patternType="solid">
          <fgColor rgb="00FDECDC"/>
        </patternFill>
      </fill>
    </dxf>
    <dxf>
      <font>
        <name val="Arial"/>
        <b val="1"/>
        <color rgb="000A7A4B"/>
      </font>
    </dxf>
    <dxf>
      <font>
        <name val="Arial"/>
        <b val="1"/>
        <color rgb="00B4570A"/>
      </font>
    </dxf>
    <dxf>
      <fill>
        <patternFill patternType="solid">
          <fgColor rgb="00F8C9C9"/>
        </patternFill>
      </fill>
    </dxf>
    <dxf>
      <font>
        <name val="Arial"/>
        <b val="1"/>
        <color rgb="000B5394"/>
      </font>
    </dxf>
    <dxf>
      <font>
        <name val="Arial"/>
        <b val="1"/>
        <color rgb="008A4B0F"/>
      </font>
    </dxf>
    <dxf>
      <border>
        <left style="medium">
          <color rgb="00C62828"/>
        </left>
        <right style="medium">
          <color rgb="00C62828"/>
        </right>
      </border>
    </dxf>
    <dxf>
      <font>
        <color rgb="000B6B53"/>
      </font>
      <fill>
        <patternFill patternType="solid">
          <fgColor rgb="000B6B53"/>
        </patternFill>
      </fill>
    </dxf>
    <dxf>
      <font>
        <color rgb="00F2C14E"/>
      </font>
      <fill>
        <patternFill patternType="solid">
          <fgColor rgb="00F2C14E"/>
        </patternFill>
      </fill>
    </dxf>
    <dxf>
      <border>
        <left style="thick">
          <color rgb="00C62828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 level (cm)</a:t>
            </a:r>
          </a:p>
        </rich>
      </tx>
    </title>
    <plotArea>
      <scatterChart>
        <ser>
          <idx val="0"/>
          <order val="0"/>
          <tx>
            <v>FP</v>
          </tx>
          <spPr>
            <a:ln xmlns:a="http://schemas.openxmlformats.org/drawingml/2006/main" w="22000">
              <a:solidFill>
                <a:srgbClr val="D55E0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D55E00"/>
              </a:solidFill>
              <a:ln xmlns:a="http://schemas.openxmlformats.org/drawingml/2006/main">
                <a:solidFill>
                  <a:srgbClr val="D55E00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'Data_Farmer'!$D$13:$FQ$13</f>
            </numRef>
          </yVal>
        </ser>
        <ser>
          <idx val="1"/>
          <order val="1"/>
          <tx>
            <v>3F4D+MD</v>
          </tx>
          <spPr>
            <a:ln xmlns:a="http://schemas.openxmlformats.org/drawingml/2006/main" w="22000">
              <a:solidFill>
                <a:srgbClr val="0072B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0072B2"/>
              </a:solidFill>
              <a:ln xmlns:a="http://schemas.openxmlformats.org/drawingml/2006/main">
                <a:solidFill>
                  <a:srgbClr val="0072B2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'Data_Farmer'!$D$38:$FQ$38</f>
            </numRef>
          </yVal>
        </ser>
        <ser>
          <idx val="2"/>
          <order val="2"/>
          <tx>
            <v>MD</v>
          </tx>
          <spPr>
            <a:ln xmlns:a="http://schemas.openxmlformats.org/drawingml/2006/main" w="60000">
              <a:solidFill>
                <a:srgbClr val="009E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'Data_Farmer'!$D$81:$FQ$81</f>
            </numRef>
          </yVal>
        </ser>
        <ser>
          <idx val="3"/>
          <order val="3"/>
          <tx>
            <v>Pitan</v>
          </tx>
          <spPr>
            <a:ln xmlns:a="http://schemas.openxmlformats.org/drawingml/2006/main" w="60000">
              <a:solidFill>
                <a:srgbClr val="E69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'Data_Farmer'!$D$82:$FQ$82</f>
            </numRef>
          </yVal>
        </ser>
        <ser>
          <idx val="4"/>
          <order val="4"/>
          <tx>
            <v>3F4D</v>
          </tx>
          <spPr>
            <a:ln xmlns:a="http://schemas.openxmlformats.org/drawingml/2006/main" w="60000">
              <a:solidFill>
                <a:srgbClr val="CC79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'Data_Farmer'!$D$83:$FQ$83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 m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Rain (mm)</a:t>
            </a:r>
          </a:p>
        </rich>
      </tx>
    </title>
    <plotArea>
      <scatterChart>
        <ser>
          <idx val="0"/>
          <order val="0"/>
          <tx>
            <v>Rain</v>
          </tx>
          <spPr>
            <a:ln xmlns:a="http://schemas.openxmlformats.org/drawingml/2006/main" w="12000">
              <a:noFill/>
              <a:solidFill>
                <a:srgbClr val="56B4E9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56B4E9"/>
              </a:solidFill>
              <a:ln xmlns:a="http://schemas.openxmlformats.org/drawingml/2006/main">
                <a:solidFill>
                  <a:srgbClr val="56B4E9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'Data_Farmer'!$D$8:$FQ$8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 m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irrigation (mm)</a:t>
            </a:r>
          </a:p>
        </rich>
      </tx>
    </title>
    <plotArea>
      <scatterChart>
        <ser>
          <idx val="0"/>
          <order val="0"/>
          <tx>
            <v>FP</v>
          </tx>
          <spPr>
            <a:ln xmlns:a="http://schemas.openxmlformats.org/drawingml/2006/main" w="28000">
              <a:solidFill>
                <a:srgbClr val="D55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'Data_Farmer'!$D$22:$FQ$22</f>
            </numRef>
          </yVal>
        </ser>
        <ser>
          <idx val="1"/>
          <order val="1"/>
          <tx>
            <v>3F4D+MD</v>
          </tx>
          <spPr>
            <a:ln xmlns:a="http://schemas.openxmlformats.org/drawingml/2006/main" w="28000">
              <a:solidFill>
                <a:srgbClr val="0072B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'Data_Farmer'!$D$47:$FQ$47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 m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water-level decrease (mm/day)</a:t>
            </a:r>
          </a:p>
        </rich>
      </tx>
    </title>
    <plotArea>
      <scatterChart>
        <ser>
          <idx val="0"/>
          <order val="0"/>
          <tx>
            <v>FP</v>
          </tx>
          <spPr>
            <a:ln xmlns:a="http://schemas.openxmlformats.org/drawingml/2006/main" w="15000">
              <a:solidFill>
                <a:srgbClr val="D55E0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D55E00"/>
              </a:solidFill>
              <a:ln xmlns:a="http://schemas.openxmlformats.org/drawingml/2006/main">
                <a:solidFill>
                  <a:srgbClr val="D55E00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'Data_Farmer'!$D$23:$FQ$23</f>
            </numRef>
          </yVal>
        </ser>
        <ser>
          <idx val="1"/>
          <order val="1"/>
          <tx>
            <v>3F4D+MD</v>
          </tx>
          <spPr>
            <a:ln xmlns:a="http://schemas.openxmlformats.org/drawingml/2006/main" w="15000">
              <a:solidFill>
                <a:srgbClr val="0072B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0072B2"/>
              </a:solidFill>
              <a:ln xmlns:a="http://schemas.openxmlformats.org/drawingml/2006/main">
                <a:solidFill>
                  <a:srgbClr val="0072B2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'Data_Farmer'!$D$48:$FQ$48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 m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Tillers per hill</a:t>
            </a:r>
          </a:p>
        </rich>
      </tx>
    </title>
    <plotArea>
      <scatterChart>
        <ser>
          <idx val="0"/>
          <order val="0"/>
          <tx>
            <v>FP</v>
          </tx>
          <spPr>
            <a:ln xmlns:a="http://schemas.openxmlformats.org/drawingml/2006/main" w="15000">
              <a:noFill/>
              <a:solidFill>
                <a:srgbClr val="D55E00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55E00"/>
              </a:solidFill>
              <a:ln xmlns:a="http://schemas.openxmlformats.org/drawingml/2006/main">
                <a:solidFill>
                  <a:srgbClr val="D55E00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'Data_Farmer'!$D$66:$FQ$66</f>
            </numRef>
          </yVal>
        </ser>
        <ser>
          <idx val="1"/>
          <order val="1"/>
          <tx>
            <v>3F4D+MD</v>
          </tx>
          <spPr>
            <a:ln xmlns:a="http://schemas.openxmlformats.org/drawingml/2006/main" w="15000">
              <a:noFill/>
              <a:solidFill>
                <a:srgbClr val="0072B2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072B2"/>
              </a:solidFill>
              <a:ln xmlns:a="http://schemas.openxmlformats.org/drawingml/2006/main">
                <a:solidFill>
                  <a:srgbClr val="0072B2"/>
                </a:solidFill>
                <a:prstDash val="solid"/>
              </a:ln>
            </spPr>
          </marker>
          <xVal>
            <numRef>
              <f>'Data_Farmer'!$D$1:$FQ$1</f>
            </numRef>
          </xVal>
          <yVal>
            <numRef>
              <f>'Data_Farmer'!$D$73:$FQ$73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numFmt formatCode="dd mmm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tillers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108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39</row>
      <rowOff>0</rowOff>
    </from>
    <ext cx="54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59</row>
      <rowOff>0</rowOff>
    </from>
    <ext cx="540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8572500" cy="2324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  <col width="14" customWidth="1" min="4" max="4"/>
  </cols>
  <sheetData>
    <row r="1">
      <c r="A1" s="1">
        <f>IF(SiteName="","3F4D Water Monitor",SiteName&amp;IF(Place="",""," - "&amp;Place))</f>
        <v/>
      </c>
    </row>
    <row r="3">
      <c r="A3" s="2" t="inlineStr">
        <is>
          <t>Today / আজ</t>
        </is>
      </c>
      <c r="B3" s="3">
        <f>TODAY()</f>
        <v/>
      </c>
    </row>
    <row r="4">
      <c r="A4" s="2" t="inlineStr">
        <is>
          <t>Days after transplanting</t>
        </is>
      </c>
      <c r="B4" s="4">
        <f>IF(ISNUMBER(TransDate),TODAY()-TransDate,"")</f>
        <v/>
      </c>
    </row>
    <row r="5">
      <c r="A5" s="2" t="inlineStr">
        <is>
          <t>Today's water level / আজকের পানির স্তর</t>
        </is>
      </c>
      <c r="B5" s="4">
        <f>IF(ISNA(MATCH(TODAY(),Data_Farmer!$D$1:$FQ$1,0)),"(today is not in Data_Farmer)",IF(AND(ISNUMBER(INDEX(Data_Farmer!$D$12:$FQ$12,MATCH(TODAY(),Data_Farmer!$D$1:$FQ$1,0))),ISNUMBER(INDEX(Data_Farmer!$D$37:$FQ$37,MATCH(TODAY(),Data_Farmer!$D$1:$FQ$1,0)))),"Entered","NOT YET ENTERED"))</f>
        <v/>
      </c>
    </row>
    <row r="6">
      <c r="A6" s="2" t="inlineStr">
        <is>
          <t>Last entry</t>
        </is>
      </c>
      <c r="B6" s="3">
        <f>IF(_xlfn.MAXIFS(Data_Farmer!$D$1:$FQ$1,Data_Farmer!$D$33:$FQ$33,1)=0,"",_xlfn.MAXIFS(Data_Farmer!$D$1:$FQ$1,Data_Farmer!$D$33:$FQ$33,1))</f>
        <v/>
      </c>
    </row>
    <row r="7">
      <c r="A7" s="2" t="inlineStr">
        <is>
          <t>Days without entry</t>
        </is>
      </c>
      <c r="B7" s="4">
        <f>IF(B6="","",MAX(0,TODAY()-B6-1))</f>
        <v/>
      </c>
    </row>
    <row r="8">
      <c r="A8" s="2" t="inlineStr">
        <is>
          <t>Stage today</t>
        </is>
      </c>
      <c r="B8" s="4">
        <f>IFERROR(INDEX(Data_Farmer!$D$6:$FQ$6,MATCH(TODAY(),Data_Farmer!$D$1:$FQ$1,0)),"")</f>
        <v/>
      </c>
    </row>
    <row r="10">
      <c r="A10" s="5" t="inlineStr"/>
      <c r="B10" s="5" t="inlineStr">
        <is>
          <t>FP</t>
        </is>
      </c>
      <c r="C10" s="5" t="inlineStr">
        <is>
          <t>3F4D+MD</t>
        </is>
      </c>
    </row>
    <row r="11">
      <c r="A11" s="2" t="inlineStr">
        <is>
          <t>Latest water level - date</t>
        </is>
      </c>
      <c r="B11" s="3">
        <f>IF(_xlfn.MAXIFS(Data_Farmer!$D$1:$FQ$1,Data_Farmer!$D$33:$FQ$33,1)=0,"",_xlfn.MAXIFS(Data_Farmer!$D$1:$FQ$1,Data_Farmer!$D$33:$FQ$33,1))</f>
        <v/>
      </c>
      <c r="C11" s="3">
        <f>IF(_xlfn.MAXIFS(Data_Farmer!$D$1:$FQ$1,Data_Farmer!$D$58:$FQ$58,1)=0,"",_xlfn.MAXIFS(Data_Farmer!$D$1:$FQ$1,Data_Farmer!$D$58:$FQ$58,1))</f>
        <v/>
      </c>
    </row>
    <row r="12">
      <c r="A12" s="2" t="inlineStr">
        <is>
          <t>Water level (cm, after irrigation if irrigated)</t>
        </is>
      </c>
      <c r="B12" s="4">
        <f>IF(B11="","",INDEX(Data_Farmer!$D$32:$FQ$32,MATCH(B11,Data_Farmer!$D$1:$FQ$1,0)))</f>
        <v/>
      </c>
      <c r="C12" s="4">
        <f>IF(C11="","",INDEX(Data_Farmer!$D$57:$FQ$57,MATCH(C11,Data_Farmer!$D$1:$FQ$1,0)))</f>
        <v/>
      </c>
    </row>
    <row r="13">
      <c r="A13" s="2" t="inlineStr">
        <is>
          <t>State</t>
        </is>
      </c>
      <c r="B13" s="4">
        <f>IF(B12="","",IF(B12&gt;0,"water above the soil surface",IF(B12&lt;0,"water below the soil surface","at the soil surface")))</f>
        <v/>
      </c>
      <c r="C13" s="4">
        <f>IF(C12="","",IF(C12&gt;0,"water above the soil surface",IF(C12&lt;0,"water below the soil surface","at the soil surface")))</f>
        <v/>
      </c>
    </row>
    <row r="14">
      <c r="A14" s="2" t="inlineStr">
        <is>
          <t>Total irrigation (mm)</t>
        </is>
      </c>
      <c r="B14" s="4">
        <f>ROUND(SUM(Data_Farmer!$D$21:$FQ$21),0)</f>
        <v/>
      </c>
      <c r="C14" s="4">
        <f>ROUND(SUM(Data_Farmer!$D$46:$FQ$46),0)</f>
        <v/>
      </c>
    </row>
    <row r="15">
      <c r="A15" s="2" t="inlineStr">
        <is>
          <t>Number of irrigations</t>
        </is>
      </c>
      <c r="B15" s="4">
        <f>COUNT(Data_Farmer!$D$21:$FQ$21)</f>
        <v/>
      </c>
      <c r="C15" s="4">
        <f>COUNT(Data_Farmer!$D$46:$FQ$46)</f>
        <v/>
      </c>
    </row>
    <row r="16">
      <c r="A16" s="2" t="inlineStr">
        <is>
          <t>Water saving by 3F4D+MD</t>
        </is>
      </c>
      <c r="B16" s="4">
        <f>IF(B14=0,"",B14-C14&amp;" mm")</f>
        <v/>
      </c>
      <c r="C16" s="4">
        <f>IF(B14=0,"",ROUND(100*(B14-C14)/B14,0)&amp;" %")</f>
        <v/>
      </c>
    </row>
    <row r="17">
      <c r="A17" s="2" t="inlineStr">
        <is>
          <t>Farmer working time (min)</t>
        </is>
      </c>
      <c r="B17" s="4">
        <f>SUM(Data_Farmer!$D$26:$FQ$26)</f>
        <v/>
      </c>
      <c r="C17" s="4">
        <f>SUM(Data_Farmer!$D$51:$FQ$51)</f>
        <v/>
      </c>
    </row>
    <row r="18">
      <c r="A18" s="2" t="inlineStr">
        <is>
          <t>Labour (BDT)</t>
        </is>
      </c>
      <c r="B18" s="4">
        <f>SUM(Data_Farmer!$D$28:$FQ$28)</f>
        <v/>
      </c>
      <c r="C18" s="4">
        <f>SUM(Data_Farmer!$D$53:$FQ$53)</f>
        <v/>
      </c>
    </row>
    <row r="19">
      <c r="A19" s="2" t="inlineStr">
        <is>
          <t>N applied (kg/10a)</t>
        </is>
      </c>
      <c r="B19" s="4">
        <f>Other_info!AM5</f>
        <v/>
      </c>
      <c r="C19" s="4">
        <f>Other_info!AO5</f>
        <v/>
      </c>
    </row>
    <row r="20">
      <c r="A20" s="2" t="inlineStr">
        <is>
          <t>P applied (kg/10a)</t>
        </is>
      </c>
      <c r="B20" s="4">
        <f>Other_info!AN5</f>
        <v/>
      </c>
      <c r="C20" s="4">
        <f>Other_info!AP5</f>
        <v/>
      </c>
    </row>
    <row r="22">
      <c r="A22" s="5" t="inlineStr"/>
      <c r="B22" s="5" t="inlineStr">
        <is>
          <t>Next events (schedule)</t>
        </is>
      </c>
      <c r="C22" s="5" t="inlineStr">
        <is>
          <t>Date</t>
        </is>
      </c>
    </row>
    <row r="23">
      <c r="A23" s="2" t="inlineStr">
        <is>
          <t>Next 1</t>
        </is>
      </c>
      <c r="B23" s="6">
        <f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7">
        <f>IFERROR(INT(SMALL(Schedule_Farmer!$L$5:$L$38,1)),"")</f>
        <v/>
      </c>
      <c r="D23" s="6">
        <f>IF(C23="","",IF(C23-TODAY()=0,"today","in "&amp;(C23-TODAY())&amp;" days"))</f>
        <v/>
      </c>
    </row>
    <row r="24">
      <c r="A24" s="2" t="inlineStr">
        <is>
          <t>Next 2</t>
        </is>
      </c>
      <c r="B24" s="6">
        <f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7">
        <f>IFERROR(INT(SMALL(Schedule_Farmer!$L$5:$L$38,2)),"")</f>
        <v/>
      </c>
      <c r="D24" s="6">
        <f>IF(C24="","",IF(C24-TODAY()=0,"today","in "&amp;(C24-TODAY())&amp;" days"))</f>
        <v/>
      </c>
    </row>
    <row r="25">
      <c r="A25" s="2" t="inlineStr">
        <is>
          <t>Next 3</t>
        </is>
      </c>
      <c r="B25" s="6">
        <f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7">
        <f>IFERROR(INT(SMALL(Schedule_Farmer!$L$5:$L$38,3)),"")</f>
        <v/>
      </c>
      <c r="D25" s="6">
        <f>IF(C25="","",IF(C25-TODAY()=0,"today","in "&amp;(C25-TODAY())&amp;" days"))</f>
        <v/>
      </c>
    </row>
    <row r="26">
      <c r="A26" s="2" t="inlineStr">
        <is>
          <t>Next 4</t>
        </is>
      </c>
      <c r="B26" s="6">
        <f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7">
        <f>IFERROR(INT(SMALL(Schedule_Farmer!$L$5:$L$38,4)),"")</f>
        <v/>
      </c>
      <c r="D26" s="6">
        <f>IF(C26="","",IF(C26-TODAY()=0,"today","in "&amp;(C26-TODAY())&amp;" days"))</f>
        <v/>
      </c>
    </row>
    <row r="28">
      <c r="A28" s="2" t="inlineStr">
        <is>
          <t>Actual date not entered (overdue events)</t>
        </is>
      </c>
      <c r="B28" s="4">
        <f>COUNTIF(Schedule_Farmer!$H$5:$H$38,"OVERDUE")</f>
        <v/>
      </c>
    </row>
  </sheetData>
  <conditionalFormatting sqref="B5">
    <cfRule type="expression" priority="1" dxfId="0">
      <formula>B5="NOT YET ENTERED"</formula>
    </cfRule>
    <cfRule type="expression" priority="2" dxfId="1">
      <formula>B5="Entered"</formula>
    </cfRule>
  </conditionalFormatting>
  <conditionalFormatting sqref="B7">
    <cfRule type="expression" priority="3" dxfId="2">
      <formula>AND(ISNUMBER(B7),B7&gt;0)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2" customWidth="1" min="3" max="3"/>
    <col width="12" customWidth="1" min="4" max="4"/>
    <col width="2" customWidth="1" min="5" max="5"/>
    <col width="4" customWidth="1" min="6" max="6"/>
    <col width="34" customWidth="1" min="7" max="7"/>
    <col width="12" customWidth="1" min="8" max="8"/>
    <col width="12" customWidth="1" min="9" max="9"/>
  </cols>
  <sheetData>
    <row r="1">
      <c r="A1" s="8" t="inlineStr">
        <is>
          <t>Calendar / ক্যালেন্ডার</t>
        </is>
      </c>
    </row>
    <row r="2">
      <c r="A2" s="9">
        <f>IF(SiteName="","",SiteName&amp;IF(Place="",""," - "&amp;Place))</f>
        <v/>
      </c>
      <c r="F2" s="10">
        <f>IF(Variety="","","Variety: "&amp;Variety)</f>
        <v/>
      </c>
    </row>
    <row r="4">
      <c r="B4" s="5" t="inlineStr">
        <is>
          <t>3F4D+MD activities</t>
        </is>
      </c>
      <c r="C4" s="5" t="inlineStr">
        <is>
          <t>Planned</t>
        </is>
      </c>
      <c r="D4" s="5" t="inlineStr">
        <is>
          <t>Actual</t>
        </is>
      </c>
      <c r="G4" s="5" t="inlineStr">
        <is>
          <t>FP activities</t>
        </is>
      </c>
      <c r="H4" s="5" t="inlineStr">
        <is>
          <t>Planned</t>
        </is>
      </c>
      <c r="I4" s="5" t="inlineStr">
        <is>
          <t>Actual</t>
        </is>
      </c>
    </row>
    <row r="5">
      <c r="A5" s="11" t="inlineStr">
        <is>
          <t>01.</t>
        </is>
      </c>
      <c r="B5" s="12">
        <f>Schedule_Farmer!A5&amp;IF(Schedule_Farmer!E5&lt;&gt;Schedule_Farmer!D5,"  (to "&amp;TEXT(Schedule_Farmer!E5,"dd mmm")&amp;")","")</f>
        <v/>
      </c>
      <c r="C5" s="13">
        <f>IF(Schedule_Farmer!D5="","",Schedule_Farmer!D5)</f>
        <v/>
      </c>
      <c r="D5" s="13">
        <f>IF(Schedule_Farmer!F5="","",Schedule_Farmer!F5)</f>
        <v/>
      </c>
      <c r="F5" s="11" t="inlineStr">
        <is>
          <t>01.</t>
        </is>
      </c>
      <c r="G5" s="12">
        <f>Schedule_Farmer!A28&amp;IF(Schedule_Farmer!E28&lt;&gt;Schedule_Farmer!D28,"  (to "&amp;TEXT(Schedule_Farmer!E28,"dd mmm")&amp;")","")</f>
        <v/>
      </c>
      <c r="H5" s="13">
        <f>IF(Schedule_Farmer!D28="","",Schedule_Farmer!D28)</f>
        <v/>
      </c>
      <c r="I5" s="13">
        <f>IF(Schedule_Farmer!F28="","",Schedule_Farmer!F28)</f>
        <v/>
      </c>
    </row>
    <row r="6">
      <c r="A6" s="11" t="inlineStr">
        <is>
          <t>02.</t>
        </is>
      </c>
      <c r="B6" s="12">
        <f>Schedule_Farmer!A6&amp;IF(Schedule_Farmer!E6&lt;&gt;Schedule_Farmer!D6,"  (to "&amp;TEXT(Schedule_Farmer!E6,"dd mmm")&amp;")","")</f>
        <v/>
      </c>
      <c r="C6" s="13">
        <f>IF(Schedule_Farmer!D6="","",Schedule_Farmer!D6)</f>
        <v/>
      </c>
      <c r="D6" s="13">
        <f>IF(Schedule_Farmer!F6="","",Schedule_Farmer!F6)</f>
        <v/>
      </c>
      <c r="F6" s="11" t="inlineStr">
        <is>
          <t>02.</t>
        </is>
      </c>
      <c r="G6" s="12">
        <f>Schedule_Farmer!A29&amp;IF(Schedule_Farmer!E29&lt;&gt;Schedule_Farmer!D29,"  (to "&amp;TEXT(Schedule_Farmer!E29,"dd mmm")&amp;")","")</f>
        <v/>
      </c>
      <c r="H6" s="13">
        <f>IF(Schedule_Farmer!D29="","",Schedule_Farmer!D29)</f>
        <v/>
      </c>
      <c r="I6" s="13">
        <f>IF(Schedule_Farmer!F29="","",Schedule_Farmer!F29)</f>
        <v/>
      </c>
    </row>
    <row r="7">
      <c r="A7" s="11" t="inlineStr">
        <is>
          <t>03.</t>
        </is>
      </c>
      <c r="B7" s="12">
        <f>Schedule_Farmer!A7&amp;IF(Schedule_Farmer!E7&lt;&gt;Schedule_Farmer!D7,"  (to "&amp;TEXT(Schedule_Farmer!E7,"dd mmm")&amp;")","")</f>
        <v/>
      </c>
      <c r="C7" s="13">
        <f>IF(Schedule_Farmer!D7="","",Schedule_Farmer!D7)</f>
        <v/>
      </c>
      <c r="D7" s="13">
        <f>IF(Schedule_Farmer!F7="","",Schedule_Farmer!F7)</f>
        <v/>
      </c>
      <c r="F7" s="11" t="inlineStr">
        <is>
          <t>03.</t>
        </is>
      </c>
      <c r="G7" s="12">
        <f>Schedule_Farmer!A30&amp;IF(Schedule_Farmer!E30&lt;&gt;Schedule_Farmer!D30,"  (to "&amp;TEXT(Schedule_Farmer!E30,"dd mmm")&amp;")","")</f>
        <v/>
      </c>
      <c r="H7" s="13">
        <f>IF(Schedule_Farmer!D30="","",Schedule_Farmer!D30)</f>
        <v/>
      </c>
      <c r="I7" s="13">
        <f>IF(Schedule_Farmer!F30="","",Schedule_Farmer!F30)</f>
        <v/>
      </c>
    </row>
    <row r="8">
      <c r="A8" s="11" t="inlineStr">
        <is>
          <t>04.</t>
        </is>
      </c>
      <c r="B8" s="12">
        <f>Schedule_Farmer!A8&amp;IF(Schedule_Farmer!E8&lt;&gt;Schedule_Farmer!D8,"  (to "&amp;TEXT(Schedule_Farmer!E8,"dd mmm")&amp;")","")</f>
        <v/>
      </c>
      <c r="C8" s="13">
        <f>IF(Schedule_Farmer!D8="","",Schedule_Farmer!D8)</f>
        <v/>
      </c>
      <c r="D8" s="13">
        <f>IF(Schedule_Farmer!F8="","",Schedule_Farmer!F8)</f>
        <v/>
      </c>
      <c r="F8" s="11" t="inlineStr">
        <is>
          <t>04.</t>
        </is>
      </c>
      <c r="G8" s="12">
        <f>Schedule_Farmer!A31&amp;IF(Schedule_Farmer!E31&lt;&gt;Schedule_Farmer!D31,"  (to "&amp;TEXT(Schedule_Farmer!E31,"dd mmm")&amp;")","")</f>
        <v/>
      </c>
      <c r="H8" s="13">
        <f>IF(Schedule_Farmer!D31="","",Schedule_Farmer!D31)</f>
        <v/>
      </c>
      <c r="I8" s="13">
        <f>IF(Schedule_Farmer!F31="","",Schedule_Farmer!F31)</f>
        <v/>
      </c>
    </row>
    <row r="9">
      <c r="A9" s="11" t="inlineStr">
        <is>
          <t>05.</t>
        </is>
      </c>
      <c r="B9" s="12">
        <f>Schedule_Farmer!A9&amp;IF(Schedule_Farmer!E9&lt;&gt;Schedule_Farmer!D9,"  (to "&amp;TEXT(Schedule_Farmer!E9,"dd mmm")&amp;")","")</f>
        <v/>
      </c>
      <c r="C9" s="13">
        <f>IF(Schedule_Farmer!D9="","",Schedule_Farmer!D9)</f>
        <v/>
      </c>
      <c r="D9" s="13">
        <f>IF(Schedule_Farmer!F9="","",Schedule_Farmer!F9)</f>
        <v/>
      </c>
      <c r="F9" s="11" t="inlineStr">
        <is>
          <t>05.</t>
        </is>
      </c>
      <c r="G9" s="12">
        <f>Schedule_Farmer!A32&amp;IF(Schedule_Farmer!E32&lt;&gt;Schedule_Farmer!D32,"  (to "&amp;TEXT(Schedule_Farmer!E32,"dd mmm")&amp;")","")</f>
        <v/>
      </c>
      <c r="H9" s="13">
        <f>IF(Schedule_Farmer!D32="","",Schedule_Farmer!D32)</f>
        <v/>
      </c>
      <c r="I9" s="13">
        <f>IF(Schedule_Farmer!F32="","",Schedule_Farmer!F32)</f>
        <v/>
      </c>
    </row>
    <row r="10">
      <c r="A10" s="11" t="inlineStr">
        <is>
          <t>06.</t>
        </is>
      </c>
      <c r="B10" s="12">
        <f>Schedule_Farmer!A10&amp;IF(Schedule_Farmer!E10&lt;&gt;Schedule_Farmer!D10,"  (to "&amp;TEXT(Schedule_Farmer!E10,"dd mmm")&amp;")","")</f>
        <v/>
      </c>
      <c r="C10" s="13">
        <f>IF(Schedule_Farmer!D10="","",Schedule_Farmer!D10)</f>
        <v/>
      </c>
      <c r="D10" s="13">
        <f>IF(Schedule_Farmer!F10="","",Schedule_Farmer!F10)</f>
        <v/>
      </c>
      <c r="F10" s="11" t="inlineStr">
        <is>
          <t>06.</t>
        </is>
      </c>
      <c r="G10" s="12">
        <f>Schedule_Farmer!A33&amp;IF(Schedule_Farmer!E33&lt;&gt;Schedule_Farmer!D33,"  (to "&amp;TEXT(Schedule_Farmer!E33,"dd mmm")&amp;")","")</f>
        <v/>
      </c>
      <c r="H10" s="13">
        <f>IF(Schedule_Farmer!D33="","",Schedule_Farmer!D33)</f>
        <v/>
      </c>
      <c r="I10" s="13">
        <f>IF(Schedule_Farmer!F33="","",Schedule_Farmer!F33)</f>
        <v/>
      </c>
    </row>
    <row r="11">
      <c r="A11" s="11" t="inlineStr">
        <is>
          <t>07.</t>
        </is>
      </c>
      <c r="B11" s="12">
        <f>Schedule_Farmer!A11&amp;IF(Schedule_Farmer!E11&lt;&gt;Schedule_Farmer!D11,"  (to "&amp;TEXT(Schedule_Farmer!E11,"dd mmm")&amp;")","")</f>
        <v/>
      </c>
      <c r="C11" s="13">
        <f>IF(Schedule_Farmer!D11="","",Schedule_Farmer!D11)</f>
        <v/>
      </c>
      <c r="D11" s="13">
        <f>IF(Schedule_Farmer!F11="","",Schedule_Farmer!F11)</f>
        <v/>
      </c>
      <c r="F11" s="11" t="inlineStr">
        <is>
          <t>07.</t>
        </is>
      </c>
      <c r="G11" s="12">
        <f>Schedule_Farmer!A34&amp;IF(Schedule_Farmer!E34&lt;&gt;Schedule_Farmer!D34,"  (to "&amp;TEXT(Schedule_Farmer!E34,"dd mmm")&amp;")","")</f>
        <v/>
      </c>
      <c r="H11" s="13">
        <f>IF(Schedule_Farmer!D34="","",Schedule_Farmer!D34)</f>
        <v/>
      </c>
      <c r="I11" s="13">
        <f>IF(Schedule_Farmer!F34="","",Schedule_Farmer!F34)</f>
        <v/>
      </c>
    </row>
    <row r="12">
      <c r="A12" s="11" t="inlineStr">
        <is>
          <t>08.</t>
        </is>
      </c>
      <c r="B12" s="12">
        <f>Schedule_Farmer!A12&amp;IF(Schedule_Farmer!E12&lt;&gt;Schedule_Farmer!D12,"  (to "&amp;TEXT(Schedule_Farmer!E12,"dd mmm")&amp;")","")</f>
        <v/>
      </c>
      <c r="C12" s="13">
        <f>IF(Schedule_Farmer!D12="","",Schedule_Farmer!D12)</f>
        <v/>
      </c>
      <c r="D12" s="13">
        <f>IF(Schedule_Farmer!F12="","",Schedule_Farmer!F12)</f>
        <v/>
      </c>
      <c r="F12" s="11" t="inlineStr">
        <is>
          <t>08.</t>
        </is>
      </c>
      <c r="G12" s="12">
        <f>Schedule_Farmer!A35&amp;IF(Schedule_Farmer!E35&lt;&gt;Schedule_Farmer!D35,"  (to "&amp;TEXT(Schedule_Farmer!E35,"dd mmm")&amp;")","")</f>
        <v/>
      </c>
      <c r="H12" s="13">
        <f>IF(Schedule_Farmer!D35="","",Schedule_Farmer!D35)</f>
        <v/>
      </c>
      <c r="I12" s="13">
        <f>IF(Schedule_Farmer!F35="","",Schedule_Farmer!F35)</f>
        <v/>
      </c>
    </row>
    <row r="13">
      <c r="A13" s="11" t="inlineStr">
        <is>
          <t>09.</t>
        </is>
      </c>
      <c r="B13" s="12">
        <f>Schedule_Farmer!A13&amp;IF(Schedule_Farmer!E13&lt;&gt;Schedule_Farmer!D13,"  (to "&amp;TEXT(Schedule_Farmer!E13,"dd mmm")&amp;")","")</f>
        <v/>
      </c>
      <c r="C13" s="13">
        <f>IF(Schedule_Farmer!D13="","",Schedule_Farmer!D13)</f>
        <v/>
      </c>
      <c r="D13" s="13">
        <f>IF(Schedule_Farmer!F13="","",Schedule_Farmer!F13)</f>
        <v/>
      </c>
      <c r="F13" s="11" t="inlineStr">
        <is>
          <t>09.</t>
        </is>
      </c>
      <c r="G13" s="12">
        <f>Schedule_Farmer!A36&amp;IF(Schedule_Farmer!E36&lt;&gt;Schedule_Farmer!D36,"  (to "&amp;TEXT(Schedule_Farmer!E36,"dd mmm")&amp;")","")</f>
        <v/>
      </c>
      <c r="H13" s="13">
        <f>IF(Schedule_Farmer!D36="","",Schedule_Farmer!D36)</f>
        <v/>
      </c>
      <c r="I13" s="13">
        <f>IF(Schedule_Farmer!F36="","",Schedule_Farmer!F36)</f>
        <v/>
      </c>
    </row>
    <row r="14">
      <c r="A14" s="11" t="inlineStr">
        <is>
          <t>10.</t>
        </is>
      </c>
      <c r="B14" s="12">
        <f>Schedule_Farmer!A14&amp;IF(Schedule_Farmer!E14&lt;&gt;Schedule_Farmer!D14,"  (to "&amp;TEXT(Schedule_Farmer!E14,"dd mmm")&amp;")","")</f>
        <v/>
      </c>
      <c r="C14" s="13">
        <f>IF(Schedule_Farmer!D14="","",Schedule_Farmer!D14)</f>
        <v/>
      </c>
      <c r="D14" s="13">
        <f>IF(Schedule_Farmer!F14="","",Schedule_Farmer!F14)</f>
        <v/>
      </c>
      <c r="F14" s="11" t="inlineStr">
        <is>
          <t>10.</t>
        </is>
      </c>
      <c r="G14" s="12">
        <f>Schedule_Farmer!A37&amp;IF(Schedule_Farmer!E37&lt;&gt;Schedule_Farmer!D37,"  (to "&amp;TEXT(Schedule_Farmer!E37,"dd mmm")&amp;")","")</f>
        <v/>
      </c>
      <c r="H14" s="13">
        <f>IF(Schedule_Farmer!D37="","",Schedule_Farmer!D37)</f>
        <v/>
      </c>
      <c r="I14" s="13">
        <f>IF(Schedule_Farmer!F37="","",Schedule_Farmer!F37)</f>
        <v/>
      </c>
    </row>
    <row r="15">
      <c r="A15" s="11" t="inlineStr">
        <is>
          <t>11.</t>
        </is>
      </c>
      <c r="B15" s="12">
        <f>Schedule_Farmer!A15&amp;IF(Schedule_Farmer!E15&lt;&gt;Schedule_Farmer!D15,"  (to "&amp;TEXT(Schedule_Farmer!E15,"dd mmm")&amp;")","")</f>
        <v/>
      </c>
      <c r="C15" s="13">
        <f>IF(Schedule_Farmer!D15="","",Schedule_Farmer!D15)</f>
        <v/>
      </c>
      <c r="D15" s="13">
        <f>IF(Schedule_Farmer!F15="","",Schedule_Farmer!F15)</f>
        <v/>
      </c>
      <c r="F15" s="11" t="inlineStr">
        <is>
          <t>11.</t>
        </is>
      </c>
      <c r="G15" s="12">
        <f>Schedule_Farmer!A38&amp;IF(Schedule_Farmer!E38&lt;&gt;Schedule_Farmer!D38,"  (to "&amp;TEXT(Schedule_Farmer!E38,"dd mmm")&amp;")","")</f>
        <v/>
      </c>
      <c r="H15" s="13">
        <f>IF(Schedule_Farmer!D38="","",Schedule_Farmer!D38)</f>
        <v/>
      </c>
      <c r="I15" s="13">
        <f>IF(Schedule_Farmer!F38="","",Schedule_Farmer!F38)</f>
        <v/>
      </c>
    </row>
    <row r="16">
      <c r="A16" s="11" t="inlineStr">
        <is>
          <t>12.</t>
        </is>
      </c>
      <c r="B16" s="12">
        <f>Schedule_Farmer!A16&amp;IF(Schedule_Farmer!E16&lt;&gt;Schedule_Farmer!D16,"  (to "&amp;TEXT(Schedule_Farmer!E16,"dd mmm")&amp;")","")</f>
        <v/>
      </c>
      <c r="C16" s="13">
        <f>IF(Schedule_Farmer!D16="","",Schedule_Farmer!D16)</f>
        <v/>
      </c>
      <c r="D16" s="13">
        <f>IF(Schedule_Farmer!F16="","",Schedule_Farmer!F16)</f>
        <v/>
      </c>
    </row>
    <row r="17">
      <c r="A17" s="11" t="inlineStr">
        <is>
          <t>13.</t>
        </is>
      </c>
      <c r="B17" s="12">
        <f>Schedule_Farmer!A17&amp;IF(Schedule_Farmer!E17&lt;&gt;Schedule_Farmer!D17,"  (to "&amp;TEXT(Schedule_Farmer!E17,"dd mmm")&amp;")","")</f>
        <v/>
      </c>
      <c r="C17" s="13">
        <f>IF(Schedule_Farmer!D17="","",Schedule_Farmer!D17)</f>
        <v/>
      </c>
      <c r="D17" s="13">
        <f>IF(Schedule_Farmer!F17="","",Schedule_Farmer!F17)</f>
        <v/>
      </c>
    </row>
    <row r="18">
      <c r="A18" s="11" t="inlineStr">
        <is>
          <t>14.</t>
        </is>
      </c>
      <c r="B18" s="12">
        <f>Schedule_Farmer!A18&amp;IF(Schedule_Farmer!E18&lt;&gt;Schedule_Farmer!D18,"  (to "&amp;TEXT(Schedule_Farmer!E18,"dd mmm")&amp;")","")</f>
        <v/>
      </c>
      <c r="C18" s="13">
        <f>IF(Schedule_Farmer!D18="","",Schedule_Farmer!D18)</f>
        <v/>
      </c>
      <c r="D18" s="13">
        <f>IF(Schedule_Farmer!F18="","",Schedule_Farmer!F18)</f>
        <v/>
      </c>
    </row>
    <row r="19">
      <c r="A19" s="11" t="inlineStr">
        <is>
          <t>15.</t>
        </is>
      </c>
      <c r="B19" s="12">
        <f>Schedule_Farmer!A19&amp;IF(Schedule_Farmer!E19&lt;&gt;Schedule_Farmer!D19,"  (to "&amp;TEXT(Schedule_Farmer!E19,"dd mmm")&amp;")","")</f>
        <v/>
      </c>
      <c r="C19" s="13">
        <f>IF(Schedule_Farmer!D19="","",Schedule_Farmer!D19)</f>
        <v/>
      </c>
      <c r="D19" s="13">
        <f>IF(Schedule_Farmer!F19="","",Schedule_Farmer!F19)</f>
        <v/>
      </c>
    </row>
    <row r="20">
      <c r="A20" s="11" t="inlineStr">
        <is>
          <t>16.</t>
        </is>
      </c>
      <c r="B20" s="12">
        <f>Schedule_Farmer!A20&amp;IF(Schedule_Farmer!E20&lt;&gt;Schedule_Farmer!D20,"  (to "&amp;TEXT(Schedule_Farmer!E20,"dd mmm")&amp;")","")</f>
        <v/>
      </c>
      <c r="C20" s="13">
        <f>IF(Schedule_Farmer!D20="","",Schedule_Farmer!D20)</f>
        <v/>
      </c>
      <c r="D20" s="13">
        <f>IF(Schedule_Farmer!F20="","",Schedule_Farmer!F20)</f>
        <v/>
      </c>
    </row>
    <row r="21">
      <c r="A21" s="11" t="inlineStr">
        <is>
          <t>17.</t>
        </is>
      </c>
      <c r="B21" s="12">
        <f>Schedule_Farmer!A21&amp;IF(Schedule_Farmer!E21&lt;&gt;Schedule_Farmer!D21,"  (to "&amp;TEXT(Schedule_Farmer!E21,"dd mmm")&amp;")","")</f>
        <v/>
      </c>
      <c r="C21" s="13">
        <f>IF(Schedule_Farmer!D21="","",Schedule_Farmer!D21)</f>
        <v/>
      </c>
      <c r="D21" s="13">
        <f>IF(Schedule_Farmer!F21="","",Schedule_Farmer!F21)</f>
        <v/>
      </c>
    </row>
    <row r="22">
      <c r="A22" s="11" t="inlineStr">
        <is>
          <t>18.</t>
        </is>
      </c>
      <c r="B22" s="12">
        <f>Schedule_Farmer!A22&amp;IF(Schedule_Farmer!E22&lt;&gt;Schedule_Farmer!D22,"  (to "&amp;TEXT(Schedule_Farmer!E22,"dd mmm")&amp;")","")</f>
        <v/>
      </c>
      <c r="C22" s="13">
        <f>IF(Schedule_Farmer!D22="","",Schedule_Farmer!D22)</f>
        <v/>
      </c>
      <c r="D22" s="13">
        <f>IF(Schedule_Farmer!F22="","",Schedule_Farmer!F22)</f>
        <v/>
      </c>
    </row>
    <row r="23">
      <c r="A23" s="11" t="inlineStr">
        <is>
          <t>19.</t>
        </is>
      </c>
      <c r="B23" s="12">
        <f>Schedule_Farmer!A23&amp;IF(Schedule_Farmer!E23&lt;&gt;Schedule_Farmer!D23,"  (to "&amp;TEXT(Schedule_Farmer!E23,"dd mmm")&amp;")","")</f>
        <v/>
      </c>
      <c r="C23" s="13">
        <f>IF(Schedule_Farmer!D23="","",Schedule_Farmer!D23)</f>
        <v/>
      </c>
      <c r="D23" s="13">
        <f>IF(Schedule_Farmer!F23="","",Schedule_Farmer!F23)</f>
        <v/>
      </c>
    </row>
    <row r="24">
      <c r="A24" s="11" t="inlineStr">
        <is>
          <t>20.</t>
        </is>
      </c>
      <c r="B24" s="12">
        <f>Schedule_Farmer!A24&amp;IF(Schedule_Farmer!E24&lt;&gt;Schedule_Farmer!D24,"  (to "&amp;TEXT(Schedule_Farmer!E24,"dd mmm")&amp;")","")</f>
        <v/>
      </c>
      <c r="C24" s="13">
        <f>IF(Schedule_Farmer!D24="","",Schedule_Farmer!D24)</f>
        <v/>
      </c>
      <c r="D24" s="13">
        <f>IF(Schedule_Farmer!F24="","",Schedule_Farmer!F24)</f>
        <v/>
      </c>
    </row>
    <row r="25">
      <c r="A25" s="11" t="inlineStr">
        <is>
          <t>21.</t>
        </is>
      </c>
      <c r="B25" s="12">
        <f>Schedule_Farmer!A25&amp;IF(Schedule_Farmer!E25&lt;&gt;Schedule_Farmer!D25,"  (to "&amp;TEXT(Schedule_Farmer!E25,"dd mmm")&amp;")","")</f>
        <v/>
      </c>
      <c r="C25" s="13">
        <f>IF(Schedule_Farmer!D25="","",Schedule_Farmer!D25)</f>
        <v/>
      </c>
      <c r="D25" s="13">
        <f>IF(Schedule_Farmer!F25="","",Schedule_Farmer!F25)</f>
        <v/>
      </c>
    </row>
    <row r="27">
      <c r="A27" s="14" t="inlineStr">
        <is>
          <t>Pitan and the last irrigation are optional and may be carried out or omitted. Enter actual dates in Schedule_Farmer.</t>
        </is>
      </c>
    </row>
    <row r="29">
      <c r="B29" s="15" t="inlineStr">
        <is>
          <t>Tiller (stem) number measurement</t>
        </is>
      </c>
      <c r="C29" s="15" t="inlineStr">
        <is>
          <t>Date</t>
        </is>
      </c>
    </row>
    <row r="30">
      <c r="B30" s="12" t="inlineStr">
        <is>
          <t>Day 50 after sowing</t>
        </is>
      </c>
      <c r="C30" s="13">
        <f>IF(ISNUMBER(SowDate),SowDate+50,"")</f>
        <v/>
      </c>
    </row>
    <row r="31">
      <c r="B31" s="12" t="inlineStr">
        <is>
          <t>Day 60 after sowing</t>
        </is>
      </c>
      <c r="C31" s="13">
        <f>IF(ISNUMBER(SowDate),SowDate+60,"")</f>
        <v/>
      </c>
    </row>
    <row r="32">
      <c r="B32" s="12" t="inlineStr">
        <is>
          <t>Day 70 after sowing</t>
        </is>
      </c>
      <c r="C32" s="13">
        <f>IF(ISNUMBER(SowDate),SowDate+70,"")</f>
        <v/>
      </c>
    </row>
    <row r="33">
      <c r="B33" s="12" t="inlineStr">
        <is>
          <t>Day 80 after sowing</t>
        </is>
      </c>
      <c r="C33" s="13">
        <f>IF(ISNUMBER(SowDate),SowDate+80,"")</f>
        <v/>
      </c>
    </row>
    <row r="34">
      <c r="B34" s="12" t="inlineStr">
        <is>
          <t>Day 90 after sowing</t>
        </is>
      </c>
      <c r="C34" s="13">
        <f>IF(ISNUMBER(SowDate),SowDate+90,"")</f>
        <v/>
      </c>
    </row>
    <row r="36">
      <c r="B36" s="10" t="inlineStr">
        <is>
          <t>Water sampling: once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83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7.2" customWidth="1" min="35" max="35"/>
    <col width="7.2" customWidth="1" min="36" max="36"/>
    <col width="7.2" customWidth="1" min="37" max="37"/>
    <col width="7.2" customWidth="1" min="38" max="38"/>
    <col width="7.2" customWidth="1" min="39" max="39"/>
    <col width="7.2" customWidth="1" min="40" max="40"/>
    <col width="7.2" customWidth="1" min="41" max="41"/>
    <col width="7.2" customWidth="1" min="42" max="42"/>
    <col width="7.2" customWidth="1" min="43" max="43"/>
    <col width="7.2" customWidth="1" min="44" max="44"/>
    <col width="7.2" customWidth="1" min="45" max="45"/>
    <col width="7.2" customWidth="1" min="46" max="46"/>
    <col width="7.2" customWidth="1" min="47" max="47"/>
    <col width="7.2" customWidth="1" min="48" max="48"/>
    <col width="7.2" customWidth="1" min="49" max="49"/>
    <col width="7.2" customWidth="1" min="50" max="50"/>
    <col width="7.2" customWidth="1" min="51" max="51"/>
    <col width="7.2" customWidth="1" min="52" max="52"/>
    <col width="7.2" customWidth="1" min="53" max="53"/>
    <col width="7.2" customWidth="1" min="54" max="54"/>
    <col width="7.2" customWidth="1" min="55" max="55"/>
    <col width="7.2" customWidth="1" min="56" max="56"/>
    <col width="7.2" customWidth="1" min="57" max="57"/>
    <col width="7.2" customWidth="1" min="58" max="58"/>
    <col width="7.2" customWidth="1" min="59" max="59"/>
    <col width="7.2" customWidth="1" min="60" max="60"/>
    <col width="7.2" customWidth="1" min="61" max="61"/>
    <col width="7.2" customWidth="1" min="62" max="62"/>
    <col width="7.2" customWidth="1" min="63" max="63"/>
    <col width="7.2" customWidth="1" min="64" max="64"/>
    <col width="7.2" customWidth="1" min="65" max="65"/>
    <col width="7.2" customWidth="1" min="66" max="66"/>
    <col width="7.2" customWidth="1" min="67" max="67"/>
    <col width="7.2" customWidth="1" min="68" max="68"/>
    <col width="7.2" customWidth="1" min="69" max="69"/>
    <col width="7.2" customWidth="1" min="70" max="70"/>
    <col width="7.2" customWidth="1" min="71" max="71"/>
    <col width="7.2" customWidth="1" min="72" max="72"/>
    <col width="7.2" customWidth="1" min="73" max="73"/>
    <col width="7.2" customWidth="1" min="74" max="74"/>
    <col width="7.2" customWidth="1" min="75" max="75"/>
    <col width="7.2" customWidth="1" min="76" max="76"/>
    <col width="7.2" customWidth="1" min="77" max="77"/>
    <col width="7.2" customWidth="1" min="78" max="78"/>
    <col width="7.2" customWidth="1" min="79" max="79"/>
    <col width="7.2" customWidth="1" min="80" max="80"/>
    <col width="7.2" customWidth="1" min="81" max="81"/>
    <col width="7.2" customWidth="1" min="82" max="82"/>
    <col width="7.2" customWidth="1" min="83" max="83"/>
    <col width="7.2" customWidth="1" min="84" max="84"/>
    <col width="7.2" customWidth="1" min="85" max="85"/>
    <col width="7.2" customWidth="1" min="86" max="86"/>
    <col width="7.2" customWidth="1" min="87" max="87"/>
    <col width="7.2" customWidth="1" min="88" max="88"/>
    <col width="7.2" customWidth="1" min="89" max="89"/>
    <col width="7.2" customWidth="1" min="90" max="90"/>
    <col width="7.2" customWidth="1" min="91" max="91"/>
    <col width="7.2" customWidth="1" min="92" max="92"/>
    <col width="7.2" customWidth="1" min="93" max="93"/>
    <col width="7.2" customWidth="1" min="94" max="94"/>
    <col width="7.2" customWidth="1" min="95" max="95"/>
    <col width="7.2" customWidth="1" min="96" max="96"/>
    <col width="7.2" customWidth="1" min="97" max="97"/>
    <col width="7.2" customWidth="1" min="98" max="98"/>
    <col width="7.2" customWidth="1" min="99" max="99"/>
    <col width="7.2" customWidth="1" min="100" max="100"/>
    <col width="7.2" customWidth="1" min="101" max="101"/>
    <col width="7.2" customWidth="1" min="102" max="102"/>
    <col width="7.2" customWidth="1" min="103" max="103"/>
    <col width="7.2" customWidth="1" min="104" max="104"/>
    <col width="7.2" customWidth="1" min="105" max="105"/>
    <col width="7.2" customWidth="1" min="106" max="106"/>
    <col width="7.2" customWidth="1" min="107" max="107"/>
    <col width="7.2" customWidth="1" min="108" max="108"/>
    <col width="7.2" customWidth="1" min="109" max="109"/>
    <col width="7.2" customWidth="1" min="110" max="110"/>
    <col width="7.2" customWidth="1" min="111" max="111"/>
    <col width="7.2" customWidth="1" min="112" max="112"/>
    <col width="7.2" customWidth="1" min="113" max="113"/>
    <col width="7.2" customWidth="1" min="114" max="114"/>
    <col width="7.2" customWidth="1" min="115" max="115"/>
    <col width="7.2" customWidth="1" min="116" max="116"/>
    <col width="7.2" customWidth="1" min="117" max="117"/>
    <col width="7.2" customWidth="1" min="118" max="118"/>
    <col width="7.2" customWidth="1" min="119" max="119"/>
    <col width="7.2" customWidth="1" min="120" max="120"/>
    <col width="7.2" customWidth="1" min="121" max="121"/>
    <col width="7.2" customWidth="1" min="122" max="122"/>
    <col width="7.2" customWidth="1" min="123" max="123"/>
    <col width="7.2" customWidth="1" min="124" max="124"/>
    <col width="7.2" customWidth="1" min="125" max="125"/>
    <col width="7.2" customWidth="1" min="126" max="126"/>
    <col width="7.2" customWidth="1" min="127" max="127"/>
    <col width="7.2" customWidth="1" min="128" max="128"/>
    <col width="7.2" customWidth="1" min="129" max="129"/>
    <col width="7.2" customWidth="1" min="130" max="130"/>
    <col width="7.2" customWidth="1" min="131" max="131"/>
    <col width="7.2" customWidth="1" min="132" max="132"/>
    <col width="7.2" customWidth="1" min="133" max="133"/>
    <col width="7.2" customWidth="1" min="134" max="134"/>
    <col width="7.2" customWidth="1" min="135" max="135"/>
    <col width="7.2" customWidth="1" min="136" max="136"/>
    <col width="7.2" customWidth="1" min="137" max="137"/>
    <col width="7.2" customWidth="1" min="138" max="138"/>
    <col width="7.2" customWidth="1" min="139" max="139"/>
    <col width="7.2" customWidth="1" min="140" max="140"/>
    <col width="7.2" customWidth="1" min="141" max="141"/>
    <col width="7.2" customWidth="1" min="142" max="142"/>
    <col width="7.2" customWidth="1" min="143" max="143"/>
    <col width="7.2" customWidth="1" min="144" max="144"/>
    <col width="7.2" customWidth="1" min="145" max="145"/>
    <col width="7.2" customWidth="1" min="146" max="146"/>
    <col width="7.2" customWidth="1" min="147" max="147"/>
    <col width="7.2" customWidth="1" min="148" max="148"/>
    <col width="7.2" customWidth="1" min="149" max="149"/>
    <col width="7.2" customWidth="1" min="150" max="150"/>
    <col width="7.2" customWidth="1" min="151" max="151"/>
    <col width="7.2" customWidth="1" min="152" max="152"/>
    <col width="7.2" customWidth="1" min="153" max="153"/>
    <col width="7.2" customWidth="1" min="154" max="154"/>
    <col width="7.2" customWidth="1" min="155" max="155"/>
    <col width="7.2" customWidth="1" min="156" max="156"/>
    <col width="7.2" customWidth="1" min="157" max="157"/>
    <col width="7.2" customWidth="1" min="158" max="158"/>
    <col width="7.2" customWidth="1" min="159" max="159"/>
    <col width="7.2" customWidth="1" min="160" max="160"/>
    <col width="7.2" customWidth="1" min="161" max="161"/>
    <col width="7.2" customWidth="1" min="162" max="162"/>
    <col width="7.2" customWidth="1" min="163" max="163"/>
    <col width="7.2" customWidth="1" min="164" max="164"/>
    <col width="7.2" customWidth="1" min="165" max="165"/>
    <col width="7.2" customWidth="1" min="166" max="166"/>
    <col width="7.2" customWidth="1" min="167" max="167"/>
    <col width="7.2" customWidth="1" min="168" max="168"/>
    <col width="7.2" customWidth="1" min="169" max="169"/>
    <col width="7.2" customWidth="1" min="170" max="170"/>
    <col width="7.2" customWidth="1" min="171" max="171"/>
    <col width="7.2" customWidth="1" min="172" max="172"/>
    <col width="7.2" customWidth="1" min="173" max="173"/>
  </cols>
  <sheetData>
    <row r="1">
      <c r="A1" s="16">
        <f>IF(SiteName="","3F4D Water Monitor",SiteName)</f>
        <v/>
      </c>
      <c r="B1" s="15" t="inlineStr">
        <is>
          <t>Date / তারিখ</t>
        </is>
      </c>
      <c r="C1" s="15" t="inlineStr">
        <is>
          <t>Season</t>
        </is>
      </c>
      <c r="D1" s="17">
        <f>IF(ISNUMBER(DataStart),DataStart+0,"")</f>
        <v/>
      </c>
      <c r="E1" s="17">
        <f>IF(ISNUMBER(DataStart),DataStart+1,"")</f>
        <v/>
      </c>
      <c r="F1" s="17">
        <f>IF(ISNUMBER(DataStart),DataStart+2,"")</f>
        <v/>
      </c>
      <c r="G1" s="17">
        <f>IF(ISNUMBER(DataStart),DataStart+3,"")</f>
        <v/>
      </c>
      <c r="H1" s="17">
        <f>IF(ISNUMBER(DataStart),DataStart+4,"")</f>
        <v/>
      </c>
      <c r="I1" s="17">
        <f>IF(ISNUMBER(DataStart),DataStart+5,"")</f>
        <v/>
      </c>
      <c r="J1" s="17">
        <f>IF(ISNUMBER(DataStart),DataStart+6,"")</f>
        <v/>
      </c>
      <c r="K1" s="17">
        <f>IF(ISNUMBER(DataStart),DataStart+7,"")</f>
        <v/>
      </c>
      <c r="L1" s="17">
        <f>IF(ISNUMBER(DataStart),DataStart+8,"")</f>
        <v/>
      </c>
      <c r="M1" s="17">
        <f>IF(ISNUMBER(DataStart),DataStart+9,"")</f>
        <v/>
      </c>
      <c r="N1" s="17">
        <f>IF(ISNUMBER(DataStart),DataStart+10,"")</f>
        <v/>
      </c>
      <c r="O1" s="17">
        <f>IF(ISNUMBER(DataStart),DataStart+11,"")</f>
        <v/>
      </c>
      <c r="P1" s="17">
        <f>IF(ISNUMBER(DataStart),DataStart+12,"")</f>
        <v/>
      </c>
      <c r="Q1" s="17">
        <f>IF(ISNUMBER(DataStart),DataStart+13,"")</f>
        <v/>
      </c>
      <c r="R1" s="17">
        <f>IF(ISNUMBER(DataStart),DataStart+14,"")</f>
        <v/>
      </c>
      <c r="S1" s="17">
        <f>IF(ISNUMBER(DataStart),DataStart+15,"")</f>
        <v/>
      </c>
      <c r="T1" s="17">
        <f>IF(ISNUMBER(DataStart),DataStart+16,"")</f>
        <v/>
      </c>
      <c r="U1" s="17">
        <f>IF(ISNUMBER(DataStart),DataStart+17,"")</f>
        <v/>
      </c>
      <c r="V1" s="17">
        <f>IF(ISNUMBER(DataStart),DataStart+18,"")</f>
        <v/>
      </c>
      <c r="W1" s="17">
        <f>IF(ISNUMBER(DataStart),DataStart+19,"")</f>
        <v/>
      </c>
      <c r="X1" s="17">
        <f>IF(ISNUMBER(DataStart),DataStart+20,"")</f>
        <v/>
      </c>
      <c r="Y1" s="17">
        <f>IF(ISNUMBER(DataStart),DataStart+21,"")</f>
        <v/>
      </c>
      <c r="Z1" s="17">
        <f>IF(ISNUMBER(DataStart),DataStart+22,"")</f>
        <v/>
      </c>
      <c r="AA1" s="17">
        <f>IF(ISNUMBER(DataStart),DataStart+23,"")</f>
        <v/>
      </c>
      <c r="AB1" s="17">
        <f>IF(ISNUMBER(DataStart),DataStart+24,"")</f>
        <v/>
      </c>
      <c r="AC1" s="17">
        <f>IF(ISNUMBER(DataStart),DataStart+25,"")</f>
        <v/>
      </c>
      <c r="AD1" s="17">
        <f>IF(ISNUMBER(DataStart),DataStart+26,"")</f>
        <v/>
      </c>
      <c r="AE1" s="17">
        <f>IF(ISNUMBER(DataStart),DataStart+27,"")</f>
        <v/>
      </c>
      <c r="AF1" s="17">
        <f>IF(ISNUMBER(DataStart),DataStart+28,"")</f>
        <v/>
      </c>
      <c r="AG1" s="17">
        <f>IF(ISNUMBER(DataStart),DataStart+29,"")</f>
        <v/>
      </c>
      <c r="AH1" s="17">
        <f>IF(ISNUMBER(DataStart),DataStart+30,"")</f>
        <v/>
      </c>
      <c r="AI1" s="17">
        <f>IF(ISNUMBER(DataStart),DataStart+31,"")</f>
        <v/>
      </c>
      <c r="AJ1" s="17">
        <f>IF(ISNUMBER(DataStart),DataStart+32,"")</f>
        <v/>
      </c>
      <c r="AK1" s="17">
        <f>IF(ISNUMBER(DataStart),DataStart+33,"")</f>
        <v/>
      </c>
      <c r="AL1" s="17">
        <f>IF(ISNUMBER(DataStart),DataStart+34,"")</f>
        <v/>
      </c>
      <c r="AM1" s="17">
        <f>IF(ISNUMBER(DataStart),DataStart+35,"")</f>
        <v/>
      </c>
      <c r="AN1" s="17">
        <f>IF(ISNUMBER(DataStart),DataStart+36,"")</f>
        <v/>
      </c>
      <c r="AO1" s="17">
        <f>IF(ISNUMBER(DataStart),DataStart+37,"")</f>
        <v/>
      </c>
      <c r="AP1" s="17">
        <f>IF(ISNUMBER(DataStart),DataStart+38,"")</f>
        <v/>
      </c>
      <c r="AQ1" s="17">
        <f>IF(ISNUMBER(DataStart),DataStart+39,"")</f>
        <v/>
      </c>
      <c r="AR1" s="17">
        <f>IF(ISNUMBER(DataStart),DataStart+40,"")</f>
        <v/>
      </c>
      <c r="AS1" s="17">
        <f>IF(ISNUMBER(DataStart),DataStart+41,"")</f>
        <v/>
      </c>
      <c r="AT1" s="17">
        <f>IF(ISNUMBER(DataStart),DataStart+42,"")</f>
        <v/>
      </c>
      <c r="AU1" s="17">
        <f>IF(ISNUMBER(DataStart),DataStart+43,"")</f>
        <v/>
      </c>
      <c r="AV1" s="17">
        <f>IF(ISNUMBER(DataStart),DataStart+44,"")</f>
        <v/>
      </c>
      <c r="AW1" s="17">
        <f>IF(ISNUMBER(DataStart),DataStart+45,"")</f>
        <v/>
      </c>
      <c r="AX1" s="17">
        <f>IF(ISNUMBER(DataStart),DataStart+46,"")</f>
        <v/>
      </c>
      <c r="AY1" s="17">
        <f>IF(ISNUMBER(DataStart),DataStart+47,"")</f>
        <v/>
      </c>
      <c r="AZ1" s="17">
        <f>IF(ISNUMBER(DataStart),DataStart+48,"")</f>
        <v/>
      </c>
      <c r="BA1" s="17">
        <f>IF(ISNUMBER(DataStart),DataStart+49,"")</f>
        <v/>
      </c>
      <c r="BB1" s="17">
        <f>IF(ISNUMBER(DataStart),DataStart+50,"")</f>
        <v/>
      </c>
      <c r="BC1" s="17">
        <f>IF(ISNUMBER(DataStart),DataStart+51,"")</f>
        <v/>
      </c>
      <c r="BD1" s="17">
        <f>IF(ISNUMBER(DataStart),DataStart+52,"")</f>
        <v/>
      </c>
      <c r="BE1" s="17">
        <f>IF(ISNUMBER(DataStart),DataStart+53,"")</f>
        <v/>
      </c>
      <c r="BF1" s="17">
        <f>IF(ISNUMBER(DataStart),DataStart+54,"")</f>
        <v/>
      </c>
      <c r="BG1" s="17">
        <f>IF(ISNUMBER(DataStart),DataStart+55,"")</f>
        <v/>
      </c>
      <c r="BH1" s="17">
        <f>IF(ISNUMBER(DataStart),DataStart+56,"")</f>
        <v/>
      </c>
      <c r="BI1" s="17">
        <f>IF(ISNUMBER(DataStart),DataStart+57,"")</f>
        <v/>
      </c>
      <c r="BJ1" s="17">
        <f>IF(ISNUMBER(DataStart),DataStart+58,"")</f>
        <v/>
      </c>
      <c r="BK1" s="17">
        <f>IF(ISNUMBER(DataStart),DataStart+59,"")</f>
        <v/>
      </c>
      <c r="BL1" s="17">
        <f>IF(ISNUMBER(DataStart),DataStart+60,"")</f>
        <v/>
      </c>
      <c r="BM1" s="17">
        <f>IF(ISNUMBER(DataStart),DataStart+61,"")</f>
        <v/>
      </c>
      <c r="BN1" s="17">
        <f>IF(ISNUMBER(DataStart),DataStart+62,"")</f>
        <v/>
      </c>
      <c r="BO1" s="17">
        <f>IF(ISNUMBER(DataStart),DataStart+63,"")</f>
        <v/>
      </c>
      <c r="BP1" s="17">
        <f>IF(ISNUMBER(DataStart),DataStart+64,"")</f>
        <v/>
      </c>
      <c r="BQ1" s="17">
        <f>IF(ISNUMBER(DataStart),DataStart+65,"")</f>
        <v/>
      </c>
      <c r="BR1" s="17">
        <f>IF(ISNUMBER(DataStart),DataStart+66,"")</f>
        <v/>
      </c>
      <c r="BS1" s="17">
        <f>IF(ISNUMBER(DataStart),DataStart+67,"")</f>
        <v/>
      </c>
      <c r="BT1" s="17">
        <f>IF(ISNUMBER(DataStart),DataStart+68,"")</f>
        <v/>
      </c>
      <c r="BU1" s="17">
        <f>IF(ISNUMBER(DataStart),DataStart+69,"")</f>
        <v/>
      </c>
      <c r="BV1" s="17">
        <f>IF(ISNUMBER(DataStart),DataStart+70,"")</f>
        <v/>
      </c>
      <c r="BW1" s="17">
        <f>IF(ISNUMBER(DataStart),DataStart+71,"")</f>
        <v/>
      </c>
      <c r="BX1" s="17">
        <f>IF(ISNUMBER(DataStart),DataStart+72,"")</f>
        <v/>
      </c>
      <c r="BY1" s="17">
        <f>IF(ISNUMBER(DataStart),DataStart+73,"")</f>
        <v/>
      </c>
      <c r="BZ1" s="17">
        <f>IF(ISNUMBER(DataStart),DataStart+74,"")</f>
        <v/>
      </c>
      <c r="CA1" s="17">
        <f>IF(ISNUMBER(DataStart),DataStart+75,"")</f>
        <v/>
      </c>
      <c r="CB1" s="17">
        <f>IF(ISNUMBER(DataStart),DataStart+76,"")</f>
        <v/>
      </c>
      <c r="CC1" s="17">
        <f>IF(ISNUMBER(DataStart),DataStart+77,"")</f>
        <v/>
      </c>
      <c r="CD1" s="17">
        <f>IF(ISNUMBER(DataStart),DataStart+78,"")</f>
        <v/>
      </c>
      <c r="CE1" s="17">
        <f>IF(ISNUMBER(DataStart),DataStart+79,"")</f>
        <v/>
      </c>
      <c r="CF1" s="17">
        <f>IF(ISNUMBER(DataStart),DataStart+80,"")</f>
        <v/>
      </c>
      <c r="CG1" s="17">
        <f>IF(ISNUMBER(DataStart),DataStart+81,"")</f>
        <v/>
      </c>
      <c r="CH1" s="17">
        <f>IF(ISNUMBER(DataStart),DataStart+82,"")</f>
        <v/>
      </c>
      <c r="CI1" s="17">
        <f>IF(ISNUMBER(DataStart),DataStart+83,"")</f>
        <v/>
      </c>
      <c r="CJ1" s="17">
        <f>IF(ISNUMBER(DataStart),DataStart+84,"")</f>
        <v/>
      </c>
      <c r="CK1" s="17">
        <f>IF(ISNUMBER(DataStart),DataStart+85,"")</f>
        <v/>
      </c>
      <c r="CL1" s="17">
        <f>IF(ISNUMBER(DataStart),DataStart+86,"")</f>
        <v/>
      </c>
      <c r="CM1" s="17">
        <f>IF(ISNUMBER(DataStart),DataStart+87,"")</f>
        <v/>
      </c>
      <c r="CN1" s="17">
        <f>IF(ISNUMBER(DataStart),DataStart+88,"")</f>
        <v/>
      </c>
      <c r="CO1" s="17">
        <f>IF(ISNUMBER(DataStart),DataStart+89,"")</f>
        <v/>
      </c>
      <c r="CP1" s="17">
        <f>IF(ISNUMBER(DataStart),DataStart+90,"")</f>
        <v/>
      </c>
      <c r="CQ1" s="17">
        <f>IF(ISNUMBER(DataStart),DataStart+91,"")</f>
        <v/>
      </c>
      <c r="CR1" s="17">
        <f>IF(ISNUMBER(DataStart),DataStart+92,"")</f>
        <v/>
      </c>
      <c r="CS1" s="17">
        <f>IF(ISNUMBER(DataStart),DataStart+93,"")</f>
        <v/>
      </c>
      <c r="CT1" s="17">
        <f>IF(ISNUMBER(DataStart),DataStart+94,"")</f>
        <v/>
      </c>
      <c r="CU1" s="17">
        <f>IF(ISNUMBER(DataStart),DataStart+95,"")</f>
        <v/>
      </c>
      <c r="CV1" s="17">
        <f>IF(ISNUMBER(DataStart),DataStart+96,"")</f>
        <v/>
      </c>
      <c r="CW1" s="17">
        <f>IF(ISNUMBER(DataStart),DataStart+97,"")</f>
        <v/>
      </c>
      <c r="CX1" s="17">
        <f>IF(ISNUMBER(DataStart),DataStart+98,"")</f>
        <v/>
      </c>
      <c r="CY1" s="17">
        <f>IF(ISNUMBER(DataStart),DataStart+99,"")</f>
        <v/>
      </c>
      <c r="CZ1" s="17">
        <f>IF(ISNUMBER(DataStart),DataStart+100,"")</f>
        <v/>
      </c>
      <c r="DA1" s="17">
        <f>IF(ISNUMBER(DataStart),DataStart+101,"")</f>
        <v/>
      </c>
      <c r="DB1" s="17">
        <f>IF(ISNUMBER(DataStart),DataStart+102,"")</f>
        <v/>
      </c>
      <c r="DC1" s="17">
        <f>IF(ISNUMBER(DataStart),DataStart+103,"")</f>
        <v/>
      </c>
      <c r="DD1" s="17">
        <f>IF(ISNUMBER(DataStart),DataStart+104,"")</f>
        <v/>
      </c>
      <c r="DE1" s="17">
        <f>IF(ISNUMBER(DataStart),DataStart+105,"")</f>
        <v/>
      </c>
      <c r="DF1" s="17">
        <f>IF(ISNUMBER(DataStart),DataStart+106,"")</f>
        <v/>
      </c>
      <c r="DG1" s="17">
        <f>IF(ISNUMBER(DataStart),DataStart+107,"")</f>
        <v/>
      </c>
      <c r="DH1" s="17">
        <f>IF(ISNUMBER(DataStart),DataStart+108,"")</f>
        <v/>
      </c>
      <c r="DI1" s="17">
        <f>IF(ISNUMBER(DataStart),DataStart+109,"")</f>
        <v/>
      </c>
      <c r="DJ1" s="17">
        <f>IF(ISNUMBER(DataStart),DataStart+110,"")</f>
        <v/>
      </c>
      <c r="DK1" s="17">
        <f>IF(ISNUMBER(DataStart),DataStart+111,"")</f>
        <v/>
      </c>
      <c r="DL1" s="17">
        <f>IF(ISNUMBER(DataStart),DataStart+112,"")</f>
        <v/>
      </c>
      <c r="DM1" s="17">
        <f>IF(ISNUMBER(DataStart),DataStart+113,"")</f>
        <v/>
      </c>
      <c r="DN1" s="17">
        <f>IF(ISNUMBER(DataStart),DataStart+114,"")</f>
        <v/>
      </c>
      <c r="DO1" s="17">
        <f>IF(ISNUMBER(DataStart),DataStart+115,"")</f>
        <v/>
      </c>
      <c r="DP1" s="17">
        <f>IF(ISNUMBER(DataStart),DataStart+116,"")</f>
        <v/>
      </c>
      <c r="DQ1" s="17">
        <f>IF(ISNUMBER(DataStart),DataStart+117,"")</f>
        <v/>
      </c>
      <c r="DR1" s="17">
        <f>IF(ISNUMBER(DataStart),DataStart+118,"")</f>
        <v/>
      </c>
      <c r="DS1" s="17">
        <f>IF(ISNUMBER(DataStart),DataStart+119,"")</f>
        <v/>
      </c>
      <c r="DT1" s="17">
        <f>IF(ISNUMBER(DataStart),DataStart+120,"")</f>
        <v/>
      </c>
      <c r="DU1" s="17">
        <f>IF(ISNUMBER(DataStart),DataStart+121,"")</f>
        <v/>
      </c>
      <c r="DV1" s="17">
        <f>IF(ISNUMBER(DataStart),DataStart+122,"")</f>
        <v/>
      </c>
      <c r="DW1" s="17">
        <f>IF(ISNUMBER(DataStart),DataStart+123,"")</f>
        <v/>
      </c>
      <c r="DX1" s="17">
        <f>IF(ISNUMBER(DataStart),DataStart+124,"")</f>
        <v/>
      </c>
      <c r="DY1" s="17">
        <f>IF(ISNUMBER(DataStart),DataStart+125,"")</f>
        <v/>
      </c>
      <c r="DZ1" s="17">
        <f>IF(ISNUMBER(DataStart),DataStart+126,"")</f>
        <v/>
      </c>
      <c r="EA1" s="17">
        <f>IF(ISNUMBER(DataStart),DataStart+127,"")</f>
        <v/>
      </c>
      <c r="EB1" s="17">
        <f>IF(ISNUMBER(DataStart),DataStart+128,"")</f>
        <v/>
      </c>
      <c r="EC1" s="17">
        <f>IF(ISNUMBER(DataStart),DataStart+129,"")</f>
        <v/>
      </c>
      <c r="ED1" s="17">
        <f>IF(ISNUMBER(DataStart),DataStart+130,"")</f>
        <v/>
      </c>
      <c r="EE1" s="17">
        <f>IF(ISNUMBER(DataStart),DataStart+131,"")</f>
        <v/>
      </c>
      <c r="EF1" s="17">
        <f>IF(ISNUMBER(DataStart),DataStart+132,"")</f>
        <v/>
      </c>
      <c r="EG1" s="17">
        <f>IF(ISNUMBER(DataStart),DataStart+133,"")</f>
        <v/>
      </c>
      <c r="EH1" s="17">
        <f>IF(ISNUMBER(DataStart),DataStart+134,"")</f>
        <v/>
      </c>
      <c r="EI1" s="17">
        <f>IF(ISNUMBER(DataStart),DataStart+135,"")</f>
        <v/>
      </c>
      <c r="EJ1" s="17">
        <f>IF(ISNUMBER(DataStart),DataStart+136,"")</f>
        <v/>
      </c>
      <c r="EK1" s="17">
        <f>IF(ISNUMBER(DataStart),DataStart+137,"")</f>
        <v/>
      </c>
      <c r="EL1" s="17">
        <f>IF(ISNUMBER(DataStart),DataStart+138,"")</f>
        <v/>
      </c>
      <c r="EM1" s="17">
        <f>IF(ISNUMBER(DataStart),DataStart+139,"")</f>
        <v/>
      </c>
      <c r="EN1" s="17">
        <f>IF(ISNUMBER(DataStart),DataStart+140,"")</f>
        <v/>
      </c>
      <c r="EO1" s="17">
        <f>IF(ISNUMBER(DataStart),DataStart+141,"")</f>
        <v/>
      </c>
      <c r="EP1" s="17">
        <f>IF(ISNUMBER(DataStart),DataStart+142,"")</f>
        <v/>
      </c>
      <c r="EQ1" s="17">
        <f>IF(ISNUMBER(DataStart),DataStart+143,"")</f>
        <v/>
      </c>
      <c r="ER1" s="17">
        <f>IF(ISNUMBER(DataStart),DataStart+144,"")</f>
        <v/>
      </c>
      <c r="ES1" s="17">
        <f>IF(ISNUMBER(DataStart),DataStart+145,"")</f>
        <v/>
      </c>
      <c r="ET1" s="17">
        <f>IF(ISNUMBER(DataStart),DataStart+146,"")</f>
        <v/>
      </c>
      <c r="EU1" s="17">
        <f>IF(ISNUMBER(DataStart),DataStart+147,"")</f>
        <v/>
      </c>
      <c r="EV1" s="17">
        <f>IF(ISNUMBER(DataStart),DataStart+148,"")</f>
        <v/>
      </c>
      <c r="EW1" s="17">
        <f>IF(ISNUMBER(DataStart),DataStart+149,"")</f>
        <v/>
      </c>
      <c r="EX1" s="17">
        <f>IF(ISNUMBER(DataStart),DataStart+150,"")</f>
        <v/>
      </c>
      <c r="EY1" s="17">
        <f>IF(ISNUMBER(DataStart),DataStart+151,"")</f>
        <v/>
      </c>
      <c r="EZ1" s="17">
        <f>IF(ISNUMBER(DataStart),DataStart+152,"")</f>
        <v/>
      </c>
      <c r="FA1" s="17">
        <f>IF(ISNUMBER(DataStart),DataStart+153,"")</f>
        <v/>
      </c>
      <c r="FB1" s="17">
        <f>IF(ISNUMBER(DataStart),DataStart+154,"")</f>
        <v/>
      </c>
      <c r="FC1" s="17">
        <f>IF(ISNUMBER(DataStart),DataStart+155,"")</f>
        <v/>
      </c>
      <c r="FD1" s="17">
        <f>IF(ISNUMBER(DataStart),DataStart+156,"")</f>
        <v/>
      </c>
      <c r="FE1" s="17">
        <f>IF(ISNUMBER(DataStart),DataStart+157,"")</f>
        <v/>
      </c>
      <c r="FF1" s="17">
        <f>IF(ISNUMBER(DataStart),DataStart+158,"")</f>
        <v/>
      </c>
      <c r="FG1" s="17">
        <f>IF(ISNUMBER(DataStart),DataStart+159,"")</f>
        <v/>
      </c>
      <c r="FH1" s="17">
        <f>IF(ISNUMBER(DataStart),DataStart+160,"")</f>
        <v/>
      </c>
      <c r="FI1" s="17">
        <f>IF(ISNUMBER(DataStart),DataStart+161,"")</f>
        <v/>
      </c>
      <c r="FJ1" s="17">
        <f>IF(ISNUMBER(DataStart),DataStart+162,"")</f>
        <v/>
      </c>
      <c r="FK1" s="17">
        <f>IF(ISNUMBER(DataStart),DataStart+163,"")</f>
        <v/>
      </c>
      <c r="FL1" s="17">
        <f>IF(ISNUMBER(DataStart),DataStart+164,"")</f>
        <v/>
      </c>
      <c r="FM1" s="17">
        <f>IF(ISNUMBER(DataStart),DataStart+165,"")</f>
        <v/>
      </c>
      <c r="FN1" s="17">
        <f>IF(ISNUMBER(DataStart),DataStart+166,"")</f>
        <v/>
      </c>
      <c r="FO1" s="17">
        <f>IF(ISNUMBER(DataStart),DataStart+167,"")</f>
        <v/>
      </c>
      <c r="FP1" s="17">
        <f>IF(ISNUMBER(DataStart),DataStart+168,"")</f>
        <v/>
      </c>
      <c r="FQ1" s="17">
        <f>IF(ISNUMBER(DataStart),DataStart+169,"")</f>
        <v/>
      </c>
    </row>
    <row r="2">
      <c r="B2" s="4" t="inlineStr">
        <is>
          <t>Weekday</t>
        </is>
      </c>
      <c r="D2" s="18">
        <f>IF(D1="","",TEXT(D1,"ddd"))</f>
        <v/>
      </c>
      <c r="E2" s="18">
        <f>IF(E1="","",TEXT(E1,"ddd"))</f>
        <v/>
      </c>
      <c r="F2" s="18">
        <f>IF(F1="","",TEXT(F1,"ddd"))</f>
        <v/>
      </c>
      <c r="G2" s="18">
        <f>IF(G1="","",TEXT(G1,"ddd"))</f>
        <v/>
      </c>
      <c r="H2" s="18">
        <f>IF(H1="","",TEXT(H1,"ddd"))</f>
        <v/>
      </c>
      <c r="I2" s="18">
        <f>IF(I1="","",TEXT(I1,"ddd"))</f>
        <v/>
      </c>
      <c r="J2" s="18">
        <f>IF(J1="","",TEXT(J1,"ddd"))</f>
        <v/>
      </c>
      <c r="K2" s="18">
        <f>IF(K1="","",TEXT(K1,"ddd"))</f>
        <v/>
      </c>
      <c r="L2" s="18">
        <f>IF(L1="","",TEXT(L1,"ddd"))</f>
        <v/>
      </c>
      <c r="M2" s="18">
        <f>IF(M1="","",TEXT(M1,"ddd"))</f>
        <v/>
      </c>
      <c r="N2" s="18">
        <f>IF(N1="","",TEXT(N1,"ddd"))</f>
        <v/>
      </c>
      <c r="O2" s="18">
        <f>IF(O1="","",TEXT(O1,"ddd"))</f>
        <v/>
      </c>
      <c r="P2" s="18">
        <f>IF(P1="","",TEXT(P1,"ddd"))</f>
        <v/>
      </c>
      <c r="Q2" s="18">
        <f>IF(Q1="","",TEXT(Q1,"ddd"))</f>
        <v/>
      </c>
      <c r="R2" s="18">
        <f>IF(R1="","",TEXT(R1,"ddd"))</f>
        <v/>
      </c>
      <c r="S2" s="18">
        <f>IF(S1="","",TEXT(S1,"ddd"))</f>
        <v/>
      </c>
      <c r="T2" s="18">
        <f>IF(T1="","",TEXT(T1,"ddd"))</f>
        <v/>
      </c>
      <c r="U2" s="18">
        <f>IF(U1="","",TEXT(U1,"ddd"))</f>
        <v/>
      </c>
      <c r="V2" s="18">
        <f>IF(V1="","",TEXT(V1,"ddd"))</f>
        <v/>
      </c>
      <c r="W2" s="18">
        <f>IF(W1="","",TEXT(W1,"ddd"))</f>
        <v/>
      </c>
      <c r="X2" s="18">
        <f>IF(X1="","",TEXT(X1,"ddd"))</f>
        <v/>
      </c>
      <c r="Y2" s="18">
        <f>IF(Y1="","",TEXT(Y1,"ddd"))</f>
        <v/>
      </c>
      <c r="Z2" s="18">
        <f>IF(Z1="","",TEXT(Z1,"ddd"))</f>
        <v/>
      </c>
      <c r="AA2" s="18">
        <f>IF(AA1="","",TEXT(AA1,"ddd"))</f>
        <v/>
      </c>
      <c r="AB2" s="18">
        <f>IF(AB1="","",TEXT(AB1,"ddd"))</f>
        <v/>
      </c>
      <c r="AC2" s="18">
        <f>IF(AC1="","",TEXT(AC1,"ddd"))</f>
        <v/>
      </c>
      <c r="AD2" s="18">
        <f>IF(AD1="","",TEXT(AD1,"ddd"))</f>
        <v/>
      </c>
      <c r="AE2" s="18">
        <f>IF(AE1="","",TEXT(AE1,"ddd"))</f>
        <v/>
      </c>
      <c r="AF2" s="18">
        <f>IF(AF1="","",TEXT(AF1,"ddd"))</f>
        <v/>
      </c>
      <c r="AG2" s="18">
        <f>IF(AG1="","",TEXT(AG1,"ddd"))</f>
        <v/>
      </c>
      <c r="AH2" s="18">
        <f>IF(AH1="","",TEXT(AH1,"ddd"))</f>
        <v/>
      </c>
      <c r="AI2" s="18">
        <f>IF(AI1="","",TEXT(AI1,"ddd"))</f>
        <v/>
      </c>
      <c r="AJ2" s="18">
        <f>IF(AJ1="","",TEXT(AJ1,"ddd"))</f>
        <v/>
      </c>
      <c r="AK2" s="18">
        <f>IF(AK1="","",TEXT(AK1,"ddd"))</f>
        <v/>
      </c>
      <c r="AL2" s="18">
        <f>IF(AL1="","",TEXT(AL1,"ddd"))</f>
        <v/>
      </c>
      <c r="AM2" s="18">
        <f>IF(AM1="","",TEXT(AM1,"ddd"))</f>
        <v/>
      </c>
      <c r="AN2" s="18">
        <f>IF(AN1="","",TEXT(AN1,"ddd"))</f>
        <v/>
      </c>
      <c r="AO2" s="18">
        <f>IF(AO1="","",TEXT(AO1,"ddd"))</f>
        <v/>
      </c>
      <c r="AP2" s="18">
        <f>IF(AP1="","",TEXT(AP1,"ddd"))</f>
        <v/>
      </c>
      <c r="AQ2" s="18">
        <f>IF(AQ1="","",TEXT(AQ1,"ddd"))</f>
        <v/>
      </c>
      <c r="AR2" s="18">
        <f>IF(AR1="","",TEXT(AR1,"ddd"))</f>
        <v/>
      </c>
      <c r="AS2" s="18">
        <f>IF(AS1="","",TEXT(AS1,"ddd"))</f>
        <v/>
      </c>
      <c r="AT2" s="18">
        <f>IF(AT1="","",TEXT(AT1,"ddd"))</f>
        <v/>
      </c>
      <c r="AU2" s="18">
        <f>IF(AU1="","",TEXT(AU1,"ddd"))</f>
        <v/>
      </c>
      <c r="AV2" s="18">
        <f>IF(AV1="","",TEXT(AV1,"ddd"))</f>
        <v/>
      </c>
      <c r="AW2" s="18">
        <f>IF(AW1="","",TEXT(AW1,"ddd"))</f>
        <v/>
      </c>
      <c r="AX2" s="18">
        <f>IF(AX1="","",TEXT(AX1,"ddd"))</f>
        <v/>
      </c>
      <c r="AY2" s="18">
        <f>IF(AY1="","",TEXT(AY1,"ddd"))</f>
        <v/>
      </c>
      <c r="AZ2" s="18">
        <f>IF(AZ1="","",TEXT(AZ1,"ddd"))</f>
        <v/>
      </c>
      <c r="BA2" s="18">
        <f>IF(BA1="","",TEXT(BA1,"ddd"))</f>
        <v/>
      </c>
      <c r="BB2" s="18">
        <f>IF(BB1="","",TEXT(BB1,"ddd"))</f>
        <v/>
      </c>
      <c r="BC2" s="18">
        <f>IF(BC1="","",TEXT(BC1,"ddd"))</f>
        <v/>
      </c>
      <c r="BD2" s="18">
        <f>IF(BD1="","",TEXT(BD1,"ddd"))</f>
        <v/>
      </c>
      <c r="BE2" s="18">
        <f>IF(BE1="","",TEXT(BE1,"ddd"))</f>
        <v/>
      </c>
      <c r="BF2" s="18">
        <f>IF(BF1="","",TEXT(BF1,"ddd"))</f>
        <v/>
      </c>
      <c r="BG2" s="18">
        <f>IF(BG1="","",TEXT(BG1,"ddd"))</f>
        <v/>
      </c>
      <c r="BH2" s="18">
        <f>IF(BH1="","",TEXT(BH1,"ddd"))</f>
        <v/>
      </c>
      <c r="BI2" s="18">
        <f>IF(BI1="","",TEXT(BI1,"ddd"))</f>
        <v/>
      </c>
      <c r="BJ2" s="18">
        <f>IF(BJ1="","",TEXT(BJ1,"ddd"))</f>
        <v/>
      </c>
      <c r="BK2" s="18">
        <f>IF(BK1="","",TEXT(BK1,"ddd"))</f>
        <v/>
      </c>
      <c r="BL2" s="18">
        <f>IF(BL1="","",TEXT(BL1,"ddd"))</f>
        <v/>
      </c>
      <c r="BM2" s="18">
        <f>IF(BM1="","",TEXT(BM1,"ddd"))</f>
        <v/>
      </c>
      <c r="BN2" s="18">
        <f>IF(BN1="","",TEXT(BN1,"ddd"))</f>
        <v/>
      </c>
      <c r="BO2" s="18">
        <f>IF(BO1="","",TEXT(BO1,"ddd"))</f>
        <v/>
      </c>
      <c r="BP2" s="18">
        <f>IF(BP1="","",TEXT(BP1,"ddd"))</f>
        <v/>
      </c>
      <c r="BQ2" s="18">
        <f>IF(BQ1="","",TEXT(BQ1,"ddd"))</f>
        <v/>
      </c>
      <c r="BR2" s="18">
        <f>IF(BR1="","",TEXT(BR1,"ddd"))</f>
        <v/>
      </c>
      <c r="BS2" s="18">
        <f>IF(BS1="","",TEXT(BS1,"ddd"))</f>
        <v/>
      </c>
      <c r="BT2" s="18">
        <f>IF(BT1="","",TEXT(BT1,"ddd"))</f>
        <v/>
      </c>
      <c r="BU2" s="18">
        <f>IF(BU1="","",TEXT(BU1,"ddd"))</f>
        <v/>
      </c>
      <c r="BV2" s="18">
        <f>IF(BV1="","",TEXT(BV1,"ddd"))</f>
        <v/>
      </c>
      <c r="BW2" s="18">
        <f>IF(BW1="","",TEXT(BW1,"ddd"))</f>
        <v/>
      </c>
      <c r="BX2" s="18">
        <f>IF(BX1="","",TEXT(BX1,"ddd"))</f>
        <v/>
      </c>
      <c r="BY2" s="18">
        <f>IF(BY1="","",TEXT(BY1,"ddd"))</f>
        <v/>
      </c>
      <c r="BZ2" s="18">
        <f>IF(BZ1="","",TEXT(BZ1,"ddd"))</f>
        <v/>
      </c>
      <c r="CA2" s="18">
        <f>IF(CA1="","",TEXT(CA1,"ddd"))</f>
        <v/>
      </c>
      <c r="CB2" s="18">
        <f>IF(CB1="","",TEXT(CB1,"ddd"))</f>
        <v/>
      </c>
      <c r="CC2" s="18">
        <f>IF(CC1="","",TEXT(CC1,"ddd"))</f>
        <v/>
      </c>
      <c r="CD2" s="18">
        <f>IF(CD1="","",TEXT(CD1,"ddd"))</f>
        <v/>
      </c>
      <c r="CE2" s="18">
        <f>IF(CE1="","",TEXT(CE1,"ddd"))</f>
        <v/>
      </c>
      <c r="CF2" s="18">
        <f>IF(CF1="","",TEXT(CF1,"ddd"))</f>
        <v/>
      </c>
      <c r="CG2" s="18">
        <f>IF(CG1="","",TEXT(CG1,"ddd"))</f>
        <v/>
      </c>
      <c r="CH2" s="18">
        <f>IF(CH1="","",TEXT(CH1,"ddd"))</f>
        <v/>
      </c>
      <c r="CI2" s="18">
        <f>IF(CI1="","",TEXT(CI1,"ddd"))</f>
        <v/>
      </c>
      <c r="CJ2" s="18">
        <f>IF(CJ1="","",TEXT(CJ1,"ddd"))</f>
        <v/>
      </c>
      <c r="CK2" s="18">
        <f>IF(CK1="","",TEXT(CK1,"ddd"))</f>
        <v/>
      </c>
      <c r="CL2" s="18">
        <f>IF(CL1="","",TEXT(CL1,"ddd"))</f>
        <v/>
      </c>
      <c r="CM2" s="18">
        <f>IF(CM1="","",TEXT(CM1,"ddd"))</f>
        <v/>
      </c>
      <c r="CN2" s="18">
        <f>IF(CN1="","",TEXT(CN1,"ddd"))</f>
        <v/>
      </c>
      <c r="CO2" s="18">
        <f>IF(CO1="","",TEXT(CO1,"ddd"))</f>
        <v/>
      </c>
      <c r="CP2" s="18">
        <f>IF(CP1="","",TEXT(CP1,"ddd"))</f>
        <v/>
      </c>
      <c r="CQ2" s="18">
        <f>IF(CQ1="","",TEXT(CQ1,"ddd"))</f>
        <v/>
      </c>
      <c r="CR2" s="18">
        <f>IF(CR1="","",TEXT(CR1,"ddd"))</f>
        <v/>
      </c>
      <c r="CS2" s="18">
        <f>IF(CS1="","",TEXT(CS1,"ddd"))</f>
        <v/>
      </c>
      <c r="CT2" s="18">
        <f>IF(CT1="","",TEXT(CT1,"ddd"))</f>
        <v/>
      </c>
      <c r="CU2" s="18">
        <f>IF(CU1="","",TEXT(CU1,"ddd"))</f>
        <v/>
      </c>
      <c r="CV2" s="18">
        <f>IF(CV1="","",TEXT(CV1,"ddd"))</f>
        <v/>
      </c>
      <c r="CW2" s="18">
        <f>IF(CW1="","",TEXT(CW1,"ddd"))</f>
        <v/>
      </c>
      <c r="CX2" s="18">
        <f>IF(CX1="","",TEXT(CX1,"ddd"))</f>
        <v/>
      </c>
      <c r="CY2" s="18">
        <f>IF(CY1="","",TEXT(CY1,"ddd"))</f>
        <v/>
      </c>
      <c r="CZ2" s="18">
        <f>IF(CZ1="","",TEXT(CZ1,"ddd"))</f>
        <v/>
      </c>
      <c r="DA2" s="18">
        <f>IF(DA1="","",TEXT(DA1,"ddd"))</f>
        <v/>
      </c>
      <c r="DB2" s="18">
        <f>IF(DB1="","",TEXT(DB1,"ddd"))</f>
        <v/>
      </c>
      <c r="DC2" s="18">
        <f>IF(DC1="","",TEXT(DC1,"ddd"))</f>
        <v/>
      </c>
      <c r="DD2" s="18">
        <f>IF(DD1="","",TEXT(DD1,"ddd"))</f>
        <v/>
      </c>
      <c r="DE2" s="18">
        <f>IF(DE1="","",TEXT(DE1,"ddd"))</f>
        <v/>
      </c>
      <c r="DF2" s="18">
        <f>IF(DF1="","",TEXT(DF1,"ddd"))</f>
        <v/>
      </c>
      <c r="DG2" s="18">
        <f>IF(DG1="","",TEXT(DG1,"ddd"))</f>
        <v/>
      </c>
      <c r="DH2" s="18">
        <f>IF(DH1="","",TEXT(DH1,"ddd"))</f>
        <v/>
      </c>
      <c r="DI2" s="18">
        <f>IF(DI1="","",TEXT(DI1,"ddd"))</f>
        <v/>
      </c>
      <c r="DJ2" s="18">
        <f>IF(DJ1="","",TEXT(DJ1,"ddd"))</f>
        <v/>
      </c>
      <c r="DK2" s="18">
        <f>IF(DK1="","",TEXT(DK1,"ddd"))</f>
        <v/>
      </c>
      <c r="DL2" s="18">
        <f>IF(DL1="","",TEXT(DL1,"ddd"))</f>
        <v/>
      </c>
      <c r="DM2" s="18">
        <f>IF(DM1="","",TEXT(DM1,"ddd"))</f>
        <v/>
      </c>
      <c r="DN2" s="18">
        <f>IF(DN1="","",TEXT(DN1,"ddd"))</f>
        <v/>
      </c>
      <c r="DO2" s="18">
        <f>IF(DO1="","",TEXT(DO1,"ddd"))</f>
        <v/>
      </c>
      <c r="DP2" s="18">
        <f>IF(DP1="","",TEXT(DP1,"ddd"))</f>
        <v/>
      </c>
      <c r="DQ2" s="18">
        <f>IF(DQ1="","",TEXT(DQ1,"ddd"))</f>
        <v/>
      </c>
      <c r="DR2" s="18">
        <f>IF(DR1="","",TEXT(DR1,"ddd"))</f>
        <v/>
      </c>
      <c r="DS2" s="18">
        <f>IF(DS1="","",TEXT(DS1,"ddd"))</f>
        <v/>
      </c>
      <c r="DT2" s="18">
        <f>IF(DT1="","",TEXT(DT1,"ddd"))</f>
        <v/>
      </c>
      <c r="DU2" s="18">
        <f>IF(DU1="","",TEXT(DU1,"ddd"))</f>
        <v/>
      </c>
      <c r="DV2" s="18">
        <f>IF(DV1="","",TEXT(DV1,"ddd"))</f>
        <v/>
      </c>
      <c r="DW2" s="18">
        <f>IF(DW1="","",TEXT(DW1,"ddd"))</f>
        <v/>
      </c>
      <c r="DX2" s="18">
        <f>IF(DX1="","",TEXT(DX1,"ddd"))</f>
        <v/>
      </c>
      <c r="DY2" s="18">
        <f>IF(DY1="","",TEXT(DY1,"ddd"))</f>
        <v/>
      </c>
      <c r="DZ2" s="18">
        <f>IF(DZ1="","",TEXT(DZ1,"ddd"))</f>
        <v/>
      </c>
      <c r="EA2" s="18">
        <f>IF(EA1="","",TEXT(EA1,"ddd"))</f>
        <v/>
      </c>
      <c r="EB2" s="18">
        <f>IF(EB1="","",TEXT(EB1,"ddd"))</f>
        <v/>
      </c>
      <c r="EC2" s="18">
        <f>IF(EC1="","",TEXT(EC1,"ddd"))</f>
        <v/>
      </c>
      <c r="ED2" s="18">
        <f>IF(ED1="","",TEXT(ED1,"ddd"))</f>
        <v/>
      </c>
      <c r="EE2" s="18">
        <f>IF(EE1="","",TEXT(EE1,"ddd"))</f>
        <v/>
      </c>
      <c r="EF2" s="18">
        <f>IF(EF1="","",TEXT(EF1,"ddd"))</f>
        <v/>
      </c>
      <c r="EG2" s="18">
        <f>IF(EG1="","",TEXT(EG1,"ddd"))</f>
        <v/>
      </c>
      <c r="EH2" s="18">
        <f>IF(EH1="","",TEXT(EH1,"ddd"))</f>
        <v/>
      </c>
      <c r="EI2" s="18">
        <f>IF(EI1="","",TEXT(EI1,"ddd"))</f>
        <v/>
      </c>
      <c r="EJ2" s="18">
        <f>IF(EJ1="","",TEXT(EJ1,"ddd"))</f>
        <v/>
      </c>
      <c r="EK2" s="18">
        <f>IF(EK1="","",TEXT(EK1,"ddd"))</f>
        <v/>
      </c>
      <c r="EL2" s="18">
        <f>IF(EL1="","",TEXT(EL1,"ddd"))</f>
        <v/>
      </c>
      <c r="EM2" s="18">
        <f>IF(EM1="","",TEXT(EM1,"ddd"))</f>
        <v/>
      </c>
      <c r="EN2" s="18">
        <f>IF(EN1="","",TEXT(EN1,"ddd"))</f>
        <v/>
      </c>
      <c r="EO2" s="18">
        <f>IF(EO1="","",TEXT(EO1,"ddd"))</f>
        <v/>
      </c>
      <c r="EP2" s="18">
        <f>IF(EP1="","",TEXT(EP1,"ddd"))</f>
        <v/>
      </c>
      <c r="EQ2" s="18">
        <f>IF(EQ1="","",TEXT(EQ1,"ddd"))</f>
        <v/>
      </c>
      <c r="ER2" s="18">
        <f>IF(ER1="","",TEXT(ER1,"ddd"))</f>
        <v/>
      </c>
      <c r="ES2" s="18">
        <f>IF(ES1="","",TEXT(ES1,"ddd"))</f>
        <v/>
      </c>
      <c r="ET2" s="18">
        <f>IF(ET1="","",TEXT(ET1,"ddd"))</f>
        <v/>
      </c>
      <c r="EU2" s="18">
        <f>IF(EU1="","",TEXT(EU1,"ddd"))</f>
        <v/>
      </c>
      <c r="EV2" s="18">
        <f>IF(EV1="","",TEXT(EV1,"ddd"))</f>
        <v/>
      </c>
      <c r="EW2" s="18">
        <f>IF(EW1="","",TEXT(EW1,"ddd"))</f>
        <v/>
      </c>
      <c r="EX2" s="18">
        <f>IF(EX1="","",TEXT(EX1,"ddd"))</f>
        <v/>
      </c>
      <c r="EY2" s="18">
        <f>IF(EY1="","",TEXT(EY1,"ddd"))</f>
        <v/>
      </c>
      <c r="EZ2" s="18">
        <f>IF(EZ1="","",TEXT(EZ1,"ddd"))</f>
        <v/>
      </c>
      <c r="FA2" s="18">
        <f>IF(FA1="","",TEXT(FA1,"ddd"))</f>
        <v/>
      </c>
      <c r="FB2" s="18">
        <f>IF(FB1="","",TEXT(FB1,"ddd"))</f>
        <v/>
      </c>
      <c r="FC2" s="18">
        <f>IF(FC1="","",TEXT(FC1,"ddd"))</f>
        <v/>
      </c>
      <c r="FD2" s="18">
        <f>IF(FD1="","",TEXT(FD1,"ddd"))</f>
        <v/>
      </c>
      <c r="FE2" s="18">
        <f>IF(FE1="","",TEXT(FE1,"ddd"))</f>
        <v/>
      </c>
      <c r="FF2" s="18">
        <f>IF(FF1="","",TEXT(FF1,"ddd"))</f>
        <v/>
      </c>
      <c r="FG2" s="18">
        <f>IF(FG1="","",TEXT(FG1,"ddd"))</f>
        <v/>
      </c>
      <c r="FH2" s="18">
        <f>IF(FH1="","",TEXT(FH1,"ddd"))</f>
        <v/>
      </c>
      <c r="FI2" s="18">
        <f>IF(FI1="","",TEXT(FI1,"ddd"))</f>
        <v/>
      </c>
      <c r="FJ2" s="18">
        <f>IF(FJ1="","",TEXT(FJ1,"ddd"))</f>
        <v/>
      </c>
      <c r="FK2" s="18">
        <f>IF(FK1="","",TEXT(FK1,"ddd"))</f>
        <v/>
      </c>
      <c r="FL2" s="18">
        <f>IF(FL1="","",TEXT(FL1,"ddd"))</f>
        <v/>
      </c>
      <c r="FM2" s="18">
        <f>IF(FM1="","",TEXT(FM1,"ddd"))</f>
        <v/>
      </c>
      <c r="FN2" s="18">
        <f>IF(FN1="","",TEXT(FN1,"ddd"))</f>
        <v/>
      </c>
      <c r="FO2" s="18">
        <f>IF(FO1="","",TEXT(FO1,"ddd"))</f>
        <v/>
      </c>
      <c r="FP2" s="18">
        <f>IF(FP1="","",TEXT(FP1,"ddd"))</f>
        <v/>
      </c>
      <c r="FQ2" s="18">
        <f>IF(FQ1="","",TEXT(FQ1,"ddd"))</f>
        <v/>
      </c>
    </row>
    <row r="3">
      <c r="B3" s="4" t="inlineStr">
        <is>
          <t>Days after transplanting</t>
        </is>
      </c>
      <c r="D3" s="18">
        <f>IF(D1="","",D1-TransDate)</f>
        <v/>
      </c>
      <c r="E3" s="18">
        <f>IF(E1="","",E1-TransDate)</f>
        <v/>
      </c>
      <c r="F3" s="18">
        <f>IF(F1="","",F1-TransDate)</f>
        <v/>
      </c>
      <c r="G3" s="18">
        <f>IF(G1="","",G1-TransDate)</f>
        <v/>
      </c>
      <c r="H3" s="18">
        <f>IF(H1="","",H1-TransDate)</f>
        <v/>
      </c>
      <c r="I3" s="18">
        <f>IF(I1="","",I1-TransDate)</f>
        <v/>
      </c>
      <c r="J3" s="18">
        <f>IF(J1="","",J1-TransDate)</f>
        <v/>
      </c>
      <c r="K3" s="18">
        <f>IF(K1="","",K1-TransDate)</f>
        <v/>
      </c>
      <c r="L3" s="18">
        <f>IF(L1="","",L1-TransDate)</f>
        <v/>
      </c>
      <c r="M3" s="18">
        <f>IF(M1="","",M1-TransDate)</f>
        <v/>
      </c>
      <c r="N3" s="18">
        <f>IF(N1="","",N1-TransDate)</f>
        <v/>
      </c>
      <c r="O3" s="18">
        <f>IF(O1="","",O1-TransDate)</f>
        <v/>
      </c>
      <c r="P3" s="18">
        <f>IF(P1="","",P1-TransDate)</f>
        <v/>
      </c>
      <c r="Q3" s="18">
        <f>IF(Q1="","",Q1-TransDate)</f>
        <v/>
      </c>
      <c r="R3" s="18">
        <f>IF(R1="","",R1-TransDate)</f>
        <v/>
      </c>
      <c r="S3" s="18">
        <f>IF(S1="","",S1-TransDate)</f>
        <v/>
      </c>
      <c r="T3" s="18">
        <f>IF(T1="","",T1-TransDate)</f>
        <v/>
      </c>
      <c r="U3" s="18">
        <f>IF(U1="","",U1-TransDate)</f>
        <v/>
      </c>
      <c r="V3" s="18">
        <f>IF(V1="","",V1-TransDate)</f>
        <v/>
      </c>
      <c r="W3" s="18">
        <f>IF(W1="","",W1-TransDate)</f>
        <v/>
      </c>
      <c r="X3" s="18">
        <f>IF(X1="","",X1-TransDate)</f>
        <v/>
      </c>
      <c r="Y3" s="18">
        <f>IF(Y1="","",Y1-TransDate)</f>
        <v/>
      </c>
      <c r="Z3" s="18">
        <f>IF(Z1="","",Z1-TransDate)</f>
        <v/>
      </c>
      <c r="AA3" s="18">
        <f>IF(AA1="","",AA1-TransDate)</f>
        <v/>
      </c>
      <c r="AB3" s="18">
        <f>IF(AB1="","",AB1-TransDate)</f>
        <v/>
      </c>
      <c r="AC3" s="18">
        <f>IF(AC1="","",AC1-TransDate)</f>
        <v/>
      </c>
      <c r="AD3" s="18">
        <f>IF(AD1="","",AD1-TransDate)</f>
        <v/>
      </c>
      <c r="AE3" s="18">
        <f>IF(AE1="","",AE1-TransDate)</f>
        <v/>
      </c>
      <c r="AF3" s="18">
        <f>IF(AF1="","",AF1-TransDate)</f>
        <v/>
      </c>
      <c r="AG3" s="18">
        <f>IF(AG1="","",AG1-TransDate)</f>
        <v/>
      </c>
      <c r="AH3" s="18">
        <f>IF(AH1="","",AH1-TransDate)</f>
        <v/>
      </c>
      <c r="AI3" s="18">
        <f>IF(AI1="","",AI1-TransDate)</f>
        <v/>
      </c>
      <c r="AJ3" s="18">
        <f>IF(AJ1="","",AJ1-TransDate)</f>
        <v/>
      </c>
      <c r="AK3" s="18">
        <f>IF(AK1="","",AK1-TransDate)</f>
        <v/>
      </c>
      <c r="AL3" s="18">
        <f>IF(AL1="","",AL1-TransDate)</f>
        <v/>
      </c>
      <c r="AM3" s="18">
        <f>IF(AM1="","",AM1-TransDate)</f>
        <v/>
      </c>
      <c r="AN3" s="18">
        <f>IF(AN1="","",AN1-TransDate)</f>
        <v/>
      </c>
      <c r="AO3" s="18">
        <f>IF(AO1="","",AO1-TransDate)</f>
        <v/>
      </c>
      <c r="AP3" s="18">
        <f>IF(AP1="","",AP1-TransDate)</f>
        <v/>
      </c>
      <c r="AQ3" s="18">
        <f>IF(AQ1="","",AQ1-TransDate)</f>
        <v/>
      </c>
      <c r="AR3" s="18">
        <f>IF(AR1="","",AR1-TransDate)</f>
        <v/>
      </c>
      <c r="AS3" s="18">
        <f>IF(AS1="","",AS1-TransDate)</f>
        <v/>
      </c>
      <c r="AT3" s="18">
        <f>IF(AT1="","",AT1-TransDate)</f>
        <v/>
      </c>
      <c r="AU3" s="18">
        <f>IF(AU1="","",AU1-TransDate)</f>
        <v/>
      </c>
      <c r="AV3" s="18">
        <f>IF(AV1="","",AV1-TransDate)</f>
        <v/>
      </c>
      <c r="AW3" s="18">
        <f>IF(AW1="","",AW1-TransDate)</f>
        <v/>
      </c>
      <c r="AX3" s="18">
        <f>IF(AX1="","",AX1-TransDate)</f>
        <v/>
      </c>
      <c r="AY3" s="18">
        <f>IF(AY1="","",AY1-TransDate)</f>
        <v/>
      </c>
      <c r="AZ3" s="18">
        <f>IF(AZ1="","",AZ1-TransDate)</f>
        <v/>
      </c>
      <c r="BA3" s="18">
        <f>IF(BA1="","",BA1-TransDate)</f>
        <v/>
      </c>
      <c r="BB3" s="18">
        <f>IF(BB1="","",BB1-TransDate)</f>
        <v/>
      </c>
      <c r="BC3" s="18">
        <f>IF(BC1="","",BC1-TransDate)</f>
        <v/>
      </c>
      <c r="BD3" s="18">
        <f>IF(BD1="","",BD1-TransDate)</f>
        <v/>
      </c>
      <c r="BE3" s="18">
        <f>IF(BE1="","",BE1-TransDate)</f>
        <v/>
      </c>
      <c r="BF3" s="18">
        <f>IF(BF1="","",BF1-TransDate)</f>
        <v/>
      </c>
      <c r="BG3" s="18">
        <f>IF(BG1="","",BG1-TransDate)</f>
        <v/>
      </c>
      <c r="BH3" s="18">
        <f>IF(BH1="","",BH1-TransDate)</f>
        <v/>
      </c>
      <c r="BI3" s="18">
        <f>IF(BI1="","",BI1-TransDate)</f>
        <v/>
      </c>
      <c r="BJ3" s="18">
        <f>IF(BJ1="","",BJ1-TransDate)</f>
        <v/>
      </c>
      <c r="BK3" s="18">
        <f>IF(BK1="","",BK1-TransDate)</f>
        <v/>
      </c>
      <c r="BL3" s="18">
        <f>IF(BL1="","",BL1-TransDate)</f>
        <v/>
      </c>
      <c r="BM3" s="18">
        <f>IF(BM1="","",BM1-TransDate)</f>
        <v/>
      </c>
      <c r="BN3" s="18">
        <f>IF(BN1="","",BN1-TransDate)</f>
        <v/>
      </c>
      <c r="BO3" s="18">
        <f>IF(BO1="","",BO1-TransDate)</f>
        <v/>
      </c>
      <c r="BP3" s="18">
        <f>IF(BP1="","",BP1-TransDate)</f>
        <v/>
      </c>
      <c r="BQ3" s="18">
        <f>IF(BQ1="","",BQ1-TransDate)</f>
        <v/>
      </c>
      <c r="BR3" s="18">
        <f>IF(BR1="","",BR1-TransDate)</f>
        <v/>
      </c>
      <c r="BS3" s="18">
        <f>IF(BS1="","",BS1-TransDate)</f>
        <v/>
      </c>
      <c r="BT3" s="18">
        <f>IF(BT1="","",BT1-TransDate)</f>
        <v/>
      </c>
      <c r="BU3" s="18">
        <f>IF(BU1="","",BU1-TransDate)</f>
        <v/>
      </c>
      <c r="BV3" s="18">
        <f>IF(BV1="","",BV1-TransDate)</f>
        <v/>
      </c>
      <c r="BW3" s="18">
        <f>IF(BW1="","",BW1-TransDate)</f>
        <v/>
      </c>
      <c r="BX3" s="18">
        <f>IF(BX1="","",BX1-TransDate)</f>
        <v/>
      </c>
      <c r="BY3" s="18">
        <f>IF(BY1="","",BY1-TransDate)</f>
        <v/>
      </c>
      <c r="BZ3" s="18">
        <f>IF(BZ1="","",BZ1-TransDate)</f>
        <v/>
      </c>
      <c r="CA3" s="18">
        <f>IF(CA1="","",CA1-TransDate)</f>
        <v/>
      </c>
      <c r="CB3" s="18">
        <f>IF(CB1="","",CB1-TransDate)</f>
        <v/>
      </c>
      <c r="CC3" s="18">
        <f>IF(CC1="","",CC1-TransDate)</f>
        <v/>
      </c>
      <c r="CD3" s="18">
        <f>IF(CD1="","",CD1-TransDate)</f>
        <v/>
      </c>
      <c r="CE3" s="18">
        <f>IF(CE1="","",CE1-TransDate)</f>
        <v/>
      </c>
      <c r="CF3" s="18">
        <f>IF(CF1="","",CF1-TransDate)</f>
        <v/>
      </c>
      <c r="CG3" s="18">
        <f>IF(CG1="","",CG1-TransDate)</f>
        <v/>
      </c>
      <c r="CH3" s="18">
        <f>IF(CH1="","",CH1-TransDate)</f>
        <v/>
      </c>
      <c r="CI3" s="18">
        <f>IF(CI1="","",CI1-TransDate)</f>
        <v/>
      </c>
      <c r="CJ3" s="18">
        <f>IF(CJ1="","",CJ1-TransDate)</f>
        <v/>
      </c>
      <c r="CK3" s="18">
        <f>IF(CK1="","",CK1-TransDate)</f>
        <v/>
      </c>
      <c r="CL3" s="18">
        <f>IF(CL1="","",CL1-TransDate)</f>
        <v/>
      </c>
      <c r="CM3" s="18">
        <f>IF(CM1="","",CM1-TransDate)</f>
        <v/>
      </c>
      <c r="CN3" s="18">
        <f>IF(CN1="","",CN1-TransDate)</f>
        <v/>
      </c>
      <c r="CO3" s="18">
        <f>IF(CO1="","",CO1-TransDate)</f>
        <v/>
      </c>
      <c r="CP3" s="18">
        <f>IF(CP1="","",CP1-TransDate)</f>
        <v/>
      </c>
      <c r="CQ3" s="18">
        <f>IF(CQ1="","",CQ1-TransDate)</f>
        <v/>
      </c>
      <c r="CR3" s="18">
        <f>IF(CR1="","",CR1-TransDate)</f>
        <v/>
      </c>
      <c r="CS3" s="18">
        <f>IF(CS1="","",CS1-TransDate)</f>
        <v/>
      </c>
      <c r="CT3" s="18">
        <f>IF(CT1="","",CT1-TransDate)</f>
        <v/>
      </c>
      <c r="CU3" s="18">
        <f>IF(CU1="","",CU1-TransDate)</f>
        <v/>
      </c>
      <c r="CV3" s="18">
        <f>IF(CV1="","",CV1-TransDate)</f>
        <v/>
      </c>
      <c r="CW3" s="18">
        <f>IF(CW1="","",CW1-TransDate)</f>
        <v/>
      </c>
      <c r="CX3" s="18">
        <f>IF(CX1="","",CX1-TransDate)</f>
        <v/>
      </c>
      <c r="CY3" s="18">
        <f>IF(CY1="","",CY1-TransDate)</f>
        <v/>
      </c>
      <c r="CZ3" s="18">
        <f>IF(CZ1="","",CZ1-TransDate)</f>
        <v/>
      </c>
      <c r="DA3" s="18">
        <f>IF(DA1="","",DA1-TransDate)</f>
        <v/>
      </c>
      <c r="DB3" s="18">
        <f>IF(DB1="","",DB1-TransDate)</f>
        <v/>
      </c>
      <c r="DC3" s="18">
        <f>IF(DC1="","",DC1-TransDate)</f>
        <v/>
      </c>
      <c r="DD3" s="18">
        <f>IF(DD1="","",DD1-TransDate)</f>
        <v/>
      </c>
      <c r="DE3" s="18">
        <f>IF(DE1="","",DE1-TransDate)</f>
        <v/>
      </c>
      <c r="DF3" s="18">
        <f>IF(DF1="","",DF1-TransDate)</f>
        <v/>
      </c>
      <c r="DG3" s="18">
        <f>IF(DG1="","",DG1-TransDate)</f>
        <v/>
      </c>
      <c r="DH3" s="18">
        <f>IF(DH1="","",DH1-TransDate)</f>
        <v/>
      </c>
      <c r="DI3" s="18">
        <f>IF(DI1="","",DI1-TransDate)</f>
        <v/>
      </c>
      <c r="DJ3" s="18">
        <f>IF(DJ1="","",DJ1-TransDate)</f>
        <v/>
      </c>
      <c r="DK3" s="18">
        <f>IF(DK1="","",DK1-TransDate)</f>
        <v/>
      </c>
      <c r="DL3" s="18">
        <f>IF(DL1="","",DL1-TransDate)</f>
        <v/>
      </c>
      <c r="DM3" s="18">
        <f>IF(DM1="","",DM1-TransDate)</f>
        <v/>
      </c>
      <c r="DN3" s="18">
        <f>IF(DN1="","",DN1-TransDate)</f>
        <v/>
      </c>
      <c r="DO3" s="18">
        <f>IF(DO1="","",DO1-TransDate)</f>
        <v/>
      </c>
      <c r="DP3" s="18">
        <f>IF(DP1="","",DP1-TransDate)</f>
        <v/>
      </c>
      <c r="DQ3" s="18">
        <f>IF(DQ1="","",DQ1-TransDate)</f>
        <v/>
      </c>
      <c r="DR3" s="18">
        <f>IF(DR1="","",DR1-TransDate)</f>
        <v/>
      </c>
      <c r="DS3" s="18">
        <f>IF(DS1="","",DS1-TransDate)</f>
        <v/>
      </c>
      <c r="DT3" s="18">
        <f>IF(DT1="","",DT1-TransDate)</f>
        <v/>
      </c>
      <c r="DU3" s="18">
        <f>IF(DU1="","",DU1-TransDate)</f>
        <v/>
      </c>
      <c r="DV3" s="18">
        <f>IF(DV1="","",DV1-TransDate)</f>
        <v/>
      </c>
      <c r="DW3" s="18">
        <f>IF(DW1="","",DW1-TransDate)</f>
        <v/>
      </c>
      <c r="DX3" s="18">
        <f>IF(DX1="","",DX1-TransDate)</f>
        <v/>
      </c>
      <c r="DY3" s="18">
        <f>IF(DY1="","",DY1-TransDate)</f>
        <v/>
      </c>
      <c r="DZ3" s="18">
        <f>IF(DZ1="","",DZ1-TransDate)</f>
        <v/>
      </c>
      <c r="EA3" s="18">
        <f>IF(EA1="","",EA1-TransDate)</f>
        <v/>
      </c>
      <c r="EB3" s="18">
        <f>IF(EB1="","",EB1-TransDate)</f>
        <v/>
      </c>
      <c r="EC3" s="18">
        <f>IF(EC1="","",EC1-TransDate)</f>
        <v/>
      </c>
      <c r="ED3" s="18">
        <f>IF(ED1="","",ED1-TransDate)</f>
        <v/>
      </c>
      <c r="EE3" s="18">
        <f>IF(EE1="","",EE1-TransDate)</f>
        <v/>
      </c>
      <c r="EF3" s="18">
        <f>IF(EF1="","",EF1-TransDate)</f>
        <v/>
      </c>
      <c r="EG3" s="18">
        <f>IF(EG1="","",EG1-TransDate)</f>
        <v/>
      </c>
      <c r="EH3" s="18">
        <f>IF(EH1="","",EH1-TransDate)</f>
        <v/>
      </c>
      <c r="EI3" s="18">
        <f>IF(EI1="","",EI1-TransDate)</f>
        <v/>
      </c>
      <c r="EJ3" s="18">
        <f>IF(EJ1="","",EJ1-TransDate)</f>
        <v/>
      </c>
      <c r="EK3" s="18">
        <f>IF(EK1="","",EK1-TransDate)</f>
        <v/>
      </c>
      <c r="EL3" s="18">
        <f>IF(EL1="","",EL1-TransDate)</f>
        <v/>
      </c>
      <c r="EM3" s="18">
        <f>IF(EM1="","",EM1-TransDate)</f>
        <v/>
      </c>
      <c r="EN3" s="18">
        <f>IF(EN1="","",EN1-TransDate)</f>
        <v/>
      </c>
      <c r="EO3" s="18">
        <f>IF(EO1="","",EO1-TransDate)</f>
        <v/>
      </c>
      <c r="EP3" s="18">
        <f>IF(EP1="","",EP1-TransDate)</f>
        <v/>
      </c>
      <c r="EQ3" s="18">
        <f>IF(EQ1="","",EQ1-TransDate)</f>
        <v/>
      </c>
      <c r="ER3" s="18">
        <f>IF(ER1="","",ER1-TransDate)</f>
        <v/>
      </c>
      <c r="ES3" s="18">
        <f>IF(ES1="","",ES1-TransDate)</f>
        <v/>
      </c>
      <c r="ET3" s="18">
        <f>IF(ET1="","",ET1-TransDate)</f>
        <v/>
      </c>
      <c r="EU3" s="18">
        <f>IF(EU1="","",EU1-TransDate)</f>
        <v/>
      </c>
      <c r="EV3" s="18">
        <f>IF(EV1="","",EV1-TransDate)</f>
        <v/>
      </c>
      <c r="EW3" s="18">
        <f>IF(EW1="","",EW1-TransDate)</f>
        <v/>
      </c>
      <c r="EX3" s="18">
        <f>IF(EX1="","",EX1-TransDate)</f>
        <v/>
      </c>
      <c r="EY3" s="18">
        <f>IF(EY1="","",EY1-TransDate)</f>
        <v/>
      </c>
      <c r="EZ3" s="18">
        <f>IF(EZ1="","",EZ1-TransDate)</f>
        <v/>
      </c>
      <c r="FA3" s="18">
        <f>IF(FA1="","",FA1-TransDate)</f>
        <v/>
      </c>
      <c r="FB3" s="18">
        <f>IF(FB1="","",FB1-TransDate)</f>
        <v/>
      </c>
      <c r="FC3" s="18">
        <f>IF(FC1="","",FC1-TransDate)</f>
        <v/>
      </c>
      <c r="FD3" s="18">
        <f>IF(FD1="","",FD1-TransDate)</f>
        <v/>
      </c>
      <c r="FE3" s="18">
        <f>IF(FE1="","",FE1-TransDate)</f>
        <v/>
      </c>
      <c r="FF3" s="18">
        <f>IF(FF1="","",FF1-TransDate)</f>
        <v/>
      </c>
      <c r="FG3" s="18">
        <f>IF(FG1="","",FG1-TransDate)</f>
        <v/>
      </c>
      <c r="FH3" s="18">
        <f>IF(FH1="","",FH1-TransDate)</f>
        <v/>
      </c>
      <c r="FI3" s="18">
        <f>IF(FI1="","",FI1-TransDate)</f>
        <v/>
      </c>
      <c r="FJ3" s="18">
        <f>IF(FJ1="","",FJ1-TransDate)</f>
        <v/>
      </c>
      <c r="FK3" s="18">
        <f>IF(FK1="","",FK1-TransDate)</f>
        <v/>
      </c>
      <c r="FL3" s="18">
        <f>IF(FL1="","",FL1-TransDate)</f>
        <v/>
      </c>
      <c r="FM3" s="18">
        <f>IF(FM1="","",FM1-TransDate)</f>
        <v/>
      </c>
      <c r="FN3" s="18">
        <f>IF(FN1="","",FN1-TransDate)</f>
        <v/>
      </c>
      <c r="FO3" s="18">
        <f>IF(FO1="","",FO1-TransDate)</f>
        <v/>
      </c>
      <c r="FP3" s="18">
        <f>IF(FP1="","",FP1-TransDate)</f>
        <v/>
      </c>
      <c r="FQ3" s="18">
        <f>IF(FQ1="","",FQ1-TransDate)</f>
        <v/>
      </c>
    </row>
    <row r="4">
      <c r="B4" s="4" t="inlineStr">
        <is>
          <t>Days after sowing</t>
        </is>
      </c>
      <c r="D4" s="18">
        <f>IF(OR(D1="",NOT(ISNUMBER(SowDate))),"",D1-SowDate)</f>
        <v/>
      </c>
      <c r="E4" s="18">
        <f>IF(OR(E1="",NOT(ISNUMBER(SowDate))),"",E1-SowDate)</f>
        <v/>
      </c>
      <c r="F4" s="18">
        <f>IF(OR(F1="",NOT(ISNUMBER(SowDate))),"",F1-SowDate)</f>
        <v/>
      </c>
      <c r="G4" s="18">
        <f>IF(OR(G1="",NOT(ISNUMBER(SowDate))),"",G1-SowDate)</f>
        <v/>
      </c>
      <c r="H4" s="18">
        <f>IF(OR(H1="",NOT(ISNUMBER(SowDate))),"",H1-SowDate)</f>
        <v/>
      </c>
      <c r="I4" s="18">
        <f>IF(OR(I1="",NOT(ISNUMBER(SowDate))),"",I1-SowDate)</f>
        <v/>
      </c>
      <c r="J4" s="18">
        <f>IF(OR(J1="",NOT(ISNUMBER(SowDate))),"",J1-SowDate)</f>
        <v/>
      </c>
      <c r="K4" s="18">
        <f>IF(OR(K1="",NOT(ISNUMBER(SowDate))),"",K1-SowDate)</f>
        <v/>
      </c>
      <c r="L4" s="18">
        <f>IF(OR(L1="",NOT(ISNUMBER(SowDate))),"",L1-SowDate)</f>
        <v/>
      </c>
      <c r="M4" s="18">
        <f>IF(OR(M1="",NOT(ISNUMBER(SowDate))),"",M1-SowDate)</f>
        <v/>
      </c>
      <c r="N4" s="18">
        <f>IF(OR(N1="",NOT(ISNUMBER(SowDate))),"",N1-SowDate)</f>
        <v/>
      </c>
      <c r="O4" s="18">
        <f>IF(OR(O1="",NOT(ISNUMBER(SowDate))),"",O1-SowDate)</f>
        <v/>
      </c>
      <c r="P4" s="18">
        <f>IF(OR(P1="",NOT(ISNUMBER(SowDate))),"",P1-SowDate)</f>
        <v/>
      </c>
      <c r="Q4" s="18">
        <f>IF(OR(Q1="",NOT(ISNUMBER(SowDate))),"",Q1-SowDate)</f>
        <v/>
      </c>
      <c r="R4" s="18">
        <f>IF(OR(R1="",NOT(ISNUMBER(SowDate))),"",R1-SowDate)</f>
        <v/>
      </c>
      <c r="S4" s="18">
        <f>IF(OR(S1="",NOT(ISNUMBER(SowDate))),"",S1-SowDate)</f>
        <v/>
      </c>
      <c r="T4" s="18">
        <f>IF(OR(T1="",NOT(ISNUMBER(SowDate))),"",T1-SowDate)</f>
        <v/>
      </c>
      <c r="U4" s="18">
        <f>IF(OR(U1="",NOT(ISNUMBER(SowDate))),"",U1-SowDate)</f>
        <v/>
      </c>
      <c r="V4" s="18">
        <f>IF(OR(V1="",NOT(ISNUMBER(SowDate))),"",V1-SowDate)</f>
        <v/>
      </c>
      <c r="W4" s="18">
        <f>IF(OR(W1="",NOT(ISNUMBER(SowDate))),"",W1-SowDate)</f>
        <v/>
      </c>
      <c r="X4" s="18">
        <f>IF(OR(X1="",NOT(ISNUMBER(SowDate))),"",X1-SowDate)</f>
        <v/>
      </c>
      <c r="Y4" s="18">
        <f>IF(OR(Y1="",NOT(ISNUMBER(SowDate))),"",Y1-SowDate)</f>
        <v/>
      </c>
      <c r="Z4" s="18">
        <f>IF(OR(Z1="",NOT(ISNUMBER(SowDate))),"",Z1-SowDate)</f>
        <v/>
      </c>
      <c r="AA4" s="18">
        <f>IF(OR(AA1="",NOT(ISNUMBER(SowDate))),"",AA1-SowDate)</f>
        <v/>
      </c>
      <c r="AB4" s="18">
        <f>IF(OR(AB1="",NOT(ISNUMBER(SowDate))),"",AB1-SowDate)</f>
        <v/>
      </c>
      <c r="AC4" s="18">
        <f>IF(OR(AC1="",NOT(ISNUMBER(SowDate))),"",AC1-SowDate)</f>
        <v/>
      </c>
      <c r="AD4" s="18">
        <f>IF(OR(AD1="",NOT(ISNUMBER(SowDate))),"",AD1-SowDate)</f>
        <v/>
      </c>
      <c r="AE4" s="18">
        <f>IF(OR(AE1="",NOT(ISNUMBER(SowDate))),"",AE1-SowDate)</f>
        <v/>
      </c>
      <c r="AF4" s="18">
        <f>IF(OR(AF1="",NOT(ISNUMBER(SowDate))),"",AF1-SowDate)</f>
        <v/>
      </c>
      <c r="AG4" s="18">
        <f>IF(OR(AG1="",NOT(ISNUMBER(SowDate))),"",AG1-SowDate)</f>
        <v/>
      </c>
      <c r="AH4" s="18">
        <f>IF(OR(AH1="",NOT(ISNUMBER(SowDate))),"",AH1-SowDate)</f>
        <v/>
      </c>
      <c r="AI4" s="18">
        <f>IF(OR(AI1="",NOT(ISNUMBER(SowDate))),"",AI1-SowDate)</f>
        <v/>
      </c>
      <c r="AJ4" s="18">
        <f>IF(OR(AJ1="",NOT(ISNUMBER(SowDate))),"",AJ1-SowDate)</f>
        <v/>
      </c>
      <c r="AK4" s="18">
        <f>IF(OR(AK1="",NOT(ISNUMBER(SowDate))),"",AK1-SowDate)</f>
        <v/>
      </c>
      <c r="AL4" s="18">
        <f>IF(OR(AL1="",NOT(ISNUMBER(SowDate))),"",AL1-SowDate)</f>
        <v/>
      </c>
      <c r="AM4" s="18">
        <f>IF(OR(AM1="",NOT(ISNUMBER(SowDate))),"",AM1-SowDate)</f>
        <v/>
      </c>
      <c r="AN4" s="18">
        <f>IF(OR(AN1="",NOT(ISNUMBER(SowDate))),"",AN1-SowDate)</f>
        <v/>
      </c>
      <c r="AO4" s="18">
        <f>IF(OR(AO1="",NOT(ISNUMBER(SowDate))),"",AO1-SowDate)</f>
        <v/>
      </c>
      <c r="AP4" s="18">
        <f>IF(OR(AP1="",NOT(ISNUMBER(SowDate))),"",AP1-SowDate)</f>
        <v/>
      </c>
      <c r="AQ4" s="18">
        <f>IF(OR(AQ1="",NOT(ISNUMBER(SowDate))),"",AQ1-SowDate)</f>
        <v/>
      </c>
      <c r="AR4" s="18">
        <f>IF(OR(AR1="",NOT(ISNUMBER(SowDate))),"",AR1-SowDate)</f>
        <v/>
      </c>
      <c r="AS4" s="18">
        <f>IF(OR(AS1="",NOT(ISNUMBER(SowDate))),"",AS1-SowDate)</f>
        <v/>
      </c>
      <c r="AT4" s="18">
        <f>IF(OR(AT1="",NOT(ISNUMBER(SowDate))),"",AT1-SowDate)</f>
        <v/>
      </c>
      <c r="AU4" s="18">
        <f>IF(OR(AU1="",NOT(ISNUMBER(SowDate))),"",AU1-SowDate)</f>
        <v/>
      </c>
      <c r="AV4" s="18">
        <f>IF(OR(AV1="",NOT(ISNUMBER(SowDate))),"",AV1-SowDate)</f>
        <v/>
      </c>
      <c r="AW4" s="18">
        <f>IF(OR(AW1="",NOT(ISNUMBER(SowDate))),"",AW1-SowDate)</f>
        <v/>
      </c>
      <c r="AX4" s="18">
        <f>IF(OR(AX1="",NOT(ISNUMBER(SowDate))),"",AX1-SowDate)</f>
        <v/>
      </c>
      <c r="AY4" s="18">
        <f>IF(OR(AY1="",NOT(ISNUMBER(SowDate))),"",AY1-SowDate)</f>
        <v/>
      </c>
      <c r="AZ4" s="18">
        <f>IF(OR(AZ1="",NOT(ISNUMBER(SowDate))),"",AZ1-SowDate)</f>
        <v/>
      </c>
      <c r="BA4" s="18">
        <f>IF(OR(BA1="",NOT(ISNUMBER(SowDate))),"",BA1-SowDate)</f>
        <v/>
      </c>
      <c r="BB4" s="18">
        <f>IF(OR(BB1="",NOT(ISNUMBER(SowDate))),"",BB1-SowDate)</f>
        <v/>
      </c>
      <c r="BC4" s="18">
        <f>IF(OR(BC1="",NOT(ISNUMBER(SowDate))),"",BC1-SowDate)</f>
        <v/>
      </c>
      <c r="BD4" s="18">
        <f>IF(OR(BD1="",NOT(ISNUMBER(SowDate))),"",BD1-SowDate)</f>
        <v/>
      </c>
      <c r="BE4" s="18">
        <f>IF(OR(BE1="",NOT(ISNUMBER(SowDate))),"",BE1-SowDate)</f>
        <v/>
      </c>
      <c r="BF4" s="18">
        <f>IF(OR(BF1="",NOT(ISNUMBER(SowDate))),"",BF1-SowDate)</f>
        <v/>
      </c>
      <c r="BG4" s="18">
        <f>IF(OR(BG1="",NOT(ISNUMBER(SowDate))),"",BG1-SowDate)</f>
        <v/>
      </c>
      <c r="BH4" s="18">
        <f>IF(OR(BH1="",NOT(ISNUMBER(SowDate))),"",BH1-SowDate)</f>
        <v/>
      </c>
      <c r="BI4" s="18">
        <f>IF(OR(BI1="",NOT(ISNUMBER(SowDate))),"",BI1-SowDate)</f>
        <v/>
      </c>
      <c r="BJ4" s="18">
        <f>IF(OR(BJ1="",NOT(ISNUMBER(SowDate))),"",BJ1-SowDate)</f>
        <v/>
      </c>
      <c r="BK4" s="18">
        <f>IF(OR(BK1="",NOT(ISNUMBER(SowDate))),"",BK1-SowDate)</f>
        <v/>
      </c>
      <c r="BL4" s="18">
        <f>IF(OR(BL1="",NOT(ISNUMBER(SowDate))),"",BL1-SowDate)</f>
        <v/>
      </c>
      <c r="BM4" s="18">
        <f>IF(OR(BM1="",NOT(ISNUMBER(SowDate))),"",BM1-SowDate)</f>
        <v/>
      </c>
      <c r="BN4" s="18">
        <f>IF(OR(BN1="",NOT(ISNUMBER(SowDate))),"",BN1-SowDate)</f>
        <v/>
      </c>
      <c r="BO4" s="18">
        <f>IF(OR(BO1="",NOT(ISNUMBER(SowDate))),"",BO1-SowDate)</f>
        <v/>
      </c>
      <c r="BP4" s="18">
        <f>IF(OR(BP1="",NOT(ISNUMBER(SowDate))),"",BP1-SowDate)</f>
        <v/>
      </c>
      <c r="BQ4" s="18">
        <f>IF(OR(BQ1="",NOT(ISNUMBER(SowDate))),"",BQ1-SowDate)</f>
        <v/>
      </c>
      <c r="BR4" s="18">
        <f>IF(OR(BR1="",NOT(ISNUMBER(SowDate))),"",BR1-SowDate)</f>
        <v/>
      </c>
      <c r="BS4" s="18">
        <f>IF(OR(BS1="",NOT(ISNUMBER(SowDate))),"",BS1-SowDate)</f>
        <v/>
      </c>
      <c r="BT4" s="18">
        <f>IF(OR(BT1="",NOT(ISNUMBER(SowDate))),"",BT1-SowDate)</f>
        <v/>
      </c>
      <c r="BU4" s="18">
        <f>IF(OR(BU1="",NOT(ISNUMBER(SowDate))),"",BU1-SowDate)</f>
        <v/>
      </c>
      <c r="BV4" s="18">
        <f>IF(OR(BV1="",NOT(ISNUMBER(SowDate))),"",BV1-SowDate)</f>
        <v/>
      </c>
      <c r="BW4" s="18">
        <f>IF(OR(BW1="",NOT(ISNUMBER(SowDate))),"",BW1-SowDate)</f>
        <v/>
      </c>
      <c r="BX4" s="18">
        <f>IF(OR(BX1="",NOT(ISNUMBER(SowDate))),"",BX1-SowDate)</f>
        <v/>
      </c>
      <c r="BY4" s="18">
        <f>IF(OR(BY1="",NOT(ISNUMBER(SowDate))),"",BY1-SowDate)</f>
        <v/>
      </c>
      <c r="BZ4" s="18">
        <f>IF(OR(BZ1="",NOT(ISNUMBER(SowDate))),"",BZ1-SowDate)</f>
        <v/>
      </c>
      <c r="CA4" s="18">
        <f>IF(OR(CA1="",NOT(ISNUMBER(SowDate))),"",CA1-SowDate)</f>
        <v/>
      </c>
      <c r="CB4" s="18">
        <f>IF(OR(CB1="",NOT(ISNUMBER(SowDate))),"",CB1-SowDate)</f>
        <v/>
      </c>
      <c r="CC4" s="18">
        <f>IF(OR(CC1="",NOT(ISNUMBER(SowDate))),"",CC1-SowDate)</f>
        <v/>
      </c>
      <c r="CD4" s="18">
        <f>IF(OR(CD1="",NOT(ISNUMBER(SowDate))),"",CD1-SowDate)</f>
        <v/>
      </c>
      <c r="CE4" s="18">
        <f>IF(OR(CE1="",NOT(ISNUMBER(SowDate))),"",CE1-SowDate)</f>
        <v/>
      </c>
      <c r="CF4" s="18">
        <f>IF(OR(CF1="",NOT(ISNUMBER(SowDate))),"",CF1-SowDate)</f>
        <v/>
      </c>
      <c r="CG4" s="18">
        <f>IF(OR(CG1="",NOT(ISNUMBER(SowDate))),"",CG1-SowDate)</f>
        <v/>
      </c>
      <c r="CH4" s="18">
        <f>IF(OR(CH1="",NOT(ISNUMBER(SowDate))),"",CH1-SowDate)</f>
        <v/>
      </c>
      <c r="CI4" s="18">
        <f>IF(OR(CI1="",NOT(ISNUMBER(SowDate))),"",CI1-SowDate)</f>
        <v/>
      </c>
      <c r="CJ4" s="18">
        <f>IF(OR(CJ1="",NOT(ISNUMBER(SowDate))),"",CJ1-SowDate)</f>
        <v/>
      </c>
      <c r="CK4" s="18">
        <f>IF(OR(CK1="",NOT(ISNUMBER(SowDate))),"",CK1-SowDate)</f>
        <v/>
      </c>
      <c r="CL4" s="18">
        <f>IF(OR(CL1="",NOT(ISNUMBER(SowDate))),"",CL1-SowDate)</f>
        <v/>
      </c>
      <c r="CM4" s="18">
        <f>IF(OR(CM1="",NOT(ISNUMBER(SowDate))),"",CM1-SowDate)</f>
        <v/>
      </c>
      <c r="CN4" s="18">
        <f>IF(OR(CN1="",NOT(ISNUMBER(SowDate))),"",CN1-SowDate)</f>
        <v/>
      </c>
      <c r="CO4" s="18">
        <f>IF(OR(CO1="",NOT(ISNUMBER(SowDate))),"",CO1-SowDate)</f>
        <v/>
      </c>
      <c r="CP4" s="18">
        <f>IF(OR(CP1="",NOT(ISNUMBER(SowDate))),"",CP1-SowDate)</f>
        <v/>
      </c>
      <c r="CQ4" s="18">
        <f>IF(OR(CQ1="",NOT(ISNUMBER(SowDate))),"",CQ1-SowDate)</f>
        <v/>
      </c>
      <c r="CR4" s="18">
        <f>IF(OR(CR1="",NOT(ISNUMBER(SowDate))),"",CR1-SowDate)</f>
        <v/>
      </c>
      <c r="CS4" s="18">
        <f>IF(OR(CS1="",NOT(ISNUMBER(SowDate))),"",CS1-SowDate)</f>
        <v/>
      </c>
      <c r="CT4" s="18">
        <f>IF(OR(CT1="",NOT(ISNUMBER(SowDate))),"",CT1-SowDate)</f>
        <v/>
      </c>
      <c r="CU4" s="18">
        <f>IF(OR(CU1="",NOT(ISNUMBER(SowDate))),"",CU1-SowDate)</f>
        <v/>
      </c>
      <c r="CV4" s="18">
        <f>IF(OR(CV1="",NOT(ISNUMBER(SowDate))),"",CV1-SowDate)</f>
        <v/>
      </c>
      <c r="CW4" s="18">
        <f>IF(OR(CW1="",NOT(ISNUMBER(SowDate))),"",CW1-SowDate)</f>
        <v/>
      </c>
      <c r="CX4" s="18">
        <f>IF(OR(CX1="",NOT(ISNUMBER(SowDate))),"",CX1-SowDate)</f>
        <v/>
      </c>
      <c r="CY4" s="18">
        <f>IF(OR(CY1="",NOT(ISNUMBER(SowDate))),"",CY1-SowDate)</f>
        <v/>
      </c>
      <c r="CZ4" s="18">
        <f>IF(OR(CZ1="",NOT(ISNUMBER(SowDate))),"",CZ1-SowDate)</f>
        <v/>
      </c>
      <c r="DA4" s="18">
        <f>IF(OR(DA1="",NOT(ISNUMBER(SowDate))),"",DA1-SowDate)</f>
        <v/>
      </c>
      <c r="DB4" s="18">
        <f>IF(OR(DB1="",NOT(ISNUMBER(SowDate))),"",DB1-SowDate)</f>
        <v/>
      </c>
      <c r="DC4" s="18">
        <f>IF(OR(DC1="",NOT(ISNUMBER(SowDate))),"",DC1-SowDate)</f>
        <v/>
      </c>
      <c r="DD4" s="18">
        <f>IF(OR(DD1="",NOT(ISNUMBER(SowDate))),"",DD1-SowDate)</f>
        <v/>
      </c>
      <c r="DE4" s="18">
        <f>IF(OR(DE1="",NOT(ISNUMBER(SowDate))),"",DE1-SowDate)</f>
        <v/>
      </c>
      <c r="DF4" s="18">
        <f>IF(OR(DF1="",NOT(ISNUMBER(SowDate))),"",DF1-SowDate)</f>
        <v/>
      </c>
      <c r="DG4" s="18">
        <f>IF(OR(DG1="",NOT(ISNUMBER(SowDate))),"",DG1-SowDate)</f>
        <v/>
      </c>
      <c r="DH4" s="18">
        <f>IF(OR(DH1="",NOT(ISNUMBER(SowDate))),"",DH1-SowDate)</f>
        <v/>
      </c>
      <c r="DI4" s="18">
        <f>IF(OR(DI1="",NOT(ISNUMBER(SowDate))),"",DI1-SowDate)</f>
        <v/>
      </c>
      <c r="DJ4" s="18">
        <f>IF(OR(DJ1="",NOT(ISNUMBER(SowDate))),"",DJ1-SowDate)</f>
        <v/>
      </c>
      <c r="DK4" s="18">
        <f>IF(OR(DK1="",NOT(ISNUMBER(SowDate))),"",DK1-SowDate)</f>
        <v/>
      </c>
      <c r="DL4" s="18">
        <f>IF(OR(DL1="",NOT(ISNUMBER(SowDate))),"",DL1-SowDate)</f>
        <v/>
      </c>
      <c r="DM4" s="18">
        <f>IF(OR(DM1="",NOT(ISNUMBER(SowDate))),"",DM1-SowDate)</f>
        <v/>
      </c>
      <c r="DN4" s="18">
        <f>IF(OR(DN1="",NOT(ISNUMBER(SowDate))),"",DN1-SowDate)</f>
        <v/>
      </c>
      <c r="DO4" s="18">
        <f>IF(OR(DO1="",NOT(ISNUMBER(SowDate))),"",DO1-SowDate)</f>
        <v/>
      </c>
      <c r="DP4" s="18">
        <f>IF(OR(DP1="",NOT(ISNUMBER(SowDate))),"",DP1-SowDate)</f>
        <v/>
      </c>
      <c r="DQ4" s="18">
        <f>IF(OR(DQ1="",NOT(ISNUMBER(SowDate))),"",DQ1-SowDate)</f>
        <v/>
      </c>
      <c r="DR4" s="18">
        <f>IF(OR(DR1="",NOT(ISNUMBER(SowDate))),"",DR1-SowDate)</f>
        <v/>
      </c>
      <c r="DS4" s="18">
        <f>IF(OR(DS1="",NOT(ISNUMBER(SowDate))),"",DS1-SowDate)</f>
        <v/>
      </c>
      <c r="DT4" s="18">
        <f>IF(OR(DT1="",NOT(ISNUMBER(SowDate))),"",DT1-SowDate)</f>
        <v/>
      </c>
      <c r="DU4" s="18">
        <f>IF(OR(DU1="",NOT(ISNUMBER(SowDate))),"",DU1-SowDate)</f>
        <v/>
      </c>
      <c r="DV4" s="18">
        <f>IF(OR(DV1="",NOT(ISNUMBER(SowDate))),"",DV1-SowDate)</f>
        <v/>
      </c>
      <c r="DW4" s="18">
        <f>IF(OR(DW1="",NOT(ISNUMBER(SowDate))),"",DW1-SowDate)</f>
        <v/>
      </c>
      <c r="DX4" s="18">
        <f>IF(OR(DX1="",NOT(ISNUMBER(SowDate))),"",DX1-SowDate)</f>
        <v/>
      </c>
      <c r="DY4" s="18">
        <f>IF(OR(DY1="",NOT(ISNUMBER(SowDate))),"",DY1-SowDate)</f>
        <v/>
      </c>
      <c r="DZ4" s="18">
        <f>IF(OR(DZ1="",NOT(ISNUMBER(SowDate))),"",DZ1-SowDate)</f>
        <v/>
      </c>
      <c r="EA4" s="18">
        <f>IF(OR(EA1="",NOT(ISNUMBER(SowDate))),"",EA1-SowDate)</f>
        <v/>
      </c>
      <c r="EB4" s="18">
        <f>IF(OR(EB1="",NOT(ISNUMBER(SowDate))),"",EB1-SowDate)</f>
        <v/>
      </c>
      <c r="EC4" s="18">
        <f>IF(OR(EC1="",NOT(ISNUMBER(SowDate))),"",EC1-SowDate)</f>
        <v/>
      </c>
      <c r="ED4" s="18">
        <f>IF(OR(ED1="",NOT(ISNUMBER(SowDate))),"",ED1-SowDate)</f>
        <v/>
      </c>
      <c r="EE4" s="18">
        <f>IF(OR(EE1="",NOT(ISNUMBER(SowDate))),"",EE1-SowDate)</f>
        <v/>
      </c>
      <c r="EF4" s="18">
        <f>IF(OR(EF1="",NOT(ISNUMBER(SowDate))),"",EF1-SowDate)</f>
        <v/>
      </c>
      <c r="EG4" s="18">
        <f>IF(OR(EG1="",NOT(ISNUMBER(SowDate))),"",EG1-SowDate)</f>
        <v/>
      </c>
      <c r="EH4" s="18">
        <f>IF(OR(EH1="",NOT(ISNUMBER(SowDate))),"",EH1-SowDate)</f>
        <v/>
      </c>
      <c r="EI4" s="18">
        <f>IF(OR(EI1="",NOT(ISNUMBER(SowDate))),"",EI1-SowDate)</f>
        <v/>
      </c>
      <c r="EJ4" s="18">
        <f>IF(OR(EJ1="",NOT(ISNUMBER(SowDate))),"",EJ1-SowDate)</f>
        <v/>
      </c>
      <c r="EK4" s="18">
        <f>IF(OR(EK1="",NOT(ISNUMBER(SowDate))),"",EK1-SowDate)</f>
        <v/>
      </c>
      <c r="EL4" s="18">
        <f>IF(OR(EL1="",NOT(ISNUMBER(SowDate))),"",EL1-SowDate)</f>
        <v/>
      </c>
      <c r="EM4" s="18">
        <f>IF(OR(EM1="",NOT(ISNUMBER(SowDate))),"",EM1-SowDate)</f>
        <v/>
      </c>
      <c r="EN4" s="18">
        <f>IF(OR(EN1="",NOT(ISNUMBER(SowDate))),"",EN1-SowDate)</f>
        <v/>
      </c>
      <c r="EO4" s="18">
        <f>IF(OR(EO1="",NOT(ISNUMBER(SowDate))),"",EO1-SowDate)</f>
        <v/>
      </c>
      <c r="EP4" s="18">
        <f>IF(OR(EP1="",NOT(ISNUMBER(SowDate))),"",EP1-SowDate)</f>
        <v/>
      </c>
      <c r="EQ4" s="18">
        <f>IF(OR(EQ1="",NOT(ISNUMBER(SowDate))),"",EQ1-SowDate)</f>
        <v/>
      </c>
      <c r="ER4" s="18">
        <f>IF(OR(ER1="",NOT(ISNUMBER(SowDate))),"",ER1-SowDate)</f>
        <v/>
      </c>
      <c r="ES4" s="18">
        <f>IF(OR(ES1="",NOT(ISNUMBER(SowDate))),"",ES1-SowDate)</f>
        <v/>
      </c>
      <c r="ET4" s="18">
        <f>IF(OR(ET1="",NOT(ISNUMBER(SowDate))),"",ET1-SowDate)</f>
        <v/>
      </c>
      <c r="EU4" s="18">
        <f>IF(OR(EU1="",NOT(ISNUMBER(SowDate))),"",EU1-SowDate)</f>
        <v/>
      </c>
      <c r="EV4" s="18">
        <f>IF(OR(EV1="",NOT(ISNUMBER(SowDate))),"",EV1-SowDate)</f>
        <v/>
      </c>
      <c r="EW4" s="18">
        <f>IF(OR(EW1="",NOT(ISNUMBER(SowDate))),"",EW1-SowDate)</f>
        <v/>
      </c>
      <c r="EX4" s="18">
        <f>IF(OR(EX1="",NOT(ISNUMBER(SowDate))),"",EX1-SowDate)</f>
        <v/>
      </c>
      <c r="EY4" s="18">
        <f>IF(OR(EY1="",NOT(ISNUMBER(SowDate))),"",EY1-SowDate)</f>
        <v/>
      </c>
      <c r="EZ4" s="18">
        <f>IF(OR(EZ1="",NOT(ISNUMBER(SowDate))),"",EZ1-SowDate)</f>
        <v/>
      </c>
      <c r="FA4" s="18">
        <f>IF(OR(FA1="",NOT(ISNUMBER(SowDate))),"",FA1-SowDate)</f>
        <v/>
      </c>
      <c r="FB4" s="18">
        <f>IF(OR(FB1="",NOT(ISNUMBER(SowDate))),"",FB1-SowDate)</f>
        <v/>
      </c>
      <c r="FC4" s="18">
        <f>IF(OR(FC1="",NOT(ISNUMBER(SowDate))),"",FC1-SowDate)</f>
        <v/>
      </c>
      <c r="FD4" s="18">
        <f>IF(OR(FD1="",NOT(ISNUMBER(SowDate))),"",FD1-SowDate)</f>
        <v/>
      </c>
      <c r="FE4" s="18">
        <f>IF(OR(FE1="",NOT(ISNUMBER(SowDate))),"",FE1-SowDate)</f>
        <v/>
      </c>
      <c r="FF4" s="18">
        <f>IF(OR(FF1="",NOT(ISNUMBER(SowDate))),"",FF1-SowDate)</f>
        <v/>
      </c>
      <c r="FG4" s="18">
        <f>IF(OR(FG1="",NOT(ISNUMBER(SowDate))),"",FG1-SowDate)</f>
        <v/>
      </c>
      <c r="FH4" s="18">
        <f>IF(OR(FH1="",NOT(ISNUMBER(SowDate))),"",FH1-SowDate)</f>
        <v/>
      </c>
      <c r="FI4" s="18">
        <f>IF(OR(FI1="",NOT(ISNUMBER(SowDate))),"",FI1-SowDate)</f>
        <v/>
      </c>
      <c r="FJ4" s="18">
        <f>IF(OR(FJ1="",NOT(ISNUMBER(SowDate))),"",FJ1-SowDate)</f>
        <v/>
      </c>
      <c r="FK4" s="18">
        <f>IF(OR(FK1="",NOT(ISNUMBER(SowDate))),"",FK1-SowDate)</f>
        <v/>
      </c>
      <c r="FL4" s="18">
        <f>IF(OR(FL1="",NOT(ISNUMBER(SowDate))),"",FL1-SowDate)</f>
        <v/>
      </c>
      <c r="FM4" s="18">
        <f>IF(OR(FM1="",NOT(ISNUMBER(SowDate))),"",FM1-SowDate)</f>
        <v/>
      </c>
      <c r="FN4" s="18">
        <f>IF(OR(FN1="",NOT(ISNUMBER(SowDate))),"",FN1-SowDate)</f>
        <v/>
      </c>
      <c r="FO4" s="18">
        <f>IF(OR(FO1="",NOT(ISNUMBER(SowDate))),"",FO1-SowDate)</f>
        <v/>
      </c>
      <c r="FP4" s="18">
        <f>IF(OR(FP1="",NOT(ISNUMBER(SowDate))),"",FP1-SowDate)</f>
        <v/>
      </c>
      <c r="FQ4" s="18">
        <f>IF(OR(FQ1="",NOT(ISNUMBER(SowDate))),"",FQ1-SowDate)</f>
        <v/>
      </c>
    </row>
    <row r="5">
      <c r="B5" s="4" t="inlineStr">
        <is>
          <t>Days after heading</t>
        </is>
      </c>
      <c r="D5" s="18">
        <f>IF(OR(D1="",NOT(ISNUMBER(HeadD))),"",D1-HeadD)</f>
        <v/>
      </c>
      <c r="E5" s="18">
        <f>IF(OR(E1="",NOT(ISNUMBER(HeadD))),"",E1-HeadD)</f>
        <v/>
      </c>
      <c r="F5" s="18">
        <f>IF(OR(F1="",NOT(ISNUMBER(HeadD))),"",F1-HeadD)</f>
        <v/>
      </c>
      <c r="G5" s="18">
        <f>IF(OR(G1="",NOT(ISNUMBER(HeadD))),"",G1-HeadD)</f>
        <v/>
      </c>
      <c r="H5" s="18">
        <f>IF(OR(H1="",NOT(ISNUMBER(HeadD))),"",H1-HeadD)</f>
        <v/>
      </c>
      <c r="I5" s="18">
        <f>IF(OR(I1="",NOT(ISNUMBER(HeadD))),"",I1-HeadD)</f>
        <v/>
      </c>
      <c r="J5" s="18">
        <f>IF(OR(J1="",NOT(ISNUMBER(HeadD))),"",J1-HeadD)</f>
        <v/>
      </c>
      <c r="K5" s="18">
        <f>IF(OR(K1="",NOT(ISNUMBER(HeadD))),"",K1-HeadD)</f>
        <v/>
      </c>
      <c r="L5" s="18">
        <f>IF(OR(L1="",NOT(ISNUMBER(HeadD))),"",L1-HeadD)</f>
        <v/>
      </c>
      <c r="M5" s="18">
        <f>IF(OR(M1="",NOT(ISNUMBER(HeadD))),"",M1-HeadD)</f>
        <v/>
      </c>
      <c r="N5" s="18">
        <f>IF(OR(N1="",NOT(ISNUMBER(HeadD))),"",N1-HeadD)</f>
        <v/>
      </c>
      <c r="O5" s="18">
        <f>IF(OR(O1="",NOT(ISNUMBER(HeadD))),"",O1-HeadD)</f>
        <v/>
      </c>
      <c r="P5" s="18">
        <f>IF(OR(P1="",NOT(ISNUMBER(HeadD))),"",P1-HeadD)</f>
        <v/>
      </c>
      <c r="Q5" s="18">
        <f>IF(OR(Q1="",NOT(ISNUMBER(HeadD))),"",Q1-HeadD)</f>
        <v/>
      </c>
      <c r="R5" s="18">
        <f>IF(OR(R1="",NOT(ISNUMBER(HeadD))),"",R1-HeadD)</f>
        <v/>
      </c>
      <c r="S5" s="18">
        <f>IF(OR(S1="",NOT(ISNUMBER(HeadD))),"",S1-HeadD)</f>
        <v/>
      </c>
      <c r="T5" s="18">
        <f>IF(OR(T1="",NOT(ISNUMBER(HeadD))),"",T1-HeadD)</f>
        <v/>
      </c>
      <c r="U5" s="18">
        <f>IF(OR(U1="",NOT(ISNUMBER(HeadD))),"",U1-HeadD)</f>
        <v/>
      </c>
      <c r="V5" s="18">
        <f>IF(OR(V1="",NOT(ISNUMBER(HeadD))),"",V1-HeadD)</f>
        <v/>
      </c>
      <c r="W5" s="18">
        <f>IF(OR(W1="",NOT(ISNUMBER(HeadD))),"",W1-HeadD)</f>
        <v/>
      </c>
      <c r="X5" s="18">
        <f>IF(OR(X1="",NOT(ISNUMBER(HeadD))),"",X1-HeadD)</f>
        <v/>
      </c>
      <c r="Y5" s="18">
        <f>IF(OR(Y1="",NOT(ISNUMBER(HeadD))),"",Y1-HeadD)</f>
        <v/>
      </c>
      <c r="Z5" s="18">
        <f>IF(OR(Z1="",NOT(ISNUMBER(HeadD))),"",Z1-HeadD)</f>
        <v/>
      </c>
      <c r="AA5" s="18">
        <f>IF(OR(AA1="",NOT(ISNUMBER(HeadD))),"",AA1-HeadD)</f>
        <v/>
      </c>
      <c r="AB5" s="18">
        <f>IF(OR(AB1="",NOT(ISNUMBER(HeadD))),"",AB1-HeadD)</f>
        <v/>
      </c>
      <c r="AC5" s="18">
        <f>IF(OR(AC1="",NOT(ISNUMBER(HeadD))),"",AC1-HeadD)</f>
        <v/>
      </c>
      <c r="AD5" s="18">
        <f>IF(OR(AD1="",NOT(ISNUMBER(HeadD))),"",AD1-HeadD)</f>
        <v/>
      </c>
      <c r="AE5" s="18">
        <f>IF(OR(AE1="",NOT(ISNUMBER(HeadD))),"",AE1-HeadD)</f>
        <v/>
      </c>
      <c r="AF5" s="18">
        <f>IF(OR(AF1="",NOT(ISNUMBER(HeadD))),"",AF1-HeadD)</f>
        <v/>
      </c>
      <c r="AG5" s="18">
        <f>IF(OR(AG1="",NOT(ISNUMBER(HeadD))),"",AG1-HeadD)</f>
        <v/>
      </c>
      <c r="AH5" s="18">
        <f>IF(OR(AH1="",NOT(ISNUMBER(HeadD))),"",AH1-HeadD)</f>
        <v/>
      </c>
      <c r="AI5" s="18">
        <f>IF(OR(AI1="",NOT(ISNUMBER(HeadD))),"",AI1-HeadD)</f>
        <v/>
      </c>
      <c r="AJ5" s="18">
        <f>IF(OR(AJ1="",NOT(ISNUMBER(HeadD))),"",AJ1-HeadD)</f>
        <v/>
      </c>
      <c r="AK5" s="18">
        <f>IF(OR(AK1="",NOT(ISNUMBER(HeadD))),"",AK1-HeadD)</f>
        <v/>
      </c>
      <c r="AL5" s="18">
        <f>IF(OR(AL1="",NOT(ISNUMBER(HeadD))),"",AL1-HeadD)</f>
        <v/>
      </c>
      <c r="AM5" s="18">
        <f>IF(OR(AM1="",NOT(ISNUMBER(HeadD))),"",AM1-HeadD)</f>
        <v/>
      </c>
      <c r="AN5" s="18">
        <f>IF(OR(AN1="",NOT(ISNUMBER(HeadD))),"",AN1-HeadD)</f>
        <v/>
      </c>
      <c r="AO5" s="18">
        <f>IF(OR(AO1="",NOT(ISNUMBER(HeadD))),"",AO1-HeadD)</f>
        <v/>
      </c>
      <c r="AP5" s="18">
        <f>IF(OR(AP1="",NOT(ISNUMBER(HeadD))),"",AP1-HeadD)</f>
        <v/>
      </c>
      <c r="AQ5" s="18">
        <f>IF(OR(AQ1="",NOT(ISNUMBER(HeadD))),"",AQ1-HeadD)</f>
        <v/>
      </c>
      <c r="AR5" s="18">
        <f>IF(OR(AR1="",NOT(ISNUMBER(HeadD))),"",AR1-HeadD)</f>
        <v/>
      </c>
      <c r="AS5" s="18">
        <f>IF(OR(AS1="",NOT(ISNUMBER(HeadD))),"",AS1-HeadD)</f>
        <v/>
      </c>
      <c r="AT5" s="18">
        <f>IF(OR(AT1="",NOT(ISNUMBER(HeadD))),"",AT1-HeadD)</f>
        <v/>
      </c>
      <c r="AU5" s="18">
        <f>IF(OR(AU1="",NOT(ISNUMBER(HeadD))),"",AU1-HeadD)</f>
        <v/>
      </c>
      <c r="AV5" s="18">
        <f>IF(OR(AV1="",NOT(ISNUMBER(HeadD))),"",AV1-HeadD)</f>
        <v/>
      </c>
      <c r="AW5" s="18">
        <f>IF(OR(AW1="",NOT(ISNUMBER(HeadD))),"",AW1-HeadD)</f>
        <v/>
      </c>
      <c r="AX5" s="18">
        <f>IF(OR(AX1="",NOT(ISNUMBER(HeadD))),"",AX1-HeadD)</f>
        <v/>
      </c>
      <c r="AY5" s="18">
        <f>IF(OR(AY1="",NOT(ISNUMBER(HeadD))),"",AY1-HeadD)</f>
        <v/>
      </c>
      <c r="AZ5" s="18">
        <f>IF(OR(AZ1="",NOT(ISNUMBER(HeadD))),"",AZ1-HeadD)</f>
        <v/>
      </c>
      <c r="BA5" s="18">
        <f>IF(OR(BA1="",NOT(ISNUMBER(HeadD))),"",BA1-HeadD)</f>
        <v/>
      </c>
      <c r="BB5" s="18">
        <f>IF(OR(BB1="",NOT(ISNUMBER(HeadD))),"",BB1-HeadD)</f>
        <v/>
      </c>
      <c r="BC5" s="18">
        <f>IF(OR(BC1="",NOT(ISNUMBER(HeadD))),"",BC1-HeadD)</f>
        <v/>
      </c>
      <c r="BD5" s="18">
        <f>IF(OR(BD1="",NOT(ISNUMBER(HeadD))),"",BD1-HeadD)</f>
        <v/>
      </c>
      <c r="BE5" s="18">
        <f>IF(OR(BE1="",NOT(ISNUMBER(HeadD))),"",BE1-HeadD)</f>
        <v/>
      </c>
      <c r="BF5" s="18">
        <f>IF(OR(BF1="",NOT(ISNUMBER(HeadD))),"",BF1-HeadD)</f>
        <v/>
      </c>
      <c r="BG5" s="18">
        <f>IF(OR(BG1="",NOT(ISNUMBER(HeadD))),"",BG1-HeadD)</f>
        <v/>
      </c>
      <c r="BH5" s="18">
        <f>IF(OR(BH1="",NOT(ISNUMBER(HeadD))),"",BH1-HeadD)</f>
        <v/>
      </c>
      <c r="BI5" s="18">
        <f>IF(OR(BI1="",NOT(ISNUMBER(HeadD))),"",BI1-HeadD)</f>
        <v/>
      </c>
      <c r="BJ5" s="18">
        <f>IF(OR(BJ1="",NOT(ISNUMBER(HeadD))),"",BJ1-HeadD)</f>
        <v/>
      </c>
      <c r="BK5" s="18">
        <f>IF(OR(BK1="",NOT(ISNUMBER(HeadD))),"",BK1-HeadD)</f>
        <v/>
      </c>
      <c r="BL5" s="18">
        <f>IF(OR(BL1="",NOT(ISNUMBER(HeadD))),"",BL1-HeadD)</f>
        <v/>
      </c>
      <c r="BM5" s="18">
        <f>IF(OR(BM1="",NOT(ISNUMBER(HeadD))),"",BM1-HeadD)</f>
        <v/>
      </c>
      <c r="BN5" s="18">
        <f>IF(OR(BN1="",NOT(ISNUMBER(HeadD))),"",BN1-HeadD)</f>
        <v/>
      </c>
      <c r="BO5" s="18">
        <f>IF(OR(BO1="",NOT(ISNUMBER(HeadD))),"",BO1-HeadD)</f>
        <v/>
      </c>
      <c r="BP5" s="18">
        <f>IF(OR(BP1="",NOT(ISNUMBER(HeadD))),"",BP1-HeadD)</f>
        <v/>
      </c>
      <c r="BQ5" s="18">
        <f>IF(OR(BQ1="",NOT(ISNUMBER(HeadD))),"",BQ1-HeadD)</f>
        <v/>
      </c>
      <c r="BR5" s="18">
        <f>IF(OR(BR1="",NOT(ISNUMBER(HeadD))),"",BR1-HeadD)</f>
        <v/>
      </c>
      <c r="BS5" s="18">
        <f>IF(OR(BS1="",NOT(ISNUMBER(HeadD))),"",BS1-HeadD)</f>
        <v/>
      </c>
      <c r="BT5" s="18">
        <f>IF(OR(BT1="",NOT(ISNUMBER(HeadD))),"",BT1-HeadD)</f>
        <v/>
      </c>
      <c r="BU5" s="18">
        <f>IF(OR(BU1="",NOT(ISNUMBER(HeadD))),"",BU1-HeadD)</f>
        <v/>
      </c>
      <c r="BV5" s="18">
        <f>IF(OR(BV1="",NOT(ISNUMBER(HeadD))),"",BV1-HeadD)</f>
        <v/>
      </c>
      <c r="BW5" s="18">
        <f>IF(OR(BW1="",NOT(ISNUMBER(HeadD))),"",BW1-HeadD)</f>
        <v/>
      </c>
      <c r="BX5" s="18">
        <f>IF(OR(BX1="",NOT(ISNUMBER(HeadD))),"",BX1-HeadD)</f>
        <v/>
      </c>
      <c r="BY5" s="18">
        <f>IF(OR(BY1="",NOT(ISNUMBER(HeadD))),"",BY1-HeadD)</f>
        <v/>
      </c>
      <c r="BZ5" s="18">
        <f>IF(OR(BZ1="",NOT(ISNUMBER(HeadD))),"",BZ1-HeadD)</f>
        <v/>
      </c>
      <c r="CA5" s="18">
        <f>IF(OR(CA1="",NOT(ISNUMBER(HeadD))),"",CA1-HeadD)</f>
        <v/>
      </c>
      <c r="CB5" s="18">
        <f>IF(OR(CB1="",NOT(ISNUMBER(HeadD))),"",CB1-HeadD)</f>
        <v/>
      </c>
      <c r="CC5" s="18">
        <f>IF(OR(CC1="",NOT(ISNUMBER(HeadD))),"",CC1-HeadD)</f>
        <v/>
      </c>
      <c r="CD5" s="18">
        <f>IF(OR(CD1="",NOT(ISNUMBER(HeadD))),"",CD1-HeadD)</f>
        <v/>
      </c>
      <c r="CE5" s="18">
        <f>IF(OR(CE1="",NOT(ISNUMBER(HeadD))),"",CE1-HeadD)</f>
        <v/>
      </c>
      <c r="CF5" s="18">
        <f>IF(OR(CF1="",NOT(ISNUMBER(HeadD))),"",CF1-HeadD)</f>
        <v/>
      </c>
      <c r="CG5" s="18">
        <f>IF(OR(CG1="",NOT(ISNUMBER(HeadD))),"",CG1-HeadD)</f>
        <v/>
      </c>
      <c r="CH5" s="18">
        <f>IF(OR(CH1="",NOT(ISNUMBER(HeadD))),"",CH1-HeadD)</f>
        <v/>
      </c>
      <c r="CI5" s="18">
        <f>IF(OR(CI1="",NOT(ISNUMBER(HeadD))),"",CI1-HeadD)</f>
        <v/>
      </c>
      <c r="CJ5" s="18">
        <f>IF(OR(CJ1="",NOT(ISNUMBER(HeadD))),"",CJ1-HeadD)</f>
        <v/>
      </c>
      <c r="CK5" s="18">
        <f>IF(OR(CK1="",NOT(ISNUMBER(HeadD))),"",CK1-HeadD)</f>
        <v/>
      </c>
      <c r="CL5" s="18">
        <f>IF(OR(CL1="",NOT(ISNUMBER(HeadD))),"",CL1-HeadD)</f>
        <v/>
      </c>
      <c r="CM5" s="18">
        <f>IF(OR(CM1="",NOT(ISNUMBER(HeadD))),"",CM1-HeadD)</f>
        <v/>
      </c>
      <c r="CN5" s="18">
        <f>IF(OR(CN1="",NOT(ISNUMBER(HeadD))),"",CN1-HeadD)</f>
        <v/>
      </c>
      <c r="CO5" s="18">
        <f>IF(OR(CO1="",NOT(ISNUMBER(HeadD))),"",CO1-HeadD)</f>
        <v/>
      </c>
      <c r="CP5" s="18">
        <f>IF(OR(CP1="",NOT(ISNUMBER(HeadD))),"",CP1-HeadD)</f>
        <v/>
      </c>
      <c r="CQ5" s="18">
        <f>IF(OR(CQ1="",NOT(ISNUMBER(HeadD))),"",CQ1-HeadD)</f>
        <v/>
      </c>
      <c r="CR5" s="18">
        <f>IF(OR(CR1="",NOT(ISNUMBER(HeadD))),"",CR1-HeadD)</f>
        <v/>
      </c>
      <c r="CS5" s="18">
        <f>IF(OR(CS1="",NOT(ISNUMBER(HeadD))),"",CS1-HeadD)</f>
        <v/>
      </c>
      <c r="CT5" s="18">
        <f>IF(OR(CT1="",NOT(ISNUMBER(HeadD))),"",CT1-HeadD)</f>
        <v/>
      </c>
      <c r="CU5" s="18">
        <f>IF(OR(CU1="",NOT(ISNUMBER(HeadD))),"",CU1-HeadD)</f>
        <v/>
      </c>
      <c r="CV5" s="18">
        <f>IF(OR(CV1="",NOT(ISNUMBER(HeadD))),"",CV1-HeadD)</f>
        <v/>
      </c>
      <c r="CW5" s="18">
        <f>IF(OR(CW1="",NOT(ISNUMBER(HeadD))),"",CW1-HeadD)</f>
        <v/>
      </c>
      <c r="CX5" s="18">
        <f>IF(OR(CX1="",NOT(ISNUMBER(HeadD))),"",CX1-HeadD)</f>
        <v/>
      </c>
      <c r="CY5" s="18">
        <f>IF(OR(CY1="",NOT(ISNUMBER(HeadD))),"",CY1-HeadD)</f>
        <v/>
      </c>
      <c r="CZ5" s="18">
        <f>IF(OR(CZ1="",NOT(ISNUMBER(HeadD))),"",CZ1-HeadD)</f>
        <v/>
      </c>
      <c r="DA5" s="18">
        <f>IF(OR(DA1="",NOT(ISNUMBER(HeadD))),"",DA1-HeadD)</f>
        <v/>
      </c>
      <c r="DB5" s="18">
        <f>IF(OR(DB1="",NOT(ISNUMBER(HeadD))),"",DB1-HeadD)</f>
        <v/>
      </c>
      <c r="DC5" s="18">
        <f>IF(OR(DC1="",NOT(ISNUMBER(HeadD))),"",DC1-HeadD)</f>
        <v/>
      </c>
      <c r="DD5" s="18">
        <f>IF(OR(DD1="",NOT(ISNUMBER(HeadD))),"",DD1-HeadD)</f>
        <v/>
      </c>
      <c r="DE5" s="18">
        <f>IF(OR(DE1="",NOT(ISNUMBER(HeadD))),"",DE1-HeadD)</f>
        <v/>
      </c>
      <c r="DF5" s="18">
        <f>IF(OR(DF1="",NOT(ISNUMBER(HeadD))),"",DF1-HeadD)</f>
        <v/>
      </c>
      <c r="DG5" s="18">
        <f>IF(OR(DG1="",NOT(ISNUMBER(HeadD))),"",DG1-HeadD)</f>
        <v/>
      </c>
      <c r="DH5" s="18">
        <f>IF(OR(DH1="",NOT(ISNUMBER(HeadD))),"",DH1-HeadD)</f>
        <v/>
      </c>
      <c r="DI5" s="18">
        <f>IF(OR(DI1="",NOT(ISNUMBER(HeadD))),"",DI1-HeadD)</f>
        <v/>
      </c>
      <c r="DJ5" s="18">
        <f>IF(OR(DJ1="",NOT(ISNUMBER(HeadD))),"",DJ1-HeadD)</f>
        <v/>
      </c>
      <c r="DK5" s="18">
        <f>IF(OR(DK1="",NOT(ISNUMBER(HeadD))),"",DK1-HeadD)</f>
        <v/>
      </c>
      <c r="DL5" s="18">
        <f>IF(OR(DL1="",NOT(ISNUMBER(HeadD))),"",DL1-HeadD)</f>
        <v/>
      </c>
      <c r="DM5" s="18">
        <f>IF(OR(DM1="",NOT(ISNUMBER(HeadD))),"",DM1-HeadD)</f>
        <v/>
      </c>
      <c r="DN5" s="18">
        <f>IF(OR(DN1="",NOT(ISNUMBER(HeadD))),"",DN1-HeadD)</f>
        <v/>
      </c>
      <c r="DO5" s="18">
        <f>IF(OR(DO1="",NOT(ISNUMBER(HeadD))),"",DO1-HeadD)</f>
        <v/>
      </c>
      <c r="DP5" s="18">
        <f>IF(OR(DP1="",NOT(ISNUMBER(HeadD))),"",DP1-HeadD)</f>
        <v/>
      </c>
      <c r="DQ5" s="18">
        <f>IF(OR(DQ1="",NOT(ISNUMBER(HeadD))),"",DQ1-HeadD)</f>
        <v/>
      </c>
      <c r="DR5" s="18">
        <f>IF(OR(DR1="",NOT(ISNUMBER(HeadD))),"",DR1-HeadD)</f>
        <v/>
      </c>
      <c r="DS5" s="18">
        <f>IF(OR(DS1="",NOT(ISNUMBER(HeadD))),"",DS1-HeadD)</f>
        <v/>
      </c>
      <c r="DT5" s="18">
        <f>IF(OR(DT1="",NOT(ISNUMBER(HeadD))),"",DT1-HeadD)</f>
        <v/>
      </c>
      <c r="DU5" s="18">
        <f>IF(OR(DU1="",NOT(ISNUMBER(HeadD))),"",DU1-HeadD)</f>
        <v/>
      </c>
      <c r="DV5" s="18">
        <f>IF(OR(DV1="",NOT(ISNUMBER(HeadD))),"",DV1-HeadD)</f>
        <v/>
      </c>
      <c r="DW5" s="18">
        <f>IF(OR(DW1="",NOT(ISNUMBER(HeadD))),"",DW1-HeadD)</f>
        <v/>
      </c>
      <c r="DX5" s="18">
        <f>IF(OR(DX1="",NOT(ISNUMBER(HeadD))),"",DX1-HeadD)</f>
        <v/>
      </c>
      <c r="DY5" s="18">
        <f>IF(OR(DY1="",NOT(ISNUMBER(HeadD))),"",DY1-HeadD)</f>
        <v/>
      </c>
      <c r="DZ5" s="18">
        <f>IF(OR(DZ1="",NOT(ISNUMBER(HeadD))),"",DZ1-HeadD)</f>
        <v/>
      </c>
      <c r="EA5" s="18">
        <f>IF(OR(EA1="",NOT(ISNUMBER(HeadD))),"",EA1-HeadD)</f>
        <v/>
      </c>
      <c r="EB5" s="18">
        <f>IF(OR(EB1="",NOT(ISNUMBER(HeadD))),"",EB1-HeadD)</f>
        <v/>
      </c>
      <c r="EC5" s="18">
        <f>IF(OR(EC1="",NOT(ISNUMBER(HeadD))),"",EC1-HeadD)</f>
        <v/>
      </c>
      <c r="ED5" s="18">
        <f>IF(OR(ED1="",NOT(ISNUMBER(HeadD))),"",ED1-HeadD)</f>
        <v/>
      </c>
      <c r="EE5" s="18">
        <f>IF(OR(EE1="",NOT(ISNUMBER(HeadD))),"",EE1-HeadD)</f>
        <v/>
      </c>
      <c r="EF5" s="18">
        <f>IF(OR(EF1="",NOT(ISNUMBER(HeadD))),"",EF1-HeadD)</f>
        <v/>
      </c>
      <c r="EG5" s="18">
        <f>IF(OR(EG1="",NOT(ISNUMBER(HeadD))),"",EG1-HeadD)</f>
        <v/>
      </c>
      <c r="EH5" s="18">
        <f>IF(OR(EH1="",NOT(ISNUMBER(HeadD))),"",EH1-HeadD)</f>
        <v/>
      </c>
      <c r="EI5" s="18">
        <f>IF(OR(EI1="",NOT(ISNUMBER(HeadD))),"",EI1-HeadD)</f>
        <v/>
      </c>
      <c r="EJ5" s="18">
        <f>IF(OR(EJ1="",NOT(ISNUMBER(HeadD))),"",EJ1-HeadD)</f>
        <v/>
      </c>
      <c r="EK5" s="18">
        <f>IF(OR(EK1="",NOT(ISNUMBER(HeadD))),"",EK1-HeadD)</f>
        <v/>
      </c>
      <c r="EL5" s="18">
        <f>IF(OR(EL1="",NOT(ISNUMBER(HeadD))),"",EL1-HeadD)</f>
        <v/>
      </c>
      <c r="EM5" s="18">
        <f>IF(OR(EM1="",NOT(ISNUMBER(HeadD))),"",EM1-HeadD)</f>
        <v/>
      </c>
      <c r="EN5" s="18">
        <f>IF(OR(EN1="",NOT(ISNUMBER(HeadD))),"",EN1-HeadD)</f>
        <v/>
      </c>
      <c r="EO5" s="18">
        <f>IF(OR(EO1="",NOT(ISNUMBER(HeadD))),"",EO1-HeadD)</f>
        <v/>
      </c>
      <c r="EP5" s="18">
        <f>IF(OR(EP1="",NOT(ISNUMBER(HeadD))),"",EP1-HeadD)</f>
        <v/>
      </c>
      <c r="EQ5" s="18">
        <f>IF(OR(EQ1="",NOT(ISNUMBER(HeadD))),"",EQ1-HeadD)</f>
        <v/>
      </c>
      <c r="ER5" s="18">
        <f>IF(OR(ER1="",NOT(ISNUMBER(HeadD))),"",ER1-HeadD)</f>
        <v/>
      </c>
      <c r="ES5" s="18">
        <f>IF(OR(ES1="",NOT(ISNUMBER(HeadD))),"",ES1-HeadD)</f>
        <v/>
      </c>
      <c r="ET5" s="18">
        <f>IF(OR(ET1="",NOT(ISNUMBER(HeadD))),"",ET1-HeadD)</f>
        <v/>
      </c>
      <c r="EU5" s="18">
        <f>IF(OR(EU1="",NOT(ISNUMBER(HeadD))),"",EU1-HeadD)</f>
        <v/>
      </c>
      <c r="EV5" s="18">
        <f>IF(OR(EV1="",NOT(ISNUMBER(HeadD))),"",EV1-HeadD)</f>
        <v/>
      </c>
      <c r="EW5" s="18">
        <f>IF(OR(EW1="",NOT(ISNUMBER(HeadD))),"",EW1-HeadD)</f>
        <v/>
      </c>
      <c r="EX5" s="18">
        <f>IF(OR(EX1="",NOT(ISNUMBER(HeadD))),"",EX1-HeadD)</f>
        <v/>
      </c>
      <c r="EY5" s="18">
        <f>IF(OR(EY1="",NOT(ISNUMBER(HeadD))),"",EY1-HeadD)</f>
        <v/>
      </c>
      <c r="EZ5" s="18">
        <f>IF(OR(EZ1="",NOT(ISNUMBER(HeadD))),"",EZ1-HeadD)</f>
        <v/>
      </c>
      <c r="FA5" s="18">
        <f>IF(OR(FA1="",NOT(ISNUMBER(HeadD))),"",FA1-HeadD)</f>
        <v/>
      </c>
      <c r="FB5" s="18">
        <f>IF(OR(FB1="",NOT(ISNUMBER(HeadD))),"",FB1-HeadD)</f>
        <v/>
      </c>
      <c r="FC5" s="18">
        <f>IF(OR(FC1="",NOT(ISNUMBER(HeadD))),"",FC1-HeadD)</f>
        <v/>
      </c>
      <c r="FD5" s="18">
        <f>IF(OR(FD1="",NOT(ISNUMBER(HeadD))),"",FD1-HeadD)</f>
        <v/>
      </c>
      <c r="FE5" s="18">
        <f>IF(OR(FE1="",NOT(ISNUMBER(HeadD))),"",FE1-HeadD)</f>
        <v/>
      </c>
      <c r="FF5" s="18">
        <f>IF(OR(FF1="",NOT(ISNUMBER(HeadD))),"",FF1-HeadD)</f>
        <v/>
      </c>
      <c r="FG5" s="18">
        <f>IF(OR(FG1="",NOT(ISNUMBER(HeadD))),"",FG1-HeadD)</f>
        <v/>
      </c>
      <c r="FH5" s="18">
        <f>IF(OR(FH1="",NOT(ISNUMBER(HeadD))),"",FH1-HeadD)</f>
        <v/>
      </c>
      <c r="FI5" s="18">
        <f>IF(OR(FI1="",NOT(ISNUMBER(HeadD))),"",FI1-HeadD)</f>
        <v/>
      </c>
      <c r="FJ5" s="18">
        <f>IF(OR(FJ1="",NOT(ISNUMBER(HeadD))),"",FJ1-HeadD)</f>
        <v/>
      </c>
      <c r="FK5" s="18">
        <f>IF(OR(FK1="",NOT(ISNUMBER(HeadD))),"",FK1-HeadD)</f>
        <v/>
      </c>
      <c r="FL5" s="18">
        <f>IF(OR(FL1="",NOT(ISNUMBER(HeadD))),"",FL1-HeadD)</f>
        <v/>
      </c>
      <c r="FM5" s="18">
        <f>IF(OR(FM1="",NOT(ISNUMBER(HeadD))),"",FM1-HeadD)</f>
        <v/>
      </c>
      <c r="FN5" s="18">
        <f>IF(OR(FN1="",NOT(ISNUMBER(HeadD))),"",FN1-HeadD)</f>
        <v/>
      </c>
      <c r="FO5" s="18">
        <f>IF(OR(FO1="",NOT(ISNUMBER(HeadD))),"",FO1-HeadD)</f>
        <v/>
      </c>
      <c r="FP5" s="18">
        <f>IF(OR(FP1="",NOT(ISNUMBER(HeadD))),"",FP1-HeadD)</f>
        <v/>
      </c>
      <c r="FQ5" s="18">
        <f>IF(OR(FQ1="",NOT(ISNUMBER(HeadD))),"",FQ1-HeadD)</f>
        <v/>
      </c>
    </row>
    <row r="6">
      <c r="B6" s="4" t="inlineStr">
        <is>
          <t>Stage (schedule)</t>
        </is>
      </c>
      <c r="D6" s="19">
        <f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","")&amp;IF(AND(ISNUMBER(HeadD),D1=HeadD),"Heading","")))</f>
        <v/>
      </c>
      <c r="E6" s="19">
        <f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","")&amp;IF(AND(ISNUMBER(HeadD),E1=HeadD),"Heading","")))</f>
        <v/>
      </c>
      <c r="F6" s="19">
        <f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","")&amp;IF(AND(ISNUMBER(HeadD),F1=HeadD),"Heading","")))</f>
        <v/>
      </c>
      <c r="G6" s="19">
        <f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","")&amp;IF(AND(ISNUMBER(HeadD),G1=HeadD),"Heading","")))</f>
        <v/>
      </c>
      <c r="H6" s="19">
        <f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","")&amp;IF(AND(ISNUMBER(HeadD),H1=HeadD),"Heading","")))</f>
        <v/>
      </c>
      <c r="I6" s="19">
        <f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","")&amp;IF(AND(ISNUMBER(HeadD),I1=HeadD),"Heading","")))</f>
        <v/>
      </c>
      <c r="J6" s="19">
        <f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","")&amp;IF(AND(ISNUMBER(HeadD),J1=HeadD),"Heading","")))</f>
        <v/>
      </c>
      <c r="K6" s="19">
        <f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","")&amp;IF(AND(ISNUMBER(HeadD),K1=HeadD),"Heading","")))</f>
        <v/>
      </c>
      <c r="L6" s="19">
        <f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","")&amp;IF(AND(ISNUMBER(HeadD),L1=HeadD),"Heading","")))</f>
        <v/>
      </c>
      <c r="M6" s="19">
        <f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","")&amp;IF(AND(ISNUMBER(HeadD),M1=HeadD),"Heading","")))</f>
        <v/>
      </c>
      <c r="N6" s="19">
        <f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","")&amp;IF(AND(ISNUMBER(HeadD),N1=HeadD),"Heading","")))</f>
        <v/>
      </c>
      <c r="O6" s="19">
        <f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","")&amp;IF(AND(ISNUMBER(HeadD),O1=HeadD),"Heading","")))</f>
        <v/>
      </c>
      <c r="P6" s="19">
        <f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","")&amp;IF(AND(ISNUMBER(HeadD),P1=HeadD),"Heading","")))</f>
        <v/>
      </c>
      <c r="Q6" s="19">
        <f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","")&amp;IF(AND(ISNUMBER(HeadD),Q1=HeadD),"Heading","")))</f>
        <v/>
      </c>
      <c r="R6" s="19">
        <f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","")&amp;IF(AND(ISNUMBER(HeadD),R1=HeadD),"Heading","")))</f>
        <v/>
      </c>
      <c r="S6" s="19">
        <f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","")&amp;IF(AND(ISNUMBER(HeadD),S1=HeadD),"Heading","")))</f>
        <v/>
      </c>
      <c r="T6" s="19">
        <f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","")&amp;IF(AND(ISNUMBER(HeadD),T1=HeadD),"Heading","")))</f>
        <v/>
      </c>
      <c r="U6" s="19">
        <f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","")&amp;IF(AND(ISNUMBER(HeadD),U1=HeadD),"Heading","")))</f>
        <v/>
      </c>
      <c r="V6" s="19">
        <f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","")&amp;IF(AND(ISNUMBER(HeadD),V1=HeadD),"Heading","")))</f>
        <v/>
      </c>
      <c r="W6" s="19">
        <f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","")&amp;IF(AND(ISNUMBER(HeadD),W1=HeadD),"Heading","")))</f>
        <v/>
      </c>
      <c r="X6" s="19">
        <f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","")&amp;IF(AND(ISNUMBER(HeadD),X1=HeadD),"Heading","")))</f>
        <v/>
      </c>
      <c r="Y6" s="19">
        <f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","")&amp;IF(AND(ISNUMBER(HeadD),Y1=HeadD),"Heading","")))</f>
        <v/>
      </c>
      <c r="Z6" s="19">
        <f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","")&amp;IF(AND(ISNUMBER(HeadD),Z1=HeadD),"Heading","")))</f>
        <v/>
      </c>
      <c r="AA6" s="19">
        <f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","")&amp;IF(AND(ISNUMBER(HeadD),AA1=HeadD),"Heading","")))</f>
        <v/>
      </c>
      <c r="AB6" s="19">
        <f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","")&amp;IF(AND(ISNUMBER(HeadD),AB1=HeadD),"Heading","")))</f>
        <v/>
      </c>
      <c r="AC6" s="19">
        <f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","")&amp;IF(AND(ISNUMBER(HeadD),AC1=HeadD),"Heading","")))</f>
        <v/>
      </c>
      <c r="AD6" s="19">
        <f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","")&amp;IF(AND(ISNUMBER(HeadD),AD1=HeadD),"Heading","")))</f>
        <v/>
      </c>
      <c r="AE6" s="19">
        <f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","")&amp;IF(AND(ISNUMBER(HeadD),AE1=HeadD),"Heading","")))</f>
        <v/>
      </c>
      <c r="AF6" s="19">
        <f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","")&amp;IF(AND(ISNUMBER(HeadD),AF1=HeadD),"Heading","")))</f>
        <v/>
      </c>
      <c r="AG6" s="19">
        <f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","")&amp;IF(AND(ISNUMBER(HeadD),AG1=HeadD),"Heading","")))</f>
        <v/>
      </c>
      <c r="AH6" s="19">
        <f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","")&amp;IF(AND(ISNUMBER(HeadD),AH1=HeadD),"Heading","")))</f>
        <v/>
      </c>
      <c r="AI6" s="19">
        <f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","")&amp;IF(AND(ISNUMBER(HeadD),AI1=HeadD),"Heading","")))</f>
        <v/>
      </c>
      <c r="AJ6" s="19">
        <f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","")&amp;IF(AND(ISNUMBER(HeadD),AJ1=HeadD),"Heading","")))</f>
        <v/>
      </c>
      <c r="AK6" s="19">
        <f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","")&amp;IF(AND(ISNUMBER(HeadD),AK1=HeadD),"Heading","")))</f>
        <v/>
      </c>
      <c r="AL6" s="19">
        <f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","")&amp;IF(AND(ISNUMBER(HeadD),AL1=HeadD),"Heading","")))</f>
        <v/>
      </c>
      <c r="AM6" s="19">
        <f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","")&amp;IF(AND(ISNUMBER(HeadD),AM1=HeadD),"Heading","")))</f>
        <v/>
      </c>
      <c r="AN6" s="19">
        <f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","")&amp;IF(AND(ISNUMBER(HeadD),AN1=HeadD),"Heading","")))</f>
        <v/>
      </c>
      <c r="AO6" s="19">
        <f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","")&amp;IF(AND(ISNUMBER(HeadD),AO1=HeadD),"Heading","")))</f>
        <v/>
      </c>
      <c r="AP6" s="19">
        <f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","")&amp;IF(AND(ISNUMBER(HeadD),AP1=HeadD),"Heading","")))</f>
        <v/>
      </c>
      <c r="AQ6" s="19">
        <f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","")&amp;IF(AND(ISNUMBER(HeadD),AQ1=HeadD),"Heading","")))</f>
        <v/>
      </c>
      <c r="AR6" s="19">
        <f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","")&amp;IF(AND(ISNUMBER(HeadD),AR1=HeadD),"Heading","")))</f>
        <v/>
      </c>
      <c r="AS6" s="19">
        <f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","")&amp;IF(AND(ISNUMBER(HeadD),AS1=HeadD),"Heading","")))</f>
        <v/>
      </c>
      <c r="AT6" s="19">
        <f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","")&amp;IF(AND(ISNUMBER(HeadD),AT1=HeadD),"Heading","")))</f>
        <v/>
      </c>
      <c r="AU6" s="19">
        <f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","")&amp;IF(AND(ISNUMBER(HeadD),AU1=HeadD),"Heading","")))</f>
        <v/>
      </c>
      <c r="AV6" s="19">
        <f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","")&amp;IF(AND(ISNUMBER(HeadD),AV1=HeadD),"Heading","")))</f>
        <v/>
      </c>
      <c r="AW6" s="19">
        <f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","")&amp;IF(AND(ISNUMBER(HeadD),AW1=HeadD),"Heading","")))</f>
        <v/>
      </c>
      <c r="AX6" s="19">
        <f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","")&amp;IF(AND(ISNUMBER(HeadD),AX1=HeadD),"Heading","")))</f>
        <v/>
      </c>
      <c r="AY6" s="19">
        <f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","")&amp;IF(AND(ISNUMBER(HeadD),AY1=HeadD),"Heading","")))</f>
        <v/>
      </c>
      <c r="AZ6" s="19">
        <f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","")&amp;IF(AND(ISNUMBER(HeadD),AZ1=HeadD),"Heading","")))</f>
        <v/>
      </c>
      <c r="BA6" s="19">
        <f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","")&amp;IF(AND(ISNUMBER(HeadD),BA1=HeadD),"Heading","")))</f>
        <v/>
      </c>
      <c r="BB6" s="19">
        <f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","")&amp;IF(AND(ISNUMBER(HeadD),BB1=HeadD),"Heading","")))</f>
        <v/>
      </c>
      <c r="BC6" s="19">
        <f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","")&amp;IF(AND(ISNUMBER(HeadD),BC1=HeadD),"Heading","")))</f>
        <v/>
      </c>
      <c r="BD6" s="19">
        <f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","")&amp;IF(AND(ISNUMBER(HeadD),BD1=HeadD),"Heading","")))</f>
        <v/>
      </c>
      <c r="BE6" s="19">
        <f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","")&amp;IF(AND(ISNUMBER(HeadD),BE1=HeadD),"Heading","")))</f>
        <v/>
      </c>
      <c r="BF6" s="19">
        <f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","")&amp;IF(AND(ISNUMBER(HeadD),BF1=HeadD),"Heading","")))</f>
        <v/>
      </c>
      <c r="BG6" s="19">
        <f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","")&amp;IF(AND(ISNUMBER(HeadD),BG1=HeadD),"Heading","")))</f>
        <v/>
      </c>
      <c r="BH6" s="19">
        <f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","")&amp;IF(AND(ISNUMBER(HeadD),BH1=HeadD),"Heading","")))</f>
        <v/>
      </c>
      <c r="BI6" s="19">
        <f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","")&amp;IF(AND(ISNUMBER(HeadD),BI1=HeadD),"Heading","")))</f>
        <v/>
      </c>
      <c r="BJ6" s="19">
        <f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","")&amp;IF(AND(ISNUMBER(HeadD),BJ1=HeadD),"Heading","")))</f>
        <v/>
      </c>
      <c r="BK6" s="19">
        <f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","")&amp;IF(AND(ISNUMBER(HeadD),BK1=HeadD),"Heading","")))</f>
        <v/>
      </c>
      <c r="BL6" s="19">
        <f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","")&amp;IF(AND(ISNUMBER(HeadD),BL1=HeadD),"Heading","")))</f>
        <v/>
      </c>
      <c r="BM6" s="19">
        <f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","")&amp;IF(AND(ISNUMBER(HeadD),BM1=HeadD),"Heading","")))</f>
        <v/>
      </c>
      <c r="BN6" s="19">
        <f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","")&amp;IF(AND(ISNUMBER(HeadD),BN1=HeadD),"Heading","")))</f>
        <v/>
      </c>
      <c r="BO6" s="19">
        <f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","")&amp;IF(AND(ISNUMBER(HeadD),BO1=HeadD),"Heading","")))</f>
        <v/>
      </c>
      <c r="BP6" s="19">
        <f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","")&amp;IF(AND(ISNUMBER(HeadD),BP1=HeadD),"Heading","")))</f>
        <v/>
      </c>
      <c r="BQ6" s="19">
        <f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","")&amp;IF(AND(ISNUMBER(HeadD),BQ1=HeadD),"Heading","")))</f>
        <v/>
      </c>
      <c r="BR6" s="19">
        <f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","")&amp;IF(AND(ISNUMBER(HeadD),BR1=HeadD),"Heading","")))</f>
        <v/>
      </c>
      <c r="BS6" s="19">
        <f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","")&amp;IF(AND(ISNUMBER(HeadD),BS1=HeadD),"Heading","")))</f>
        <v/>
      </c>
      <c r="BT6" s="19">
        <f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","")&amp;IF(AND(ISNUMBER(HeadD),BT1=HeadD),"Heading","")))</f>
        <v/>
      </c>
      <c r="BU6" s="19">
        <f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","")&amp;IF(AND(ISNUMBER(HeadD),BU1=HeadD),"Heading","")))</f>
        <v/>
      </c>
      <c r="BV6" s="19">
        <f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","")&amp;IF(AND(ISNUMBER(HeadD),BV1=HeadD),"Heading","")))</f>
        <v/>
      </c>
      <c r="BW6" s="19">
        <f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","")&amp;IF(AND(ISNUMBER(HeadD),BW1=HeadD),"Heading","")))</f>
        <v/>
      </c>
      <c r="BX6" s="19">
        <f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","")&amp;IF(AND(ISNUMBER(HeadD),BX1=HeadD),"Heading","")))</f>
        <v/>
      </c>
      <c r="BY6" s="19">
        <f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","")&amp;IF(AND(ISNUMBER(HeadD),BY1=HeadD),"Heading","")))</f>
        <v/>
      </c>
      <c r="BZ6" s="19">
        <f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","")&amp;IF(AND(ISNUMBER(HeadD),BZ1=HeadD),"Heading","")))</f>
        <v/>
      </c>
      <c r="CA6" s="19">
        <f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","")&amp;IF(AND(ISNUMBER(HeadD),CA1=HeadD),"Heading","")))</f>
        <v/>
      </c>
      <c r="CB6" s="19">
        <f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","")&amp;IF(AND(ISNUMBER(HeadD),CB1=HeadD),"Heading","")))</f>
        <v/>
      </c>
      <c r="CC6" s="19">
        <f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","")&amp;IF(AND(ISNUMBER(HeadD),CC1=HeadD),"Heading","")))</f>
        <v/>
      </c>
      <c r="CD6" s="19">
        <f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","")&amp;IF(AND(ISNUMBER(HeadD),CD1=HeadD),"Heading","")))</f>
        <v/>
      </c>
      <c r="CE6" s="19">
        <f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","")&amp;IF(AND(ISNUMBER(HeadD),CE1=HeadD),"Heading","")))</f>
        <v/>
      </c>
      <c r="CF6" s="19">
        <f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","")&amp;IF(AND(ISNUMBER(HeadD),CF1=HeadD),"Heading","")))</f>
        <v/>
      </c>
      <c r="CG6" s="19">
        <f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","")&amp;IF(AND(ISNUMBER(HeadD),CG1=HeadD),"Heading","")))</f>
        <v/>
      </c>
      <c r="CH6" s="19">
        <f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","")&amp;IF(AND(ISNUMBER(HeadD),CH1=HeadD),"Heading","")))</f>
        <v/>
      </c>
      <c r="CI6" s="19">
        <f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","")&amp;IF(AND(ISNUMBER(HeadD),CI1=HeadD),"Heading","")))</f>
        <v/>
      </c>
      <c r="CJ6" s="19">
        <f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","")&amp;IF(AND(ISNUMBER(HeadD),CJ1=HeadD),"Heading","")))</f>
        <v/>
      </c>
      <c r="CK6" s="19">
        <f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","")&amp;IF(AND(ISNUMBER(HeadD),CK1=HeadD),"Heading","")))</f>
        <v/>
      </c>
      <c r="CL6" s="19">
        <f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","")&amp;IF(AND(ISNUMBER(HeadD),CL1=HeadD),"Heading","")))</f>
        <v/>
      </c>
      <c r="CM6" s="19">
        <f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","")&amp;IF(AND(ISNUMBER(HeadD),CM1=HeadD),"Heading","")))</f>
        <v/>
      </c>
      <c r="CN6" s="19">
        <f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","")&amp;IF(AND(ISNUMBER(HeadD),CN1=HeadD),"Heading","")))</f>
        <v/>
      </c>
      <c r="CO6" s="19">
        <f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","")&amp;IF(AND(ISNUMBER(HeadD),CO1=HeadD),"Heading","")))</f>
        <v/>
      </c>
      <c r="CP6" s="19">
        <f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","")&amp;IF(AND(ISNUMBER(HeadD),CP1=HeadD),"Heading","")))</f>
        <v/>
      </c>
      <c r="CQ6" s="19">
        <f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","")&amp;IF(AND(ISNUMBER(HeadD),CQ1=HeadD),"Heading","")))</f>
        <v/>
      </c>
      <c r="CR6" s="19">
        <f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","")&amp;IF(AND(ISNUMBER(HeadD),CR1=HeadD),"Heading","")))</f>
        <v/>
      </c>
      <c r="CS6" s="19">
        <f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","")&amp;IF(AND(ISNUMBER(HeadD),CS1=HeadD),"Heading","")))</f>
        <v/>
      </c>
      <c r="CT6" s="19">
        <f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","")&amp;IF(AND(ISNUMBER(HeadD),CT1=HeadD),"Heading","")))</f>
        <v/>
      </c>
      <c r="CU6" s="19">
        <f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","")&amp;IF(AND(ISNUMBER(HeadD),CU1=HeadD),"Heading","")))</f>
        <v/>
      </c>
      <c r="CV6" s="19">
        <f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","")&amp;IF(AND(ISNUMBER(HeadD),CV1=HeadD),"Heading","")))</f>
        <v/>
      </c>
      <c r="CW6" s="19">
        <f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","")&amp;IF(AND(ISNUMBER(HeadD),CW1=HeadD),"Heading","")))</f>
        <v/>
      </c>
      <c r="CX6" s="19">
        <f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","")&amp;IF(AND(ISNUMBER(HeadD),CX1=HeadD),"Heading","")))</f>
        <v/>
      </c>
      <c r="CY6" s="19">
        <f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","")&amp;IF(AND(ISNUMBER(HeadD),CY1=HeadD),"Heading","")))</f>
        <v/>
      </c>
      <c r="CZ6" s="19">
        <f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","")&amp;IF(AND(ISNUMBER(HeadD),CZ1=HeadD),"Heading","")))</f>
        <v/>
      </c>
      <c r="DA6" s="19">
        <f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","")&amp;IF(AND(ISNUMBER(HeadD),DA1=HeadD),"Heading","")))</f>
        <v/>
      </c>
      <c r="DB6" s="19">
        <f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","")&amp;IF(AND(ISNUMBER(HeadD),DB1=HeadD),"Heading","")))</f>
        <v/>
      </c>
      <c r="DC6" s="19">
        <f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","")&amp;IF(AND(ISNUMBER(HeadD),DC1=HeadD),"Heading","")))</f>
        <v/>
      </c>
      <c r="DD6" s="19">
        <f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","")&amp;IF(AND(ISNUMBER(HeadD),DD1=HeadD),"Heading","")))</f>
        <v/>
      </c>
      <c r="DE6" s="19">
        <f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","")&amp;IF(AND(ISNUMBER(HeadD),DE1=HeadD),"Heading","")))</f>
        <v/>
      </c>
      <c r="DF6" s="19">
        <f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","")&amp;IF(AND(ISNUMBER(HeadD),DF1=HeadD),"Heading","")))</f>
        <v/>
      </c>
      <c r="DG6" s="19">
        <f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","")&amp;IF(AND(ISNUMBER(HeadD),DG1=HeadD),"Heading","")))</f>
        <v/>
      </c>
      <c r="DH6" s="19">
        <f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","")&amp;IF(AND(ISNUMBER(HeadD),DH1=HeadD),"Heading","")))</f>
        <v/>
      </c>
      <c r="DI6" s="19">
        <f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","")&amp;IF(AND(ISNUMBER(HeadD),DI1=HeadD),"Heading","")))</f>
        <v/>
      </c>
      <c r="DJ6" s="19">
        <f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","")&amp;IF(AND(ISNUMBER(HeadD),DJ1=HeadD),"Heading","")))</f>
        <v/>
      </c>
      <c r="DK6" s="19">
        <f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","")&amp;IF(AND(ISNUMBER(HeadD),DK1=HeadD),"Heading","")))</f>
        <v/>
      </c>
      <c r="DL6" s="19">
        <f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","")&amp;IF(AND(ISNUMBER(HeadD),DL1=HeadD),"Heading","")))</f>
        <v/>
      </c>
      <c r="DM6" s="19">
        <f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","")&amp;IF(AND(ISNUMBER(HeadD),DM1=HeadD),"Heading","")))</f>
        <v/>
      </c>
      <c r="DN6" s="19">
        <f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","")&amp;IF(AND(ISNUMBER(HeadD),DN1=HeadD),"Heading","")))</f>
        <v/>
      </c>
      <c r="DO6" s="19">
        <f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","")&amp;IF(AND(ISNUMBER(HeadD),DO1=HeadD),"Heading","")))</f>
        <v/>
      </c>
      <c r="DP6" s="19">
        <f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","")&amp;IF(AND(ISNUMBER(HeadD),DP1=HeadD),"Heading","")))</f>
        <v/>
      </c>
      <c r="DQ6" s="19">
        <f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","")&amp;IF(AND(ISNUMBER(HeadD),DQ1=HeadD),"Heading","")))</f>
        <v/>
      </c>
      <c r="DR6" s="19">
        <f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","")&amp;IF(AND(ISNUMBER(HeadD),DR1=HeadD),"Heading","")))</f>
        <v/>
      </c>
      <c r="DS6" s="19">
        <f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","")&amp;IF(AND(ISNUMBER(HeadD),DS1=HeadD),"Heading","")))</f>
        <v/>
      </c>
      <c r="DT6" s="19">
        <f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","")&amp;IF(AND(ISNUMBER(HeadD),DT1=HeadD),"Heading","")))</f>
        <v/>
      </c>
      <c r="DU6" s="19">
        <f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","")&amp;IF(AND(ISNUMBER(HeadD),DU1=HeadD),"Heading","")))</f>
        <v/>
      </c>
      <c r="DV6" s="19">
        <f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","")&amp;IF(AND(ISNUMBER(HeadD),DV1=HeadD),"Heading","")))</f>
        <v/>
      </c>
      <c r="DW6" s="19">
        <f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","")&amp;IF(AND(ISNUMBER(HeadD),DW1=HeadD),"Heading","")))</f>
        <v/>
      </c>
      <c r="DX6" s="19">
        <f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","")&amp;IF(AND(ISNUMBER(HeadD),DX1=HeadD),"Heading","")))</f>
        <v/>
      </c>
      <c r="DY6" s="19">
        <f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","")&amp;IF(AND(ISNUMBER(HeadD),DY1=HeadD),"Heading","")))</f>
        <v/>
      </c>
      <c r="DZ6" s="19">
        <f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","")&amp;IF(AND(ISNUMBER(HeadD),DZ1=HeadD),"Heading","")))</f>
        <v/>
      </c>
      <c r="EA6" s="19">
        <f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","")&amp;IF(AND(ISNUMBER(HeadD),EA1=HeadD),"Heading","")))</f>
        <v/>
      </c>
      <c r="EB6" s="19">
        <f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","")&amp;IF(AND(ISNUMBER(HeadD),EB1=HeadD),"Heading","")))</f>
        <v/>
      </c>
      <c r="EC6" s="19">
        <f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","")&amp;IF(AND(ISNUMBER(HeadD),EC1=HeadD),"Heading","")))</f>
        <v/>
      </c>
      <c r="ED6" s="19">
        <f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","")&amp;IF(AND(ISNUMBER(HeadD),ED1=HeadD),"Heading","")))</f>
        <v/>
      </c>
      <c r="EE6" s="19">
        <f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","")&amp;IF(AND(ISNUMBER(HeadD),EE1=HeadD),"Heading","")))</f>
        <v/>
      </c>
      <c r="EF6" s="19">
        <f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","")&amp;IF(AND(ISNUMBER(HeadD),EF1=HeadD),"Heading","")))</f>
        <v/>
      </c>
      <c r="EG6" s="19">
        <f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","")&amp;IF(AND(ISNUMBER(HeadD),EG1=HeadD),"Heading","")))</f>
        <v/>
      </c>
      <c r="EH6" s="19">
        <f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","")&amp;IF(AND(ISNUMBER(HeadD),EH1=HeadD),"Heading","")))</f>
        <v/>
      </c>
      <c r="EI6" s="19">
        <f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","")&amp;IF(AND(ISNUMBER(HeadD),EI1=HeadD),"Heading","")))</f>
        <v/>
      </c>
      <c r="EJ6" s="19">
        <f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","")&amp;IF(AND(ISNUMBER(HeadD),EJ1=HeadD),"Heading","")))</f>
        <v/>
      </c>
      <c r="EK6" s="19">
        <f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","")&amp;IF(AND(ISNUMBER(HeadD),EK1=HeadD),"Heading","")))</f>
        <v/>
      </c>
      <c r="EL6" s="19">
        <f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","")&amp;IF(AND(ISNUMBER(HeadD),EL1=HeadD),"Heading","")))</f>
        <v/>
      </c>
      <c r="EM6" s="19">
        <f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","")&amp;IF(AND(ISNUMBER(HeadD),EM1=HeadD),"Heading","")))</f>
        <v/>
      </c>
      <c r="EN6" s="19">
        <f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","")&amp;IF(AND(ISNUMBER(HeadD),EN1=HeadD),"Heading","")))</f>
        <v/>
      </c>
      <c r="EO6" s="19">
        <f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","")&amp;IF(AND(ISNUMBER(HeadD),EO1=HeadD),"Heading","")))</f>
        <v/>
      </c>
      <c r="EP6" s="19">
        <f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","")&amp;IF(AND(ISNUMBER(HeadD),EP1=HeadD),"Heading","")))</f>
        <v/>
      </c>
      <c r="EQ6" s="19">
        <f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","")&amp;IF(AND(ISNUMBER(HeadD),EQ1=HeadD),"Heading","")))</f>
        <v/>
      </c>
      <c r="ER6" s="19">
        <f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","")&amp;IF(AND(ISNUMBER(HeadD),ER1=HeadD),"Heading","")))</f>
        <v/>
      </c>
      <c r="ES6" s="19">
        <f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","")&amp;IF(AND(ISNUMBER(HeadD),ES1=HeadD),"Heading","")))</f>
        <v/>
      </c>
      <c r="ET6" s="19">
        <f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","")&amp;IF(AND(ISNUMBER(HeadD),ET1=HeadD),"Heading","")))</f>
        <v/>
      </c>
      <c r="EU6" s="19">
        <f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","")&amp;IF(AND(ISNUMBER(HeadD),EU1=HeadD),"Heading","")))</f>
        <v/>
      </c>
      <c r="EV6" s="19">
        <f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","")&amp;IF(AND(ISNUMBER(HeadD),EV1=HeadD),"Heading","")))</f>
        <v/>
      </c>
      <c r="EW6" s="19">
        <f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","")&amp;IF(AND(ISNUMBER(HeadD),EW1=HeadD),"Heading","")))</f>
        <v/>
      </c>
      <c r="EX6" s="19">
        <f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","")&amp;IF(AND(ISNUMBER(HeadD),EX1=HeadD),"Heading","")))</f>
        <v/>
      </c>
      <c r="EY6" s="19">
        <f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","")&amp;IF(AND(ISNUMBER(HeadD),EY1=HeadD),"Heading","")))</f>
        <v/>
      </c>
      <c r="EZ6" s="19">
        <f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","")&amp;IF(AND(ISNUMBER(HeadD),EZ1=HeadD),"Heading","")))</f>
        <v/>
      </c>
      <c r="FA6" s="19">
        <f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","")&amp;IF(AND(ISNUMBER(HeadD),FA1=HeadD),"Heading","")))</f>
        <v/>
      </c>
      <c r="FB6" s="19">
        <f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","")&amp;IF(AND(ISNUMBER(HeadD),FB1=HeadD),"Heading","")))</f>
        <v/>
      </c>
      <c r="FC6" s="19">
        <f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","")&amp;IF(AND(ISNUMBER(HeadD),FC1=HeadD),"Heading","")))</f>
        <v/>
      </c>
      <c r="FD6" s="19">
        <f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","")&amp;IF(AND(ISNUMBER(HeadD),FD1=HeadD),"Heading","")))</f>
        <v/>
      </c>
      <c r="FE6" s="19">
        <f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","")&amp;IF(AND(ISNUMBER(HeadD),FE1=HeadD),"Heading","")))</f>
        <v/>
      </c>
      <c r="FF6" s="19">
        <f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","")&amp;IF(AND(ISNUMBER(HeadD),FF1=HeadD),"Heading","")))</f>
        <v/>
      </c>
      <c r="FG6" s="19">
        <f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","")&amp;IF(AND(ISNUMBER(HeadD),FG1=HeadD),"Heading","")))</f>
        <v/>
      </c>
      <c r="FH6" s="19">
        <f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","")&amp;IF(AND(ISNUMBER(HeadD),FH1=HeadD),"Heading","")))</f>
        <v/>
      </c>
      <c r="FI6" s="19">
        <f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","")&amp;IF(AND(ISNUMBER(HeadD),FI1=HeadD),"Heading","")))</f>
        <v/>
      </c>
      <c r="FJ6" s="19">
        <f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","")&amp;IF(AND(ISNUMBER(HeadD),FJ1=HeadD),"Heading","")))</f>
        <v/>
      </c>
      <c r="FK6" s="19">
        <f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","")&amp;IF(AND(ISNUMBER(HeadD),FK1=HeadD),"Heading","")))</f>
        <v/>
      </c>
      <c r="FL6" s="19">
        <f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","")&amp;IF(AND(ISNUMBER(HeadD),FL1=HeadD),"Heading","")))</f>
        <v/>
      </c>
      <c r="FM6" s="19">
        <f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","")&amp;IF(AND(ISNUMBER(HeadD),FM1=HeadD),"Heading","")))</f>
        <v/>
      </c>
      <c r="FN6" s="19">
        <f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","")&amp;IF(AND(ISNUMBER(HeadD),FN1=HeadD),"Heading","")))</f>
        <v/>
      </c>
      <c r="FO6" s="19">
        <f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","")&amp;IF(AND(ISNUMBER(HeadD),FO1=HeadD),"Heading","")))</f>
        <v/>
      </c>
      <c r="FP6" s="19">
        <f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","")&amp;IF(AND(ISNUMBER(HeadD),FP1=HeadD),"Heading","")))</f>
        <v/>
      </c>
      <c r="FQ6" s="19">
        <f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","")&amp;IF(AND(ISNUMBER(HeadD),FQ1=HeadD),"Heading","")))</f>
        <v/>
      </c>
    </row>
    <row r="7">
      <c r="A7" s="20" t="inlineStr">
        <is>
          <t>Both</t>
        </is>
      </c>
      <c r="B7" s="20" t="inlineStr">
        <is>
          <t>Weather / আবহাওয়া</t>
        </is>
      </c>
    </row>
    <row r="8">
      <c r="A8" s="21" t="inlineStr">
        <is>
          <t>Both</t>
        </is>
      </c>
      <c r="B8" s="20" t="inlineStr">
        <is>
          <t>Rain fall (mm) / বৃষ্টি</t>
        </is>
      </c>
      <c r="C8" s="4">
        <f>SUM($D$8:$FQ$8)</f>
        <v/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  <c r="CE8" s="22" t="n"/>
      <c r="CF8" s="22" t="n"/>
      <c r="CG8" s="22" t="n"/>
      <c r="CH8" s="22" t="n"/>
      <c r="CI8" s="22" t="n"/>
      <c r="CJ8" s="22" t="n"/>
      <c r="CK8" s="22" t="n"/>
      <c r="CL8" s="22" t="n"/>
      <c r="CM8" s="22" t="n"/>
      <c r="CN8" s="22" t="n"/>
      <c r="CO8" s="22" t="n"/>
      <c r="CP8" s="22" t="n"/>
      <c r="CQ8" s="22" t="n"/>
      <c r="CR8" s="22" t="n"/>
      <c r="CS8" s="22" t="n"/>
      <c r="CT8" s="22" t="n"/>
      <c r="CU8" s="22" t="n"/>
      <c r="CV8" s="22" t="n"/>
      <c r="CW8" s="22" t="n"/>
      <c r="CX8" s="22" t="n"/>
      <c r="CY8" s="22" t="n"/>
      <c r="CZ8" s="22" t="n"/>
      <c r="DA8" s="22" t="n"/>
      <c r="DB8" s="22" t="n"/>
      <c r="DC8" s="22" t="n"/>
      <c r="DD8" s="22" t="n"/>
      <c r="DE8" s="22" t="n"/>
      <c r="DF8" s="22" t="n"/>
      <c r="DG8" s="22" t="n"/>
      <c r="DH8" s="22" t="n"/>
      <c r="DI8" s="22" t="n"/>
      <c r="DJ8" s="22" t="n"/>
      <c r="DK8" s="22" t="n"/>
      <c r="DL8" s="22" t="n"/>
      <c r="DM8" s="22" t="n"/>
      <c r="DN8" s="22" t="n"/>
      <c r="DO8" s="22" t="n"/>
      <c r="DP8" s="22" t="n"/>
      <c r="DQ8" s="22" t="n"/>
      <c r="DR8" s="22" t="n"/>
      <c r="DS8" s="22" t="n"/>
      <c r="DT8" s="22" t="n"/>
      <c r="DU8" s="22" t="n"/>
      <c r="DV8" s="22" t="n"/>
      <c r="DW8" s="22" t="n"/>
      <c r="DX8" s="22" t="n"/>
      <c r="DY8" s="22" t="n"/>
      <c r="DZ8" s="22" t="n"/>
      <c r="EA8" s="22" t="n"/>
      <c r="EB8" s="22" t="n"/>
      <c r="EC8" s="22" t="n"/>
      <c r="ED8" s="22" t="n"/>
      <c r="EE8" s="22" t="n"/>
      <c r="EF8" s="22" t="n"/>
      <c r="EG8" s="22" t="n"/>
      <c r="EH8" s="22" t="n"/>
      <c r="EI8" s="22" t="n"/>
      <c r="EJ8" s="22" t="n"/>
      <c r="EK8" s="22" t="n"/>
      <c r="EL8" s="22" t="n"/>
      <c r="EM8" s="22" t="n"/>
      <c r="EN8" s="22" t="n"/>
      <c r="EO8" s="22" t="n"/>
      <c r="EP8" s="22" t="n"/>
      <c r="EQ8" s="22" t="n"/>
      <c r="ER8" s="22" t="n"/>
      <c r="ES8" s="22" t="n"/>
      <c r="ET8" s="22" t="n"/>
      <c r="EU8" s="22" t="n"/>
      <c r="EV8" s="22" t="n"/>
      <c r="EW8" s="22" t="n"/>
      <c r="EX8" s="22" t="n"/>
      <c r="EY8" s="22" t="n"/>
      <c r="EZ8" s="22" t="n"/>
      <c r="FA8" s="22" t="n"/>
      <c r="FB8" s="22" t="n"/>
      <c r="FC8" s="22" t="n"/>
      <c r="FD8" s="22" t="n"/>
      <c r="FE8" s="22" t="n"/>
      <c r="FF8" s="22" t="n"/>
      <c r="FG8" s="22" t="n"/>
      <c r="FH8" s="22" t="n"/>
      <c r="FI8" s="22" t="n"/>
      <c r="FJ8" s="22" t="n"/>
      <c r="FK8" s="22" t="n"/>
      <c r="FL8" s="22" t="n"/>
      <c r="FM8" s="22" t="n"/>
      <c r="FN8" s="22" t="n"/>
      <c r="FO8" s="22" t="n"/>
      <c r="FP8" s="22" t="n"/>
      <c r="FQ8" s="22" t="n"/>
    </row>
    <row r="9">
      <c r="A9" s="21" t="inlineStr">
        <is>
          <t>Both</t>
        </is>
      </c>
      <c r="B9" s="20" t="inlineStr">
        <is>
          <t>Temperature (°C) / তাপমাত্রা</t>
        </is>
      </c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  <c r="CE9" s="22" t="n"/>
      <c r="CF9" s="22" t="n"/>
      <c r="CG9" s="22" t="n"/>
      <c r="CH9" s="22" t="n"/>
      <c r="CI9" s="22" t="n"/>
      <c r="CJ9" s="22" t="n"/>
      <c r="CK9" s="22" t="n"/>
      <c r="CL9" s="22" t="n"/>
      <c r="CM9" s="22" t="n"/>
      <c r="CN9" s="22" t="n"/>
      <c r="CO9" s="22" t="n"/>
      <c r="CP9" s="22" t="n"/>
      <c r="CQ9" s="22" t="n"/>
      <c r="CR9" s="22" t="n"/>
      <c r="CS9" s="22" t="n"/>
      <c r="CT9" s="22" t="n"/>
      <c r="CU9" s="22" t="n"/>
      <c r="CV9" s="22" t="n"/>
      <c r="CW9" s="22" t="n"/>
      <c r="CX9" s="22" t="n"/>
      <c r="CY9" s="22" t="n"/>
      <c r="CZ9" s="22" t="n"/>
      <c r="DA9" s="22" t="n"/>
      <c r="DB9" s="22" t="n"/>
      <c r="DC9" s="22" t="n"/>
      <c r="DD9" s="22" t="n"/>
      <c r="DE9" s="22" t="n"/>
      <c r="DF9" s="22" t="n"/>
      <c r="DG9" s="22" t="n"/>
      <c r="DH9" s="22" t="n"/>
      <c r="DI9" s="22" t="n"/>
      <c r="DJ9" s="22" t="n"/>
      <c r="DK9" s="22" t="n"/>
      <c r="DL9" s="22" t="n"/>
      <c r="DM9" s="22" t="n"/>
      <c r="DN9" s="22" t="n"/>
      <c r="DO9" s="22" t="n"/>
      <c r="DP9" s="22" t="n"/>
      <c r="DQ9" s="22" t="n"/>
      <c r="DR9" s="22" t="n"/>
      <c r="DS9" s="22" t="n"/>
      <c r="DT9" s="22" t="n"/>
      <c r="DU9" s="22" t="n"/>
      <c r="DV9" s="22" t="n"/>
      <c r="DW9" s="22" t="n"/>
      <c r="DX9" s="22" t="n"/>
      <c r="DY9" s="22" t="n"/>
      <c r="DZ9" s="22" t="n"/>
      <c r="EA9" s="22" t="n"/>
      <c r="EB9" s="22" t="n"/>
      <c r="EC9" s="22" t="n"/>
      <c r="ED9" s="22" t="n"/>
      <c r="EE9" s="22" t="n"/>
      <c r="EF9" s="22" t="n"/>
      <c r="EG9" s="22" t="n"/>
      <c r="EH9" s="22" t="n"/>
      <c r="EI9" s="22" t="n"/>
      <c r="EJ9" s="22" t="n"/>
      <c r="EK9" s="22" t="n"/>
      <c r="EL9" s="22" t="n"/>
      <c r="EM9" s="22" t="n"/>
      <c r="EN9" s="22" t="n"/>
      <c r="EO9" s="22" t="n"/>
      <c r="EP9" s="22" t="n"/>
      <c r="EQ9" s="22" t="n"/>
      <c r="ER9" s="22" t="n"/>
      <c r="ES9" s="22" t="n"/>
      <c r="ET9" s="22" t="n"/>
      <c r="EU9" s="22" t="n"/>
      <c r="EV9" s="22" t="n"/>
      <c r="EW9" s="22" t="n"/>
      <c r="EX9" s="22" t="n"/>
      <c r="EY9" s="22" t="n"/>
      <c r="EZ9" s="22" t="n"/>
      <c r="FA9" s="22" t="n"/>
      <c r="FB9" s="22" t="n"/>
      <c r="FC9" s="22" t="n"/>
      <c r="FD9" s="22" t="n"/>
      <c r="FE9" s="22" t="n"/>
      <c r="FF9" s="22" t="n"/>
      <c r="FG9" s="22" t="n"/>
      <c r="FH9" s="22" t="n"/>
      <c r="FI9" s="22" t="n"/>
      <c r="FJ9" s="22" t="n"/>
      <c r="FK9" s="22" t="n"/>
      <c r="FL9" s="22" t="n"/>
      <c r="FM9" s="22" t="n"/>
      <c r="FN9" s="22" t="n"/>
      <c r="FO9" s="22" t="n"/>
      <c r="FP9" s="22" t="n"/>
      <c r="FQ9" s="22" t="n"/>
    </row>
    <row r="10">
      <c r="A10" s="21" t="inlineStr">
        <is>
          <t>Both</t>
        </is>
      </c>
      <c r="B10" s="20" t="inlineStr">
        <is>
          <t>Humidity (%) / আর্দ্রতা</t>
        </is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  <c r="CE10" s="22" t="n"/>
      <c r="CF10" s="22" t="n"/>
      <c r="CG10" s="22" t="n"/>
      <c r="CH10" s="22" t="n"/>
      <c r="CI10" s="22" t="n"/>
      <c r="CJ10" s="22" t="n"/>
      <c r="CK10" s="22" t="n"/>
      <c r="CL10" s="22" t="n"/>
      <c r="CM10" s="22" t="n"/>
      <c r="CN10" s="22" t="n"/>
      <c r="CO10" s="22" t="n"/>
      <c r="CP10" s="22" t="n"/>
      <c r="CQ10" s="22" t="n"/>
      <c r="CR10" s="22" t="n"/>
      <c r="CS10" s="22" t="n"/>
      <c r="CT10" s="22" t="n"/>
      <c r="CU10" s="22" t="n"/>
      <c r="CV10" s="22" t="n"/>
      <c r="CW10" s="22" t="n"/>
      <c r="CX10" s="22" t="n"/>
      <c r="CY10" s="22" t="n"/>
      <c r="CZ10" s="22" t="n"/>
      <c r="DA10" s="22" t="n"/>
      <c r="DB10" s="22" t="n"/>
      <c r="DC10" s="22" t="n"/>
      <c r="DD10" s="22" t="n"/>
      <c r="DE10" s="22" t="n"/>
      <c r="DF10" s="22" t="n"/>
      <c r="DG10" s="22" t="n"/>
      <c r="DH10" s="22" t="n"/>
      <c r="DI10" s="22" t="n"/>
      <c r="DJ10" s="22" t="n"/>
      <c r="DK10" s="22" t="n"/>
      <c r="DL10" s="22" t="n"/>
      <c r="DM10" s="22" t="n"/>
      <c r="DN10" s="22" t="n"/>
      <c r="DO10" s="22" t="n"/>
      <c r="DP10" s="22" t="n"/>
      <c r="DQ10" s="22" t="n"/>
      <c r="DR10" s="22" t="n"/>
      <c r="DS10" s="22" t="n"/>
      <c r="DT10" s="22" t="n"/>
      <c r="DU10" s="22" t="n"/>
      <c r="DV10" s="22" t="n"/>
      <c r="DW10" s="22" t="n"/>
      <c r="DX10" s="22" t="n"/>
      <c r="DY10" s="22" t="n"/>
      <c r="DZ10" s="22" t="n"/>
      <c r="EA10" s="22" t="n"/>
      <c r="EB10" s="22" t="n"/>
      <c r="EC10" s="22" t="n"/>
      <c r="ED10" s="22" t="n"/>
      <c r="EE10" s="22" t="n"/>
      <c r="EF10" s="22" t="n"/>
      <c r="EG10" s="22" t="n"/>
      <c r="EH10" s="22" t="n"/>
      <c r="EI10" s="22" t="n"/>
      <c r="EJ10" s="22" t="n"/>
      <c r="EK10" s="22" t="n"/>
      <c r="EL10" s="22" t="n"/>
      <c r="EM10" s="22" t="n"/>
      <c r="EN10" s="22" t="n"/>
      <c r="EO10" s="22" t="n"/>
      <c r="EP10" s="22" t="n"/>
      <c r="EQ10" s="22" t="n"/>
      <c r="ER10" s="22" t="n"/>
      <c r="ES10" s="22" t="n"/>
      <c r="ET10" s="22" t="n"/>
      <c r="EU10" s="22" t="n"/>
      <c r="EV10" s="22" t="n"/>
      <c r="EW10" s="22" t="n"/>
      <c r="EX10" s="22" t="n"/>
      <c r="EY10" s="22" t="n"/>
      <c r="EZ10" s="22" t="n"/>
      <c r="FA10" s="22" t="n"/>
      <c r="FB10" s="22" t="n"/>
      <c r="FC10" s="22" t="n"/>
      <c r="FD10" s="22" t="n"/>
      <c r="FE10" s="22" t="n"/>
      <c r="FF10" s="22" t="n"/>
      <c r="FG10" s="22" t="n"/>
      <c r="FH10" s="22" t="n"/>
      <c r="FI10" s="22" t="n"/>
      <c r="FJ10" s="22" t="n"/>
      <c r="FK10" s="22" t="n"/>
      <c r="FL10" s="22" t="n"/>
      <c r="FM10" s="22" t="n"/>
      <c r="FN10" s="22" t="n"/>
      <c r="FO10" s="22" t="n"/>
      <c r="FP10" s="22" t="n"/>
      <c r="FQ10" s="22" t="n"/>
    </row>
    <row r="11">
      <c r="A11" s="23" t="inlineStr">
        <is>
          <t>FP</t>
        </is>
      </c>
      <c r="B11" s="24" t="inlineStr">
        <is>
          <t>Farmers practice plot</t>
        </is>
      </c>
    </row>
    <row r="12">
      <c r="A12" s="25" t="inlineStr">
        <is>
          <t>FP</t>
        </is>
      </c>
      <c r="B12" s="24" t="inlineStr">
        <is>
          <t>Daily m (cm) * / দৈনিক m</t>
        </is>
      </c>
      <c r="C12" s="18">
        <f>COUNT($D$12:$FQ$12)&amp;" days"</f>
        <v/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/>
      <c r="DT12" s="22" t="n"/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2" t="n"/>
      <c r="ED12" s="22" t="n"/>
      <c r="EE12" s="22" t="n"/>
      <c r="EF12" s="22" t="n"/>
      <c r="EG12" s="22" t="n"/>
      <c r="EH12" s="22" t="n"/>
      <c r="EI12" s="22" t="n"/>
      <c r="EJ12" s="22" t="n"/>
      <c r="EK12" s="22" t="n"/>
      <c r="EL12" s="22" t="n"/>
      <c r="EM12" s="22" t="n"/>
      <c r="EN12" s="22" t="n"/>
      <c r="EO12" s="22" t="n"/>
      <c r="EP12" s="22" t="n"/>
      <c r="EQ12" s="22" t="n"/>
      <c r="ER12" s="22" t="n"/>
      <c r="ES12" s="22" t="n"/>
      <c r="ET12" s="22" t="n"/>
      <c r="EU12" s="22" t="n"/>
      <c r="EV12" s="22" t="n"/>
      <c r="EW12" s="22" t="n"/>
      <c r="EX12" s="22" t="n"/>
      <c r="EY12" s="22" t="n"/>
      <c r="EZ12" s="22" t="n"/>
      <c r="FA12" s="22" t="n"/>
      <c r="FB12" s="22" t="n"/>
      <c r="FC12" s="22" t="n"/>
      <c r="FD12" s="22" t="n"/>
      <c r="FE12" s="22" t="n"/>
      <c r="FF12" s="22" t="n"/>
      <c r="FG12" s="22" t="n"/>
      <c r="FH12" s="22" t="n"/>
      <c r="FI12" s="22" t="n"/>
      <c r="FJ12" s="22" t="n"/>
      <c r="FK12" s="22" t="n"/>
      <c r="FL12" s="22" t="n"/>
      <c r="FM12" s="22" t="n"/>
      <c r="FN12" s="22" t="n"/>
      <c r="FO12" s="22" t="n"/>
      <c r="FP12" s="22" t="n"/>
      <c r="FQ12" s="22" t="n"/>
    </row>
    <row r="13">
      <c r="A13" s="25" t="inlineStr">
        <is>
          <t>FP</t>
        </is>
      </c>
      <c r="B13" s="24" t="inlineStr">
        <is>
          <t>Daily water level (cm) / পানির স্তর</t>
        </is>
      </c>
      <c r="D13" s="6">
        <f>IF(OR(D1="",NOT(ISNUMBER(D12)),D14=""),"",ROUND(D12-D14+D15,1))</f>
        <v/>
      </c>
      <c r="E13" s="6">
        <f>IF(OR(E1="",NOT(ISNUMBER(E12)),E14=""),"",ROUND(E12-E14+E15,1))</f>
        <v/>
      </c>
      <c r="F13" s="6">
        <f>IF(OR(F1="",NOT(ISNUMBER(F12)),F14=""),"",ROUND(F12-F14+F15,1))</f>
        <v/>
      </c>
      <c r="G13" s="6">
        <f>IF(OR(G1="",NOT(ISNUMBER(G12)),G14=""),"",ROUND(G12-G14+G15,1))</f>
        <v/>
      </c>
      <c r="H13" s="6">
        <f>IF(OR(H1="",NOT(ISNUMBER(H12)),H14=""),"",ROUND(H12-H14+H15,1))</f>
        <v/>
      </c>
      <c r="I13" s="6">
        <f>IF(OR(I1="",NOT(ISNUMBER(I12)),I14=""),"",ROUND(I12-I14+I15,1))</f>
        <v/>
      </c>
      <c r="J13" s="6">
        <f>IF(OR(J1="",NOT(ISNUMBER(J12)),J14=""),"",ROUND(J12-J14+J15,1))</f>
        <v/>
      </c>
      <c r="K13" s="6">
        <f>IF(OR(K1="",NOT(ISNUMBER(K12)),K14=""),"",ROUND(K12-K14+K15,1))</f>
        <v/>
      </c>
      <c r="L13" s="6">
        <f>IF(OR(L1="",NOT(ISNUMBER(L12)),L14=""),"",ROUND(L12-L14+L15,1))</f>
        <v/>
      </c>
      <c r="M13" s="6">
        <f>IF(OR(M1="",NOT(ISNUMBER(M12)),M14=""),"",ROUND(M12-M14+M15,1))</f>
        <v/>
      </c>
      <c r="N13" s="6">
        <f>IF(OR(N1="",NOT(ISNUMBER(N12)),N14=""),"",ROUND(N12-N14+N15,1))</f>
        <v/>
      </c>
      <c r="O13" s="6">
        <f>IF(OR(O1="",NOT(ISNUMBER(O12)),O14=""),"",ROUND(O12-O14+O15,1))</f>
        <v/>
      </c>
      <c r="P13" s="6">
        <f>IF(OR(P1="",NOT(ISNUMBER(P12)),P14=""),"",ROUND(P12-P14+P15,1))</f>
        <v/>
      </c>
      <c r="Q13" s="6">
        <f>IF(OR(Q1="",NOT(ISNUMBER(Q12)),Q14=""),"",ROUND(Q12-Q14+Q15,1))</f>
        <v/>
      </c>
      <c r="R13" s="6">
        <f>IF(OR(R1="",NOT(ISNUMBER(R12)),R14=""),"",ROUND(R12-R14+R15,1))</f>
        <v/>
      </c>
      <c r="S13" s="6">
        <f>IF(OR(S1="",NOT(ISNUMBER(S12)),S14=""),"",ROUND(S12-S14+S15,1))</f>
        <v/>
      </c>
      <c r="T13" s="6">
        <f>IF(OR(T1="",NOT(ISNUMBER(T12)),T14=""),"",ROUND(T12-T14+T15,1))</f>
        <v/>
      </c>
      <c r="U13" s="6">
        <f>IF(OR(U1="",NOT(ISNUMBER(U12)),U14=""),"",ROUND(U12-U14+U15,1))</f>
        <v/>
      </c>
      <c r="V13" s="6">
        <f>IF(OR(V1="",NOT(ISNUMBER(V12)),V14=""),"",ROUND(V12-V14+V15,1))</f>
        <v/>
      </c>
      <c r="W13" s="6">
        <f>IF(OR(W1="",NOT(ISNUMBER(W12)),W14=""),"",ROUND(W12-W14+W15,1))</f>
        <v/>
      </c>
      <c r="X13" s="6">
        <f>IF(OR(X1="",NOT(ISNUMBER(X12)),X14=""),"",ROUND(X12-X14+X15,1))</f>
        <v/>
      </c>
      <c r="Y13" s="6">
        <f>IF(OR(Y1="",NOT(ISNUMBER(Y12)),Y14=""),"",ROUND(Y12-Y14+Y15,1))</f>
        <v/>
      </c>
      <c r="Z13" s="6">
        <f>IF(OR(Z1="",NOT(ISNUMBER(Z12)),Z14=""),"",ROUND(Z12-Z14+Z15,1))</f>
        <v/>
      </c>
      <c r="AA13" s="6">
        <f>IF(OR(AA1="",NOT(ISNUMBER(AA12)),AA14=""),"",ROUND(AA12-AA14+AA15,1))</f>
        <v/>
      </c>
      <c r="AB13" s="6">
        <f>IF(OR(AB1="",NOT(ISNUMBER(AB12)),AB14=""),"",ROUND(AB12-AB14+AB15,1))</f>
        <v/>
      </c>
      <c r="AC13" s="6">
        <f>IF(OR(AC1="",NOT(ISNUMBER(AC12)),AC14=""),"",ROUND(AC12-AC14+AC15,1))</f>
        <v/>
      </c>
      <c r="AD13" s="6">
        <f>IF(OR(AD1="",NOT(ISNUMBER(AD12)),AD14=""),"",ROUND(AD12-AD14+AD15,1))</f>
        <v/>
      </c>
      <c r="AE13" s="6">
        <f>IF(OR(AE1="",NOT(ISNUMBER(AE12)),AE14=""),"",ROUND(AE12-AE14+AE15,1))</f>
        <v/>
      </c>
      <c r="AF13" s="6">
        <f>IF(OR(AF1="",NOT(ISNUMBER(AF12)),AF14=""),"",ROUND(AF12-AF14+AF15,1))</f>
        <v/>
      </c>
      <c r="AG13" s="6">
        <f>IF(OR(AG1="",NOT(ISNUMBER(AG12)),AG14=""),"",ROUND(AG12-AG14+AG15,1))</f>
        <v/>
      </c>
      <c r="AH13" s="6">
        <f>IF(OR(AH1="",NOT(ISNUMBER(AH12)),AH14=""),"",ROUND(AH12-AH14+AH15,1))</f>
        <v/>
      </c>
      <c r="AI13" s="6">
        <f>IF(OR(AI1="",NOT(ISNUMBER(AI12)),AI14=""),"",ROUND(AI12-AI14+AI15,1))</f>
        <v/>
      </c>
      <c r="AJ13" s="6">
        <f>IF(OR(AJ1="",NOT(ISNUMBER(AJ12)),AJ14=""),"",ROUND(AJ12-AJ14+AJ15,1))</f>
        <v/>
      </c>
      <c r="AK13" s="6">
        <f>IF(OR(AK1="",NOT(ISNUMBER(AK12)),AK14=""),"",ROUND(AK12-AK14+AK15,1))</f>
        <v/>
      </c>
      <c r="AL13" s="6">
        <f>IF(OR(AL1="",NOT(ISNUMBER(AL12)),AL14=""),"",ROUND(AL12-AL14+AL15,1))</f>
        <v/>
      </c>
      <c r="AM13" s="6">
        <f>IF(OR(AM1="",NOT(ISNUMBER(AM12)),AM14=""),"",ROUND(AM12-AM14+AM15,1))</f>
        <v/>
      </c>
      <c r="AN13" s="6">
        <f>IF(OR(AN1="",NOT(ISNUMBER(AN12)),AN14=""),"",ROUND(AN12-AN14+AN15,1))</f>
        <v/>
      </c>
      <c r="AO13" s="6">
        <f>IF(OR(AO1="",NOT(ISNUMBER(AO12)),AO14=""),"",ROUND(AO12-AO14+AO15,1))</f>
        <v/>
      </c>
      <c r="AP13" s="6">
        <f>IF(OR(AP1="",NOT(ISNUMBER(AP12)),AP14=""),"",ROUND(AP12-AP14+AP15,1))</f>
        <v/>
      </c>
      <c r="AQ13" s="6">
        <f>IF(OR(AQ1="",NOT(ISNUMBER(AQ12)),AQ14=""),"",ROUND(AQ12-AQ14+AQ15,1))</f>
        <v/>
      </c>
      <c r="AR13" s="6">
        <f>IF(OR(AR1="",NOT(ISNUMBER(AR12)),AR14=""),"",ROUND(AR12-AR14+AR15,1))</f>
        <v/>
      </c>
      <c r="AS13" s="6">
        <f>IF(OR(AS1="",NOT(ISNUMBER(AS12)),AS14=""),"",ROUND(AS12-AS14+AS15,1))</f>
        <v/>
      </c>
      <c r="AT13" s="6">
        <f>IF(OR(AT1="",NOT(ISNUMBER(AT12)),AT14=""),"",ROUND(AT12-AT14+AT15,1))</f>
        <v/>
      </c>
      <c r="AU13" s="6">
        <f>IF(OR(AU1="",NOT(ISNUMBER(AU12)),AU14=""),"",ROUND(AU12-AU14+AU15,1))</f>
        <v/>
      </c>
      <c r="AV13" s="6">
        <f>IF(OR(AV1="",NOT(ISNUMBER(AV12)),AV14=""),"",ROUND(AV12-AV14+AV15,1))</f>
        <v/>
      </c>
      <c r="AW13" s="6">
        <f>IF(OR(AW1="",NOT(ISNUMBER(AW12)),AW14=""),"",ROUND(AW12-AW14+AW15,1))</f>
        <v/>
      </c>
      <c r="AX13" s="6">
        <f>IF(OR(AX1="",NOT(ISNUMBER(AX12)),AX14=""),"",ROUND(AX12-AX14+AX15,1))</f>
        <v/>
      </c>
      <c r="AY13" s="6">
        <f>IF(OR(AY1="",NOT(ISNUMBER(AY12)),AY14=""),"",ROUND(AY12-AY14+AY15,1))</f>
        <v/>
      </c>
      <c r="AZ13" s="6">
        <f>IF(OR(AZ1="",NOT(ISNUMBER(AZ12)),AZ14=""),"",ROUND(AZ12-AZ14+AZ15,1))</f>
        <v/>
      </c>
      <c r="BA13" s="6">
        <f>IF(OR(BA1="",NOT(ISNUMBER(BA12)),BA14=""),"",ROUND(BA12-BA14+BA15,1))</f>
        <v/>
      </c>
      <c r="BB13" s="6">
        <f>IF(OR(BB1="",NOT(ISNUMBER(BB12)),BB14=""),"",ROUND(BB12-BB14+BB15,1))</f>
        <v/>
      </c>
      <c r="BC13" s="6">
        <f>IF(OR(BC1="",NOT(ISNUMBER(BC12)),BC14=""),"",ROUND(BC12-BC14+BC15,1))</f>
        <v/>
      </c>
      <c r="BD13" s="6">
        <f>IF(OR(BD1="",NOT(ISNUMBER(BD12)),BD14=""),"",ROUND(BD12-BD14+BD15,1))</f>
        <v/>
      </c>
      <c r="BE13" s="6">
        <f>IF(OR(BE1="",NOT(ISNUMBER(BE12)),BE14=""),"",ROUND(BE12-BE14+BE15,1))</f>
        <v/>
      </c>
      <c r="BF13" s="6">
        <f>IF(OR(BF1="",NOT(ISNUMBER(BF12)),BF14=""),"",ROUND(BF12-BF14+BF15,1))</f>
        <v/>
      </c>
      <c r="BG13" s="6">
        <f>IF(OR(BG1="",NOT(ISNUMBER(BG12)),BG14=""),"",ROUND(BG12-BG14+BG15,1))</f>
        <v/>
      </c>
      <c r="BH13" s="6">
        <f>IF(OR(BH1="",NOT(ISNUMBER(BH12)),BH14=""),"",ROUND(BH12-BH14+BH15,1))</f>
        <v/>
      </c>
      <c r="BI13" s="6">
        <f>IF(OR(BI1="",NOT(ISNUMBER(BI12)),BI14=""),"",ROUND(BI12-BI14+BI15,1))</f>
        <v/>
      </c>
      <c r="BJ13" s="6">
        <f>IF(OR(BJ1="",NOT(ISNUMBER(BJ12)),BJ14=""),"",ROUND(BJ12-BJ14+BJ15,1))</f>
        <v/>
      </c>
      <c r="BK13" s="6">
        <f>IF(OR(BK1="",NOT(ISNUMBER(BK12)),BK14=""),"",ROUND(BK12-BK14+BK15,1))</f>
        <v/>
      </c>
      <c r="BL13" s="6">
        <f>IF(OR(BL1="",NOT(ISNUMBER(BL12)),BL14=""),"",ROUND(BL12-BL14+BL15,1))</f>
        <v/>
      </c>
      <c r="BM13" s="6">
        <f>IF(OR(BM1="",NOT(ISNUMBER(BM12)),BM14=""),"",ROUND(BM12-BM14+BM15,1))</f>
        <v/>
      </c>
      <c r="BN13" s="6">
        <f>IF(OR(BN1="",NOT(ISNUMBER(BN12)),BN14=""),"",ROUND(BN12-BN14+BN15,1))</f>
        <v/>
      </c>
      <c r="BO13" s="6">
        <f>IF(OR(BO1="",NOT(ISNUMBER(BO12)),BO14=""),"",ROUND(BO12-BO14+BO15,1))</f>
        <v/>
      </c>
      <c r="BP13" s="6">
        <f>IF(OR(BP1="",NOT(ISNUMBER(BP12)),BP14=""),"",ROUND(BP12-BP14+BP15,1))</f>
        <v/>
      </c>
      <c r="BQ13" s="6">
        <f>IF(OR(BQ1="",NOT(ISNUMBER(BQ12)),BQ14=""),"",ROUND(BQ12-BQ14+BQ15,1))</f>
        <v/>
      </c>
      <c r="BR13" s="6">
        <f>IF(OR(BR1="",NOT(ISNUMBER(BR12)),BR14=""),"",ROUND(BR12-BR14+BR15,1))</f>
        <v/>
      </c>
      <c r="BS13" s="6">
        <f>IF(OR(BS1="",NOT(ISNUMBER(BS12)),BS14=""),"",ROUND(BS12-BS14+BS15,1))</f>
        <v/>
      </c>
      <c r="BT13" s="6">
        <f>IF(OR(BT1="",NOT(ISNUMBER(BT12)),BT14=""),"",ROUND(BT12-BT14+BT15,1))</f>
        <v/>
      </c>
      <c r="BU13" s="6">
        <f>IF(OR(BU1="",NOT(ISNUMBER(BU12)),BU14=""),"",ROUND(BU12-BU14+BU15,1))</f>
        <v/>
      </c>
      <c r="BV13" s="6">
        <f>IF(OR(BV1="",NOT(ISNUMBER(BV12)),BV14=""),"",ROUND(BV12-BV14+BV15,1))</f>
        <v/>
      </c>
      <c r="BW13" s="6">
        <f>IF(OR(BW1="",NOT(ISNUMBER(BW12)),BW14=""),"",ROUND(BW12-BW14+BW15,1))</f>
        <v/>
      </c>
      <c r="BX13" s="6">
        <f>IF(OR(BX1="",NOT(ISNUMBER(BX12)),BX14=""),"",ROUND(BX12-BX14+BX15,1))</f>
        <v/>
      </c>
      <c r="BY13" s="6">
        <f>IF(OR(BY1="",NOT(ISNUMBER(BY12)),BY14=""),"",ROUND(BY12-BY14+BY15,1))</f>
        <v/>
      </c>
      <c r="BZ13" s="6">
        <f>IF(OR(BZ1="",NOT(ISNUMBER(BZ12)),BZ14=""),"",ROUND(BZ12-BZ14+BZ15,1))</f>
        <v/>
      </c>
      <c r="CA13" s="6">
        <f>IF(OR(CA1="",NOT(ISNUMBER(CA12)),CA14=""),"",ROUND(CA12-CA14+CA15,1))</f>
        <v/>
      </c>
      <c r="CB13" s="6">
        <f>IF(OR(CB1="",NOT(ISNUMBER(CB12)),CB14=""),"",ROUND(CB12-CB14+CB15,1))</f>
        <v/>
      </c>
      <c r="CC13" s="6">
        <f>IF(OR(CC1="",NOT(ISNUMBER(CC12)),CC14=""),"",ROUND(CC12-CC14+CC15,1))</f>
        <v/>
      </c>
      <c r="CD13" s="6">
        <f>IF(OR(CD1="",NOT(ISNUMBER(CD12)),CD14=""),"",ROUND(CD12-CD14+CD15,1))</f>
        <v/>
      </c>
      <c r="CE13" s="6">
        <f>IF(OR(CE1="",NOT(ISNUMBER(CE12)),CE14=""),"",ROUND(CE12-CE14+CE15,1))</f>
        <v/>
      </c>
      <c r="CF13" s="6">
        <f>IF(OR(CF1="",NOT(ISNUMBER(CF12)),CF14=""),"",ROUND(CF12-CF14+CF15,1))</f>
        <v/>
      </c>
      <c r="CG13" s="6">
        <f>IF(OR(CG1="",NOT(ISNUMBER(CG12)),CG14=""),"",ROUND(CG12-CG14+CG15,1))</f>
        <v/>
      </c>
      <c r="CH13" s="6">
        <f>IF(OR(CH1="",NOT(ISNUMBER(CH12)),CH14=""),"",ROUND(CH12-CH14+CH15,1))</f>
        <v/>
      </c>
      <c r="CI13" s="6">
        <f>IF(OR(CI1="",NOT(ISNUMBER(CI12)),CI14=""),"",ROUND(CI12-CI14+CI15,1))</f>
        <v/>
      </c>
      <c r="CJ13" s="6">
        <f>IF(OR(CJ1="",NOT(ISNUMBER(CJ12)),CJ14=""),"",ROUND(CJ12-CJ14+CJ15,1))</f>
        <v/>
      </c>
      <c r="CK13" s="6">
        <f>IF(OR(CK1="",NOT(ISNUMBER(CK12)),CK14=""),"",ROUND(CK12-CK14+CK15,1))</f>
        <v/>
      </c>
      <c r="CL13" s="6">
        <f>IF(OR(CL1="",NOT(ISNUMBER(CL12)),CL14=""),"",ROUND(CL12-CL14+CL15,1))</f>
        <v/>
      </c>
      <c r="CM13" s="6">
        <f>IF(OR(CM1="",NOT(ISNUMBER(CM12)),CM14=""),"",ROUND(CM12-CM14+CM15,1))</f>
        <v/>
      </c>
      <c r="CN13" s="6">
        <f>IF(OR(CN1="",NOT(ISNUMBER(CN12)),CN14=""),"",ROUND(CN12-CN14+CN15,1))</f>
        <v/>
      </c>
      <c r="CO13" s="6">
        <f>IF(OR(CO1="",NOT(ISNUMBER(CO12)),CO14=""),"",ROUND(CO12-CO14+CO15,1))</f>
        <v/>
      </c>
      <c r="CP13" s="6">
        <f>IF(OR(CP1="",NOT(ISNUMBER(CP12)),CP14=""),"",ROUND(CP12-CP14+CP15,1))</f>
        <v/>
      </c>
      <c r="CQ13" s="6">
        <f>IF(OR(CQ1="",NOT(ISNUMBER(CQ12)),CQ14=""),"",ROUND(CQ12-CQ14+CQ15,1))</f>
        <v/>
      </c>
      <c r="CR13" s="6">
        <f>IF(OR(CR1="",NOT(ISNUMBER(CR12)),CR14=""),"",ROUND(CR12-CR14+CR15,1))</f>
        <v/>
      </c>
      <c r="CS13" s="6">
        <f>IF(OR(CS1="",NOT(ISNUMBER(CS12)),CS14=""),"",ROUND(CS12-CS14+CS15,1))</f>
        <v/>
      </c>
      <c r="CT13" s="6">
        <f>IF(OR(CT1="",NOT(ISNUMBER(CT12)),CT14=""),"",ROUND(CT12-CT14+CT15,1))</f>
        <v/>
      </c>
      <c r="CU13" s="6">
        <f>IF(OR(CU1="",NOT(ISNUMBER(CU12)),CU14=""),"",ROUND(CU12-CU14+CU15,1))</f>
        <v/>
      </c>
      <c r="CV13" s="6">
        <f>IF(OR(CV1="",NOT(ISNUMBER(CV12)),CV14=""),"",ROUND(CV12-CV14+CV15,1))</f>
        <v/>
      </c>
      <c r="CW13" s="6">
        <f>IF(OR(CW1="",NOT(ISNUMBER(CW12)),CW14=""),"",ROUND(CW12-CW14+CW15,1))</f>
        <v/>
      </c>
      <c r="CX13" s="6">
        <f>IF(OR(CX1="",NOT(ISNUMBER(CX12)),CX14=""),"",ROUND(CX12-CX14+CX15,1))</f>
        <v/>
      </c>
      <c r="CY13" s="6">
        <f>IF(OR(CY1="",NOT(ISNUMBER(CY12)),CY14=""),"",ROUND(CY12-CY14+CY15,1))</f>
        <v/>
      </c>
      <c r="CZ13" s="6">
        <f>IF(OR(CZ1="",NOT(ISNUMBER(CZ12)),CZ14=""),"",ROUND(CZ12-CZ14+CZ15,1))</f>
        <v/>
      </c>
      <c r="DA13" s="6">
        <f>IF(OR(DA1="",NOT(ISNUMBER(DA12)),DA14=""),"",ROUND(DA12-DA14+DA15,1))</f>
        <v/>
      </c>
      <c r="DB13" s="6">
        <f>IF(OR(DB1="",NOT(ISNUMBER(DB12)),DB14=""),"",ROUND(DB12-DB14+DB15,1))</f>
        <v/>
      </c>
      <c r="DC13" s="6">
        <f>IF(OR(DC1="",NOT(ISNUMBER(DC12)),DC14=""),"",ROUND(DC12-DC14+DC15,1))</f>
        <v/>
      </c>
      <c r="DD13" s="6">
        <f>IF(OR(DD1="",NOT(ISNUMBER(DD12)),DD14=""),"",ROUND(DD12-DD14+DD15,1))</f>
        <v/>
      </c>
      <c r="DE13" s="6">
        <f>IF(OR(DE1="",NOT(ISNUMBER(DE12)),DE14=""),"",ROUND(DE12-DE14+DE15,1))</f>
        <v/>
      </c>
      <c r="DF13" s="6">
        <f>IF(OR(DF1="",NOT(ISNUMBER(DF12)),DF14=""),"",ROUND(DF12-DF14+DF15,1))</f>
        <v/>
      </c>
      <c r="DG13" s="6">
        <f>IF(OR(DG1="",NOT(ISNUMBER(DG12)),DG14=""),"",ROUND(DG12-DG14+DG15,1))</f>
        <v/>
      </c>
      <c r="DH13" s="6">
        <f>IF(OR(DH1="",NOT(ISNUMBER(DH12)),DH14=""),"",ROUND(DH12-DH14+DH15,1))</f>
        <v/>
      </c>
      <c r="DI13" s="6">
        <f>IF(OR(DI1="",NOT(ISNUMBER(DI12)),DI14=""),"",ROUND(DI12-DI14+DI15,1))</f>
        <v/>
      </c>
      <c r="DJ13" s="6">
        <f>IF(OR(DJ1="",NOT(ISNUMBER(DJ12)),DJ14=""),"",ROUND(DJ12-DJ14+DJ15,1))</f>
        <v/>
      </c>
      <c r="DK13" s="6">
        <f>IF(OR(DK1="",NOT(ISNUMBER(DK12)),DK14=""),"",ROUND(DK12-DK14+DK15,1))</f>
        <v/>
      </c>
      <c r="DL13" s="6">
        <f>IF(OR(DL1="",NOT(ISNUMBER(DL12)),DL14=""),"",ROUND(DL12-DL14+DL15,1))</f>
        <v/>
      </c>
      <c r="DM13" s="6">
        <f>IF(OR(DM1="",NOT(ISNUMBER(DM12)),DM14=""),"",ROUND(DM12-DM14+DM15,1))</f>
        <v/>
      </c>
      <c r="DN13" s="6">
        <f>IF(OR(DN1="",NOT(ISNUMBER(DN12)),DN14=""),"",ROUND(DN12-DN14+DN15,1))</f>
        <v/>
      </c>
      <c r="DO13" s="6">
        <f>IF(OR(DO1="",NOT(ISNUMBER(DO12)),DO14=""),"",ROUND(DO12-DO14+DO15,1))</f>
        <v/>
      </c>
      <c r="DP13" s="6">
        <f>IF(OR(DP1="",NOT(ISNUMBER(DP12)),DP14=""),"",ROUND(DP12-DP14+DP15,1))</f>
        <v/>
      </c>
      <c r="DQ13" s="6">
        <f>IF(OR(DQ1="",NOT(ISNUMBER(DQ12)),DQ14=""),"",ROUND(DQ12-DQ14+DQ15,1))</f>
        <v/>
      </c>
      <c r="DR13" s="6">
        <f>IF(OR(DR1="",NOT(ISNUMBER(DR12)),DR14=""),"",ROUND(DR12-DR14+DR15,1))</f>
        <v/>
      </c>
      <c r="DS13" s="6">
        <f>IF(OR(DS1="",NOT(ISNUMBER(DS12)),DS14=""),"",ROUND(DS12-DS14+DS15,1))</f>
        <v/>
      </c>
      <c r="DT13" s="6">
        <f>IF(OR(DT1="",NOT(ISNUMBER(DT12)),DT14=""),"",ROUND(DT12-DT14+DT15,1))</f>
        <v/>
      </c>
      <c r="DU13" s="6">
        <f>IF(OR(DU1="",NOT(ISNUMBER(DU12)),DU14=""),"",ROUND(DU12-DU14+DU15,1))</f>
        <v/>
      </c>
      <c r="DV13" s="6">
        <f>IF(OR(DV1="",NOT(ISNUMBER(DV12)),DV14=""),"",ROUND(DV12-DV14+DV15,1))</f>
        <v/>
      </c>
      <c r="DW13" s="6">
        <f>IF(OR(DW1="",NOT(ISNUMBER(DW12)),DW14=""),"",ROUND(DW12-DW14+DW15,1))</f>
        <v/>
      </c>
      <c r="DX13" s="6">
        <f>IF(OR(DX1="",NOT(ISNUMBER(DX12)),DX14=""),"",ROUND(DX12-DX14+DX15,1))</f>
        <v/>
      </c>
      <c r="DY13" s="6">
        <f>IF(OR(DY1="",NOT(ISNUMBER(DY12)),DY14=""),"",ROUND(DY12-DY14+DY15,1))</f>
        <v/>
      </c>
      <c r="DZ13" s="6">
        <f>IF(OR(DZ1="",NOT(ISNUMBER(DZ12)),DZ14=""),"",ROUND(DZ12-DZ14+DZ15,1))</f>
        <v/>
      </c>
      <c r="EA13" s="6">
        <f>IF(OR(EA1="",NOT(ISNUMBER(EA12)),EA14=""),"",ROUND(EA12-EA14+EA15,1))</f>
        <v/>
      </c>
      <c r="EB13" s="6">
        <f>IF(OR(EB1="",NOT(ISNUMBER(EB12)),EB14=""),"",ROUND(EB12-EB14+EB15,1))</f>
        <v/>
      </c>
      <c r="EC13" s="6">
        <f>IF(OR(EC1="",NOT(ISNUMBER(EC12)),EC14=""),"",ROUND(EC12-EC14+EC15,1))</f>
        <v/>
      </c>
      <c r="ED13" s="6">
        <f>IF(OR(ED1="",NOT(ISNUMBER(ED12)),ED14=""),"",ROUND(ED12-ED14+ED15,1))</f>
        <v/>
      </c>
      <c r="EE13" s="6">
        <f>IF(OR(EE1="",NOT(ISNUMBER(EE12)),EE14=""),"",ROUND(EE12-EE14+EE15,1))</f>
        <v/>
      </c>
      <c r="EF13" s="6">
        <f>IF(OR(EF1="",NOT(ISNUMBER(EF12)),EF14=""),"",ROUND(EF12-EF14+EF15,1))</f>
        <v/>
      </c>
      <c r="EG13" s="6">
        <f>IF(OR(EG1="",NOT(ISNUMBER(EG12)),EG14=""),"",ROUND(EG12-EG14+EG15,1))</f>
        <v/>
      </c>
      <c r="EH13" s="6">
        <f>IF(OR(EH1="",NOT(ISNUMBER(EH12)),EH14=""),"",ROUND(EH12-EH14+EH15,1))</f>
        <v/>
      </c>
      <c r="EI13" s="6">
        <f>IF(OR(EI1="",NOT(ISNUMBER(EI12)),EI14=""),"",ROUND(EI12-EI14+EI15,1))</f>
        <v/>
      </c>
      <c r="EJ13" s="6">
        <f>IF(OR(EJ1="",NOT(ISNUMBER(EJ12)),EJ14=""),"",ROUND(EJ12-EJ14+EJ15,1))</f>
        <v/>
      </c>
      <c r="EK13" s="6">
        <f>IF(OR(EK1="",NOT(ISNUMBER(EK12)),EK14=""),"",ROUND(EK12-EK14+EK15,1))</f>
        <v/>
      </c>
      <c r="EL13" s="6">
        <f>IF(OR(EL1="",NOT(ISNUMBER(EL12)),EL14=""),"",ROUND(EL12-EL14+EL15,1))</f>
        <v/>
      </c>
      <c r="EM13" s="6">
        <f>IF(OR(EM1="",NOT(ISNUMBER(EM12)),EM14=""),"",ROUND(EM12-EM14+EM15,1))</f>
        <v/>
      </c>
      <c r="EN13" s="6">
        <f>IF(OR(EN1="",NOT(ISNUMBER(EN12)),EN14=""),"",ROUND(EN12-EN14+EN15,1))</f>
        <v/>
      </c>
      <c r="EO13" s="6">
        <f>IF(OR(EO1="",NOT(ISNUMBER(EO12)),EO14=""),"",ROUND(EO12-EO14+EO15,1))</f>
        <v/>
      </c>
      <c r="EP13" s="6">
        <f>IF(OR(EP1="",NOT(ISNUMBER(EP12)),EP14=""),"",ROUND(EP12-EP14+EP15,1))</f>
        <v/>
      </c>
      <c r="EQ13" s="6">
        <f>IF(OR(EQ1="",NOT(ISNUMBER(EQ12)),EQ14=""),"",ROUND(EQ12-EQ14+EQ15,1))</f>
        <v/>
      </c>
      <c r="ER13" s="6">
        <f>IF(OR(ER1="",NOT(ISNUMBER(ER12)),ER14=""),"",ROUND(ER12-ER14+ER15,1))</f>
        <v/>
      </c>
      <c r="ES13" s="6">
        <f>IF(OR(ES1="",NOT(ISNUMBER(ES12)),ES14=""),"",ROUND(ES12-ES14+ES15,1))</f>
        <v/>
      </c>
      <c r="ET13" s="6">
        <f>IF(OR(ET1="",NOT(ISNUMBER(ET12)),ET14=""),"",ROUND(ET12-ET14+ET15,1))</f>
        <v/>
      </c>
      <c r="EU13" s="6">
        <f>IF(OR(EU1="",NOT(ISNUMBER(EU12)),EU14=""),"",ROUND(EU12-EU14+EU15,1))</f>
        <v/>
      </c>
      <c r="EV13" s="6">
        <f>IF(OR(EV1="",NOT(ISNUMBER(EV12)),EV14=""),"",ROUND(EV12-EV14+EV15,1))</f>
        <v/>
      </c>
      <c r="EW13" s="6">
        <f>IF(OR(EW1="",NOT(ISNUMBER(EW12)),EW14=""),"",ROUND(EW12-EW14+EW15,1))</f>
        <v/>
      </c>
      <c r="EX13" s="6">
        <f>IF(OR(EX1="",NOT(ISNUMBER(EX12)),EX14=""),"",ROUND(EX12-EX14+EX15,1))</f>
        <v/>
      </c>
      <c r="EY13" s="6">
        <f>IF(OR(EY1="",NOT(ISNUMBER(EY12)),EY14=""),"",ROUND(EY12-EY14+EY15,1))</f>
        <v/>
      </c>
      <c r="EZ13" s="6">
        <f>IF(OR(EZ1="",NOT(ISNUMBER(EZ12)),EZ14=""),"",ROUND(EZ12-EZ14+EZ15,1))</f>
        <v/>
      </c>
      <c r="FA13" s="6">
        <f>IF(OR(FA1="",NOT(ISNUMBER(FA12)),FA14=""),"",ROUND(FA12-FA14+FA15,1))</f>
        <v/>
      </c>
      <c r="FB13" s="6">
        <f>IF(OR(FB1="",NOT(ISNUMBER(FB12)),FB14=""),"",ROUND(FB12-FB14+FB15,1))</f>
        <v/>
      </c>
      <c r="FC13" s="6">
        <f>IF(OR(FC1="",NOT(ISNUMBER(FC12)),FC14=""),"",ROUND(FC12-FC14+FC15,1))</f>
        <v/>
      </c>
      <c r="FD13" s="6">
        <f>IF(OR(FD1="",NOT(ISNUMBER(FD12)),FD14=""),"",ROUND(FD12-FD14+FD15,1))</f>
        <v/>
      </c>
      <c r="FE13" s="6">
        <f>IF(OR(FE1="",NOT(ISNUMBER(FE12)),FE14=""),"",ROUND(FE12-FE14+FE15,1))</f>
        <v/>
      </c>
      <c r="FF13" s="6">
        <f>IF(OR(FF1="",NOT(ISNUMBER(FF12)),FF14=""),"",ROUND(FF12-FF14+FF15,1))</f>
        <v/>
      </c>
      <c r="FG13" s="6">
        <f>IF(OR(FG1="",NOT(ISNUMBER(FG12)),FG14=""),"",ROUND(FG12-FG14+FG15,1))</f>
        <v/>
      </c>
      <c r="FH13" s="6">
        <f>IF(OR(FH1="",NOT(ISNUMBER(FH12)),FH14=""),"",ROUND(FH12-FH14+FH15,1))</f>
        <v/>
      </c>
      <c r="FI13" s="6">
        <f>IF(OR(FI1="",NOT(ISNUMBER(FI12)),FI14=""),"",ROUND(FI12-FI14+FI15,1))</f>
        <v/>
      </c>
      <c r="FJ13" s="6">
        <f>IF(OR(FJ1="",NOT(ISNUMBER(FJ12)),FJ14=""),"",ROUND(FJ12-FJ14+FJ15,1))</f>
        <v/>
      </c>
      <c r="FK13" s="6">
        <f>IF(OR(FK1="",NOT(ISNUMBER(FK12)),FK14=""),"",ROUND(FK12-FK14+FK15,1))</f>
        <v/>
      </c>
      <c r="FL13" s="6">
        <f>IF(OR(FL1="",NOT(ISNUMBER(FL12)),FL14=""),"",ROUND(FL12-FL14+FL15,1))</f>
        <v/>
      </c>
      <c r="FM13" s="6">
        <f>IF(OR(FM1="",NOT(ISNUMBER(FM12)),FM14=""),"",ROUND(FM12-FM14+FM15,1))</f>
        <v/>
      </c>
      <c r="FN13" s="6">
        <f>IF(OR(FN1="",NOT(ISNUMBER(FN12)),FN14=""),"",ROUND(FN12-FN14+FN15,1))</f>
        <v/>
      </c>
      <c r="FO13" s="6">
        <f>IF(OR(FO1="",NOT(ISNUMBER(FO12)),FO14=""),"",ROUND(FO12-FO14+FO15,1))</f>
        <v/>
      </c>
      <c r="FP13" s="6">
        <f>IF(OR(FP1="",NOT(ISNUMBER(FP12)),FP14=""),"",ROUND(FP12-FP14+FP15,1))</f>
        <v/>
      </c>
      <c r="FQ13" s="6">
        <f>IF(OR(FQ1="",NOT(ISNUMBER(FQ12)),FQ14=""),"",ROUND(FQ12-FQ14+FQ15,1))</f>
        <v/>
      </c>
    </row>
    <row r="14">
      <c r="A14" s="25" t="inlineStr">
        <is>
          <t>FP</t>
        </is>
      </c>
      <c r="B14" s="24" t="inlineStr">
        <is>
          <t>TP (cm)</t>
        </is>
      </c>
      <c r="D14" s="6">
        <f>IF(D31="","",AVERAGEIFS('TP-b'!$C$3:$C$60,'TP-b'!$A$3:$A$60,"FP",'TP-b'!$B$3:$B$60,D31,'TP-b'!$E$3:$E$60,1))</f>
        <v/>
      </c>
      <c r="E14" s="6">
        <f>IF(E31="","",AVERAGEIFS('TP-b'!$C$3:$C$60,'TP-b'!$A$3:$A$60,"FP",'TP-b'!$B$3:$B$60,E31,'TP-b'!$E$3:$E$60,1))</f>
        <v/>
      </c>
      <c r="F14" s="6">
        <f>IF(F31="","",AVERAGEIFS('TP-b'!$C$3:$C$60,'TP-b'!$A$3:$A$60,"FP",'TP-b'!$B$3:$B$60,F31,'TP-b'!$E$3:$E$60,1))</f>
        <v/>
      </c>
      <c r="G14" s="6">
        <f>IF(G31="","",AVERAGEIFS('TP-b'!$C$3:$C$60,'TP-b'!$A$3:$A$60,"FP",'TP-b'!$B$3:$B$60,G31,'TP-b'!$E$3:$E$60,1))</f>
        <v/>
      </c>
      <c r="H14" s="6">
        <f>IF(H31="","",AVERAGEIFS('TP-b'!$C$3:$C$60,'TP-b'!$A$3:$A$60,"FP",'TP-b'!$B$3:$B$60,H31,'TP-b'!$E$3:$E$60,1))</f>
        <v/>
      </c>
      <c r="I14" s="6">
        <f>IF(I31="","",AVERAGEIFS('TP-b'!$C$3:$C$60,'TP-b'!$A$3:$A$60,"FP",'TP-b'!$B$3:$B$60,I31,'TP-b'!$E$3:$E$60,1))</f>
        <v/>
      </c>
      <c r="J14" s="6">
        <f>IF(J31="","",AVERAGEIFS('TP-b'!$C$3:$C$60,'TP-b'!$A$3:$A$60,"FP",'TP-b'!$B$3:$B$60,J31,'TP-b'!$E$3:$E$60,1))</f>
        <v/>
      </c>
      <c r="K14" s="6">
        <f>IF(K31="","",AVERAGEIFS('TP-b'!$C$3:$C$60,'TP-b'!$A$3:$A$60,"FP",'TP-b'!$B$3:$B$60,K31,'TP-b'!$E$3:$E$60,1))</f>
        <v/>
      </c>
      <c r="L14" s="6">
        <f>IF(L31="","",AVERAGEIFS('TP-b'!$C$3:$C$60,'TP-b'!$A$3:$A$60,"FP",'TP-b'!$B$3:$B$60,L31,'TP-b'!$E$3:$E$60,1))</f>
        <v/>
      </c>
      <c r="M14" s="6">
        <f>IF(M31="","",AVERAGEIFS('TP-b'!$C$3:$C$60,'TP-b'!$A$3:$A$60,"FP",'TP-b'!$B$3:$B$60,M31,'TP-b'!$E$3:$E$60,1))</f>
        <v/>
      </c>
      <c r="N14" s="6">
        <f>IF(N31="","",AVERAGEIFS('TP-b'!$C$3:$C$60,'TP-b'!$A$3:$A$60,"FP",'TP-b'!$B$3:$B$60,N31,'TP-b'!$E$3:$E$60,1))</f>
        <v/>
      </c>
      <c r="O14" s="6">
        <f>IF(O31="","",AVERAGEIFS('TP-b'!$C$3:$C$60,'TP-b'!$A$3:$A$60,"FP",'TP-b'!$B$3:$B$60,O31,'TP-b'!$E$3:$E$60,1))</f>
        <v/>
      </c>
      <c r="P14" s="6">
        <f>IF(P31="","",AVERAGEIFS('TP-b'!$C$3:$C$60,'TP-b'!$A$3:$A$60,"FP",'TP-b'!$B$3:$B$60,P31,'TP-b'!$E$3:$E$60,1))</f>
        <v/>
      </c>
      <c r="Q14" s="6">
        <f>IF(Q31="","",AVERAGEIFS('TP-b'!$C$3:$C$60,'TP-b'!$A$3:$A$60,"FP",'TP-b'!$B$3:$B$60,Q31,'TP-b'!$E$3:$E$60,1))</f>
        <v/>
      </c>
      <c r="R14" s="6">
        <f>IF(R31="","",AVERAGEIFS('TP-b'!$C$3:$C$60,'TP-b'!$A$3:$A$60,"FP",'TP-b'!$B$3:$B$60,R31,'TP-b'!$E$3:$E$60,1))</f>
        <v/>
      </c>
      <c r="S14" s="6">
        <f>IF(S31="","",AVERAGEIFS('TP-b'!$C$3:$C$60,'TP-b'!$A$3:$A$60,"FP",'TP-b'!$B$3:$B$60,S31,'TP-b'!$E$3:$E$60,1))</f>
        <v/>
      </c>
      <c r="T14" s="6">
        <f>IF(T31="","",AVERAGEIFS('TP-b'!$C$3:$C$60,'TP-b'!$A$3:$A$60,"FP",'TP-b'!$B$3:$B$60,T31,'TP-b'!$E$3:$E$60,1))</f>
        <v/>
      </c>
      <c r="U14" s="6">
        <f>IF(U31="","",AVERAGEIFS('TP-b'!$C$3:$C$60,'TP-b'!$A$3:$A$60,"FP",'TP-b'!$B$3:$B$60,U31,'TP-b'!$E$3:$E$60,1))</f>
        <v/>
      </c>
      <c r="V14" s="6">
        <f>IF(V31="","",AVERAGEIFS('TP-b'!$C$3:$C$60,'TP-b'!$A$3:$A$60,"FP",'TP-b'!$B$3:$B$60,V31,'TP-b'!$E$3:$E$60,1))</f>
        <v/>
      </c>
      <c r="W14" s="6">
        <f>IF(W31="","",AVERAGEIFS('TP-b'!$C$3:$C$60,'TP-b'!$A$3:$A$60,"FP",'TP-b'!$B$3:$B$60,W31,'TP-b'!$E$3:$E$60,1))</f>
        <v/>
      </c>
      <c r="X14" s="6">
        <f>IF(X31="","",AVERAGEIFS('TP-b'!$C$3:$C$60,'TP-b'!$A$3:$A$60,"FP",'TP-b'!$B$3:$B$60,X31,'TP-b'!$E$3:$E$60,1))</f>
        <v/>
      </c>
      <c r="Y14" s="6">
        <f>IF(Y31="","",AVERAGEIFS('TP-b'!$C$3:$C$60,'TP-b'!$A$3:$A$60,"FP",'TP-b'!$B$3:$B$60,Y31,'TP-b'!$E$3:$E$60,1))</f>
        <v/>
      </c>
      <c r="Z14" s="6">
        <f>IF(Z31="","",AVERAGEIFS('TP-b'!$C$3:$C$60,'TP-b'!$A$3:$A$60,"FP",'TP-b'!$B$3:$B$60,Z31,'TP-b'!$E$3:$E$60,1))</f>
        <v/>
      </c>
      <c r="AA14" s="6">
        <f>IF(AA31="","",AVERAGEIFS('TP-b'!$C$3:$C$60,'TP-b'!$A$3:$A$60,"FP",'TP-b'!$B$3:$B$60,AA31,'TP-b'!$E$3:$E$60,1))</f>
        <v/>
      </c>
      <c r="AB14" s="6">
        <f>IF(AB31="","",AVERAGEIFS('TP-b'!$C$3:$C$60,'TP-b'!$A$3:$A$60,"FP",'TP-b'!$B$3:$B$60,AB31,'TP-b'!$E$3:$E$60,1))</f>
        <v/>
      </c>
      <c r="AC14" s="6">
        <f>IF(AC31="","",AVERAGEIFS('TP-b'!$C$3:$C$60,'TP-b'!$A$3:$A$60,"FP",'TP-b'!$B$3:$B$60,AC31,'TP-b'!$E$3:$E$60,1))</f>
        <v/>
      </c>
      <c r="AD14" s="6">
        <f>IF(AD31="","",AVERAGEIFS('TP-b'!$C$3:$C$60,'TP-b'!$A$3:$A$60,"FP",'TP-b'!$B$3:$B$60,AD31,'TP-b'!$E$3:$E$60,1))</f>
        <v/>
      </c>
      <c r="AE14" s="6">
        <f>IF(AE31="","",AVERAGEIFS('TP-b'!$C$3:$C$60,'TP-b'!$A$3:$A$60,"FP",'TP-b'!$B$3:$B$60,AE31,'TP-b'!$E$3:$E$60,1))</f>
        <v/>
      </c>
      <c r="AF14" s="6">
        <f>IF(AF31="","",AVERAGEIFS('TP-b'!$C$3:$C$60,'TP-b'!$A$3:$A$60,"FP",'TP-b'!$B$3:$B$60,AF31,'TP-b'!$E$3:$E$60,1))</f>
        <v/>
      </c>
      <c r="AG14" s="6">
        <f>IF(AG31="","",AVERAGEIFS('TP-b'!$C$3:$C$60,'TP-b'!$A$3:$A$60,"FP",'TP-b'!$B$3:$B$60,AG31,'TP-b'!$E$3:$E$60,1))</f>
        <v/>
      </c>
      <c r="AH14" s="6">
        <f>IF(AH31="","",AVERAGEIFS('TP-b'!$C$3:$C$60,'TP-b'!$A$3:$A$60,"FP",'TP-b'!$B$3:$B$60,AH31,'TP-b'!$E$3:$E$60,1))</f>
        <v/>
      </c>
      <c r="AI14" s="6">
        <f>IF(AI31="","",AVERAGEIFS('TP-b'!$C$3:$C$60,'TP-b'!$A$3:$A$60,"FP",'TP-b'!$B$3:$B$60,AI31,'TP-b'!$E$3:$E$60,1))</f>
        <v/>
      </c>
      <c r="AJ14" s="6">
        <f>IF(AJ31="","",AVERAGEIFS('TP-b'!$C$3:$C$60,'TP-b'!$A$3:$A$60,"FP",'TP-b'!$B$3:$B$60,AJ31,'TP-b'!$E$3:$E$60,1))</f>
        <v/>
      </c>
      <c r="AK14" s="6">
        <f>IF(AK31="","",AVERAGEIFS('TP-b'!$C$3:$C$60,'TP-b'!$A$3:$A$60,"FP",'TP-b'!$B$3:$B$60,AK31,'TP-b'!$E$3:$E$60,1))</f>
        <v/>
      </c>
      <c r="AL14" s="6">
        <f>IF(AL31="","",AVERAGEIFS('TP-b'!$C$3:$C$60,'TP-b'!$A$3:$A$60,"FP",'TP-b'!$B$3:$B$60,AL31,'TP-b'!$E$3:$E$60,1))</f>
        <v/>
      </c>
      <c r="AM14" s="6">
        <f>IF(AM31="","",AVERAGEIFS('TP-b'!$C$3:$C$60,'TP-b'!$A$3:$A$60,"FP",'TP-b'!$B$3:$B$60,AM31,'TP-b'!$E$3:$E$60,1))</f>
        <v/>
      </c>
      <c r="AN14" s="6">
        <f>IF(AN31="","",AVERAGEIFS('TP-b'!$C$3:$C$60,'TP-b'!$A$3:$A$60,"FP",'TP-b'!$B$3:$B$60,AN31,'TP-b'!$E$3:$E$60,1))</f>
        <v/>
      </c>
      <c r="AO14" s="6">
        <f>IF(AO31="","",AVERAGEIFS('TP-b'!$C$3:$C$60,'TP-b'!$A$3:$A$60,"FP",'TP-b'!$B$3:$B$60,AO31,'TP-b'!$E$3:$E$60,1))</f>
        <v/>
      </c>
      <c r="AP14" s="6">
        <f>IF(AP31="","",AVERAGEIFS('TP-b'!$C$3:$C$60,'TP-b'!$A$3:$A$60,"FP",'TP-b'!$B$3:$B$60,AP31,'TP-b'!$E$3:$E$60,1))</f>
        <v/>
      </c>
      <c r="AQ14" s="6">
        <f>IF(AQ31="","",AVERAGEIFS('TP-b'!$C$3:$C$60,'TP-b'!$A$3:$A$60,"FP",'TP-b'!$B$3:$B$60,AQ31,'TP-b'!$E$3:$E$60,1))</f>
        <v/>
      </c>
      <c r="AR14" s="6">
        <f>IF(AR31="","",AVERAGEIFS('TP-b'!$C$3:$C$60,'TP-b'!$A$3:$A$60,"FP",'TP-b'!$B$3:$B$60,AR31,'TP-b'!$E$3:$E$60,1))</f>
        <v/>
      </c>
      <c r="AS14" s="6">
        <f>IF(AS31="","",AVERAGEIFS('TP-b'!$C$3:$C$60,'TP-b'!$A$3:$A$60,"FP",'TP-b'!$B$3:$B$60,AS31,'TP-b'!$E$3:$E$60,1))</f>
        <v/>
      </c>
      <c r="AT14" s="6">
        <f>IF(AT31="","",AVERAGEIFS('TP-b'!$C$3:$C$60,'TP-b'!$A$3:$A$60,"FP",'TP-b'!$B$3:$B$60,AT31,'TP-b'!$E$3:$E$60,1))</f>
        <v/>
      </c>
      <c r="AU14" s="6">
        <f>IF(AU31="","",AVERAGEIFS('TP-b'!$C$3:$C$60,'TP-b'!$A$3:$A$60,"FP",'TP-b'!$B$3:$B$60,AU31,'TP-b'!$E$3:$E$60,1))</f>
        <v/>
      </c>
      <c r="AV14" s="6">
        <f>IF(AV31="","",AVERAGEIFS('TP-b'!$C$3:$C$60,'TP-b'!$A$3:$A$60,"FP",'TP-b'!$B$3:$B$60,AV31,'TP-b'!$E$3:$E$60,1))</f>
        <v/>
      </c>
      <c r="AW14" s="6">
        <f>IF(AW31="","",AVERAGEIFS('TP-b'!$C$3:$C$60,'TP-b'!$A$3:$A$60,"FP",'TP-b'!$B$3:$B$60,AW31,'TP-b'!$E$3:$E$60,1))</f>
        <v/>
      </c>
      <c r="AX14" s="6">
        <f>IF(AX31="","",AVERAGEIFS('TP-b'!$C$3:$C$60,'TP-b'!$A$3:$A$60,"FP",'TP-b'!$B$3:$B$60,AX31,'TP-b'!$E$3:$E$60,1))</f>
        <v/>
      </c>
      <c r="AY14" s="6">
        <f>IF(AY31="","",AVERAGEIFS('TP-b'!$C$3:$C$60,'TP-b'!$A$3:$A$60,"FP",'TP-b'!$B$3:$B$60,AY31,'TP-b'!$E$3:$E$60,1))</f>
        <v/>
      </c>
      <c r="AZ14" s="6">
        <f>IF(AZ31="","",AVERAGEIFS('TP-b'!$C$3:$C$60,'TP-b'!$A$3:$A$60,"FP",'TP-b'!$B$3:$B$60,AZ31,'TP-b'!$E$3:$E$60,1))</f>
        <v/>
      </c>
      <c r="BA14" s="6">
        <f>IF(BA31="","",AVERAGEIFS('TP-b'!$C$3:$C$60,'TP-b'!$A$3:$A$60,"FP",'TP-b'!$B$3:$B$60,BA31,'TP-b'!$E$3:$E$60,1))</f>
        <v/>
      </c>
      <c r="BB14" s="6">
        <f>IF(BB31="","",AVERAGEIFS('TP-b'!$C$3:$C$60,'TP-b'!$A$3:$A$60,"FP",'TP-b'!$B$3:$B$60,BB31,'TP-b'!$E$3:$E$60,1))</f>
        <v/>
      </c>
      <c r="BC14" s="6">
        <f>IF(BC31="","",AVERAGEIFS('TP-b'!$C$3:$C$60,'TP-b'!$A$3:$A$60,"FP",'TP-b'!$B$3:$B$60,BC31,'TP-b'!$E$3:$E$60,1))</f>
        <v/>
      </c>
      <c r="BD14" s="6">
        <f>IF(BD31="","",AVERAGEIFS('TP-b'!$C$3:$C$60,'TP-b'!$A$3:$A$60,"FP",'TP-b'!$B$3:$B$60,BD31,'TP-b'!$E$3:$E$60,1))</f>
        <v/>
      </c>
      <c r="BE14" s="6">
        <f>IF(BE31="","",AVERAGEIFS('TP-b'!$C$3:$C$60,'TP-b'!$A$3:$A$60,"FP",'TP-b'!$B$3:$B$60,BE31,'TP-b'!$E$3:$E$60,1))</f>
        <v/>
      </c>
      <c r="BF14" s="6">
        <f>IF(BF31="","",AVERAGEIFS('TP-b'!$C$3:$C$60,'TP-b'!$A$3:$A$60,"FP",'TP-b'!$B$3:$B$60,BF31,'TP-b'!$E$3:$E$60,1))</f>
        <v/>
      </c>
      <c r="BG14" s="6">
        <f>IF(BG31="","",AVERAGEIFS('TP-b'!$C$3:$C$60,'TP-b'!$A$3:$A$60,"FP",'TP-b'!$B$3:$B$60,BG31,'TP-b'!$E$3:$E$60,1))</f>
        <v/>
      </c>
      <c r="BH14" s="6">
        <f>IF(BH31="","",AVERAGEIFS('TP-b'!$C$3:$C$60,'TP-b'!$A$3:$A$60,"FP",'TP-b'!$B$3:$B$60,BH31,'TP-b'!$E$3:$E$60,1))</f>
        <v/>
      </c>
      <c r="BI14" s="6">
        <f>IF(BI31="","",AVERAGEIFS('TP-b'!$C$3:$C$60,'TP-b'!$A$3:$A$60,"FP",'TP-b'!$B$3:$B$60,BI31,'TP-b'!$E$3:$E$60,1))</f>
        <v/>
      </c>
      <c r="BJ14" s="6">
        <f>IF(BJ31="","",AVERAGEIFS('TP-b'!$C$3:$C$60,'TP-b'!$A$3:$A$60,"FP",'TP-b'!$B$3:$B$60,BJ31,'TP-b'!$E$3:$E$60,1))</f>
        <v/>
      </c>
      <c r="BK14" s="6">
        <f>IF(BK31="","",AVERAGEIFS('TP-b'!$C$3:$C$60,'TP-b'!$A$3:$A$60,"FP",'TP-b'!$B$3:$B$60,BK31,'TP-b'!$E$3:$E$60,1))</f>
        <v/>
      </c>
      <c r="BL14" s="6">
        <f>IF(BL31="","",AVERAGEIFS('TP-b'!$C$3:$C$60,'TP-b'!$A$3:$A$60,"FP",'TP-b'!$B$3:$B$60,BL31,'TP-b'!$E$3:$E$60,1))</f>
        <v/>
      </c>
      <c r="BM14" s="6">
        <f>IF(BM31="","",AVERAGEIFS('TP-b'!$C$3:$C$60,'TP-b'!$A$3:$A$60,"FP",'TP-b'!$B$3:$B$60,BM31,'TP-b'!$E$3:$E$60,1))</f>
        <v/>
      </c>
      <c r="BN14" s="6">
        <f>IF(BN31="","",AVERAGEIFS('TP-b'!$C$3:$C$60,'TP-b'!$A$3:$A$60,"FP",'TP-b'!$B$3:$B$60,BN31,'TP-b'!$E$3:$E$60,1))</f>
        <v/>
      </c>
      <c r="BO14" s="6">
        <f>IF(BO31="","",AVERAGEIFS('TP-b'!$C$3:$C$60,'TP-b'!$A$3:$A$60,"FP",'TP-b'!$B$3:$B$60,BO31,'TP-b'!$E$3:$E$60,1))</f>
        <v/>
      </c>
      <c r="BP14" s="6">
        <f>IF(BP31="","",AVERAGEIFS('TP-b'!$C$3:$C$60,'TP-b'!$A$3:$A$60,"FP",'TP-b'!$B$3:$B$60,BP31,'TP-b'!$E$3:$E$60,1))</f>
        <v/>
      </c>
      <c r="BQ14" s="6">
        <f>IF(BQ31="","",AVERAGEIFS('TP-b'!$C$3:$C$60,'TP-b'!$A$3:$A$60,"FP",'TP-b'!$B$3:$B$60,BQ31,'TP-b'!$E$3:$E$60,1))</f>
        <v/>
      </c>
      <c r="BR14" s="6">
        <f>IF(BR31="","",AVERAGEIFS('TP-b'!$C$3:$C$60,'TP-b'!$A$3:$A$60,"FP",'TP-b'!$B$3:$B$60,BR31,'TP-b'!$E$3:$E$60,1))</f>
        <v/>
      </c>
      <c r="BS14" s="6">
        <f>IF(BS31="","",AVERAGEIFS('TP-b'!$C$3:$C$60,'TP-b'!$A$3:$A$60,"FP",'TP-b'!$B$3:$B$60,BS31,'TP-b'!$E$3:$E$60,1))</f>
        <v/>
      </c>
      <c r="BT14" s="6">
        <f>IF(BT31="","",AVERAGEIFS('TP-b'!$C$3:$C$60,'TP-b'!$A$3:$A$60,"FP",'TP-b'!$B$3:$B$60,BT31,'TP-b'!$E$3:$E$60,1))</f>
        <v/>
      </c>
      <c r="BU14" s="6">
        <f>IF(BU31="","",AVERAGEIFS('TP-b'!$C$3:$C$60,'TP-b'!$A$3:$A$60,"FP",'TP-b'!$B$3:$B$60,BU31,'TP-b'!$E$3:$E$60,1))</f>
        <v/>
      </c>
      <c r="BV14" s="6">
        <f>IF(BV31="","",AVERAGEIFS('TP-b'!$C$3:$C$60,'TP-b'!$A$3:$A$60,"FP",'TP-b'!$B$3:$B$60,BV31,'TP-b'!$E$3:$E$60,1))</f>
        <v/>
      </c>
      <c r="BW14" s="6">
        <f>IF(BW31="","",AVERAGEIFS('TP-b'!$C$3:$C$60,'TP-b'!$A$3:$A$60,"FP",'TP-b'!$B$3:$B$60,BW31,'TP-b'!$E$3:$E$60,1))</f>
        <v/>
      </c>
      <c r="BX14" s="6">
        <f>IF(BX31="","",AVERAGEIFS('TP-b'!$C$3:$C$60,'TP-b'!$A$3:$A$60,"FP",'TP-b'!$B$3:$B$60,BX31,'TP-b'!$E$3:$E$60,1))</f>
        <v/>
      </c>
      <c r="BY14" s="6">
        <f>IF(BY31="","",AVERAGEIFS('TP-b'!$C$3:$C$60,'TP-b'!$A$3:$A$60,"FP",'TP-b'!$B$3:$B$60,BY31,'TP-b'!$E$3:$E$60,1))</f>
        <v/>
      </c>
      <c r="BZ14" s="6">
        <f>IF(BZ31="","",AVERAGEIFS('TP-b'!$C$3:$C$60,'TP-b'!$A$3:$A$60,"FP",'TP-b'!$B$3:$B$60,BZ31,'TP-b'!$E$3:$E$60,1))</f>
        <v/>
      </c>
      <c r="CA14" s="6">
        <f>IF(CA31="","",AVERAGEIFS('TP-b'!$C$3:$C$60,'TP-b'!$A$3:$A$60,"FP",'TP-b'!$B$3:$B$60,CA31,'TP-b'!$E$3:$E$60,1))</f>
        <v/>
      </c>
      <c r="CB14" s="6">
        <f>IF(CB31="","",AVERAGEIFS('TP-b'!$C$3:$C$60,'TP-b'!$A$3:$A$60,"FP",'TP-b'!$B$3:$B$60,CB31,'TP-b'!$E$3:$E$60,1))</f>
        <v/>
      </c>
      <c r="CC14" s="6">
        <f>IF(CC31="","",AVERAGEIFS('TP-b'!$C$3:$C$60,'TP-b'!$A$3:$A$60,"FP",'TP-b'!$B$3:$B$60,CC31,'TP-b'!$E$3:$E$60,1))</f>
        <v/>
      </c>
      <c r="CD14" s="6">
        <f>IF(CD31="","",AVERAGEIFS('TP-b'!$C$3:$C$60,'TP-b'!$A$3:$A$60,"FP",'TP-b'!$B$3:$B$60,CD31,'TP-b'!$E$3:$E$60,1))</f>
        <v/>
      </c>
      <c r="CE14" s="6">
        <f>IF(CE31="","",AVERAGEIFS('TP-b'!$C$3:$C$60,'TP-b'!$A$3:$A$60,"FP",'TP-b'!$B$3:$B$60,CE31,'TP-b'!$E$3:$E$60,1))</f>
        <v/>
      </c>
      <c r="CF14" s="6">
        <f>IF(CF31="","",AVERAGEIFS('TP-b'!$C$3:$C$60,'TP-b'!$A$3:$A$60,"FP",'TP-b'!$B$3:$B$60,CF31,'TP-b'!$E$3:$E$60,1))</f>
        <v/>
      </c>
      <c r="CG14" s="6">
        <f>IF(CG31="","",AVERAGEIFS('TP-b'!$C$3:$C$60,'TP-b'!$A$3:$A$60,"FP",'TP-b'!$B$3:$B$60,CG31,'TP-b'!$E$3:$E$60,1))</f>
        <v/>
      </c>
      <c r="CH14" s="6">
        <f>IF(CH31="","",AVERAGEIFS('TP-b'!$C$3:$C$60,'TP-b'!$A$3:$A$60,"FP",'TP-b'!$B$3:$B$60,CH31,'TP-b'!$E$3:$E$60,1))</f>
        <v/>
      </c>
      <c r="CI14" s="6">
        <f>IF(CI31="","",AVERAGEIFS('TP-b'!$C$3:$C$60,'TP-b'!$A$3:$A$60,"FP",'TP-b'!$B$3:$B$60,CI31,'TP-b'!$E$3:$E$60,1))</f>
        <v/>
      </c>
      <c r="CJ14" s="6">
        <f>IF(CJ31="","",AVERAGEIFS('TP-b'!$C$3:$C$60,'TP-b'!$A$3:$A$60,"FP",'TP-b'!$B$3:$B$60,CJ31,'TP-b'!$E$3:$E$60,1))</f>
        <v/>
      </c>
      <c r="CK14" s="6">
        <f>IF(CK31="","",AVERAGEIFS('TP-b'!$C$3:$C$60,'TP-b'!$A$3:$A$60,"FP",'TP-b'!$B$3:$B$60,CK31,'TP-b'!$E$3:$E$60,1))</f>
        <v/>
      </c>
      <c r="CL14" s="6">
        <f>IF(CL31="","",AVERAGEIFS('TP-b'!$C$3:$C$60,'TP-b'!$A$3:$A$60,"FP",'TP-b'!$B$3:$B$60,CL31,'TP-b'!$E$3:$E$60,1))</f>
        <v/>
      </c>
      <c r="CM14" s="6">
        <f>IF(CM31="","",AVERAGEIFS('TP-b'!$C$3:$C$60,'TP-b'!$A$3:$A$60,"FP",'TP-b'!$B$3:$B$60,CM31,'TP-b'!$E$3:$E$60,1))</f>
        <v/>
      </c>
      <c r="CN14" s="6">
        <f>IF(CN31="","",AVERAGEIFS('TP-b'!$C$3:$C$60,'TP-b'!$A$3:$A$60,"FP",'TP-b'!$B$3:$B$60,CN31,'TP-b'!$E$3:$E$60,1))</f>
        <v/>
      </c>
      <c r="CO14" s="6">
        <f>IF(CO31="","",AVERAGEIFS('TP-b'!$C$3:$C$60,'TP-b'!$A$3:$A$60,"FP",'TP-b'!$B$3:$B$60,CO31,'TP-b'!$E$3:$E$60,1))</f>
        <v/>
      </c>
      <c r="CP14" s="6">
        <f>IF(CP31="","",AVERAGEIFS('TP-b'!$C$3:$C$60,'TP-b'!$A$3:$A$60,"FP",'TP-b'!$B$3:$B$60,CP31,'TP-b'!$E$3:$E$60,1))</f>
        <v/>
      </c>
      <c r="CQ14" s="6">
        <f>IF(CQ31="","",AVERAGEIFS('TP-b'!$C$3:$C$60,'TP-b'!$A$3:$A$60,"FP",'TP-b'!$B$3:$B$60,CQ31,'TP-b'!$E$3:$E$60,1))</f>
        <v/>
      </c>
      <c r="CR14" s="6">
        <f>IF(CR31="","",AVERAGEIFS('TP-b'!$C$3:$C$60,'TP-b'!$A$3:$A$60,"FP",'TP-b'!$B$3:$B$60,CR31,'TP-b'!$E$3:$E$60,1))</f>
        <v/>
      </c>
      <c r="CS14" s="6">
        <f>IF(CS31="","",AVERAGEIFS('TP-b'!$C$3:$C$60,'TP-b'!$A$3:$A$60,"FP",'TP-b'!$B$3:$B$60,CS31,'TP-b'!$E$3:$E$60,1))</f>
        <v/>
      </c>
      <c r="CT14" s="6">
        <f>IF(CT31="","",AVERAGEIFS('TP-b'!$C$3:$C$60,'TP-b'!$A$3:$A$60,"FP",'TP-b'!$B$3:$B$60,CT31,'TP-b'!$E$3:$E$60,1))</f>
        <v/>
      </c>
      <c r="CU14" s="6">
        <f>IF(CU31="","",AVERAGEIFS('TP-b'!$C$3:$C$60,'TP-b'!$A$3:$A$60,"FP",'TP-b'!$B$3:$B$60,CU31,'TP-b'!$E$3:$E$60,1))</f>
        <v/>
      </c>
      <c r="CV14" s="6">
        <f>IF(CV31="","",AVERAGEIFS('TP-b'!$C$3:$C$60,'TP-b'!$A$3:$A$60,"FP",'TP-b'!$B$3:$B$60,CV31,'TP-b'!$E$3:$E$60,1))</f>
        <v/>
      </c>
      <c r="CW14" s="6">
        <f>IF(CW31="","",AVERAGEIFS('TP-b'!$C$3:$C$60,'TP-b'!$A$3:$A$60,"FP",'TP-b'!$B$3:$B$60,CW31,'TP-b'!$E$3:$E$60,1))</f>
        <v/>
      </c>
      <c r="CX14" s="6">
        <f>IF(CX31="","",AVERAGEIFS('TP-b'!$C$3:$C$60,'TP-b'!$A$3:$A$60,"FP",'TP-b'!$B$3:$B$60,CX31,'TP-b'!$E$3:$E$60,1))</f>
        <v/>
      </c>
      <c r="CY14" s="6">
        <f>IF(CY31="","",AVERAGEIFS('TP-b'!$C$3:$C$60,'TP-b'!$A$3:$A$60,"FP",'TP-b'!$B$3:$B$60,CY31,'TP-b'!$E$3:$E$60,1))</f>
        <v/>
      </c>
      <c r="CZ14" s="6">
        <f>IF(CZ31="","",AVERAGEIFS('TP-b'!$C$3:$C$60,'TP-b'!$A$3:$A$60,"FP",'TP-b'!$B$3:$B$60,CZ31,'TP-b'!$E$3:$E$60,1))</f>
        <v/>
      </c>
      <c r="DA14" s="6">
        <f>IF(DA31="","",AVERAGEIFS('TP-b'!$C$3:$C$60,'TP-b'!$A$3:$A$60,"FP",'TP-b'!$B$3:$B$60,DA31,'TP-b'!$E$3:$E$60,1))</f>
        <v/>
      </c>
      <c r="DB14" s="6">
        <f>IF(DB31="","",AVERAGEIFS('TP-b'!$C$3:$C$60,'TP-b'!$A$3:$A$60,"FP",'TP-b'!$B$3:$B$60,DB31,'TP-b'!$E$3:$E$60,1))</f>
        <v/>
      </c>
      <c r="DC14" s="6">
        <f>IF(DC31="","",AVERAGEIFS('TP-b'!$C$3:$C$60,'TP-b'!$A$3:$A$60,"FP",'TP-b'!$B$3:$B$60,DC31,'TP-b'!$E$3:$E$60,1))</f>
        <v/>
      </c>
      <c r="DD14" s="6">
        <f>IF(DD31="","",AVERAGEIFS('TP-b'!$C$3:$C$60,'TP-b'!$A$3:$A$60,"FP",'TP-b'!$B$3:$B$60,DD31,'TP-b'!$E$3:$E$60,1))</f>
        <v/>
      </c>
      <c r="DE14" s="6">
        <f>IF(DE31="","",AVERAGEIFS('TP-b'!$C$3:$C$60,'TP-b'!$A$3:$A$60,"FP",'TP-b'!$B$3:$B$60,DE31,'TP-b'!$E$3:$E$60,1))</f>
        <v/>
      </c>
      <c r="DF14" s="6">
        <f>IF(DF31="","",AVERAGEIFS('TP-b'!$C$3:$C$60,'TP-b'!$A$3:$A$60,"FP",'TP-b'!$B$3:$B$60,DF31,'TP-b'!$E$3:$E$60,1))</f>
        <v/>
      </c>
      <c r="DG14" s="6">
        <f>IF(DG31="","",AVERAGEIFS('TP-b'!$C$3:$C$60,'TP-b'!$A$3:$A$60,"FP",'TP-b'!$B$3:$B$60,DG31,'TP-b'!$E$3:$E$60,1))</f>
        <v/>
      </c>
      <c r="DH14" s="6">
        <f>IF(DH31="","",AVERAGEIFS('TP-b'!$C$3:$C$60,'TP-b'!$A$3:$A$60,"FP",'TP-b'!$B$3:$B$60,DH31,'TP-b'!$E$3:$E$60,1))</f>
        <v/>
      </c>
      <c r="DI14" s="6">
        <f>IF(DI31="","",AVERAGEIFS('TP-b'!$C$3:$C$60,'TP-b'!$A$3:$A$60,"FP",'TP-b'!$B$3:$B$60,DI31,'TP-b'!$E$3:$E$60,1))</f>
        <v/>
      </c>
      <c r="DJ14" s="6">
        <f>IF(DJ31="","",AVERAGEIFS('TP-b'!$C$3:$C$60,'TP-b'!$A$3:$A$60,"FP",'TP-b'!$B$3:$B$60,DJ31,'TP-b'!$E$3:$E$60,1))</f>
        <v/>
      </c>
      <c r="DK14" s="6">
        <f>IF(DK31="","",AVERAGEIFS('TP-b'!$C$3:$C$60,'TP-b'!$A$3:$A$60,"FP",'TP-b'!$B$3:$B$60,DK31,'TP-b'!$E$3:$E$60,1))</f>
        <v/>
      </c>
      <c r="DL14" s="6">
        <f>IF(DL31="","",AVERAGEIFS('TP-b'!$C$3:$C$60,'TP-b'!$A$3:$A$60,"FP",'TP-b'!$B$3:$B$60,DL31,'TP-b'!$E$3:$E$60,1))</f>
        <v/>
      </c>
      <c r="DM14" s="6">
        <f>IF(DM31="","",AVERAGEIFS('TP-b'!$C$3:$C$60,'TP-b'!$A$3:$A$60,"FP",'TP-b'!$B$3:$B$60,DM31,'TP-b'!$E$3:$E$60,1))</f>
        <v/>
      </c>
      <c r="DN14" s="6">
        <f>IF(DN31="","",AVERAGEIFS('TP-b'!$C$3:$C$60,'TP-b'!$A$3:$A$60,"FP",'TP-b'!$B$3:$B$60,DN31,'TP-b'!$E$3:$E$60,1))</f>
        <v/>
      </c>
      <c r="DO14" s="6">
        <f>IF(DO31="","",AVERAGEIFS('TP-b'!$C$3:$C$60,'TP-b'!$A$3:$A$60,"FP",'TP-b'!$B$3:$B$60,DO31,'TP-b'!$E$3:$E$60,1))</f>
        <v/>
      </c>
      <c r="DP14" s="6">
        <f>IF(DP31="","",AVERAGEIFS('TP-b'!$C$3:$C$60,'TP-b'!$A$3:$A$60,"FP",'TP-b'!$B$3:$B$60,DP31,'TP-b'!$E$3:$E$60,1))</f>
        <v/>
      </c>
      <c r="DQ14" s="6">
        <f>IF(DQ31="","",AVERAGEIFS('TP-b'!$C$3:$C$60,'TP-b'!$A$3:$A$60,"FP",'TP-b'!$B$3:$B$60,DQ31,'TP-b'!$E$3:$E$60,1))</f>
        <v/>
      </c>
      <c r="DR14" s="6">
        <f>IF(DR31="","",AVERAGEIFS('TP-b'!$C$3:$C$60,'TP-b'!$A$3:$A$60,"FP",'TP-b'!$B$3:$B$60,DR31,'TP-b'!$E$3:$E$60,1))</f>
        <v/>
      </c>
      <c r="DS14" s="6">
        <f>IF(DS31="","",AVERAGEIFS('TP-b'!$C$3:$C$60,'TP-b'!$A$3:$A$60,"FP",'TP-b'!$B$3:$B$60,DS31,'TP-b'!$E$3:$E$60,1))</f>
        <v/>
      </c>
      <c r="DT14" s="6">
        <f>IF(DT31="","",AVERAGEIFS('TP-b'!$C$3:$C$60,'TP-b'!$A$3:$A$60,"FP",'TP-b'!$B$3:$B$60,DT31,'TP-b'!$E$3:$E$60,1))</f>
        <v/>
      </c>
      <c r="DU14" s="6">
        <f>IF(DU31="","",AVERAGEIFS('TP-b'!$C$3:$C$60,'TP-b'!$A$3:$A$60,"FP",'TP-b'!$B$3:$B$60,DU31,'TP-b'!$E$3:$E$60,1))</f>
        <v/>
      </c>
      <c r="DV14" s="6">
        <f>IF(DV31="","",AVERAGEIFS('TP-b'!$C$3:$C$60,'TP-b'!$A$3:$A$60,"FP",'TP-b'!$B$3:$B$60,DV31,'TP-b'!$E$3:$E$60,1))</f>
        <v/>
      </c>
      <c r="DW14" s="6">
        <f>IF(DW31="","",AVERAGEIFS('TP-b'!$C$3:$C$60,'TP-b'!$A$3:$A$60,"FP",'TP-b'!$B$3:$B$60,DW31,'TP-b'!$E$3:$E$60,1))</f>
        <v/>
      </c>
      <c r="DX14" s="6">
        <f>IF(DX31="","",AVERAGEIFS('TP-b'!$C$3:$C$60,'TP-b'!$A$3:$A$60,"FP",'TP-b'!$B$3:$B$60,DX31,'TP-b'!$E$3:$E$60,1))</f>
        <v/>
      </c>
      <c r="DY14" s="6">
        <f>IF(DY31="","",AVERAGEIFS('TP-b'!$C$3:$C$60,'TP-b'!$A$3:$A$60,"FP",'TP-b'!$B$3:$B$60,DY31,'TP-b'!$E$3:$E$60,1))</f>
        <v/>
      </c>
      <c r="DZ14" s="6">
        <f>IF(DZ31="","",AVERAGEIFS('TP-b'!$C$3:$C$60,'TP-b'!$A$3:$A$60,"FP",'TP-b'!$B$3:$B$60,DZ31,'TP-b'!$E$3:$E$60,1))</f>
        <v/>
      </c>
      <c r="EA14" s="6">
        <f>IF(EA31="","",AVERAGEIFS('TP-b'!$C$3:$C$60,'TP-b'!$A$3:$A$60,"FP",'TP-b'!$B$3:$B$60,EA31,'TP-b'!$E$3:$E$60,1))</f>
        <v/>
      </c>
      <c r="EB14" s="6">
        <f>IF(EB31="","",AVERAGEIFS('TP-b'!$C$3:$C$60,'TP-b'!$A$3:$A$60,"FP",'TP-b'!$B$3:$B$60,EB31,'TP-b'!$E$3:$E$60,1))</f>
        <v/>
      </c>
      <c r="EC14" s="6">
        <f>IF(EC31="","",AVERAGEIFS('TP-b'!$C$3:$C$60,'TP-b'!$A$3:$A$60,"FP",'TP-b'!$B$3:$B$60,EC31,'TP-b'!$E$3:$E$60,1))</f>
        <v/>
      </c>
      <c r="ED14" s="6">
        <f>IF(ED31="","",AVERAGEIFS('TP-b'!$C$3:$C$60,'TP-b'!$A$3:$A$60,"FP",'TP-b'!$B$3:$B$60,ED31,'TP-b'!$E$3:$E$60,1))</f>
        <v/>
      </c>
      <c r="EE14" s="6">
        <f>IF(EE31="","",AVERAGEIFS('TP-b'!$C$3:$C$60,'TP-b'!$A$3:$A$60,"FP",'TP-b'!$B$3:$B$60,EE31,'TP-b'!$E$3:$E$60,1))</f>
        <v/>
      </c>
      <c r="EF14" s="6">
        <f>IF(EF31="","",AVERAGEIFS('TP-b'!$C$3:$C$60,'TP-b'!$A$3:$A$60,"FP",'TP-b'!$B$3:$B$60,EF31,'TP-b'!$E$3:$E$60,1))</f>
        <v/>
      </c>
      <c r="EG14" s="6">
        <f>IF(EG31="","",AVERAGEIFS('TP-b'!$C$3:$C$60,'TP-b'!$A$3:$A$60,"FP",'TP-b'!$B$3:$B$60,EG31,'TP-b'!$E$3:$E$60,1))</f>
        <v/>
      </c>
      <c r="EH14" s="6">
        <f>IF(EH31="","",AVERAGEIFS('TP-b'!$C$3:$C$60,'TP-b'!$A$3:$A$60,"FP",'TP-b'!$B$3:$B$60,EH31,'TP-b'!$E$3:$E$60,1))</f>
        <v/>
      </c>
      <c r="EI14" s="6">
        <f>IF(EI31="","",AVERAGEIFS('TP-b'!$C$3:$C$60,'TP-b'!$A$3:$A$60,"FP",'TP-b'!$B$3:$B$60,EI31,'TP-b'!$E$3:$E$60,1))</f>
        <v/>
      </c>
      <c r="EJ14" s="6">
        <f>IF(EJ31="","",AVERAGEIFS('TP-b'!$C$3:$C$60,'TP-b'!$A$3:$A$60,"FP",'TP-b'!$B$3:$B$60,EJ31,'TP-b'!$E$3:$E$60,1))</f>
        <v/>
      </c>
      <c r="EK14" s="6">
        <f>IF(EK31="","",AVERAGEIFS('TP-b'!$C$3:$C$60,'TP-b'!$A$3:$A$60,"FP",'TP-b'!$B$3:$B$60,EK31,'TP-b'!$E$3:$E$60,1))</f>
        <v/>
      </c>
      <c r="EL14" s="6">
        <f>IF(EL31="","",AVERAGEIFS('TP-b'!$C$3:$C$60,'TP-b'!$A$3:$A$60,"FP",'TP-b'!$B$3:$B$60,EL31,'TP-b'!$E$3:$E$60,1))</f>
        <v/>
      </c>
      <c r="EM14" s="6">
        <f>IF(EM31="","",AVERAGEIFS('TP-b'!$C$3:$C$60,'TP-b'!$A$3:$A$60,"FP",'TP-b'!$B$3:$B$60,EM31,'TP-b'!$E$3:$E$60,1))</f>
        <v/>
      </c>
      <c r="EN14" s="6">
        <f>IF(EN31="","",AVERAGEIFS('TP-b'!$C$3:$C$60,'TP-b'!$A$3:$A$60,"FP",'TP-b'!$B$3:$B$60,EN31,'TP-b'!$E$3:$E$60,1))</f>
        <v/>
      </c>
      <c r="EO14" s="6">
        <f>IF(EO31="","",AVERAGEIFS('TP-b'!$C$3:$C$60,'TP-b'!$A$3:$A$60,"FP",'TP-b'!$B$3:$B$60,EO31,'TP-b'!$E$3:$E$60,1))</f>
        <v/>
      </c>
      <c r="EP14" s="6">
        <f>IF(EP31="","",AVERAGEIFS('TP-b'!$C$3:$C$60,'TP-b'!$A$3:$A$60,"FP",'TP-b'!$B$3:$B$60,EP31,'TP-b'!$E$3:$E$60,1))</f>
        <v/>
      </c>
      <c r="EQ14" s="6">
        <f>IF(EQ31="","",AVERAGEIFS('TP-b'!$C$3:$C$60,'TP-b'!$A$3:$A$60,"FP",'TP-b'!$B$3:$B$60,EQ31,'TP-b'!$E$3:$E$60,1))</f>
        <v/>
      </c>
      <c r="ER14" s="6">
        <f>IF(ER31="","",AVERAGEIFS('TP-b'!$C$3:$C$60,'TP-b'!$A$3:$A$60,"FP",'TP-b'!$B$3:$B$60,ER31,'TP-b'!$E$3:$E$60,1))</f>
        <v/>
      </c>
      <c r="ES14" s="6">
        <f>IF(ES31="","",AVERAGEIFS('TP-b'!$C$3:$C$60,'TP-b'!$A$3:$A$60,"FP",'TP-b'!$B$3:$B$60,ES31,'TP-b'!$E$3:$E$60,1))</f>
        <v/>
      </c>
      <c r="ET14" s="6">
        <f>IF(ET31="","",AVERAGEIFS('TP-b'!$C$3:$C$60,'TP-b'!$A$3:$A$60,"FP",'TP-b'!$B$3:$B$60,ET31,'TP-b'!$E$3:$E$60,1))</f>
        <v/>
      </c>
      <c r="EU14" s="6">
        <f>IF(EU31="","",AVERAGEIFS('TP-b'!$C$3:$C$60,'TP-b'!$A$3:$A$60,"FP",'TP-b'!$B$3:$B$60,EU31,'TP-b'!$E$3:$E$60,1))</f>
        <v/>
      </c>
      <c r="EV14" s="6">
        <f>IF(EV31="","",AVERAGEIFS('TP-b'!$C$3:$C$60,'TP-b'!$A$3:$A$60,"FP",'TP-b'!$B$3:$B$60,EV31,'TP-b'!$E$3:$E$60,1))</f>
        <v/>
      </c>
      <c r="EW14" s="6">
        <f>IF(EW31="","",AVERAGEIFS('TP-b'!$C$3:$C$60,'TP-b'!$A$3:$A$60,"FP",'TP-b'!$B$3:$B$60,EW31,'TP-b'!$E$3:$E$60,1))</f>
        <v/>
      </c>
      <c r="EX14" s="6">
        <f>IF(EX31="","",AVERAGEIFS('TP-b'!$C$3:$C$60,'TP-b'!$A$3:$A$60,"FP",'TP-b'!$B$3:$B$60,EX31,'TP-b'!$E$3:$E$60,1))</f>
        <v/>
      </c>
      <c r="EY14" s="6">
        <f>IF(EY31="","",AVERAGEIFS('TP-b'!$C$3:$C$60,'TP-b'!$A$3:$A$60,"FP",'TP-b'!$B$3:$B$60,EY31,'TP-b'!$E$3:$E$60,1))</f>
        <v/>
      </c>
      <c r="EZ14" s="6">
        <f>IF(EZ31="","",AVERAGEIFS('TP-b'!$C$3:$C$60,'TP-b'!$A$3:$A$60,"FP",'TP-b'!$B$3:$B$60,EZ31,'TP-b'!$E$3:$E$60,1))</f>
        <v/>
      </c>
      <c r="FA14" s="6">
        <f>IF(FA31="","",AVERAGEIFS('TP-b'!$C$3:$C$60,'TP-b'!$A$3:$A$60,"FP",'TP-b'!$B$3:$B$60,FA31,'TP-b'!$E$3:$E$60,1))</f>
        <v/>
      </c>
      <c r="FB14" s="6">
        <f>IF(FB31="","",AVERAGEIFS('TP-b'!$C$3:$C$60,'TP-b'!$A$3:$A$60,"FP",'TP-b'!$B$3:$B$60,FB31,'TP-b'!$E$3:$E$60,1))</f>
        <v/>
      </c>
      <c r="FC14" s="6">
        <f>IF(FC31="","",AVERAGEIFS('TP-b'!$C$3:$C$60,'TP-b'!$A$3:$A$60,"FP",'TP-b'!$B$3:$B$60,FC31,'TP-b'!$E$3:$E$60,1))</f>
        <v/>
      </c>
      <c r="FD14" s="6">
        <f>IF(FD31="","",AVERAGEIFS('TP-b'!$C$3:$C$60,'TP-b'!$A$3:$A$60,"FP",'TP-b'!$B$3:$B$60,FD31,'TP-b'!$E$3:$E$60,1))</f>
        <v/>
      </c>
      <c r="FE14" s="6">
        <f>IF(FE31="","",AVERAGEIFS('TP-b'!$C$3:$C$60,'TP-b'!$A$3:$A$60,"FP",'TP-b'!$B$3:$B$60,FE31,'TP-b'!$E$3:$E$60,1))</f>
        <v/>
      </c>
      <c r="FF14" s="6">
        <f>IF(FF31="","",AVERAGEIFS('TP-b'!$C$3:$C$60,'TP-b'!$A$3:$A$60,"FP",'TP-b'!$B$3:$B$60,FF31,'TP-b'!$E$3:$E$60,1))</f>
        <v/>
      </c>
      <c r="FG14" s="6">
        <f>IF(FG31="","",AVERAGEIFS('TP-b'!$C$3:$C$60,'TP-b'!$A$3:$A$60,"FP",'TP-b'!$B$3:$B$60,FG31,'TP-b'!$E$3:$E$60,1))</f>
        <v/>
      </c>
      <c r="FH14" s="6">
        <f>IF(FH31="","",AVERAGEIFS('TP-b'!$C$3:$C$60,'TP-b'!$A$3:$A$60,"FP",'TP-b'!$B$3:$B$60,FH31,'TP-b'!$E$3:$E$60,1))</f>
        <v/>
      </c>
      <c r="FI14" s="6">
        <f>IF(FI31="","",AVERAGEIFS('TP-b'!$C$3:$C$60,'TP-b'!$A$3:$A$60,"FP",'TP-b'!$B$3:$B$60,FI31,'TP-b'!$E$3:$E$60,1))</f>
        <v/>
      </c>
      <c r="FJ14" s="6">
        <f>IF(FJ31="","",AVERAGEIFS('TP-b'!$C$3:$C$60,'TP-b'!$A$3:$A$60,"FP",'TP-b'!$B$3:$B$60,FJ31,'TP-b'!$E$3:$E$60,1))</f>
        <v/>
      </c>
      <c r="FK14" s="6">
        <f>IF(FK31="","",AVERAGEIFS('TP-b'!$C$3:$C$60,'TP-b'!$A$3:$A$60,"FP",'TP-b'!$B$3:$B$60,FK31,'TP-b'!$E$3:$E$60,1))</f>
        <v/>
      </c>
      <c r="FL14" s="6">
        <f>IF(FL31="","",AVERAGEIFS('TP-b'!$C$3:$C$60,'TP-b'!$A$3:$A$60,"FP",'TP-b'!$B$3:$B$60,FL31,'TP-b'!$E$3:$E$60,1))</f>
        <v/>
      </c>
      <c r="FM14" s="6">
        <f>IF(FM31="","",AVERAGEIFS('TP-b'!$C$3:$C$60,'TP-b'!$A$3:$A$60,"FP",'TP-b'!$B$3:$B$60,FM31,'TP-b'!$E$3:$E$60,1))</f>
        <v/>
      </c>
      <c r="FN14" s="6">
        <f>IF(FN31="","",AVERAGEIFS('TP-b'!$C$3:$C$60,'TP-b'!$A$3:$A$60,"FP",'TP-b'!$B$3:$B$60,FN31,'TP-b'!$E$3:$E$60,1))</f>
        <v/>
      </c>
      <c r="FO14" s="6">
        <f>IF(FO31="","",AVERAGEIFS('TP-b'!$C$3:$C$60,'TP-b'!$A$3:$A$60,"FP",'TP-b'!$B$3:$B$60,FO31,'TP-b'!$E$3:$E$60,1))</f>
        <v/>
      </c>
      <c r="FP14" s="6">
        <f>IF(FP31="","",AVERAGEIFS('TP-b'!$C$3:$C$60,'TP-b'!$A$3:$A$60,"FP",'TP-b'!$B$3:$B$60,FP31,'TP-b'!$E$3:$E$60,1))</f>
        <v/>
      </c>
      <c r="FQ14" s="6">
        <f>IF(FQ31="","",AVERAGEIFS('TP-b'!$C$3:$C$60,'TP-b'!$A$3:$A$60,"FP",'TP-b'!$B$3:$B$60,FQ31,'TP-b'!$E$3:$E$60,1))</f>
        <v/>
      </c>
    </row>
    <row r="15">
      <c r="A15" s="25" t="inlineStr">
        <is>
          <t>FP</t>
        </is>
      </c>
      <c r="B15" s="24" t="inlineStr">
        <is>
          <t>b (cm)</t>
        </is>
      </c>
      <c r="D15" s="6">
        <f>IF(D31="","",AVERAGEIFS('TP-b'!$D$3:$D$60,'TP-b'!$A$3:$A$60,"FP",'TP-b'!$B$3:$B$60,D31,'TP-b'!$E$3:$E$60,1))</f>
        <v/>
      </c>
      <c r="E15" s="6">
        <f>IF(E31="","",AVERAGEIFS('TP-b'!$D$3:$D$60,'TP-b'!$A$3:$A$60,"FP",'TP-b'!$B$3:$B$60,E31,'TP-b'!$E$3:$E$60,1))</f>
        <v/>
      </c>
      <c r="F15" s="6">
        <f>IF(F31="","",AVERAGEIFS('TP-b'!$D$3:$D$60,'TP-b'!$A$3:$A$60,"FP",'TP-b'!$B$3:$B$60,F31,'TP-b'!$E$3:$E$60,1))</f>
        <v/>
      </c>
      <c r="G15" s="6">
        <f>IF(G31="","",AVERAGEIFS('TP-b'!$D$3:$D$60,'TP-b'!$A$3:$A$60,"FP",'TP-b'!$B$3:$B$60,G31,'TP-b'!$E$3:$E$60,1))</f>
        <v/>
      </c>
      <c r="H15" s="6">
        <f>IF(H31="","",AVERAGEIFS('TP-b'!$D$3:$D$60,'TP-b'!$A$3:$A$60,"FP",'TP-b'!$B$3:$B$60,H31,'TP-b'!$E$3:$E$60,1))</f>
        <v/>
      </c>
      <c r="I15" s="6">
        <f>IF(I31="","",AVERAGEIFS('TP-b'!$D$3:$D$60,'TP-b'!$A$3:$A$60,"FP",'TP-b'!$B$3:$B$60,I31,'TP-b'!$E$3:$E$60,1))</f>
        <v/>
      </c>
      <c r="J15" s="6">
        <f>IF(J31="","",AVERAGEIFS('TP-b'!$D$3:$D$60,'TP-b'!$A$3:$A$60,"FP",'TP-b'!$B$3:$B$60,J31,'TP-b'!$E$3:$E$60,1))</f>
        <v/>
      </c>
      <c r="K15" s="6">
        <f>IF(K31="","",AVERAGEIFS('TP-b'!$D$3:$D$60,'TP-b'!$A$3:$A$60,"FP",'TP-b'!$B$3:$B$60,K31,'TP-b'!$E$3:$E$60,1))</f>
        <v/>
      </c>
      <c r="L15" s="6">
        <f>IF(L31="","",AVERAGEIFS('TP-b'!$D$3:$D$60,'TP-b'!$A$3:$A$60,"FP",'TP-b'!$B$3:$B$60,L31,'TP-b'!$E$3:$E$60,1))</f>
        <v/>
      </c>
      <c r="M15" s="6">
        <f>IF(M31="","",AVERAGEIFS('TP-b'!$D$3:$D$60,'TP-b'!$A$3:$A$60,"FP",'TP-b'!$B$3:$B$60,M31,'TP-b'!$E$3:$E$60,1))</f>
        <v/>
      </c>
      <c r="N15" s="6">
        <f>IF(N31="","",AVERAGEIFS('TP-b'!$D$3:$D$60,'TP-b'!$A$3:$A$60,"FP",'TP-b'!$B$3:$B$60,N31,'TP-b'!$E$3:$E$60,1))</f>
        <v/>
      </c>
      <c r="O15" s="6">
        <f>IF(O31="","",AVERAGEIFS('TP-b'!$D$3:$D$60,'TP-b'!$A$3:$A$60,"FP",'TP-b'!$B$3:$B$60,O31,'TP-b'!$E$3:$E$60,1))</f>
        <v/>
      </c>
      <c r="P15" s="6">
        <f>IF(P31="","",AVERAGEIFS('TP-b'!$D$3:$D$60,'TP-b'!$A$3:$A$60,"FP",'TP-b'!$B$3:$B$60,P31,'TP-b'!$E$3:$E$60,1))</f>
        <v/>
      </c>
      <c r="Q15" s="6">
        <f>IF(Q31="","",AVERAGEIFS('TP-b'!$D$3:$D$60,'TP-b'!$A$3:$A$60,"FP",'TP-b'!$B$3:$B$60,Q31,'TP-b'!$E$3:$E$60,1))</f>
        <v/>
      </c>
      <c r="R15" s="6">
        <f>IF(R31="","",AVERAGEIFS('TP-b'!$D$3:$D$60,'TP-b'!$A$3:$A$60,"FP",'TP-b'!$B$3:$B$60,R31,'TP-b'!$E$3:$E$60,1))</f>
        <v/>
      </c>
      <c r="S15" s="6">
        <f>IF(S31="","",AVERAGEIFS('TP-b'!$D$3:$D$60,'TP-b'!$A$3:$A$60,"FP",'TP-b'!$B$3:$B$60,S31,'TP-b'!$E$3:$E$60,1))</f>
        <v/>
      </c>
      <c r="T15" s="6">
        <f>IF(T31="","",AVERAGEIFS('TP-b'!$D$3:$D$60,'TP-b'!$A$3:$A$60,"FP",'TP-b'!$B$3:$B$60,T31,'TP-b'!$E$3:$E$60,1))</f>
        <v/>
      </c>
      <c r="U15" s="6">
        <f>IF(U31="","",AVERAGEIFS('TP-b'!$D$3:$D$60,'TP-b'!$A$3:$A$60,"FP",'TP-b'!$B$3:$B$60,U31,'TP-b'!$E$3:$E$60,1))</f>
        <v/>
      </c>
      <c r="V15" s="6">
        <f>IF(V31="","",AVERAGEIFS('TP-b'!$D$3:$D$60,'TP-b'!$A$3:$A$60,"FP",'TP-b'!$B$3:$B$60,V31,'TP-b'!$E$3:$E$60,1))</f>
        <v/>
      </c>
      <c r="W15" s="6">
        <f>IF(W31="","",AVERAGEIFS('TP-b'!$D$3:$D$60,'TP-b'!$A$3:$A$60,"FP",'TP-b'!$B$3:$B$60,W31,'TP-b'!$E$3:$E$60,1))</f>
        <v/>
      </c>
      <c r="X15" s="6">
        <f>IF(X31="","",AVERAGEIFS('TP-b'!$D$3:$D$60,'TP-b'!$A$3:$A$60,"FP",'TP-b'!$B$3:$B$60,X31,'TP-b'!$E$3:$E$60,1))</f>
        <v/>
      </c>
      <c r="Y15" s="6">
        <f>IF(Y31="","",AVERAGEIFS('TP-b'!$D$3:$D$60,'TP-b'!$A$3:$A$60,"FP",'TP-b'!$B$3:$B$60,Y31,'TP-b'!$E$3:$E$60,1))</f>
        <v/>
      </c>
      <c r="Z15" s="6">
        <f>IF(Z31="","",AVERAGEIFS('TP-b'!$D$3:$D$60,'TP-b'!$A$3:$A$60,"FP",'TP-b'!$B$3:$B$60,Z31,'TP-b'!$E$3:$E$60,1))</f>
        <v/>
      </c>
      <c r="AA15" s="6">
        <f>IF(AA31="","",AVERAGEIFS('TP-b'!$D$3:$D$60,'TP-b'!$A$3:$A$60,"FP",'TP-b'!$B$3:$B$60,AA31,'TP-b'!$E$3:$E$60,1))</f>
        <v/>
      </c>
      <c r="AB15" s="6">
        <f>IF(AB31="","",AVERAGEIFS('TP-b'!$D$3:$D$60,'TP-b'!$A$3:$A$60,"FP",'TP-b'!$B$3:$B$60,AB31,'TP-b'!$E$3:$E$60,1))</f>
        <v/>
      </c>
      <c r="AC15" s="6">
        <f>IF(AC31="","",AVERAGEIFS('TP-b'!$D$3:$D$60,'TP-b'!$A$3:$A$60,"FP",'TP-b'!$B$3:$B$60,AC31,'TP-b'!$E$3:$E$60,1))</f>
        <v/>
      </c>
      <c r="AD15" s="6">
        <f>IF(AD31="","",AVERAGEIFS('TP-b'!$D$3:$D$60,'TP-b'!$A$3:$A$60,"FP",'TP-b'!$B$3:$B$60,AD31,'TP-b'!$E$3:$E$60,1))</f>
        <v/>
      </c>
      <c r="AE15" s="6">
        <f>IF(AE31="","",AVERAGEIFS('TP-b'!$D$3:$D$60,'TP-b'!$A$3:$A$60,"FP",'TP-b'!$B$3:$B$60,AE31,'TP-b'!$E$3:$E$60,1))</f>
        <v/>
      </c>
      <c r="AF15" s="6">
        <f>IF(AF31="","",AVERAGEIFS('TP-b'!$D$3:$D$60,'TP-b'!$A$3:$A$60,"FP",'TP-b'!$B$3:$B$60,AF31,'TP-b'!$E$3:$E$60,1))</f>
        <v/>
      </c>
      <c r="AG15" s="6">
        <f>IF(AG31="","",AVERAGEIFS('TP-b'!$D$3:$D$60,'TP-b'!$A$3:$A$60,"FP",'TP-b'!$B$3:$B$60,AG31,'TP-b'!$E$3:$E$60,1))</f>
        <v/>
      </c>
      <c r="AH15" s="6">
        <f>IF(AH31="","",AVERAGEIFS('TP-b'!$D$3:$D$60,'TP-b'!$A$3:$A$60,"FP",'TP-b'!$B$3:$B$60,AH31,'TP-b'!$E$3:$E$60,1))</f>
        <v/>
      </c>
      <c r="AI15" s="6">
        <f>IF(AI31="","",AVERAGEIFS('TP-b'!$D$3:$D$60,'TP-b'!$A$3:$A$60,"FP",'TP-b'!$B$3:$B$60,AI31,'TP-b'!$E$3:$E$60,1))</f>
        <v/>
      </c>
      <c r="AJ15" s="6">
        <f>IF(AJ31="","",AVERAGEIFS('TP-b'!$D$3:$D$60,'TP-b'!$A$3:$A$60,"FP",'TP-b'!$B$3:$B$60,AJ31,'TP-b'!$E$3:$E$60,1))</f>
        <v/>
      </c>
      <c r="AK15" s="6">
        <f>IF(AK31="","",AVERAGEIFS('TP-b'!$D$3:$D$60,'TP-b'!$A$3:$A$60,"FP",'TP-b'!$B$3:$B$60,AK31,'TP-b'!$E$3:$E$60,1))</f>
        <v/>
      </c>
      <c r="AL15" s="6">
        <f>IF(AL31="","",AVERAGEIFS('TP-b'!$D$3:$D$60,'TP-b'!$A$3:$A$60,"FP",'TP-b'!$B$3:$B$60,AL31,'TP-b'!$E$3:$E$60,1))</f>
        <v/>
      </c>
      <c r="AM15" s="6">
        <f>IF(AM31="","",AVERAGEIFS('TP-b'!$D$3:$D$60,'TP-b'!$A$3:$A$60,"FP",'TP-b'!$B$3:$B$60,AM31,'TP-b'!$E$3:$E$60,1))</f>
        <v/>
      </c>
      <c r="AN15" s="6">
        <f>IF(AN31="","",AVERAGEIFS('TP-b'!$D$3:$D$60,'TP-b'!$A$3:$A$60,"FP",'TP-b'!$B$3:$B$60,AN31,'TP-b'!$E$3:$E$60,1))</f>
        <v/>
      </c>
      <c r="AO15" s="6">
        <f>IF(AO31="","",AVERAGEIFS('TP-b'!$D$3:$D$60,'TP-b'!$A$3:$A$60,"FP",'TP-b'!$B$3:$B$60,AO31,'TP-b'!$E$3:$E$60,1))</f>
        <v/>
      </c>
      <c r="AP15" s="6">
        <f>IF(AP31="","",AVERAGEIFS('TP-b'!$D$3:$D$60,'TP-b'!$A$3:$A$60,"FP",'TP-b'!$B$3:$B$60,AP31,'TP-b'!$E$3:$E$60,1))</f>
        <v/>
      </c>
      <c r="AQ15" s="6">
        <f>IF(AQ31="","",AVERAGEIFS('TP-b'!$D$3:$D$60,'TP-b'!$A$3:$A$60,"FP",'TP-b'!$B$3:$B$60,AQ31,'TP-b'!$E$3:$E$60,1))</f>
        <v/>
      </c>
      <c r="AR15" s="6">
        <f>IF(AR31="","",AVERAGEIFS('TP-b'!$D$3:$D$60,'TP-b'!$A$3:$A$60,"FP",'TP-b'!$B$3:$B$60,AR31,'TP-b'!$E$3:$E$60,1))</f>
        <v/>
      </c>
      <c r="AS15" s="6">
        <f>IF(AS31="","",AVERAGEIFS('TP-b'!$D$3:$D$60,'TP-b'!$A$3:$A$60,"FP",'TP-b'!$B$3:$B$60,AS31,'TP-b'!$E$3:$E$60,1))</f>
        <v/>
      </c>
      <c r="AT15" s="6">
        <f>IF(AT31="","",AVERAGEIFS('TP-b'!$D$3:$D$60,'TP-b'!$A$3:$A$60,"FP",'TP-b'!$B$3:$B$60,AT31,'TP-b'!$E$3:$E$60,1))</f>
        <v/>
      </c>
      <c r="AU15" s="6">
        <f>IF(AU31="","",AVERAGEIFS('TP-b'!$D$3:$D$60,'TP-b'!$A$3:$A$60,"FP",'TP-b'!$B$3:$B$60,AU31,'TP-b'!$E$3:$E$60,1))</f>
        <v/>
      </c>
      <c r="AV15" s="6">
        <f>IF(AV31="","",AVERAGEIFS('TP-b'!$D$3:$D$60,'TP-b'!$A$3:$A$60,"FP",'TP-b'!$B$3:$B$60,AV31,'TP-b'!$E$3:$E$60,1))</f>
        <v/>
      </c>
      <c r="AW15" s="6">
        <f>IF(AW31="","",AVERAGEIFS('TP-b'!$D$3:$D$60,'TP-b'!$A$3:$A$60,"FP",'TP-b'!$B$3:$B$60,AW31,'TP-b'!$E$3:$E$60,1))</f>
        <v/>
      </c>
      <c r="AX15" s="6">
        <f>IF(AX31="","",AVERAGEIFS('TP-b'!$D$3:$D$60,'TP-b'!$A$3:$A$60,"FP",'TP-b'!$B$3:$B$60,AX31,'TP-b'!$E$3:$E$60,1))</f>
        <v/>
      </c>
      <c r="AY15" s="6">
        <f>IF(AY31="","",AVERAGEIFS('TP-b'!$D$3:$D$60,'TP-b'!$A$3:$A$60,"FP",'TP-b'!$B$3:$B$60,AY31,'TP-b'!$E$3:$E$60,1))</f>
        <v/>
      </c>
      <c r="AZ15" s="6">
        <f>IF(AZ31="","",AVERAGEIFS('TP-b'!$D$3:$D$60,'TP-b'!$A$3:$A$60,"FP",'TP-b'!$B$3:$B$60,AZ31,'TP-b'!$E$3:$E$60,1))</f>
        <v/>
      </c>
      <c r="BA15" s="6">
        <f>IF(BA31="","",AVERAGEIFS('TP-b'!$D$3:$D$60,'TP-b'!$A$3:$A$60,"FP",'TP-b'!$B$3:$B$60,BA31,'TP-b'!$E$3:$E$60,1))</f>
        <v/>
      </c>
      <c r="BB15" s="6">
        <f>IF(BB31="","",AVERAGEIFS('TP-b'!$D$3:$D$60,'TP-b'!$A$3:$A$60,"FP",'TP-b'!$B$3:$B$60,BB31,'TP-b'!$E$3:$E$60,1))</f>
        <v/>
      </c>
      <c r="BC15" s="6">
        <f>IF(BC31="","",AVERAGEIFS('TP-b'!$D$3:$D$60,'TP-b'!$A$3:$A$60,"FP",'TP-b'!$B$3:$B$60,BC31,'TP-b'!$E$3:$E$60,1))</f>
        <v/>
      </c>
      <c r="BD15" s="6">
        <f>IF(BD31="","",AVERAGEIFS('TP-b'!$D$3:$D$60,'TP-b'!$A$3:$A$60,"FP",'TP-b'!$B$3:$B$60,BD31,'TP-b'!$E$3:$E$60,1))</f>
        <v/>
      </c>
      <c r="BE15" s="6">
        <f>IF(BE31="","",AVERAGEIFS('TP-b'!$D$3:$D$60,'TP-b'!$A$3:$A$60,"FP",'TP-b'!$B$3:$B$60,BE31,'TP-b'!$E$3:$E$60,1))</f>
        <v/>
      </c>
      <c r="BF15" s="6">
        <f>IF(BF31="","",AVERAGEIFS('TP-b'!$D$3:$D$60,'TP-b'!$A$3:$A$60,"FP",'TP-b'!$B$3:$B$60,BF31,'TP-b'!$E$3:$E$60,1))</f>
        <v/>
      </c>
      <c r="BG15" s="6">
        <f>IF(BG31="","",AVERAGEIFS('TP-b'!$D$3:$D$60,'TP-b'!$A$3:$A$60,"FP",'TP-b'!$B$3:$B$60,BG31,'TP-b'!$E$3:$E$60,1))</f>
        <v/>
      </c>
      <c r="BH15" s="6">
        <f>IF(BH31="","",AVERAGEIFS('TP-b'!$D$3:$D$60,'TP-b'!$A$3:$A$60,"FP",'TP-b'!$B$3:$B$60,BH31,'TP-b'!$E$3:$E$60,1))</f>
        <v/>
      </c>
      <c r="BI15" s="6">
        <f>IF(BI31="","",AVERAGEIFS('TP-b'!$D$3:$D$60,'TP-b'!$A$3:$A$60,"FP",'TP-b'!$B$3:$B$60,BI31,'TP-b'!$E$3:$E$60,1))</f>
        <v/>
      </c>
      <c r="BJ15" s="6">
        <f>IF(BJ31="","",AVERAGEIFS('TP-b'!$D$3:$D$60,'TP-b'!$A$3:$A$60,"FP",'TP-b'!$B$3:$B$60,BJ31,'TP-b'!$E$3:$E$60,1))</f>
        <v/>
      </c>
      <c r="BK15" s="6">
        <f>IF(BK31="","",AVERAGEIFS('TP-b'!$D$3:$D$60,'TP-b'!$A$3:$A$60,"FP",'TP-b'!$B$3:$B$60,BK31,'TP-b'!$E$3:$E$60,1))</f>
        <v/>
      </c>
      <c r="BL15" s="6">
        <f>IF(BL31="","",AVERAGEIFS('TP-b'!$D$3:$D$60,'TP-b'!$A$3:$A$60,"FP",'TP-b'!$B$3:$B$60,BL31,'TP-b'!$E$3:$E$60,1))</f>
        <v/>
      </c>
      <c r="BM15" s="6">
        <f>IF(BM31="","",AVERAGEIFS('TP-b'!$D$3:$D$60,'TP-b'!$A$3:$A$60,"FP",'TP-b'!$B$3:$B$60,BM31,'TP-b'!$E$3:$E$60,1))</f>
        <v/>
      </c>
      <c r="BN15" s="6">
        <f>IF(BN31="","",AVERAGEIFS('TP-b'!$D$3:$D$60,'TP-b'!$A$3:$A$60,"FP",'TP-b'!$B$3:$B$60,BN31,'TP-b'!$E$3:$E$60,1))</f>
        <v/>
      </c>
      <c r="BO15" s="6">
        <f>IF(BO31="","",AVERAGEIFS('TP-b'!$D$3:$D$60,'TP-b'!$A$3:$A$60,"FP",'TP-b'!$B$3:$B$60,BO31,'TP-b'!$E$3:$E$60,1))</f>
        <v/>
      </c>
      <c r="BP15" s="6">
        <f>IF(BP31="","",AVERAGEIFS('TP-b'!$D$3:$D$60,'TP-b'!$A$3:$A$60,"FP",'TP-b'!$B$3:$B$60,BP31,'TP-b'!$E$3:$E$60,1))</f>
        <v/>
      </c>
      <c r="BQ15" s="6">
        <f>IF(BQ31="","",AVERAGEIFS('TP-b'!$D$3:$D$60,'TP-b'!$A$3:$A$60,"FP",'TP-b'!$B$3:$B$60,BQ31,'TP-b'!$E$3:$E$60,1))</f>
        <v/>
      </c>
      <c r="BR15" s="6">
        <f>IF(BR31="","",AVERAGEIFS('TP-b'!$D$3:$D$60,'TP-b'!$A$3:$A$60,"FP",'TP-b'!$B$3:$B$60,BR31,'TP-b'!$E$3:$E$60,1))</f>
        <v/>
      </c>
      <c r="BS15" s="6">
        <f>IF(BS31="","",AVERAGEIFS('TP-b'!$D$3:$D$60,'TP-b'!$A$3:$A$60,"FP",'TP-b'!$B$3:$B$60,BS31,'TP-b'!$E$3:$E$60,1))</f>
        <v/>
      </c>
      <c r="BT15" s="6">
        <f>IF(BT31="","",AVERAGEIFS('TP-b'!$D$3:$D$60,'TP-b'!$A$3:$A$60,"FP",'TP-b'!$B$3:$B$60,BT31,'TP-b'!$E$3:$E$60,1))</f>
        <v/>
      </c>
      <c r="BU15" s="6">
        <f>IF(BU31="","",AVERAGEIFS('TP-b'!$D$3:$D$60,'TP-b'!$A$3:$A$60,"FP",'TP-b'!$B$3:$B$60,BU31,'TP-b'!$E$3:$E$60,1))</f>
        <v/>
      </c>
      <c r="BV15" s="6">
        <f>IF(BV31="","",AVERAGEIFS('TP-b'!$D$3:$D$60,'TP-b'!$A$3:$A$60,"FP",'TP-b'!$B$3:$B$60,BV31,'TP-b'!$E$3:$E$60,1))</f>
        <v/>
      </c>
      <c r="BW15" s="6">
        <f>IF(BW31="","",AVERAGEIFS('TP-b'!$D$3:$D$60,'TP-b'!$A$3:$A$60,"FP",'TP-b'!$B$3:$B$60,BW31,'TP-b'!$E$3:$E$60,1))</f>
        <v/>
      </c>
      <c r="BX15" s="6">
        <f>IF(BX31="","",AVERAGEIFS('TP-b'!$D$3:$D$60,'TP-b'!$A$3:$A$60,"FP",'TP-b'!$B$3:$B$60,BX31,'TP-b'!$E$3:$E$60,1))</f>
        <v/>
      </c>
      <c r="BY15" s="6">
        <f>IF(BY31="","",AVERAGEIFS('TP-b'!$D$3:$D$60,'TP-b'!$A$3:$A$60,"FP",'TP-b'!$B$3:$B$60,BY31,'TP-b'!$E$3:$E$60,1))</f>
        <v/>
      </c>
      <c r="BZ15" s="6">
        <f>IF(BZ31="","",AVERAGEIFS('TP-b'!$D$3:$D$60,'TP-b'!$A$3:$A$60,"FP",'TP-b'!$B$3:$B$60,BZ31,'TP-b'!$E$3:$E$60,1))</f>
        <v/>
      </c>
      <c r="CA15" s="6">
        <f>IF(CA31="","",AVERAGEIFS('TP-b'!$D$3:$D$60,'TP-b'!$A$3:$A$60,"FP",'TP-b'!$B$3:$B$60,CA31,'TP-b'!$E$3:$E$60,1))</f>
        <v/>
      </c>
      <c r="CB15" s="6">
        <f>IF(CB31="","",AVERAGEIFS('TP-b'!$D$3:$D$60,'TP-b'!$A$3:$A$60,"FP",'TP-b'!$B$3:$B$60,CB31,'TP-b'!$E$3:$E$60,1))</f>
        <v/>
      </c>
      <c r="CC15" s="6">
        <f>IF(CC31="","",AVERAGEIFS('TP-b'!$D$3:$D$60,'TP-b'!$A$3:$A$60,"FP",'TP-b'!$B$3:$B$60,CC31,'TP-b'!$E$3:$E$60,1))</f>
        <v/>
      </c>
      <c r="CD15" s="6">
        <f>IF(CD31="","",AVERAGEIFS('TP-b'!$D$3:$D$60,'TP-b'!$A$3:$A$60,"FP",'TP-b'!$B$3:$B$60,CD31,'TP-b'!$E$3:$E$60,1))</f>
        <v/>
      </c>
      <c r="CE15" s="6">
        <f>IF(CE31="","",AVERAGEIFS('TP-b'!$D$3:$D$60,'TP-b'!$A$3:$A$60,"FP",'TP-b'!$B$3:$B$60,CE31,'TP-b'!$E$3:$E$60,1))</f>
        <v/>
      </c>
      <c r="CF15" s="6">
        <f>IF(CF31="","",AVERAGEIFS('TP-b'!$D$3:$D$60,'TP-b'!$A$3:$A$60,"FP",'TP-b'!$B$3:$B$60,CF31,'TP-b'!$E$3:$E$60,1))</f>
        <v/>
      </c>
      <c r="CG15" s="6">
        <f>IF(CG31="","",AVERAGEIFS('TP-b'!$D$3:$D$60,'TP-b'!$A$3:$A$60,"FP",'TP-b'!$B$3:$B$60,CG31,'TP-b'!$E$3:$E$60,1))</f>
        <v/>
      </c>
      <c r="CH15" s="6">
        <f>IF(CH31="","",AVERAGEIFS('TP-b'!$D$3:$D$60,'TP-b'!$A$3:$A$60,"FP",'TP-b'!$B$3:$B$60,CH31,'TP-b'!$E$3:$E$60,1))</f>
        <v/>
      </c>
      <c r="CI15" s="6">
        <f>IF(CI31="","",AVERAGEIFS('TP-b'!$D$3:$D$60,'TP-b'!$A$3:$A$60,"FP",'TP-b'!$B$3:$B$60,CI31,'TP-b'!$E$3:$E$60,1))</f>
        <v/>
      </c>
      <c r="CJ15" s="6">
        <f>IF(CJ31="","",AVERAGEIFS('TP-b'!$D$3:$D$60,'TP-b'!$A$3:$A$60,"FP",'TP-b'!$B$3:$B$60,CJ31,'TP-b'!$E$3:$E$60,1))</f>
        <v/>
      </c>
      <c r="CK15" s="6">
        <f>IF(CK31="","",AVERAGEIFS('TP-b'!$D$3:$D$60,'TP-b'!$A$3:$A$60,"FP",'TP-b'!$B$3:$B$60,CK31,'TP-b'!$E$3:$E$60,1))</f>
        <v/>
      </c>
      <c r="CL15" s="6">
        <f>IF(CL31="","",AVERAGEIFS('TP-b'!$D$3:$D$60,'TP-b'!$A$3:$A$60,"FP",'TP-b'!$B$3:$B$60,CL31,'TP-b'!$E$3:$E$60,1))</f>
        <v/>
      </c>
      <c r="CM15" s="6">
        <f>IF(CM31="","",AVERAGEIFS('TP-b'!$D$3:$D$60,'TP-b'!$A$3:$A$60,"FP",'TP-b'!$B$3:$B$60,CM31,'TP-b'!$E$3:$E$60,1))</f>
        <v/>
      </c>
      <c r="CN15" s="6">
        <f>IF(CN31="","",AVERAGEIFS('TP-b'!$D$3:$D$60,'TP-b'!$A$3:$A$60,"FP",'TP-b'!$B$3:$B$60,CN31,'TP-b'!$E$3:$E$60,1))</f>
        <v/>
      </c>
      <c r="CO15" s="6">
        <f>IF(CO31="","",AVERAGEIFS('TP-b'!$D$3:$D$60,'TP-b'!$A$3:$A$60,"FP",'TP-b'!$B$3:$B$60,CO31,'TP-b'!$E$3:$E$60,1))</f>
        <v/>
      </c>
      <c r="CP15" s="6">
        <f>IF(CP31="","",AVERAGEIFS('TP-b'!$D$3:$D$60,'TP-b'!$A$3:$A$60,"FP",'TP-b'!$B$3:$B$60,CP31,'TP-b'!$E$3:$E$60,1))</f>
        <v/>
      </c>
      <c r="CQ15" s="6">
        <f>IF(CQ31="","",AVERAGEIFS('TP-b'!$D$3:$D$60,'TP-b'!$A$3:$A$60,"FP",'TP-b'!$B$3:$B$60,CQ31,'TP-b'!$E$3:$E$60,1))</f>
        <v/>
      </c>
      <c r="CR15" s="6">
        <f>IF(CR31="","",AVERAGEIFS('TP-b'!$D$3:$D$60,'TP-b'!$A$3:$A$60,"FP",'TP-b'!$B$3:$B$60,CR31,'TP-b'!$E$3:$E$60,1))</f>
        <v/>
      </c>
      <c r="CS15" s="6">
        <f>IF(CS31="","",AVERAGEIFS('TP-b'!$D$3:$D$60,'TP-b'!$A$3:$A$60,"FP",'TP-b'!$B$3:$B$60,CS31,'TP-b'!$E$3:$E$60,1))</f>
        <v/>
      </c>
      <c r="CT15" s="6">
        <f>IF(CT31="","",AVERAGEIFS('TP-b'!$D$3:$D$60,'TP-b'!$A$3:$A$60,"FP",'TP-b'!$B$3:$B$60,CT31,'TP-b'!$E$3:$E$60,1))</f>
        <v/>
      </c>
      <c r="CU15" s="6">
        <f>IF(CU31="","",AVERAGEIFS('TP-b'!$D$3:$D$60,'TP-b'!$A$3:$A$60,"FP",'TP-b'!$B$3:$B$60,CU31,'TP-b'!$E$3:$E$60,1))</f>
        <v/>
      </c>
      <c r="CV15" s="6">
        <f>IF(CV31="","",AVERAGEIFS('TP-b'!$D$3:$D$60,'TP-b'!$A$3:$A$60,"FP",'TP-b'!$B$3:$B$60,CV31,'TP-b'!$E$3:$E$60,1))</f>
        <v/>
      </c>
      <c r="CW15" s="6">
        <f>IF(CW31="","",AVERAGEIFS('TP-b'!$D$3:$D$60,'TP-b'!$A$3:$A$60,"FP",'TP-b'!$B$3:$B$60,CW31,'TP-b'!$E$3:$E$60,1))</f>
        <v/>
      </c>
      <c r="CX15" s="6">
        <f>IF(CX31="","",AVERAGEIFS('TP-b'!$D$3:$D$60,'TP-b'!$A$3:$A$60,"FP",'TP-b'!$B$3:$B$60,CX31,'TP-b'!$E$3:$E$60,1))</f>
        <v/>
      </c>
      <c r="CY15" s="6">
        <f>IF(CY31="","",AVERAGEIFS('TP-b'!$D$3:$D$60,'TP-b'!$A$3:$A$60,"FP",'TP-b'!$B$3:$B$60,CY31,'TP-b'!$E$3:$E$60,1))</f>
        <v/>
      </c>
      <c r="CZ15" s="6">
        <f>IF(CZ31="","",AVERAGEIFS('TP-b'!$D$3:$D$60,'TP-b'!$A$3:$A$60,"FP",'TP-b'!$B$3:$B$60,CZ31,'TP-b'!$E$3:$E$60,1))</f>
        <v/>
      </c>
      <c r="DA15" s="6">
        <f>IF(DA31="","",AVERAGEIFS('TP-b'!$D$3:$D$60,'TP-b'!$A$3:$A$60,"FP",'TP-b'!$B$3:$B$60,DA31,'TP-b'!$E$3:$E$60,1))</f>
        <v/>
      </c>
      <c r="DB15" s="6">
        <f>IF(DB31="","",AVERAGEIFS('TP-b'!$D$3:$D$60,'TP-b'!$A$3:$A$60,"FP",'TP-b'!$B$3:$B$60,DB31,'TP-b'!$E$3:$E$60,1))</f>
        <v/>
      </c>
      <c r="DC15" s="6">
        <f>IF(DC31="","",AVERAGEIFS('TP-b'!$D$3:$D$60,'TP-b'!$A$3:$A$60,"FP",'TP-b'!$B$3:$B$60,DC31,'TP-b'!$E$3:$E$60,1))</f>
        <v/>
      </c>
      <c r="DD15" s="6">
        <f>IF(DD31="","",AVERAGEIFS('TP-b'!$D$3:$D$60,'TP-b'!$A$3:$A$60,"FP",'TP-b'!$B$3:$B$60,DD31,'TP-b'!$E$3:$E$60,1))</f>
        <v/>
      </c>
      <c r="DE15" s="6">
        <f>IF(DE31="","",AVERAGEIFS('TP-b'!$D$3:$D$60,'TP-b'!$A$3:$A$60,"FP",'TP-b'!$B$3:$B$60,DE31,'TP-b'!$E$3:$E$60,1))</f>
        <v/>
      </c>
      <c r="DF15" s="6">
        <f>IF(DF31="","",AVERAGEIFS('TP-b'!$D$3:$D$60,'TP-b'!$A$3:$A$60,"FP",'TP-b'!$B$3:$B$60,DF31,'TP-b'!$E$3:$E$60,1))</f>
        <v/>
      </c>
      <c r="DG15" s="6">
        <f>IF(DG31="","",AVERAGEIFS('TP-b'!$D$3:$D$60,'TP-b'!$A$3:$A$60,"FP",'TP-b'!$B$3:$B$60,DG31,'TP-b'!$E$3:$E$60,1))</f>
        <v/>
      </c>
      <c r="DH15" s="6">
        <f>IF(DH31="","",AVERAGEIFS('TP-b'!$D$3:$D$60,'TP-b'!$A$3:$A$60,"FP",'TP-b'!$B$3:$B$60,DH31,'TP-b'!$E$3:$E$60,1))</f>
        <v/>
      </c>
      <c r="DI15" s="6">
        <f>IF(DI31="","",AVERAGEIFS('TP-b'!$D$3:$D$60,'TP-b'!$A$3:$A$60,"FP",'TP-b'!$B$3:$B$60,DI31,'TP-b'!$E$3:$E$60,1))</f>
        <v/>
      </c>
      <c r="DJ15" s="6">
        <f>IF(DJ31="","",AVERAGEIFS('TP-b'!$D$3:$D$60,'TP-b'!$A$3:$A$60,"FP",'TP-b'!$B$3:$B$60,DJ31,'TP-b'!$E$3:$E$60,1))</f>
        <v/>
      </c>
      <c r="DK15" s="6">
        <f>IF(DK31="","",AVERAGEIFS('TP-b'!$D$3:$D$60,'TP-b'!$A$3:$A$60,"FP",'TP-b'!$B$3:$B$60,DK31,'TP-b'!$E$3:$E$60,1))</f>
        <v/>
      </c>
      <c r="DL15" s="6">
        <f>IF(DL31="","",AVERAGEIFS('TP-b'!$D$3:$D$60,'TP-b'!$A$3:$A$60,"FP",'TP-b'!$B$3:$B$60,DL31,'TP-b'!$E$3:$E$60,1))</f>
        <v/>
      </c>
      <c r="DM15" s="6">
        <f>IF(DM31="","",AVERAGEIFS('TP-b'!$D$3:$D$60,'TP-b'!$A$3:$A$60,"FP",'TP-b'!$B$3:$B$60,DM31,'TP-b'!$E$3:$E$60,1))</f>
        <v/>
      </c>
      <c r="DN15" s="6">
        <f>IF(DN31="","",AVERAGEIFS('TP-b'!$D$3:$D$60,'TP-b'!$A$3:$A$60,"FP",'TP-b'!$B$3:$B$60,DN31,'TP-b'!$E$3:$E$60,1))</f>
        <v/>
      </c>
      <c r="DO15" s="6">
        <f>IF(DO31="","",AVERAGEIFS('TP-b'!$D$3:$D$60,'TP-b'!$A$3:$A$60,"FP",'TP-b'!$B$3:$B$60,DO31,'TP-b'!$E$3:$E$60,1))</f>
        <v/>
      </c>
      <c r="DP15" s="6">
        <f>IF(DP31="","",AVERAGEIFS('TP-b'!$D$3:$D$60,'TP-b'!$A$3:$A$60,"FP",'TP-b'!$B$3:$B$60,DP31,'TP-b'!$E$3:$E$60,1))</f>
        <v/>
      </c>
      <c r="DQ15" s="6">
        <f>IF(DQ31="","",AVERAGEIFS('TP-b'!$D$3:$D$60,'TP-b'!$A$3:$A$60,"FP",'TP-b'!$B$3:$B$60,DQ31,'TP-b'!$E$3:$E$60,1))</f>
        <v/>
      </c>
      <c r="DR15" s="6">
        <f>IF(DR31="","",AVERAGEIFS('TP-b'!$D$3:$D$60,'TP-b'!$A$3:$A$60,"FP",'TP-b'!$B$3:$B$60,DR31,'TP-b'!$E$3:$E$60,1))</f>
        <v/>
      </c>
      <c r="DS15" s="6">
        <f>IF(DS31="","",AVERAGEIFS('TP-b'!$D$3:$D$60,'TP-b'!$A$3:$A$60,"FP",'TP-b'!$B$3:$B$60,DS31,'TP-b'!$E$3:$E$60,1))</f>
        <v/>
      </c>
      <c r="DT15" s="6">
        <f>IF(DT31="","",AVERAGEIFS('TP-b'!$D$3:$D$60,'TP-b'!$A$3:$A$60,"FP",'TP-b'!$B$3:$B$60,DT31,'TP-b'!$E$3:$E$60,1))</f>
        <v/>
      </c>
      <c r="DU15" s="6">
        <f>IF(DU31="","",AVERAGEIFS('TP-b'!$D$3:$D$60,'TP-b'!$A$3:$A$60,"FP",'TP-b'!$B$3:$B$60,DU31,'TP-b'!$E$3:$E$60,1))</f>
        <v/>
      </c>
      <c r="DV15" s="6">
        <f>IF(DV31="","",AVERAGEIFS('TP-b'!$D$3:$D$60,'TP-b'!$A$3:$A$60,"FP",'TP-b'!$B$3:$B$60,DV31,'TP-b'!$E$3:$E$60,1))</f>
        <v/>
      </c>
      <c r="DW15" s="6">
        <f>IF(DW31="","",AVERAGEIFS('TP-b'!$D$3:$D$60,'TP-b'!$A$3:$A$60,"FP",'TP-b'!$B$3:$B$60,DW31,'TP-b'!$E$3:$E$60,1))</f>
        <v/>
      </c>
      <c r="DX15" s="6">
        <f>IF(DX31="","",AVERAGEIFS('TP-b'!$D$3:$D$60,'TP-b'!$A$3:$A$60,"FP",'TP-b'!$B$3:$B$60,DX31,'TP-b'!$E$3:$E$60,1))</f>
        <v/>
      </c>
      <c r="DY15" s="6">
        <f>IF(DY31="","",AVERAGEIFS('TP-b'!$D$3:$D$60,'TP-b'!$A$3:$A$60,"FP",'TP-b'!$B$3:$B$60,DY31,'TP-b'!$E$3:$E$60,1))</f>
        <v/>
      </c>
      <c r="DZ15" s="6">
        <f>IF(DZ31="","",AVERAGEIFS('TP-b'!$D$3:$D$60,'TP-b'!$A$3:$A$60,"FP",'TP-b'!$B$3:$B$60,DZ31,'TP-b'!$E$3:$E$60,1))</f>
        <v/>
      </c>
      <c r="EA15" s="6">
        <f>IF(EA31="","",AVERAGEIFS('TP-b'!$D$3:$D$60,'TP-b'!$A$3:$A$60,"FP",'TP-b'!$B$3:$B$60,EA31,'TP-b'!$E$3:$E$60,1))</f>
        <v/>
      </c>
      <c r="EB15" s="6">
        <f>IF(EB31="","",AVERAGEIFS('TP-b'!$D$3:$D$60,'TP-b'!$A$3:$A$60,"FP",'TP-b'!$B$3:$B$60,EB31,'TP-b'!$E$3:$E$60,1))</f>
        <v/>
      </c>
      <c r="EC15" s="6">
        <f>IF(EC31="","",AVERAGEIFS('TP-b'!$D$3:$D$60,'TP-b'!$A$3:$A$60,"FP",'TP-b'!$B$3:$B$60,EC31,'TP-b'!$E$3:$E$60,1))</f>
        <v/>
      </c>
      <c r="ED15" s="6">
        <f>IF(ED31="","",AVERAGEIFS('TP-b'!$D$3:$D$60,'TP-b'!$A$3:$A$60,"FP",'TP-b'!$B$3:$B$60,ED31,'TP-b'!$E$3:$E$60,1))</f>
        <v/>
      </c>
      <c r="EE15" s="6">
        <f>IF(EE31="","",AVERAGEIFS('TP-b'!$D$3:$D$60,'TP-b'!$A$3:$A$60,"FP",'TP-b'!$B$3:$B$60,EE31,'TP-b'!$E$3:$E$60,1))</f>
        <v/>
      </c>
      <c r="EF15" s="6">
        <f>IF(EF31="","",AVERAGEIFS('TP-b'!$D$3:$D$60,'TP-b'!$A$3:$A$60,"FP",'TP-b'!$B$3:$B$60,EF31,'TP-b'!$E$3:$E$60,1))</f>
        <v/>
      </c>
      <c r="EG15" s="6">
        <f>IF(EG31="","",AVERAGEIFS('TP-b'!$D$3:$D$60,'TP-b'!$A$3:$A$60,"FP",'TP-b'!$B$3:$B$60,EG31,'TP-b'!$E$3:$E$60,1))</f>
        <v/>
      </c>
      <c r="EH15" s="6">
        <f>IF(EH31="","",AVERAGEIFS('TP-b'!$D$3:$D$60,'TP-b'!$A$3:$A$60,"FP",'TP-b'!$B$3:$B$60,EH31,'TP-b'!$E$3:$E$60,1))</f>
        <v/>
      </c>
      <c r="EI15" s="6">
        <f>IF(EI31="","",AVERAGEIFS('TP-b'!$D$3:$D$60,'TP-b'!$A$3:$A$60,"FP",'TP-b'!$B$3:$B$60,EI31,'TP-b'!$E$3:$E$60,1))</f>
        <v/>
      </c>
      <c r="EJ15" s="6">
        <f>IF(EJ31="","",AVERAGEIFS('TP-b'!$D$3:$D$60,'TP-b'!$A$3:$A$60,"FP",'TP-b'!$B$3:$B$60,EJ31,'TP-b'!$E$3:$E$60,1))</f>
        <v/>
      </c>
      <c r="EK15" s="6">
        <f>IF(EK31="","",AVERAGEIFS('TP-b'!$D$3:$D$60,'TP-b'!$A$3:$A$60,"FP",'TP-b'!$B$3:$B$60,EK31,'TP-b'!$E$3:$E$60,1))</f>
        <v/>
      </c>
      <c r="EL15" s="6">
        <f>IF(EL31="","",AVERAGEIFS('TP-b'!$D$3:$D$60,'TP-b'!$A$3:$A$60,"FP",'TP-b'!$B$3:$B$60,EL31,'TP-b'!$E$3:$E$60,1))</f>
        <v/>
      </c>
      <c r="EM15" s="6">
        <f>IF(EM31="","",AVERAGEIFS('TP-b'!$D$3:$D$60,'TP-b'!$A$3:$A$60,"FP",'TP-b'!$B$3:$B$60,EM31,'TP-b'!$E$3:$E$60,1))</f>
        <v/>
      </c>
      <c r="EN15" s="6">
        <f>IF(EN31="","",AVERAGEIFS('TP-b'!$D$3:$D$60,'TP-b'!$A$3:$A$60,"FP",'TP-b'!$B$3:$B$60,EN31,'TP-b'!$E$3:$E$60,1))</f>
        <v/>
      </c>
      <c r="EO15" s="6">
        <f>IF(EO31="","",AVERAGEIFS('TP-b'!$D$3:$D$60,'TP-b'!$A$3:$A$60,"FP",'TP-b'!$B$3:$B$60,EO31,'TP-b'!$E$3:$E$60,1))</f>
        <v/>
      </c>
      <c r="EP15" s="6">
        <f>IF(EP31="","",AVERAGEIFS('TP-b'!$D$3:$D$60,'TP-b'!$A$3:$A$60,"FP",'TP-b'!$B$3:$B$60,EP31,'TP-b'!$E$3:$E$60,1))</f>
        <v/>
      </c>
      <c r="EQ15" s="6">
        <f>IF(EQ31="","",AVERAGEIFS('TP-b'!$D$3:$D$60,'TP-b'!$A$3:$A$60,"FP",'TP-b'!$B$3:$B$60,EQ31,'TP-b'!$E$3:$E$60,1))</f>
        <v/>
      </c>
      <c r="ER15" s="6">
        <f>IF(ER31="","",AVERAGEIFS('TP-b'!$D$3:$D$60,'TP-b'!$A$3:$A$60,"FP",'TP-b'!$B$3:$B$60,ER31,'TP-b'!$E$3:$E$60,1))</f>
        <v/>
      </c>
      <c r="ES15" s="6">
        <f>IF(ES31="","",AVERAGEIFS('TP-b'!$D$3:$D$60,'TP-b'!$A$3:$A$60,"FP",'TP-b'!$B$3:$B$60,ES31,'TP-b'!$E$3:$E$60,1))</f>
        <v/>
      </c>
      <c r="ET15" s="6">
        <f>IF(ET31="","",AVERAGEIFS('TP-b'!$D$3:$D$60,'TP-b'!$A$3:$A$60,"FP",'TP-b'!$B$3:$B$60,ET31,'TP-b'!$E$3:$E$60,1))</f>
        <v/>
      </c>
      <c r="EU15" s="6">
        <f>IF(EU31="","",AVERAGEIFS('TP-b'!$D$3:$D$60,'TP-b'!$A$3:$A$60,"FP",'TP-b'!$B$3:$B$60,EU31,'TP-b'!$E$3:$E$60,1))</f>
        <v/>
      </c>
      <c r="EV15" s="6">
        <f>IF(EV31="","",AVERAGEIFS('TP-b'!$D$3:$D$60,'TP-b'!$A$3:$A$60,"FP",'TP-b'!$B$3:$B$60,EV31,'TP-b'!$E$3:$E$60,1))</f>
        <v/>
      </c>
      <c r="EW15" s="6">
        <f>IF(EW31="","",AVERAGEIFS('TP-b'!$D$3:$D$60,'TP-b'!$A$3:$A$60,"FP",'TP-b'!$B$3:$B$60,EW31,'TP-b'!$E$3:$E$60,1))</f>
        <v/>
      </c>
      <c r="EX15" s="6">
        <f>IF(EX31="","",AVERAGEIFS('TP-b'!$D$3:$D$60,'TP-b'!$A$3:$A$60,"FP",'TP-b'!$B$3:$B$60,EX31,'TP-b'!$E$3:$E$60,1))</f>
        <v/>
      </c>
      <c r="EY15" s="6">
        <f>IF(EY31="","",AVERAGEIFS('TP-b'!$D$3:$D$60,'TP-b'!$A$3:$A$60,"FP",'TP-b'!$B$3:$B$60,EY31,'TP-b'!$E$3:$E$60,1))</f>
        <v/>
      </c>
      <c r="EZ15" s="6">
        <f>IF(EZ31="","",AVERAGEIFS('TP-b'!$D$3:$D$60,'TP-b'!$A$3:$A$60,"FP",'TP-b'!$B$3:$B$60,EZ31,'TP-b'!$E$3:$E$60,1))</f>
        <v/>
      </c>
      <c r="FA15" s="6">
        <f>IF(FA31="","",AVERAGEIFS('TP-b'!$D$3:$D$60,'TP-b'!$A$3:$A$60,"FP",'TP-b'!$B$3:$B$60,FA31,'TP-b'!$E$3:$E$60,1))</f>
        <v/>
      </c>
      <c r="FB15" s="6">
        <f>IF(FB31="","",AVERAGEIFS('TP-b'!$D$3:$D$60,'TP-b'!$A$3:$A$60,"FP",'TP-b'!$B$3:$B$60,FB31,'TP-b'!$E$3:$E$60,1))</f>
        <v/>
      </c>
      <c r="FC15" s="6">
        <f>IF(FC31="","",AVERAGEIFS('TP-b'!$D$3:$D$60,'TP-b'!$A$3:$A$60,"FP",'TP-b'!$B$3:$B$60,FC31,'TP-b'!$E$3:$E$60,1))</f>
        <v/>
      </c>
      <c r="FD15" s="6">
        <f>IF(FD31="","",AVERAGEIFS('TP-b'!$D$3:$D$60,'TP-b'!$A$3:$A$60,"FP",'TP-b'!$B$3:$B$60,FD31,'TP-b'!$E$3:$E$60,1))</f>
        <v/>
      </c>
      <c r="FE15" s="6">
        <f>IF(FE31="","",AVERAGEIFS('TP-b'!$D$3:$D$60,'TP-b'!$A$3:$A$60,"FP",'TP-b'!$B$3:$B$60,FE31,'TP-b'!$E$3:$E$60,1))</f>
        <v/>
      </c>
      <c r="FF15" s="6">
        <f>IF(FF31="","",AVERAGEIFS('TP-b'!$D$3:$D$60,'TP-b'!$A$3:$A$60,"FP",'TP-b'!$B$3:$B$60,FF31,'TP-b'!$E$3:$E$60,1))</f>
        <v/>
      </c>
      <c r="FG15" s="6">
        <f>IF(FG31="","",AVERAGEIFS('TP-b'!$D$3:$D$60,'TP-b'!$A$3:$A$60,"FP",'TP-b'!$B$3:$B$60,FG31,'TP-b'!$E$3:$E$60,1))</f>
        <v/>
      </c>
      <c r="FH15" s="6">
        <f>IF(FH31="","",AVERAGEIFS('TP-b'!$D$3:$D$60,'TP-b'!$A$3:$A$60,"FP",'TP-b'!$B$3:$B$60,FH31,'TP-b'!$E$3:$E$60,1))</f>
        <v/>
      </c>
      <c r="FI15" s="6">
        <f>IF(FI31="","",AVERAGEIFS('TP-b'!$D$3:$D$60,'TP-b'!$A$3:$A$60,"FP",'TP-b'!$B$3:$B$60,FI31,'TP-b'!$E$3:$E$60,1))</f>
        <v/>
      </c>
      <c r="FJ15" s="6">
        <f>IF(FJ31="","",AVERAGEIFS('TP-b'!$D$3:$D$60,'TP-b'!$A$3:$A$60,"FP",'TP-b'!$B$3:$B$60,FJ31,'TP-b'!$E$3:$E$60,1))</f>
        <v/>
      </c>
      <c r="FK15" s="6">
        <f>IF(FK31="","",AVERAGEIFS('TP-b'!$D$3:$D$60,'TP-b'!$A$3:$A$60,"FP",'TP-b'!$B$3:$B$60,FK31,'TP-b'!$E$3:$E$60,1))</f>
        <v/>
      </c>
      <c r="FL15" s="6">
        <f>IF(FL31="","",AVERAGEIFS('TP-b'!$D$3:$D$60,'TP-b'!$A$3:$A$60,"FP",'TP-b'!$B$3:$B$60,FL31,'TP-b'!$E$3:$E$60,1))</f>
        <v/>
      </c>
      <c r="FM15" s="6">
        <f>IF(FM31="","",AVERAGEIFS('TP-b'!$D$3:$D$60,'TP-b'!$A$3:$A$60,"FP",'TP-b'!$B$3:$B$60,FM31,'TP-b'!$E$3:$E$60,1))</f>
        <v/>
      </c>
      <c r="FN15" s="6">
        <f>IF(FN31="","",AVERAGEIFS('TP-b'!$D$3:$D$60,'TP-b'!$A$3:$A$60,"FP",'TP-b'!$B$3:$B$60,FN31,'TP-b'!$E$3:$E$60,1))</f>
        <v/>
      </c>
      <c r="FO15" s="6">
        <f>IF(FO31="","",AVERAGEIFS('TP-b'!$D$3:$D$60,'TP-b'!$A$3:$A$60,"FP",'TP-b'!$B$3:$B$60,FO31,'TP-b'!$E$3:$E$60,1))</f>
        <v/>
      </c>
      <c r="FP15" s="6">
        <f>IF(FP31="","",AVERAGEIFS('TP-b'!$D$3:$D$60,'TP-b'!$A$3:$A$60,"FP",'TP-b'!$B$3:$B$60,FP31,'TP-b'!$E$3:$E$60,1))</f>
        <v/>
      </c>
      <c r="FQ15" s="6">
        <f>IF(FQ31="","",AVERAGEIFS('TP-b'!$D$3:$D$60,'TP-b'!$A$3:$A$60,"FP",'TP-b'!$B$3:$B$60,FQ31,'TP-b'!$E$3:$E$60,1))</f>
        <v/>
      </c>
    </row>
    <row r="16">
      <c r="A16" s="25" t="inlineStr">
        <is>
          <t>FP</t>
        </is>
      </c>
      <c r="B16" s="24" t="inlineStr">
        <is>
          <t>Before irrigation m (cm) / সেচের আগে m</t>
        </is>
      </c>
      <c r="C16" s="18">
        <f>COUNT($D$21:$FQ$21)&amp;" irrig."</f>
        <v/>
      </c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  <c r="CO16" s="22" t="n"/>
      <c r="CP16" s="22" t="n"/>
      <c r="CQ16" s="22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/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22" t="n"/>
      <c r="DT16" s="22" t="n"/>
      <c r="DU16" s="22" t="n"/>
      <c r="DV16" s="22" t="n"/>
      <c r="DW16" s="22" t="n"/>
      <c r="DX16" s="22" t="n"/>
      <c r="DY16" s="22" t="n"/>
      <c r="DZ16" s="22" t="n"/>
      <c r="EA16" s="22" t="n"/>
      <c r="EB16" s="22" t="n"/>
      <c r="EC16" s="22" t="n"/>
      <c r="ED16" s="22" t="n"/>
      <c r="EE16" s="22" t="n"/>
      <c r="EF16" s="22" t="n"/>
      <c r="EG16" s="22" t="n"/>
      <c r="EH16" s="22" t="n"/>
      <c r="EI16" s="22" t="n"/>
      <c r="EJ16" s="22" t="n"/>
      <c r="EK16" s="22" t="n"/>
      <c r="EL16" s="22" t="n"/>
      <c r="EM16" s="22" t="n"/>
      <c r="EN16" s="22" t="n"/>
      <c r="EO16" s="22" t="n"/>
      <c r="EP16" s="22" t="n"/>
      <c r="EQ16" s="22" t="n"/>
      <c r="ER16" s="22" t="n"/>
      <c r="ES16" s="22" t="n"/>
      <c r="ET16" s="22" t="n"/>
      <c r="EU16" s="22" t="n"/>
      <c r="EV16" s="22" t="n"/>
      <c r="EW16" s="22" t="n"/>
      <c r="EX16" s="22" t="n"/>
      <c r="EY16" s="22" t="n"/>
      <c r="EZ16" s="22" t="n"/>
      <c r="FA16" s="22" t="n"/>
      <c r="FB16" s="22" t="n"/>
      <c r="FC16" s="22" t="n"/>
      <c r="FD16" s="22" t="n"/>
      <c r="FE16" s="22" t="n"/>
      <c r="FF16" s="22" t="n"/>
      <c r="FG16" s="22" t="n"/>
      <c r="FH16" s="22" t="n"/>
      <c r="FI16" s="22" t="n"/>
      <c r="FJ16" s="22" t="n"/>
      <c r="FK16" s="22" t="n"/>
      <c r="FL16" s="22" t="n"/>
      <c r="FM16" s="22" t="n"/>
      <c r="FN16" s="22" t="n"/>
      <c r="FO16" s="22" t="n"/>
      <c r="FP16" s="22" t="n"/>
      <c r="FQ16" s="22" t="n"/>
    </row>
    <row r="17">
      <c r="A17" s="25" t="inlineStr">
        <is>
          <t>FP</t>
        </is>
      </c>
      <c r="B17" s="24" t="inlineStr">
        <is>
          <t>After irrigation m (cm) / সেচের পরে m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  <c r="CE17" s="22" t="n"/>
      <c r="CF17" s="22" t="n"/>
      <c r="CG17" s="22" t="n"/>
      <c r="CH17" s="22" t="n"/>
      <c r="CI17" s="22" t="n"/>
      <c r="CJ17" s="22" t="n"/>
      <c r="CK17" s="22" t="n"/>
      <c r="CL17" s="22" t="n"/>
      <c r="CM17" s="22" t="n"/>
      <c r="CN17" s="22" t="n"/>
      <c r="CO17" s="22" t="n"/>
      <c r="CP17" s="22" t="n"/>
      <c r="CQ17" s="22" t="n"/>
      <c r="CR17" s="22" t="n"/>
      <c r="CS17" s="22" t="n"/>
      <c r="CT17" s="22" t="n"/>
      <c r="CU17" s="22" t="n"/>
      <c r="CV17" s="22" t="n"/>
      <c r="CW17" s="22" t="n"/>
      <c r="CX17" s="22" t="n"/>
      <c r="CY17" s="22" t="n"/>
      <c r="CZ17" s="22" t="n"/>
      <c r="DA17" s="22" t="n"/>
      <c r="DB17" s="22" t="n"/>
      <c r="DC17" s="22" t="n"/>
      <c r="DD17" s="22" t="n"/>
      <c r="DE17" s="22" t="n"/>
      <c r="DF17" s="22" t="n"/>
      <c r="DG17" s="22" t="n"/>
      <c r="DH17" s="22" t="n"/>
      <c r="DI17" s="22" t="n"/>
      <c r="DJ17" s="22" t="n"/>
      <c r="DK17" s="22" t="n"/>
      <c r="DL17" s="22" t="n"/>
      <c r="DM17" s="22" t="n"/>
      <c r="DN17" s="22" t="n"/>
      <c r="DO17" s="22" t="n"/>
      <c r="DP17" s="22" t="n"/>
      <c r="DQ17" s="22" t="n"/>
      <c r="DR17" s="22" t="n"/>
      <c r="DS17" s="22" t="n"/>
      <c r="DT17" s="22" t="n"/>
      <c r="DU17" s="22" t="n"/>
      <c r="DV17" s="22" t="n"/>
      <c r="DW17" s="22" t="n"/>
      <c r="DX17" s="22" t="n"/>
      <c r="DY17" s="22" t="n"/>
      <c r="DZ17" s="22" t="n"/>
      <c r="EA17" s="22" t="n"/>
      <c r="EB17" s="22" t="n"/>
      <c r="EC17" s="22" t="n"/>
      <c r="ED17" s="22" t="n"/>
      <c r="EE17" s="22" t="n"/>
      <c r="EF17" s="22" t="n"/>
      <c r="EG17" s="22" t="n"/>
      <c r="EH17" s="22" t="n"/>
      <c r="EI17" s="22" t="n"/>
      <c r="EJ17" s="22" t="n"/>
      <c r="EK17" s="22" t="n"/>
      <c r="EL17" s="22" t="n"/>
      <c r="EM17" s="22" t="n"/>
      <c r="EN17" s="22" t="n"/>
      <c r="EO17" s="22" t="n"/>
      <c r="EP17" s="22" t="n"/>
      <c r="EQ17" s="22" t="n"/>
      <c r="ER17" s="22" t="n"/>
      <c r="ES17" s="22" t="n"/>
      <c r="ET17" s="22" t="n"/>
      <c r="EU17" s="22" t="n"/>
      <c r="EV17" s="22" t="n"/>
      <c r="EW17" s="22" t="n"/>
      <c r="EX17" s="22" t="n"/>
      <c r="EY17" s="22" t="n"/>
      <c r="EZ17" s="22" t="n"/>
      <c r="FA17" s="22" t="n"/>
      <c r="FB17" s="22" t="n"/>
      <c r="FC17" s="22" t="n"/>
      <c r="FD17" s="22" t="n"/>
      <c r="FE17" s="22" t="n"/>
      <c r="FF17" s="22" t="n"/>
      <c r="FG17" s="22" t="n"/>
      <c r="FH17" s="22" t="n"/>
      <c r="FI17" s="22" t="n"/>
      <c r="FJ17" s="22" t="n"/>
      <c r="FK17" s="22" t="n"/>
      <c r="FL17" s="22" t="n"/>
      <c r="FM17" s="22" t="n"/>
      <c r="FN17" s="22" t="n"/>
      <c r="FO17" s="22" t="n"/>
      <c r="FP17" s="22" t="n"/>
      <c r="FQ17" s="22" t="n"/>
    </row>
    <row r="18">
      <c r="A18" s="25" t="inlineStr">
        <is>
          <t>FP</t>
        </is>
      </c>
      <c r="B18" s="24" t="inlineStr">
        <is>
          <t>Irrigation time (min:sec) / সেচের সময়</t>
        </is>
      </c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  <c r="CE18" s="22" t="n"/>
      <c r="CF18" s="22" t="n"/>
      <c r="CG18" s="22" t="n"/>
      <c r="CH18" s="22" t="n"/>
      <c r="CI18" s="22" t="n"/>
      <c r="CJ18" s="22" t="n"/>
      <c r="CK18" s="22" t="n"/>
      <c r="CL18" s="22" t="n"/>
      <c r="CM18" s="22" t="n"/>
      <c r="CN18" s="22" t="n"/>
      <c r="CO18" s="22" t="n"/>
      <c r="CP18" s="22" t="n"/>
      <c r="CQ18" s="22" t="n"/>
      <c r="CR18" s="22" t="n"/>
      <c r="CS18" s="22" t="n"/>
      <c r="CT18" s="22" t="n"/>
      <c r="CU18" s="22" t="n"/>
      <c r="CV18" s="22" t="n"/>
      <c r="CW18" s="22" t="n"/>
      <c r="CX18" s="22" t="n"/>
      <c r="CY18" s="22" t="n"/>
      <c r="CZ18" s="22" t="n"/>
      <c r="DA18" s="22" t="n"/>
      <c r="DB18" s="22" t="n"/>
      <c r="DC18" s="22" t="n"/>
      <c r="DD18" s="22" t="n"/>
      <c r="DE18" s="22" t="n"/>
      <c r="DF18" s="22" t="n"/>
      <c r="DG18" s="22" t="n"/>
      <c r="DH18" s="22" t="n"/>
      <c r="DI18" s="22" t="n"/>
      <c r="DJ18" s="22" t="n"/>
      <c r="DK18" s="22" t="n"/>
      <c r="DL18" s="22" t="n"/>
      <c r="DM18" s="22" t="n"/>
      <c r="DN18" s="22" t="n"/>
      <c r="DO18" s="22" t="n"/>
      <c r="DP18" s="22" t="n"/>
      <c r="DQ18" s="22" t="n"/>
      <c r="DR18" s="22" t="n"/>
      <c r="DS18" s="22" t="n"/>
      <c r="DT18" s="22" t="n"/>
      <c r="DU18" s="22" t="n"/>
      <c r="DV18" s="22" t="n"/>
      <c r="DW18" s="22" t="n"/>
      <c r="DX18" s="22" t="n"/>
      <c r="DY18" s="22" t="n"/>
      <c r="DZ18" s="22" t="n"/>
      <c r="EA18" s="22" t="n"/>
      <c r="EB18" s="22" t="n"/>
      <c r="EC18" s="22" t="n"/>
      <c r="ED18" s="22" t="n"/>
      <c r="EE18" s="22" t="n"/>
      <c r="EF18" s="22" t="n"/>
      <c r="EG18" s="22" t="n"/>
      <c r="EH18" s="22" t="n"/>
      <c r="EI18" s="22" t="n"/>
      <c r="EJ18" s="22" t="n"/>
      <c r="EK18" s="22" t="n"/>
      <c r="EL18" s="22" t="n"/>
      <c r="EM18" s="22" t="n"/>
      <c r="EN18" s="22" t="n"/>
      <c r="EO18" s="22" t="n"/>
      <c r="EP18" s="22" t="n"/>
      <c r="EQ18" s="22" t="n"/>
      <c r="ER18" s="22" t="n"/>
      <c r="ES18" s="22" t="n"/>
      <c r="ET18" s="22" t="n"/>
      <c r="EU18" s="22" t="n"/>
      <c r="EV18" s="22" t="n"/>
      <c r="EW18" s="22" t="n"/>
      <c r="EX18" s="22" t="n"/>
      <c r="EY18" s="22" t="n"/>
      <c r="EZ18" s="22" t="n"/>
      <c r="FA18" s="22" t="n"/>
      <c r="FB18" s="22" t="n"/>
      <c r="FC18" s="22" t="n"/>
      <c r="FD18" s="22" t="n"/>
      <c r="FE18" s="22" t="n"/>
      <c r="FF18" s="22" t="n"/>
      <c r="FG18" s="22" t="n"/>
      <c r="FH18" s="22" t="n"/>
      <c r="FI18" s="22" t="n"/>
      <c r="FJ18" s="22" t="n"/>
      <c r="FK18" s="22" t="n"/>
      <c r="FL18" s="22" t="n"/>
      <c r="FM18" s="22" t="n"/>
      <c r="FN18" s="22" t="n"/>
      <c r="FO18" s="22" t="n"/>
      <c r="FP18" s="22" t="n"/>
      <c r="FQ18" s="22" t="n"/>
    </row>
    <row r="19">
      <c r="A19" s="25" t="inlineStr">
        <is>
          <t>FP</t>
        </is>
      </c>
      <c r="B19" s="24" t="inlineStr">
        <is>
          <t>Before irrigation water level (cm) / সেচের আগে স্তর</t>
        </is>
      </c>
      <c r="D19" s="6">
        <f>IF(AND(ISNUMBER(D16),ISNUMBER(D17),D14&lt;&gt;""),ROUND(D16-D14+D15,1),"")</f>
        <v/>
      </c>
      <c r="E19" s="6">
        <f>IF(AND(ISNUMBER(E16),ISNUMBER(E17),E14&lt;&gt;""),ROUND(E16-E14+E15,1),"")</f>
        <v/>
      </c>
      <c r="F19" s="6">
        <f>IF(AND(ISNUMBER(F16),ISNUMBER(F17),F14&lt;&gt;""),ROUND(F16-F14+F15,1),"")</f>
        <v/>
      </c>
      <c r="G19" s="6">
        <f>IF(AND(ISNUMBER(G16),ISNUMBER(G17),G14&lt;&gt;""),ROUND(G16-G14+G15,1),"")</f>
        <v/>
      </c>
      <c r="H19" s="6">
        <f>IF(AND(ISNUMBER(H16),ISNUMBER(H17),H14&lt;&gt;""),ROUND(H16-H14+H15,1),"")</f>
        <v/>
      </c>
      <c r="I19" s="6">
        <f>IF(AND(ISNUMBER(I16),ISNUMBER(I17),I14&lt;&gt;""),ROUND(I16-I14+I15,1),"")</f>
        <v/>
      </c>
      <c r="J19" s="6">
        <f>IF(AND(ISNUMBER(J16),ISNUMBER(J17),J14&lt;&gt;""),ROUND(J16-J14+J15,1),"")</f>
        <v/>
      </c>
      <c r="K19" s="6">
        <f>IF(AND(ISNUMBER(K16),ISNUMBER(K17),K14&lt;&gt;""),ROUND(K16-K14+K15,1),"")</f>
        <v/>
      </c>
      <c r="L19" s="6">
        <f>IF(AND(ISNUMBER(L16),ISNUMBER(L17),L14&lt;&gt;""),ROUND(L16-L14+L15,1),"")</f>
        <v/>
      </c>
      <c r="M19" s="6">
        <f>IF(AND(ISNUMBER(M16),ISNUMBER(M17),M14&lt;&gt;""),ROUND(M16-M14+M15,1),"")</f>
        <v/>
      </c>
      <c r="N19" s="6">
        <f>IF(AND(ISNUMBER(N16),ISNUMBER(N17),N14&lt;&gt;""),ROUND(N16-N14+N15,1),"")</f>
        <v/>
      </c>
      <c r="O19" s="6">
        <f>IF(AND(ISNUMBER(O16),ISNUMBER(O17),O14&lt;&gt;""),ROUND(O16-O14+O15,1),"")</f>
        <v/>
      </c>
      <c r="P19" s="6">
        <f>IF(AND(ISNUMBER(P16),ISNUMBER(P17),P14&lt;&gt;""),ROUND(P16-P14+P15,1),"")</f>
        <v/>
      </c>
      <c r="Q19" s="6">
        <f>IF(AND(ISNUMBER(Q16),ISNUMBER(Q17),Q14&lt;&gt;""),ROUND(Q16-Q14+Q15,1),"")</f>
        <v/>
      </c>
      <c r="R19" s="6">
        <f>IF(AND(ISNUMBER(R16),ISNUMBER(R17),R14&lt;&gt;""),ROUND(R16-R14+R15,1),"")</f>
        <v/>
      </c>
      <c r="S19" s="6">
        <f>IF(AND(ISNUMBER(S16),ISNUMBER(S17),S14&lt;&gt;""),ROUND(S16-S14+S15,1),"")</f>
        <v/>
      </c>
      <c r="T19" s="6">
        <f>IF(AND(ISNUMBER(T16),ISNUMBER(T17),T14&lt;&gt;""),ROUND(T16-T14+T15,1),"")</f>
        <v/>
      </c>
      <c r="U19" s="6">
        <f>IF(AND(ISNUMBER(U16),ISNUMBER(U17),U14&lt;&gt;""),ROUND(U16-U14+U15,1),"")</f>
        <v/>
      </c>
      <c r="V19" s="6">
        <f>IF(AND(ISNUMBER(V16),ISNUMBER(V17),V14&lt;&gt;""),ROUND(V16-V14+V15,1),"")</f>
        <v/>
      </c>
      <c r="W19" s="6">
        <f>IF(AND(ISNUMBER(W16),ISNUMBER(W17),W14&lt;&gt;""),ROUND(W16-W14+W15,1),"")</f>
        <v/>
      </c>
      <c r="X19" s="6">
        <f>IF(AND(ISNUMBER(X16),ISNUMBER(X17),X14&lt;&gt;""),ROUND(X16-X14+X15,1),"")</f>
        <v/>
      </c>
      <c r="Y19" s="6">
        <f>IF(AND(ISNUMBER(Y16),ISNUMBER(Y17),Y14&lt;&gt;""),ROUND(Y16-Y14+Y15,1),"")</f>
        <v/>
      </c>
      <c r="Z19" s="6">
        <f>IF(AND(ISNUMBER(Z16),ISNUMBER(Z17),Z14&lt;&gt;""),ROUND(Z16-Z14+Z15,1),"")</f>
        <v/>
      </c>
      <c r="AA19" s="6">
        <f>IF(AND(ISNUMBER(AA16),ISNUMBER(AA17),AA14&lt;&gt;""),ROUND(AA16-AA14+AA15,1),"")</f>
        <v/>
      </c>
      <c r="AB19" s="6">
        <f>IF(AND(ISNUMBER(AB16),ISNUMBER(AB17),AB14&lt;&gt;""),ROUND(AB16-AB14+AB15,1),"")</f>
        <v/>
      </c>
      <c r="AC19" s="6">
        <f>IF(AND(ISNUMBER(AC16),ISNUMBER(AC17),AC14&lt;&gt;""),ROUND(AC16-AC14+AC15,1),"")</f>
        <v/>
      </c>
      <c r="AD19" s="6">
        <f>IF(AND(ISNUMBER(AD16),ISNUMBER(AD17),AD14&lt;&gt;""),ROUND(AD16-AD14+AD15,1),"")</f>
        <v/>
      </c>
      <c r="AE19" s="6">
        <f>IF(AND(ISNUMBER(AE16),ISNUMBER(AE17),AE14&lt;&gt;""),ROUND(AE16-AE14+AE15,1),"")</f>
        <v/>
      </c>
      <c r="AF19" s="6">
        <f>IF(AND(ISNUMBER(AF16),ISNUMBER(AF17),AF14&lt;&gt;""),ROUND(AF16-AF14+AF15,1),"")</f>
        <v/>
      </c>
      <c r="AG19" s="6">
        <f>IF(AND(ISNUMBER(AG16),ISNUMBER(AG17),AG14&lt;&gt;""),ROUND(AG16-AG14+AG15,1),"")</f>
        <v/>
      </c>
      <c r="AH19" s="6">
        <f>IF(AND(ISNUMBER(AH16),ISNUMBER(AH17),AH14&lt;&gt;""),ROUND(AH16-AH14+AH15,1),"")</f>
        <v/>
      </c>
      <c r="AI19" s="6">
        <f>IF(AND(ISNUMBER(AI16),ISNUMBER(AI17),AI14&lt;&gt;""),ROUND(AI16-AI14+AI15,1),"")</f>
        <v/>
      </c>
      <c r="AJ19" s="6">
        <f>IF(AND(ISNUMBER(AJ16),ISNUMBER(AJ17),AJ14&lt;&gt;""),ROUND(AJ16-AJ14+AJ15,1),"")</f>
        <v/>
      </c>
      <c r="AK19" s="6">
        <f>IF(AND(ISNUMBER(AK16),ISNUMBER(AK17),AK14&lt;&gt;""),ROUND(AK16-AK14+AK15,1),"")</f>
        <v/>
      </c>
      <c r="AL19" s="6">
        <f>IF(AND(ISNUMBER(AL16),ISNUMBER(AL17),AL14&lt;&gt;""),ROUND(AL16-AL14+AL15,1),"")</f>
        <v/>
      </c>
      <c r="AM19" s="6">
        <f>IF(AND(ISNUMBER(AM16),ISNUMBER(AM17),AM14&lt;&gt;""),ROUND(AM16-AM14+AM15,1),"")</f>
        <v/>
      </c>
      <c r="AN19" s="6">
        <f>IF(AND(ISNUMBER(AN16),ISNUMBER(AN17),AN14&lt;&gt;""),ROUND(AN16-AN14+AN15,1),"")</f>
        <v/>
      </c>
      <c r="AO19" s="6">
        <f>IF(AND(ISNUMBER(AO16),ISNUMBER(AO17),AO14&lt;&gt;""),ROUND(AO16-AO14+AO15,1),"")</f>
        <v/>
      </c>
      <c r="AP19" s="6">
        <f>IF(AND(ISNUMBER(AP16),ISNUMBER(AP17),AP14&lt;&gt;""),ROUND(AP16-AP14+AP15,1),"")</f>
        <v/>
      </c>
      <c r="AQ19" s="6">
        <f>IF(AND(ISNUMBER(AQ16),ISNUMBER(AQ17),AQ14&lt;&gt;""),ROUND(AQ16-AQ14+AQ15,1),"")</f>
        <v/>
      </c>
      <c r="AR19" s="6">
        <f>IF(AND(ISNUMBER(AR16),ISNUMBER(AR17),AR14&lt;&gt;""),ROUND(AR16-AR14+AR15,1),"")</f>
        <v/>
      </c>
      <c r="AS19" s="6">
        <f>IF(AND(ISNUMBER(AS16),ISNUMBER(AS17),AS14&lt;&gt;""),ROUND(AS16-AS14+AS15,1),"")</f>
        <v/>
      </c>
      <c r="AT19" s="6">
        <f>IF(AND(ISNUMBER(AT16),ISNUMBER(AT17),AT14&lt;&gt;""),ROUND(AT16-AT14+AT15,1),"")</f>
        <v/>
      </c>
      <c r="AU19" s="6">
        <f>IF(AND(ISNUMBER(AU16),ISNUMBER(AU17),AU14&lt;&gt;""),ROUND(AU16-AU14+AU15,1),"")</f>
        <v/>
      </c>
      <c r="AV19" s="6">
        <f>IF(AND(ISNUMBER(AV16),ISNUMBER(AV17),AV14&lt;&gt;""),ROUND(AV16-AV14+AV15,1),"")</f>
        <v/>
      </c>
      <c r="AW19" s="6">
        <f>IF(AND(ISNUMBER(AW16),ISNUMBER(AW17),AW14&lt;&gt;""),ROUND(AW16-AW14+AW15,1),"")</f>
        <v/>
      </c>
      <c r="AX19" s="6">
        <f>IF(AND(ISNUMBER(AX16),ISNUMBER(AX17),AX14&lt;&gt;""),ROUND(AX16-AX14+AX15,1),"")</f>
        <v/>
      </c>
      <c r="AY19" s="6">
        <f>IF(AND(ISNUMBER(AY16),ISNUMBER(AY17),AY14&lt;&gt;""),ROUND(AY16-AY14+AY15,1),"")</f>
        <v/>
      </c>
      <c r="AZ19" s="6">
        <f>IF(AND(ISNUMBER(AZ16),ISNUMBER(AZ17),AZ14&lt;&gt;""),ROUND(AZ16-AZ14+AZ15,1),"")</f>
        <v/>
      </c>
      <c r="BA19" s="6">
        <f>IF(AND(ISNUMBER(BA16),ISNUMBER(BA17),BA14&lt;&gt;""),ROUND(BA16-BA14+BA15,1),"")</f>
        <v/>
      </c>
      <c r="BB19" s="6">
        <f>IF(AND(ISNUMBER(BB16),ISNUMBER(BB17),BB14&lt;&gt;""),ROUND(BB16-BB14+BB15,1),"")</f>
        <v/>
      </c>
      <c r="BC19" s="6">
        <f>IF(AND(ISNUMBER(BC16),ISNUMBER(BC17),BC14&lt;&gt;""),ROUND(BC16-BC14+BC15,1),"")</f>
        <v/>
      </c>
      <c r="BD19" s="6">
        <f>IF(AND(ISNUMBER(BD16),ISNUMBER(BD17),BD14&lt;&gt;""),ROUND(BD16-BD14+BD15,1),"")</f>
        <v/>
      </c>
      <c r="BE19" s="6">
        <f>IF(AND(ISNUMBER(BE16),ISNUMBER(BE17),BE14&lt;&gt;""),ROUND(BE16-BE14+BE15,1),"")</f>
        <v/>
      </c>
      <c r="BF19" s="6">
        <f>IF(AND(ISNUMBER(BF16),ISNUMBER(BF17),BF14&lt;&gt;""),ROUND(BF16-BF14+BF15,1),"")</f>
        <v/>
      </c>
      <c r="BG19" s="6">
        <f>IF(AND(ISNUMBER(BG16),ISNUMBER(BG17),BG14&lt;&gt;""),ROUND(BG16-BG14+BG15,1),"")</f>
        <v/>
      </c>
      <c r="BH19" s="6">
        <f>IF(AND(ISNUMBER(BH16),ISNUMBER(BH17),BH14&lt;&gt;""),ROUND(BH16-BH14+BH15,1),"")</f>
        <v/>
      </c>
      <c r="BI19" s="6">
        <f>IF(AND(ISNUMBER(BI16),ISNUMBER(BI17),BI14&lt;&gt;""),ROUND(BI16-BI14+BI15,1),"")</f>
        <v/>
      </c>
      <c r="BJ19" s="6">
        <f>IF(AND(ISNUMBER(BJ16),ISNUMBER(BJ17),BJ14&lt;&gt;""),ROUND(BJ16-BJ14+BJ15,1),"")</f>
        <v/>
      </c>
      <c r="BK19" s="6">
        <f>IF(AND(ISNUMBER(BK16),ISNUMBER(BK17),BK14&lt;&gt;""),ROUND(BK16-BK14+BK15,1),"")</f>
        <v/>
      </c>
      <c r="BL19" s="6">
        <f>IF(AND(ISNUMBER(BL16),ISNUMBER(BL17),BL14&lt;&gt;""),ROUND(BL16-BL14+BL15,1),"")</f>
        <v/>
      </c>
      <c r="BM19" s="6">
        <f>IF(AND(ISNUMBER(BM16),ISNUMBER(BM17),BM14&lt;&gt;""),ROUND(BM16-BM14+BM15,1),"")</f>
        <v/>
      </c>
      <c r="BN19" s="6">
        <f>IF(AND(ISNUMBER(BN16),ISNUMBER(BN17),BN14&lt;&gt;""),ROUND(BN16-BN14+BN15,1),"")</f>
        <v/>
      </c>
      <c r="BO19" s="6">
        <f>IF(AND(ISNUMBER(BO16),ISNUMBER(BO17),BO14&lt;&gt;""),ROUND(BO16-BO14+BO15,1),"")</f>
        <v/>
      </c>
      <c r="BP19" s="6">
        <f>IF(AND(ISNUMBER(BP16),ISNUMBER(BP17),BP14&lt;&gt;""),ROUND(BP16-BP14+BP15,1),"")</f>
        <v/>
      </c>
      <c r="BQ19" s="6">
        <f>IF(AND(ISNUMBER(BQ16),ISNUMBER(BQ17),BQ14&lt;&gt;""),ROUND(BQ16-BQ14+BQ15,1),"")</f>
        <v/>
      </c>
      <c r="BR19" s="6">
        <f>IF(AND(ISNUMBER(BR16),ISNUMBER(BR17),BR14&lt;&gt;""),ROUND(BR16-BR14+BR15,1),"")</f>
        <v/>
      </c>
      <c r="BS19" s="6">
        <f>IF(AND(ISNUMBER(BS16),ISNUMBER(BS17),BS14&lt;&gt;""),ROUND(BS16-BS14+BS15,1),"")</f>
        <v/>
      </c>
      <c r="BT19" s="6">
        <f>IF(AND(ISNUMBER(BT16),ISNUMBER(BT17),BT14&lt;&gt;""),ROUND(BT16-BT14+BT15,1),"")</f>
        <v/>
      </c>
      <c r="BU19" s="6">
        <f>IF(AND(ISNUMBER(BU16),ISNUMBER(BU17),BU14&lt;&gt;""),ROUND(BU16-BU14+BU15,1),"")</f>
        <v/>
      </c>
      <c r="BV19" s="6">
        <f>IF(AND(ISNUMBER(BV16),ISNUMBER(BV17),BV14&lt;&gt;""),ROUND(BV16-BV14+BV15,1),"")</f>
        <v/>
      </c>
      <c r="BW19" s="6">
        <f>IF(AND(ISNUMBER(BW16),ISNUMBER(BW17),BW14&lt;&gt;""),ROUND(BW16-BW14+BW15,1),"")</f>
        <v/>
      </c>
      <c r="BX19" s="6">
        <f>IF(AND(ISNUMBER(BX16),ISNUMBER(BX17),BX14&lt;&gt;""),ROUND(BX16-BX14+BX15,1),"")</f>
        <v/>
      </c>
      <c r="BY19" s="6">
        <f>IF(AND(ISNUMBER(BY16),ISNUMBER(BY17),BY14&lt;&gt;""),ROUND(BY16-BY14+BY15,1),"")</f>
        <v/>
      </c>
      <c r="BZ19" s="6">
        <f>IF(AND(ISNUMBER(BZ16),ISNUMBER(BZ17),BZ14&lt;&gt;""),ROUND(BZ16-BZ14+BZ15,1),"")</f>
        <v/>
      </c>
      <c r="CA19" s="6">
        <f>IF(AND(ISNUMBER(CA16),ISNUMBER(CA17),CA14&lt;&gt;""),ROUND(CA16-CA14+CA15,1),"")</f>
        <v/>
      </c>
      <c r="CB19" s="6">
        <f>IF(AND(ISNUMBER(CB16),ISNUMBER(CB17),CB14&lt;&gt;""),ROUND(CB16-CB14+CB15,1),"")</f>
        <v/>
      </c>
      <c r="CC19" s="6">
        <f>IF(AND(ISNUMBER(CC16),ISNUMBER(CC17),CC14&lt;&gt;""),ROUND(CC16-CC14+CC15,1),"")</f>
        <v/>
      </c>
      <c r="CD19" s="6">
        <f>IF(AND(ISNUMBER(CD16),ISNUMBER(CD17),CD14&lt;&gt;""),ROUND(CD16-CD14+CD15,1),"")</f>
        <v/>
      </c>
      <c r="CE19" s="6">
        <f>IF(AND(ISNUMBER(CE16),ISNUMBER(CE17),CE14&lt;&gt;""),ROUND(CE16-CE14+CE15,1),"")</f>
        <v/>
      </c>
      <c r="CF19" s="6">
        <f>IF(AND(ISNUMBER(CF16),ISNUMBER(CF17),CF14&lt;&gt;""),ROUND(CF16-CF14+CF15,1),"")</f>
        <v/>
      </c>
      <c r="CG19" s="6">
        <f>IF(AND(ISNUMBER(CG16),ISNUMBER(CG17),CG14&lt;&gt;""),ROUND(CG16-CG14+CG15,1),"")</f>
        <v/>
      </c>
      <c r="CH19" s="6">
        <f>IF(AND(ISNUMBER(CH16),ISNUMBER(CH17),CH14&lt;&gt;""),ROUND(CH16-CH14+CH15,1),"")</f>
        <v/>
      </c>
      <c r="CI19" s="6">
        <f>IF(AND(ISNUMBER(CI16),ISNUMBER(CI17),CI14&lt;&gt;""),ROUND(CI16-CI14+CI15,1),"")</f>
        <v/>
      </c>
      <c r="CJ19" s="6">
        <f>IF(AND(ISNUMBER(CJ16),ISNUMBER(CJ17),CJ14&lt;&gt;""),ROUND(CJ16-CJ14+CJ15,1),"")</f>
        <v/>
      </c>
      <c r="CK19" s="6">
        <f>IF(AND(ISNUMBER(CK16),ISNUMBER(CK17),CK14&lt;&gt;""),ROUND(CK16-CK14+CK15,1),"")</f>
        <v/>
      </c>
      <c r="CL19" s="6">
        <f>IF(AND(ISNUMBER(CL16),ISNUMBER(CL17),CL14&lt;&gt;""),ROUND(CL16-CL14+CL15,1),"")</f>
        <v/>
      </c>
      <c r="CM19" s="6">
        <f>IF(AND(ISNUMBER(CM16),ISNUMBER(CM17),CM14&lt;&gt;""),ROUND(CM16-CM14+CM15,1),"")</f>
        <v/>
      </c>
      <c r="CN19" s="6">
        <f>IF(AND(ISNUMBER(CN16),ISNUMBER(CN17),CN14&lt;&gt;""),ROUND(CN16-CN14+CN15,1),"")</f>
        <v/>
      </c>
      <c r="CO19" s="6">
        <f>IF(AND(ISNUMBER(CO16),ISNUMBER(CO17),CO14&lt;&gt;""),ROUND(CO16-CO14+CO15,1),"")</f>
        <v/>
      </c>
      <c r="CP19" s="6">
        <f>IF(AND(ISNUMBER(CP16),ISNUMBER(CP17),CP14&lt;&gt;""),ROUND(CP16-CP14+CP15,1),"")</f>
        <v/>
      </c>
      <c r="CQ19" s="6">
        <f>IF(AND(ISNUMBER(CQ16),ISNUMBER(CQ17),CQ14&lt;&gt;""),ROUND(CQ16-CQ14+CQ15,1),"")</f>
        <v/>
      </c>
      <c r="CR19" s="6">
        <f>IF(AND(ISNUMBER(CR16),ISNUMBER(CR17),CR14&lt;&gt;""),ROUND(CR16-CR14+CR15,1),"")</f>
        <v/>
      </c>
      <c r="CS19" s="6">
        <f>IF(AND(ISNUMBER(CS16),ISNUMBER(CS17),CS14&lt;&gt;""),ROUND(CS16-CS14+CS15,1),"")</f>
        <v/>
      </c>
      <c r="CT19" s="6">
        <f>IF(AND(ISNUMBER(CT16),ISNUMBER(CT17),CT14&lt;&gt;""),ROUND(CT16-CT14+CT15,1),"")</f>
        <v/>
      </c>
      <c r="CU19" s="6">
        <f>IF(AND(ISNUMBER(CU16),ISNUMBER(CU17),CU14&lt;&gt;""),ROUND(CU16-CU14+CU15,1),"")</f>
        <v/>
      </c>
      <c r="CV19" s="6">
        <f>IF(AND(ISNUMBER(CV16),ISNUMBER(CV17),CV14&lt;&gt;""),ROUND(CV16-CV14+CV15,1),"")</f>
        <v/>
      </c>
      <c r="CW19" s="6">
        <f>IF(AND(ISNUMBER(CW16),ISNUMBER(CW17),CW14&lt;&gt;""),ROUND(CW16-CW14+CW15,1),"")</f>
        <v/>
      </c>
      <c r="CX19" s="6">
        <f>IF(AND(ISNUMBER(CX16),ISNUMBER(CX17),CX14&lt;&gt;""),ROUND(CX16-CX14+CX15,1),"")</f>
        <v/>
      </c>
      <c r="CY19" s="6">
        <f>IF(AND(ISNUMBER(CY16),ISNUMBER(CY17),CY14&lt;&gt;""),ROUND(CY16-CY14+CY15,1),"")</f>
        <v/>
      </c>
      <c r="CZ19" s="6">
        <f>IF(AND(ISNUMBER(CZ16),ISNUMBER(CZ17),CZ14&lt;&gt;""),ROUND(CZ16-CZ14+CZ15,1),"")</f>
        <v/>
      </c>
      <c r="DA19" s="6">
        <f>IF(AND(ISNUMBER(DA16),ISNUMBER(DA17),DA14&lt;&gt;""),ROUND(DA16-DA14+DA15,1),"")</f>
        <v/>
      </c>
      <c r="DB19" s="6">
        <f>IF(AND(ISNUMBER(DB16),ISNUMBER(DB17),DB14&lt;&gt;""),ROUND(DB16-DB14+DB15,1),"")</f>
        <v/>
      </c>
      <c r="DC19" s="6">
        <f>IF(AND(ISNUMBER(DC16),ISNUMBER(DC17),DC14&lt;&gt;""),ROUND(DC16-DC14+DC15,1),"")</f>
        <v/>
      </c>
      <c r="DD19" s="6">
        <f>IF(AND(ISNUMBER(DD16),ISNUMBER(DD17),DD14&lt;&gt;""),ROUND(DD16-DD14+DD15,1),"")</f>
        <v/>
      </c>
      <c r="DE19" s="6">
        <f>IF(AND(ISNUMBER(DE16),ISNUMBER(DE17),DE14&lt;&gt;""),ROUND(DE16-DE14+DE15,1),"")</f>
        <v/>
      </c>
      <c r="DF19" s="6">
        <f>IF(AND(ISNUMBER(DF16),ISNUMBER(DF17),DF14&lt;&gt;""),ROUND(DF16-DF14+DF15,1),"")</f>
        <v/>
      </c>
      <c r="DG19" s="6">
        <f>IF(AND(ISNUMBER(DG16),ISNUMBER(DG17),DG14&lt;&gt;""),ROUND(DG16-DG14+DG15,1),"")</f>
        <v/>
      </c>
      <c r="DH19" s="6">
        <f>IF(AND(ISNUMBER(DH16),ISNUMBER(DH17),DH14&lt;&gt;""),ROUND(DH16-DH14+DH15,1),"")</f>
        <v/>
      </c>
      <c r="DI19" s="6">
        <f>IF(AND(ISNUMBER(DI16),ISNUMBER(DI17),DI14&lt;&gt;""),ROUND(DI16-DI14+DI15,1),"")</f>
        <v/>
      </c>
      <c r="DJ19" s="6">
        <f>IF(AND(ISNUMBER(DJ16),ISNUMBER(DJ17),DJ14&lt;&gt;""),ROUND(DJ16-DJ14+DJ15,1),"")</f>
        <v/>
      </c>
      <c r="DK19" s="6">
        <f>IF(AND(ISNUMBER(DK16),ISNUMBER(DK17),DK14&lt;&gt;""),ROUND(DK16-DK14+DK15,1),"")</f>
        <v/>
      </c>
      <c r="DL19" s="6">
        <f>IF(AND(ISNUMBER(DL16),ISNUMBER(DL17),DL14&lt;&gt;""),ROUND(DL16-DL14+DL15,1),"")</f>
        <v/>
      </c>
      <c r="DM19" s="6">
        <f>IF(AND(ISNUMBER(DM16),ISNUMBER(DM17),DM14&lt;&gt;""),ROUND(DM16-DM14+DM15,1),"")</f>
        <v/>
      </c>
      <c r="DN19" s="6">
        <f>IF(AND(ISNUMBER(DN16),ISNUMBER(DN17),DN14&lt;&gt;""),ROUND(DN16-DN14+DN15,1),"")</f>
        <v/>
      </c>
      <c r="DO19" s="6">
        <f>IF(AND(ISNUMBER(DO16),ISNUMBER(DO17),DO14&lt;&gt;""),ROUND(DO16-DO14+DO15,1),"")</f>
        <v/>
      </c>
      <c r="DP19" s="6">
        <f>IF(AND(ISNUMBER(DP16),ISNUMBER(DP17),DP14&lt;&gt;""),ROUND(DP16-DP14+DP15,1),"")</f>
        <v/>
      </c>
      <c r="DQ19" s="6">
        <f>IF(AND(ISNUMBER(DQ16),ISNUMBER(DQ17),DQ14&lt;&gt;""),ROUND(DQ16-DQ14+DQ15,1),"")</f>
        <v/>
      </c>
      <c r="DR19" s="6">
        <f>IF(AND(ISNUMBER(DR16),ISNUMBER(DR17),DR14&lt;&gt;""),ROUND(DR16-DR14+DR15,1),"")</f>
        <v/>
      </c>
      <c r="DS19" s="6">
        <f>IF(AND(ISNUMBER(DS16),ISNUMBER(DS17),DS14&lt;&gt;""),ROUND(DS16-DS14+DS15,1),"")</f>
        <v/>
      </c>
      <c r="DT19" s="6">
        <f>IF(AND(ISNUMBER(DT16),ISNUMBER(DT17),DT14&lt;&gt;""),ROUND(DT16-DT14+DT15,1),"")</f>
        <v/>
      </c>
      <c r="DU19" s="6">
        <f>IF(AND(ISNUMBER(DU16),ISNUMBER(DU17),DU14&lt;&gt;""),ROUND(DU16-DU14+DU15,1),"")</f>
        <v/>
      </c>
      <c r="DV19" s="6">
        <f>IF(AND(ISNUMBER(DV16),ISNUMBER(DV17),DV14&lt;&gt;""),ROUND(DV16-DV14+DV15,1),"")</f>
        <v/>
      </c>
      <c r="DW19" s="6">
        <f>IF(AND(ISNUMBER(DW16),ISNUMBER(DW17),DW14&lt;&gt;""),ROUND(DW16-DW14+DW15,1),"")</f>
        <v/>
      </c>
      <c r="DX19" s="6">
        <f>IF(AND(ISNUMBER(DX16),ISNUMBER(DX17),DX14&lt;&gt;""),ROUND(DX16-DX14+DX15,1),"")</f>
        <v/>
      </c>
      <c r="DY19" s="6">
        <f>IF(AND(ISNUMBER(DY16),ISNUMBER(DY17),DY14&lt;&gt;""),ROUND(DY16-DY14+DY15,1),"")</f>
        <v/>
      </c>
      <c r="DZ19" s="6">
        <f>IF(AND(ISNUMBER(DZ16),ISNUMBER(DZ17),DZ14&lt;&gt;""),ROUND(DZ16-DZ14+DZ15,1),"")</f>
        <v/>
      </c>
      <c r="EA19" s="6">
        <f>IF(AND(ISNUMBER(EA16),ISNUMBER(EA17),EA14&lt;&gt;""),ROUND(EA16-EA14+EA15,1),"")</f>
        <v/>
      </c>
      <c r="EB19" s="6">
        <f>IF(AND(ISNUMBER(EB16),ISNUMBER(EB17),EB14&lt;&gt;""),ROUND(EB16-EB14+EB15,1),"")</f>
        <v/>
      </c>
      <c r="EC19" s="6">
        <f>IF(AND(ISNUMBER(EC16),ISNUMBER(EC17),EC14&lt;&gt;""),ROUND(EC16-EC14+EC15,1),"")</f>
        <v/>
      </c>
      <c r="ED19" s="6">
        <f>IF(AND(ISNUMBER(ED16),ISNUMBER(ED17),ED14&lt;&gt;""),ROUND(ED16-ED14+ED15,1),"")</f>
        <v/>
      </c>
      <c r="EE19" s="6">
        <f>IF(AND(ISNUMBER(EE16),ISNUMBER(EE17),EE14&lt;&gt;""),ROUND(EE16-EE14+EE15,1),"")</f>
        <v/>
      </c>
      <c r="EF19" s="6">
        <f>IF(AND(ISNUMBER(EF16),ISNUMBER(EF17),EF14&lt;&gt;""),ROUND(EF16-EF14+EF15,1),"")</f>
        <v/>
      </c>
      <c r="EG19" s="6">
        <f>IF(AND(ISNUMBER(EG16),ISNUMBER(EG17),EG14&lt;&gt;""),ROUND(EG16-EG14+EG15,1),"")</f>
        <v/>
      </c>
      <c r="EH19" s="6">
        <f>IF(AND(ISNUMBER(EH16),ISNUMBER(EH17),EH14&lt;&gt;""),ROUND(EH16-EH14+EH15,1),"")</f>
        <v/>
      </c>
      <c r="EI19" s="6">
        <f>IF(AND(ISNUMBER(EI16),ISNUMBER(EI17),EI14&lt;&gt;""),ROUND(EI16-EI14+EI15,1),"")</f>
        <v/>
      </c>
      <c r="EJ19" s="6">
        <f>IF(AND(ISNUMBER(EJ16),ISNUMBER(EJ17),EJ14&lt;&gt;""),ROUND(EJ16-EJ14+EJ15,1),"")</f>
        <v/>
      </c>
      <c r="EK19" s="6">
        <f>IF(AND(ISNUMBER(EK16),ISNUMBER(EK17),EK14&lt;&gt;""),ROUND(EK16-EK14+EK15,1),"")</f>
        <v/>
      </c>
      <c r="EL19" s="6">
        <f>IF(AND(ISNUMBER(EL16),ISNUMBER(EL17),EL14&lt;&gt;""),ROUND(EL16-EL14+EL15,1),"")</f>
        <v/>
      </c>
      <c r="EM19" s="6">
        <f>IF(AND(ISNUMBER(EM16),ISNUMBER(EM17),EM14&lt;&gt;""),ROUND(EM16-EM14+EM15,1),"")</f>
        <v/>
      </c>
      <c r="EN19" s="6">
        <f>IF(AND(ISNUMBER(EN16),ISNUMBER(EN17),EN14&lt;&gt;""),ROUND(EN16-EN14+EN15,1),"")</f>
        <v/>
      </c>
      <c r="EO19" s="6">
        <f>IF(AND(ISNUMBER(EO16),ISNUMBER(EO17),EO14&lt;&gt;""),ROUND(EO16-EO14+EO15,1),"")</f>
        <v/>
      </c>
      <c r="EP19" s="6">
        <f>IF(AND(ISNUMBER(EP16),ISNUMBER(EP17),EP14&lt;&gt;""),ROUND(EP16-EP14+EP15,1),"")</f>
        <v/>
      </c>
      <c r="EQ19" s="6">
        <f>IF(AND(ISNUMBER(EQ16),ISNUMBER(EQ17),EQ14&lt;&gt;""),ROUND(EQ16-EQ14+EQ15,1),"")</f>
        <v/>
      </c>
      <c r="ER19" s="6">
        <f>IF(AND(ISNUMBER(ER16),ISNUMBER(ER17),ER14&lt;&gt;""),ROUND(ER16-ER14+ER15,1),"")</f>
        <v/>
      </c>
      <c r="ES19" s="6">
        <f>IF(AND(ISNUMBER(ES16),ISNUMBER(ES17),ES14&lt;&gt;""),ROUND(ES16-ES14+ES15,1),"")</f>
        <v/>
      </c>
      <c r="ET19" s="6">
        <f>IF(AND(ISNUMBER(ET16),ISNUMBER(ET17),ET14&lt;&gt;""),ROUND(ET16-ET14+ET15,1),"")</f>
        <v/>
      </c>
      <c r="EU19" s="6">
        <f>IF(AND(ISNUMBER(EU16),ISNUMBER(EU17),EU14&lt;&gt;""),ROUND(EU16-EU14+EU15,1),"")</f>
        <v/>
      </c>
      <c r="EV19" s="6">
        <f>IF(AND(ISNUMBER(EV16),ISNUMBER(EV17),EV14&lt;&gt;""),ROUND(EV16-EV14+EV15,1),"")</f>
        <v/>
      </c>
      <c r="EW19" s="6">
        <f>IF(AND(ISNUMBER(EW16),ISNUMBER(EW17),EW14&lt;&gt;""),ROUND(EW16-EW14+EW15,1),"")</f>
        <v/>
      </c>
      <c r="EX19" s="6">
        <f>IF(AND(ISNUMBER(EX16),ISNUMBER(EX17),EX14&lt;&gt;""),ROUND(EX16-EX14+EX15,1),"")</f>
        <v/>
      </c>
      <c r="EY19" s="6">
        <f>IF(AND(ISNUMBER(EY16),ISNUMBER(EY17),EY14&lt;&gt;""),ROUND(EY16-EY14+EY15,1),"")</f>
        <v/>
      </c>
      <c r="EZ19" s="6">
        <f>IF(AND(ISNUMBER(EZ16),ISNUMBER(EZ17),EZ14&lt;&gt;""),ROUND(EZ16-EZ14+EZ15,1),"")</f>
        <v/>
      </c>
      <c r="FA19" s="6">
        <f>IF(AND(ISNUMBER(FA16),ISNUMBER(FA17),FA14&lt;&gt;""),ROUND(FA16-FA14+FA15,1),"")</f>
        <v/>
      </c>
      <c r="FB19" s="6">
        <f>IF(AND(ISNUMBER(FB16),ISNUMBER(FB17),FB14&lt;&gt;""),ROUND(FB16-FB14+FB15,1),"")</f>
        <v/>
      </c>
      <c r="FC19" s="6">
        <f>IF(AND(ISNUMBER(FC16),ISNUMBER(FC17),FC14&lt;&gt;""),ROUND(FC16-FC14+FC15,1),"")</f>
        <v/>
      </c>
      <c r="FD19" s="6">
        <f>IF(AND(ISNUMBER(FD16),ISNUMBER(FD17),FD14&lt;&gt;""),ROUND(FD16-FD14+FD15,1),"")</f>
        <v/>
      </c>
      <c r="FE19" s="6">
        <f>IF(AND(ISNUMBER(FE16),ISNUMBER(FE17),FE14&lt;&gt;""),ROUND(FE16-FE14+FE15,1),"")</f>
        <v/>
      </c>
      <c r="FF19" s="6">
        <f>IF(AND(ISNUMBER(FF16),ISNUMBER(FF17),FF14&lt;&gt;""),ROUND(FF16-FF14+FF15,1),"")</f>
        <v/>
      </c>
      <c r="FG19" s="6">
        <f>IF(AND(ISNUMBER(FG16),ISNUMBER(FG17),FG14&lt;&gt;""),ROUND(FG16-FG14+FG15,1),"")</f>
        <v/>
      </c>
      <c r="FH19" s="6">
        <f>IF(AND(ISNUMBER(FH16),ISNUMBER(FH17),FH14&lt;&gt;""),ROUND(FH16-FH14+FH15,1),"")</f>
        <v/>
      </c>
      <c r="FI19" s="6">
        <f>IF(AND(ISNUMBER(FI16),ISNUMBER(FI17),FI14&lt;&gt;""),ROUND(FI16-FI14+FI15,1),"")</f>
        <v/>
      </c>
      <c r="FJ19" s="6">
        <f>IF(AND(ISNUMBER(FJ16),ISNUMBER(FJ17),FJ14&lt;&gt;""),ROUND(FJ16-FJ14+FJ15,1),"")</f>
        <v/>
      </c>
      <c r="FK19" s="6">
        <f>IF(AND(ISNUMBER(FK16),ISNUMBER(FK17),FK14&lt;&gt;""),ROUND(FK16-FK14+FK15,1),"")</f>
        <v/>
      </c>
      <c r="FL19" s="6">
        <f>IF(AND(ISNUMBER(FL16),ISNUMBER(FL17),FL14&lt;&gt;""),ROUND(FL16-FL14+FL15,1),"")</f>
        <v/>
      </c>
      <c r="FM19" s="6">
        <f>IF(AND(ISNUMBER(FM16),ISNUMBER(FM17),FM14&lt;&gt;""),ROUND(FM16-FM14+FM15,1),"")</f>
        <v/>
      </c>
      <c r="FN19" s="6">
        <f>IF(AND(ISNUMBER(FN16),ISNUMBER(FN17),FN14&lt;&gt;""),ROUND(FN16-FN14+FN15,1),"")</f>
        <v/>
      </c>
      <c r="FO19" s="6">
        <f>IF(AND(ISNUMBER(FO16),ISNUMBER(FO17),FO14&lt;&gt;""),ROUND(FO16-FO14+FO15,1),"")</f>
        <v/>
      </c>
      <c r="FP19" s="6">
        <f>IF(AND(ISNUMBER(FP16),ISNUMBER(FP17),FP14&lt;&gt;""),ROUND(FP16-FP14+FP15,1),"")</f>
        <v/>
      </c>
      <c r="FQ19" s="6">
        <f>IF(AND(ISNUMBER(FQ16),ISNUMBER(FQ17),FQ14&lt;&gt;""),ROUND(FQ16-FQ14+FQ15,1),"")</f>
        <v/>
      </c>
    </row>
    <row r="20">
      <c r="A20" s="25" t="inlineStr">
        <is>
          <t>FP</t>
        </is>
      </c>
      <c r="B20" s="24" t="inlineStr">
        <is>
          <t>After irrigation water level (cm) / সেচের পরে স্তর</t>
        </is>
      </c>
      <c r="D20" s="6">
        <f>IF(AND(ISNUMBER(D16),ISNUMBER(D17),D14&lt;&gt;""),ROUND(D17-D14+D15,1),"")</f>
        <v/>
      </c>
      <c r="E20" s="6">
        <f>IF(AND(ISNUMBER(E16),ISNUMBER(E17),E14&lt;&gt;""),ROUND(E17-E14+E15,1),"")</f>
        <v/>
      </c>
      <c r="F20" s="6">
        <f>IF(AND(ISNUMBER(F16),ISNUMBER(F17),F14&lt;&gt;""),ROUND(F17-F14+F15,1),"")</f>
        <v/>
      </c>
      <c r="G20" s="6">
        <f>IF(AND(ISNUMBER(G16),ISNUMBER(G17),G14&lt;&gt;""),ROUND(G17-G14+G15,1),"")</f>
        <v/>
      </c>
      <c r="H20" s="6">
        <f>IF(AND(ISNUMBER(H16),ISNUMBER(H17),H14&lt;&gt;""),ROUND(H17-H14+H15,1),"")</f>
        <v/>
      </c>
      <c r="I20" s="6">
        <f>IF(AND(ISNUMBER(I16),ISNUMBER(I17),I14&lt;&gt;""),ROUND(I17-I14+I15,1),"")</f>
        <v/>
      </c>
      <c r="J20" s="6">
        <f>IF(AND(ISNUMBER(J16),ISNUMBER(J17),J14&lt;&gt;""),ROUND(J17-J14+J15,1),"")</f>
        <v/>
      </c>
      <c r="K20" s="6">
        <f>IF(AND(ISNUMBER(K16),ISNUMBER(K17),K14&lt;&gt;""),ROUND(K17-K14+K15,1),"")</f>
        <v/>
      </c>
      <c r="L20" s="6">
        <f>IF(AND(ISNUMBER(L16),ISNUMBER(L17),L14&lt;&gt;""),ROUND(L17-L14+L15,1),"")</f>
        <v/>
      </c>
      <c r="M20" s="6">
        <f>IF(AND(ISNUMBER(M16),ISNUMBER(M17),M14&lt;&gt;""),ROUND(M17-M14+M15,1),"")</f>
        <v/>
      </c>
      <c r="N20" s="6">
        <f>IF(AND(ISNUMBER(N16),ISNUMBER(N17),N14&lt;&gt;""),ROUND(N17-N14+N15,1),"")</f>
        <v/>
      </c>
      <c r="O20" s="6">
        <f>IF(AND(ISNUMBER(O16),ISNUMBER(O17),O14&lt;&gt;""),ROUND(O17-O14+O15,1),"")</f>
        <v/>
      </c>
      <c r="P20" s="6">
        <f>IF(AND(ISNUMBER(P16),ISNUMBER(P17),P14&lt;&gt;""),ROUND(P17-P14+P15,1),"")</f>
        <v/>
      </c>
      <c r="Q20" s="6">
        <f>IF(AND(ISNUMBER(Q16),ISNUMBER(Q17),Q14&lt;&gt;""),ROUND(Q17-Q14+Q15,1),"")</f>
        <v/>
      </c>
      <c r="R20" s="6">
        <f>IF(AND(ISNUMBER(R16),ISNUMBER(R17),R14&lt;&gt;""),ROUND(R17-R14+R15,1),"")</f>
        <v/>
      </c>
      <c r="S20" s="6">
        <f>IF(AND(ISNUMBER(S16),ISNUMBER(S17),S14&lt;&gt;""),ROUND(S17-S14+S15,1),"")</f>
        <v/>
      </c>
      <c r="T20" s="6">
        <f>IF(AND(ISNUMBER(T16),ISNUMBER(T17),T14&lt;&gt;""),ROUND(T17-T14+T15,1),"")</f>
        <v/>
      </c>
      <c r="U20" s="6">
        <f>IF(AND(ISNUMBER(U16),ISNUMBER(U17),U14&lt;&gt;""),ROUND(U17-U14+U15,1),"")</f>
        <v/>
      </c>
      <c r="V20" s="6">
        <f>IF(AND(ISNUMBER(V16),ISNUMBER(V17),V14&lt;&gt;""),ROUND(V17-V14+V15,1),"")</f>
        <v/>
      </c>
      <c r="W20" s="6">
        <f>IF(AND(ISNUMBER(W16),ISNUMBER(W17),W14&lt;&gt;""),ROUND(W17-W14+W15,1),"")</f>
        <v/>
      </c>
      <c r="X20" s="6">
        <f>IF(AND(ISNUMBER(X16),ISNUMBER(X17),X14&lt;&gt;""),ROUND(X17-X14+X15,1),"")</f>
        <v/>
      </c>
      <c r="Y20" s="6">
        <f>IF(AND(ISNUMBER(Y16),ISNUMBER(Y17),Y14&lt;&gt;""),ROUND(Y17-Y14+Y15,1),"")</f>
        <v/>
      </c>
      <c r="Z20" s="6">
        <f>IF(AND(ISNUMBER(Z16),ISNUMBER(Z17),Z14&lt;&gt;""),ROUND(Z17-Z14+Z15,1),"")</f>
        <v/>
      </c>
      <c r="AA20" s="6">
        <f>IF(AND(ISNUMBER(AA16),ISNUMBER(AA17),AA14&lt;&gt;""),ROUND(AA17-AA14+AA15,1),"")</f>
        <v/>
      </c>
      <c r="AB20" s="6">
        <f>IF(AND(ISNUMBER(AB16),ISNUMBER(AB17),AB14&lt;&gt;""),ROUND(AB17-AB14+AB15,1),"")</f>
        <v/>
      </c>
      <c r="AC20" s="6">
        <f>IF(AND(ISNUMBER(AC16),ISNUMBER(AC17),AC14&lt;&gt;""),ROUND(AC17-AC14+AC15,1),"")</f>
        <v/>
      </c>
      <c r="AD20" s="6">
        <f>IF(AND(ISNUMBER(AD16),ISNUMBER(AD17),AD14&lt;&gt;""),ROUND(AD17-AD14+AD15,1),"")</f>
        <v/>
      </c>
      <c r="AE20" s="6">
        <f>IF(AND(ISNUMBER(AE16),ISNUMBER(AE17),AE14&lt;&gt;""),ROUND(AE17-AE14+AE15,1),"")</f>
        <v/>
      </c>
      <c r="AF20" s="6">
        <f>IF(AND(ISNUMBER(AF16),ISNUMBER(AF17),AF14&lt;&gt;""),ROUND(AF17-AF14+AF15,1),"")</f>
        <v/>
      </c>
      <c r="AG20" s="6">
        <f>IF(AND(ISNUMBER(AG16),ISNUMBER(AG17),AG14&lt;&gt;""),ROUND(AG17-AG14+AG15,1),"")</f>
        <v/>
      </c>
      <c r="AH20" s="6">
        <f>IF(AND(ISNUMBER(AH16),ISNUMBER(AH17),AH14&lt;&gt;""),ROUND(AH17-AH14+AH15,1),"")</f>
        <v/>
      </c>
      <c r="AI20" s="6">
        <f>IF(AND(ISNUMBER(AI16),ISNUMBER(AI17),AI14&lt;&gt;""),ROUND(AI17-AI14+AI15,1),"")</f>
        <v/>
      </c>
      <c r="AJ20" s="6">
        <f>IF(AND(ISNUMBER(AJ16),ISNUMBER(AJ17),AJ14&lt;&gt;""),ROUND(AJ17-AJ14+AJ15,1),"")</f>
        <v/>
      </c>
      <c r="AK20" s="6">
        <f>IF(AND(ISNUMBER(AK16),ISNUMBER(AK17),AK14&lt;&gt;""),ROUND(AK17-AK14+AK15,1),"")</f>
        <v/>
      </c>
      <c r="AL20" s="6">
        <f>IF(AND(ISNUMBER(AL16),ISNUMBER(AL17),AL14&lt;&gt;""),ROUND(AL17-AL14+AL15,1),"")</f>
        <v/>
      </c>
      <c r="AM20" s="6">
        <f>IF(AND(ISNUMBER(AM16),ISNUMBER(AM17),AM14&lt;&gt;""),ROUND(AM17-AM14+AM15,1),"")</f>
        <v/>
      </c>
      <c r="AN20" s="6">
        <f>IF(AND(ISNUMBER(AN16),ISNUMBER(AN17),AN14&lt;&gt;""),ROUND(AN17-AN14+AN15,1),"")</f>
        <v/>
      </c>
      <c r="AO20" s="6">
        <f>IF(AND(ISNUMBER(AO16),ISNUMBER(AO17),AO14&lt;&gt;""),ROUND(AO17-AO14+AO15,1),"")</f>
        <v/>
      </c>
      <c r="AP20" s="6">
        <f>IF(AND(ISNUMBER(AP16),ISNUMBER(AP17),AP14&lt;&gt;""),ROUND(AP17-AP14+AP15,1),"")</f>
        <v/>
      </c>
      <c r="AQ20" s="6">
        <f>IF(AND(ISNUMBER(AQ16),ISNUMBER(AQ17),AQ14&lt;&gt;""),ROUND(AQ17-AQ14+AQ15,1),"")</f>
        <v/>
      </c>
      <c r="AR20" s="6">
        <f>IF(AND(ISNUMBER(AR16),ISNUMBER(AR17),AR14&lt;&gt;""),ROUND(AR17-AR14+AR15,1),"")</f>
        <v/>
      </c>
      <c r="AS20" s="6">
        <f>IF(AND(ISNUMBER(AS16),ISNUMBER(AS17),AS14&lt;&gt;""),ROUND(AS17-AS14+AS15,1),"")</f>
        <v/>
      </c>
      <c r="AT20" s="6">
        <f>IF(AND(ISNUMBER(AT16),ISNUMBER(AT17),AT14&lt;&gt;""),ROUND(AT17-AT14+AT15,1),"")</f>
        <v/>
      </c>
      <c r="AU20" s="6">
        <f>IF(AND(ISNUMBER(AU16),ISNUMBER(AU17),AU14&lt;&gt;""),ROUND(AU17-AU14+AU15,1),"")</f>
        <v/>
      </c>
      <c r="AV20" s="6">
        <f>IF(AND(ISNUMBER(AV16),ISNUMBER(AV17),AV14&lt;&gt;""),ROUND(AV17-AV14+AV15,1),"")</f>
        <v/>
      </c>
      <c r="AW20" s="6">
        <f>IF(AND(ISNUMBER(AW16),ISNUMBER(AW17),AW14&lt;&gt;""),ROUND(AW17-AW14+AW15,1),"")</f>
        <v/>
      </c>
      <c r="AX20" s="6">
        <f>IF(AND(ISNUMBER(AX16),ISNUMBER(AX17),AX14&lt;&gt;""),ROUND(AX17-AX14+AX15,1),"")</f>
        <v/>
      </c>
      <c r="AY20" s="6">
        <f>IF(AND(ISNUMBER(AY16),ISNUMBER(AY17),AY14&lt;&gt;""),ROUND(AY17-AY14+AY15,1),"")</f>
        <v/>
      </c>
      <c r="AZ20" s="6">
        <f>IF(AND(ISNUMBER(AZ16),ISNUMBER(AZ17),AZ14&lt;&gt;""),ROUND(AZ17-AZ14+AZ15,1),"")</f>
        <v/>
      </c>
      <c r="BA20" s="6">
        <f>IF(AND(ISNUMBER(BA16),ISNUMBER(BA17),BA14&lt;&gt;""),ROUND(BA17-BA14+BA15,1),"")</f>
        <v/>
      </c>
      <c r="BB20" s="6">
        <f>IF(AND(ISNUMBER(BB16),ISNUMBER(BB17),BB14&lt;&gt;""),ROUND(BB17-BB14+BB15,1),"")</f>
        <v/>
      </c>
      <c r="BC20" s="6">
        <f>IF(AND(ISNUMBER(BC16),ISNUMBER(BC17),BC14&lt;&gt;""),ROUND(BC17-BC14+BC15,1),"")</f>
        <v/>
      </c>
      <c r="BD20" s="6">
        <f>IF(AND(ISNUMBER(BD16),ISNUMBER(BD17),BD14&lt;&gt;""),ROUND(BD17-BD14+BD15,1),"")</f>
        <v/>
      </c>
      <c r="BE20" s="6">
        <f>IF(AND(ISNUMBER(BE16),ISNUMBER(BE17),BE14&lt;&gt;""),ROUND(BE17-BE14+BE15,1),"")</f>
        <v/>
      </c>
      <c r="BF20" s="6">
        <f>IF(AND(ISNUMBER(BF16),ISNUMBER(BF17),BF14&lt;&gt;""),ROUND(BF17-BF14+BF15,1),"")</f>
        <v/>
      </c>
      <c r="BG20" s="6">
        <f>IF(AND(ISNUMBER(BG16),ISNUMBER(BG17),BG14&lt;&gt;""),ROUND(BG17-BG14+BG15,1),"")</f>
        <v/>
      </c>
      <c r="BH20" s="6">
        <f>IF(AND(ISNUMBER(BH16),ISNUMBER(BH17),BH14&lt;&gt;""),ROUND(BH17-BH14+BH15,1),"")</f>
        <v/>
      </c>
      <c r="BI20" s="6">
        <f>IF(AND(ISNUMBER(BI16),ISNUMBER(BI17),BI14&lt;&gt;""),ROUND(BI17-BI14+BI15,1),"")</f>
        <v/>
      </c>
      <c r="BJ20" s="6">
        <f>IF(AND(ISNUMBER(BJ16),ISNUMBER(BJ17),BJ14&lt;&gt;""),ROUND(BJ17-BJ14+BJ15,1),"")</f>
        <v/>
      </c>
      <c r="BK20" s="6">
        <f>IF(AND(ISNUMBER(BK16),ISNUMBER(BK17),BK14&lt;&gt;""),ROUND(BK17-BK14+BK15,1),"")</f>
        <v/>
      </c>
      <c r="BL20" s="6">
        <f>IF(AND(ISNUMBER(BL16),ISNUMBER(BL17),BL14&lt;&gt;""),ROUND(BL17-BL14+BL15,1),"")</f>
        <v/>
      </c>
      <c r="BM20" s="6">
        <f>IF(AND(ISNUMBER(BM16),ISNUMBER(BM17),BM14&lt;&gt;""),ROUND(BM17-BM14+BM15,1),"")</f>
        <v/>
      </c>
      <c r="BN20" s="6">
        <f>IF(AND(ISNUMBER(BN16),ISNUMBER(BN17),BN14&lt;&gt;""),ROUND(BN17-BN14+BN15,1),"")</f>
        <v/>
      </c>
      <c r="BO20" s="6">
        <f>IF(AND(ISNUMBER(BO16),ISNUMBER(BO17),BO14&lt;&gt;""),ROUND(BO17-BO14+BO15,1),"")</f>
        <v/>
      </c>
      <c r="BP20" s="6">
        <f>IF(AND(ISNUMBER(BP16),ISNUMBER(BP17),BP14&lt;&gt;""),ROUND(BP17-BP14+BP15,1),"")</f>
        <v/>
      </c>
      <c r="BQ20" s="6">
        <f>IF(AND(ISNUMBER(BQ16),ISNUMBER(BQ17),BQ14&lt;&gt;""),ROUND(BQ17-BQ14+BQ15,1),"")</f>
        <v/>
      </c>
      <c r="BR20" s="6">
        <f>IF(AND(ISNUMBER(BR16),ISNUMBER(BR17),BR14&lt;&gt;""),ROUND(BR17-BR14+BR15,1),"")</f>
        <v/>
      </c>
      <c r="BS20" s="6">
        <f>IF(AND(ISNUMBER(BS16),ISNUMBER(BS17),BS14&lt;&gt;""),ROUND(BS17-BS14+BS15,1),"")</f>
        <v/>
      </c>
      <c r="BT20" s="6">
        <f>IF(AND(ISNUMBER(BT16),ISNUMBER(BT17),BT14&lt;&gt;""),ROUND(BT17-BT14+BT15,1),"")</f>
        <v/>
      </c>
      <c r="BU20" s="6">
        <f>IF(AND(ISNUMBER(BU16),ISNUMBER(BU17),BU14&lt;&gt;""),ROUND(BU17-BU14+BU15,1),"")</f>
        <v/>
      </c>
      <c r="BV20" s="6">
        <f>IF(AND(ISNUMBER(BV16),ISNUMBER(BV17),BV14&lt;&gt;""),ROUND(BV17-BV14+BV15,1),"")</f>
        <v/>
      </c>
      <c r="BW20" s="6">
        <f>IF(AND(ISNUMBER(BW16),ISNUMBER(BW17),BW14&lt;&gt;""),ROUND(BW17-BW14+BW15,1),"")</f>
        <v/>
      </c>
      <c r="BX20" s="6">
        <f>IF(AND(ISNUMBER(BX16),ISNUMBER(BX17),BX14&lt;&gt;""),ROUND(BX17-BX14+BX15,1),"")</f>
        <v/>
      </c>
      <c r="BY20" s="6">
        <f>IF(AND(ISNUMBER(BY16),ISNUMBER(BY17),BY14&lt;&gt;""),ROUND(BY17-BY14+BY15,1),"")</f>
        <v/>
      </c>
      <c r="BZ20" s="6">
        <f>IF(AND(ISNUMBER(BZ16),ISNUMBER(BZ17),BZ14&lt;&gt;""),ROUND(BZ17-BZ14+BZ15,1),"")</f>
        <v/>
      </c>
      <c r="CA20" s="6">
        <f>IF(AND(ISNUMBER(CA16),ISNUMBER(CA17),CA14&lt;&gt;""),ROUND(CA17-CA14+CA15,1),"")</f>
        <v/>
      </c>
      <c r="CB20" s="6">
        <f>IF(AND(ISNUMBER(CB16),ISNUMBER(CB17),CB14&lt;&gt;""),ROUND(CB17-CB14+CB15,1),"")</f>
        <v/>
      </c>
      <c r="CC20" s="6">
        <f>IF(AND(ISNUMBER(CC16),ISNUMBER(CC17),CC14&lt;&gt;""),ROUND(CC17-CC14+CC15,1),"")</f>
        <v/>
      </c>
      <c r="CD20" s="6">
        <f>IF(AND(ISNUMBER(CD16),ISNUMBER(CD17),CD14&lt;&gt;""),ROUND(CD17-CD14+CD15,1),"")</f>
        <v/>
      </c>
      <c r="CE20" s="6">
        <f>IF(AND(ISNUMBER(CE16),ISNUMBER(CE17),CE14&lt;&gt;""),ROUND(CE17-CE14+CE15,1),"")</f>
        <v/>
      </c>
      <c r="CF20" s="6">
        <f>IF(AND(ISNUMBER(CF16),ISNUMBER(CF17),CF14&lt;&gt;""),ROUND(CF17-CF14+CF15,1),"")</f>
        <v/>
      </c>
      <c r="CG20" s="6">
        <f>IF(AND(ISNUMBER(CG16),ISNUMBER(CG17),CG14&lt;&gt;""),ROUND(CG17-CG14+CG15,1),"")</f>
        <v/>
      </c>
      <c r="CH20" s="6">
        <f>IF(AND(ISNUMBER(CH16),ISNUMBER(CH17),CH14&lt;&gt;""),ROUND(CH17-CH14+CH15,1),"")</f>
        <v/>
      </c>
      <c r="CI20" s="6">
        <f>IF(AND(ISNUMBER(CI16),ISNUMBER(CI17),CI14&lt;&gt;""),ROUND(CI17-CI14+CI15,1),"")</f>
        <v/>
      </c>
      <c r="CJ20" s="6">
        <f>IF(AND(ISNUMBER(CJ16),ISNUMBER(CJ17),CJ14&lt;&gt;""),ROUND(CJ17-CJ14+CJ15,1),"")</f>
        <v/>
      </c>
      <c r="CK20" s="6">
        <f>IF(AND(ISNUMBER(CK16),ISNUMBER(CK17),CK14&lt;&gt;""),ROUND(CK17-CK14+CK15,1),"")</f>
        <v/>
      </c>
      <c r="CL20" s="6">
        <f>IF(AND(ISNUMBER(CL16),ISNUMBER(CL17),CL14&lt;&gt;""),ROUND(CL17-CL14+CL15,1),"")</f>
        <v/>
      </c>
      <c r="CM20" s="6">
        <f>IF(AND(ISNUMBER(CM16),ISNUMBER(CM17),CM14&lt;&gt;""),ROUND(CM17-CM14+CM15,1),"")</f>
        <v/>
      </c>
      <c r="CN20" s="6">
        <f>IF(AND(ISNUMBER(CN16),ISNUMBER(CN17),CN14&lt;&gt;""),ROUND(CN17-CN14+CN15,1),"")</f>
        <v/>
      </c>
      <c r="CO20" s="6">
        <f>IF(AND(ISNUMBER(CO16),ISNUMBER(CO17),CO14&lt;&gt;""),ROUND(CO17-CO14+CO15,1),"")</f>
        <v/>
      </c>
      <c r="CP20" s="6">
        <f>IF(AND(ISNUMBER(CP16),ISNUMBER(CP17),CP14&lt;&gt;""),ROUND(CP17-CP14+CP15,1),"")</f>
        <v/>
      </c>
      <c r="CQ20" s="6">
        <f>IF(AND(ISNUMBER(CQ16),ISNUMBER(CQ17),CQ14&lt;&gt;""),ROUND(CQ17-CQ14+CQ15,1),"")</f>
        <v/>
      </c>
      <c r="CR20" s="6">
        <f>IF(AND(ISNUMBER(CR16),ISNUMBER(CR17),CR14&lt;&gt;""),ROUND(CR17-CR14+CR15,1),"")</f>
        <v/>
      </c>
      <c r="CS20" s="6">
        <f>IF(AND(ISNUMBER(CS16),ISNUMBER(CS17),CS14&lt;&gt;""),ROUND(CS17-CS14+CS15,1),"")</f>
        <v/>
      </c>
      <c r="CT20" s="6">
        <f>IF(AND(ISNUMBER(CT16),ISNUMBER(CT17),CT14&lt;&gt;""),ROUND(CT17-CT14+CT15,1),"")</f>
        <v/>
      </c>
      <c r="CU20" s="6">
        <f>IF(AND(ISNUMBER(CU16),ISNUMBER(CU17),CU14&lt;&gt;""),ROUND(CU17-CU14+CU15,1),"")</f>
        <v/>
      </c>
      <c r="CV20" s="6">
        <f>IF(AND(ISNUMBER(CV16),ISNUMBER(CV17),CV14&lt;&gt;""),ROUND(CV17-CV14+CV15,1),"")</f>
        <v/>
      </c>
      <c r="CW20" s="6">
        <f>IF(AND(ISNUMBER(CW16),ISNUMBER(CW17),CW14&lt;&gt;""),ROUND(CW17-CW14+CW15,1),"")</f>
        <v/>
      </c>
      <c r="CX20" s="6">
        <f>IF(AND(ISNUMBER(CX16),ISNUMBER(CX17),CX14&lt;&gt;""),ROUND(CX17-CX14+CX15,1),"")</f>
        <v/>
      </c>
      <c r="CY20" s="6">
        <f>IF(AND(ISNUMBER(CY16),ISNUMBER(CY17),CY14&lt;&gt;""),ROUND(CY17-CY14+CY15,1),"")</f>
        <v/>
      </c>
      <c r="CZ20" s="6">
        <f>IF(AND(ISNUMBER(CZ16),ISNUMBER(CZ17),CZ14&lt;&gt;""),ROUND(CZ17-CZ14+CZ15,1),"")</f>
        <v/>
      </c>
      <c r="DA20" s="6">
        <f>IF(AND(ISNUMBER(DA16),ISNUMBER(DA17),DA14&lt;&gt;""),ROUND(DA17-DA14+DA15,1),"")</f>
        <v/>
      </c>
      <c r="DB20" s="6">
        <f>IF(AND(ISNUMBER(DB16),ISNUMBER(DB17),DB14&lt;&gt;""),ROUND(DB17-DB14+DB15,1),"")</f>
        <v/>
      </c>
      <c r="DC20" s="6">
        <f>IF(AND(ISNUMBER(DC16),ISNUMBER(DC17),DC14&lt;&gt;""),ROUND(DC17-DC14+DC15,1),"")</f>
        <v/>
      </c>
      <c r="DD20" s="6">
        <f>IF(AND(ISNUMBER(DD16),ISNUMBER(DD17),DD14&lt;&gt;""),ROUND(DD17-DD14+DD15,1),"")</f>
        <v/>
      </c>
      <c r="DE20" s="6">
        <f>IF(AND(ISNUMBER(DE16),ISNUMBER(DE17),DE14&lt;&gt;""),ROUND(DE17-DE14+DE15,1),"")</f>
        <v/>
      </c>
      <c r="DF20" s="6">
        <f>IF(AND(ISNUMBER(DF16),ISNUMBER(DF17),DF14&lt;&gt;""),ROUND(DF17-DF14+DF15,1),"")</f>
        <v/>
      </c>
      <c r="DG20" s="6">
        <f>IF(AND(ISNUMBER(DG16),ISNUMBER(DG17),DG14&lt;&gt;""),ROUND(DG17-DG14+DG15,1),"")</f>
        <v/>
      </c>
      <c r="DH20" s="6">
        <f>IF(AND(ISNUMBER(DH16),ISNUMBER(DH17),DH14&lt;&gt;""),ROUND(DH17-DH14+DH15,1),"")</f>
        <v/>
      </c>
      <c r="DI20" s="6">
        <f>IF(AND(ISNUMBER(DI16),ISNUMBER(DI17),DI14&lt;&gt;""),ROUND(DI17-DI14+DI15,1),"")</f>
        <v/>
      </c>
      <c r="DJ20" s="6">
        <f>IF(AND(ISNUMBER(DJ16),ISNUMBER(DJ17),DJ14&lt;&gt;""),ROUND(DJ17-DJ14+DJ15,1),"")</f>
        <v/>
      </c>
      <c r="DK20" s="6">
        <f>IF(AND(ISNUMBER(DK16),ISNUMBER(DK17),DK14&lt;&gt;""),ROUND(DK17-DK14+DK15,1),"")</f>
        <v/>
      </c>
      <c r="DL20" s="6">
        <f>IF(AND(ISNUMBER(DL16),ISNUMBER(DL17),DL14&lt;&gt;""),ROUND(DL17-DL14+DL15,1),"")</f>
        <v/>
      </c>
      <c r="DM20" s="6">
        <f>IF(AND(ISNUMBER(DM16),ISNUMBER(DM17),DM14&lt;&gt;""),ROUND(DM17-DM14+DM15,1),"")</f>
        <v/>
      </c>
      <c r="DN20" s="6">
        <f>IF(AND(ISNUMBER(DN16),ISNUMBER(DN17),DN14&lt;&gt;""),ROUND(DN17-DN14+DN15,1),"")</f>
        <v/>
      </c>
      <c r="DO20" s="6">
        <f>IF(AND(ISNUMBER(DO16),ISNUMBER(DO17),DO14&lt;&gt;""),ROUND(DO17-DO14+DO15,1),"")</f>
        <v/>
      </c>
      <c r="DP20" s="6">
        <f>IF(AND(ISNUMBER(DP16),ISNUMBER(DP17),DP14&lt;&gt;""),ROUND(DP17-DP14+DP15,1),"")</f>
        <v/>
      </c>
      <c r="DQ20" s="6">
        <f>IF(AND(ISNUMBER(DQ16),ISNUMBER(DQ17),DQ14&lt;&gt;""),ROUND(DQ17-DQ14+DQ15,1),"")</f>
        <v/>
      </c>
      <c r="DR20" s="6">
        <f>IF(AND(ISNUMBER(DR16),ISNUMBER(DR17),DR14&lt;&gt;""),ROUND(DR17-DR14+DR15,1),"")</f>
        <v/>
      </c>
      <c r="DS20" s="6">
        <f>IF(AND(ISNUMBER(DS16),ISNUMBER(DS17),DS14&lt;&gt;""),ROUND(DS17-DS14+DS15,1),"")</f>
        <v/>
      </c>
      <c r="DT20" s="6">
        <f>IF(AND(ISNUMBER(DT16),ISNUMBER(DT17),DT14&lt;&gt;""),ROUND(DT17-DT14+DT15,1),"")</f>
        <v/>
      </c>
      <c r="DU20" s="6">
        <f>IF(AND(ISNUMBER(DU16),ISNUMBER(DU17),DU14&lt;&gt;""),ROUND(DU17-DU14+DU15,1),"")</f>
        <v/>
      </c>
      <c r="DV20" s="6">
        <f>IF(AND(ISNUMBER(DV16),ISNUMBER(DV17),DV14&lt;&gt;""),ROUND(DV17-DV14+DV15,1),"")</f>
        <v/>
      </c>
      <c r="DW20" s="6">
        <f>IF(AND(ISNUMBER(DW16),ISNUMBER(DW17),DW14&lt;&gt;""),ROUND(DW17-DW14+DW15,1),"")</f>
        <v/>
      </c>
      <c r="DX20" s="6">
        <f>IF(AND(ISNUMBER(DX16),ISNUMBER(DX17),DX14&lt;&gt;""),ROUND(DX17-DX14+DX15,1),"")</f>
        <v/>
      </c>
      <c r="DY20" s="6">
        <f>IF(AND(ISNUMBER(DY16),ISNUMBER(DY17),DY14&lt;&gt;""),ROUND(DY17-DY14+DY15,1),"")</f>
        <v/>
      </c>
      <c r="DZ20" s="6">
        <f>IF(AND(ISNUMBER(DZ16),ISNUMBER(DZ17),DZ14&lt;&gt;""),ROUND(DZ17-DZ14+DZ15,1),"")</f>
        <v/>
      </c>
      <c r="EA20" s="6">
        <f>IF(AND(ISNUMBER(EA16),ISNUMBER(EA17),EA14&lt;&gt;""),ROUND(EA17-EA14+EA15,1),"")</f>
        <v/>
      </c>
      <c r="EB20" s="6">
        <f>IF(AND(ISNUMBER(EB16),ISNUMBER(EB17),EB14&lt;&gt;""),ROUND(EB17-EB14+EB15,1),"")</f>
        <v/>
      </c>
      <c r="EC20" s="6">
        <f>IF(AND(ISNUMBER(EC16),ISNUMBER(EC17),EC14&lt;&gt;""),ROUND(EC17-EC14+EC15,1),"")</f>
        <v/>
      </c>
      <c r="ED20" s="6">
        <f>IF(AND(ISNUMBER(ED16),ISNUMBER(ED17),ED14&lt;&gt;""),ROUND(ED17-ED14+ED15,1),"")</f>
        <v/>
      </c>
      <c r="EE20" s="6">
        <f>IF(AND(ISNUMBER(EE16),ISNUMBER(EE17),EE14&lt;&gt;""),ROUND(EE17-EE14+EE15,1),"")</f>
        <v/>
      </c>
      <c r="EF20" s="6">
        <f>IF(AND(ISNUMBER(EF16),ISNUMBER(EF17),EF14&lt;&gt;""),ROUND(EF17-EF14+EF15,1),"")</f>
        <v/>
      </c>
      <c r="EG20" s="6">
        <f>IF(AND(ISNUMBER(EG16),ISNUMBER(EG17),EG14&lt;&gt;""),ROUND(EG17-EG14+EG15,1),"")</f>
        <v/>
      </c>
      <c r="EH20" s="6">
        <f>IF(AND(ISNUMBER(EH16),ISNUMBER(EH17),EH14&lt;&gt;""),ROUND(EH17-EH14+EH15,1),"")</f>
        <v/>
      </c>
      <c r="EI20" s="6">
        <f>IF(AND(ISNUMBER(EI16),ISNUMBER(EI17),EI14&lt;&gt;""),ROUND(EI17-EI14+EI15,1),"")</f>
        <v/>
      </c>
      <c r="EJ20" s="6">
        <f>IF(AND(ISNUMBER(EJ16),ISNUMBER(EJ17),EJ14&lt;&gt;""),ROUND(EJ17-EJ14+EJ15,1),"")</f>
        <v/>
      </c>
      <c r="EK20" s="6">
        <f>IF(AND(ISNUMBER(EK16),ISNUMBER(EK17),EK14&lt;&gt;""),ROUND(EK17-EK14+EK15,1),"")</f>
        <v/>
      </c>
      <c r="EL20" s="6">
        <f>IF(AND(ISNUMBER(EL16),ISNUMBER(EL17),EL14&lt;&gt;""),ROUND(EL17-EL14+EL15,1),"")</f>
        <v/>
      </c>
      <c r="EM20" s="6">
        <f>IF(AND(ISNUMBER(EM16),ISNUMBER(EM17),EM14&lt;&gt;""),ROUND(EM17-EM14+EM15,1),"")</f>
        <v/>
      </c>
      <c r="EN20" s="6">
        <f>IF(AND(ISNUMBER(EN16),ISNUMBER(EN17),EN14&lt;&gt;""),ROUND(EN17-EN14+EN15,1),"")</f>
        <v/>
      </c>
      <c r="EO20" s="6">
        <f>IF(AND(ISNUMBER(EO16),ISNUMBER(EO17),EO14&lt;&gt;""),ROUND(EO17-EO14+EO15,1),"")</f>
        <v/>
      </c>
      <c r="EP20" s="6">
        <f>IF(AND(ISNUMBER(EP16),ISNUMBER(EP17),EP14&lt;&gt;""),ROUND(EP17-EP14+EP15,1),"")</f>
        <v/>
      </c>
      <c r="EQ20" s="6">
        <f>IF(AND(ISNUMBER(EQ16),ISNUMBER(EQ17),EQ14&lt;&gt;""),ROUND(EQ17-EQ14+EQ15,1),"")</f>
        <v/>
      </c>
      <c r="ER20" s="6">
        <f>IF(AND(ISNUMBER(ER16),ISNUMBER(ER17),ER14&lt;&gt;""),ROUND(ER17-ER14+ER15,1),"")</f>
        <v/>
      </c>
      <c r="ES20" s="6">
        <f>IF(AND(ISNUMBER(ES16),ISNUMBER(ES17),ES14&lt;&gt;""),ROUND(ES17-ES14+ES15,1),"")</f>
        <v/>
      </c>
      <c r="ET20" s="6">
        <f>IF(AND(ISNUMBER(ET16),ISNUMBER(ET17),ET14&lt;&gt;""),ROUND(ET17-ET14+ET15,1),"")</f>
        <v/>
      </c>
      <c r="EU20" s="6">
        <f>IF(AND(ISNUMBER(EU16),ISNUMBER(EU17),EU14&lt;&gt;""),ROUND(EU17-EU14+EU15,1),"")</f>
        <v/>
      </c>
      <c r="EV20" s="6">
        <f>IF(AND(ISNUMBER(EV16),ISNUMBER(EV17),EV14&lt;&gt;""),ROUND(EV17-EV14+EV15,1),"")</f>
        <v/>
      </c>
      <c r="EW20" s="6">
        <f>IF(AND(ISNUMBER(EW16),ISNUMBER(EW17),EW14&lt;&gt;""),ROUND(EW17-EW14+EW15,1),"")</f>
        <v/>
      </c>
      <c r="EX20" s="6">
        <f>IF(AND(ISNUMBER(EX16),ISNUMBER(EX17),EX14&lt;&gt;""),ROUND(EX17-EX14+EX15,1),"")</f>
        <v/>
      </c>
      <c r="EY20" s="6">
        <f>IF(AND(ISNUMBER(EY16),ISNUMBER(EY17),EY14&lt;&gt;""),ROUND(EY17-EY14+EY15,1),"")</f>
        <v/>
      </c>
      <c r="EZ20" s="6">
        <f>IF(AND(ISNUMBER(EZ16),ISNUMBER(EZ17),EZ14&lt;&gt;""),ROUND(EZ17-EZ14+EZ15,1),"")</f>
        <v/>
      </c>
      <c r="FA20" s="6">
        <f>IF(AND(ISNUMBER(FA16),ISNUMBER(FA17),FA14&lt;&gt;""),ROUND(FA17-FA14+FA15,1),"")</f>
        <v/>
      </c>
      <c r="FB20" s="6">
        <f>IF(AND(ISNUMBER(FB16),ISNUMBER(FB17),FB14&lt;&gt;""),ROUND(FB17-FB14+FB15,1),"")</f>
        <v/>
      </c>
      <c r="FC20" s="6">
        <f>IF(AND(ISNUMBER(FC16),ISNUMBER(FC17),FC14&lt;&gt;""),ROUND(FC17-FC14+FC15,1),"")</f>
        <v/>
      </c>
      <c r="FD20" s="6">
        <f>IF(AND(ISNUMBER(FD16),ISNUMBER(FD17),FD14&lt;&gt;""),ROUND(FD17-FD14+FD15,1),"")</f>
        <v/>
      </c>
      <c r="FE20" s="6">
        <f>IF(AND(ISNUMBER(FE16),ISNUMBER(FE17),FE14&lt;&gt;""),ROUND(FE17-FE14+FE15,1),"")</f>
        <v/>
      </c>
      <c r="FF20" s="6">
        <f>IF(AND(ISNUMBER(FF16),ISNUMBER(FF17),FF14&lt;&gt;""),ROUND(FF17-FF14+FF15,1),"")</f>
        <v/>
      </c>
      <c r="FG20" s="6">
        <f>IF(AND(ISNUMBER(FG16),ISNUMBER(FG17),FG14&lt;&gt;""),ROUND(FG17-FG14+FG15,1),"")</f>
        <v/>
      </c>
      <c r="FH20" s="6">
        <f>IF(AND(ISNUMBER(FH16),ISNUMBER(FH17),FH14&lt;&gt;""),ROUND(FH17-FH14+FH15,1),"")</f>
        <v/>
      </c>
      <c r="FI20" s="6">
        <f>IF(AND(ISNUMBER(FI16),ISNUMBER(FI17),FI14&lt;&gt;""),ROUND(FI17-FI14+FI15,1),"")</f>
        <v/>
      </c>
      <c r="FJ20" s="6">
        <f>IF(AND(ISNUMBER(FJ16),ISNUMBER(FJ17),FJ14&lt;&gt;""),ROUND(FJ17-FJ14+FJ15,1),"")</f>
        <v/>
      </c>
      <c r="FK20" s="6">
        <f>IF(AND(ISNUMBER(FK16),ISNUMBER(FK17),FK14&lt;&gt;""),ROUND(FK17-FK14+FK15,1),"")</f>
        <v/>
      </c>
      <c r="FL20" s="6">
        <f>IF(AND(ISNUMBER(FL16),ISNUMBER(FL17),FL14&lt;&gt;""),ROUND(FL17-FL14+FL15,1),"")</f>
        <v/>
      </c>
      <c r="FM20" s="6">
        <f>IF(AND(ISNUMBER(FM16),ISNUMBER(FM17),FM14&lt;&gt;""),ROUND(FM17-FM14+FM15,1),"")</f>
        <v/>
      </c>
      <c r="FN20" s="6">
        <f>IF(AND(ISNUMBER(FN16),ISNUMBER(FN17),FN14&lt;&gt;""),ROUND(FN17-FN14+FN15,1),"")</f>
        <v/>
      </c>
      <c r="FO20" s="6">
        <f>IF(AND(ISNUMBER(FO16),ISNUMBER(FO17),FO14&lt;&gt;""),ROUND(FO17-FO14+FO15,1),"")</f>
        <v/>
      </c>
      <c r="FP20" s="6">
        <f>IF(AND(ISNUMBER(FP16),ISNUMBER(FP17),FP14&lt;&gt;""),ROUND(FP17-FP14+FP15,1),"")</f>
        <v/>
      </c>
      <c r="FQ20" s="6">
        <f>IF(AND(ISNUMBER(FQ16),ISNUMBER(FQ17),FQ14&lt;&gt;""),ROUND(FQ17-FQ14+FQ15,1),"")</f>
        <v/>
      </c>
    </row>
    <row r="21">
      <c r="A21" s="25" t="inlineStr">
        <is>
          <t>FP</t>
        </is>
      </c>
      <c r="B21" s="24" t="inlineStr">
        <is>
          <t>Irrigation (mm) / সেচ (মিমি)</t>
        </is>
      </c>
      <c r="C21" s="4">
        <f>ROUND(SUM($D$21:$FQ$21),0)</f>
        <v/>
      </c>
      <c r="D21" s="6">
        <f>IF(AND(ISNUMBER(D12),ISNUMBER(D19),ISNUMBER(D20)),ROUND((D20-MAX(D19,0))*10,1),"")</f>
        <v/>
      </c>
      <c r="E21" s="6">
        <f>IF(AND(ISNUMBER(E12),ISNUMBER(E19),ISNUMBER(E20)),ROUND((E20-MAX(E19,0))*10,1),"")</f>
        <v/>
      </c>
      <c r="F21" s="6">
        <f>IF(AND(ISNUMBER(F12),ISNUMBER(F19),ISNUMBER(F20)),ROUND((F20-MAX(F19,0))*10,1),"")</f>
        <v/>
      </c>
      <c r="G21" s="6">
        <f>IF(AND(ISNUMBER(G12),ISNUMBER(G19),ISNUMBER(G20)),ROUND((G20-MAX(G19,0))*10,1),"")</f>
        <v/>
      </c>
      <c r="H21" s="6">
        <f>IF(AND(ISNUMBER(H12),ISNUMBER(H19),ISNUMBER(H20)),ROUND((H20-MAX(H19,0))*10,1),"")</f>
        <v/>
      </c>
      <c r="I21" s="6">
        <f>IF(AND(ISNUMBER(I12),ISNUMBER(I19),ISNUMBER(I20)),ROUND((I20-MAX(I19,0))*10,1),"")</f>
        <v/>
      </c>
      <c r="J21" s="6">
        <f>IF(AND(ISNUMBER(J12),ISNUMBER(J19),ISNUMBER(J20)),ROUND((J20-MAX(J19,0))*10,1),"")</f>
        <v/>
      </c>
      <c r="K21" s="6">
        <f>IF(AND(ISNUMBER(K12),ISNUMBER(K19),ISNUMBER(K20)),ROUND((K20-MAX(K19,0))*10,1),"")</f>
        <v/>
      </c>
      <c r="L21" s="6">
        <f>IF(AND(ISNUMBER(L12),ISNUMBER(L19),ISNUMBER(L20)),ROUND((L20-MAX(L19,0))*10,1),"")</f>
        <v/>
      </c>
      <c r="M21" s="6">
        <f>IF(AND(ISNUMBER(M12),ISNUMBER(M19),ISNUMBER(M20)),ROUND((M20-MAX(M19,0))*10,1),"")</f>
        <v/>
      </c>
      <c r="N21" s="6">
        <f>IF(AND(ISNUMBER(N12),ISNUMBER(N19),ISNUMBER(N20)),ROUND((N20-MAX(N19,0))*10,1),"")</f>
        <v/>
      </c>
      <c r="O21" s="6">
        <f>IF(AND(ISNUMBER(O12),ISNUMBER(O19),ISNUMBER(O20)),ROUND((O20-MAX(O19,0))*10,1),"")</f>
        <v/>
      </c>
      <c r="P21" s="6">
        <f>IF(AND(ISNUMBER(P12),ISNUMBER(P19),ISNUMBER(P20)),ROUND((P20-MAX(P19,0))*10,1),"")</f>
        <v/>
      </c>
      <c r="Q21" s="6">
        <f>IF(AND(ISNUMBER(Q12),ISNUMBER(Q19),ISNUMBER(Q20)),ROUND((Q20-MAX(Q19,0))*10,1),"")</f>
        <v/>
      </c>
      <c r="R21" s="6">
        <f>IF(AND(ISNUMBER(R12),ISNUMBER(R19),ISNUMBER(R20)),ROUND((R20-MAX(R19,0))*10,1),"")</f>
        <v/>
      </c>
      <c r="S21" s="6">
        <f>IF(AND(ISNUMBER(S12),ISNUMBER(S19),ISNUMBER(S20)),ROUND((S20-MAX(S19,0))*10,1),"")</f>
        <v/>
      </c>
      <c r="T21" s="6">
        <f>IF(AND(ISNUMBER(T12),ISNUMBER(T19),ISNUMBER(T20)),ROUND((T20-MAX(T19,0))*10,1),"")</f>
        <v/>
      </c>
      <c r="U21" s="6">
        <f>IF(AND(ISNUMBER(U12),ISNUMBER(U19),ISNUMBER(U20)),ROUND((U20-MAX(U19,0))*10,1),"")</f>
        <v/>
      </c>
      <c r="V21" s="6">
        <f>IF(AND(ISNUMBER(V12),ISNUMBER(V19),ISNUMBER(V20)),ROUND((V20-MAX(V19,0))*10,1),"")</f>
        <v/>
      </c>
      <c r="W21" s="6">
        <f>IF(AND(ISNUMBER(W12),ISNUMBER(W19),ISNUMBER(W20)),ROUND((W20-MAX(W19,0))*10,1),"")</f>
        <v/>
      </c>
      <c r="X21" s="6">
        <f>IF(AND(ISNUMBER(X12),ISNUMBER(X19),ISNUMBER(X20)),ROUND((X20-MAX(X19,0))*10,1),"")</f>
        <v/>
      </c>
      <c r="Y21" s="6">
        <f>IF(AND(ISNUMBER(Y12),ISNUMBER(Y19),ISNUMBER(Y20)),ROUND((Y20-MAX(Y19,0))*10,1),"")</f>
        <v/>
      </c>
      <c r="Z21" s="6">
        <f>IF(AND(ISNUMBER(Z12),ISNUMBER(Z19),ISNUMBER(Z20)),ROUND((Z20-MAX(Z19,0))*10,1),"")</f>
        <v/>
      </c>
      <c r="AA21" s="6">
        <f>IF(AND(ISNUMBER(AA12),ISNUMBER(AA19),ISNUMBER(AA20)),ROUND((AA20-MAX(AA19,0))*10,1),"")</f>
        <v/>
      </c>
      <c r="AB21" s="6">
        <f>IF(AND(ISNUMBER(AB12),ISNUMBER(AB19),ISNUMBER(AB20)),ROUND((AB20-MAX(AB19,0))*10,1),"")</f>
        <v/>
      </c>
      <c r="AC21" s="6">
        <f>IF(AND(ISNUMBER(AC12),ISNUMBER(AC19),ISNUMBER(AC20)),ROUND((AC20-MAX(AC19,0))*10,1),"")</f>
        <v/>
      </c>
      <c r="AD21" s="6">
        <f>IF(AND(ISNUMBER(AD12),ISNUMBER(AD19),ISNUMBER(AD20)),ROUND((AD20-MAX(AD19,0))*10,1),"")</f>
        <v/>
      </c>
      <c r="AE21" s="6">
        <f>IF(AND(ISNUMBER(AE12),ISNUMBER(AE19),ISNUMBER(AE20)),ROUND((AE20-MAX(AE19,0))*10,1),"")</f>
        <v/>
      </c>
      <c r="AF21" s="6">
        <f>IF(AND(ISNUMBER(AF12),ISNUMBER(AF19),ISNUMBER(AF20)),ROUND((AF20-MAX(AF19,0))*10,1),"")</f>
        <v/>
      </c>
      <c r="AG21" s="6">
        <f>IF(AND(ISNUMBER(AG12),ISNUMBER(AG19),ISNUMBER(AG20)),ROUND((AG20-MAX(AG19,0))*10,1),"")</f>
        <v/>
      </c>
      <c r="AH21" s="6">
        <f>IF(AND(ISNUMBER(AH12),ISNUMBER(AH19),ISNUMBER(AH20)),ROUND((AH20-MAX(AH19,0))*10,1),"")</f>
        <v/>
      </c>
      <c r="AI21" s="6">
        <f>IF(AND(ISNUMBER(AI12),ISNUMBER(AI19),ISNUMBER(AI20)),ROUND((AI20-MAX(AI19,0))*10,1),"")</f>
        <v/>
      </c>
      <c r="AJ21" s="6">
        <f>IF(AND(ISNUMBER(AJ12),ISNUMBER(AJ19),ISNUMBER(AJ20)),ROUND((AJ20-MAX(AJ19,0))*10,1),"")</f>
        <v/>
      </c>
      <c r="AK21" s="6">
        <f>IF(AND(ISNUMBER(AK12),ISNUMBER(AK19),ISNUMBER(AK20)),ROUND((AK20-MAX(AK19,0))*10,1),"")</f>
        <v/>
      </c>
      <c r="AL21" s="6">
        <f>IF(AND(ISNUMBER(AL12),ISNUMBER(AL19),ISNUMBER(AL20)),ROUND((AL20-MAX(AL19,0))*10,1),"")</f>
        <v/>
      </c>
      <c r="AM21" s="6">
        <f>IF(AND(ISNUMBER(AM12),ISNUMBER(AM19),ISNUMBER(AM20)),ROUND((AM20-MAX(AM19,0))*10,1),"")</f>
        <v/>
      </c>
      <c r="AN21" s="6">
        <f>IF(AND(ISNUMBER(AN12),ISNUMBER(AN19),ISNUMBER(AN20)),ROUND((AN20-MAX(AN19,0))*10,1),"")</f>
        <v/>
      </c>
      <c r="AO21" s="6">
        <f>IF(AND(ISNUMBER(AO12),ISNUMBER(AO19),ISNUMBER(AO20)),ROUND((AO20-MAX(AO19,0))*10,1),"")</f>
        <v/>
      </c>
      <c r="AP21" s="6">
        <f>IF(AND(ISNUMBER(AP12),ISNUMBER(AP19),ISNUMBER(AP20)),ROUND((AP20-MAX(AP19,0))*10,1),"")</f>
        <v/>
      </c>
      <c r="AQ21" s="6">
        <f>IF(AND(ISNUMBER(AQ12),ISNUMBER(AQ19),ISNUMBER(AQ20)),ROUND((AQ20-MAX(AQ19,0))*10,1),"")</f>
        <v/>
      </c>
      <c r="AR21" s="6">
        <f>IF(AND(ISNUMBER(AR12),ISNUMBER(AR19),ISNUMBER(AR20)),ROUND((AR20-MAX(AR19,0))*10,1),"")</f>
        <v/>
      </c>
      <c r="AS21" s="6">
        <f>IF(AND(ISNUMBER(AS12),ISNUMBER(AS19),ISNUMBER(AS20)),ROUND((AS20-MAX(AS19,0))*10,1),"")</f>
        <v/>
      </c>
      <c r="AT21" s="6">
        <f>IF(AND(ISNUMBER(AT12),ISNUMBER(AT19),ISNUMBER(AT20)),ROUND((AT20-MAX(AT19,0))*10,1),"")</f>
        <v/>
      </c>
      <c r="AU21" s="6">
        <f>IF(AND(ISNUMBER(AU12),ISNUMBER(AU19),ISNUMBER(AU20)),ROUND((AU20-MAX(AU19,0))*10,1),"")</f>
        <v/>
      </c>
      <c r="AV21" s="6">
        <f>IF(AND(ISNUMBER(AV12),ISNUMBER(AV19),ISNUMBER(AV20)),ROUND((AV20-MAX(AV19,0))*10,1),"")</f>
        <v/>
      </c>
      <c r="AW21" s="6">
        <f>IF(AND(ISNUMBER(AW12),ISNUMBER(AW19),ISNUMBER(AW20)),ROUND((AW20-MAX(AW19,0))*10,1),"")</f>
        <v/>
      </c>
      <c r="AX21" s="6">
        <f>IF(AND(ISNUMBER(AX12),ISNUMBER(AX19),ISNUMBER(AX20)),ROUND((AX20-MAX(AX19,0))*10,1),"")</f>
        <v/>
      </c>
      <c r="AY21" s="6">
        <f>IF(AND(ISNUMBER(AY12),ISNUMBER(AY19),ISNUMBER(AY20)),ROUND((AY20-MAX(AY19,0))*10,1),"")</f>
        <v/>
      </c>
      <c r="AZ21" s="6">
        <f>IF(AND(ISNUMBER(AZ12),ISNUMBER(AZ19),ISNUMBER(AZ20)),ROUND((AZ20-MAX(AZ19,0))*10,1),"")</f>
        <v/>
      </c>
      <c r="BA21" s="6">
        <f>IF(AND(ISNUMBER(BA12),ISNUMBER(BA19),ISNUMBER(BA20)),ROUND((BA20-MAX(BA19,0))*10,1),"")</f>
        <v/>
      </c>
      <c r="BB21" s="6">
        <f>IF(AND(ISNUMBER(BB12),ISNUMBER(BB19),ISNUMBER(BB20)),ROUND((BB20-MAX(BB19,0))*10,1),"")</f>
        <v/>
      </c>
      <c r="BC21" s="6">
        <f>IF(AND(ISNUMBER(BC12),ISNUMBER(BC19),ISNUMBER(BC20)),ROUND((BC20-MAX(BC19,0))*10,1),"")</f>
        <v/>
      </c>
      <c r="BD21" s="6">
        <f>IF(AND(ISNUMBER(BD12),ISNUMBER(BD19),ISNUMBER(BD20)),ROUND((BD20-MAX(BD19,0))*10,1),"")</f>
        <v/>
      </c>
      <c r="BE21" s="6">
        <f>IF(AND(ISNUMBER(BE12),ISNUMBER(BE19),ISNUMBER(BE20)),ROUND((BE20-MAX(BE19,0))*10,1),"")</f>
        <v/>
      </c>
      <c r="BF21" s="6">
        <f>IF(AND(ISNUMBER(BF12),ISNUMBER(BF19),ISNUMBER(BF20)),ROUND((BF20-MAX(BF19,0))*10,1),"")</f>
        <v/>
      </c>
      <c r="BG21" s="6">
        <f>IF(AND(ISNUMBER(BG12),ISNUMBER(BG19),ISNUMBER(BG20)),ROUND((BG20-MAX(BG19,0))*10,1),"")</f>
        <v/>
      </c>
      <c r="BH21" s="6">
        <f>IF(AND(ISNUMBER(BH12),ISNUMBER(BH19),ISNUMBER(BH20)),ROUND((BH20-MAX(BH19,0))*10,1),"")</f>
        <v/>
      </c>
      <c r="BI21" s="6">
        <f>IF(AND(ISNUMBER(BI12),ISNUMBER(BI19),ISNUMBER(BI20)),ROUND((BI20-MAX(BI19,0))*10,1),"")</f>
        <v/>
      </c>
      <c r="BJ21" s="6">
        <f>IF(AND(ISNUMBER(BJ12),ISNUMBER(BJ19),ISNUMBER(BJ20)),ROUND((BJ20-MAX(BJ19,0))*10,1),"")</f>
        <v/>
      </c>
      <c r="BK21" s="6">
        <f>IF(AND(ISNUMBER(BK12),ISNUMBER(BK19),ISNUMBER(BK20)),ROUND((BK20-MAX(BK19,0))*10,1),"")</f>
        <v/>
      </c>
      <c r="BL21" s="6">
        <f>IF(AND(ISNUMBER(BL12),ISNUMBER(BL19),ISNUMBER(BL20)),ROUND((BL20-MAX(BL19,0))*10,1),"")</f>
        <v/>
      </c>
      <c r="BM21" s="6">
        <f>IF(AND(ISNUMBER(BM12),ISNUMBER(BM19),ISNUMBER(BM20)),ROUND((BM20-MAX(BM19,0))*10,1),"")</f>
        <v/>
      </c>
      <c r="BN21" s="6">
        <f>IF(AND(ISNUMBER(BN12),ISNUMBER(BN19),ISNUMBER(BN20)),ROUND((BN20-MAX(BN19,0))*10,1),"")</f>
        <v/>
      </c>
      <c r="BO21" s="6">
        <f>IF(AND(ISNUMBER(BO12),ISNUMBER(BO19),ISNUMBER(BO20)),ROUND((BO20-MAX(BO19,0))*10,1),"")</f>
        <v/>
      </c>
      <c r="BP21" s="6">
        <f>IF(AND(ISNUMBER(BP12),ISNUMBER(BP19),ISNUMBER(BP20)),ROUND((BP20-MAX(BP19,0))*10,1),"")</f>
        <v/>
      </c>
      <c r="BQ21" s="6">
        <f>IF(AND(ISNUMBER(BQ12),ISNUMBER(BQ19),ISNUMBER(BQ20)),ROUND((BQ20-MAX(BQ19,0))*10,1),"")</f>
        <v/>
      </c>
      <c r="BR21" s="6">
        <f>IF(AND(ISNUMBER(BR12),ISNUMBER(BR19),ISNUMBER(BR20)),ROUND((BR20-MAX(BR19,0))*10,1),"")</f>
        <v/>
      </c>
      <c r="BS21" s="6">
        <f>IF(AND(ISNUMBER(BS12),ISNUMBER(BS19),ISNUMBER(BS20)),ROUND((BS20-MAX(BS19,0))*10,1),"")</f>
        <v/>
      </c>
      <c r="BT21" s="6">
        <f>IF(AND(ISNUMBER(BT12),ISNUMBER(BT19),ISNUMBER(BT20)),ROUND((BT20-MAX(BT19,0))*10,1),"")</f>
        <v/>
      </c>
      <c r="BU21" s="6">
        <f>IF(AND(ISNUMBER(BU12),ISNUMBER(BU19),ISNUMBER(BU20)),ROUND((BU20-MAX(BU19,0))*10,1),"")</f>
        <v/>
      </c>
      <c r="BV21" s="6">
        <f>IF(AND(ISNUMBER(BV12),ISNUMBER(BV19),ISNUMBER(BV20)),ROUND((BV20-MAX(BV19,0))*10,1),"")</f>
        <v/>
      </c>
      <c r="BW21" s="6">
        <f>IF(AND(ISNUMBER(BW12),ISNUMBER(BW19),ISNUMBER(BW20)),ROUND((BW20-MAX(BW19,0))*10,1),"")</f>
        <v/>
      </c>
      <c r="BX21" s="6">
        <f>IF(AND(ISNUMBER(BX12),ISNUMBER(BX19),ISNUMBER(BX20)),ROUND((BX20-MAX(BX19,0))*10,1),"")</f>
        <v/>
      </c>
      <c r="BY21" s="6">
        <f>IF(AND(ISNUMBER(BY12),ISNUMBER(BY19),ISNUMBER(BY20)),ROUND((BY20-MAX(BY19,0))*10,1),"")</f>
        <v/>
      </c>
      <c r="BZ21" s="6">
        <f>IF(AND(ISNUMBER(BZ12),ISNUMBER(BZ19),ISNUMBER(BZ20)),ROUND((BZ20-MAX(BZ19,0))*10,1),"")</f>
        <v/>
      </c>
      <c r="CA21" s="6">
        <f>IF(AND(ISNUMBER(CA12),ISNUMBER(CA19),ISNUMBER(CA20)),ROUND((CA20-MAX(CA19,0))*10,1),"")</f>
        <v/>
      </c>
      <c r="CB21" s="6">
        <f>IF(AND(ISNUMBER(CB12),ISNUMBER(CB19),ISNUMBER(CB20)),ROUND((CB20-MAX(CB19,0))*10,1),"")</f>
        <v/>
      </c>
      <c r="CC21" s="6">
        <f>IF(AND(ISNUMBER(CC12),ISNUMBER(CC19),ISNUMBER(CC20)),ROUND((CC20-MAX(CC19,0))*10,1),"")</f>
        <v/>
      </c>
      <c r="CD21" s="6">
        <f>IF(AND(ISNUMBER(CD12),ISNUMBER(CD19),ISNUMBER(CD20)),ROUND((CD20-MAX(CD19,0))*10,1),"")</f>
        <v/>
      </c>
      <c r="CE21" s="6">
        <f>IF(AND(ISNUMBER(CE12),ISNUMBER(CE19),ISNUMBER(CE20)),ROUND((CE20-MAX(CE19,0))*10,1),"")</f>
        <v/>
      </c>
      <c r="CF21" s="6">
        <f>IF(AND(ISNUMBER(CF12),ISNUMBER(CF19),ISNUMBER(CF20)),ROUND((CF20-MAX(CF19,0))*10,1),"")</f>
        <v/>
      </c>
      <c r="CG21" s="6">
        <f>IF(AND(ISNUMBER(CG12),ISNUMBER(CG19),ISNUMBER(CG20)),ROUND((CG20-MAX(CG19,0))*10,1),"")</f>
        <v/>
      </c>
      <c r="CH21" s="6">
        <f>IF(AND(ISNUMBER(CH12),ISNUMBER(CH19),ISNUMBER(CH20)),ROUND((CH20-MAX(CH19,0))*10,1),"")</f>
        <v/>
      </c>
      <c r="CI21" s="6">
        <f>IF(AND(ISNUMBER(CI12),ISNUMBER(CI19),ISNUMBER(CI20)),ROUND((CI20-MAX(CI19,0))*10,1),"")</f>
        <v/>
      </c>
      <c r="CJ21" s="6">
        <f>IF(AND(ISNUMBER(CJ12),ISNUMBER(CJ19),ISNUMBER(CJ20)),ROUND((CJ20-MAX(CJ19,0))*10,1),"")</f>
        <v/>
      </c>
      <c r="CK21" s="6">
        <f>IF(AND(ISNUMBER(CK12),ISNUMBER(CK19),ISNUMBER(CK20)),ROUND((CK20-MAX(CK19,0))*10,1),"")</f>
        <v/>
      </c>
      <c r="CL21" s="6">
        <f>IF(AND(ISNUMBER(CL12),ISNUMBER(CL19),ISNUMBER(CL20)),ROUND((CL20-MAX(CL19,0))*10,1),"")</f>
        <v/>
      </c>
      <c r="CM21" s="6">
        <f>IF(AND(ISNUMBER(CM12),ISNUMBER(CM19),ISNUMBER(CM20)),ROUND((CM20-MAX(CM19,0))*10,1),"")</f>
        <v/>
      </c>
      <c r="CN21" s="6">
        <f>IF(AND(ISNUMBER(CN12),ISNUMBER(CN19),ISNUMBER(CN20)),ROUND((CN20-MAX(CN19,0))*10,1),"")</f>
        <v/>
      </c>
      <c r="CO21" s="6">
        <f>IF(AND(ISNUMBER(CO12),ISNUMBER(CO19),ISNUMBER(CO20)),ROUND((CO20-MAX(CO19,0))*10,1),"")</f>
        <v/>
      </c>
      <c r="CP21" s="6">
        <f>IF(AND(ISNUMBER(CP12),ISNUMBER(CP19),ISNUMBER(CP20)),ROUND((CP20-MAX(CP19,0))*10,1),"")</f>
        <v/>
      </c>
      <c r="CQ21" s="6">
        <f>IF(AND(ISNUMBER(CQ12),ISNUMBER(CQ19),ISNUMBER(CQ20)),ROUND((CQ20-MAX(CQ19,0))*10,1),"")</f>
        <v/>
      </c>
      <c r="CR21" s="6">
        <f>IF(AND(ISNUMBER(CR12),ISNUMBER(CR19),ISNUMBER(CR20)),ROUND((CR20-MAX(CR19,0))*10,1),"")</f>
        <v/>
      </c>
      <c r="CS21" s="6">
        <f>IF(AND(ISNUMBER(CS12),ISNUMBER(CS19),ISNUMBER(CS20)),ROUND((CS20-MAX(CS19,0))*10,1),"")</f>
        <v/>
      </c>
      <c r="CT21" s="6">
        <f>IF(AND(ISNUMBER(CT12),ISNUMBER(CT19),ISNUMBER(CT20)),ROUND((CT20-MAX(CT19,0))*10,1),"")</f>
        <v/>
      </c>
      <c r="CU21" s="6">
        <f>IF(AND(ISNUMBER(CU12),ISNUMBER(CU19),ISNUMBER(CU20)),ROUND((CU20-MAX(CU19,0))*10,1),"")</f>
        <v/>
      </c>
      <c r="CV21" s="6">
        <f>IF(AND(ISNUMBER(CV12),ISNUMBER(CV19),ISNUMBER(CV20)),ROUND((CV20-MAX(CV19,0))*10,1),"")</f>
        <v/>
      </c>
      <c r="CW21" s="6">
        <f>IF(AND(ISNUMBER(CW12),ISNUMBER(CW19),ISNUMBER(CW20)),ROUND((CW20-MAX(CW19,0))*10,1),"")</f>
        <v/>
      </c>
      <c r="CX21" s="6">
        <f>IF(AND(ISNUMBER(CX12),ISNUMBER(CX19),ISNUMBER(CX20)),ROUND((CX20-MAX(CX19,0))*10,1),"")</f>
        <v/>
      </c>
      <c r="CY21" s="6">
        <f>IF(AND(ISNUMBER(CY12),ISNUMBER(CY19),ISNUMBER(CY20)),ROUND((CY20-MAX(CY19,0))*10,1),"")</f>
        <v/>
      </c>
      <c r="CZ21" s="6">
        <f>IF(AND(ISNUMBER(CZ12),ISNUMBER(CZ19),ISNUMBER(CZ20)),ROUND((CZ20-MAX(CZ19,0))*10,1),"")</f>
        <v/>
      </c>
      <c r="DA21" s="6">
        <f>IF(AND(ISNUMBER(DA12),ISNUMBER(DA19),ISNUMBER(DA20)),ROUND((DA20-MAX(DA19,0))*10,1),"")</f>
        <v/>
      </c>
      <c r="DB21" s="6">
        <f>IF(AND(ISNUMBER(DB12),ISNUMBER(DB19),ISNUMBER(DB20)),ROUND((DB20-MAX(DB19,0))*10,1),"")</f>
        <v/>
      </c>
      <c r="DC21" s="6">
        <f>IF(AND(ISNUMBER(DC12),ISNUMBER(DC19),ISNUMBER(DC20)),ROUND((DC20-MAX(DC19,0))*10,1),"")</f>
        <v/>
      </c>
      <c r="DD21" s="6">
        <f>IF(AND(ISNUMBER(DD12),ISNUMBER(DD19),ISNUMBER(DD20)),ROUND((DD20-MAX(DD19,0))*10,1),"")</f>
        <v/>
      </c>
      <c r="DE21" s="6">
        <f>IF(AND(ISNUMBER(DE12),ISNUMBER(DE19),ISNUMBER(DE20)),ROUND((DE20-MAX(DE19,0))*10,1),"")</f>
        <v/>
      </c>
      <c r="DF21" s="6">
        <f>IF(AND(ISNUMBER(DF12),ISNUMBER(DF19),ISNUMBER(DF20)),ROUND((DF20-MAX(DF19,0))*10,1),"")</f>
        <v/>
      </c>
      <c r="DG21" s="6">
        <f>IF(AND(ISNUMBER(DG12),ISNUMBER(DG19),ISNUMBER(DG20)),ROUND((DG20-MAX(DG19,0))*10,1),"")</f>
        <v/>
      </c>
      <c r="DH21" s="6">
        <f>IF(AND(ISNUMBER(DH12),ISNUMBER(DH19),ISNUMBER(DH20)),ROUND((DH20-MAX(DH19,0))*10,1),"")</f>
        <v/>
      </c>
      <c r="DI21" s="6">
        <f>IF(AND(ISNUMBER(DI12),ISNUMBER(DI19),ISNUMBER(DI20)),ROUND((DI20-MAX(DI19,0))*10,1),"")</f>
        <v/>
      </c>
      <c r="DJ21" s="6">
        <f>IF(AND(ISNUMBER(DJ12),ISNUMBER(DJ19),ISNUMBER(DJ20)),ROUND((DJ20-MAX(DJ19,0))*10,1),"")</f>
        <v/>
      </c>
      <c r="DK21" s="6">
        <f>IF(AND(ISNUMBER(DK12),ISNUMBER(DK19),ISNUMBER(DK20)),ROUND((DK20-MAX(DK19,0))*10,1),"")</f>
        <v/>
      </c>
      <c r="DL21" s="6">
        <f>IF(AND(ISNUMBER(DL12),ISNUMBER(DL19),ISNUMBER(DL20)),ROUND((DL20-MAX(DL19,0))*10,1),"")</f>
        <v/>
      </c>
      <c r="DM21" s="6">
        <f>IF(AND(ISNUMBER(DM12),ISNUMBER(DM19),ISNUMBER(DM20)),ROUND((DM20-MAX(DM19,0))*10,1),"")</f>
        <v/>
      </c>
      <c r="DN21" s="6">
        <f>IF(AND(ISNUMBER(DN12),ISNUMBER(DN19),ISNUMBER(DN20)),ROUND((DN20-MAX(DN19,0))*10,1),"")</f>
        <v/>
      </c>
      <c r="DO21" s="6">
        <f>IF(AND(ISNUMBER(DO12),ISNUMBER(DO19),ISNUMBER(DO20)),ROUND((DO20-MAX(DO19,0))*10,1),"")</f>
        <v/>
      </c>
      <c r="DP21" s="6">
        <f>IF(AND(ISNUMBER(DP12),ISNUMBER(DP19),ISNUMBER(DP20)),ROUND((DP20-MAX(DP19,0))*10,1),"")</f>
        <v/>
      </c>
      <c r="DQ21" s="6">
        <f>IF(AND(ISNUMBER(DQ12),ISNUMBER(DQ19),ISNUMBER(DQ20)),ROUND((DQ20-MAX(DQ19,0))*10,1),"")</f>
        <v/>
      </c>
      <c r="DR21" s="6">
        <f>IF(AND(ISNUMBER(DR12),ISNUMBER(DR19),ISNUMBER(DR20)),ROUND((DR20-MAX(DR19,0))*10,1),"")</f>
        <v/>
      </c>
      <c r="DS21" s="6">
        <f>IF(AND(ISNUMBER(DS12),ISNUMBER(DS19),ISNUMBER(DS20)),ROUND((DS20-MAX(DS19,0))*10,1),"")</f>
        <v/>
      </c>
      <c r="DT21" s="6">
        <f>IF(AND(ISNUMBER(DT12),ISNUMBER(DT19),ISNUMBER(DT20)),ROUND((DT20-MAX(DT19,0))*10,1),"")</f>
        <v/>
      </c>
      <c r="DU21" s="6">
        <f>IF(AND(ISNUMBER(DU12),ISNUMBER(DU19),ISNUMBER(DU20)),ROUND((DU20-MAX(DU19,0))*10,1),"")</f>
        <v/>
      </c>
      <c r="DV21" s="6">
        <f>IF(AND(ISNUMBER(DV12),ISNUMBER(DV19),ISNUMBER(DV20)),ROUND((DV20-MAX(DV19,0))*10,1),"")</f>
        <v/>
      </c>
      <c r="DW21" s="6">
        <f>IF(AND(ISNUMBER(DW12),ISNUMBER(DW19),ISNUMBER(DW20)),ROUND((DW20-MAX(DW19,0))*10,1),"")</f>
        <v/>
      </c>
      <c r="DX21" s="6">
        <f>IF(AND(ISNUMBER(DX12),ISNUMBER(DX19),ISNUMBER(DX20)),ROUND((DX20-MAX(DX19,0))*10,1),"")</f>
        <v/>
      </c>
      <c r="DY21" s="6">
        <f>IF(AND(ISNUMBER(DY12),ISNUMBER(DY19),ISNUMBER(DY20)),ROUND((DY20-MAX(DY19,0))*10,1),"")</f>
        <v/>
      </c>
      <c r="DZ21" s="6">
        <f>IF(AND(ISNUMBER(DZ12),ISNUMBER(DZ19),ISNUMBER(DZ20)),ROUND((DZ20-MAX(DZ19,0))*10,1),"")</f>
        <v/>
      </c>
      <c r="EA21" s="6">
        <f>IF(AND(ISNUMBER(EA12),ISNUMBER(EA19),ISNUMBER(EA20)),ROUND((EA20-MAX(EA19,0))*10,1),"")</f>
        <v/>
      </c>
      <c r="EB21" s="6">
        <f>IF(AND(ISNUMBER(EB12),ISNUMBER(EB19),ISNUMBER(EB20)),ROUND((EB20-MAX(EB19,0))*10,1),"")</f>
        <v/>
      </c>
      <c r="EC21" s="6">
        <f>IF(AND(ISNUMBER(EC12),ISNUMBER(EC19),ISNUMBER(EC20)),ROUND((EC20-MAX(EC19,0))*10,1),"")</f>
        <v/>
      </c>
      <c r="ED21" s="6">
        <f>IF(AND(ISNUMBER(ED12),ISNUMBER(ED19),ISNUMBER(ED20)),ROUND((ED20-MAX(ED19,0))*10,1),"")</f>
        <v/>
      </c>
      <c r="EE21" s="6">
        <f>IF(AND(ISNUMBER(EE12),ISNUMBER(EE19),ISNUMBER(EE20)),ROUND((EE20-MAX(EE19,0))*10,1),"")</f>
        <v/>
      </c>
      <c r="EF21" s="6">
        <f>IF(AND(ISNUMBER(EF12),ISNUMBER(EF19),ISNUMBER(EF20)),ROUND((EF20-MAX(EF19,0))*10,1),"")</f>
        <v/>
      </c>
      <c r="EG21" s="6">
        <f>IF(AND(ISNUMBER(EG12),ISNUMBER(EG19),ISNUMBER(EG20)),ROUND((EG20-MAX(EG19,0))*10,1),"")</f>
        <v/>
      </c>
      <c r="EH21" s="6">
        <f>IF(AND(ISNUMBER(EH12),ISNUMBER(EH19),ISNUMBER(EH20)),ROUND((EH20-MAX(EH19,0))*10,1),"")</f>
        <v/>
      </c>
      <c r="EI21" s="6">
        <f>IF(AND(ISNUMBER(EI12),ISNUMBER(EI19),ISNUMBER(EI20)),ROUND((EI20-MAX(EI19,0))*10,1),"")</f>
        <v/>
      </c>
      <c r="EJ21" s="6">
        <f>IF(AND(ISNUMBER(EJ12),ISNUMBER(EJ19),ISNUMBER(EJ20)),ROUND((EJ20-MAX(EJ19,0))*10,1),"")</f>
        <v/>
      </c>
      <c r="EK21" s="6">
        <f>IF(AND(ISNUMBER(EK12),ISNUMBER(EK19),ISNUMBER(EK20)),ROUND((EK20-MAX(EK19,0))*10,1),"")</f>
        <v/>
      </c>
      <c r="EL21" s="6">
        <f>IF(AND(ISNUMBER(EL12),ISNUMBER(EL19),ISNUMBER(EL20)),ROUND((EL20-MAX(EL19,0))*10,1),"")</f>
        <v/>
      </c>
      <c r="EM21" s="6">
        <f>IF(AND(ISNUMBER(EM12),ISNUMBER(EM19),ISNUMBER(EM20)),ROUND((EM20-MAX(EM19,0))*10,1),"")</f>
        <v/>
      </c>
      <c r="EN21" s="6">
        <f>IF(AND(ISNUMBER(EN12),ISNUMBER(EN19),ISNUMBER(EN20)),ROUND((EN20-MAX(EN19,0))*10,1),"")</f>
        <v/>
      </c>
      <c r="EO21" s="6">
        <f>IF(AND(ISNUMBER(EO12),ISNUMBER(EO19),ISNUMBER(EO20)),ROUND((EO20-MAX(EO19,0))*10,1),"")</f>
        <v/>
      </c>
      <c r="EP21" s="6">
        <f>IF(AND(ISNUMBER(EP12),ISNUMBER(EP19),ISNUMBER(EP20)),ROUND((EP20-MAX(EP19,0))*10,1),"")</f>
        <v/>
      </c>
      <c r="EQ21" s="6">
        <f>IF(AND(ISNUMBER(EQ12),ISNUMBER(EQ19),ISNUMBER(EQ20)),ROUND((EQ20-MAX(EQ19,0))*10,1),"")</f>
        <v/>
      </c>
      <c r="ER21" s="6">
        <f>IF(AND(ISNUMBER(ER12),ISNUMBER(ER19),ISNUMBER(ER20)),ROUND((ER20-MAX(ER19,0))*10,1),"")</f>
        <v/>
      </c>
      <c r="ES21" s="6">
        <f>IF(AND(ISNUMBER(ES12),ISNUMBER(ES19),ISNUMBER(ES20)),ROUND((ES20-MAX(ES19,0))*10,1),"")</f>
        <v/>
      </c>
      <c r="ET21" s="6">
        <f>IF(AND(ISNUMBER(ET12),ISNUMBER(ET19),ISNUMBER(ET20)),ROUND((ET20-MAX(ET19,0))*10,1),"")</f>
        <v/>
      </c>
      <c r="EU21" s="6">
        <f>IF(AND(ISNUMBER(EU12),ISNUMBER(EU19),ISNUMBER(EU20)),ROUND((EU20-MAX(EU19,0))*10,1),"")</f>
        <v/>
      </c>
      <c r="EV21" s="6">
        <f>IF(AND(ISNUMBER(EV12),ISNUMBER(EV19),ISNUMBER(EV20)),ROUND((EV20-MAX(EV19,0))*10,1),"")</f>
        <v/>
      </c>
      <c r="EW21" s="6">
        <f>IF(AND(ISNUMBER(EW12),ISNUMBER(EW19),ISNUMBER(EW20)),ROUND((EW20-MAX(EW19,0))*10,1),"")</f>
        <v/>
      </c>
      <c r="EX21" s="6">
        <f>IF(AND(ISNUMBER(EX12),ISNUMBER(EX19),ISNUMBER(EX20)),ROUND((EX20-MAX(EX19,0))*10,1),"")</f>
        <v/>
      </c>
      <c r="EY21" s="6">
        <f>IF(AND(ISNUMBER(EY12),ISNUMBER(EY19),ISNUMBER(EY20)),ROUND((EY20-MAX(EY19,0))*10,1),"")</f>
        <v/>
      </c>
      <c r="EZ21" s="6">
        <f>IF(AND(ISNUMBER(EZ12),ISNUMBER(EZ19),ISNUMBER(EZ20)),ROUND((EZ20-MAX(EZ19,0))*10,1),"")</f>
        <v/>
      </c>
      <c r="FA21" s="6">
        <f>IF(AND(ISNUMBER(FA12),ISNUMBER(FA19),ISNUMBER(FA20)),ROUND((FA20-MAX(FA19,0))*10,1),"")</f>
        <v/>
      </c>
      <c r="FB21" s="6">
        <f>IF(AND(ISNUMBER(FB12),ISNUMBER(FB19),ISNUMBER(FB20)),ROUND((FB20-MAX(FB19,0))*10,1),"")</f>
        <v/>
      </c>
      <c r="FC21" s="6">
        <f>IF(AND(ISNUMBER(FC12),ISNUMBER(FC19),ISNUMBER(FC20)),ROUND((FC20-MAX(FC19,0))*10,1),"")</f>
        <v/>
      </c>
      <c r="FD21" s="6">
        <f>IF(AND(ISNUMBER(FD12),ISNUMBER(FD19),ISNUMBER(FD20)),ROUND((FD20-MAX(FD19,0))*10,1),"")</f>
        <v/>
      </c>
      <c r="FE21" s="6">
        <f>IF(AND(ISNUMBER(FE12),ISNUMBER(FE19),ISNUMBER(FE20)),ROUND((FE20-MAX(FE19,0))*10,1),"")</f>
        <v/>
      </c>
      <c r="FF21" s="6">
        <f>IF(AND(ISNUMBER(FF12),ISNUMBER(FF19),ISNUMBER(FF20)),ROUND((FF20-MAX(FF19,0))*10,1),"")</f>
        <v/>
      </c>
      <c r="FG21" s="6">
        <f>IF(AND(ISNUMBER(FG12),ISNUMBER(FG19),ISNUMBER(FG20)),ROUND((FG20-MAX(FG19,0))*10,1),"")</f>
        <v/>
      </c>
      <c r="FH21" s="6">
        <f>IF(AND(ISNUMBER(FH12),ISNUMBER(FH19),ISNUMBER(FH20)),ROUND((FH20-MAX(FH19,0))*10,1),"")</f>
        <v/>
      </c>
      <c r="FI21" s="6">
        <f>IF(AND(ISNUMBER(FI12),ISNUMBER(FI19),ISNUMBER(FI20)),ROUND((FI20-MAX(FI19,0))*10,1),"")</f>
        <v/>
      </c>
      <c r="FJ21" s="6">
        <f>IF(AND(ISNUMBER(FJ12),ISNUMBER(FJ19),ISNUMBER(FJ20)),ROUND((FJ20-MAX(FJ19,0))*10,1),"")</f>
        <v/>
      </c>
      <c r="FK21" s="6">
        <f>IF(AND(ISNUMBER(FK12),ISNUMBER(FK19),ISNUMBER(FK20)),ROUND((FK20-MAX(FK19,0))*10,1),"")</f>
        <v/>
      </c>
      <c r="FL21" s="6">
        <f>IF(AND(ISNUMBER(FL12),ISNUMBER(FL19),ISNUMBER(FL20)),ROUND((FL20-MAX(FL19,0))*10,1),"")</f>
        <v/>
      </c>
      <c r="FM21" s="6">
        <f>IF(AND(ISNUMBER(FM12),ISNUMBER(FM19),ISNUMBER(FM20)),ROUND((FM20-MAX(FM19,0))*10,1),"")</f>
        <v/>
      </c>
      <c r="FN21" s="6">
        <f>IF(AND(ISNUMBER(FN12),ISNUMBER(FN19),ISNUMBER(FN20)),ROUND((FN20-MAX(FN19,0))*10,1),"")</f>
        <v/>
      </c>
      <c r="FO21" s="6">
        <f>IF(AND(ISNUMBER(FO12),ISNUMBER(FO19),ISNUMBER(FO20)),ROUND((FO20-MAX(FO19,0))*10,1),"")</f>
        <v/>
      </c>
      <c r="FP21" s="6">
        <f>IF(AND(ISNUMBER(FP12),ISNUMBER(FP19),ISNUMBER(FP20)),ROUND((FP20-MAX(FP19,0))*10,1),"")</f>
        <v/>
      </c>
      <c r="FQ21" s="6">
        <f>IF(AND(ISNUMBER(FQ12),ISNUMBER(FQ19),ISNUMBER(FQ20)),ROUND((FQ20-MAX(FQ19,0))*10,1),"")</f>
        <v/>
      </c>
    </row>
    <row r="22">
      <c r="A22" s="25" t="inlineStr">
        <is>
          <t>FP</t>
        </is>
      </c>
      <c r="B22" s="24" t="inlineStr">
        <is>
          <t>Cumulative irrigation (mm) / মোট সেচ</t>
        </is>
      </c>
      <c r="C22" s="4">
        <f>IF(COUNT($D$22:$FQ$22)=0,"",MAX($D$22:$FQ$22))</f>
        <v/>
      </c>
      <c r="D22" s="6">
        <f>IF(D13="","",ROUND(SUM($D$21:D21),1))</f>
        <v/>
      </c>
      <c r="E22" s="6">
        <f>IF(E13="","",ROUND(SUM($D$21:E21),1))</f>
        <v/>
      </c>
      <c r="F22" s="6">
        <f>IF(F13="","",ROUND(SUM($D$21:F21),1))</f>
        <v/>
      </c>
      <c r="G22" s="6">
        <f>IF(G13="","",ROUND(SUM($D$21:G21),1))</f>
        <v/>
      </c>
      <c r="H22" s="6">
        <f>IF(H13="","",ROUND(SUM($D$21:H21),1))</f>
        <v/>
      </c>
      <c r="I22" s="6">
        <f>IF(I13="","",ROUND(SUM($D$21:I21),1))</f>
        <v/>
      </c>
      <c r="J22" s="6">
        <f>IF(J13="","",ROUND(SUM($D$21:J21),1))</f>
        <v/>
      </c>
      <c r="K22" s="6">
        <f>IF(K13="","",ROUND(SUM($D$21:K21),1))</f>
        <v/>
      </c>
      <c r="L22" s="6">
        <f>IF(L13="","",ROUND(SUM($D$21:L21),1))</f>
        <v/>
      </c>
      <c r="M22" s="6">
        <f>IF(M13="","",ROUND(SUM($D$21:M21),1))</f>
        <v/>
      </c>
      <c r="N22" s="6">
        <f>IF(N13="","",ROUND(SUM($D$21:N21),1))</f>
        <v/>
      </c>
      <c r="O22" s="6">
        <f>IF(O13="","",ROUND(SUM($D$21:O21),1))</f>
        <v/>
      </c>
      <c r="P22" s="6">
        <f>IF(P13="","",ROUND(SUM($D$21:P21),1))</f>
        <v/>
      </c>
      <c r="Q22" s="6">
        <f>IF(Q13="","",ROUND(SUM($D$21:Q21),1))</f>
        <v/>
      </c>
      <c r="R22" s="6">
        <f>IF(R13="","",ROUND(SUM($D$21:R21),1))</f>
        <v/>
      </c>
      <c r="S22" s="6">
        <f>IF(S13="","",ROUND(SUM($D$21:S21),1))</f>
        <v/>
      </c>
      <c r="T22" s="6">
        <f>IF(T13="","",ROUND(SUM($D$21:T21),1))</f>
        <v/>
      </c>
      <c r="U22" s="6">
        <f>IF(U13="","",ROUND(SUM($D$21:U21),1))</f>
        <v/>
      </c>
      <c r="V22" s="6">
        <f>IF(V13="","",ROUND(SUM($D$21:V21),1))</f>
        <v/>
      </c>
      <c r="W22" s="6">
        <f>IF(W13="","",ROUND(SUM($D$21:W21),1))</f>
        <v/>
      </c>
      <c r="X22" s="6">
        <f>IF(X13="","",ROUND(SUM($D$21:X21),1))</f>
        <v/>
      </c>
      <c r="Y22" s="6">
        <f>IF(Y13="","",ROUND(SUM($D$21:Y21),1))</f>
        <v/>
      </c>
      <c r="Z22" s="6">
        <f>IF(Z13="","",ROUND(SUM($D$21:Z21),1))</f>
        <v/>
      </c>
      <c r="AA22" s="6">
        <f>IF(AA13="","",ROUND(SUM($D$21:AA21),1))</f>
        <v/>
      </c>
      <c r="AB22" s="6">
        <f>IF(AB13="","",ROUND(SUM($D$21:AB21),1))</f>
        <v/>
      </c>
      <c r="AC22" s="6">
        <f>IF(AC13="","",ROUND(SUM($D$21:AC21),1))</f>
        <v/>
      </c>
      <c r="AD22" s="6">
        <f>IF(AD13="","",ROUND(SUM($D$21:AD21),1))</f>
        <v/>
      </c>
      <c r="AE22" s="6">
        <f>IF(AE13="","",ROUND(SUM($D$21:AE21),1))</f>
        <v/>
      </c>
      <c r="AF22" s="6">
        <f>IF(AF13="","",ROUND(SUM($D$21:AF21),1))</f>
        <v/>
      </c>
      <c r="AG22" s="6">
        <f>IF(AG13="","",ROUND(SUM($D$21:AG21),1))</f>
        <v/>
      </c>
      <c r="AH22" s="6">
        <f>IF(AH13="","",ROUND(SUM($D$21:AH21),1))</f>
        <v/>
      </c>
      <c r="AI22" s="6">
        <f>IF(AI13="","",ROUND(SUM($D$21:AI21),1))</f>
        <v/>
      </c>
      <c r="AJ22" s="6">
        <f>IF(AJ13="","",ROUND(SUM($D$21:AJ21),1))</f>
        <v/>
      </c>
      <c r="AK22" s="6">
        <f>IF(AK13="","",ROUND(SUM($D$21:AK21),1))</f>
        <v/>
      </c>
      <c r="AL22" s="6">
        <f>IF(AL13="","",ROUND(SUM($D$21:AL21),1))</f>
        <v/>
      </c>
      <c r="AM22" s="6">
        <f>IF(AM13="","",ROUND(SUM($D$21:AM21),1))</f>
        <v/>
      </c>
      <c r="AN22" s="6">
        <f>IF(AN13="","",ROUND(SUM($D$21:AN21),1))</f>
        <v/>
      </c>
      <c r="AO22" s="6">
        <f>IF(AO13="","",ROUND(SUM($D$21:AO21),1))</f>
        <v/>
      </c>
      <c r="AP22" s="6">
        <f>IF(AP13="","",ROUND(SUM($D$21:AP21),1))</f>
        <v/>
      </c>
      <c r="AQ22" s="6">
        <f>IF(AQ13="","",ROUND(SUM($D$21:AQ21),1))</f>
        <v/>
      </c>
      <c r="AR22" s="6">
        <f>IF(AR13="","",ROUND(SUM($D$21:AR21),1))</f>
        <v/>
      </c>
      <c r="AS22" s="6">
        <f>IF(AS13="","",ROUND(SUM($D$21:AS21),1))</f>
        <v/>
      </c>
      <c r="AT22" s="6">
        <f>IF(AT13="","",ROUND(SUM($D$21:AT21),1))</f>
        <v/>
      </c>
      <c r="AU22" s="6">
        <f>IF(AU13="","",ROUND(SUM($D$21:AU21),1))</f>
        <v/>
      </c>
      <c r="AV22" s="6">
        <f>IF(AV13="","",ROUND(SUM($D$21:AV21),1))</f>
        <v/>
      </c>
      <c r="AW22" s="6">
        <f>IF(AW13="","",ROUND(SUM($D$21:AW21),1))</f>
        <v/>
      </c>
      <c r="AX22" s="6">
        <f>IF(AX13="","",ROUND(SUM($D$21:AX21),1))</f>
        <v/>
      </c>
      <c r="AY22" s="6">
        <f>IF(AY13="","",ROUND(SUM($D$21:AY21),1))</f>
        <v/>
      </c>
      <c r="AZ22" s="6">
        <f>IF(AZ13="","",ROUND(SUM($D$21:AZ21),1))</f>
        <v/>
      </c>
      <c r="BA22" s="6">
        <f>IF(BA13="","",ROUND(SUM($D$21:BA21),1))</f>
        <v/>
      </c>
      <c r="BB22" s="6">
        <f>IF(BB13="","",ROUND(SUM($D$21:BB21),1))</f>
        <v/>
      </c>
      <c r="BC22" s="6">
        <f>IF(BC13="","",ROUND(SUM($D$21:BC21),1))</f>
        <v/>
      </c>
      <c r="BD22" s="6">
        <f>IF(BD13="","",ROUND(SUM($D$21:BD21),1))</f>
        <v/>
      </c>
      <c r="BE22" s="6">
        <f>IF(BE13="","",ROUND(SUM($D$21:BE21),1))</f>
        <v/>
      </c>
      <c r="BF22" s="6">
        <f>IF(BF13="","",ROUND(SUM($D$21:BF21),1))</f>
        <v/>
      </c>
      <c r="BG22" s="6">
        <f>IF(BG13="","",ROUND(SUM($D$21:BG21),1))</f>
        <v/>
      </c>
      <c r="BH22" s="6">
        <f>IF(BH13="","",ROUND(SUM($D$21:BH21),1))</f>
        <v/>
      </c>
      <c r="BI22" s="6">
        <f>IF(BI13="","",ROUND(SUM($D$21:BI21),1))</f>
        <v/>
      </c>
      <c r="BJ22" s="6">
        <f>IF(BJ13="","",ROUND(SUM($D$21:BJ21),1))</f>
        <v/>
      </c>
      <c r="BK22" s="6">
        <f>IF(BK13="","",ROUND(SUM($D$21:BK21),1))</f>
        <v/>
      </c>
      <c r="BL22" s="6">
        <f>IF(BL13="","",ROUND(SUM($D$21:BL21),1))</f>
        <v/>
      </c>
      <c r="BM22" s="6">
        <f>IF(BM13="","",ROUND(SUM($D$21:BM21),1))</f>
        <v/>
      </c>
      <c r="BN22" s="6">
        <f>IF(BN13="","",ROUND(SUM($D$21:BN21),1))</f>
        <v/>
      </c>
      <c r="BO22" s="6">
        <f>IF(BO13="","",ROUND(SUM($D$21:BO21),1))</f>
        <v/>
      </c>
      <c r="BP22" s="6">
        <f>IF(BP13="","",ROUND(SUM($D$21:BP21),1))</f>
        <v/>
      </c>
      <c r="BQ22" s="6">
        <f>IF(BQ13="","",ROUND(SUM($D$21:BQ21),1))</f>
        <v/>
      </c>
      <c r="BR22" s="6">
        <f>IF(BR13="","",ROUND(SUM($D$21:BR21),1))</f>
        <v/>
      </c>
      <c r="BS22" s="6">
        <f>IF(BS13="","",ROUND(SUM($D$21:BS21),1))</f>
        <v/>
      </c>
      <c r="BT22" s="6">
        <f>IF(BT13="","",ROUND(SUM($D$21:BT21),1))</f>
        <v/>
      </c>
      <c r="BU22" s="6">
        <f>IF(BU13="","",ROUND(SUM($D$21:BU21),1))</f>
        <v/>
      </c>
      <c r="BV22" s="6">
        <f>IF(BV13="","",ROUND(SUM($D$21:BV21),1))</f>
        <v/>
      </c>
      <c r="BW22" s="6">
        <f>IF(BW13="","",ROUND(SUM($D$21:BW21),1))</f>
        <v/>
      </c>
      <c r="BX22" s="6">
        <f>IF(BX13="","",ROUND(SUM($D$21:BX21),1))</f>
        <v/>
      </c>
      <c r="BY22" s="6">
        <f>IF(BY13="","",ROUND(SUM($D$21:BY21),1))</f>
        <v/>
      </c>
      <c r="BZ22" s="6">
        <f>IF(BZ13="","",ROUND(SUM($D$21:BZ21),1))</f>
        <v/>
      </c>
      <c r="CA22" s="6">
        <f>IF(CA13="","",ROUND(SUM($D$21:CA21),1))</f>
        <v/>
      </c>
      <c r="CB22" s="6">
        <f>IF(CB13="","",ROUND(SUM($D$21:CB21),1))</f>
        <v/>
      </c>
      <c r="CC22" s="6">
        <f>IF(CC13="","",ROUND(SUM($D$21:CC21),1))</f>
        <v/>
      </c>
      <c r="CD22" s="6">
        <f>IF(CD13="","",ROUND(SUM($D$21:CD21),1))</f>
        <v/>
      </c>
      <c r="CE22" s="6">
        <f>IF(CE13="","",ROUND(SUM($D$21:CE21),1))</f>
        <v/>
      </c>
      <c r="CF22" s="6">
        <f>IF(CF13="","",ROUND(SUM($D$21:CF21),1))</f>
        <v/>
      </c>
      <c r="CG22" s="6">
        <f>IF(CG13="","",ROUND(SUM($D$21:CG21),1))</f>
        <v/>
      </c>
      <c r="CH22" s="6">
        <f>IF(CH13="","",ROUND(SUM($D$21:CH21),1))</f>
        <v/>
      </c>
      <c r="CI22" s="6">
        <f>IF(CI13="","",ROUND(SUM($D$21:CI21),1))</f>
        <v/>
      </c>
      <c r="CJ22" s="6">
        <f>IF(CJ13="","",ROUND(SUM($D$21:CJ21),1))</f>
        <v/>
      </c>
      <c r="CK22" s="6">
        <f>IF(CK13="","",ROUND(SUM($D$21:CK21),1))</f>
        <v/>
      </c>
      <c r="CL22" s="6">
        <f>IF(CL13="","",ROUND(SUM($D$21:CL21),1))</f>
        <v/>
      </c>
      <c r="CM22" s="6">
        <f>IF(CM13="","",ROUND(SUM($D$21:CM21),1))</f>
        <v/>
      </c>
      <c r="CN22" s="6">
        <f>IF(CN13="","",ROUND(SUM($D$21:CN21),1))</f>
        <v/>
      </c>
      <c r="CO22" s="6">
        <f>IF(CO13="","",ROUND(SUM($D$21:CO21),1))</f>
        <v/>
      </c>
      <c r="CP22" s="6">
        <f>IF(CP13="","",ROUND(SUM($D$21:CP21),1))</f>
        <v/>
      </c>
      <c r="CQ22" s="6">
        <f>IF(CQ13="","",ROUND(SUM($D$21:CQ21),1))</f>
        <v/>
      </c>
      <c r="CR22" s="6">
        <f>IF(CR13="","",ROUND(SUM($D$21:CR21),1))</f>
        <v/>
      </c>
      <c r="CS22" s="6">
        <f>IF(CS13="","",ROUND(SUM($D$21:CS21),1))</f>
        <v/>
      </c>
      <c r="CT22" s="6">
        <f>IF(CT13="","",ROUND(SUM($D$21:CT21),1))</f>
        <v/>
      </c>
      <c r="CU22" s="6">
        <f>IF(CU13="","",ROUND(SUM($D$21:CU21),1))</f>
        <v/>
      </c>
      <c r="CV22" s="6">
        <f>IF(CV13="","",ROUND(SUM($D$21:CV21),1))</f>
        <v/>
      </c>
      <c r="CW22" s="6">
        <f>IF(CW13="","",ROUND(SUM($D$21:CW21),1))</f>
        <v/>
      </c>
      <c r="CX22" s="6">
        <f>IF(CX13="","",ROUND(SUM($D$21:CX21),1))</f>
        <v/>
      </c>
      <c r="CY22" s="6">
        <f>IF(CY13="","",ROUND(SUM($D$21:CY21),1))</f>
        <v/>
      </c>
      <c r="CZ22" s="6">
        <f>IF(CZ13="","",ROUND(SUM($D$21:CZ21),1))</f>
        <v/>
      </c>
      <c r="DA22" s="6">
        <f>IF(DA13="","",ROUND(SUM($D$21:DA21),1))</f>
        <v/>
      </c>
      <c r="DB22" s="6">
        <f>IF(DB13="","",ROUND(SUM($D$21:DB21),1))</f>
        <v/>
      </c>
      <c r="DC22" s="6">
        <f>IF(DC13="","",ROUND(SUM($D$21:DC21),1))</f>
        <v/>
      </c>
      <c r="DD22" s="6">
        <f>IF(DD13="","",ROUND(SUM($D$21:DD21),1))</f>
        <v/>
      </c>
      <c r="DE22" s="6">
        <f>IF(DE13="","",ROUND(SUM($D$21:DE21),1))</f>
        <v/>
      </c>
      <c r="DF22" s="6">
        <f>IF(DF13="","",ROUND(SUM($D$21:DF21),1))</f>
        <v/>
      </c>
      <c r="DG22" s="6">
        <f>IF(DG13="","",ROUND(SUM($D$21:DG21),1))</f>
        <v/>
      </c>
      <c r="DH22" s="6">
        <f>IF(DH13="","",ROUND(SUM($D$21:DH21),1))</f>
        <v/>
      </c>
      <c r="DI22" s="6">
        <f>IF(DI13="","",ROUND(SUM($D$21:DI21),1))</f>
        <v/>
      </c>
      <c r="DJ22" s="6">
        <f>IF(DJ13="","",ROUND(SUM($D$21:DJ21),1))</f>
        <v/>
      </c>
      <c r="DK22" s="6">
        <f>IF(DK13="","",ROUND(SUM($D$21:DK21),1))</f>
        <v/>
      </c>
      <c r="DL22" s="6">
        <f>IF(DL13="","",ROUND(SUM($D$21:DL21),1))</f>
        <v/>
      </c>
      <c r="DM22" s="6">
        <f>IF(DM13="","",ROUND(SUM($D$21:DM21),1))</f>
        <v/>
      </c>
      <c r="DN22" s="6">
        <f>IF(DN13="","",ROUND(SUM($D$21:DN21),1))</f>
        <v/>
      </c>
      <c r="DO22" s="6">
        <f>IF(DO13="","",ROUND(SUM($D$21:DO21),1))</f>
        <v/>
      </c>
      <c r="DP22" s="6">
        <f>IF(DP13="","",ROUND(SUM($D$21:DP21),1))</f>
        <v/>
      </c>
      <c r="DQ22" s="6">
        <f>IF(DQ13="","",ROUND(SUM($D$21:DQ21),1))</f>
        <v/>
      </c>
      <c r="DR22" s="6">
        <f>IF(DR13="","",ROUND(SUM($D$21:DR21),1))</f>
        <v/>
      </c>
      <c r="DS22" s="6">
        <f>IF(DS13="","",ROUND(SUM($D$21:DS21),1))</f>
        <v/>
      </c>
      <c r="DT22" s="6">
        <f>IF(DT13="","",ROUND(SUM($D$21:DT21),1))</f>
        <v/>
      </c>
      <c r="DU22" s="6">
        <f>IF(DU13="","",ROUND(SUM($D$21:DU21),1))</f>
        <v/>
      </c>
      <c r="DV22" s="6">
        <f>IF(DV13="","",ROUND(SUM($D$21:DV21),1))</f>
        <v/>
      </c>
      <c r="DW22" s="6">
        <f>IF(DW13="","",ROUND(SUM($D$21:DW21),1))</f>
        <v/>
      </c>
      <c r="DX22" s="6">
        <f>IF(DX13="","",ROUND(SUM($D$21:DX21),1))</f>
        <v/>
      </c>
      <c r="DY22" s="6">
        <f>IF(DY13="","",ROUND(SUM($D$21:DY21),1))</f>
        <v/>
      </c>
      <c r="DZ22" s="6">
        <f>IF(DZ13="","",ROUND(SUM($D$21:DZ21),1))</f>
        <v/>
      </c>
      <c r="EA22" s="6">
        <f>IF(EA13="","",ROUND(SUM($D$21:EA21),1))</f>
        <v/>
      </c>
      <c r="EB22" s="6">
        <f>IF(EB13="","",ROUND(SUM($D$21:EB21),1))</f>
        <v/>
      </c>
      <c r="EC22" s="6">
        <f>IF(EC13="","",ROUND(SUM($D$21:EC21),1))</f>
        <v/>
      </c>
      <c r="ED22" s="6">
        <f>IF(ED13="","",ROUND(SUM($D$21:ED21),1))</f>
        <v/>
      </c>
      <c r="EE22" s="6">
        <f>IF(EE13="","",ROUND(SUM($D$21:EE21),1))</f>
        <v/>
      </c>
      <c r="EF22" s="6">
        <f>IF(EF13="","",ROUND(SUM($D$21:EF21),1))</f>
        <v/>
      </c>
      <c r="EG22" s="6">
        <f>IF(EG13="","",ROUND(SUM($D$21:EG21),1))</f>
        <v/>
      </c>
      <c r="EH22" s="6">
        <f>IF(EH13="","",ROUND(SUM($D$21:EH21),1))</f>
        <v/>
      </c>
      <c r="EI22" s="6">
        <f>IF(EI13="","",ROUND(SUM($D$21:EI21),1))</f>
        <v/>
      </c>
      <c r="EJ22" s="6">
        <f>IF(EJ13="","",ROUND(SUM($D$21:EJ21),1))</f>
        <v/>
      </c>
      <c r="EK22" s="6">
        <f>IF(EK13="","",ROUND(SUM($D$21:EK21),1))</f>
        <v/>
      </c>
      <c r="EL22" s="6">
        <f>IF(EL13="","",ROUND(SUM($D$21:EL21),1))</f>
        <v/>
      </c>
      <c r="EM22" s="6">
        <f>IF(EM13="","",ROUND(SUM($D$21:EM21),1))</f>
        <v/>
      </c>
      <c r="EN22" s="6">
        <f>IF(EN13="","",ROUND(SUM($D$21:EN21),1))</f>
        <v/>
      </c>
      <c r="EO22" s="6">
        <f>IF(EO13="","",ROUND(SUM($D$21:EO21),1))</f>
        <v/>
      </c>
      <c r="EP22" s="6">
        <f>IF(EP13="","",ROUND(SUM($D$21:EP21),1))</f>
        <v/>
      </c>
      <c r="EQ22" s="6">
        <f>IF(EQ13="","",ROUND(SUM($D$21:EQ21),1))</f>
        <v/>
      </c>
      <c r="ER22" s="6">
        <f>IF(ER13="","",ROUND(SUM($D$21:ER21),1))</f>
        <v/>
      </c>
      <c r="ES22" s="6">
        <f>IF(ES13="","",ROUND(SUM($D$21:ES21),1))</f>
        <v/>
      </c>
      <c r="ET22" s="6">
        <f>IF(ET13="","",ROUND(SUM($D$21:ET21),1))</f>
        <v/>
      </c>
      <c r="EU22" s="6">
        <f>IF(EU13="","",ROUND(SUM($D$21:EU21),1))</f>
        <v/>
      </c>
      <c r="EV22" s="6">
        <f>IF(EV13="","",ROUND(SUM($D$21:EV21),1))</f>
        <v/>
      </c>
      <c r="EW22" s="6">
        <f>IF(EW13="","",ROUND(SUM($D$21:EW21),1))</f>
        <v/>
      </c>
      <c r="EX22" s="6">
        <f>IF(EX13="","",ROUND(SUM($D$21:EX21),1))</f>
        <v/>
      </c>
      <c r="EY22" s="6">
        <f>IF(EY13="","",ROUND(SUM($D$21:EY21),1))</f>
        <v/>
      </c>
      <c r="EZ22" s="6">
        <f>IF(EZ13="","",ROUND(SUM($D$21:EZ21),1))</f>
        <v/>
      </c>
      <c r="FA22" s="6">
        <f>IF(FA13="","",ROUND(SUM($D$21:FA21),1))</f>
        <v/>
      </c>
      <c r="FB22" s="6">
        <f>IF(FB13="","",ROUND(SUM($D$21:FB21),1))</f>
        <v/>
      </c>
      <c r="FC22" s="6">
        <f>IF(FC13="","",ROUND(SUM($D$21:FC21),1))</f>
        <v/>
      </c>
      <c r="FD22" s="6">
        <f>IF(FD13="","",ROUND(SUM($D$21:FD21),1))</f>
        <v/>
      </c>
      <c r="FE22" s="6">
        <f>IF(FE13="","",ROUND(SUM($D$21:FE21),1))</f>
        <v/>
      </c>
      <c r="FF22" s="6">
        <f>IF(FF13="","",ROUND(SUM($D$21:FF21),1))</f>
        <v/>
      </c>
      <c r="FG22" s="6">
        <f>IF(FG13="","",ROUND(SUM($D$21:FG21),1))</f>
        <v/>
      </c>
      <c r="FH22" s="6">
        <f>IF(FH13="","",ROUND(SUM($D$21:FH21),1))</f>
        <v/>
      </c>
      <c r="FI22" s="6">
        <f>IF(FI13="","",ROUND(SUM($D$21:FI21),1))</f>
        <v/>
      </c>
      <c r="FJ22" s="6">
        <f>IF(FJ13="","",ROUND(SUM($D$21:FJ21),1))</f>
        <v/>
      </c>
      <c r="FK22" s="6">
        <f>IF(FK13="","",ROUND(SUM($D$21:FK21),1))</f>
        <v/>
      </c>
      <c r="FL22" s="6">
        <f>IF(FL13="","",ROUND(SUM($D$21:FL21),1))</f>
        <v/>
      </c>
      <c r="FM22" s="6">
        <f>IF(FM13="","",ROUND(SUM($D$21:FM21),1))</f>
        <v/>
      </c>
      <c r="FN22" s="6">
        <f>IF(FN13="","",ROUND(SUM($D$21:FN21),1))</f>
        <v/>
      </c>
      <c r="FO22" s="6">
        <f>IF(FO13="","",ROUND(SUM($D$21:FO21),1))</f>
        <v/>
      </c>
      <c r="FP22" s="6">
        <f>IF(FP13="","",ROUND(SUM($D$21:FP21),1))</f>
        <v/>
      </c>
      <c r="FQ22" s="6">
        <f>IF(FQ13="","",ROUND(SUM($D$21:FQ21),1))</f>
        <v/>
      </c>
    </row>
    <row r="23">
      <c r="A23" s="25" t="inlineStr">
        <is>
          <t>FP</t>
        </is>
      </c>
      <c r="B23" s="24" t="inlineStr">
        <is>
          <t>Daily water-level decrease (mm) / দৈনিক হ্রাস</t>
        </is>
      </c>
      <c r="D23" s="6">
        <f>""</f>
        <v/>
      </c>
      <c r="E23" s="6">
        <f>IF(AND(ISNUMBER(D32),ISNUMBER(E13)),ROUND((D32-E13)*10,1),"")</f>
        <v/>
      </c>
      <c r="F23" s="6">
        <f>IF(AND(ISNUMBER(E32),ISNUMBER(F13)),ROUND((E32-F13)*10,1),"")</f>
        <v/>
      </c>
      <c r="G23" s="6">
        <f>IF(AND(ISNUMBER(F32),ISNUMBER(G13)),ROUND((F32-G13)*10,1),"")</f>
        <v/>
      </c>
      <c r="H23" s="6">
        <f>IF(AND(ISNUMBER(G32),ISNUMBER(H13)),ROUND((G32-H13)*10,1),"")</f>
        <v/>
      </c>
      <c r="I23" s="6">
        <f>IF(AND(ISNUMBER(H32),ISNUMBER(I13)),ROUND((H32-I13)*10,1),"")</f>
        <v/>
      </c>
      <c r="J23" s="6">
        <f>IF(AND(ISNUMBER(I32),ISNUMBER(J13)),ROUND((I32-J13)*10,1),"")</f>
        <v/>
      </c>
      <c r="K23" s="6">
        <f>IF(AND(ISNUMBER(J32),ISNUMBER(K13)),ROUND((J32-K13)*10,1),"")</f>
        <v/>
      </c>
      <c r="L23" s="6">
        <f>IF(AND(ISNUMBER(K32),ISNUMBER(L13)),ROUND((K32-L13)*10,1),"")</f>
        <v/>
      </c>
      <c r="M23" s="6">
        <f>IF(AND(ISNUMBER(L32),ISNUMBER(M13)),ROUND((L32-M13)*10,1),"")</f>
        <v/>
      </c>
      <c r="N23" s="6">
        <f>IF(AND(ISNUMBER(M32),ISNUMBER(N13)),ROUND((M32-N13)*10,1),"")</f>
        <v/>
      </c>
      <c r="O23" s="6">
        <f>IF(AND(ISNUMBER(N32),ISNUMBER(O13)),ROUND((N32-O13)*10,1),"")</f>
        <v/>
      </c>
      <c r="P23" s="6">
        <f>IF(AND(ISNUMBER(O32),ISNUMBER(P13)),ROUND((O32-P13)*10,1),"")</f>
        <v/>
      </c>
      <c r="Q23" s="6">
        <f>IF(AND(ISNUMBER(P32),ISNUMBER(Q13)),ROUND((P32-Q13)*10,1),"")</f>
        <v/>
      </c>
      <c r="R23" s="6">
        <f>IF(AND(ISNUMBER(Q32),ISNUMBER(R13)),ROUND((Q32-R13)*10,1),"")</f>
        <v/>
      </c>
      <c r="S23" s="6">
        <f>IF(AND(ISNUMBER(R32),ISNUMBER(S13)),ROUND((R32-S13)*10,1),"")</f>
        <v/>
      </c>
      <c r="T23" s="6">
        <f>IF(AND(ISNUMBER(S32),ISNUMBER(T13)),ROUND((S32-T13)*10,1),"")</f>
        <v/>
      </c>
      <c r="U23" s="6">
        <f>IF(AND(ISNUMBER(T32),ISNUMBER(U13)),ROUND((T32-U13)*10,1),"")</f>
        <v/>
      </c>
      <c r="V23" s="6">
        <f>IF(AND(ISNUMBER(U32),ISNUMBER(V13)),ROUND((U32-V13)*10,1),"")</f>
        <v/>
      </c>
      <c r="W23" s="6">
        <f>IF(AND(ISNUMBER(V32),ISNUMBER(W13)),ROUND((V32-W13)*10,1),"")</f>
        <v/>
      </c>
      <c r="X23" s="6">
        <f>IF(AND(ISNUMBER(W32),ISNUMBER(X13)),ROUND((W32-X13)*10,1),"")</f>
        <v/>
      </c>
      <c r="Y23" s="6">
        <f>IF(AND(ISNUMBER(X32),ISNUMBER(Y13)),ROUND((X32-Y13)*10,1),"")</f>
        <v/>
      </c>
      <c r="Z23" s="6">
        <f>IF(AND(ISNUMBER(Y32),ISNUMBER(Z13)),ROUND((Y32-Z13)*10,1),"")</f>
        <v/>
      </c>
      <c r="AA23" s="6">
        <f>IF(AND(ISNUMBER(Z32),ISNUMBER(AA13)),ROUND((Z32-AA13)*10,1),"")</f>
        <v/>
      </c>
      <c r="AB23" s="6">
        <f>IF(AND(ISNUMBER(AA32),ISNUMBER(AB13)),ROUND((AA32-AB13)*10,1),"")</f>
        <v/>
      </c>
      <c r="AC23" s="6">
        <f>IF(AND(ISNUMBER(AB32),ISNUMBER(AC13)),ROUND((AB32-AC13)*10,1),"")</f>
        <v/>
      </c>
      <c r="AD23" s="6">
        <f>IF(AND(ISNUMBER(AC32),ISNUMBER(AD13)),ROUND((AC32-AD13)*10,1),"")</f>
        <v/>
      </c>
      <c r="AE23" s="6">
        <f>IF(AND(ISNUMBER(AD32),ISNUMBER(AE13)),ROUND((AD32-AE13)*10,1),"")</f>
        <v/>
      </c>
      <c r="AF23" s="6">
        <f>IF(AND(ISNUMBER(AE32),ISNUMBER(AF13)),ROUND((AE32-AF13)*10,1),"")</f>
        <v/>
      </c>
      <c r="AG23" s="6">
        <f>IF(AND(ISNUMBER(AF32),ISNUMBER(AG13)),ROUND((AF32-AG13)*10,1),"")</f>
        <v/>
      </c>
      <c r="AH23" s="6">
        <f>IF(AND(ISNUMBER(AG32),ISNUMBER(AH13)),ROUND((AG32-AH13)*10,1),"")</f>
        <v/>
      </c>
      <c r="AI23" s="6">
        <f>IF(AND(ISNUMBER(AH32),ISNUMBER(AI13)),ROUND((AH32-AI13)*10,1),"")</f>
        <v/>
      </c>
      <c r="AJ23" s="6">
        <f>IF(AND(ISNUMBER(AI32),ISNUMBER(AJ13)),ROUND((AI32-AJ13)*10,1),"")</f>
        <v/>
      </c>
      <c r="AK23" s="6">
        <f>IF(AND(ISNUMBER(AJ32),ISNUMBER(AK13)),ROUND((AJ32-AK13)*10,1),"")</f>
        <v/>
      </c>
      <c r="AL23" s="6">
        <f>IF(AND(ISNUMBER(AK32),ISNUMBER(AL13)),ROUND((AK32-AL13)*10,1),"")</f>
        <v/>
      </c>
      <c r="AM23" s="6">
        <f>IF(AND(ISNUMBER(AL32),ISNUMBER(AM13)),ROUND((AL32-AM13)*10,1),"")</f>
        <v/>
      </c>
      <c r="AN23" s="6">
        <f>IF(AND(ISNUMBER(AM32),ISNUMBER(AN13)),ROUND((AM32-AN13)*10,1),"")</f>
        <v/>
      </c>
      <c r="AO23" s="6">
        <f>IF(AND(ISNUMBER(AN32),ISNUMBER(AO13)),ROUND((AN32-AO13)*10,1),"")</f>
        <v/>
      </c>
      <c r="AP23" s="6">
        <f>IF(AND(ISNUMBER(AO32),ISNUMBER(AP13)),ROUND((AO32-AP13)*10,1),"")</f>
        <v/>
      </c>
      <c r="AQ23" s="6">
        <f>IF(AND(ISNUMBER(AP32),ISNUMBER(AQ13)),ROUND((AP32-AQ13)*10,1),"")</f>
        <v/>
      </c>
      <c r="AR23" s="6">
        <f>IF(AND(ISNUMBER(AQ32),ISNUMBER(AR13)),ROUND((AQ32-AR13)*10,1),"")</f>
        <v/>
      </c>
      <c r="AS23" s="6">
        <f>IF(AND(ISNUMBER(AR32),ISNUMBER(AS13)),ROUND((AR32-AS13)*10,1),"")</f>
        <v/>
      </c>
      <c r="AT23" s="6">
        <f>IF(AND(ISNUMBER(AS32),ISNUMBER(AT13)),ROUND((AS32-AT13)*10,1),"")</f>
        <v/>
      </c>
      <c r="AU23" s="6">
        <f>IF(AND(ISNUMBER(AT32),ISNUMBER(AU13)),ROUND((AT32-AU13)*10,1),"")</f>
        <v/>
      </c>
      <c r="AV23" s="6">
        <f>IF(AND(ISNUMBER(AU32),ISNUMBER(AV13)),ROUND((AU32-AV13)*10,1),"")</f>
        <v/>
      </c>
      <c r="AW23" s="6">
        <f>IF(AND(ISNUMBER(AV32),ISNUMBER(AW13)),ROUND((AV32-AW13)*10,1),"")</f>
        <v/>
      </c>
      <c r="AX23" s="6">
        <f>IF(AND(ISNUMBER(AW32),ISNUMBER(AX13)),ROUND((AW32-AX13)*10,1),"")</f>
        <v/>
      </c>
      <c r="AY23" s="6">
        <f>IF(AND(ISNUMBER(AX32),ISNUMBER(AY13)),ROUND((AX32-AY13)*10,1),"")</f>
        <v/>
      </c>
      <c r="AZ23" s="6">
        <f>IF(AND(ISNUMBER(AY32),ISNUMBER(AZ13)),ROUND((AY32-AZ13)*10,1),"")</f>
        <v/>
      </c>
      <c r="BA23" s="6">
        <f>IF(AND(ISNUMBER(AZ32),ISNUMBER(BA13)),ROUND((AZ32-BA13)*10,1),"")</f>
        <v/>
      </c>
      <c r="BB23" s="6">
        <f>IF(AND(ISNUMBER(BA32),ISNUMBER(BB13)),ROUND((BA32-BB13)*10,1),"")</f>
        <v/>
      </c>
      <c r="BC23" s="6">
        <f>IF(AND(ISNUMBER(BB32),ISNUMBER(BC13)),ROUND((BB32-BC13)*10,1),"")</f>
        <v/>
      </c>
      <c r="BD23" s="6">
        <f>IF(AND(ISNUMBER(BC32),ISNUMBER(BD13)),ROUND((BC32-BD13)*10,1),"")</f>
        <v/>
      </c>
      <c r="BE23" s="6">
        <f>IF(AND(ISNUMBER(BD32),ISNUMBER(BE13)),ROUND((BD32-BE13)*10,1),"")</f>
        <v/>
      </c>
      <c r="BF23" s="6">
        <f>IF(AND(ISNUMBER(BE32),ISNUMBER(BF13)),ROUND((BE32-BF13)*10,1),"")</f>
        <v/>
      </c>
      <c r="BG23" s="6">
        <f>IF(AND(ISNUMBER(BF32),ISNUMBER(BG13)),ROUND((BF32-BG13)*10,1),"")</f>
        <v/>
      </c>
      <c r="BH23" s="6">
        <f>IF(AND(ISNUMBER(BG32),ISNUMBER(BH13)),ROUND((BG32-BH13)*10,1),"")</f>
        <v/>
      </c>
      <c r="BI23" s="6">
        <f>IF(AND(ISNUMBER(BH32),ISNUMBER(BI13)),ROUND((BH32-BI13)*10,1),"")</f>
        <v/>
      </c>
      <c r="BJ23" s="6">
        <f>IF(AND(ISNUMBER(BI32),ISNUMBER(BJ13)),ROUND((BI32-BJ13)*10,1),"")</f>
        <v/>
      </c>
      <c r="BK23" s="6">
        <f>IF(AND(ISNUMBER(BJ32),ISNUMBER(BK13)),ROUND((BJ32-BK13)*10,1),"")</f>
        <v/>
      </c>
      <c r="BL23" s="6">
        <f>IF(AND(ISNUMBER(BK32),ISNUMBER(BL13)),ROUND((BK32-BL13)*10,1),"")</f>
        <v/>
      </c>
      <c r="BM23" s="6">
        <f>IF(AND(ISNUMBER(BL32),ISNUMBER(BM13)),ROUND((BL32-BM13)*10,1),"")</f>
        <v/>
      </c>
      <c r="BN23" s="6">
        <f>IF(AND(ISNUMBER(BM32),ISNUMBER(BN13)),ROUND((BM32-BN13)*10,1),"")</f>
        <v/>
      </c>
      <c r="BO23" s="6">
        <f>IF(AND(ISNUMBER(BN32),ISNUMBER(BO13)),ROUND((BN32-BO13)*10,1),"")</f>
        <v/>
      </c>
      <c r="BP23" s="6">
        <f>IF(AND(ISNUMBER(BO32),ISNUMBER(BP13)),ROUND((BO32-BP13)*10,1),"")</f>
        <v/>
      </c>
      <c r="BQ23" s="6">
        <f>IF(AND(ISNUMBER(BP32),ISNUMBER(BQ13)),ROUND((BP32-BQ13)*10,1),"")</f>
        <v/>
      </c>
      <c r="BR23" s="6">
        <f>IF(AND(ISNUMBER(BQ32),ISNUMBER(BR13)),ROUND((BQ32-BR13)*10,1),"")</f>
        <v/>
      </c>
      <c r="BS23" s="6">
        <f>IF(AND(ISNUMBER(BR32),ISNUMBER(BS13)),ROUND((BR32-BS13)*10,1),"")</f>
        <v/>
      </c>
      <c r="BT23" s="6">
        <f>IF(AND(ISNUMBER(BS32),ISNUMBER(BT13)),ROUND((BS32-BT13)*10,1),"")</f>
        <v/>
      </c>
      <c r="BU23" s="6">
        <f>IF(AND(ISNUMBER(BT32),ISNUMBER(BU13)),ROUND((BT32-BU13)*10,1),"")</f>
        <v/>
      </c>
      <c r="BV23" s="6">
        <f>IF(AND(ISNUMBER(BU32),ISNUMBER(BV13)),ROUND((BU32-BV13)*10,1),"")</f>
        <v/>
      </c>
      <c r="BW23" s="6">
        <f>IF(AND(ISNUMBER(BV32),ISNUMBER(BW13)),ROUND((BV32-BW13)*10,1),"")</f>
        <v/>
      </c>
      <c r="BX23" s="6">
        <f>IF(AND(ISNUMBER(BW32),ISNUMBER(BX13)),ROUND((BW32-BX13)*10,1),"")</f>
        <v/>
      </c>
      <c r="BY23" s="6">
        <f>IF(AND(ISNUMBER(BX32),ISNUMBER(BY13)),ROUND((BX32-BY13)*10,1),"")</f>
        <v/>
      </c>
      <c r="BZ23" s="6">
        <f>IF(AND(ISNUMBER(BY32),ISNUMBER(BZ13)),ROUND((BY32-BZ13)*10,1),"")</f>
        <v/>
      </c>
      <c r="CA23" s="6">
        <f>IF(AND(ISNUMBER(BZ32),ISNUMBER(CA13)),ROUND((BZ32-CA13)*10,1),"")</f>
        <v/>
      </c>
      <c r="CB23" s="6">
        <f>IF(AND(ISNUMBER(CA32),ISNUMBER(CB13)),ROUND((CA32-CB13)*10,1),"")</f>
        <v/>
      </c>
      <c r="CC23" s="6">
        <f>IF(AND(ISNUMBER(CB32),ISNUMBER(CC13)),ROUND((CB32-CC13)*10,1),"")</f>
        <v/>
      </c>
      <c r="CD23" s="6">
        <f>IF(AND(ISNUMBER(CC32),ISNUMBER(CD13)),ROUND((CC32-CD13)*10,1),"")</f>
        <v/>
      </c>
      <c r="CE23" s="6">
        <f>IF(AND(ISNUMBER(CD32),ISNUMBER(CE13)),ROUND((CD32-CE13)*10,1),"")</f>
        <v/>
      </c>
      <c r="CF23" s="6">
        <f>IF(AND(ISNUMBER(CE32),ISNUMBER(CF13)),ROUND((CE32-CF13)*10,1),"")</f>
        <v/>
      </c>
      <c r="CG23" s="6">
        <f>IF(AND(ISNUMBER(CF32),ISNUMBER(CG13)),ROUND((CF32-CG13)*10,1),"")</f>
        <v/>
      </c>
      <c r="CH23" s="6">
        <f>IF(AND(ISNUMBER(CG32),ISNUMBER(CH13)),ROUND((CG32-CH13)*10,1),"")</f>
        <v/>
      </c>
      <c r="CI23" s="6">
        <f>IF(AND(ISNUMBER(CH32),ISNUMBER(CI13)),ROUND((CH32-CI13)*10,1),"")</f>
        <v/>
      </c>
      <c r="CJ23" s="6">
        <f>IF(AND(ISNUMBER(CI32),ISNUMBER(CJ13)),ROUND((CI32-CJ13)*10,1),"")</f>
        <v/>
      </c>
      <c r="CK23" s="6">
        <f>IF(AND(ISNUMBER(CJ32),ISNUMBER(CK13)),ROUND((CJ32-CK13)*10,1),"")</f>
        <v/>
      </c>
      <c r="CL23" s="6">
        <f>IF(AND(ISNUMBER(CK32),ISNUMBER(CL13)),ROUND((CK32-CL13)*10,1),"")</f>
        <v/>
      </c>
      <c r="CM23" s="6">
        <f>IF(AND(ISNUMBER(CL32),ISNUMBER(CM13)),ROUND((CL32-CM13)*10,1),"")</f>
        <v/>
      </c>
      <c r="CN23" s="6">
        <f>IF(AND(ISNUMBER(CM32),ISNUMBER(CN13)),ROUND((CM32-CN13)*10,1),"")</f>
        <v/>
      </c>
      <c r="CO23" s="6">
        <f>IF(AND(ISNUMBER(CN32),ISNUMBER(CO13)),ROUND((CN32-CO13)*10,1),"")</f>
        <v/>
      </c>
      <c r="CP23" s="6">
        <f>IF(AND(ISNUMBER(CO32),ISNUMBER(CP13)),ROUND((CO32-CP13)*10,1),"")</f>
        <v/>
      </c>
      <c r="CQ23" s="6">
        <f>IF(AND(ISNUMBER(CP32),ISNUMBER(CQ13)),ROUND((CP32-CQ13)*10,1),"")</f>
        <v/>
      </c>
      <c r="CR23" s="6">
        <f>IF(AND(ISNUMBER(CQ32),ISNUMBER(CR13)),ROUND((CQ32-CR13)*10,1),"")</f>
        <v/>
      </c>
      <c r="CS23" s="6">
        <f>IF(AND(ISNUMBER(CR32),ISNUMBER(CS13)),ROUND((CR32-CS13)*10,1),"")</f>
        <v/>
      </c>
      <c r="CT23" s="6">
        <f>IF(AND(ISNUMBER(CS32),ISNUMBER(CT13)),ROUND((CS32-CT13)*10,1),"")</f>
        <v/>
      </c>
      <c r="CU23" s="6">
        <f>IF(AND(ISNUMBER(CT32),ISNUMBER(CU13)),ROUND((CT32-CU13)*10,1),"")</f>
        <v/>
      </c>
      <c r="CV23" s="6">
        <f>IF(AND(ISNUMBER(CU32),ISNUMBER(CV13)),ROUND((CU32-CV13)*10,1),"")</f>
        <v/>
      </c>
      <c r="CW23" s="6">
        <f>IF(AND(ISNUMBER(CV32),ISNUMBER(CW13)),ROUND((CV32-CW13)*10,1),"")</f>
        <v/>
      </c>
      <c r="CX23" s="6">
        <f>IF(AND(ISNUMBER(CW32),ISNUMBER(CX13)),ROUND((CW32-CX13)*10,1),"")</f>
        <v/>
      </c>
      <c r="CY23" s="6">
        <f>IF(AND(ISNUMBER(CX32),ISNUMBER(CY13)),ROUND((CX32-CY13)*10,1),"")</f>
        <v/>
      </c>
      <c r="CZ23" s="6">
        <f>IF(AND(ISNUMBER(CY32),ISNUMBER(CZ13)),ROUND((CY32-CZ13)*10,1),"")</f>
        <v/>
      </c>
      <c r="DA23" s="6">
        <f>IF(AND(ISNUMBER(CZ32),ISNUMBER(DA13)),ROUND((CZ32-DA13)*10,1),"")</f>
        <v/>
      </c>
      <c r="DB23" s="6">
        <f>IF(AND(ISNUMBER(DA32),ISNUMBER(DB13)),ROUND((DA32-DB13)*10,1),"")</f>
        <v/>
      </c>
      <c r="DC23" s="6">
        <f>IF(AND(ISNUMBER(DB32),ISNUMBER(DC13)),ROUND((DB32-DC13)*10,1),"")</f>
        <v/>
      </c>
      <c r="DD23" s="6">
        <f>IF(AND(ISNUMBER(DC32),ISNUMBER(DD13)),ROUND((DC32-DD13)*10,1),"")</f>
        <v/>
      </c>
      <c r="DE23" s="6">
        <f>IF(AND(ISNUMBER(DD32),ISNUMBER(DE13)),ROUND((DD32-DE13)*10,1),"")</f>
        <v/>
      </c>
      <c r="DF23" s="6">
        <f>IF(AND(ISNUMBER(DE32),ISNUMBER(DF13)),ROUND((DE32-DF13)*10,1),"")</f>
        <v/>
      </c>
      <c r="DG23" s="6">
        <f>IF(AND(ISNUMBER(DF32),ISNUMBER(DG13)),ROUND((DF32-DG13)*10,1),"")</f>
        <v/>
      </c>
      <c r="DH23" s="6">
        <f>IF(AND(ISNUMBER(DG32),ISNUMBER(DH13)),ROUND((DG32-DH13)*10,1),"")</f>
        <v/>
      </c>
      <c r="DI23" s="6">
        <f>IF(AND(ISNUMBER(DH32),ISNUMBER(DI13)),ROUND((DH32-DI13)*10,1),"")</f>
        <v/>
      </c>
      <c r="DJ23" s="6">
        <f>IF(AND(ISNUMBER(DI32),ISNUMBER(DJ13)),ROUND((DI32-DJ13)*10,1),"")</f>
        <v/>
      </c>
      <c r="DK23" s="6">
        <f>IF(AND(ISNUMBER(DJ32),ISNUMBER(DK13)),ROUND((DJ32-DK13)*10,1),"")</f>
        <v/>
      </c>
      <c r="DL23" s="6">
        <f>IF(AND(ISNUMBER(DK32),ISNUMBER(DL13)),ROUND((DK32-DL13)*10,1),"")</f>
        <v/>
      </c>
      <c r="DM23" s="6">
        <f>IF(AND(ISNUMBER(DL32),ISNUMBER(DM13)),ROUND((DL32-DM13)*10,1),"")</f>
        <v/>
      </c>
      <c r="DN23" s="6">
        <f>IF(AND(ISNUMBER(DM32),ISNUMBER(DN13)),ROUND((DM32-DN13)*10,1),"")</f>
        <v/>
      </c>
      <c r="DO23" s="6">
        <f>IF(AND(ISNUMBER(DN32),ISNUMBER(DO13)),ROUND((DN32-DO13)*10,1),"")</f>
        <v/>
      </c>
      <c r="DP23" s="6">
        <f>IF(AND(ISNUMBER(DO32),ISNUMBER(DP13)),ROUND((DO32-DP13)*10,1),"")</f>
        <v/>
      </c>
      <c r="DQ23" s="6">
        <f>IF(AND(ISNUMBER(DP32),ISNUMBER(DQ13)),ROUND((DP32-DQ13)*10,1),"")</f>
        <v/>
      </c>
      <c r="DR23" s="6">
        <f>IF(AND(ISNUMBER(DQ32),ISNUMBER(DR13)),ROUND((DQ32-DR13)*10,1),"")</f>
        <v/>
      </c>
      <c r="DS23" s="6">
        <f>IF(AND(ISNUMBER(DR32),ISNUMBER(DS13)),ROUND((DR32-DS13)*10,1),"")</f>
        <v/>
      </c>
      <c r="DT23" s="6">
        <f>IF(AND(ISNUMBER(DS32),ISNUMBER(DT13)),ROUND((DS32-DT13)*10,1),"")</f>
        <v/>
      </c>
      <c r="DU23" s="6">
        <f>IF(AND(ISNUMBER(DT32),ISNUMBER(DU13)),ROUND((DT32-DU13)*10,1),"")</f>
        <v/>
      </c>
      <c r="DV23" s="6">
        <f>IF(AND(ISNUMBER(DU32),ISNUMBER(DV13)),ROUND((DU32-DV13)*10,1),"")</f>
        <v/>
      </c>
      <c r="DW23" s="6">
        <f>IF(AND(ISNUMBER(DV32),ISNUMBER(DW13)),ROUND((DV32-DW13)*10,1),"")</f>
        <v/>
      </c>
      <c r="DX23" s="6">
        <f>IF(AND(ISNUMBER(DW32),ISNUMBER(DX13)),ROUND((DW32-DX13)*10,1),"")</f>
        <v/>
      </c>
      <c r="DY23" s="6">
        <f>IF(AND(ISNUMBER(DX32),ISNUMBER(DY13)),ROUND((DX32-DY13)*10,1),"")</f>
        <v/>
      </c>
      <c r="DZ23" s="6">
        <f>IF(AND(ISNUMBER(DY32),ISNUMBER(DZ13)),ROUND((DY32-DZ13)*10,1),"")</f>
        <v/>
      </c>
      <c r="EA23" s="6">
        <f>IF(AND(ISNUMBER(DZ32),ISNUMBER(EA13)),ROUND((DZ32-EA13)*10,1),"")</f>
        <v/>
      </c>
      <c r="EB23" s="6">
        <f>IF(AND(ISNUMBER(EA32),ISNUMBER(EB13)),ROUND((EA32-EB13)*10,1),"")</f>
        <v/>
      </c>
      <c r="EC23" s="6">
        <f>IF(AND(ISNUMBER(EB32),ISNUMBER(EC13)),ROUND((EB32-EC13)*10,1),"")</f>
        <v/>
      </c>
      <c r="ED23" s="6">
        <f>IF(AND(ISNUMBER(EC32),ISNUMBER(ED13)),ROUND((EC32-ED13)*10,1),"")</f>
        <v/>
      </c>
      <c r="EE23" s="6">
        <f>IF(AND(ISNUMBER(ED32),ISNUMBER(EE13)),ROUND((ED32-EE13)*10,1),"")</f>
        <v/>
      </c>
      <c r="EF23" s="6">
        <f>IF(AND(ISNUMBER(EE32),ISNUMBER(EF13)),ROUND((EE32-EF13)*10,1),"")</f>
        <v/>
      </c>
      <c r="EG23" s="6">
        <f>IF(AND(ISNUMBER(EF32),ISNUMBER(EG13)),ROUND((EF32-EG13)*10,1),"")</f>
        <v/>
      </c>
      <c r="EH23" s="6">
        <f>IF(AND(ISNUMBER(EG32),ISNUMBER(EH13)),ROUND((EG32-EH13)*10,1),"")</f>
        <v/>
      </c>
      <c r="EI23" s="6">
        <f>IF(AND(ISNUMBER(EH32),ISNUMBER(EI13)),ROUND((EH32-EI13)*10,1),"")</f>
        <v/>
      </c>
      <c r="EJ23" s="6">
        <f>IF(AND(ISNUMBER(EI32),ISNUMBER(EJ13)),ROUND((EI32-EJ13)*10,1),"")</f>
        <v/>
      </c>
      <c r="EK23" s="6">
        <f>IF(AND(ISNUMBER(EJ32),ISNUMBER(EK13)),ROUND((EJ32-EK13)*10,1),"")</f>
        <v/>
      </c>
      <c r="EL23" s="6">
        <f>IF(AND(ISNUMBER(EK32),ISNUMBER(EL13)),ROUND((EK32-EL13)*10,1),"")</f>
        <v/>
      </c>
      <c r="EM23" s="6">
        <f>IF(AND(ISNUMBER(EL32),ISNUMBER(EM13)),ROUND((EL32-EM13)*10,1),"")</f>
        <v/>
      </c>
      <c r="EN23" s="6">
        <f>IF(AND(ISNUMBER(EM32),ISNUMBER(EN13)),ROUND((EM32-EN13)*10,1),"")</f>
        <v/>
      </c>
      <c r="EO23" s="6">
        <f>IF(AND(ISNUMBER(EN32),ISNUMBER(EO13)),ROUND((EN32-EO13)*10,1),"")</f>
        <v/>
      </c>
      <c r="EP23" s="6">
        <f>IF(AND(ISNUMBER(EO32),ISNUMBER(EP13)),ROUND((EO32-EP13)*10,1),"")</f>
        <v/>
      </c>
      <c r="EQ23" s="6">
        <f>IF(AND(ISNUMBER(EP32),ISNUMBER(EQ13)),ROUND((EP32-EQ13)*10,1),"")</f>
        <v/>
      </c>
      <c r="ER23" s="6">
        <f>IF(AND(ISNUMBER(EQ32),ISNUMBER(ER13)),ROUND((EQ32-ER13)*10,1),"")</f>
        <v/>
      </c>
      <c r="ES23" s="6">
        <f>IF(AND(ISNUMBER(ER32),ISNUMBER(ES13)),ROUND((ER32-ES13)*10,1),"")</f>
        <v/>
      </c>
      <c r="ET23" s="6">
        <f>IF(AND(ISNUMBER(ES32),ISNUMBER(ET13)),ROUND((ES32-ET13)*10,1),"")</f>
        <v/>
      </c>
      <c r="EU23" s="6">
        <f>IF(AND(ISNUMBER(ET32),ISNUMBER(EU13)),ROUND((ET32-EU13)*10,1),"")</f>
        <v/>
      </c>
      <c r="EV23" s="6">
        <f>IF(AND(ISNUMBER(EU32),ISNUMBER(EV13)),ROUND((EU32-EV13)*10,1),"")</f>
        <v/>
      </c>
      <c r="EW23" s="6">
        <f>IF(AND(ISNUMBER(EV32),ISNUMBER(EW13)),ROUND((EV32-EW13)*10,1),"")</f>
        <v/>
      </c>
      <c r="EX23" s="6">
        <f>IF(AND(ISNUMBER(EW32),ISNUMBER(EX13)),ROUND((EW32-EX13)*10,1),"")</f>
        <v/>
      </c>
      <c r="EY23" s="6">
        <f>IF(AND(ISNUMBER(EX32),ISNUMBER(EY13)),ROUND((EX32-EY13)*10,1),"")</f>
        <v/>
      </c>
      <c r="EZ23" s="6">
        <f>IF(AND(ISNUMBER(EY32),ISNUMBER(EZ13)),ROUND((EY32-EZ13)*10,1),"")</f>
        <v/>
      </c>
      <c r="FA23" s="6">
        <f>IF(AND(ISNUMBER(EZ32),ISNUMBER(FA13)),ROUND((EZ32-FA13)*10,1),"")</f>
        <v/>
      </c>
      <c r="FB23" s="6">
        <f>IF(AND(ISNUMBER(FA32),ISNUMBER(FB13)),ROUND((FA32-FB13)*10,1),"")</f>
        <v/>
      </c>
      <c r="FC23" s="6">
        <f>IF(AND(ISNUMBER(FB32),ISNUMBER(FC13)),ROUND((FB32-FC13)*10,1),"")</f>
        <v/>
      </c>
      <c r="FD23" s="6">
        <f>IF(AND(ISNUMBER(FC32),ISNUMBER(FD13)),ROUND((FC32-FD13)*10,1),"")</f>
        <v/>
      </c>
      <c r="FE23" s="6">
        <f>IF(AND(ISNUMBER(FD32),ISNUMBER(FE13)),ROUND((FD32-FE13)*10,1),"")</f>
        <v/>
      </c>
      <c r="FF23" s="6">
        <f>IF(AND(ISNUMBER(FE32),ISNUMBER(FF13)),ROUND((FE32-FF13)*10,1),"")</f>
        <v/>
      </c>
      <c r="FG23" s="6">
        <f>IF(AND(ISNUMBER(FF32),ISNUMBER(FG13)),ROUND((FF32-FG13)*10,1),"")</f>
        <v/>
      </c>
      <c r="FH23" s="6">
        <f>IF(AND(ISNUMBER(FG32),ISNUMBER(FH13)),ROUND((FG32-FH13)*10,1),"")</f>
        <v/>
      </c>
      <c r="FI23" s="6">
        <f>IF(AND(ISNUMBER(FH32),ISNUMBER(FI13)),ROUND((FH32-FI13)*10,1),"")</f>
        <v/>
      </c>
      <c r="FJ23" s="6">
        <f>IF(AND(ISNUMBER(FI32),ISNUMBER(FJ13)),ROUND((FI32-FJ13)*10,1),"")</f>
        <v/>
      </c>
      <c r="FK23" s="6">
        <f>IF(AND(ISNUMBER(FJ32),ISNUMBER(FK13)),ROUND((FJ32-FK13)*10,1),"")</f>
        <v/>
      </c>
      <c r="FL23" s="6">
        <f>IF(AND(ISNUMBER(FK32),ISNUMBER(FL13)),ROUND((FK32-FL13)*10,1),"")</f>
        <v/>
      </c>
      <c r="FM23" s="6">
        <f>IF(AND(ISNUMBER(FL32),ISNUMBER(FM13)),ROUND((FL32-FM13)*10,1),"")</f>
        <v/>
      </c>
      <c r="FN23" s="6">
        <f>IF(AND(ISNUMBER(FM32),ISNUMBER(FN13)),ROUND((FM32-FN13)*10,1),"")</f>
        <v/>
      </c>
      <c r="FO23" s="6">
        <f>IF(AND(ISNUMBER(FN32),ISNUMBER(FO13)),ROUND((FN32-FO13)*10,1),"")</f>
        <v/>
      </c>
      <c r="FP23" s="6">
        <f>IF(AND(ISNUMBER(FO32),ISNUMBER(FP13)),ROUND((FO32-FP13)*10,1),"")</f>
        <v/>
      </c>
      <c r="FQ23" s="6">
        <f>IF(AND(ISNUMBER(FP32),ISNUMBER(FQ13)),ROUND((FP32-FQ13)*10,1),"")</f>
        <v/>
      </c>
    </row>
    <row r="24">
      <c r="A24" s="25" t="inlineStr">
        <is>
          <t>FP</t>
        </is>
      </c>
      <c r="B24" s="24" t="inlineStr">
        <is>
          <t>Field condition / মাঠের অবস্থা</t>
        </is>
      </c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 t="n"/>
      <c r="EG24" s="22" t="n"/>
      <c r="EH24" s="22" t="n"/>
      <c r="EI24" s="22" t="n"/>
      <c r="EJ24" s="22" t="n"/>
      <c r="EK24" s="22" t="n"/>
      <c r="EL24" s="22" t="n"/>
      <c r="EM24" s="22" t="n"/>
      <c r="EN24" s="22" t="n"/>
      <c r="EO24" s="22" t="n"/>
      <c r="EP24" s="22" t="n"/>
      <c r="EQ24" s="22" t="n"/>
      <c r="ER24" s="22" t="n"/>
      <c r="ES24" s="22" t="n"/>
      <c r="ET24" s="22" t="n"/>
      <c r="EU24" s="22" t="n"/>
      <c r="EV24" s="22" t="n"/>
      <c r="EW24" s="22" t="n"/>
      <c r="EX24" s="22" t="n"/>
      <c r="EY24" s="22" t="n"/>
      <c r="EZ24" s="22" t="n"/>
      <c r="FA24" s="22" t="n"/>
      <c r="FB24" s="22" t="n"/>
      <c r="FC24" s="22" t="n"/>
      <c r="FD24" s="22" t="n"/>
      <c r="FE24" s="22" t="n"/>
      <c r="FF24" s="22" t="n"/>
      <c r="FG24" s="22" t="n"/>
      <c r="FH24" s="22" t="n"/>
      <c r="FI24" s="22" t="n"/>
      <c r="FJ24" s="22" t="n"/>
      <c r="FK24" s="22" t="n"/>
      <c r="FL24" s="22" t="n"/>
      <c r="FM24" s="22" t="n"/>
      <c r="FN24" s="22" t="n"/>
      <c r="FO24" s="22" t="n"/>
      <c r="FP24" s="22" t="n"/>
      <c r="FQ24" s="22" t="n"/>
    </row>
    <row r="25">
      <c r="A25" s="25" t="inlineStr">
        <is>
          <t>FP</t>
        </is>
      </c>
      <c r="B25" s="24" t="inlineStr">
        <is>
          <t>Condition / অবস্থা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 t="n"/>
      <c r="EG25" s="22" t="n"/>
      <c r="EH25" s="22" t="n"/>
      <c r="EI25" s="22" t="n"/>
      <c r="EJ25" s="22" t="n"/>
      <c r="EK25" s="22" t="n"/>
      <c r="EL25" s="22" t="n"/>
      <c r="EM25" s="22" t="n"/>
      <c r="EN25" s="22" t="n"/>
      <c r="EO25" s="22" t="n"/>
      <c r="EP25" s="22" t="n"/>
      <c r="EQ25" s="22" t="n"/>
      <c r="ER25" s="22" t="n"/>
      <c r="ES25" s="22" t="n"/>
      <c r="ET25" s="22" t="n"/>
      <c r="EU25" s="22" t="n"/>
      <c r="EV25" s="22" t="n"/>
      <c r="EW25" s="22" t="n"/>
      <c r="EX25" s="22" t="n"/>
      <c r="EY25" s="22" t="n"/>
      <c r="EZ25" s="22" t="n"/>
      <c r="FA25" s="22" t="n"/>
      <c r="FB25" s="22" t="n"/>
      <c r="FC25" s="22" t="n"/>
      <c r="FD25" s="22" t="n"/>
      <c r="FE25" s="22" t="n"/>
      <c r="FF25" s="22" t="n"/>
      <c r="FG25" s="22" t="n"/>
      <c r="FH25" s="22" t="n"/>
      <c r="FI25" s="22" t="n"/>
      <c r="FJ25" s="22" t="n"/>
      <c r="FK25" s="22" t="n"/>
      <c r="FL25" s="22" t="n"/>
      <c r="FM25" s="22" t="n"/>
      <c r="FN25" s="22" t="n"/>
      <c r="FO25" s="22" t="n"/>
      <c r="FP25" s="22" t="n"/>
      <c r="FQ25" s="22" t="n"/>
    </row>
    <row r="26">
      <c r="A26" s="25" t="inlineStr">
        <is>
          <t>FP</t>
        </is>
      </c>
      <c r="B26" s="24" t="inlineStr">
        <is>
          <t>Farmer (land owner) min / কৃষকের সময় (মিনিট)</t>
        </is>
      </c>
      <c r="C26" s="4">
        <f>SUM($D$26:$FQ$26)</f>
        <v/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 t="n"/>
      <c r="EG26" s="22" t="n"/>
      <c r="EH26" s="22" t="n"/>
      <c r="EI26" s="22" t="n"/>
      <c r="EJ26" s="22" t="n"/>
      <c r="EK26" s="22" t="n"/>
      <c r="EL26" s="22" t="n"/>
      <c r="EM26" s="22" t="n"/>
      <c r="EN26" s="22" t="n"/>
      <c r="EO26" s="22" t="n"/>
      <c r="EP26" s="22" t="n"/>
      <c r="EQ26" s="22" t="n"/>
      <c r="ER26" s="22" t="n"/>
      <c r="ES26" s="22" t="n"/>
      <c r="ET26" s="22" t="n"/>
      <c r="EU26" s="22" t="n"/>
      <c r="EV26" s="22" t="n"/>
      <c r="EW26" s="22" t="n"/>
      <c r="EX26" s="22" t="n"/>
      <c r="EY26" s="22" t="n"/>
      <c r="EZ26" s="22" t="n"/>
      <c r="FA26" s="22" t="n"/>
      <c r="FB26" s="22" t="n"/>
      <c r="FC26" s="22" t="n"/>
      <c r="FD26" s="22" t="n"/>
      <c r="FE26" s="22" t="n"/>
      <c r="FF26" s="22" t="n"/>
      <c r="FG26" s="22" t="n"/>
      <c r="FH26" s="22" t="n"/>
      <c r="FI26" s="22" t="n"/>
      <c r="FJ26" s="22" t="n"/>
      <c r="FK26" s="22" t="n"/>
      <c r="FL26" s="22" t="n"/>
      <c r="FM26" s="22" t="n"/>
      <c r="FN26" s="22" t="n"/>
      <c r="FO26" s="22" t="n"/>
      <c r="FP26" s="22" t="n"/>
      <c r="FQ26" s="22" t="n"/>
    </row>
    <row r="27">
      <c r="A27" s="25" t="inlineStr">
        <is>
          <t>FP</t>
        </is>
      </c>
      <c r="B27" s="24" t="inlineStr">
        <is>
          <t>Farmer work contents / কৃষকের কাজ</t>
        </is>
      </c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 t="n"/>
      <c r="EG27" s="22" t="n"/>
      <c r="EH27" s="22" t="n"/>
      <c r="EI27" s="22" t="n"/>
      <c r="EJ27" s="22" t="n"/>
      <c r="EK27" s="22" t="n"/>
      <c r="EL27" s="22" t="n"/>
      <c r="EM27" s="22" t="n"/>
      <c r="EN27" s="22" t="n"/>
      <c r="EO27" s="22" t="n"/>
      <c r="EP27" s="22" t="n"/>
      <c r="EQ27" s="22" t="n"/>
      <c r="ER27" s="22" t="n"/>
      <c r="ES27" s="22" t="n"/>
      <c r="ET27" s="22" t="n"/>
      <c r="EU27" s="22" t="n"/>
      <c r="EV27" s="22" t="n"/>
      <c r="EW27" s="22" t="n"/>
      <c r="EX27" s="22" t="n"/>
      <c r="EY27" s="22" t="n"/>
      <c r="EZ27" s="22" t="n"/>
      <c r="FA27" s="22" t="n"/>
      <c r="FB27" s="22" t="n"/>
      <c r="FC27" s="22" t="n"/>
      <c r="FD27" s="22" t="n"/>
      <c r="FE27" s="22" t="n"/>
      <c r="FF27" s="22" t="n"/>
      <c r="FG27" s="22" t="n"/>
      <c r="FH27" s="22" t="n"/>
      <c r="FI27" s="22" t="n"/>
      <c r="FJ27" s="22" t="n"/>
      <c r="FK27" s="22" t="n"/>
      <c r="FL27" s="22" t="n"/>
      <c r="FM27" s="22" t="n"/>
      <c r="FN27" s="22" t="n"/>
      <c r="FO27" s="22" t="n"/>
      <c r="FP27" s="22" t="n"/>
      <c r="FQ27" s="22" t="n"/>
    </row>
    <row r="28">
      <c r="A28" s="25" t="inlineStr">
        <is>
          <t>FP</t>
        </is>
      </c>
      <c r="B28" s="24" t="inlineStr">
        <is>
          <t>Labour BDT / শ্রমিক (টাকা)</t>
        </is>
      </c>
      <c r="C28" s="4">
        <f>SUM($D$28:$FQ$28)</f>
        <v/>
      </c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 t="n"/>
      <c r="EG28" s="22" t="n"/>
      <c r="EH28" s="22" t="n"/>
      <c r="EI28" s="22" t="n"/>
      <c r="EJ28" s="22" t="n"/>
      <c r="EK28" s="22" t="n"/>
      <c r="EL28" s="22" t="n"/>
      <c r="EM28" s="22" t="n"/>
      <c r="EN28" s="22" t="n"/>
      <c r="EO28" s="22" t="n"/>
      <c r="EP28" s="22" t="n"/>
      <c r="EQ28" s="22" t="n"/>
      <c r="ER28" s="22" t="n"/>
      <c r="ES28" s="22" t="n"/>
      <c r="ET28" s="22" t="n"/>
      <c r="EU28" s="22" t="n"/>
      <c r="EV28" s="22" t="n"/>
      <c r="EW28" s="22" t="n"/>
      <c r="EX28" s="22" t="n"/>
      <c r="EY28" s="22" t="n"/>
      <c r="EZ28" s="22" t="n"/>
      <c r="FA28" s="22" t="n"/>
      <c r="FB28" s="22" t="n"/>
      <c r="FC28" s="22" t="n"/>
      <c r="FD28" s="22" t="n"/>
      <c r="FE28" s="22" t="n"/>
      <c r="FF28" s="22" t="n"/>
      <c r="FG28" s="22" t="n"/>
      <c r="FH28" s="22" t="n"/>
      <c r="FI28" s="22" t="n"/>
      <c r="FJ28" s="22" t="n"/>
      <c r="FK28" s="22" t="n"/>
      <c r="FL28" s="22" t="n"/>
      <c r="FM28" s="22" t="n"/>
      <c r="FN28" s="22" t="n"/>
      <c r="FO28" s="22" t="n"/>
      <c r="FP28" s="22" t="n"/>
      <c r="FQ28" s="22" t="n"/>
    </row>
    <row r="29">
      <c r="A29" s="25" t="inlineStr">
        <is>
          <t>FP</t>
        </is>
      </c>
      <c r="B29" s="24" t="inlineStr">
        <is>
          <t>Labour work contents / শ্রমিকের কাজ</t>
        </is>
      </c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 t="n"/>
      <c r="EG29" s="22" t="n"/>
      <c r="EH29" s="22" t="n"/>
      <c r="EI29" s="22" t="n"/>
      <c r="EJ29" s="22" t="n"/>
      <c r="EK29" s="22" t="n"/>
      <c r="EL29" s="22" t="n"/>
      <c r="EM29" s="22" t="n"/>
      <c r="EN29" s="22" t="n"/>
      <c r="EO29" s="22" t="n"/>
      <c r="EP29" s="22" t="n"/>
      <c r="EQ29" s="22" t="n"/>
      <c r="ER29" s="22" t="n"/>
      <c r="ES29" s="22" t="n"/>
      <c r="ET29" s="22" t="n"/>
      <c r="EU29" s="22" t="n"/>
      <c r="EV29" s="22" t="n"/>
      <c r="EW29" s="22" t="n"/>
      <c r="EX29" s="22" t="n"/>
      <c r="EY29" s="22" t="n"/>
      <c r="EZ29" s="22" t="n"/>
      <c r="FA29" s="22" t="n"/>
      <c r="FB29" s="22" t="n"/>
      <c r="FC29" s="22" t="n"/>
      <c r="FD29" s="22" t="n"/>
      <c r="FE29" s="22" t="n"/>
      <c r="FF29" s="22" t="n"/>
      <c r="FG29" s="22" t="n"/>
      <c r="FH29" s="22" t="n"/>
      <c r="FI29" s="22" t="n"/>
      <c r="FJ29" s="22" t="n"/>
      <c r="FK29" s="22" t="n"/>
      <c r="FL29" s="22" t="n"/>
      <c r="FM29" s="22" t="n"/>
      <c r="FN29" s="22" t="n"/>
      <c r="FO29" s="22" t="n"/>
      <c r="FP29" s="22" t="n"/>
      <c r="FQ29" s="22" t="n"/>
    </row>
    <row r="30">
      <c r="A30" s="25" t="inlineStr">
        <is>
          <t>FP</t>
        </is>
      </c>
      <c r="B30" s="24" t="inlineStr">
        <is>
          <t>Check / পরীক্ষা</t>
        </is>
      </c>
      <c r="D30" s="26">
        <f>IF(D1="","",IF(AND(ISNUMBER(D13),OR(D13&lt;-30,D13&gt;20)),"WL out of range; ","")&amp;IF(AND(ISNUMBER(D12),D13=""),"no TP/b; ","")&amp;IF(AND(ISNUMBER(D19),ISNUMBER(D20)),IF(D20&lt;D19,"After&lt;Before; ",""),"")&amp;IF(AND(ISNUMBER(D12),ISNUMBER(D16)&lt;&gt;ISNUMBER(D17)),"irrigation readings missing; ","")&amp;IF(ISNUMBER(D23),IF(AND(ABS(D23)&gt;50,NOT(N(D8)&gt;0)),"WL jump &gt;5 cm; ",""),""))</f>
        <v/>
      </c>
      <c r="E30" s="26">
        <f>IF(E1="","",IF(AND(ISNUMBER(E13),OR(E13&lt;-30,E13&gt;20)),"WL out of range; ","")&amp;IF(AND(ISNUMBER(E12),E13=""),"no TP/b; ","")&amp;IF(AND(ISNUMBER(E19),ISNUMBER(E20)),IF(E20&lt;E19,"After&lt;Before; ",""),"")&amp;IF(AND(ISNUMBER(E12),ISNUMBER(E16)&lt;&gt;ISNUMBER(E17)),"irrigation readings missing; ","")&amp;IF(ISNUMBER(E23),IF(AND(ABS(E23)&gt;50,NOT(N(E8)&gt;0)),"WL jump &gt;5 cm; ",""),""))</f>
        <v/>
      </c>
      <c r="F30" s="26">
        <f>IF(F1="","",IF(AND(ISNUMBER(F13),OR(F13&lt;-30,F13&gt;20)),"WL out of range; ","")&amp;IF(AND(ISNUMBER(F12),F13=""),"no TP/b; ","")&amp;IF(AND(ISNUMBER(F19),ISNUMBER(F20)),IF(F20&lt;F19,"After&lt;Before; ",""),"")&amp;IF(AND(ISNUMBER(F12),ISNUMBER(F16)&lt;&gt;ISNUMBER(F17)),"irrigation readings missing; ","")&amp;IF(ISNUMBER(F23),IF(AND(ABS(F23)&gt;50,NOT(N(F8)&gt;0)),"WL jump &gt;5 cm; ",""),""))</f>
        <v/>
      </c>
      <c r="G30" s="26">
        <f>IF(G1="","",IF(AND(ISNUMBER(G13),OR(G13&lt;-30,G13&gt;20)),"WL out of range; ","")&amp;IF(AND(ISNUMBER(G12),G13=""),"no TP/b; ","")&amp;IF(AND(ISNUMBER(G19),ISNUMBER(G20)),IF(G20&lt;G19,"After&lt;Before; ",""),"")&amp;IF(AND(ISNUMBER(G12),ISNUMBER(G16)&lt;&gt;ISNUMBER(G17)),"irrigation readings missing; ","")&amp;IF(ISNUMBER(G23),IF(AND(ABS(G23)&gt;50,NOT(N(G8)&gt;0)),"WL jump &gt;5 cm; ",""),""))</f>
        <v/>
      </c>
      <c r="H30" s="26">
        <f>IF(H1="","",IF(AND(ISNUMBER(H13),OR(H13&lt;-30,H13&gt;20)),"WL out of range; ","")&amp;IF(AND(ISNUMBER(H12),H13=""),"no TP/b; ","")&amp;IF(AND(ISNUMBER(H19),ISNUMBER(H20)),IF(H20&lt;H19,"After&lt;Before; ",""),"")&amp;IF(AND(ISNUMBER(H12),ISNUMBER(H16)&lt;&gt;ISNUMBER(H17)),"irrigation readings missing; ","")&amp;IF(ISNUMBER(H23),IF(AND(ABS(H23)&gt;50,NOT(N(H8)&gt;0)),"WL jump &gt;5 cm; ",""),""))</f>
        <v/>
      </c>
      <c r="I30" s="26">
        <f>IF(I1="","",IF(AND(ISNUMBER(I13),OR(I13&lt;-30,I13&gt;20)),"WL out of range; ","")&amp;IF(AND(ISNUMBER(I12),I13=""),"no TP/b; ","")&amp;IF(AND(ISNUMBER(I19),ISNUMBER(I20)),IF(I20&lt;I19,"After&lt;Before; ",""),"")&amp;IF(AND(ISNUMBER(I12),ISNUMBER(I16)&lt;&gt;ISNUMBER(I17)),"irrigation readings missing; ","")&amp;IF(ISNUMBER(I23),IF(AND(ABS(I23)&gt;50,NOT(N(I8)&gt;0)),"WL jump &gt;5 cm; ",""),""))</f>
        <v/>
      </c>
      <c r="J30" s="26">
        <f>IF(J1="","",IF(AND(ISNUMBER(J13),OR(J13&lt;-30,J13&gt;20)),"WL out of range; ","")&amp;IF(AND(ISNUMBER(J12),J13=""),"no TP/b; ","")&amp;IF(AND(ISNUMBER(J19),ISNUMBER(J20)),IF(J20&lt;J19,"After&lt;Before; ",""),"")&amp;IF(AND(ISNUMBER(J12),ISNUMBER(J16)&lt;&gt;ISNUMBER(J17)),"irrigation readings missing; ","")&amp;IF(ISNUMBER(J23),IF(AND(ABS(J23)&gt;50,NOT(N(J8)&gt;0)),"WL jump &gt;5 cm; ",""),""))</f>
        <v/>
      </c>
      <c r="K30" s="26">
        <f>IF(K1="","",IF(AND(ISNUMBER(K13),OR(K13&lt;-30,K13&gt;20)),"WL out of range; ","")&amp;IF(AND(ISNUMBER(K12),K13=""),"no TP/b; ","")&amp;IF(AND(ISNUMBER(K19),ISNUMBER(K20)),IF(K20&lt;K19,"After&lt;Before; ",""),"")&amp;IF(AND(ISNUMBER(K12),ISNUMBER(K16)&lt;&gt;ISNUMBER(K17)),"irrigation readings missing; ","")&amp;IF(ISNUMBER(K23),IF(AND(ABS(K23)&gt;50,NOT(N(K8)&gt;0)),"WL jump &gt;5 cm; ",""),""))</f>
        <v/>
      </c>
      <c r="L30" s="26">
        <f>IF(L1="","",IF(AND(ISNUMBER(L13),OR(L13&lt;-30,L13&gt;20)),"WL out of range; ","")&amp;IF(AND(ISNUMBER(L12),L13=""),"no TP/b; ","")&amp;IF(AND(ISNUMBER(L19),ISNUMBER(L20)),IF(L20&lt;L19,"After&lt;Before; ",""),"")&amp;IF(AND(ISNUMBER(L12),ISNUMBER(L16)&lt;&gt;ISNUMBER(L17)),"irrigation readings missing; ","")&amp;IF(ISNUMBER(L23),IF(AND(ABS(L23)&gt;50,NOT(N(L8)&gt;0)),"WL jump &gt;5 cm; ",""),""))</f>
        <v/>
      </c>
      <c r="M30" s="26">
        <f>IF(M1="","",IF(AND(ISNUMBER(M13),OR(M13&lt;-30,M13&gt;20)),"WL out of range; ","")&amp;IF(AND(ISNUMBER(M12),M13=""),"no TP/b; ","")&amp;IF(AND(ISNUMBER(M19),ISNUMBER(M20)),IF(M20&lt;M19,"After&lt;Before; ",""),"")&amp;IF(AND(ISNUMBER(M12),ISNUMBER(M16)&lt;&gt;ISNUMBER(M17)),"irrigation readings missing; ","")&amp;IF(ISNUMBER(M23),IF(AND(ABS(M23)&gt;50,NOT(N(M8)&gt;0)),"WL jump &gt;5 cm; ",""),""))</f>
        <v/>
      </c>
      <c r="N30" s="26">
        <f>IF(N1="","",IF(AND(ISNUMBER(N13),OR(N13&lt;-30,N13&gt;20)),"WL out of range; ","")&amp;IF(AND(ISNUMBER(N12),N13=""),"no TP/b; ","")&amp;IF(AND(ISNUMBER(N19),ISNUMBER(N20)),IF(N20&lt;N19,"After&lt;Before; ",""),"")&amp;IF(AND(ISNUMBER(N12),ISNUMBER(N16)&lt;&gt;ISNUMBER(N17)),"irrigation readings missing; ","")&amp;IF(ISNUMBER(N23),IF(AND(ABS(N23)&gt;50,NOT(N(N8)&gt;0)),"WL jump &gt;5 cm; ",""),""))</f>
        <v/>
      </c>
      <c r="O30" s="26">
        <f>IF(O1="","",IF(AND(ISNUMBER(O13),OR(O13&lt;-30,O13&gt;20)),"WL out of range; ","")&amp;IF(AND(ISNUMBER(O12),O13=""),"no TP/b; ","")&amp;IF(AND(ISNUMBER(O19),ISNUMBER(O20)),IF(O20&lt;O19,"After&lt;Before; ",""),"")&amp;IF(AND(ISNUMBER(O12),ISNUMBER(O16)&lt;&gt;ISNUMBER(O17)),"irrigation readings missing; ","")&amp;IF(ISNUMBER(O23),IF(AND(ABS(O23)&gt;50,NOT(N(O8)&gt;0)),"WL jump &gt;5 cm; ",""),""))</f>
        <v/>
      </c>
      <c r="P30" s="26">
        <f>IF(P1="","",IF(AND(ISNUMBER(P13),OR(P13&lt;-30,P13&gt;20)),"WL out of range; ","")&amp;IF(AND(ISNUMBER(P12),P13=""),"no TP/b; ","")&amp;IF(AND(ISNUMBER(P19),ISNUMBER(P20)),IF(P20&lt;P19,"After&lt;Before; ",""),"")&amp;IF(AND(ISNUMBER(P12),ISNUMBER(P16)&lt;&gt;ISNUMBER(P17)),"irrigation readings missing; ","")&amp;IF(ISNUMBER(P23),IF(AND(ABS(P23)&gt;50,NOT(N(P8)&gt;0)),"WL jump &gt;5 cm; ",""),""))</f>
        <v/>
      </c>
      <c r="Q30" s="26">
        <f>IF(Q1="","",IF(AND(ISNUMBER(Q13),OR(Q13&lt;-30,Q13&gt;20)),"WL out of range; ","")&amp;IF(AND(ISNUMBER(Q12),Q13=""),"no TP/b; ","")&amp;IF(AND(ISNUMBER(Q19),ISNUMBER(Q20)),IF(Q20&lt;Q19,"After&lt;Before; ",""),"")&amp;IF(AND(ISNUMBER(Q12),ISNUMBER(Q16)&lt;&gt;ISNUMBER(Q17)),"irrigation readings missing; ","")&amp;IF(ISNUMBER(Q23),IF(AND(ABS(Q23)&gt;50,NOT(N(Q8)&gt;0)),"WL jump &gt;5 cm; ",""),""))</f>
        <v/>
      </c>
      <c r="R30" s="26">
        <f>IF(R1="","",IF(AND(ISNUMBER(R13),OR(R13&lt;-30,R13&gt;20)),"WL out of range; ","")&amp;IF(AND(ISNUMBER(R12),R13=""),"no TP/b; ","")&amp;IF(AND(ISNUMBER(R19),ISNUMBER(R20)),IF(R20&lt;R19,"After&lt;Before; ",""),"")&amp;IF(AND(ISNUMBER(R12),ISNUMBER(R16)&lt;&gt;ISNUMBER(R17)),"irrigation readings missing; ","")&amp;IF(ISNUMBER(R23),IF(AND(ABS(R23)&gt;50,NOT(N(R8)&gt;0)),"WL jump &gt;5 cm; ",""),""))</f>
        <v/>
      </c>
      <c r="S30" s="26">
        <f>IF(S1="","",IF(AND(ISNUMBER(S13),OR(S13&lt;-30,S13&gt;20)),"WL out of range; ","")&amp;IF(AND(ISNUMBER(S12),S13=""),"no TP/b; ","")&amp;IF(AND(ISNUMBER(S19),ISNUMBER(S20)),IF(S20&lt;S19,"After&lt;Before; ",""),"")&amp;IF(AND(ISNUMBER(S12),ISNUMBER(S16)&lt;&gt;ISNUMBER(S17)),"irrigation readings missing; ","")&amp;IF(ISNUMBER(S23),IF(AND(ABS(S23)&gt;50,NOT(N(S8)&gt;0)),"WL jump &gt;5 cm; ",""),""))</f>
        <v/>
      </c>
      <c r="T30" s="26">
        <f>IF(T1="","",IF(AND(ISNUMBER(T13),OR(T13&lt;-30,T13&gt;20)),"WL out of range; ","")&amp;IF(AND(ISNUMBER(T12),T13=""),"no TP/b; ","")&amp;IF(AND(ISNUMBER(T19),ISNUMBER(T20)),IF(T20&lt;T19,"After&lt;Before; ",""),"")&amp;IF(AND(ISNUMBER(T12),ISNUMBER(T16)&lt;&gt;ISNUMBER(T17)),"irrigation readings missing; ","")&amp;IF(ISNUMBER(T23),IF(AND(ABS(T23)&gt;50,NOT(N(T8)&gt;0)),"WL jump &gt;5 cm; ",""),""))</f>
        <v/>
      </c>
      <c r="U30" s="26">
        <f>IF(U1="","",IF(AND(ISNUMBER(U13),OR(U13&lt;-30,U13&gt;20)),"WL out of range; ","")&amp;IF(AND(ISNUMBER(U12),U13=""),"no TP/b; ","")&amp;IF(AND(ISNUMBER(U19),ISNUMBER(U20)),IF(U20&lt;U19,"After&lt;Before; ",""),"")&amp;IF(AND(ISNUMBER(U12),ISNUMBER(U16)&lt;&gt;ISNUMBER(U17)),"irrigation readings missing; ","")&amp;IF(ISNUMBER(U23),IF(AND(ABS(U23)&gt;50,NOT(N(U8)&gt;0)),"WL jump &gt;5 cm; ",""),""))</f>
        <v/>
      </c>
      <c r="V30" s="26">
        <f>IF(V1="","",IF(AND(ISNUMBER(V13),OR(V13&lt;-30,V13&gt;20)),"WL out of range; ","")&amp;IF(AND(ISNUMBER(V12),V13=""),"no TP/b; ","")&amp;IF(AND(ISNUMBER(V19),ISNUMBER(V20)),IF(V20&lt;V19,"After&lt;Before; ",""),"")&amp;IF(AND(ISNUMBER(V12),ISNUMBER(V16)&lt;&gt;ISNUMBER(V17)),"irrigation readings missing; ","")&amp;IF(ISNUMBER(V23),IF(AND(ABS(V23)&gt;50,NOT(N(V8)&gt;0)),"WL jump &gt;5 cm; ",""),""))</f>
        <v/>
      </c>
      <c r="W30" s="26">
        <f>IF(W1="","",IF(AND(ISNUMBER(W13),OR(W13&lt;-30,W13&gt;20)),"WL out of range; ","")&amp;IF(AND(ISNUMBER(W12),W13=""),"no TP/b; ","")&amp;IF(AND(ISNUMBER(W19),ISNUMBER(W20)),IF(W20&lt;W19,"After&lt;Before; ",""),"")&amp;IF(AND(ISNUMBER(W12),ISNUMBER(W16)&lt;&gt;ISNUMBER(W17)),"irrigation readings missing; ","")&amp;IF(ISNUMBER(W23),IF(AND(ABS(W23)&gt;50,NOT(N(W8)&gt;0)),"WL jump &gt;5 cm; ",""),""))</f>
        <v/>
      </c>
      <c r="X30" s="26">
        <f>IF(X1="","",IF(AND(ISNUMBER(X13),OR(X13&lt;-30,X13&gt;20)),"WL out of range; ","")&amp;IF(AND(ISNUMBER(X12),X13=""),"no TP/b; ","")&amp;IF(AND(ISNUMBER(X19),ISNUMBER(X20)),IF(X20&lt;X19,"After&lt;Before; ",""),"")&amp;IF(AND(ISNUMBER(X12),ISNUMBER(X16)&lt;&gt;ISNUMBER(X17)),"irrigation readings missing; ","")&amp;IF(ISNUMBER(X23),IF(AND(ABS(X23)&gt;50,NOT(N(X8)&gt;0)),"WL jump &gt;5 cm; ",""),""))</f>
        <v/>
      </c>
      <c r="Y30" s="26">
        <f>IF(Y1="","",IF(AND(ISNUMBER(Y13),OR(Y13&lt;-30,Y13&gt;20)),"WL out of range; ","")&amp;IF(AND(ISNUMBER(Y12),Y13=""),"no TP/b; ","")&amp;IF(AND(ISNUMBER(Y19),ISNUMBER(Y20)),IF(Y20&lt;Y19,"After&lt;Before; ",""),"")&amp;IF(AND(ISNUMBER(Y12),ISNUMBER(Y16)&lt;&gt;ISNUMBER(Y17)),"irrigation readings missing; ","")&amp;IF(ISNUMBER(Y23),IF(AND(ABS(Y23)&gt;50,NOT(N(Y8)&gt;0)),"WL jump &gt;5 cm; ",""),""))</f>
        <v/>
      </c>
      <c r="Z30" s="26">
        <f>IF(Z1="","",IF(AND(ISNUMBER(Z13),OR(Z13&lt;-30,Z13&gt;20)),"WL out of range; ","")&amp;IF(AND(ISNUMBER(Z12),Z13=""),"no TP/b; ","")&amp;IF(AND(ISNUMBER(Z19),ISNUMBER(Z20)),IF(Z20&lt;Z19,"After&lt;Before; ",""),"")&amp;IF(AND(ISNUMBER(Z12),ISNUMBER(Z16)&lt;&gt;ISNUMBER(Z17)),"irrigation readings missing; ","")&amp;IF(ISNUMBER(Z23),IF(AND(ABS(Z23)&gt;50,NOT(N(Z8)&gt;0)),"WL jump &gt;5 cm; ",""),""))</f>
        <v/>
      </c>
      <c r="AA30" s="26">
        <f>IF(AA1="","",IF(AND(ISNUMBER(AA13),OR(AA13&lt;-30,AA13&gt;20)),"WL out of range; ","")&amp;IF(AND(ISNUMBER(AA12),AA13=""),"no TP/b; ","")&amp;IF(AND(ISNUMBER(AA19),ISNUMBER(AA20)),IF(AA20&lt;AA19,"After&lt;Before; ",""),"")&amp;IF(AND(ISNUMBER(AA12),ISNUMBER(AA16)&lt;&gt;ISNUMBER(AA17)),"irrigation readings missing; ","")&amp;IF(ISNUMBER(AA23),IF(AND(ABS(AA23)&gt;50,NOT(N(AA8)&gt;0)),"WL jump &gt;5 cm; ",""),""))</f>
        <v/>
      </c>
      <c r="AB30" s="26">
        <f>IF(AB1="","",IF(AND(ISNUMBER(AB13),OR(AB13&lt;-30,AB13&gt;20)),"WL out of range; ","")&amp;IF(AND(ISNUMBER(AB12),AB13=""),"no TP/b; ","")&amp;IF(AND(ISNUMBER(AB19),ISNUMBER(AB20)),IF(AB20&lt;AB19,"After&lt;Before; ",""),"")&amp;IF(AND(ISNUMBER(AB12),ISNUMBER(AB16)&lt;&gt;ISNUMBER(AB17)),"irrigation readings missing; ","")&amp;IF(ISNUMBER(AB23),IF(AND(ABS(AB23)&gt;50,NOT(N(AB8)&gt;0)),"WL jump &gt;5 cm; ",""),""))</f>
        <v/>
      </c>
      <c r="AC30" s="26">
        <f>IF(AC1="","",IF(AND(ISNUMBER(AC13),OR(AC13&lt;-30,AC13&gt;20)),"WL out of range; ","")&amp;IF(AND(ISNUMBER(AC12),AC13=""),"no TP/b; ","")&amp;IF(AND(ISNUMBER(AC19),ISNUMBER(AC20)),IF(AC20&lt;AC19,"After&lt;Before; ",""),"")&amp;IF(AND(ISNUMBER(AC12),ISNUMBER(AC16)&lt;&gt;ISNUMBER(AC17)),"irrigation readings missing; ","")&amp;IF(ISNUMBER(AC23),IF(AND(ABS(AC23)&gt;50,NOT(N(AC8)&gt;0)),"WL jump &gt;5 cm; ",""),""))</f>
        <v/>
      </c>
      <c r="AD30" s="26">
        <f>IF(AD1="","",IF(AND(ISNUMBER(AD13),OR(AD13&lt;-30,AD13&gt;20)),"WL out of range; ","")&amp;IF(AND(ISNUMBER(AD12),AD13=""),"no TP/b; ","")&amp;IF(AND(ISNUMBER(AD19),ISNUMBER(AD20)),IF(AD20&lt;AD19,"After&lt;Before; ",""),"")&amp;IF(AND(ISNUMBER(AD12),ISNUMBER(AD16)&lt;&gt;ISNUMBER(AD17)),"irrigation readings missing; ","")&amp;IF(ISNUMBER(AD23),IF(AND(ABS(AD23)&gt;50,NOT(N(AD8)&gt;0)),"WL jump &gt;5 cm; ",""),""))</f>
        <v/>
      </c>
      <c r="AE30" s="26">
        <f>IF(AE1="","",IF(AND(ISNUMBER(AE13),OR(AE13&lt;-30,AE13&gt;20)),"WL out of range; ","")&amp;IF(AND(ISNUMBER(AE12),AE13=""),"no TP/b; ","")&amp;IF(AND(ISNUMBER(AE19),ISNUMBER(AE20)),IF(AE20&lt;AE19,"After&lt;Before; ",""),"")&amp;IF(AND(ISNUMBER(AE12),ISNUMBER(AE16)&lt;&gt;ISNUMBER(AE17)),"irrigation readings missing; ","")&amp;IF(ISNUMBER(AE23),IF(AND(ABS(AE23)&gt;50,NOT(N(AE8)&gt;0)),"WL jump &gt;5 cm; ",""),""))</f>
        <v/>
      </c>
      <c r="AF30" s="26">
        <f>IF(AF1="","",IF(AND(ISNUMBER(AF13),OR(AF13&lt;-30,AF13&gt;20)),"WL out of range; ","")&amp;IF(AND(ISNUMBER(AF12),AF13=""),"no TP/b; ","")&amp;IF(AND(ISNUMBER(AF19),ISNUMBER(AF20)),IF(AF20&lt;AF19,"After&lt;Before; ",""),"")&amp;IF(AND(ISNUMBER(AF12),ISNUMBER(AF16)&lt;&gt;ISNUMBER(AF17)),"irrigation readings missing; ","")&amp;IF(ISNUMBER(AF23),IF(AND(ABS(AF23)&gt;50,NOT(N(AF8)&gt;0)),"WL jump &gt;5 cm; ",""),""))</f>
        <v/>
      </c>
      <c r="AG30" s="26">
        <f>IF(AG1="","",IF(AND(ISNUMBER(AG13),OR(AG13&lt;-30,AG13&gt;20)),"WL out of range; ","")&amp;IF(AND(ISNUMBER(AG12),AG13=""),"no TP/b; ","")&amp;IF(AND(ISNUMBER(AG19),ISNUMBER(AG20)),IF(AG20&lt;AG19,"After&lt;Before; ",""),"")&amp;IF(AND(ISNUMBER(AG12),ISNUMBER(AG16)&lt;&gt;ISNUMBER(AG17)),"irrigation readings missing; ","")&amp;IF(ISNUMBER(AG23),IF(AND(ABS(AG23)&gt;50,NOT(N(AG8)&gt;0)),"WL jump &gt;5 cm; ",""),""))</f>
        <v/>
      </c>
      <c r="AH30" s="26">
        <f>IF(AH1="","",IF(AND(ISNUMBER(AH13),OR(AH13&lt;-30,AH13&gt;20)),"WL out of range; ","")&amp;IF(AND(ISNUMBER(AH12),AH13=""),"no TP/b; ","")&amp;IF(AND(ISNUMBER(AH19),ISNUMBER(AH20)),IF(AH20&lt;AH19,"After&lt;Before; ",""),"")&amp;IF(AND(ISNUMBER(AH12),ISNUMBER(AH16)&lt;&gt;ISNUMBER(AH17)),"irrigation readings missing; ","")&amp;IF(ISNUMBER(AH23),IF(AND(ABS(AH23)&gt;50,NOT(N(AH8)&gt;0)),"WL jump &gt;5 cm; ",""),""))</f>
        <v/>
      </c>
      <c r="AI30" s="26">
        <f>IF(AI1="","",IF(AND(ISNUMBER(AI13),OR(AI13&lt;-30,AI13&gt;20)),"WL out of range; ","")&amp;IF(AND(ISNUMBER(AI12),AI13=""),"no TP/b; ","")&amp;IF(AND(ISNUMBER(AI19),ISNUMBER(AI20)),IF(AI20&lt;AI19,"After&lt;Before; ",""),"")&amp;IF(AND(ISNUMBER(AI12),ISNUMBER(AI16)&lt;&gt;ISNUMBER(AI17)),"irrigation readings missing; ","")&amp;IF(ISNUMBER(AI23),IF(AND(ABS(AI23)&gt;50,NOT(N(AI8)&gt;0)),"WL jump &gt;5 cm; ",""),""))</f>
        <v/>
      </c>
      <c r="AJ30" s="26">
        <f>IF(AJ1="","",IF(AND(ISNUMBER(AJ13),OR(AJ13&lt;-30,AJ13&gt;20)),"WL out of range; ","")&amp;IF(AND(ISNUMBER(AJ12),AJ13=""),"no TP/b; ","")&amp;IF(AND(ISNUMBER(AJ19),ISNUMBER(AJ20)),IF(AJ20&lt;AJ19,"After&lt;Before; ",""),"")&amp;IF(AND(ISNUMBER(AJ12),ISNUMBER(AJ16)&lt;&gt;ISNUMBER(AJ17)),"irrigation readings missing; ","")&amp;IF(ISNUMBER(AJ23),IF(AND(ABS(AJ23)&gt;50,NOT(N(AJ8)&gt;0)),"WL jump &gt;5 cm; ",""),""))</f>
        <v/>
      </c>
      <c r="AK30" s="26">
        <f>IF(AK1="","",IF(AND(ISNUMBER(AK13),OR(AK13&lt;-30,AK13&gt;20)),"WL out of range; ","")&amp;IF(AND(ISNUMBER(AK12),AK13=""),"no TP/b; ","")&amp;IF(AND(ISNUMBER(AK19),ISNUMBER(AK20)),IF(AK20&lt;AK19,"After&lt;Before; ",""),"")&amp;IF(AND(ISNUMBER(AK12),ISNUMBER(AK16)&lt;&gt;ISNUMBER(AK17)),"irrigation readings missing; ","")&amp;IF(ISNUMBER(AK23),IF(AND(ABS(AK23)&gt;50,NOT(N(AK8)&gt;0)),"WL jump &gt;5 cm; ",""),""))</f>
        <v/>
      </c>
      <c r="AL30" s="26">
        <f>IF(AL1="","",IF(AND(ISNUMBER(AL13),OR(AL13&lt;-30,AL13&gt;20)),"WL out of range; ","")&amp;IF(AND(ISNUMBER(AL12),AL13=""),"no TP/b; ","")&amp;IF(AND(ISNUMBER(AL19),ISNUMBER(AL20)),IF(AL20&lt;AL19,"After&lt;Before; ",""),"")&amp;IF(AND(ISNUMBER(AL12),ISNUMBER(AL16)&lt;&gt;ISNUMBER(AL17)),"irrigation readings missing; ","")&amp;IF(ISNUMBER(AL23),IF(AND(ABS(AL23)&gt;50,NOT(N(AL8)&gt;0)),"WL jump &gt;5 cm; ",""),""))</f>
        <v/>
      </c>
      <c r="AM30" s="26">
        <f>IF(AM1="","",IF(AND(ISNUMBER(AM13),OR(AM13&lt;-30,AM13&gt;20)),"WL out of range; ","")&amp;IF(AND(ISNUMBER(AM12),AM13=""),"no TP/b; ","")&amp;IF(AND(ISNUMBER(AM19),ISNUMBER(AM20)),IF(AM20&lt;AM19,"After&lt;Before; ",""),"")&amp;IF(AND(ISNUMBER(AM12),ISNUMBER(AM16)&lt;&gt;ISNUMBER(AM17)),"irrigation readings missing; ","")&amp;IF(ISNUMBER(AM23),IF(AND(ABS(AM23)&gt;50,NOT(N(AM8)&gt;0)),"WL jump &gt;5 cm; ",""),""))</f>
        <v/>
      </c>
      <c r="AN30" s="26">
        <f>IF(AN1="","",IF(AND(ISNUMBER(AN13),OR(AN13&lt;-30,AN13&gt;20)),"WL out of range; ","")&amp;IF(AND(ISNUMBER(AN12),AN13=""),"no TP/b; ","")&amp;IF(AND(ISNUMBER(AN19),ISNUMBER(AN20)),IF(AN20&lt;AN19,"After&lt;Before; ",""),"")&amp;IF(AND(ISNUMBER(AN12),ISNUMBER(AN16)&lt;&gt;ISNUMBER(AN17)),"irrigation readings missing; ","")&amp;IF(ISNUMBER(AN23),IF(AND(ABS(AN23)&gt;50,NOT(N(AN8)&gt;0)),"WL jump &gt;5 cm; ",""),""))</f>
        <v/>
      </c>
      <c r="AO30" s="26">
        <f>IF(AO1="","",IF(AND(ISNUMBER(AO13),OR(AO13&lt;-30,AO13&gt;20)),"WL out of range; ","")&amp;IF(AND(ISNUMBER(AO12),AO13=""),"no TP/b; ","")&amp;IF(AND(ISNUMBER(AO19),ISNUMBER(AO20)),IF(AO20&lt;AO19,"After&lt;Before; ",""),"")&amp;IF(AND(ISNUMBER(AO12),ISNUMBER(AO16)&lt;&gt;ISNUMBER(AO17)),"irrigation readings missing; ","")&amp;IF(ISNUMBER(AO23),IF(AND(ABS(AO23)&gt;50,NOT(N(AO8)&gt;0)),"WL jump &gt;5 cm; ",""),""))</f>
        <v/>
      </c>
      <c r="AP30" s="26">
        <f>IF(AP1="","",IF(AND(ISNUMBER(AP13),OR(AP13&lt;-30,AP13&gt;20)),"WL out of range; ","")&amp;IF(AND(ISNUMBER(AP12),AP13=""),"no TP/b; ","")&amp;IF(AND(ISNUMBER(AP19),ISNUMBER(AP20)),IF(AP20&lt;AP19,"After&lt;Before; ",""),"")&amp;IF(AND(ISNUMBER(AP12),ISNUMBER(AP16)&lt;&gt;ISNUMBER(AP17)),"irrigation readings missing; ","")&amp;IF(ISNUMBER(AP23),IF(AND(ABS(AP23)&gt;50,NOT(N(AP8)&gt;0)),"WL jump &gt;5 cm; ",""),""))</f>
        <v/>
      </c>
      <c r="AQ30" s="26">
        <f>IF(AQ1="","",IF(AND(ISNUMBER(AQ13),OR(AQ13&lt;-30,AQ13&gt;20)),"WL out of range; ","")&amp;IF(AND(ISNUMBER(AQ12),AQ13=""),"no TP/b; ","")&amp;IF(AND(ISNUMBER(AQ19),ISNUMBER(AQ20)),IF(AQ20&lt;AQ19,"After&lt;Before; ",""),"")&amp;IF(AND(ISNUMBER(AQ12),ISNUMBER(AQ16)&lt;&gt;ISNUMBER(AQ17)),"irrigation readings missing; ","")&amp;IF(ISNUMBER(AQ23),IF(AND(ABS(AQ23)&gt;50,NOT(N(AQ8)&gt;0)),"WL jump &gt;5 cm; ",""),""))</f>
        <v/>
      </c>
      <c r="AR30" s="26">
        <f>IF(AR1="","",IF(AND(ISNUMBER(AR13),OR(AR13&lt;-30,AR13&gt;20)),"WL out of range; ","")&amp;IF(AND(ISNUMBER(AR12),AR13=""),"no TP/b; ","")&amp;IF(AND(ISNUMBER(AR19),ISNUMBER(AR20)),IF(AR20&lt;AR19,"After&lt;Before; ",""),"")&amp;IF(AND(ISNUMBER(AR12),ISNUMBER(AR16)&lt;&gt;ISNUMBER(AR17)),"irrigation readings missing; ","")&amp;IF(ISNUMBER(AR23),IF(AND(ABS(AR23)&gt;50,NOT(N(AR8)&gt;0)),"WL jump &gt;5 cm; ",""),""))</f>
        <v/>
      </c>
      <c r="AS30" s="26">
        <f>IF(AS1="","",IF(AND(ISNUMBER(AS13),OR(AS13&lt;-30,AS13&gt;20)),"WL out of range; ","")&amp;IF(AND(ISNUMBER(AS12),AS13=""),"no TP/b; ","")&amp;IF(AND(ISNUMBER(AS19),ISNUMBER(AS20)),IF(AS20&lt;AS19,"After&lt;Before; ",""),"")&amp;IF(AND(ISNUMBER(AS12),ISNUMBER(AS16)&lt;&gt;ISNUMBER(AS17)),"irrigation readings missing; ","")&amp;IF(ISNUMBER(AS23),IF(AND(ABS(AS23)&gt;50,NOT(N(AS8)&gt;0)),"WL jump &gt;5 cm; ",""),""))</f>
        <v/>
      </c>
      <c r="AT30" s="26">
        <f>IF(AT1="","",IF(AND(ISNUMBER(AT13),OR(AT13&lt;-30,AT13&gt;20)),"WL out of range; ","")&amp;IF(AND(ISNUMBER(AT12),AT13=""),"no TP/b; ","")&amp;IF(AND(ISNUMBER(AT19),ISNUMBER(AT20)),IF(AT20&lt;AT19,"After&lt;Before; ",""),"")&amp;IF(AND(ISNUMBER(AT12),ISNUMBER(AT16)&lt;&gt;ISNUMBER(AT17)),"irrigation readings missing; ","")&amp;IF(ISNUMBER(AT23),IF(AND(ABS(AT23)&gt;50,NOT(N(AT8)&gt;0)),"WL jump &gt;5 cm; ",""),""))</f>
        <v/>
      </c>
      <c r="AU30" s="26">
        <f>IF(AU1="","",IF(AND(ISNUMBER(AU13),OR(AU13&lt;-30,AU13&gt;20)),"WL out of range; ","")&amp;IF(AND(ISNUMBER(AU12),AU13=""),"no TP/b; ","")&amp;IF(AND(ISNUMBER(AU19),ISNUMBER(AU20)),IF(AU20&lt;AU19,"After&lt;Before; ",""),"")&amp;IF(AND(ISNUMBER(AU12),ISNUMBER(AU16)&lt;&gt;ISNUMBER(AU17)),"irrigation readings missing; ","")&amp;IF(ISNUMBER(AU23),IF(AND(ABS(AU23)&gt;50,NOT(N(AU8)&gt;0)),"WL jump &gt;5 cm; ",""),""))</f>
        <v/>
      </c>
      <c r="AV30" s="26">
        <f>IF(AV1="","",IF(AND(ISNUMBER(AV13),OR(AV13&lt;-30,AV13&gt;20)),"WL out of range; ","")&amp;IF(AND(ISNUMBER(AV12),AV13=""),"no TP/b; ","")&amp;IF(AND(ISNUMBER(AV19),ISNUMBER(AV20)),IF(AV20&lt;AV19,"After&lt;Before; ",""),"")&amp;IF(AND(ISNUMBER(AV12),ISNUMBER(AV16)&lt;&gt;ISNUMBER(AV17)),"irrigation readings missing; ","")&amp;IF(ISNUMBER(AV23),IF(AND(ABS(AV23)&gt;50,NOT(N(AV8)&gt;0)),"WL jump &gt;5 cm; ",""),""))</f>
        <v/>
      </c>
      <c r="AW30" s="26">
        <f>IF(AW1="","",IF(AND(ISNUMBER(AW13),OR(AW13&lt;-30,AW13&gt;20)),"WL out of range; ","")&amp;IF(AND(ISNUMBER(AW12),AW13=""),"no TP/b; ","")&amp;IF(AND(ISNUMBER(AW19),ISNUMBER(AW20)),IF(AW20&lt;AW19,"After&lt;Before; ",""),"")&amp;IF(AND(ISNUMBER(AW12),ISNUMBER(AW16)&lt;&gt;ISNUMBER(AW17)),"irrigation readings missing; ","")&amp;IF(ISNUMBER(AW23),IF(AND(ABS(AW23)&gt;50,NOT(N(AW8)&gt;0)),"WL jump &gt;5 cm; ",""),""))</f>
        <v/>
      </c>
      <c r="AX30" s="26">
        <f>IF(AX1="","",IF(AND(ISNUMBER(AX13),OR(AX13&lt;-30,AX13&gt;20)),"WL out of range; ","")&amp;IF(AND(ISNUMBER(AX12),AX13=""),"no TP/b; ","")&amp;IF(AND(ISNUMBER(AX19),ISNUMBER(AX20)),IF(AX20&lt;AX19,"After&lt;Before; ",""),"")&amp;IF(AND(ISNUMBER(AX12),ISNUMBER(AX16)&lt;&gt;ISNUMBER(AX17)),"irrigation readings missing; ","")&amp;IF(ISNUMBER(AX23),IF(AND(ABS(AX23)&gt;50,NOT(N(AX8)&gt;0)),"WL jump &gt;5 cm; ",""),""))</f>
        <v/>
      </c>
      <c r="AY30" s="26">
        <f>IF(AY1="","",IF(AND(ISNUMBER(AY13),OR(AY13&lt;-30,AY13&gt;20)),"WL out of range; ","")&amp;IF(AND(ISNUMBER(AY12),AY13=""),"no TP/b; ","")&amp;IF(AND(ISNUMBER(AY19),ISNUMBER(AY20)),IF(AY20&lt;AY19,"After&lt;Before; ",""),"")&amp;IF(AND(ISNUMBER(AY12),ISNUMBER(AY16)&lt;&gt;ISNUMBER(AY17)),"irrigation readings missing; ","")&amp;IF(ISNUMBER(AY23),IF(AND(ABS(AY23)&gt;50,NOT(N(AY8)&gt;0)),"WL jump &gt;5 cm; ",""),""))</f>
        <v/>
      </c>
      <c r="AZ30" s="26">
        <f>IF(AZ1="","",IF(AND(ISNUMBER(AZ13),OR(AZ13&lt;-30,AZ13&gt;20)),"WL out of range; ","")&amp;IF(AND(ISNUMBER(AZ12),AZ13=""),"no TP/b; ","")&amp;IF(AND(ISNUMBER(AZ19),ISNUMBER(AZ20)),IF(AZ20&lt;AZ19,"After&lt;Before; ",""),"")&amp;IF(AND(ISNUMBER(AZ12),ISNUMBER(AZ16)&lt;&gt;ISNUMBER(AZ17)),"irrigation readings missing; ","")&amp;IF(ISNUMBER(AZ23),IF(AND(ABS(AZ23)&gt;50,NOT(N(AZ8)&gt;0)),"WL jump &gt;5 cm; ",""),""))</f>
        <v/>
      </c>
      <c r="BA30" s="26">
        <f>IF(BA1="","",IF(AND(ISNUMBER(BA13),OR(BA13&lt;-30,BA13&gt;20)),"WL out of range; ","")&amp;IF(AND(ISNUMBER(BA12),BA13=""),"no TP/b; ","")&amp;IF(AND(ISNUMBER(BA19),ISNUMBER(BA20)),IF(BA20&lt;BA19,"After&lt;Before; ",""),"")&amp;IF(AND(ISNUMBER(BA12),ISNUMBER(BA16)&lt;&gt;ISNUMBER(BA17)),"irrigation readings missing; ","")&amp;IF(ISNUMBER(BA23),IF(AND(ABS(BA23)&gt;50,NOT(N(BA8)&gt;0)),"WL jump &gt;5 cm; ",""),""))</f>
        <v/>
      </c>
      <c r="BB30" s="26">
        <f>IF(BB1="","",IF(AND(ISNUMBER(BB13),OR(BB13&lt;-30,BB13&gt;20)),"WL out of range; ","")&amp;IF(AND(ISNUMBER(BB12),BB13=""),"no TP/b; ","")&amp;IF(AND(ISNUMBER(BB19),ISNUMBER(BB20)),IF(BB20&lt;BB19,"After&lt;Before; ",""),"")&amp;IF(AND(ISNUMBER(BB12),ISNUMBER(BB16)&lt;&gt;ISNUMBER(BB17)),"irrigation readings missing; ","")&amp;IF(ISNUMBER(BB23),IF(AND(ABS(BB23)&gt;50,NOT(N(BB8)&gt;0)),"WL jump &gt;5 cm; ",""),""))</f>
        <v/>
      </c>
      <c r="BC30" s="26">
        <f>IF(BC1="","",IF(AND(ISNUMBER(BC13),OR(BC13&lt;-30,BC13&gt;20)),"WL out of range; ","")&amp;IF(AND(ISNUMBER(BC12),BC13=""),"no TP/b; ","")&amp;IF(AND(ISNUMBER(BC19),ISNUMBER(BC20)),IF(BC20&lt;BC19,"After&lt;Before; ",""),"")&amp;IF(AND(ISNUMBER(BC12),ISNUMBER(BC16)&lt;&gt;ISNUMBER(BC17)),"irrigation readings missing; ","")&amp;IF(ISNUMBER(BC23),IF(AND(ABS(BC23)&gt;50,NOT(N(BC8)&gt;0)),"WL jump &gt;5 cm; ",""),""))</f>
        <v/>
      </c>
      <c r="BD30" s="26">
        <f>IF(BD1="","",IF(AND(ISNUMBER(BD13),OR(BD13&lt;-30,BD13&gt;20)),"WL out of range; ","")&amp;IF(AND(ISNUMBER(BD12),BD13=""),"no TP/b; ","")&amp;IF(AND(ISNUMBER(BD19),ISNUMBER(BD20)),IF(BD20&lt;BD19,"After&lt;Before; ",""),"")&amp;IF(AND(ISNUMBER(BD12),ISNUMBER(BD16)&lt;&gt;ISNUMBER(BD17)),"irrigation readings missing; ","")&amp;IF(ISNUMBER(BD23),IF(AND(ABS(BD23)&gt;50,NOT(N(BD8)&gt;0)),"WL jump &gt;5 cm; ",""),""))</f>
        <v/>
      </c>
      <c r="BE30" s="26">
        <f>IF(BE1="","",IF(AND(ISNUMBER(BE13),OR(BE13&lt;-30,BE13&gt;20)),"WL out of range; ","")&amp;IF(AND(ISNUMBER(BE12),BE13=""),"no TP/b; ","")&amp;IF(AND(ISNUMBER(BE19),ISNUMBER(BE20)),IF(BE20&lt;BE19,"After&lt;Before; ",""),"")&amp;IF(AND(ISNUMBER(BE12),ISNUMBER(BE16)&lt;&gt;ISNUMBER(BE17)),"irrigation readings missing; ","")&amp;IF(ISNUMBER(BE23),IF(AND(ABS(BE23)&gt;50,NOT(N(BE8)&gt;0)),"WL jump &gt;5 cm; ",""),""))</f>
        <v/>
      </c>
      <c r="BF30" s="26">
        <f>IF(BF1="","",IF(AND(ISNUMBER(BF13),OR(BF13&lt;-30,BF13&gt;20)),"WL out of range; ","")&amp;IF(AND(ISNUMBER(BF12),BF13=""),"no TP/b; ","")&amp;IF(AND(ISNUMBER(BF19),ISNUMBER(BF20)),IF(BF20&lt;BF19,"After&lt;Before; ",""),"")&amp;IF(AND(ISNUMBER(BF12),ISNUMBER(BF16)&lt;&gt;ISNUMBER(BF17)),"irrigation readings missing; ","")&amp;IF(ISNUMBER(BF23),IF(AND(ABS(BF23)&gt;50,NOT(N(BF8)&gt;0)),"WL jump &gt;5 cm; ",""),""))</f>
        <v/>
      </c>
      <c r="BG30" s="26">
        <f>IF(BG1="","",IF(AND(ISNUMBER(BG13),OR(BG13&lt;-30,BG13&gt;20)),"WL out of range; ","")&amp;IF(AND(ISNUMBER(BG12),BG13=""),"no TP/b; ","")&amp;IF(AND(ISNUMBER(BG19),ISNUMBER(BG20)),IF(BG20&lt;BG19,"After&lt;Before; ",""),"")&amp;IF(AND(ISNUMBER(BG12),ISNUMBER(BG16)&lt;&gt;ISNUMBER(BG17)),"irrigation readings missing; ","")&amp;IF(ISNUMBER(BG23),IF(AND(ABS(BG23)&gt;50,NOT(N(BG8)&gt;0)),"WL jump &gt;5 cm; ",""),""))</f>
        <v/>
      </c>
      <c r="BH30" s="26">
        <f>IF(BH1="","",IF(AND(ISNUMBER(BH13),OR(BH13&lt;-30,BH13&gt;20)),"WL out of range; ","")&amp;IF(AND(ISNUMBER(BH12),BH13=""),"no TP/b; ","")&amp;IF(AND(ISNUMBER(BH19),ISNUMBER(BH20)),IF(BH20&lt;BH19,"After&lt;Before; ",""),"")&amp;IF(AND(ISNUMBER(BH12),ISNUMBER(BH16)&lt;&gt;ISNUMBER(BH17)),"irrigation readings missing; ","")&amp;IF(ISNUMBER(BH23),IF(AND(ABS(BH23)&gt;50,NOT(N(BH8)&gt;0)),"WL jump &gt;5 cm; ",""),""))</f>
        <v/>
      </c>
      <c r="BI30" s="26">
        <f>IF(BI1="","",IF(AND(ISNUMBER(BI13),OR(BI13&lt;-30,BI13&gt;20)),"WL out of range; ","")&amp;IF(AND(ISNUMBER(BI12),BI13=""),"no TP/b; ","")&amp;IF(AND(ISNUMBER(BI19),ISNUMBER(BI20)),IF(BI20&lt;BI19,"After&lt;Before; ",""),"")&amp;IF(AND(ISNUMBER(BI12),ISNUMBER(BI16)&lt;&gt;ISNUMBER(BI17)),"irrigation readings missing; ","")&amp;IF(ISNUMBER(BI23),IF(AND(ABS(BI23)&gt;50,NOT(N(BI8)&gt;0)),"WL jump &gt;5 cm; ",""),""))</f>
        <v/>
      </c>
      <c r="BJ30" s="26">
        <f>IF(BJ1="","",IF(AND(ISNUMBER(BJ13),OR(BJ13&lt;-30,BJ13&gt;20)),"WL out of range; ","")&amp;IF(AND(ISNUMBER(BJ12),BJ13=""),"no TP/b; ","")&amp;IF(AND(ISNUMBER(BJ19),ISNUMBER(BJ20)),IF(BJ20&lt;BJ19,"After&lt;Before; ",""),"")&amp;IF(AND(ISNUMBER(BJ12),ISNUMBER(BJ16)&lt;&gt;ISNUMBER(BJ17)),"irrigation readings missing; ","")&amp;IF(ISNUMBER(BJ23),IF(AND(ABS(BJ23)&gt;50,NOT(N(BJ8)&gt;0)),"WL jump &gt;5 cm; ",""),""))</f>
        <v/>
      </c>
      <c r="BK30" s="26">
        <f>IF(BK1="","",IF(AND(ISNUMBER(BK13),OR(BK13&lt;-30,BK13&gt;20)),"WL out of range; ","")&amp;IF(AND(ISNUMBER(BK12),BK13=""),"no TP/b; ","")&amp;IF(AND(ISNUMBER(BK19),ISNUMBER(BK20)),IF(BK20&lt;BK19,"After&lt;Before; ",""),"")&amp;IF(AND(ISNUMBER(BK12),ISNUMBER(BK16)&lt;&gt;ISNUMBER(BK17)),"irrigation readings missing; ","")&amp;IF(ISNUMBER(BK23),IF(AND(ABS(BK23)&gt;50,NOT(N(BK8)&gt;0)),"WL jump &gt;5 cm; ",""),""))</f>
        <v/>
      </c>
      <c r="BL30" s="26">
        <f>IF(BL1="","",IF(AND(ISNUMBER(BL13),OR(BL13&lt;-30,BL13&gt;20)),"WL out of range; ","")&amp;IF(AND(ISNUMBER(BL12),BL13=""),"no TP/b; ","")&amp;IF(AND(ISNUMBER(BL19),ISNUMBER(BL20)),IF(BL20&lt;BL19,"After&lt;Before; ",""),"")&amp;IF(AND(ISNUMBER(BL12),ISNUMBER(BL16)&lt;&gt;ISNUMBER(BL17)),"irrigation readings missing; ","")&amp;IF(ISNUMBER(BL23),IF(AND(ABS(BL23)&gt;50,NOT(N(BL8)&gt;0)),"WL jump &gt;5 cm; ",""),""))</f>
        <v/>
      </c>
      <c r="BM30" s="26">
        <f>IF(BM1="","",IF(AND(ISNUMBER(BM13),OR(BM13&lt;-30,BM13&gt;20)),"WL out of range; ","")&amp;IF(AND(ISNUMBER(BM12),BM13=""),"no TP/b; ","")&amp;IF(AND(ISNUMBER(BM19),ISNUMBER(BM20)),IF(BM20&lt;BM19,"After&lt;Before; ",""),"")&amp;IF(AND(ISNUMBER(BM12),ISNUMBER(BM16)&lt;&gt;ISNUMBER(BM17)),"irrigation readings missing; ","")&amp;IF(ISNUMBER(BM23),IF(AND(ABS(BM23)&gt;50,NOT(N(BM8)&gt;0)),"WL jump &gt;5 cm; ",""),""))</f>
        <v/>
      </c>
      <c r="BN30" s="26">
        <f>IF(BN1="","",IF(AND(ISNUMBER(BN13),OR(BN13&lt;-30,BN13&gt;20)),"WL out of range; ","")&amp;IF(AND(ISNUMBER(BN12),BN13=""),"no TP/b; ","")&amp;IF(AND(ISNUMBER(BN19),ISNUMBER(BN20)),IF(BN20&lt;BN19,"After&lt;Before; ",""),"")&amp;IF(AND(ISNUMBER(BN12),ISNUMBER(BN16)&lt;&gt;ISNUMBER(BN17)),"irrigation readings missing; ","")&amp;IF(ISNUMBER(BN23),IF(AND(ABS(BN23)&gt;50,NOT(N(BN8)&gt;0)),"WL jump &gt;5 cm; ",""),""))</f>
        <v/>
      </c>
      <c r="BO30" s="26">
        <f>IF(BO1="","",IF(AND(ISNUMBER(BO13),OR(BO13&lt;-30,BO13&gt;20)),"WL out of range; ","")&amp;IF(AND(ISNUMBER(BO12),BO13=""),"no TP/b; ","")&amp;IF(AND(ISNUMBER(BO19),ISNUMBER(BO20)),IF(BO20&lt;BO19,"After&lt;Before; ",""),"")&amp;IF(AND(ISNUMBER(BO12),ISNUMBER(BO16)&lt;&gt;ISNUMBER(BO17)),"irrigation readings missing; ","")&amp;IF(ISNUMBER(BO23),IF(AND(ABS(BO23)&gt;50,NOT(N(BO8)&gt;0)),"WL jump &gt;5 cm; ",""),""))</f>
        <v/>
      </c>
      <c r="BP30" s="26">
        <f>IF(BP1="","",IF(AND(ISNUMBER(BP13),OR(BP13&lt;-30,BP13&gt;20)),"WL out of range; ","")&amp;IF(AND(ISNUMBER(BP12),BP13=""),"no TP/b; ","")&amp;IF(AND(ISNUMBER(BP19),ISNUMBER(BP20)),IF(BP20&lt;BP19,"After&lt;Before; ",""),"")&amp;IF(AND(ISNUMBER(BP12),ISNUMBER(BP16)&lt;&gt;ISNUMBER(BP17)),"irrigation readings missing; ","")&amp;IF(ISNUMBER(BP23),IF(AND(ABS(BP23)&gt;50,NOT(N(BP8)&gt;0)),"WL jump &gt;5 cm; ",""),""))</f>
        <v/>
      </c>
      <c r="BQ30" s="26">
        <f>IF(BQ1="","",IF(AND(ISNUMBER(BQ13),OR(BQ13&lt;-30,BQ13&gt;20)),"WL out of range; ","")&amp;IF(AND(ISNUMBER(BQ12),BQ13=""),"no TP/b; ","")&amp;IF(AND(ISNUMBER(BQ19),ISNUMBER(BQ20)),IF(BQ20&lt;BQ19,"After&lt;Before; ",""),"")&amp;IF(AND(ISNUMBER(BQ12),ISNUMBER(BQ16)&lt;&gt;ISNUMBER(BQ17)),"irrigation readings missing; ","")&amp;IF(ISNUMBER(BQ23),IF(AND(ABS(BQ23)&gt;50,NOT(N(BQ8)&gt;0)),"WL jump &gt;5 cm; ",""),""))</f>
        <v/>
      </c>
      <c r="BR30" s="26">
        <f>IF(BR1="","",IF(AND(ISNUMBER(BR13),OR(BR13&lt;-30,BR13&gt;20)),"WL out of range; ","")&amp;IF(AND(ISNUMBER(BR12),BR13=""),"no TP/b; ","")&amp;IF(AND(ISNUMBER(BR19),ISNUMBER(BR20)),IF(BR20&lt;BR19,"After&lt;Before; ",""),"")&amp;IF(AND(ISNUMBER(BR12),ISNUMBER(BR16)&lt;&gt;ISNUMBER(BR17)),"irrigation readings missing; ","")&amp;IF(ISNUMBER(BR23),IF(AND(ABS(BR23)&gt;50,NOT(N(BR8)&gt;0)),"WL jump &gt;5 cm; ",""),""))</f>
        <v/>
      </c>
      <c r="BS30" s="26">
        <f>IF(BS1="","",IF(AND(ISNUMBER(BS13),OR(BS13&lt;-30,BS13&gt;20)),"WL out of range; ","")&amp;IF(AND(ISNUMBER(BS12),BS13=""),"no TP/b; ","")&amp;IF(AND(ISNUMBER(BS19),ISNUMBER(BS20)),IF(BS20&lt;BS19,"After&lt;Before; ",""),"")&amp;IF(AND(ISNUMBER(BS12),ISNUMBER(BS16)&lt;&gt;ISNUMBER(BS17)),"irrigation readings missing; ","")&amp;IF(ISNUMBER(BS23),IF(AND(ABS(BS23)&gt;50,NOT(N(BS8)&gt;0)),"WL jump &gt;5 cm; ",""),""))</f>
        <v/>
      </c>
      <c r="BT30" s="26">
        <f>IF(BT1="","",IF(AND(ISNUMBER(BT13),OR(BT13&lt;-30,BT13&gt;20)),"WL out of range; ","")&amp;IF(AND(ISNUMBER(BT12),BT13=""),"no TP/b; ","")&amp;IF(AND(ISNUMBER(BT19),ISNUMBER(BT20)),IF(BT20&lt;BT19,"After&lt;Before; ",""),"")&amp;IF(AND(ISNUMBER(BT12),ISNUMBER(BT16)&lt;&gt;ISNUMBER(BT17)),"irrigation readings missing; ","")&amp;IF(ISNUMBER(BT23),IF(AND(ABS(BT23)&gt;50,NOT(N(BT8)&gt;0)),"WL jump &gt;5 cm; ",""),""))</f>
        <v/>
      </c>
      <c r="BU30" s="26">
        <f>IF(BU1="","",IF(AND(ISNUMBER(BU13),OR(BU13&lt;-30,BU13&gt;20)),"WL out of range; ","")&amp;IF(AND(ISNUMBER(BU12),BU13=""),"no TP/b; ","")&amp;IF(AND(ISNUMBER(BU19),ISNUMBER(BU20)),IF(BU20&lt;BU19,"After&lt;Before; ",""),"")&amp;IF(AND(ISNUMBER(BU12),ISNUMBER(BU16)&lt;&gt;ISNUMBER(BU17)),"irrigation readings missing; ","")&amp;IF(ISNUMBER(BU23),IF(AND(ABS(BU23)&gt;50,NOT(N(BU8)&gt;0)),"WL jump &gt;5 cm; ",""),""))</f>
        <v/>
      </c>
      <c r="BV30" s="26">
        <f>IF(BV1="","",IF(AND(ISNUMBER(BV13),OR(BV13&lt;-30,BV13&gt;20)),"WL out of range; ","")&amp;IF(AND(ISNUMBER(BV12),BV13=""),"no TP/b; ","")&amp;IF(AND(ISNUMBER(BV19),ISNUMBER(BV20)),IF(BV20&lt;BV19,"After&lt;Before; ",""),"")&amp;IF(AND(ISNUMBER(BV12),ISNUMBER(BV16)&lt;&gt;ISNUMBER(BV17)),"irrigation readings missing; ","")&amp;IF(ISNUMBER(BV23),IF(AND(ABS(BV23)&gt;50,NOT(N(BV8)&gt;0)),"WL jump &gt;5 cm; ",""),""))</f>
        <v/>
      </c>
      <c r="BW30" s="26">
        <f>IF(BW1="","",IF(AND(ISNUMBER(BW13),OR(BW13&lt;-30,BW13&gt;20)),"WL out of range; ","")&amp;IF(AND(ISNUMBER(BW12),BW13=""),"no TP/b; ","")&amp;IF(AND(ISNUMBER(BW19),ISNUMBER(BW20)),IF(BW20&lt;BW19,"After&lt;Before; ",""),"")&amp;IF(AND(ISNUMBER(BW12),ISNUMBER(BW16)&lt;&gt;ISNUMBER(BW17)),"irrigation readings missing; ","")&amp;IF(ISNUMBER(BW23),IF(AND(ABS(BW23)&gt;50,NOT(N(BW8)&gt;0)),"WL jump &gt;5 cm; ",""),""))</f>
        <v/>
      </c>
      <c r="BX30" s="26">
        <f>IF(BX1="","",IF(AND(ISNUMBER(BX13),OR(BX13&lt;-30,BX13&gt;20)),"WL out of range; ","")&amp;IF(AND(ISNUMBER(BX12),BX13=""),"no TP/b; ","")&amp;IF(AND(ISNUMBER(BX19),ISNUMBER(BX20)),IF(BX20&lt;BX19,"After&lt;Before; ",""),"")&amp;IF(AND(ISNUMBER(BX12),ISNUMBER(BX16)&lt;&gt;ISNUMBER(BX17)),"irrigation readings missing; ","")&amp;IF(ISNUMBER(BX23),IF(AND(ABS(BX23)&gt;50,NOT(N(BX8)&gt;0)),"WL jump &gt;5 cm; ",""),""))</f>
        <v/>
      </c>
      <c r="BY30" s="26">
        <f>IF(BY1="","",IF(AND(ISNUMBER(BY13),OR(BY13&lt;-30,BY13&gt;20)),"WL out of range; ","")&amp;IF(AND(ISNUMBER(BY12),BY13=""),"no TP/b; ","")&amp;IF(AND(ISNUMBER(BY19),ISNUMBER(BY20)),IF(BY20&lt;BY19,"After&lt;Before; ",""),"")&amp;IF(AND(ISNUMBER(BY12),ISNUMBER(BY16)&lt;&gt;ISNUMBER(BY17)),"irrigation readings missing; ","")&amp;IF(ISNUMBER(BY23),IF(AND(ABS(BY23)&gt;50,NOT(N(BY8)&gt;0)),"WL jump &gt;5 cm; ",""),""))</f>
        <v/>
      </c>
      <c r="BZ30" s="26">
        <f>IF(BZ1="","",IF(AND(ISNUMBER(BZ13),OR(BZ13&lt;-30,BZ13&gt;20)),"WL out of range; ","")&amp;IF(AND(ISNUMBER(BZ12),BZ13=""),"no TP/b; ","")&amp;IF(AND(ISNUMBER(BZ19),ISNUMBER(BZ20)),IF(BZ20&lt;BZ19,"After&lt;Before; ",""),"")&amp;IF(AND(ISNUMBER(BZ12),ISNUMBER(BZ16)&lt;&gt;ISNUMBER(BZ17)),"irrigation readings missing; ","")&amp;IF(ISNUMBER(BZ23),IF(AND(ABS(BZ23)&gt;50,NOT(N(BZ8)&gt;0)),"WL jump &gt;5 cm; ",""),""))</f>
        <v/>
      </c>
      <c r="CA30" s="26">
        <f>IF(CA1="","",IF(AND(ISNUMBER(CA13),OR(CA13&lt;-30,CA13&gt;20)),"WL out of range; ","")&amp;IF(AND(ISNUMBER(CA12),CA13=""),"no TP/b; ","")&amp;IF(AND(ISNUMBER(CA19),ISNUMBER(CA20)),IF(CA20&lt;CA19,"After&lt;Before; ",""),"")&amp;IF(AND(ISNUMBER(CA12),ISNUMBER(CA16)&lt;&gt;ISNUMBER(CA17)),"irrigation readings missing; ","")&amp;IF(ISNUMBER(CA23),IF(AND(ABS(CA23)&gt;50,NOT(N(CA8)&gt;0)),"WL jump &gt;5 cm; ",""),""))</f>
        <v/>
      </c>
      <c r="CB30" s="26">
        <f>IF(CB1="","",IF(AND(ISNUMBER(CB13),OR(CB13&lt;-30,CB13&gt;20)),"WL out of range; ","")&amp;IF(AND(ISNUMBER(CB12),CB13=""),"no TP/b; ","")&amp;IF(AND(ISNUMBER(CB19),ISNUMBER(CB20)),IF(CB20&lt;CB19,"After&lt;Before; ",""),"")&amp;IF(AND(ISNUMBER(CB12),ISNUMBER(CB16)&lt;&gt;ISNUMBER(CB17)),"irrigation readings missing; ","")&amp;IF(ISNUMBER(CB23),IF(AND(ABS(CB23)&gt;50,NOT(N(CB8)&gt;0)),"WL jump &gt;5 cm; ",""),""))</f>
        <v/>
      </c>
      <c r="CC30" s="26">
        <f>IF(CC1="","",IF(AND(ISNUMBER(CC13),OR(CC13&lt;-30,CC13&gt;20)),"WL out of range; ","")&amp;IF(AND(ISNUMBER(CC12),CC13=""),"no TP/b; ","")&amp;IF(AND(ISNUMBER(CC19),ISNUMBER(CC20)),IF(CC20&lt;CC19,"After&lt;Before; ",""),"")&amp;IF(AND(ISNUMBER(CC12),ISNUMBER(CC16)&lt;&gt;ISNUMBER(CC17)),"irrigation readings missing; ","")&amp;IF(ISNUMBER(CC23),IF(AND(ABS(CC23)&gt;50,NOT(N(CC8)&gt;0)),"WL jump &gt;5 cm; ",""),""))</f>
        <v/>
      </c>
      <c r="CD30" s="26">
        <f>IF(CD1="","",IF(AND(ISNUMBER(CD13),OR(CD13&lt;-30,CD13&gt;20)),"WL out of range; ","")&amp;IF(AND(ISNUMBER(CD12),CD13=""),"no TP/b; ","")&amp;IF(AND(ISNUMBER(CD19),ISNUMBER(CD20)),IF(CD20&lt;CD19,"After&lt;Before; ",""),"")&amp;IF(AND(ISNUMBER(CD12),ISNUMBER(CD16)&lt;&gt;ISNUMBER(CD17)),"irrigation readings missing; ","")&amp;IF(ISNUMBER(CD23),IF(AND(ABS(CD23)&gt;50,NOT(N(CD8)&gt;0)),"WL jump &gt;5 cm; ",""),""))</f>
        <v/>
      </c>
      <c r="CE30" s="26">
        <f>IF(CE1="","",IF(AND(ISNUMBER(CE13),OR(CE13&lt;-30,CE13&gt;20)),"WL out of range; ","")&amp;IF(AND(ISNUMBER(CE12),CE13=""),"no TP/b; ","")&amp;IF(AND(ISNUMBER(CE19),ISNUMBER(CE20)),IF(CE20&lt;CE19,"After&lt;Before; ",""),"")&amp;IF(AND(ISNUMBER(CE12),ISNUMBER(CE16)&lt;&gt;ISNUMBER(CE17)),"irrigation readings missing; ","")&amp;IF(ISNUMBER(CE23),IF(AND(ABS(CE23)&gt;50,NOT(N(CE8)&gt;0)),"WL jump &gt;5 cm; ",""),""))</f>
        <v/>
      </c>
      <c r="CF30" s="26">
        <f>IF(CF1="","",IF(AND(ISNUMBER(CF13),OR(CF13&lt;-30,CF13&gt;20)),"WL out of range; ","")&amp;IF(AND(ISNUMBER(CF12),CF13=""),"no TP/b; ","")&amp;IF(AND(ISNUMBER(CF19),ISNUMBER(CF20)),IF(CF20&lt;CF19,"After&lt;Before; ",""),"")&amp;IF(AND(ISNUMBER(CF12),ISNUMBER(CF16)&lt;&gt;ISNUMBER(CF17)),"irrigation readings missing; ","")&amp;IF(ISNUMBER(CF23),IF(AND(ABS(CF23)&gt;50,NOT(N(CF8)&gt;0)),"WL jump &gt;5 cm; ",""),""))</f>
        <v/>
      </c>
      <c r="CG30" s="26">
        <f>IF(CG1="","",IF(AND(ISNUMBER(CG13),OR(CG13&lt;-30,CG13&gt;20)),"WL out of range; ","")&amp;IF(AND(ISNUMBER(CG12),CG13=""),"no TP/b; ","")&amp;IF(AND(ISNUMBER(CG19),ISNUMBER(CG20)),IF(CG20&lt;CG19,"After&lt;Before; ",""),"")&amp;IF(AND(ISNUMBER(CG12),ISNUMBER(CG16)&lt;&gt;ISNUMBER(CG17)),"irrigation readings missing; ","")&amp;IF(ISNUMBER(CG23),IF(AND(ABS(CG23)&gt;50,NOT(N(CG8)&gt;0)),"WL jump &gt;5 cm; ",""),""))</f>
        <v/>
      </c>
      <c r="CH30" s="26">
        <f>IF(CH1="","",IF(AND(ISNUMBER(CH13),OR(CH13&lt;-30,CH13&gt;20)),"WL out of range; ","")&amp;IF(AND(ISNUMBER(CH12),CH13=""),"no TP/b; ","")&amp;IF(AND(ISNUMBER(CH19),ISNUMBER(CH20)),IF(CH20&lt;CH19,"After&lt;Before; ",""),"")&amp;IF(AND(ISNUMBER(CH12),ISNUMBER(CH16)&lt;&gt;ISNUMBER(CH17)),"irrigation readings missing; ","")&amp;IF(ISNUMBER(CH23),IF(AND(ABS(CH23)&gt;50,NOT(N(CH8)&gt;0)),"WL jump &gt;5 cm; ",""),""))</f>
        <v/>
      </c>
      <c r="CI30" s="26">
        <f>IF(CI1="","",IF(AND(ISNUMBER(CI13),OR(CI13&lt;-30,CI13&gt;20)),"WL out of range; ","")&amp;IF(AND(ISNUMBER(CI12),CI13=""),"no TP/b; ","")&amp;IF(AND(ISNUMBER(CI19),ISNUMBER(CI20)),IF(CI20&lt;CI19,"After&lt;Before; ",""),"")&amp;IF(AND(ISNUMBER(CI12),ISNUMBER(CI16)&lt;&gt;ISNUMBER(CI17)),"irrigation readings missing; ","")&amp;IF(ISNUMBER(CI23),IF(AND(ABS(CI23)&gt;50,NOT(N(CI8)&gt;0)),"WL jump &gt;5 cm; ",""),""))</f>
        <v/>
      </c>
      <c r="CJ30" s="26">
        <f>IF(CJ1="","",IF(AND(ISNUMBER(CJ13),OR(CJ13&lt;-30,CJ13&gt;20)),"WL out of range; ","")&amp;IF(AND(ISNUMBER(CJ12),CJ13=""),"no TP/b; ","")&amp;IF(AND(ISNUMBER(CJ19),ISNUMBER(CJ20)),IF(CJ20&lt;CJ19,"After&lt;Before; ",""),"")&amp;IF(AND(ISNUMBER(CJ12),ISNUMBER(CJ16)&lt;&gt;ISNUMBER(CJ17)),"irrigation readings missing; ","")&amp;IF(ISNUMBER(CJ23),IF(AND(ABS(CJ23)&gt;50,NOT(N(CJ8)&gt;0)),"WL jump &gt;5 cm; ",""),""))</f>
        <v/>
      </c>
      <c r="CK30" s="26">
        <f>IF(CK1="","",IF(AND(ISNUMBER(CK13),OR(CK13&lt;-30,CK13&gt;20)),"WL out of range; ","")&amp;IF(AND(ISNUMBER(CK12),CK13=""),"no TP/b; ","")&amp;IF(AND(ISNUMBER(CK19),ISNUMBER(CK20)),IF(CK20&lt;CK19,"After&lt;Before; ",""),"")&amp;IF(AND(ISNUMBER(CK12),ISNUMBER(CK16)&lt;&gt;ISNUMBER(CK17)),"irrigation readings missing; ","")&amp;IF(ISNUMBER(CK23),IF(AND(ABS(CK23)&gt;50,NOT(N(CK8)&gt;0)),"WL jump &gt;5 cm; ",""),""))</f>
        <v/>
      </c>
      <c r="CL30" s="26">
        <f>IF(CL1="","",IF(AND(ISNUMBER(CL13),OR(CL13&lt;-30,CL13&gt;20)),"WL out of range; ","")&amp;IF(AND(ISNUMBER(CL12),CL13=""),"no TP/b; ","")&amp;IF(AND(ISNUMBER(CL19),ISNUMBER(CL20)),IF(CL20&lt;CL19,"After&lt;Before; ",""),"")&amp;IF(AND(ISNUMBER(CL12),ISNUMBER(CL16)&lt;&gt;ISNUMBER(CL17)),"irrigation readings missing; ","")&amp;IF(ISNUMBER(CL23),IF(AND(ABS(CL23)&gt;50,NOT(N(CL8)&gt;0)),"WL jump &gt;5 cm; ",""),""))</f>
        <v/>
      </c>
      <c r="CM30" s="26">
        <f>IF(CM1="","",IF(AND(ISNUMBER(CM13),OR(CM13&lt;-30,CM13&gt;20)),"WL out of range; ","")&amp;IF(AND(ISNUMBER(CM12),CM13=""),"no TP/b; ","")&amp;IF(AND(ISNUMBER(CM19),ISNUMBER(CM20)),IF(CM20&lt;CM19,"After&lt;Before; ",""),"")&amp;IF(AND(ISNUMBER(CM12),ISNUMBER(CM16)&lt;&gt;ISNUMBER(CM17)),"irrigation readings missing; ","")&amp;IF(ISNUMBER(CM23),IF(AND(ABS(CM23)&gt;50,NOT(N(CM8)&gt;0)),"WL jump &gt;5 cm; ",""),""))</f>
        <v/>
      </c>
      <c r="CN30" s="26">
        <f>IF(CN1="","",IF(AND(ISNUMBER(CN13),OR(CN13&lt;-30,CN13&gt;20)),"WL out of range; ","")&amp;IF(AND(ISNUMBER(CN12),CN13=""),"no TP/b; ","")&amp;IF(AND(ISNUMBER(CN19),ISNUMBER(CN20)),IF(CN20&lt;CN19,"After&lt;Before; ",""),"")&amp;IF(AND(ISNUMBER(CN12),ISNUMBER(CN16)&lt;&gt;ISNUMBER(CN17)),"irrigation readings missing; ","")&amp;IF(ISNUMBER(CN23),IF(AND(ABS(CN23)&gt;50,NOT(N(CN8)&gt;0)),"WL jump &gt;5 cm; ",""),""))</f>
        <v/>
      </c>
      <c r="CO30" s="26">
        <f>IF(CO1="","",IF(AND(ISNUMBER(CO13),OR(CO13&lt;-30,CO13&gt;20)),"WL out of range; ","")&amp;IF(AND(ISNUMBER(CO12),CO13=""),"no TP/b; ","")&amp;IF(AND(ISNUMBER(CO19),ISNUMBER(CO20)),IF(CO20&lt;CO19,"After&lt;Before; ",""),"")&amp;IF(AND(ISNUMBER(CO12),ISNUMBER(CO16)&lt;&gt;ISNUMBER(CO17)),"irrigation readings missing; ","")&amp;IF(ISNUMBER(CO23),IF(AND(ABS(CO23)&gt;50,NOT(N(CO8)&gt;0)),"WL jump &gt;5 cm; ",""),""))</f>
        <v/>
      </c>
      <c r="CP30" s="26">
        <f>IF(CP1="","",IF(AND(ISNUMBER(CP13),OR(CP13&lt;-30,CP13&gt;20)),"WL out of range; ","")&amp;IF(AND(ISNUMBER(CP12),CP13=""),"no TP/b; ","")&amp;IF(AND(ISNUMBER(CP19),ISNUMBER(CP20)),IF(CP20&lt;CP19,"After&lt;Before; ",""),"")&amp;IF(AND(ISNUMBER(CP12),ISNUMBER(CP16)&lt;&gt;ISNUMBER(CP17)),"irrigation readings missing; ","")&amp;IF(ISNUMBER(CP23),IF(AND(ABS(CP23)&gt;50,NOT(N(CP8)&gt;0)),"WL jump &gt;5 cm; ",""),""))</f>
        <v/>
      </c>
      <c r="CQ30" s="26">
        <f>IF(CQ1="","",IF(AND(ISNUMBER(CQ13),OR(CQ13&lt;-30,CQ13&gt;20)),"WL out of range; ","")&amp;IF(AND(ISNUMBER(CQ12),CQ13=""),"no TP/b; ","")&amp;IF(AND(ISNUMBER(CQ19),ISNUMBER(CQ20)),IF(CQ20&lt;CQ19,"After&lt;Before; ",""),"")&amp;IF(AND(ISNUMBER(CQ12),ISNUMBER(CQ16)&lt;&gt;ISNUMBER(CQ17)),"irrigation readings missing; ","")&amp;IF(ISNUMBER(CQ23),IF(AND(ABS(CQ23)&gt;50,NOT(N(CQ8)&gt;0)),"WL jump &gt;5 cm; ",""),""))</f>
        <v/>
      </c>
      <c r="CR30" s="26">
        <f>IF(CR1="","",IF(AND(ISNUMBER(CR13),OR(CR13&lt;-30,CR13&gt;20)),"WL out of range; ","")&amp;IF(AND(ISNUMBER(CR12),CR13=""),"no TP/b; ","")&amp;IF(AND(ISNUMBER(CR19),ISNUMBER(CR20)),IF(CR20&lt;CR19,"After&lt;Before; ",""),"")&amp;IF(AND(ISNUMBER(CR12),ISNUMBER(CR16)&lt;&gt;ISNUMBER(CR17)),"irrigation readings missing; ","")&amp;IF(ISNUMBER(CR23),IF(AND(ABS(CR23)&gt;50,NOT(N(CR8)&gt;0)),"WL jump &gt;5 cm; ",""),""))</f>
        <v/>
      </c>
      <c r="CS30" s="26">
        <f>IF(CS1="","",IF(AND(ISNUMBER(CS13),OR(CS13&lt;-30,CS13&gt;20)),"WL out of range; ","")&amp;IF(AND(ISNUMBER(CS12),CS13=""),"no TP/b; ","")&amp;IF(AND(ISNUMBER(CS19),ISNUMBER(CS20)),IF(CS20&lt;CS19,"After&lt;Before; ",""),"")&amp;IF(AND(ISNUMBER(CS12),ISNUMBER(CS16)&lt;&gt;ISNUMBER(CS17)),"irrigation readings missing; ","")&amp;IF(ISNUMBER(CS23),IF(AND(ABS(CS23)&gt;50,NOT(N(CS8)&gt;0)),"WL jump &gt;5 cm; ",""),""))</f>
        <v/>
      </c>
      <c r="CT30" s="26">
        <f>IF(CT1="","",IF(AND(ISNUMBER(CT13),OR(CT13&lt;-30,CT13&gt;20)),"WL out of range; ","")&amp;IF(AND(ISNUMBER(CT12),CT13=""),"no TP/b; ","")&amp;IF(AND(ISNUMBER(CT19),ISNUMBER(CT20)),IF(CT20&lt;CT19,"After&lt;Before; ",""),"")&amp;IF(AND(ISNUMBER(CT12),ISNUMBER(CT16)&lt;&gt;ISNUMBER(CT17)),"irrigation readings missing; ","")&amp;IF(ISNUMBER(CT23),IF(AND(ABS(CT23)&gt;50,NOT(N(CT8)&gt;0)),"WL jump &gt;5 cm; ",""),""))</f>
        <v/>
      </c>
      <c r="CU30" s="26">
        <f>IF(CU1="","",IF(AND(ISNUMBER(CU13),OR(CU13&lt;-30,CU13&gt;20)),"WL out of range; ","")&amp;IF(AND(ISNUMBER(CU12),CU13=""),"no TP/b; ","")&amp;IF(AND(ISNUMBER(CU19),ISNUMBER(CU20)),IF(CU20&lt;CU19,"After&lt;Before; ",""),"")&amp;IF(AND(ISNUMBER(CU12),ISNUMBER(CU16)&lt;&gt;ISNUMBER(CU17)),"irrigation readings missing; ","")&amp;IF(ISNUMBER(CU23),IF(AND(ABS(CU23)&gt;50,NOT(N(CU8)&gt;0)),"WL jump &gt;5 cm; ",""),""))</f>
        <v/>
      </c>
      <c r="CV30" s="26">
        <f>IF(CV1="","",IF(AND(ISNUMBER(CV13),OR(CV13&lt;-30,CV13&gt;20)),"WL out of range; ","")&amp;IF(AND(ISNUMBER(CV12),CV13=""),"no TP/b; ","")&amp;IF(AND(ISNUMBER(CV19),ISNUMBER(CV20)),IF(CV20&lt;CV19,"After&lt;Before; ",""),"")&amp;IF(AND(ISNUMBER(CV12),ISNUMBER(CV16)&lt;&gt;ISNUMBER(CV17)),"irrigation readings missing; ","")&amp;IF(ISNUMBER(CV23),IF(AND(ABS(CV23)&gt;50,NOT(N(CV8)&gt;0)),"WL jump &gt;5 cm; ",""),""))</f>
        <v/>
      </c>
      <c r="CW30" s="26">
        <f>IF(CW1="","",IF(AND(ISNUMBER(CW13),OR(CW13&lt;-30,CW13&gt;20)),"WL out of range; ","")&amp;IF(AND(ISNUMBER(CW12),CW13=""),"no TP/b; ","")&amp;IF(AND(ISNUMBER(CW19),ISNUMBER(CW20)),IF(CW20&lt;CW19,"After&lt;Before; ",""),"")&amp;IF(AND(ISNUMBER(CW12),ISNUMBER(CW16)&lt;&gt;ISNUMBER(CW17)),"irrigation readings missing; ","")&amp;IF(ISNUMBER(CW23),IF(AND(ABS(CW23)&gt;50,NOT(N(CW8)&gt;0)),"WL jump &gt;5 cm; ",""),""))</f>
        <v/>
      </c>
      <c r="CX30" s="26">
        <f>IF(CX1="","",IF(AND(ISNUMBER(CX13),OR(CX13&lt;-30,CX13&gt;20)),"WL out of range; ","")&amp;IF(AND(ISNUMBER(CX12),CX13=""),"no TP/b; ","")&amp;IF(AND(ISNUMBER(CX19),ISNUMBER(CX20)),IF(CX20&lt;CX19,"After&lt;Before; ",""),"")&amp;IF(AND(ISNUMBER(CX12),ISNUMBER(CX16)&lt;&gt;ISNUMBER(CX17)),"irrigation readings missing; ","")&amp;IF(ISNUMBER(CX23),IF(AND(ABS(CX23)&gt;50,NOT(N(CX8)&gt;0)),"WL jump &gt;5 cm; ",""),""))</f>
        <v/>
      </c>
      <c r="CY30" s="26">
        <f>IF(CY1="","",IF(AND(ISNUMBER(CY13),OR(CY13&lt;-30,CY13&gt;20)),"WL out of range; ","")&amp;IF(AND(ISNUMBER(CY12),CY13=""),"no TP/b; ","")&amp;IF(AND(ISNUMBER(CY19),ISNUMBER(CY20)),IF(CY20&lt;CY19,"After&lt;Before; ",""),"")&amp;IF(AND(ISNUMBER(CY12),ISNUMBER(CY16)&lt;&gt;ISNUMBER(CY17)),"irrigation readings missing; ","")&amp;IF(ISNUMBER(CY23),IF(AND(ABS(CY23)&gt;50,NOT(N(CY8)&gt;0)),"WL jump &gt;5 cm; ",""),""))</f>
        <v/>
      </c>
      <c r="CZ30" s="26">
        <f>IF(CZ1="","",IF(AND(ISNUMBER(CZ13),OR(CZ13&lt;-30,CZ13&gt;20)),"WL out of range; ","")&amp;IF(AND(ISNUMBER(CZ12),CZ13=""),"no TP/b; ","")&amp;IF(AND(ISNUMBER(CZ19),ISNUMBER(CZ20)),IF(CZ20&lt;CZ19,"After&lt;Before; ",""),"")&amp;IF(AND(ISNUMBER(CZ12),ISNUMBER(CZ16)&lt;&gt;ISNUMBER(CZ17)),"irrigation readings missing; ","")&amp;IF(ISNUMBER(CZ23),IF(AND(ABS(CZ23)&gt;50,NOT(N(CZ8)&gt;0)),"WL jump &gt;5 cm; ",""),""))</f>
        <v/>
      </c>
      <c r="DA30" s="26">
        <f>IF(DA1="","",IF(AND(ISNUMBER(DA13),OR(DA13&lt;-30,DA13&gt;20)),"WL out of range; ","")&amp;IF(AND(ISNUMBER(DA12),DA13=""),"no TP/b; ","")&amp;IF(AND(ISNUMBER(DA19),ISNUMBER(DA20)),IF(DA20&lt;DA19,"After&lt;Before; ",""),"")&amp;IF(AND(ISNUMBER(DA12),ISNUMBER(DA16)&lt;&gt;ISNUMBER(DA17)),"irrigation readings missing; ","")&amp;IF(ISNUMBER(DA23),IF(AND(ABS(DA23)&gt;50,NOT(N(DA8)&gt;0)),"WL jump &gt;5 cm; ",""),""))</f>
        <v/>
      </c>
      <c r="DB30" s="26">
        <f>IF(DB1="","",IF(AND(ISNUMBER(DB13),OR(DB13&lt;-30,DB13&gt;20)),"WL out of range; ","")&amp;IF(AND(ISNUMBER(DB12),DB13=""),"no TP/b; ","")&amp;IF(AND(ISNUMBER(DB19),ISNUMBER(DB20)),IF(DB20&lt;DB19,"After&lt;Before; ",""),"")&amp;IF(AND(ISNUMBER(DB12),ISNUMBER(DB16)&lt;&gt;ISNUMBER(DB17)),"irrigation readings missing; ","")&amp;IF(ISNUMBER(DB23),IF(AND(ABS(DB23)&gt;50,NOT(N(DB8)&gt;0)),"WL jump &gt;5 cm; ",""),""))</f>
        <v/>
      </c>
      <c r="DC30" s="26">
        <f>IF(DC1="","",IF(AND(ISNUMBER(DC13),OR(DC13&lt;-30,DC13&gt;20)),"WL out of range; ","")&amp;IF(AND(ISNUMBER(DC12),DC13=""),"no TP/b; ","")&amp;IF(AND(ISNUMBER(DC19),ISNUMBER(DC20)),IF(DC20&lt;DC19,"After&lt;Before; ",""),"")&amp;IF(AND(ISNUMBER(DC12),ISNUMBER(DC16)&lt;&gt;ISNUMBER(DC17)),"irrigation readings missing; ","")&amp;IF(ISNUMBER(DC23),IF(AND(ABS(DC23)&gt;50,NOT(N(DC8)&gt;0)),"WL jump &gt;5 cm; ",""),""))</f>
        <v/>
      </c>
      <c r="DD30" s="26">
        <f>IF(DD1="","",IF(AND(ISNUMBER(DD13),OR(DD13&lt;-30,DD13&gt;20)),"WL out of range; ","")&amp;IF(AND(ISNUMBER(DD12),DD13=""),"no TP/b; ","")&amp;IF(AND(ISNUMBER(DD19),ISNUMBER(DD20)),IF(DD20&lt;DD19,"After&lt;Before; ",""),"")&amp;IF(AND(ISNUMBER(DD12),ISNUMBER(DD16)&lt;&gt;ISNUMBER(DD17)),"irrigation readings missing; ","")&amp;IF(ISNUMBER(DD23),IF(AND(ABS(DD23)&gt;50,NOT(N(DD8)&gt;0)),"WL jump &gt;5 cm; ",""),""))</f>
        <v/>
      </c>
      <c r="DE30" s="26">
        <f>IF(DE1="","",IF(AND(ISNUMBER(DE13),OR(DE13&lt;-30,DE13&gt;20)),"WL out of range; ","")&amp;IF(AND(ISNUMBER(DE12),DE13=""),"no TP/b; ","")&amp;IF(AND(ISNUMBER(DE19),ISNUMBER(DE20)),IF(DE20&lt;DE19,"After&lt;Before; ",""),"")&amp;IF(AND(ISNUMBER(DE12),ISNUMBER(DE16)&lt;&gt;ISNUMBER(DE17)),"irrigation readings missing; ","")&amp;IF(ISNUMBER(DE23),IF(AND(ABS(DE23)&gt;50,NOT(N(DE8)&gt;0)),"WL jump &gt;5 cm; ",""),""))</f>
        <v/>
      </c>
      <c r="DF30" s="26">
        <f>IF(DF1="","",IF(AND(ISNUMBER(DF13),OR(DF13&lt;-30,DF13&gt;20)),"WL out of range; ","")&amp;IF(AND(ISNUMBER(DF12),DF13=""),"no TP/b; ","")&amp;IF(AND(ISNUMBER(DF19),ISNUMBER(DF20)),IF(DF20&lt;DF19,"After&lt;Before; ",""),"")&amp;IF(AND(ISNUMBER(DF12),ISNUMBER(DF16)&lt;&gt;ISNUMBER(DF17)),"irrigation readings missing; ","")&amp;IF(ISNUMBER(DF23),IF(AND(ABS(DF23)&gt;50,NOT(N(DF8)&gt;0)),"WL jump &gt;5 cm; ",""),""))</f>
        <v/>
      </c>
      <c r="DG30" s="26">
        <f>IF(DG1="","",IF(AND(ISNUMBER(DG13),OR(DG13&lt;-30,DG13&gt;20)),"WL out of range; ","")&amp;IF(AND(ISNUMBER(DG12),DG13=""),"no TP/b; ","")&amp;IF(AND(ISNUMBER(DG19),ISNUMBER(DG20)),IF(DG20&lt;DG19,"After&lt;Before; ",""),"")&amp;IF(AND(ISNUMBER(DG12),ISNUMBER(DG16)&lt;&gt;ISNUMBER(DG17)),"irrigation readings missing; ","")&amp;IF(ISNUMBER(DG23),IF(AND(ABS(DG23)&gt;50,NOT(N(DG8)&gt;0)),"WL jump &gt;5 cm; ",""),""))</f>
        <v/>
      </c>
      <c r="DH30" s="26">
        <f>IF(DH1="","",IF(AND(ISNUMBER(DH13),OR(DH13&lt;-30,DH13&gt;20)),"WL out of range; ","")&amp;IF(AND(ISNUMBER(DH12),DH13=""),"no TP/b; ","")&amp;IF(AND(ISNUMBER(DH19),ISNUMBER(DH20)),IF(DH20&lt;DH19,"After&lt;Before; ",""),"")&amp;IF(AND(ISNUMBER(DH12),ISNUMBER(DH16)&lt;&gt;ISNUMBER(DH17)),"irrigation readings missing; ","")&amp;IF(ISNUMBER(DH23),IF(AND(ABS(DH23)&gt;50,NOT(N(DH8)&gt;0)),"WL jump &gt;5 cm; ",""),""))</f>
        <v/>
      </c>
      <c r="DI30" s="26">
        <f>IF(DI1="","",IF(AND(ISNUMBER(DI13),OR(DI13&lt;-30,DI13&gt;20)),"WL out of range; ","")&amp;IF(AND(ISNUMBER(DI12),DI13=""),"no TP/b; ","")&amp;IF(AND(ISNUMBER(DI19),ISNUMBER(DI20)),IF(DI20&lt;DI19,"After&lt;Before; ",""),"")&amp;IF(AND(ISNUMBER(DI12),ISNUMBER(DI16)&lt;&gt;ISNUMBER(DI17)),"irrigation readings missing; ","")&amp;IF(ISNUMBER(DI23),IF(AND(ABS(DI23)&gt;50,NOT(N(DI8)&gt;0)),"WL jump &gt;5 cm; ",""),""))</f>
        <v/>
      </c>
      <c r="DJ30" s="26">
        <f>IF(DJ1="","",IF(AND(ISNUMBER(DJ13),OR(DJ13&lt;-30,DJ13&gt;20)),"WL out of range; ","")&amp;IF(AND(ISNUMBER(DJ12),DJ13=""),"no TP/b; ","")&amp;IF(AND(ISNUMBER(DJ19),ISNUMBER(DJ20)),IF(DJ20&lt;DJ19,"After&lt;Before; ",""),"")&amp;IF(AND(ISNUMBER(DJ12),ISNUMBER(DJ16)&lt;&gt;ISNUMBER(DJ17)),"irrigation readings missing; ","")&amp;IF(ISNUMBER(DJ23),IF(AND(ABS(DJ23)&gt;50,NOT(N(DJ8)&gt;0)),"WL jump &gt;5 cm; ",""),""))</f>
        <v/>
      </c>
      <c r="DK30" s="26">
        <f>IF(DK1="","",IF(AND(ISNUMBER(DK13),OR(DK13&lt;-30,DK13&gt;20)),"WL out of range; ","")&amp;IF(AND(ISNUMBER(DK12),DK13=""),"no TP/b; ","")&amp;IF(AND(ISNUMBER(DK19),ISNUMBER(DK20)),IF(DK20&lt;DK19,"After&lt;Before; ",""),"")&amp;IF(AND(ISNUMBER(DK12),ISNUMBER(DK16)&lt;&gt;ISNUMBER(DK17)),"irrigation readings missing; ","")&amp;IF(ISNUMBER(DK23),IF(AND(ABS(DK23)&gt;50,NOT(N(DK8)&gt;0)),"WL jump &gt;5 cm; ",""),""))</f>
        <v/>
      </c>
      <c r="DL30" s="26">
        <f>IF(DL1="","",IF(AND(ISNUMBER(DL13),OR(DL13&lt;-30,DL13&gt;20)),"WL out of range; ","")&amp;IF(AND(ISNUMBER(DL12),DL13=""),"no TP/b; ","")&amp;IF(AND(ISNUMBER(DL19),ISNUMBER(DL20)),IF(DL20&lt;DL19,"After&lt;Before; ",""),"")&amp;IF(AND(ISNUMBER(DL12),ISNUMBER(DL16)&lt;&gt;ISNUMBER(DL17)),"irrigation readings missing; ","")&amp;IF(ISNUMBER(DL23),IF(AND(ABS(DL23)&gt;50,NOT(N(DL8)&gt;0)),"WL jump &gt;5 cm; ",""),""))</f>
        <v/>
      </c>
      <c r="DM30" s="26">
        <f>IF(DM1="","",IF(AND(ISNUMBER(DM13),OR(DM13&lt;-30,DM13&gt;20)),"WL out of range; ","")&amp;IF(AND(ISNUMBER(DM12),DM13=""),"no TP/b; ","")&amp;IF(AND(ISNUMBER(DM19),ISNUMBER(DM20)),IF(DM20&lt;DM19,"After&lt;Before; ",""),"")&amp;IF(AND(ISNUMBER(DM12),ISNUMBER(DM16)&lt;&gt;ISNUMBER(DM17)),"irrigation readings missing; ","")&amp;IF(ISNUMBER(DM23),IF(AND(ABS(DM23)&gt;50,NOT(N(DM8)&gt;0)),"WL jump &gt;5 cm; ",""),""))</f>
        <v/>
      </c>
      <c r="DN30" s="26">
        <f>IF(DN1="","",IF(AND(ISNUMBER(DN13),OR(DN13&lt;-30,DN13&gt;20)),"WL out of range; ","")&amp;IF(AND(ISNUMBER(DN12),DN13=""),"no TP/b; ","")&amp;IF(AND(ISNUMBER(DN19),ISNUMBER(DN20)),IF(DN20&lt;DN19,"After&lt;Before; ",""),"")&amp;IF(AND(ISNUMBER(DN12),ISNUMBER(DN16)&lt;&gt;ISNUMBER(DN17)),"irrigation readings missing; ","")&amp;IF(ISNUMBER(DN23),IF(AND(ABS(DN23)&gt;50,NOT(N(DN8)&gt;0)),"WL jump &gt;5 cm; ",""),""))</f>
        <v/>
      </c>
      <c r="DO30" s="26">
        <f>IF(DO1="","",IF(AND(ISNUMBER(DO13),OR(DO13&lt;-30,DO13&gt;20)),"WL out of range; ","")&amp;IF(AND(ISNUMBER(DO12),DO13=""),"no TP/b; ","")&amp;IF(AND(ISNUMBER(DO19),ISNUMBER(DO20)),IF(DO20&lt;DO19,"After&lt;Before; ",""),"")&amp;IF(AND(ISNUMBER(DO12),ISNUMBER(DO16)&lt;&gt;ISNUMBER(DO17)),"irrigation readings missing; ","")&amp;IF(ISNUMBER(DO23),IF(AND(ABS(DO23)&gt;50,NOT(N(DO8)&gt;0)),"WL jump &gt;5 cm; ",""),""))</f>
        <v/>
      </c>
      <c r="DP30" s="26">
        <f>IF(DP1="","",IF(AND(ISNUMBER(DP13),OR(DP13&lt;-30,DP13&gt;20)),"WL out of range; ","")&amp;IF(AND(ISNUMBER(DP12),DP13=""),"no TP/b; ","")&amp;IF(AND(ISNUMBER(DP19),ISNUMBER(DP20)),IF(DP20&lt;DP19,"After&lt;Before; ",""),"")&amp;IF(AND(ISNUMBER(DP12),ISNUMBER(DP16)&lt;&gt;ISNUMBER(DP17)),"irrigation readings missing; ","")&amp;IF(ISNUMBER(DP23),IF(AND(ABS(DP23)&gt;50,NOT(N(DP8)&gt;0)),"WL jump &gt;5 cm; ",""),""))</f>
        <v/>
      </c>
      <c r="DQ30" s="26">
        <f>IF(DQ1="","",IF(AND(ISNUMBER(DQ13),OR(DQ13&lt;-30,DQ13&gt;20)),"WL out of range; ","")&amp;IF(AND(ISNUMBER(DQ12),DQ13=""),"no TP/b; ","")&amp;IF(AND(ISNUMBER(DQ19),ISNUMBER(DQ20)),IF(DQ20&lt;DQ19,"After&lt;Before; ",""),"")&amp;IF(AND(ISNUMBER(DQ12),ISNUMBER(DQ16)&lt;&gt;ISNUMBER(DQ17)),"irrigation readings missing; ","")&amp;IF(ISNUMBER(DQ23),IF(AND(ABS(DQ23)&gt;50,NOT(N(DQ8)&gt;0)),"WL jump &gt;5 cm; ",""),""))</f>
        <v/>
      </c>
      <c r="DR30" s="26">
        <f>IF(DR1="","",IF(AND(ISNUMBER(DR13),OR(DR13&lt;-30,DR13&gt;20)),"WL out of range; ","")&amp;IF(AND(ISNUMBER(DR12),DR13=""),"no TP/b; ","")&amp;IF(AND(ISNUMBER(DR19),ISNUMBER(DR20)),IF(DR20&lt;DR19,"After&lt;Before; ",""),"")&amp;IF(AND(ISNUMBER(DR12),ISNUMBER(DR16)&lt;&gt;ISNUMBER(DR17)),"irrigation readings missing; ","")&amp;IF(ISNUMBER(DR23),IF(AND(ABS(DR23)&gt;50,NOT(N(DR8)&gt;0)),"WL jump &gt;5 cm; ",""),""))</f>
        <v/>
      </c>
      <c r="DS30" s="26">
        <f>IF(DS1="","",IF(AND(ISNUMBER(DS13),OR(DS13&lt;-30,DS13&gt;20)),"WL out of range; ","")&amp;IF(AND(ISNUMBER(DS12),DS13=""),"no TP/b; ","")&amp;IF(AND(ISNUMBER(DS19),ISNUMBER(DS20)),IF(DS20&lt;DS19,"After&lt;Before; ",""),"")&amp;IF(AND(ISNUMBER(DS12),ISNUMBER(DS16)&lt;&gt;ISNUMBER(DS17)),"irrigation readings missing; ","")&amp;IF(ISNUMBER(DS23),IF(AND(ABS(DS23)&gt;50,NOT(N(DS8)&gt;0)),"WL jump &gt;5 cm; ",""),""))</f>
        <v/>
      </c>
      <c r="DT30" s="26">
        <f>IF(DT1="","",IF(AND(ISNUMBER(DT13),OR(DT13&lt;-30,DT13&gt;20)),"WL out of range; ","")&amp;IF(AND(ISNUMBER(DT12),DT13=""),"no TP/b; ","")&amp;IF(AND(ISNUMBER(DT19),ISNUMBER(DT20)),IF(DT20&lt;DT19,"After&lt;Before; ",""),"")&amp;IF(AND(ISNUMBER(DT12),ISNUMBER(DT16)&lt;&gt;ISNUMBER(DT17)),"irrigation readings missing; ","")&amp;IF(ISNUMBER(DT23),IF(AND(ABS(DT23)&gt;50,NOT(N(DT8)&gt;0)),"WL jump &gt;5 cm; ",""),""))</f>
        <v/>
      </c>
      <c r="DU30" s="26">
        <f>IF(DU1="","",IF(AND(ISNUMBER(DU13),OR(DU13&lt;-30,DU13&gt;20)),"WL out of range; ","")&amp;IF(AND(ISNUMBER(DU12),DU13=""),"no TP/b; ","")&amp;IF(AND(ISNUMBER(DU19),ISNUMBER(DU20)),IF(DU20&lt;DU19,"After&lt;Before; ",""),"")&amp;IF(AND(ISNUMBER(DU12),ISNUMBER(DU16)&lt;&gt;ISNUMBER(DU17)),"irrigation readings missing; ","")&amp;IF(ISNUMBER(DU23),IF(AND(ABS(DU23)&gt;50,NOT(N(DU8)&gt;0)),"WL jump &gt;5 cm; ",""),""))</f>
        <v/>
      </c>
      <c r="DV30" s="26">
        <f>IF(DV1="","",IF(AND(ISNUMBER(DV13),OR(DV13&lt;-30,DV13&gt;20)),"WL out of range; ","")&amp;IF(AND(ISNUMBER(DV12),DV13=""),"no TP/b; ","")&amp;IF(AND(ISNUMBER(DV19),ISNUMBER(DV20)),IF(DV20&lt;DV19,"After&lt;Before; ",""),"")&amp;IF(AND(ISNUMBER(DV12),ISNUMBER(DV16)&lt;&gt;ISNUMBER(DV17)),"irrigation readings missing; ","")&amp;IF(ISNUMBER(DV23),IF(AND(ABS(DV23)&gt;50,NOT(N(DV8)&gt;0)),"WL jump &gt;5 cm; ",""),""))</f>
        <v/>
      </c>
      <c r="DW30" s="26">
        <f>IF(DW1="","",IF(AND(ISNUMBER(DW13),OR(DW13&lt;-30,DW13&gt;20)),"WL out of range; ","")&amp;IF(AND(ISNUMBER(DW12),DW13=""),"no TP/b; ","")&amp;IF(AND(ISNUMBER(DW19),ISNUMBER(DW20)),IF(DW20&lt;DW19,"After&lt;Before; ",""),"")&amp;IF(AND(ISNUMBER(DW12),ISNUMBER(DW16)&lt;&gt;ISNUMBER(DW17)),"irrigation readings missing; ","")&amp;IF(ISNUMBER(DW23),IF(AND(ABS(DW23)&gt;50,NOT(N(DW8)&gt;0)),"WL jump &gt;5 cm; ",""),""))</f>
        <v/>
      </c>
      <c r="DX30" s="26">
        <f>IF(DX1="","",IF(AND(ISNUMBER(DX13),OR(DX13&lt;-30,DX13&gt;20)),"WL out of range; ","")&amp;IF(AND(ISNUMBER(DX12),DX13=""),"no TP/b; ","")&amp;IF(AND(ISNUMBER(DX19),ISNUMBER(DX20)),IF(DX20&lt;DX19,"After&lt;Before; ",""),"")&amp;IF(AND(ISNUMBER(DX12),ISNUMBER(DX16)&lt;&gt;ISNUMBER(DX17)),"irrigation readings missing; ","")&amp;IF(ISNUMBER(DX23),IF(AND(ABS(DX23)&gt;50,NOT(N(DX8)&gt;0)),"WL jump &gt;5 cm; ",""),""))</f>
        <v/>
      </c>
      <c r="DY30" s="26">
        <f>IF(DY1="","",IF(AND(ISNUMBER(DY13),OR(DY13&lt;-30,DY13&gt;20)),"WL out of range; ","")&amp;IF(AND(ISNUMBER(DY12),DY13=""),"no TP/b; ","")&amp;IF(AND(ISNUMBER(DY19),ISNUMBER(DY20)),IF(DY20&lt;DY19,"After&lt;Before; ",""),"")&amp;IF(AND(ISNUMBER(DY12),ISNUMBER(DY16)&lt;&gt;ISNUMBER(DY17)),"irrigation readings missing; ","")&amp;IF(ISNUMBER(DY23),IF(AND(ABS(DY23)&gt;50,NOT(N(DY8)&gt;0)),"WL jump &gt;5 cm; ",""),""))</f>
        <v/>
      </c>
      <c r="DZ30" s="26">
        <f>IF(DZ1="","",IF(AND(ISNUMBER(DZ13),OR(DZ13&lt;-30,DZ13&gt;20)),"WL out of range; ","")&amp;IF(AND(ISNUMBER(DZ12),DZ13=""),"no TP/b; ","")&amp;IF(AND(ISNUMBER(DZ19),ISNUMBER(DZ20)),IF(DZ20&lt;DZ19,"After&lt;Before; ",""),"")&amp;IF(AND(ISNUMBER(DZ12),ISNUMBER(DZ16)&lt;&gt;ISNUMBER(DZ17)),"irrigation readings missing; ","")&amp;IF(ISNUMBER(DZ23),IF(AND(ABS(DZ23)&gt;50,NOT(N(DZ8)&gt;0)),"WL jump &gt;5 cm; ",""),""))</f>
        <v/>
      </c>
      <c r="EA30" s="26">
        <f>IF(EA1="","",IF(AND(ISNUMBER(EA13),OR(EA13&lt;-30,EA13&gt;20)),"WL out of range; ","")&amp;IF(AND(ISNUMBER(EA12),EA13=""),"no TP/b; ","")&amp;IF(AND(ISNUMBER(EA19),ISNUMBER(EA20)),IF(EA20&lt;EA19,"After&lt;Before; ",""),"")&amp;IF(AND(ISNUMBER(EA12),ISNUMBER(EA16)&lt;&gt;ISNUMBER(EA17)),"irrigation readings missing; ","")&amp;IF(ISNUMBER(EA23),IF(AND(ABS(EA23)&gt;50,NOT(N(EA8)&gt;0)),"WL jump &gt;5 cm; ",""),""))</f>
        <v/>
      </c>
      <c r="EB30" s="26">
        <f>IF(EB1="","",IF(AND(ISNUMBER(EB13),OR(EB13&lt;-30,EB13&gt;20)),"WL out of range; ","")&amp;IF(AND(ISNUMBER(EB12),EB13=""),"no TP/b; ","")&amp;IF(AND(ISNUMBER(EB19),ISNUMBER(EB20)),IF(EB20&lt;EB19,"After&lt;Before; ",""),"")&amp;IF(AND(ISNUMBER(EB12),ISNUMBER(EB16)&lt;&gt;ISNUMBER(EB17)),"irrigation readings missing; ","")&amp;IF(ISNUMBER(EB23),IF(AND(ABS(EB23)&gt;50,NOT(N(EB8)&gt;0)),"WL jump &gt;5 cm; ",""),""))</f>
        <v/>
      </c>
      <c r="EC30" s="26">
        <f>IF(EC1="","",IF(AND(ISNUMBER(EC13),OR(EC13&lt;-30,EC13&gt;20)),"WL out of range; ","")&amp;IF(AND(ISNUMBER(EC12),EC13=""),"no TP/b; ","")&amp;IF(AND(ISNUMBER(EC19),ISNUMBER(EC20)),IF(EC20&lt;EC19,"After&lt;Before; ",""),"")&amp;IF(AND(ISNUMBER(EC12),ISNUMBER(EC16)&lt;&gt;ISNUMBER(EC17)),"irrigation readings missing; ","")&amp;IF(ISNUMBER(EC23),IF(AND(ABS(EC23)&gt;50,NOT(N(EC8)&gt;0)),"WL jump &gt;5 cm; ",""),""))</f>
        <v/>
      </c>
      <c r="ED30" s="26">
        <f>IF(ED1="","",IF(AND(ISNUMBER(ED13),OR(ED13&lt;-30,ED13&gt;20)),"WL out of range; ","")&amp;IF(AND(ISNUMBER(ED12),ED13=""),"no TP/b; ","")&amp;IF(AND(ISNUMBER(ED19),ISNUMBER(ED20)),IF(ED20&lt;ED19,"After&lt;Before; ",""),"")&amp;IF(AND(ISNUMBER(ED12),ISNUMBER(ED16)&lt;&gt;ISNUMBER(ED17)),"irrigation readings missing; ","")&amp;IF(ISNUMBER(ED23),IF(AND(ABS(ED23)&gt;50,NOT(N(ED8)&gt;0)),"WL jump &gt;5 cm; ",""),""))</f>
        <v/>
      </c>
      <c r="EE30" s="26">
        <f>IF(EE1="","",IF(AND(ISNUMBER(EE13),OR(EE13&lt;-30,EE13&gt;20)),"WL out of range; ","")&amp;IF(AND(ISNUMBER(EE12),EE13=""),"no TP/b; ","")&amp;IF(AND(ISNUMBER(EE19),ISNUMBER(EE20)),IF(EE20&lt;EE19,"After&lt;Before; ",""),"")&amp;IF(AND(ISNUMBER(EE12),ISNUMBER(EE16)&lt;&gt;ISNUMBER(EE17)),"irrigation readings missing; ","")&amp;IF(ISNUMBER(EE23),IF(AND(ABS(EE23)&gt;50,NOT(N(EE8)&gt;0)),"WL jump &gt;5 cm; ",""),""))</f>
        <v/>
      </c>
      <c r="EF30" s="26">
        <f>IF(EF1="","",IF(AND(ISNUMBER(EF13),OR(EF13&lt;-30,EF13&gt;20)),"WL out of range; ","")&amp;IF(AND(ISNUMBER(EF12),EF13=""),"no TP/b; ","")&amp;IF(AND(ISNUMBER(EF19),ISNUMBER(EF20)),IF(EF20&lt;EF19,"After&lt;Before; ",""),"")&amp;IF(AND(ISNUMBER(EF12),ISNUMBER(EF16)&lt;&gt;ISNUMBER(EF17)),"irrigation readings missing; ","")&amp;IF(ISNUMBER(EF23),IF(AND(ABS(EF23)&gt;50,NOT(N(EF8)&gt;0)),"WL jump &gt;5 cm; ",""),""))</f>
        <v/>
      </c>
      <c r="EG30" s="26">
        <f>IF(EG1="","",IF(AND(ISNUMBER(EG13),OR(EG13&lt;-30,EG13&gt;20)),"WL out of range; ","")&amp;IF(AND(ISNUMBER(EG12),EG13=""),"no TP/b; ","")&amp;IF(AND(ISNUMBER(EG19),ISNUMBER(EG20)),IF(EG20&lt;EG19,"After&lt;Before; ",""),"")&amp;IF(AND(ISNUMBER(EG12),ISNUMBER(EG16)&lt;&gt;ISNUMBER(EG17)),"irrigation readings missing; ","")&amp;IF(ISNUMBER(EG23),IF(AND(ABS(EG23)&gt;50,NOT(N(EG8)&gt;0)),"WL jump &gt;5 cm; ",""),""))</f>
        <v/>
      </c>
      <c r="EH30" s="26">
        <f>IF(EH1="","",IF(AND(ISNUMBER(EH13),OR(EH13&lt;-30,EH13&gt;20)),"WL out of range; ","")&amp;IF(AND(ISNUMBER(EH12),EH13=""),"no TP/b; ","")&amp;IF(AND(ISNUMBER(EH19),ISNUMBER(EH20)),IF(EH20&lt;EH19,"After&lt;Before; ",""),"")&amp;IF(AND(ISNUMBER(EH12),ISNUMBER(EH16)&lt;&gt;ISNUMBER(EH17)),"irrigation readings missing; ","")&amp;IF(ISNUMBER(EH23),IF(AND(ABS(EH23)&gt;50,NOT(N(EH8)&gt;0)),"WL jump &gt;5 cm; ",""),""))</f>
        <v/>
      </c>
      <c r="EI30" s="26">
        <f>IF(EI1="","",IF(AND(ISNUMBER(EI13),OR(EI13&lt;-30,EI13&gt;20)),"WL out of range; ","")&amp;IF(AND(ISNUMBER(EI12),EI13=""),"no TP/b; ","")&amp;IF(AND(ISNUMBER(EI19),ISNUMBER(EI20)),IF(EI20&lt;EI19,"After&lt;Before; ",""),"")&amp;IF(AND(ISNUMBER(EI12),ISNUMBER(EI16)&lt;&gt;ISNUMBER(EI17)),"irrigation readings missing; ","")&amp;IF(ISNUMBER(EI23),IF(AND(ABS(EI23)&gt;50,NOT(N(EI8)&gt;0)),"WL jump &gt;5 cm; ",""),""))</f>
        <v/>
      </c>
      <c r="EJ30" s="26">
        <f>IF(EJ1="","",IF(AND(ISNUMBER(EJ13),OR(EJ13&lt;-30,EJ13&gt;20)),"WL out of range; ","")&amp;IF(AND(ISNUMBER(EJ12),EJ13=""),"no TP/b; ","")&amp;IF(AND(ISNUMBER(EJ19),ISNUMBER(EJ20)),IF(EJ20&lt;EJ19,"After&lt;Before; ",""),"")&amp;IF(AND(ISNUMBER(EJ12),ISNUMBER(EJ16)&lt;&gt;ISNUMBER(EJ17)),"irrigation readings missing; ","")&amp;IF(ISNUMBER(EJ23),IF(AND(ABS(EJ23)&gt;50,NOT(N(EJ8)&gt;0)),"WL jump &gt;5 cm; ",""),""))</f>
        <v/>
      </c>
      <c r="EK30" s="26">
        <f>IF(EK1="","",IF(AND(ISNUMBER(EK13),OR(EK13&lt;-30,EK13&gt;20)),"WL out of range; ","")&amp;IF(AND(ISNUMBER(EK12),EK13=""),"no TP/b; ","")&amp;IF(AND(ISNUMBER(EK19),ISNUMBER(EK20)),IF(EK20&lt;EK19,"After&lt;Before; ",""),"")&amp;IF(AND(ISNUMBER(EK12),ISNUMBER(EK16)&lt;&gt;ISNUMBER(EK17)),"irrigation readings missing; ","")&amp;IF(ISNUMBER(EK23),IF(AND(ABS(EK23)&gt;50,NOT(N(EK8)&gt;0)),"WL jump &gt;5 cm; ",""),""))</f>
        <v/>
      </c>
      <c r="EL30" s="26">
        <f>IF(EL1="","",IF(AND(ISNUMBER(EL13),OR(EL13&lt;-30,EL13&gt;20)),"WL out of range; ","")&amp;IF(AND(ISNUMBER(EL12),EL13=""),"no TP/b; ","")&amp;IF(AND(ISNUMBER(EL19),ISNUMBER(EL20)),IF(EL20&lt;EL19,"After&lt;Before; ",""),"")&amp;IF(AND(ISNUMBER(EL12),ISNUMBER(EL16)&lt;&gt;ISNUMBER(EL17)),"irrigation readings missing; ","")&amp;IF(ISNUMBER(EL23),IF(AND(ABS(EL23)&gt;50,NOT(N(EL8)&gt;0)),"WL jump &gt;5 cm; ",""),""))</f>
        <v/>
      </c>
      <c r="EM30" s="26">
        <f>IF(EM1="","",IF(AND(ISNUMBER(EM13),OR(EM13&lt;-30,EM13&gt;20)),"WL out of range; ","")&amp;IF(AND(ISNUMBER(EM12),EM13=""),"no TP/b; ","")&amp;IF(AND(ISNUMBER(EM19),ISNUMBER(EM20)),IF(EM20&lt;EM19,"After&lt;Before; ",""),"")&amp;IF(AND(ISNUMBER(EM12),ISNUMBER(EM16)&lt;&gt;ISNUMBER(EM17)),"irrigation readings missing; ","")&amp;IF(ISNUMBER(EM23),IF(AND(ABS(EM23)&gt;50,NOT(N(EM8)&gt;0)),"WL jump &gt;5 cm; ",""),""))</f>
        <v/>
      </c>
      <c r="EN30" s="26">
        <f>IF(EN1="","",IF(AND(ISNUMBER(EN13),OR(EN13&lt;-30,EN13&gt;20)),"WL out of range; ","")&amp;IF(AND(ISNUMBER(EN12),EN13=""),"no TP/b; ","")&amp;IF(AND(ISNUMBER(EN19),ISNUMBER(EN20)),IF(EN20&lt;EN19,"After&lt;Before; ",""),"")&amp;IF(AND(ISNUMBER(EN12),ISNUMBER(EN16)&lt;&gt;ISNUMBER(EN17)),"irrigation readings missing; ","")&amp;IF(ISNUMBER(EN23),IF(AND(ABS(EN23)&gt;50,NOT(N(EN8)&gt;0)),"WL jump &gt;5 cm; ",""),""))</f>
        <v/>
      </c>
      <c r="EO30" s="26">
        <f>IF(EO1="","",IF(AND(ISNUMBER(EO13),OR(EO13&lt;-30,EO13&gt;20)),"WL out of range; ","")&amp;IF(AND(ISNUMBER(EO12),EO13=""),"no TP/b; ","")&amp;IF(AND(ISNUMBER(EO19),ISNUMBER(EO20)),IF(EO20&lt;EO19,"After&lt;Before; ",""),"")&amp;IF(AND(ISNUMBER(EO12),ISNUMBER(EO16)&lt;&gt;ISNUMBER(EO17)),"irrigation readings missing; ","")&amp;IF(ISNUMBER(EO23),IF(AND(ABS(EO23)&gt;50,NOT(N(EO8)&gt;0)),"WL jump &gt;5 cm; ",""),""))</f>
        <v/>
      </c>
      <c r="EP30" s="26">
        <f>IF(EP1="","",IF(AND(ISNUMBER(EP13),OR(EP13&lt;-30,EP13&gt;20)),"WL out of range; ","")&amp;IF(AND(ISNUMBER(EP12),EP13=""),"no TP/b; ","")&amp;IF(AND(ISNUMBER(EP19),ISNUMBER(EP20)),IF(EP20&lt;EP19,"After&lt;Before; ",""),"")&amp;IF(AND(ISNUMBER(EP12),ISNUMBER(EP16)&lt;&gt;ISNUMBER(EP17)),"irrigation readings missing; ","")&amp;IF(ISNUMBER(EP23),IF(AND(ABS(EP23)&gt;50,NOT(N(EP8)&gt;0)),"WL jump &gt;5 cm; ",""),""))</f>
        <v/>
      </c>
      <c r="EQ30" s="26">
        <f>IF(EQ1="","",IF(AND(ISNUMBER(EQ13),OR(EQ13&lt;-30,EQ13&gt;20)),"WL out of range; ","")&amp;IF(AND(ISNUMBER(EQ12),EQ13=""),"no TP/b; ","")&amp;IF(AND(ISNUMBER(EQ19),ISNUMBER(EQ20)),IF(EQ20&lt;EQ19,"After&lt;Before; ",""),"")&amp;IF(AND(ISNUMBER(EQ12),ISNUMBER(EQ16)&lt;&gt;ISNUMBER(EQ17)),"irrigation readings missing; ","")&amp;IF(ISNUMBER(EQ23),IF(AND(ABS(EQ23)&gt;50,NOT(N(EQ8)&gt;0)),"WL jump &gt;5 cm; ",""),""))</f>
        <v/>
      </c>
      <c r="ER30" s="26">
        <f>IF(ER1="","",IF(AND(ISNUMBER(ER13),OR(ER13&lt;-30,ER13&gt;20)),"WL out of range; ","")&amp;IF(AND(ISNUMBER(ER12),ER13=""),"no TP/b; ","")&amp;IF(AND(ISNUMBER(ER19),ISNUMBER(ER20)),IF(ER20&lt;ER19,"After&lt;Before; ",""),"")&amp;IF(AND(ISNUMBER(ER12),ISNUMBER(ER16)&lt;&gt;ISNUMBER(ER17)),"irrigation readings missing; ","")&amp;IF(ISNUMBER(ER23),IF(AND(ABS(ER23)&gt;50,NOT(N(ER8)&gt;0)),"WL jump &gt;5 cm; ",""),""))</f>
        <v/>
      </c>
      <c r="ES30" s="26">
        <f>IF(ES1="","",IF(AND(ISNUMBER(ES13),OR(ES13&lt;-30,ES13&gt;20)),"WL out of range; ","")&amp;IF(AND(ISNUMBER(ES12),ES13=""),"no TP/b; ","")&amp;IF(AND(ISNUMBER(ES19),ISNUMBER(ES20)),IF(ES20&lt;ES19,"After&lt;Before; ",""),"")&amp;IF(AND(ISNUMBER(ES12),ISNUMBER(ES16)&lt;&gt;ISNUMBER(ES17)),"irrigation readings missing; ","")&amp;IF(ISNUMBER(ES23),IF(AND(ABS(ES23)&gt;50,NOT(N(ES8)&gt;0)),"WL jump &gt;5 cm; ",""),""))</f>
        <v/>
      </c>
      <c r="ET30" s="26">
        <f>IF(ET1="","",IF(AND(ISNUMBER(ET13),OR(ET13&lt;-30,ET13&gt;20)),"WL out of range; ","")&amp;IF(AND(ISNUMBER(ET12),ET13=""),"no TP/b; ","")&amp;IF(AND(ISNUMBER(ET19),ISNUMBER(ET20)),IF(ET20&lt;ET19,"After&lt;Before; ",""),"")&amp;IF(AND(ISNUMBER(ET12),ISNUMBER(ET16)&lt;&gt;ISNUMBER(ET17)),"irrigation readings missing; ","")&amp;IF(ISNUMBER(ET23),IF(AND(ABS(ET23)&gt;50,NOT(N(ET8)&gt;0)),"WL jump &gt;5 cm; ",""),""))</f>
        <v/>
      </c>
      <c r="EU30" s="26">
        <f>IF(EU1="","",IF(AND(ISNUMBER(EU13),OR(EU13&lt;-30,EU13&gt;20)),"WL out of range; ","")&amp;IF(AND(ISNUMBER(EU12),EU13=""),"no TP/b; ","")&amp;IF(AND(ISNUMBER(EU19),ISNUMBER(EU20)),IF(EU20&lt;EU19,"After&lt;Before; ",""),"")&amp;IF(AND(ISNUMBER(EU12),ISNUMBER(EU16)&lt;&gt;ISNUMBER(EU17)),"irrigation readings missing; ","")&amp;IF(ISNUMBER(EU23),IF(AND(ABS(EU23)&gt;50,NOT(N(EU8)&gt;0)),"WL jump &gt;5 cm; ",""),""))</f>
        <v/>
      </c>
      <c r="EV30" s="26">
        <f>IF(EV1="","",IF(AND(ISNUMBER(EV13),OR(EV13&lt;-30,EV13&gt;20)),"WL out of range; ","")&amp;IF(AND(ISNUMBER(EV12),EV13=""),"no TP/b; ","")&amp;IF(AND(ISNUMBER(EV19),ISNUMBER(EV20)),IF(EV20&lt;EV19,"After&lt;Before; ",""),"")&amp;IF(AND(ISNUMBER(EV12),ISNUMBER(EV16)&lt;&gt;ISNUMBER(EV17)),"irrigation readings missing; ","")&amp;IF(ISNUMBER(EV23),IF(AND(ABS(EV23)&gt;50,NOT(N(EV8)&gt;0)),"WL jump &gt;5 cm; ",""),""))</f>
        <v/>
      </c>
      <c r="EW30" s="26">
        <f>IF(EW1="","",IF(AND(ISNUMBER(EW13),OR(EW13&lt;-30,EW13&gt;20)),"WL out of range; ","")&amp;IF(AND(ISNUMBER(EW12),EW13=""),"no TP/b; ","")&amp;IF(AND(ISNUMBER(EW19),ISNUMBER(EW20)),IF(EW20&lt;EW19,"After&lt;Before; ",""),"")&amp;IF(AND(ISNUMBER(EW12),ISNUMBER(EW16)&lt;&gt;ISNUMBER(EW17)),"irrigation readings missing; ","")&amp;IF(ISNUMBER(EW23),IF(AND(ABS(EW23)&gt;50,NOT(N(EW8)&gt;0)),"WL jump &gt;5 cm; ",""),""))</f>
        <v/>
      </c>
      <c r="EX30" s="26">
        <f>IF(EX1="","",IF(AND(ISNUMBER(EX13),OR(EX13&lt;-30,EX13&gt;20)),"WL out of range; ","")&amp;IF(AND(ISNUMBER(EX12),EX13=""),"no TP/b; ","")&amp;IF(AND(ISNUMBER(EX19),ISNUMBER(EX20)),IF(EX20&lt;EX19,"After&lt;Before; ",""),"")&amp;IF(AND(ISNUMBER(EX12),ISNUMBER(EX16)&lt;&gt;ISNUMBER(EX17)),"irrigation readings missing; ","")&amp;IF(ISNUMBER(EX23),IF(AND(ABS(EX23)&gt;50,NOT(N(EX8)&gt;0)),"WL jump &gt;5 cm; ",""),""))</f>
        <v/>
      </c>
      <c r="EY30" s="26">
        <f>IF(EY1="","",IF(AND(ISNUMBER(EY13),OR(EY13&lt;-30,EY13&gt;20)),"WL out of range; ","")&amp;IF(AND(ISNUMBER(EY12),EY13=""),"no TP/b; ","")&amp;IF(AND(ISNUMBER(EY19),ISNUMBER(EY20)),IF(EY20&lt;EY19,"After&lt;Before; ",""),"")&amp;IF(AND(ISNUMBER(EY12),ISNUMBER(EY16)&lt;&gt;ISNUMBER(EY17)),"irrigation readings missing; ","")&amp;IF(ISNUMBER(EY23),IF(AND(ABS(EY23)&gt;50,NOT(N(EY8)&gt;0)),"WL jump &gt;5 cm; ",""),""))</f>
        <v/>
      </c>
      <c r="EZ30" s="26">
        <f>IF(EZ1="","",IF(AND(ISNUMBER(EZ13),OR(EZ13&lt;-30,EZ13&gt;20)),"WL out of range; ","")&amp;IF(AND(ISNUMBER(EZ12),EZ13=""),"no TP/b; ","")&amp;IF(AND(ISNUMBER(EZ19),ISNUMBER(EZ20)),IF(EZ20&lt;EZ19,"After&lt;Before; ",""),"")&amp;IF(AND(ISNUMBER(EZ12),ISNUMBER(EZ16)&lt;&gt;ISNUMBER(EZ17)),"irrigation readings missing; ","")&amp;IF(ISNUMBER(EZ23),IF(AND(ABS(EZ23)&gt;50,NOT(N(EZ8)&gt;0)),"WL jump &gt;5 cm; ",""),""))</f>
        <v/>
      </c>
      <c r="FA30" s="26">
        <f>IF(FA1="","",IF(AND(ISNUMBER(FA13),OR(FA13&lt;-30,FA13&gt;20)),"WL out of range; ","")&amp;IF(AND(ISNUMBER(FA12),FA13=""),"no TP/b; ","")&amp;IF(AND(ISNUMBER(FA19),ISNUMBER(FA20)),IF(FA20&lt;FA19,"After&lt;Before; ",""),"")&amp;IF(AND(ISNUMBER(FA12),ISNUMBER(FA16)&lt;&gt;ISNUMBER(FA17)),"irrigation readings missing; ","")&amp;IF(ISNUMBER(FA23),IF(AND(ABS(FA23)&gt;50,NOT(N(FA8)&gt;0)),"WL jump &gt;5 cm; ",""),""))</f>
        <v/>
      </c>
      <c r="FB30" s="26">
        <f>IF(FB1="","",IF(AND(ISNUMBER(FB13),OR(FB13&lt;-30,FB13&gt;20)),"WL out of range; ","")&amp;IF(AND(ISNUMBER(FB12),FB13=""),"no TP/b; ","")&amp;IF(AND(ISNUMBER(FB19),ISNUMBER(FB20)),IF(FB20&lt;FB19,"After&lt;Before; ",""),"")&amp;IF(AND(ISNUMBER(FB12),ISNUMBER(FB16)&lt;&gt;ISNUMBER(FB17)),"irrigation readings missing; ","")&amp;IF(ISNUMBER(FB23),IF(AND(ABS(FB23)&gt;50,NOT(N(FB8)&gt;0)),"WL jump &gt;5 cm; ",""),""))</f>
        <v/>
      </c>
      <c r="FC30" s="26">
        <f>IF(FC1="","",IF(AND(ISNUMBER(FC13),OR(FC13&lt;-30,FC13&gt;20)),"WL out of range; ","")&amp;IF(AND(ISNUMBER(FC12),FC13=""),"no TP/b; ","")&amp;IF(AND(ISNUMBER(FC19),ISNUMBER(FC20)),IF(FC20&lt;FC19,"After&lt;Before; ",""),"")&amp;IF(AND(ISNUMBER(FC12),ISNUMBER(FC16)&lt;&gt;ISNUMBER(FC17)),"irrigation readings missing; ","")&amp;IF(ISNUMBER(FC23),IF(AND(ABS(FC23)&gt;50,NOT(N(FC8)&gt;0)),"WL jump &gt;5 cm; ",""),""))</f>
        <v/>
      </c>
      <c r="FD30" s="26">
        <f>IF(FD1="","",IF(AND(ISNUMBER(FD13),OR(FD13&lt;-30,FD13&gt;20)),"WL out of range; ","")&amp;IF(AND(ISNUMBER(FD12),FD13=""),"no TP/b; ","")&amp;IF(AND(ISNUMBER(FD19),ISNUMBER(FD20)),IF(FD20&lt;FD19,"After&lt;Before; ",""),"")&amp;IF(AND(ISNUMBER(FD12),ISNUMBER(FD16)&lt;&gt;ISNUMBER(FD17)),"irrigation readings missing; ","")&amp;IF(ISNUMBER(FD23),IF(AND(ABS(FD23)&gt;50,NOT(N(FD8)&gt;0)),"WL jump &gt;5 cm; ",""),""))</f>
        <v/>
      </c>
      <c r="FE30" s="26">
        <f>IF(FE1="","",IF(AND(ISNUMBER(FE13),OR(FE13&lt;-30,FE13&gt;20)),"WL out of range; ","")&amp;IF(AND(ISNUMBER(FE12),FE13=""),"no TP/b; ","")&amp;IF(AND(ISNUMBER(FE19),ISNUMBER(FE20)),IF(FE20&lt;FE19,"After&lt;Before; ",""),"")&amp;IF(AND(ISNUMBER(FE12),ISNUMBER(FE16)&lt;&gt;ISNUMBER(FE17)),"irrigation readings missing; ","")&amp;IF(ISNUMBER(FE23),IF(AND(ABS(FE23)&gt;50,NOT(N(FE8)&gt;0)),"WL jump &gt;5 cm; ",""),""))</f>
        <v/>
      </c>
      <c r="FF30" s="26">
        <f>IF(FF1="","",IF(AND(ISNUMBER(FF13),OR(FF13&lt;-30,FF13&gt;20)),"WL out of range; ","")&amp;IF(AND(ISNUMBER(FF12),FF13=""),"no TP/b; ","")&amp;IF(AND(ISNUMBER(FF19),ISNUMBER(FF20)),IF(FF20&lt;FF19,"After&lt;Before; ",""),"")&amp;IF(AND(ISNUMBER(FF12),ISNUMBER(FF16)&lt;&gt;ISNUMBER(FF17)),"irrigation readings missing; ","")&amp;IF(ISNUMBER(FF23),IF(AND(ABS(FF23)&gt;50,NOT(N(FF8)&gt;0)),"WL jump &gt;5 cm; ",""),""))</f>
        <v/>
      </c>
      <c r="FG30" s="26">
        <f>IF(FG1="","",IF(AND(ISNUMBER(FG13),OR(FG13&lt;-30,FG13&gt;20)),"WL out of range; ","")&amp;IF(AND(ISNUMBER(FG12),FG13=""),"no TP/b; ","")&amp;IF(AND(ISNUMBER(FG19),ISNUMBER(FG20)),IF(FG20&lt;FG19,"After&lt;Before; ",""),"")&amp;IF(AND(ISNUMBER(FG12),ISNUMBER(FG16)&lt;&gt;ISNUMBER(FG17)),"irrigation readings missing; ","")&amp;IF(ISNUMBER(FG23),IF(AND(ABS(FG23)&gt;50,NOT(N(FG8)&gt;0)),"WL jump &gt;5 cm; ",""),""))</f>
        <v/>
      </c>
      <c r="FH30" s="26">
        <f>IF(FH1="","",IF(AND(ISNUMBER(FH13),OR(FH13&lt;-30,FH13&gt;20)),"WL out of range; ","")&amp;IF(AND(ISNUMBER(FH12),FH13=""),"no TP/b; ","")&amp;IF(AND(ISNUMBER(FH19),ISNUMBER(FH20)),IF(FH20&lt;FH19,"After&lt;Before; ",""),"")&amp;IF(AND(ISNUMBER(FH12),ISNUMBER(FH16)&lt;&gt;ISNUMBER(FH17)),"irrigation readings missing; ","")&amp;IF(ISNUMBER(FH23),IF(AND(ABS(FH23)&gt;50,NOT(N(FH8)&gt;0)),"WL jump &gt;5 cm; ",""),""))</f>
        <v/>
      </c>
      <c r="FI30" s="26">
        <f>IF(FI1="","",IF(AND(ISNUMBER(FI13),OR(FI13&lt;-30,FI13&gt;20)),"WL out of range; ","")&amp;IF(AND(ISNUMBER(FI12),FI13=""),"no TP/b; ","")&amp;IF(AND(ISNUMBER(FI19),ISNUMBER(FI20)),IF(FI20&lt;FI19,"After&lt;Before; ",""),"")&amp;IF(AND(ISNUMBER(FI12),ISNUMBER(FI16)&lt;&gt;ISNUMBER(FI17)),"irrigation readings missing; ","")&amp;IF(ISNUMBER(FI23),IF(AND(ABS(FI23)&gt;50,NOT(N(FI8)&gt;0)),"WL jump &gt;5 cm; ",""),""))</f>
        <v/>
      </c>
      <c r="FJ30" s="26">
        <f>IF(FJ1="","",IF(AND(ISNUMBER(FJ13),OR(FJ13&lt;-30,FJ13&gt;20)),"WL out of range; ","")&amp;IF(AND(ISNUMBER(FJ12),FJ13=""),"no TP/b; ","")&amp;IF(AND(ISNUMBER(FJ19),ISNUMBER(FJ20)),IF(FJ20&lt;FJ19,"After&lt;Before; ",""),"")&amp;IF(AND(ISNUMBER(FJ12),ISNUMBER(FJ16)&lt;&gt;ISNUMBER(FJ17)),"irrigation readings missing; ","")&amp;IF(ISNUMBER(FJ23),IF(AND(ABS(FJ23)&gt;50,NOT(N(FJ8)&gt;0)),"WL jump &gt;5 cm; ",""),""))</f>
        <v/>
      </c>
      <c r="FK30" s="26">
        <f>IF(FK1="","",IF(AND(ISNUMBER(FK13),OR(FK13&lt;-30,FK13&gt;20)),"WL out of range; ","")&amp;IF(AND(ISNUMBER(FK12),FK13=""),"no TP/b; ","")&amp;IF(AND(ISNUMBER(FK19),ISNUMBER(FK20)),IF(FK20&lt;FK19,"After&lt;Before; ",""),"")&amp;IF(AND(ISNUMBER(FK12),ISNUMBER(FK16)&lt;&gt;ISNUMBER(FK17)),"irrigation readings missing; ","")&amp;IF(ISNUMBER(FK23),IF(AND(ABS(FK23)&gt;50,NOT(N(FK8)&gt;0)),"WL jump &gt;5 cm; ",""),""))</f>
        <v/>
      </c>
      <c r="FL30" s="26">
        <f>IF(FL1="","",IF(AND(ISNUMBER(FL13),OR(FL13&lt;-30,FL13&gt;20)),"WL out of range; ","")&amp;IF(AND(ISNUMBER(FL12),FL13=""),"no TP/b; ","")&amp;IF(AND(ISNUMBER(FL19),ISNUMBER(FL20)),IF(FL20&lt;FL19,"After&lt;Before; ",""),"")&amp;IF(AND(ISNUMBER(FL12),ISNUMBER(FL16)&lt;&gt;ISNUMBER(FL17)),"irrigation readings missing; ","")&amp;IF(ISNUMBER(FL23),IF(AND(ABS(FL23)&gt;50,NOT(N(FL8)&gt;0)),"WL jump &gt;5 cm; ",""),""))</f>
        <v/>
      </c>
      <c r="FM30" s="26">
        <f>IF(FM1="","",IF(AND(ISNUMBER(FM13),OR(FM13&lt;-30,FM13&gt;20)),"WL out of range; ","")&amp;IF(AND(ISNUMBER(FM12),FM13=""),"no TP/b; ","")&amp;IF(AND(ISNUMBER(FM19),ISNUMBER(FM20)),IF(FM20&lt;FM19,"After&lt;Before; ",""),"")&amp;IF(AND(ISNUMBER(FM12),ISNUMBER(FM16)&lt;&gt;ISNUMBER(FM17)),"irrigation readings missing; ","")&amp;IF(ISNUMBER(FM23),IF(AND(ABS(FM23)&gt;50,NOT(N(FM8)&gt;0)),"WL jump &gt;5 cm; ",""),""))</f>
        <v/>
      </c>
      <c r="FN30" s="26">
        <f>IF(FN1="","",IF(AND(ISNUMBER(FN13),OR(FN13&lt;-30,FN13&gt;20)),"WL out of range; ","")&amp;IF(AND(ISNUMBER(FN12),FN13=""),"no TP/b; ","")&amp;IF(AND(ISNUMBER(FN19),ISNUMBER(FN20)),IF(FN20&lt;FN19,"After&lt;Before; ",""),"")&amp;IF(AND(ISNUMBER(FN12),ISNUMBER(FN16)&lt;&gt;ISNUMBER(FN17)),"irrigation readings missing; ","")&amp;IF(ISNUMBER(FN23),IF(AND(ABS(FN23)&gt;50,NOT(N(FN8)&gt;0)),"WL jump &gt;5 cm; ",""),""))</f>
        <v/>
      </c>
      <c r="FO30" s="26">
        <f>IF(FO1="","",IF(AND(ISNUMBER(FO13),OR(FO13&lt;-30,FO13&gt;20)),"WL out of range; ","")&amp;IF(AND(ISNUMBER(FO12),FO13=""),"no TP/b; ","")&amp;IF(AND(ISNUMBER(FO19),ISNUMBER(FO20)),IF(FO20&lt;FO19,"After&lt;Before; ",""),"")&amp;IF(AND(ISNUMBER(FO12),ISNUMBER(FO16)&lt;&gt;ISNUMBER(FO17)),"irrigation readings missing; ","")&amp;IF(ISNUMBER(FO23),IF(AND(ABS(FO23)&gt;50,NOT(N(FO8)&gt;0)),"WL jump &gt;5 cm; ",""),""))</f>
        <v/>
      </c>
      <c r="FP30" s="26">
        <f>IF(FP1="","",IF(AND(ISNUMBER(FP13),OR(FP13&lt;-30,FP13&gt;20)),"WL out of range; ","")&amp;IF(AND(ISNUMBER(FP12),FP13=""),"no TP/b; ","")&amp;IF(AND(ISNUMBER(FP19),ISNUMBER(FP20)),IF(FP20&lt;FP19,"After&lt;Before; ",""),"")&amp;IF(AND(ISNUMBER(FP12),ISNUMBER(FP16)&lt;&gt;ISNUMBER(FP17)),"irrigation readings missing; ","")&amp;IF(ISNUMBER(FP23),IF(AND(ABS(FP23)&gt;50,NOT(N(FP8)&gt;0)),"WL jump &gt;5 cm; ",""),""))</f>
        <v/>
      </c>
      <c r="FQ30" s="26">
        <f>IF(FQ1="","",IF(AND(ISNUMBER(FQ13),OR(FQ13&lt;-30,FQ13&gt;20)),"WL out of range; ","")&amp;IF(AND(ISNUMBER(FQ12),FQ13=""),"no TP/b; ","")&amp;IF(AND(ISNUMBER(FQ19),ISNUMBER(FQ20)),IF(FQ20&lt;FQ19,"After&lt;Before; ",""),"")&amp;IF(AND(ISNUMBER(FQ12),ISNUMBER(FQ16)&lt;&gt;ISNUMBER(FQ17)),"irrigation readings missing; ","")&amp;IF(ISNUMBER(FQ23),IF(AND(ABS(FQ23)&gt;50,NOT(N(FQ8)&gt;0)),"WL jump &gt;5 cm; ",""),""))</f>
        <v/>
      </c>
    </row>
    <row r="31" hidden="1">
      <c r="A31" s="25" t="inlineStr">
        <is>
          <t>FP</t>
        </is>
      </c>
      <c r="B31" s="27" t="inlineStr">
        <is>
          <t>(TP-b date)</t>
        </is>
      </c>
      <c r="D31" s="28">
        <f>IF(D1="","",IF(_xlfn.MAXIFS('TP-b'!$B$3:$B$60,'TP-b'!$A$3:$A$60,"FP",'TP-b'!$E$3:$E$60,1,'TP-b'!$B$3:$B$60,"&lt;="&amp;D1)&gt;0,_xlfn.MAXIFS('TP-b'!$B$3:$B$60,'TP-b'!$A$3:$A$60,"FP",'TP-b'!$E$3:$E$60,1,'TP-b'!$B$3:$B$60,"&lt;="&amp;D1),IF(_xlfn.MINIFS('TP-b'!$B$3:$B$60,'TP-b'!$A$3:$A$60,"FP",'TP-b'!$E$3:$E$60,1)&gt;0,_xlfn.MINIFS('TP-b'!$B$3:$B$60,'TP-b'!$A$3:$A$60,"FP",'TP-b'!$E$3:$E$60,1),"")))</f>
        <v/>
      </c>
      <c r="E31" s="28">
        <f>IF(E1="","",IF(_xlfn.MAXIFS('TP-b'!$B$3:$B$60,'TP-b'!$A$3:$A$60,"FP",'TP-b'!$E$3:$E$60,1,'TP-b'!$B$3:$B$60,"&lt;="&amp;E1)&gt;0,_xlfn.MAXIFS('TP-b'!$B$3:$B$60,'TP-b'!$A$3:$A$60,"FP",'TP-b'!$E$3:$E$60,1,'TP-b'!$B$3:$B$60,"&lt;="&amp;E1),IF(_xlfn.MINIFS('TP-b'!$B$3:$B$60,'TP-b'!$A$3:$A$60,"FP",'TP-b'!$E$3:$E$60,1)&gt;0,_xlfn.MINIFS('TP-b'!$B$3:$B$60,'TP-b'!$A$3:$A$60,"FP",'TP-b'!$E$3:$E$60,1),"")))</f>
        <v/>
      </c>
      <c r="F31" s="28">
        <f>IF(F1="","",IF(_xlfn.MAXIFS('TP-b'!$B$3:$B$60,'TP-b'!$A$3:$A$60,"FP",'TP-b'!$E$3:$E$60,1,'TP-b'!$B$3:$B$60,"&lt;="&amp;F1)&gt;0,_xlfn.MAXIFS('TP-b'!$B$3:$B$60,'TP-b'!$A$3:$A$60,"FP",'TP-b'!$E$3:$E$60,1,'TP-b'!$B$3:$B$60,"&lt;="&amp;F1),IF(_xlfn.MINIFS('TP-b'!$B$3:$B$60,'TP-b'!$A$3:$A$60,"FP",'TP-b'!$E$3:$E$60,1)&gt;0,_xlfn.MINIFS('TP-b'!$B$3:$B$60,'TP-b'!$A$3:$A$60,"FP",'TP-b'!$E$3:$E$60,1),"")))</f>
        <v/>
      </c>
      <c r="G31" s="28">
        <f>IF(G1="","",IF(_xlfn.MAXIFS('TP-b'!$B$3:$B$60,'TP-b'!$A$3:$A$60,"FP",'TP-b'!$E$3:$E$60,1,'TP-b'!$B$3:$B$60,"&lt;="&amp;G1)&gt;0,_xlfn.MAXIFS('TP-b'!$B$3:$B$60,'TP-b'!$A$3:$A$60,"FP",'TP-b'!$E$3:$E$60,1,'TP-b'!$B$3:$B$60,"&lt;="&amp;G1),IF(_xlfn.MINIFS('TP-b'!$B$3:$B$60,'TP-b'!$A$3:$A$60,"FP",'TP-b'!$E$3:$E$60,1)&gt;0,_xlfn.MINIFS('TP-b'!$B$3:$B$60,'TP-b'!$A$3:$A$60,"FP",'TP-b'!$E$3:$E$60,1),"")))</f>
        <v/>
      </c>
      <c r="H31" s="28">
        <f>IF(H1="","",IF(_xlfn.MAXIFS('TP-b'!$B$3:$B$60,'TP-b'!$A$3:$A$60,"FP",'TP-b'!$E$3:$E$60,1,'TP-b'!$B$3:$B$60,"&lt;="&amp;H1)&gt;0,_xlfn.MAXIFS('TP-b'!$B$3:$B$60,'TP-b'!$A$3:$A$60,"FP",'TP-b'!$E$3:$E$60,1,'TP-b'!$B$3:$B$60,"&lt;="&amp;H1),IF(_xlfn.MINIFS('TP-b'!$B$3:$B$60,'TP-b'!$A$3:$A$60,"FP",'TP-b'!$E$3:$E$60,1)&gt;0,_xlfn.MINIFS('TP-b'!$B$3:$B$60,'TP-b'!$A$3:$A$60,"FP",'TP-b'!$E$3:$E$60,1),"")))</f>
        <v/>
      </c>
      <c r="I31" s="28">
        <f>IF(I1="","",IF(_xlfn.MAXIFS('TP-b'!$B$3:$B$60,'TP-b'!$A$3:$A$60,"FP",'TP-b'!$E$3:$E$60,1,'TP-b'!$B$3:$B$60,"&lt;="&amp;I1)&gt;0,_xlfn.MAXIFS('TP-b'!$B$3:$B$60,'TP-b'!$A$3:$A$60,"FP",'TP-b'!$E$3:$E$60,1,'TP-b'!$B$3:$B$60,"&lt;="&amp;I1),IF(_xlfn.MINIFS('TP-b'!$B$3:$B$60,'TP-b'!$A$3:$A$60,"FP",'TP-b'!$E$3:$E$60,1)&gt;0,_xlfn.MINIFS('TP-b'!$B$3:$B$60,'TP-b'!$A$3:$A$60,"FP",'TP-b'!$E$3:$E$60,1),"")))</f>
        <v/>
      </c>
      <c r="J31" s="28">
        <f>IF(J1="","",IF(_xlfn.MAXIFS('TP-b'!$B$3:$B$60,'TP-b'!$A$3:$A$60,"FP",'TP-b'!$E$3:$E$60,1,'TP-b'!$B$3:$B$60,"&lt;="&amp;J1)&gt;0,_xlfn.MAXIFS('TP-b'!$B$3:$B$60,'TP-b'!$A$3:$A$60,"FP",'TP-b'!$E$3:$E$60,1,'TP-b'!$B$3:$B$60,"&lt;="&amp;J1),IF(_xlfn.MINIFS('TP-b'!$B$3:$B$60,'TP-b'!$A$3:$A$60,"FP",'TP-b'!$E$3:$E$60,1)&gt;0,_xlfn.MINIFS('TP-b'!$B$3:$B$60,'TP-b'!$A$3:$A$60,"FP",'TP-b'!$E$3:$E$60,1),"")))</f>
        <v/>
      </c>
      <c r="K31" s="28">
        <f>IF(K1="","",IF(_xlfn.MAXIFS('TP-b'!$B$3:$B$60,'TP-b'!$A$3:$A$60,"FP",'TP-b'!$E$3:$E$60,1,'TP-b'!$B$3:$B$60,"&lt;="&amp;K1)&gt;0,_xlfn.MAXIFS('TP-b'!$B$3:$B$60,'TP-b'!$A$3:$A$60,"FP",'TP-b'!$E$3:$E$60,1,'TP-b'!$B$3:$B$60,"&lt;="&amp;K1),IF(_xlfn.MINIFS('TP-b'!$B$3:$B$60,'TP-b'!$A$3:$A$60,"FP",'TP-b'!$E$3:$E$60,1)&gt;0,_xlfn.MINIFS('TP-b'!$B$3:$B$60,'TP-b'!$A$3:$A$60,"FP",'TP-b'!$E$3:$E$60,1),"")))</f>
        <v/>
      </c>
      <c r="L31" s="28">
        <f>IF(L1="","",IF(_xlfn.MAXIFS('TP-b'!$B$3:$B$60,'TP-b'!$A$3:$A$60,"FP",'TP-b'!$E$3:$E$60,1,'TP-b'!$B$3:$B$60,"&lt;="&amp;L1)&gt;0,_xlfn.MAXIFS('TP-b'!$B$3:$B$60,'TP-b'!$A$3:$A$60,"FP",'TP-b'!$E$3:$E$60,1,'TP-b'!$B$3:$B$60,"&lt;="&amp;L1),IF(_xlfn.MINIFS('TP-b'!$B$3:$B$60,'TP-b'!$A$3:$A$60,"FP",'TP-b'!$E$3:$E$60,1)&gt;0,_xlfn.MINIFS('TP-b'!$B$3:$B$60,'TP-b'!$A$3:$A$60,"FP",'TP-b'!$E$3:$E$60,1),"")))</f>
        <v/>
      </c>
      <c r="M31" s="28">
        <f>IF(M1="","",IF(_xlfn.MAXIFS('TP-b'!$B$3:$B$60,'TP-b'!$A$3:$A$60,"FP",'TP-b'!$E$3:$E$60,1,'TP-b'!$B$3:$B$60,"&lt;="&amp;M1)&gt;0,_xlfn.MAXIFS('TP-b'!$B$3:$B$60,'TP-b'!$A$3:$A$60,"FP",'TP-b'!$E$3:$E$60,1,'TP-b'!$B$3:$B$60,"&lt;="&amp;M1),IF(_xlfn.MINIFS('TP-b'!$B$3:$B$60,'TP-b'!$A$3:$A$60,"FP",'TP-b'!$E$3:$E$60,1)&gt;0,_xlfn.MINIFS('TP-b'!$B$3:$B$60,'TP-b'!$A$3:$A$60,"FP",'TP-b'!$E$3:$E$60,1),"")))</f>
        <v/>
      </c>
      <c r="N31" s="28">
        <f>IF(N1="","",IF(_xlfn.MAXIFS('TP-b'!$B$3:$B$60,'TP-b'!$A$3:$A$60,"FP",'TP-b'!$E$3:$E$60,1,'TP-b'!$B$3:$B$60,"&lt;="&amp;N1)&gt;0,_xlfn.MAXIFS('TP-b'!$B$3:$B$60,'TP-b'!$A$3:$A$60,"FP",'TP-b'!$E$3:$E$60,1,'TP-b'!$B$3:$B$60,"&lt;="&amp;N1),IF(_xlfn.MINIFS('TP-b'!$B$3:$B$60,'TP-b'!$A$3:$A$60,"FP",'TP-b'!$E$3:$E$60,1)&gt;0,_xlfn.MINIFS('TP-b'!$B$3:$B$60,'TP-b'!$A$3:$A$60,"FP",'TP-b'!$E$3:$E$60,1),"")))</f>
        <v/>
      </c>
      <c r="O31" s="28">
        <f>IF(O1="","",IF(_xlfn.MAXIFS('TP-b'!$B$3:$B$60,'TP-b'!$A$3:$A$60,"FP",'TP-b'!$E$3:$E$60,1,'TP-b'!$B$3:$B$60,"&lt;="&amp;O1)&gt;0,_xlfn.MAXIFS('TP-b'!$B$3:$B$60,'TP-b'!$A$3:$A$60,"FP",'TP-b'!$E$3:$E$60,1,'TP-b'!$B$3:$B$60,"&lt;="&amp;O1),IF(_xlfn.MINIFS('TP-b'!$B$3:$B$60,'TP-b'!$A$3:$A$60,"FP",'TP-b'!$E$3:$E$60,1)&gt;0,_xlfn.MINIFS('TP-b'!$B$3:$B$60,'TP-b'!$A$3:$A$60,"FP",'TP-b'!$E$3:$E$60,1),"")))</f>
        <v/>
      </c>
      <c r="P31" s="28">
        <f>IF(P1="","",IF(_xlfn.MAXIFS('TP-b'!$B$3:$B$60,'TP-b'!$A$3:$A$60,"FP",'TP-b'!$E$3:$E$60,1,'TP-b'!$B$3:$B$60,"&lt;="&amp;P1)&gt;0,_xlfn.MAXIFS('TP-b'!$B$3:$B$60,'TP-b'!$A$3:$A$60,"FP",'TP-b'!$E$3:$E$60,1,'TP-b'!$B$3:$B$60,"&lt;="&amp;P1),IF(_xlfn.MINIFS('TP-b'!$B$3:$B$60,'TP-b'!$A$3:$A$60,"FP",'TP-b'!$E$3:$E$60,1)&gt;0,_xlfn.MINIFS('TP-b'!$B$3:$B$60,'TP-b'!$A$3:$A$60,"FP",'TP-b'!$E$3:$E$60,1),"")))</f>
        <v/>
      </c>
      <c r="Q31" s="28">
        <f>IF(Q1="","",IF(_xlfn.MAXIFS('TP-b'!$B$3:$B$60,'TP-b'!$A$3:$A$60,"FP",'TP-b'!$E$3:$E$60,1,'TP-b'!$B$3:$B$60,"&lt;="&amp;Q1)&gt;0,_xlfn.MAXIFS('TP-b'!$B$3:$B$60,'TP-b'!$A$3:$A$60,"FP",'TP-b'!$E$3:$E$60,1,'TP-b'!$B$3:$B$60,"&lt;="&amp;Q1),IF(_xlfn.MINIFS('TP-b'!$B$3:$B$60,'TP-b'!$A$3:$A$60,"FP",'TP-b'!$E$3:$E$60,1)&gt;0,_xlfn.MINIFS('TP-b'!$B$3:$B$60,'TP-b'!$A$3:$A$60,"FP",'TP-b'!$E$3:$E$60,1),"")))</f>
        <v/>
      </c>
      <c r="R31" s="28">
        <f>IF(R1="","",IF(_xlfn.MAXIFS('TP-b'!$B$3:$B$60,'TP-b'!$A$3:$A$60,"FP",'TP-b'!$E$3:$E$60,1,'TP-b'!$B$3:$B$60,"&lt;="&amp;R1)&gt;0,_xlfn.MAXIFS('TP-b'!$B$3:$B$60,'TP-b'!$A$3:$A$60,"FP",'TP-b'!$E$3:$E$60,1,'TP-b'!$B$3:$B$60,"&lt;="&amp;R1),IF(_xlfn.MINIFS('TP-b'!$B$3:$B$60,'TP-b'!$A$3:$A$60,"FP",'TP-b'!$E$3:$E$60,1)&gt;0,_xlfn.MINIFS('TP-b'!$B$3:$B$60,'TP-b'!$A$3:$A$60,"FP",'TP-b'!$E$3:$E$60,1),"")))</f>
        <v/>
      </c>
      <c r="S31" s="28">
        <f>IF(S1="","",IF(_xlfn.MAXIFS('TP-b'!$B$3:$B$60,'TP-b'!$A$3:$A$60,"FP",'TP-b'!$E$3:$E$60,1,'TP-b'!$B$3:$B$60,"&lt;="&amp;S1)&gt;0,_xlfn.MAXIFS('TP-b'!$B$3:$B$60,'TP-b'!$A$3:$A$60,"FP",'TP-b'!$E$3:$E$60,1,'TP-b'!$B$3:$B$60,"&lt;="&amp;S1),IF(_xlfn.MINIFS('TP-b'!$B$3:$B$60,'TP-b'!$A$3:$A$60,"FP",'TP-b'!$E$3:$E$60,1)&gt;0,_xlfn.MINIFS('TP-b'!$B$3:$B$60,'TP-b'!$A$3:$A$60,"FP",'TP-b'!$E$3:$E$60,1),"")))</f>
        <v/>
      </c>
      <c r="T31" s="28">
        <f>IF(T1="","",IF(_xlfn.MAXIFS('TP-b'!$B$3:$B$60,'TP-b'!$A$3:$A$60,"FP",'TP-b'!$E$3:$E$60,1,'TP-b'!$B$3:$B$60,"&lt;="&amp;T1)&gt;0,_xlfn.MAXIFS('TP-b'!$B$3:$B$60,'TP-b'!$A$3:$A$60,"FP",'TP-b'!$E$3:$E$60,1,'TP-b'!$B$3:$B$60,"&lt;="&amp;T1),IF(_xlfn.MINIFS('TP-b'!$B$3:$B$60,'TP-b'!$A$3:$A$60,"FP",'TP-b'!$E$3:$E$60,1)&gt;0,_xlfn.MINIFS('TP-b'!$B$3:$B$60,'TP-b'!$A$3:$A$60,"FP",'TP-b'!$E$3:$E$60,1),"")))</f>
        <v/>
      </c>
      <c r="U31" s="28">
        <f>IF(U1="","",IF(_xlfn.MAXIFS('TP-b'!$B$3:$B$60,'TP-b'!$A$3:$A$60,"FP",'TP-b'!$E$3:$E$60,1,'TP-b'!$B$3:$B$60,"&lt;="&amp;U1)&gt;0,_xlfn.MAXIFS('TP-b'!$B$3:$B$60,'TP-b'!$A$3:$A$60,"FP",'TP-b'!$E$3:$E$60,1,'TP-b'!$B$3:$B$60,"&lt;="&amp;U1),IF(_xlfn.MINIFS('TP-b'!$B$3:$B$60,'TP-b'!$A$3:$A$60,"FP",'TP-b'!$E$3:$E$60,1)&gt;0,_xlfn.MINIFS('TP-b'!$B$3:$B$60,'TP-b'!$A$3:$A$60,"FP",'TP-b'!$E$3:$E$60,1),"")))</f>
        <v/>
      </c>
      <c r="V31" s="28">
        <f>IF(V1="","",IF(_xlfn.MAXIFS('TP-b'!$B$3:$B$60,'TP-b'!$A$3:$A$60,"FP",'TP-b'!$E$3:$E$60,1,'TP-b'!$B$3:$B$60,"&lt;="&amp;V1)&gt;0,_xlfn.MAXIFS('TP-b'!$B$3:$B$60,'TP-b'!$A$3:$A$60,"FP",'TP-b'!$E$3:$E$60,1,'TP-b'!$B$3:$B$60,"&lt;="&amp;V1),IF(_xlfn.MINIFS('TP-b'!$B$3:$B$60,'TP-b'!$A$3:$A$60,"FP",'TP-b'!$E$3:$E$60,1)&gt;0,_xlfn.MINIFS('TP-b'!$B$3:$B$60,'TP-b'!$A$3:$A$60,"FP",'TP-b'!$E$3:$E$60,1),"")))</f>
        <v/>
      </c>
      <c r="W31" s="28">
        <f>IF(W1="","",IF(_xlfn.MAXIFS('TP-b'!$B$3:$B$60,'TP-b'!$A$3:$A$60,"FP",'TP-b'!$E$3:$E$60,1,'TP-b'!$B$3:$B$60,"&lt;="&amp;W1)&gt;0,_xlfn.MAXIFS('TP-b'!$B$3:$B$60,'TP-b'!$A$3:$A$60,"FP",'TP-b'!$E$3:$E$60,1,'TP-b'!$B$3:$B$60,"&lt;="&amp;W1),IF(_xlfn.MINIFS('TP-b'!$B$3:$B$60,'TP-b'!$A$3:$A$60,"FP",'TP-b'!$E$3:$E$60,1)&gt;0,_xlfn.MINIFS('TP-b'!$B$3:$B$60,'TP-b'!$A$3:$A$60,"FP",'TP-b'!$E$3:$E$60,1),"")))</f>
        <v/>
      </c>
      <c r="X31" s="28">
        <f>IF(X1="","",IF(_xlfn.MAXIFS('TP-b'!$B$3:$B$60,'TP-b'!$A$3:$A$60,"FP",'TP-b'!$E$3:$E$60,1,'TP-b'!$B$3:$B$60,"&lt;="&amp;X1)&gt;0,_xlfn.MAXIFS('TP-b'!$B$3:$B$60,'TP-b'!$A$3:$A$60,"FP",'TP-b'!$E$3:$E$60,1,'TP-b'!$B$3:$B$60,"&lt;="&amp;X1),IF(_xlfn.MINIFS('TP-b'!$B$3:$B$60,'TP-b'!$A$3:$A$60,"FP",'TP-b'!$E$3:$E$60,1)&gt;0,_xlfn.MINIFS('TP-b'!$B$3:$B$60,'TP-b'!$A$3:$A$60,"FP",'TP-b'!$E$3:$E$60,1),"")))</f>
        <v/>
      </c>
      <c r="Y31" s="28">
        <f>IF(Y1="","",IF(_xlfn.MAXIFS('TP-b'!$B$3:$B$60,'TP-b'!$A$3:$A$60,"FP",'TP-b'!$E$3:$E$60,1,'TP-b'!$B$3:$B$60,"&lt;="&amp;Y1)&gt;0,_xlfn.MAXIFS('TP-b'!$B$3:$B$60,'TP-b'!$A$3:$A$60,"FP",'TP-b'!$E$3:$E$60,1,'TP-b'!$B$3:$B$60,"&lt;="&amp;Y1),IF(_xlfn.MINIFS('TP-b'!$B$3:$B$60,'TP-b'!$A$3:$A$60,"FP",'TP-b'!$E$3:$E$60,1)&gt;0,_xlfn.MINIFS('TP-b'!$B$3:$B$60,'TP-b'!$A$3:$A$60,"FP",'TP-b'!$E$3:$E$60,1),"")))</f>
        <v/>
      </c>
      <c r="Z31" s="28">
        <f>IF(Z1="","",IF(_xlfn.MAXIFS('TP-b'!$B$3:$B$60,'TP-b'!$A$3:$A$60,"FP",'TP-b'!$E$3:$E$60,1,'TP-b'!$B$3:$B$60,"&lt;="&amp;Z1)&gt;0,_xlfn.MAXIFS('TP-b'!$B$3:$B$60,'TP-b'!$A$3:$A$60,"FP",'TP-b'!$E$3:$E$60,1,'TP-b'!$B$3:$B$60,"&lt;="&amp;Z1),IF(_xlfn.MINIFS('TP-b'!$B$3:$B$60,'TP-b'!$A$3:$A$60,"FP",'TP-b'!$E$3:$E$60,1)&gt;0,_xlfn.MINIFS('TP-b'!$B$3:$B$60,'TP-b'!$A$3:$A$60,"FP",'TP-b'!$E$3:$E$60,1),"")))</f>
        <v/>
      </c>
      <c r="AA31" s="28">
        <f>IF(AA1="","",IF(_xlfn.MAXIFS('TP-b'!$B$3:$B$60,'TP-b'!$A$3:$A$60,"FP",'TP-b'!$E$3:$E$60,1,'TP-b'!$B$3:$B$60,"&lt;="&amp;AA1)&gt;0,_xlfn.MAXIFS('TP-b'!$B$3:$B$60,'TP-b'!$A$3:$A$60,"FP",'TP-b'!$E$3:$E$60,1,'TP-b'!$B$3:$B$60,"&lt;="&amp;AA1),IF(_xlfn.MINIFS('TP-b'!$B$3:$B$60,'TP-b'!$A$3:$A$60,"FP",'TP-b'!$E$3:$E$60,1)&gt;0,_xlfn.MINIFS('TP-b'!$B$3:$B$60,'TP-b'!$A$3:$A$60,"FP",'TP-b'!$E$3:$E$60,1),"")))</f>
        <v/>
      </c>
      <c r="AB31" s="28">
        <f>IF(AB1="","",IF(_xlfn.MAXIFS('TP-b'!$B$3:$B$60,'TP-b'!$A$3:$A$60,"FP",'TP-b'!$E$3:$E$60,1,'TP-b'!$B$3:$B$60,"&lt;="&amp;AB1)&gt;0,_xlfn.MAXIFS('TP-b'!$B$3:$B$60,'TP-b'!$A$3:$A$60,"FP",'TP-b'!$E$3:$E$60,1,'TP-b'!$B$3:$B$60,"&lt;="&amp;AB1),IF(_xlfn.MINIFS('TP-b'!$B$3:$B$60,'TP-b'!$A$3:$A$60,"FP",'TP-b'!$E$3:$E$60,1)&gt;0,_xlfn.MINIFS('TP-b'!$B$3:$B$60,'TP-b'!$A$3:$A$60,"FP",'TP-b'!$E$3:$E$60,1),"")))</f>
        <v/>
      </c>
      <c r="AC31" s="28">
        <f>IF(AC1="","",IF(_xlfn.MAXIFS('TP-b'!$B$3:$B$60,'TP-b'!$A$3:$A$60,"FP",'TP-b'!$E$3:$E$60,1,'TP-b'!$B$3:$B$60,"&lt;="&amp;AC1)&gt;0,_xlfn.MAXIFS('TP-b'!$B$3:$B$60,'TP-b'!$A$3:$A$60,"FP",'TP-b'!$E$3:$E$60,1,'TP-b'!$B$3:$B$60,"&lt;="&amp;AC1),IF(_xlfn.MINIFS('TP-b'!$B$3:$B$60,'TP-b'!$A$3:$A$60,"FP",'TP-b'!$E$3:$E$60,1)&gt;0,_xlfn.MINIFS('TP-b'!$B$3:$B$60,'TP-b'!$A$3:$A$60,"FP",'TP-b'!$E$3:$E$60,1),"")))</f>
        <v/>
      </c>
      <c r="AD31" s="28">
        <f>IF(AD1="","",IF(_xlfn.MAXIFS('TP-b'!$B$3:$B$60,'TP-b'!$A$3:$A$60,"FP",'TP-b'!$E$3:$E$60,1,'TP-b'!$B$3:$B$60,"&lt;="&amp;AD1)&gt;0,_xlfn.MAXIFS('TP-b'!$B$3:$B$60,'TP-b'!$A$3:$A$60,"FP",'TP-b'!$E$3:$E$60,1,'TP-b'!$B$3:$B$60,"&lt;="&amp;AD1),IF(_xlfn.MINIFS('TP-b'!$B$3:$B$60,'TP-b'!$A$3:$A$60,"FP",'TP-b'!$E$3:$E$60,1)&gt;0,_xlfn.MINIFS('TP-b'!$B$3:$B$60,'TP-b'!$A$3:$A$60,"FP",'TP-b'!$E$3:$E$60,1),"")))</f>
        <v/>
      </c>
      <c r="AE31" s="28">
        <f>IF(AE1="","",IF(_xlfn.MAXIFS('TP-b'!$B$3:$B$60,'TP-b'!$A$3:$A$60,"FP",'TP-b'!$E$3:$E$60,1,'TP-b'!$B$3:$B$60,"&lt;="&amp;AE1)&gt;0,_xlfn.MAXIFS('TP-b'!$B$3:$B$60,'TP-b'!$A$3:$A$60,"FP",'TP-b'!$E$3:$E$60,1,'TP-b'!$B$3:$B$60,"&lt;="&amp;AE1),IF(_xlfn.MINIFS('TP-b'!$B$3:$B$60,'TP-b'!$A$3:$A$60,"FP",'TP-b'!$E$3:$E$60,1)&gt;0,_xlfn.MINIFS('TP-b'!$B$3:$B$60,'TP-b'!$A$3:$A$60,"FP",'TP-b'!$E$3:$E$60,1),"")))</f>
        <v/>
      </c>
      <c r="AF31" s="28">
        <f>IF(AF1="","",IF(_xlfn.MAXIFS('TP-b'!$B$3:$B$60,'TP-b'!$A$3:$A$60,"FP",'TP-b'!$E$3:$E$60,1,'TP-b'!$B$3:$B$60,"&lt;="&amp;AF1)&gt;0,_xlfn.MAXIFS('TP-b'!$B$3:$B$60,'TP-b'!$A$3:$A$60,"FP",'TP-b'!$E$3:$E$60,1,'TP-b'!$B$3:$B$60,"&lt;="&amp;AF1),IF(_xlfn.MINIFS('TP-b'!$B$3:$B$60,'TP-b'!$A$3:$A$60,"FP",'TP-b'!$E$3:$E$60,1)&gt;0,_xlfn.MINIFS('TP-b'!$B$3:$B$60,'TP-b'!$A$3:$A$60,"FP",'TP-b'!$E$3:$E$60,1),"")))</f>
        <v/>
      </c>
      <c r="AG31" s="28">
        <f>IF(AG1="","",IF(_xlfn.MAXIFS('TP-b'!$B$3:$B$60,'TP-b'!$A$3:$A$60,"FP",'TP-b'!$E$3:$E$60,1,'TP-b'!$B$3:$B$60,"&lt;="&amp;AG1)&gt;0,_xlfn.MAXIFS('TP-b'!$B$3:$B$60,'TP-b'!$A$3:$A$60,"FP",'TP-b'!$E$3:$E$60,1,'TP-b'!$B$3:$B$60,"&lt;="&amp;AG1),IF(_xlfn.MINIFS('TP-b'!$B$3:$B$60,'TP-b'!$A$3:$A$60,"FP",'TP-b'!$E$3:$E$60,1)&gt;0,_xlfn.MINIFS('TP-b'!$B$3:$B$60,'TP-b'!$A$3:$A$60,"FP",'TP-b'!$E$3:$E$60,1),"")))</f>
        <v/>
      </c>
      <c r="AH31" s="28">
        <f>IF(AH1="","",IF(_xlfn.MAXIFS('TP-b'!$B$3:$B$60,'TP-b'!$A$3:$A$60,"FP",'TP-b'!$E$3:$E$60,1,'TP-b'!$B$3:$B$60,"&lt;="&amp;AH1)&gt;0,_xlfn.MAXIFS('TP-b'!$B$3:$B$60,'TP-b'!$A$3:$A$60,"FP",'TP-b'!$E$3:$E$60,1,'TP-b'!$B$3:$B$60,"&lt;="&amp;AH1),IF(_xlfn.MINIFS('TP-b'!$B$3:$B$60,'TP-b'!$A$3:$A$60,"FP",'TP-b'!$E$3:$E$60,1)&gt;0,_xlfn.MINIFS('TP-b'!$B$3:$B$60,'TP-b'!$A$3:$A$60,"FP",'TP-b'!$E$3:$E$60,1),"")))</f>
        <v/>
      </c>
      <c r="AI31" s="28">
        <f>IF(AI1="","",IF(_xlfn.MAXIFS('TP-b'!$B$3:$B$60,'TP-b'!$A$3:$A$60,"FP",'TP-b'!$E$3:$E$60,1,'TP-b'!$B$3:$B$60,"&lt;="&amp;AI1)&gt;0,_xlfn.MAXIFS('TP-b'!$B$3:$B$60,'TP-b'!$A$3:$A$60,"FP",'TP-b'!$E$3:$E$60,1,'TP-b'!$B$3:$B$60,"&lt;="&amp;AI1),IF(_xlfn.MINIFS('TP-b'!$B$3:$B$60,'TP-b'!$A$3:$A$60,"FP",'TP-b'!$E$3:$E$60,1)&gt;0,_xlfn.MINIFS('TP-b'!$B$3:$B$60,'TP-b'!$A$3:$A$60,"FP",'TP-b'!$E$3:$E$60,1),"")))</f>
        <v/>
      </c>
      <c r="AJ31" s="28">
        <f>IF(AJ1="","",IF(_xlfn.MAXIFS('TP-b'!$B$3:$B$60,'TP-b'!$A$3:$A$60,"FP",'TP-b'!$E$3:$E$60,1,'TP-b'!$B$3:$B$60,"&lt;="&amp;AJ1)&gt;0,_xlfn.MAXIFS('TP-b'!$B$3:$B$60,'TP-b'!$A$3:$A$60,"FP",'TP-b'!$E$3:$E$60,1,'TP-b'!$B$3:$B$60,"&lt;="&amp;AJ1),IF(_xlfn.MINIFS('TP-b'!$B$3:$B$60,'TP-b'!$A$3:$A$60,"FP",'TP-b'!$E$3:$E$60,1)&gt;0,_xlfn.MINIFS('TP-b'!$B$3:$B$60,'TP-b'!$A$3:$A$60,"FP",'TP-b'!$E$3:$E$60,1),"")))</f>
        <v/>
      </c>
      <c r="AK31" s="28">
        <f>IF(AK1="","",IF(_xlfn.MAXIFS('TP-b'!$B$3:$B$60,'TP-b'!$A$3:$A$60,"FP",'TP-b'!$E$3:$E$60,1,'TP-b'!$B$3:$B$60,"&lt;="&amp;AK1)&gt;0,_xlfn.MAXIFS('TP-b'!$B$3:$B$60,'TP-b'!$A$3:$A$60,"FP",'TP-b'!$E$3:$E$60,1,'TP-b'!$B$3:$B$60,"&lt;="&amp;AK1),IF(_xlfn.MINIFS('TP-b'!$B$3:$B$60,'TP-b'!$A$3:$A$60,"FP",'TP-b'!$E$3:$E$60,1)&gt;0,_xlfn.MINIFS('TP-b'!$B$3:$B$60,'TP-b'!$A$3:$A$60,"FP",'TP-b'!$E$3:$E$60,1),"")))</f>
        <v/>
      </c>
      <c r="AL31" s="28">
        <f>IF(AL1="","",IF(_xlfn.MAXIFS('TP-b'!$B$3:$B$60,'TP-b'!$A$3:$A$60,"FP",'TP-b'!$E$3:$E$60,1,'TP-b'!$B$3:$B$60,"&lt;="&amp;AL1)&gt;0,_xlfn.MAXIFS('TP-b'!$B$3:$B$60,'TP-b'!$A$3:$A$60,"FP",'TP-b'!$E$3:$E$60,1,'TP-b'!$B$3:$B$60,"&lt;="&amp;AL1),IF(_xlfn.MINIFS('TP-b'!$B$3:$B$60,'TP-b'!$A$3:$A$60,"FP",'TP-b'!$E$3:$E$60,1)&gt;0,_xlfn.MINIFS('TP-b'!$B$3:$B$60,'TP-b'!$A$3:$A$60,"FP",'TP-b'!$E$3:$E$60,1),"")))</f>
        <v/>
      </c>
      <c r="AM31" s="28">
        <f>IF(AM1="","",IF(_xlfn.MAXIFS('TP-b'!$B$3:$B$60,'TP-b'!$A$3:$A$60,"FP",'TP-b'!$E$3:$E$60,1,'TP-b'!$B$3:$B$60,"&lt;="&amp;AM1)&gt;0,_xlfn.MAXIFS('TP-b'!$B$3:$B$60,'TP-b'!$A$3:$A$60,"FP",'TP-b'!$E$3:$E$60,1,'TP-b'!$B$3:$B$60,"&lt;="&amp;AM1),IF(_xlfn.MINIFS('TP-b'!$B$3:$B$60,'TP-b'!$A$3:$A$60,"FP",'TP-b'!$E$3:$E$60,1)&gt;0,_xlfn.MINIFS('TP-b'!$B$3:$B$60,'TP-b'!$A$3:$A$60,"FP",'TP-b'!$E$3:$E$60,1),"")))</f>
        <v/>
      </c>
      <c r="AN31" s="28">
        <f>IF(AN1="","",IF(_xlfn.MAXIFS('TP-b'!$B$3:$B$60,'TP-b'!$A$3:$A$60,"FP",'TP-b'!$E$3:$E$60,1,'TP-b'!$B$3:$B$60,"&lt;="&amp;AN1)&gt;0,_xlfn.MAXIFS('TP-b'!$B$3:$B$60,'TP-b'!$A$3:$A$60,"FP",'TP-b'!$E$3:$E$60,1,'TP-b'!$B$3:$B$60,"&lt;="&amp;AN1),IF(_xlfn.MINIFS('TP-b'!$B$3:$B$60,'TP-b'!$A$3:$A$60,"FP",'TP-b'!$E$3:$E$60,1)&gt;0,_xlfn.MINIFS('TP-b'!$B$3:$B$60,'TP-b'!$A$3:$A$60,"FP",'TP-b'!$E$3:$E$60,1),"")))</f>
        <v/>
      </c>
      <c r="AO31" s="28">
        <f>IF(AO1="","",IF(_xlfn.MAXIFS('TP-b'!$B$3:$B$60,'TP-b'!$A$3:$A$60,"FP",'TP-b'!$E$3:$E$60,1,'TP-b'!$B$3:$B$60,"&lt;="&amp;AO1)&gt;0,_xlfn.MAXIFS('TP-b'!$B$3:$B$60,'TP-b'!$A$3:$A$60,"FP",'TP-b'!$E$3:$E$60,1,'TP-b'!$B$3:$B$60,"&lt;="&amp;AO1),IF(_xlfn.MINIFS('TP-b'!$B$3:$B$60,'TP-b'!$A$3:$A$60,"FP",'TP-b'!$E$3:$E$60,1)&gt;0,_xlfn.MINIFS('TP-b'!$B$3:$B$60,'TP-b'!$A$3:$A$60,"FP",'TP-b'!$E$3:$E$60,1),"")))</f>
        <v/>
      </c>
      <c r="AP31" s="28">
        <f>IF(AP1="","",IF(_xlfn.MAXIFS('TP-b'!$B$3:$B$60,'TP-b'!$A$3:$A$60,"FP",'TP-b'!$E$3:$E$60,1,'TP-b'!$B$3:$B$60,"&lt;="&amp;AP1)&gt;0,_xlfn.MAXIFS('TP-b'!$B$3:$B$60,'TP-b'!$A$3:$A$60,"FP",'TP-b'!$E$3:$E$60,1,'TP-b'!$B$3:$B$60,"&lt;="&amp;AP1),IF(_xlfn.MINIFS('TP-b'!$B$3:$B$60,'TP-b'!$A$3:$A$60,"FP",'TP-b'!$E$3:$E$60,1)&gt;0,_xlfn.MINIFS('TP-b'!$B$3:$B$60,'TP-b'!$A$3:$A$60,"FP",'TP-b'!$E$3:$E$60,1),"")))</f>
        <v/>
      </c>
      <c r="AQ31" s="28">
        <f>IF(AQ1="","",IF(_xlfn.MAXIFS('TP-b'!$B$3:$B$60,'TP-b'!$A$3:$A$60,"FP",'TP-b'!$E$3:$E$60,1,'TP-b'!$B$3:$B$60,"&lt;="&amp;AQ1)&gt;0,_xlfn.MAXIFS('TP-b'!$B$3:$B$60,'TP-b'!$A$3:$A$60,"FP",'TP-b'!$E$3:$E$60,1,'TP-b'!$B$3:$B$60,"&lt;="&amp;AQ1),IF(_xlfn.MINIFS('TP-b'!$B$3:$B$60,'TP-b'!$A$3:$A$60,"FP",'TP-b'!$E$3:$E$60,1)&gt;0,_xlfn.MINIFS('TP-b'!$B$3:$B$60,'TP-b'!$A$3:$A$60,"FP",'TP-b'!$E$3:$E$60,1),"")))</f>
        <v/>
      </c>
      <c r="AR31" s="28">
        <f>IF(AR1="","",IF(_xlfn.MAXIFS('TP-b'!$B$3:$B$60,'TP-b'!$A$3:$A$60,"FP",'TP-b'!$E$3:$E$60,1,'TP-b'!$B$3:$B$60,"&lt;="&amp;AR1)&gt;0,_xlfn.MAXIFS('TP-b'!$B$3:$B$60,'TP-b'!$A$3:$A$60,"FP",'TP-b'!$E$3:$E$60,1,'TP-b'!$B$3:$B$60,"&lt;="&amp;AR1),IF(_xlfn.MINIFS('TP-b'!$B$3:$B$60,'TP-b'!$A$3:$A$60,"FP",'TP-b'!$E$3:$E$60,1)&gt;0,_xlfn.MINIFS('TP-b'!$B$3:$B$60,'TP-b'!$A$3:$A$60,"FP",'TP-b'!$E$3:$E$60,1),"")))</f>
        <v/>
      </c>
      <c r="AS31" s="28">
        <f>IF(AS1="","",IF(_xlfn.MAXIFS('TP-b'!$B$3:$B$60,'TP-b'!$A$3:$A$60,"FP",'TP-b'!$E$3:$E$60,1,'TP-b'!$B$3:$B$60,"&lt;="&amp;AS1)&gt;0,_xlfn.MAXIFS('TP-b'!$B$3:$B$60,'TP-b'!$A$3:$A$60,"FP",'TP-b'!$E$3:$E$60,1,'TP-b'!$B$3:$B$60,"&lt;="&amp;AS1),IF(_xlfn.MINIFS('TP-b'!$B$3:$B$60,'TP-b'!$A$3:$A$60,"FP",'TP-b'!$E$3:$E$60,1)&gt;0,_xlfn.MINIFS('TP-b'!$B$3:$B$60,'TP-b'!$A$3:$A$60,"FP",'TP-b'!$E$3:$E$60,1),"")))</f>
        <v/>
      </c>
      <c r="AT31" s="28">
        <f>IF(AT1="","",IF(_xlfn.MAXIFS('TP-b'!$B$3:$B$60,'TP-b'!$A$3:$A$60,"FP",'TP-b'!$E$3:$E$60,1,'TP-b'!$B$3:$B$60,"&lt;="&amp;AT1)&gt;0,_xlfn.MAXIFS('TP-b'!$B$3:$B$60,'TP-b'!$A$3:$A$60,"FP",'TP-b'!$E$3:$E$60,1,'TP-b'!$B$3:$B$60,"&lt;="&amp;AT1),IF(_xlfn.MINIFS('TP-b'!$B$3:$B$60,'TP-b'!$A$3:$A$60,"FP",'TP-b'!$E$3:$E$60,1)&gt;0,_xlfn.MINIFS('TP-b'!$B$3:$B$60,'TP-b'!$A$3:$A$60,"FP",'TP-b'!$E$3:$E$60,1),"")))</f>
        <v/>
      </c>
      <c r="AU31" s="28">
        <f>IF(AU1="","",IF(_xlfn.MAXIFS('TP-b'!$B$3:$B$60,'TP-b'!$A$3:$A$60,"FP",'TP-b'!$E$3:$E$60,1,'TP-b'!$B$3:$B$60,"&lt;="&amp;AU1)&gt;0,_xlfn.MAXIFS('TP-b'!$B$3:$B$60,'TP-b'!$A$3:$A$60,"FP",'TP-b'!$E$3:$E$60,1,'TP-b'!$B$3:$B$60,"&lt;="&amp;AU1),IF(_xlfn.MINIFS('TP-b'!$B$3:$B$60,'TP-b'!$A$3:$A$60,"FP",'TP-b'!$E$3:$E$60,1)&gt;0,_xlfn.MINIFS('TP-b'!$B$3:$B$60,'TP-b'!$A$3:$A$60,"FP",'TP-b'!$E$3:$E$60,1),"")))</f>
        <v/>
      </c>
      <c r="AV31" s="28">
        <f>IF(AV1="","",IF(_xlfn.MAXIFS('TP-b'!$B$3:$B$60,'TP-b'!$A$3:$A$60,"FP",'TP-b'!$E$3:$E$60,1,'TP-b'!$B$3:$B$60,"&lt;="&amp;AV1)&gt;0,_xlfn.MAXIFS('TP-b'!$B$3:$B$60,'TP-b'!$A$3:$A$60,"FP",'TP-b'!$E$3:$E$60,1,'TP-b'!$B$3:$B$60,"&lt;="&amp;AV1),IF(_xlfn.MINIFS('TP-b'!$B$3:$B$60,'TP-b'!$A$3:$A$60,"FP",'TP-b'!$E$3:$E$60,1)&gt;0,_xlfn.MINIFS('TP-b'!$B$3:$B$60,'TP-b'!$A$3:$A$60,"FP",'TP-b'!$E$3:$E$60,1),"")))</f>
        <v/>
      </c>
      <c r="AW31" s="28">
        <f>IF(AW1="","",IF(_xlfn.MAXIFS('TP-b'!$B$3:$B$60,'TP-b'!$A$3:$A$60,"FP",'TP-b'!$E$3:$E$60,1,'TP-b'!$B$3:$B$60,"&lt;="&amp;AW1)&gt;0,_xlfn.MAXIFS('TP-b'!$B$3:$B$60,'TP-b'!$A$3:$A$60,"FP",'TP-b'!$E$3:$E$60,1,'TP-b'!$B$3:$B$60,"&lt;="&amp;AW1),IF(_xlfn.MINIFS('TP-b'!$B$3:$B$60,'TP-b'!$A$3:$A$60,"FP",'TP-b'!$E$3:$E$60,1)&gt;0,_xlfn.MINIFS('TP-b'!$B$3:$B$60,'TP-b'!$A$3:$A$60,"FP",'TP-b'!$E$3:$E$60,1),"")))</f>
        <v/>
      </c>
      <c r="AX31" s="28">
        <f>IF(AX1="","",IF(_xlfn.MAXIFS('TP-b'!$B$3:$B$60,'TP-b'!$A$3:$A$60,"FP",'TP-b'!$E$3:$E$60,1,'TP-b'!$B$3:$B$60,"&lt;="&amp;AX1)&gt;0,_xlfn.MAXIFS('TP-b'!$B$3:$B$60,'TP-b'!$A$3:$A$60,"FP",'TP-b'!$E$3:$E$60,1,'TP-b'!$B$3:$B$60,"&lt;="&amp;AX1),IF(_xlfn.MINIFS('TP-b'!$B$3:$B$60,'TP-b'!$A$3:$A$60,"FP",'TP-b'!$E$3:$E$60,1)&gt;0,_xlfn.MINIFS('TP-b'!$B$3:$B$60,'TP-b'!$A$3:$A$60,"FP",'TP-b'!$E$3:$E$60,1),"")))</f>
        <v/>
      </c>
      <c r="AY31" s="28">
        <f>IF(AY1="","",IF(_xlfn.MAXIFS('TP-b'!$B$3:$B$60,'TP-b'!$A$3:$A$60,"FP",'TP-b'!$E$3:$E$60,1,'TP-b'!$B$3:$B$60,"&lt;="&amp;AY1)&gt;0,_xlfn.MAXIFS('TP-b'!$B$3:$B$60,'TP-b'!$A$3:$A$60,"FP",'TP-b'!$E$3:$E$60,1,'TP-b'!$B$3:$B$60,"&lt;="&amp;AY1),IF(_xlfn.MINIFS('TP-b'!$B$3:$B$60,'TP-b'!$A$3:$A$60,"FP",'TP-b'!$E$3:$E$60,1)&gt;0,_xlfn.MINIFS('TP-b'!$B$3:$B$60,'TP-b'!$A$3:$A$60,"FP",'TP-b'!$E$3:$E$60,1),"")))</f>
        <v/>
      </c>
      <c r="AZ31" s="28">
        <f>IF(AZ1="","",IF(_xlfn.MAXIFS('TP-b'!$B$3:$B$60,'TP-b'!$A$3:$A$60,"FP",'TP-b'!$E$3:$E$60,1,'TP-b'!$B$3:$B$60,"&lt;="&amp;AZ1)&gt;0,_xlfn.MAXIFS('TP-b'!$B$3:$B$60,'TP-b'!$A$3:$A$60,"FP",'TP-b'!$E$3:$E$60,1,'TP-b'!$B$3:$B$60,"&lt;="&amp;AZ1),IF(_xlfn.MINIFS('TP-b'!$B$3:$B$60,'TP-b'!$A$3:$A$60,"FP",'TP-b'!$E$3:$E$60,1)&gt;0,_xlfn.MINIFS('TP-b'!$B$3:$B$60,'TP-b'!$A$3:$A$60,"FP",'TP-b'!$E$3:$E$60,1),"")))</f>
        <v/>
      </c>
      <c r="BA31" s="28">
        <f>IF(BA1="","",IF(_xlfn.MAXIFS('TP-b'!$B$3:$B$60,'TP-b'!$A$3:$A$60,"FP",'TP-b'!$E$3:$E$60,1,'TP-b'!$B$3:$B$60,"&lt;="&amp;BA1)&gt;0,_xlfn.MAXIFS('TP-b'!$B$3:$B$60,'TP-b'!$A$3:$A$60,"FP",'TP-b'!$E$3:$E$60,1,'TP-b'!$B$3:$B$60,"&lt;="&amp;BA1),IF(_xlfn.MINIFS('TP-b'!$B$3:$B$60,'TP-b'!$A$3:$A$60,"FP",'TP-b'!$E$3:$E$60,1)&gt;0,_xlfn.MINIFS('TP-b'!$B$3:$B$60,'TP-b'!$A$3:$A$60,"FP",'TP-b'!$E$3:$E$60,1),"")))</f>
        <v/>
      </c>
      <c r="BB31" s="28">
        <f>IF(BB1="","",IF(_xlfn.MAXIFS('TP-b'!$B$3:$B$60,'TP-b'!$A$3:$A$60,"FP",'TP-b'!$E$3:$E$60,1,'TP-b'!$B$3:$B$60,"&lt;="&amp;BB1)&gt;0,_xlfn.MAXIFS('TP-b'!$B$3:$B$60,'TP-b'!$A$3:$A$60,"FP",'TP-b'!$E$3:$E$60,1,'TP-b'!$B$3:$B$60,"&lt;="&amp;BB1),IF(_xlfn.MINIFS('TP-b'!$B$3:$B$60,'TP-b'!$A$3:$A$60,"FP",'TP-b'!$E$3:$E$60,1)&gt;0,_xlfn.MINIFS('TP-b'!$B$3:$B$60,'TP-b'!$A$3:$A$60,"FP",'TP-b'!$E$3:$E$60,1),"")))</f>
        <v/>
      </c>
      <c r="BC31" s="28">
        <f>IF(BC1="","",IF(_xlfn.MAXIFS('TP-b'!$B$3:$B$60,'TP-b'!$A$3:$A$60,"FP",'TP-b'!$E$3:$E$60,1,'TP-b'!$B$3:$B$60,"&lt;="&amp;BC1)&gt;0,_xlfn.MAXIFS('TP-b'!$B$3:$B$60,'TP-b'!$A$3:$A$60,"FP",'TP-b'!$E$3:$E$60,1,'TP-b'!$B$3:$B$60,"&lt;="&amp;BC1),IF(_xlfn.MINIFS('TP-b'!$B$3:$B$60,'TP-b'!$A$3:$A$60,"FP",'TP-b'!$E$3:$E$60,1)&gt;0,_xlfn.MINIFS('TP-b'!$B$3:$B$60,'TP-b'!$A$3:$A$60,"FP",'TP-b'!$E$3:$E$60,1),"")))</f>
        <v/>
      </c>
      <c r="BD31" s="28">
        <f>IF(BD1="","",IF(_xlfn.MAXIFS('TP-b'!$B$3:$B$60,'TP-b'!$A$3:$A$60,"FP",'TP-b'!$E$3:$E$60,1,'TP-b'!$B$3:$B$60,"&lt;="&amp;BD1)&gt;0,_xlfn.MAXIFS('TP-b'!$B$3:$B$60,'TP-b'!$A$3:$A$60,"FP",'TP-b'!$E$3:$E$60,1,'TP-b'!$B$3:$B$60,"&lt;="&amp;BD1),IF(_xlfn.MINIFS('TP-b'!$B$3:$B$60,'TP-b'!$A$3:$A$60,"FP",'TP-b'!$E$3:$E$60,1)&gt;0,_xlfn.MINIFS('TP-b'!$B$3:$B$60,'TP-b'!$A$3:$A$60,"FP",'TP-b'!$E$3:$E$60,1),"")))</f>
        <v/>
      </c>
      <c r="BE31" s="28">
        <f>IF(BE1="","",IF(_xlfn.MAXIFS('TP-b'!$B$3:$B$60,'TP-b'!$A$3:$A$60,"FP",'TP-b'!$E$3:$E$60,1,'TP-b'!$B$3:$B$60,"&lt;="&amp;BE1)&gt;0,_xlfn.MAXIFS('TP-b'!$B$3:$B$60,'TP-b'!$A$3:$A$60,"FP",'TP-b'!$E$3:$E$60,1,'TP-b'!$B$3:$B$60,"&lt;="&amp;BE1),IF(_xlfn.MINIFS('TP-b'!$B$3:$B$60,'TP-b'!$A$3:$A$60,"FP",'TP-b'!$E$3:$E$60,1)&gt;0,_xlfn.MINIFS('TP-b'!$B$3:$B$60,'TP-b'!$A$3:$A$60,"FP",'TP-b'!$E$3:$E$60,1),"")))</f>
        <v/>
      </c>
      <c r="BF31" s="28">
        <f>IF(BF1="","",IF(_xlfn.MAXIFS('TP-b'!$B$3:$B$60,'TP-b'!$A$3:$A$60,"FP",'TP-b'!$E$3:$E$60,1,'TP-b'!$B$3:$B$60,"&lt;="&amp;BF1)&gt;0,_xlfn.MAXIFS('TP-b'!$B$3:$B$60,'TP-b'!$A$3:$A$60,"FP",'TP-b'!$E$3:$E$60,1,'TP-b'!$B$3:$B$60,"&lt;="&amp;BF1),IF(_xlfn.MINIFS('TP-b'!$B$3:$B$60,'TP-b'!$A$3:$A$60,"FP",'TP-b'!$E$3:$E$60,1)&gt;0,_xlfn.MINIFS('TP-b'!$B$3:$B$60,'TP-b'!$A$3:$A$60,"FP",'TP-b'!$E$3:$E$60,1),"")))</f>
        <v/>
      </c>
      <c r="BG31" s="28">
        <f>IF(BG1="","",IF(_xlfn.MAXIFS('TP-b'!$B$3:$B$60,'TP-b'!$A$3:$A$60,"FP",'TP-b'!$E$3:$E$60,1,'TP-b'!$B$3:$B$60,"&lt;="&amp;BG1)&gt;0,_xlfn.MAXIFS('TP-b'!$B$3:$B$60,'TP-b'!$A$3:$A$60,"FP",'TP-b'!$E$3:$E$60,1,'TP-b'!$B$3:$B$60,"&lt;="&amp;BG1),IF(_xlfn.MINIFS('TP-b'!$B$3:$B$60,'TP-b'!$A$3:$A$60,"FP",'TP-b'!$E$3:$E$60,1)&gt;0,_xlfn.MINIFS('TP-b'!$B$3:$B$60,'TP-b'!$A$3:$A$60,"FP",'TP-b'!$E$3:$E$60,1),"")))</f>
        <v/>
      </c>
      <c r="BH31" s="28">
        <f>IF(BH1="","",IF(_xlfn.MAXIFS('TP-b'!$B$3:$B$60,'TP-b'!$A$3:$A$60,"FP",'TP-b'!$E$3:$E$60,1,'TP-b'!$B$3:$B$60,"&lt;="&amp;BH1)&gt;0,_xlfn.MAXIFS('TP-b'!$B$3:$B$60,'TP-b'!$A$3:$A$60,"FP",'TP-b'!$E$3:$E$60,1,'TP-b'!$B$3:$B$60,"&lt;="&amp;BH1),IF(_xlfn.MINIFS('TP-b'!$B$3:$B$60,'TP-b'!$A$3:$A$60,"FP",'TP-b'!$E$3:$E$60,1)&gt;0,_xlfn.MINIFS('TP-b'!$B$3:$B$60,'TP-b'!$A$3:$A$60,"FP",'TP-b'!$E$3:$E$60,1),"")))</f>
        <v/>
      </c>
      <c r="BI31" s="28">
        <f>IF(BI1="","",IF(_xlfn.MAXIFS('TP-b'!$B$3:$B$60,'TP-b'!$A$3:$A$60,"FP",'TP-b'!$E$3:$E$60,1,'TP-b'!$B$3:$B$60,"&lt;="&amp;BI1)&gt;0,_xlfn.MAXIFS('TP-b'!$B$3:$B$60,'TP-b'!$A$3:$A$60,"FP",'TP-b'!$E$3:$E$60,1,'TP-b'!$B$3:$B$60,"&lt;="&amp;BI1),IF(_xlfn.MINIFS('TP-b'!$B$3:$B$60,'TP-b'!$A$3:$A$60,"FP",'TP-b'!$E$3:$E$60,1)&gt;0,_xlfn.MINIFS('TP-b'!$B$3:$B$60,'TP-b'!$A$3:$A$60,"FP",'TP-b'!$E$3:$E$60,1),"")))</f>
        <v/>
      </c>
      <c r="BJ31" s="28">
        <f>IF(BJ1="","",IF(_xlfn.MAXIFS('TP-b'!$B$3:$B$60,'TP-b'!$A$3:$A$60,"FP",'TP-b'!$E$3:$E$60,1,'TP-b'!$B$3:$B$60,"&lt;="&amp;BJ1)&gt;0,_xlfn.MAXIFS('TP-b'!$B$3:$B$60,'TP-b'!$A$3:$A$60,"FP",'TP-b'!$E$3:$E$60,1,'TP-b'!$B$3:$B$60,"&lt;="&amp;BJ1),IF(_xlfn.MINIFS('TP-b'!$B$3:$B$60,'TP-b'!$A$3:$A$60,"FP",'TP-b'!$E$3:$E$60,1)&gt;0,_xlfn.MINIFS('TP-b'!$B$3:$B$60,'TP-b'!$A$3:$A$60,"FP",'TP-b'!$E$3:$E$60,1),"")))</f>
        <v/>
      </c>
      <c r="BK31" s="28">
        <f>IF(BK1="","",IF(_xlfn.MAXIFS('TP-b'!$B$3:$B$60,'TP-b'!$A$3:$A$60,"FP",'TP-b'!$E$3:$E$60,1,'TP-b'!$B$3:$B$60,"&lt;="&amp;BK1)&gt;0,_xlfn.MAXIFS('TP-b'!$B$3:$B$60,'TP-b'!$A$3:$A$60,"FP",'TP-b'!$E$3:$E$60,1,'TP-b'!$B$3:$B$60,"&lt;="&amp;BK1),IF(_xlfn.MINIFS('TP-b'!$B$3:$B$60,'TP-b'!$A$3:$A$60,"FP",'TP-b'!$E$3:$E$60,1)&gt;0,_xlfn.MINIFS('TP-b'!$B$3:$B$60,'TP-b'!$A$3:$A$60,"FP",'TP-b'!$E$3:$E$60,1),"")))</f>
        <v/>
      </c>
      <c r="BL31" s="28">
        <f>IF(BL1="","",IF(_xlfn.MAXIFS('TP-b'!$B$3:$B$60,'TP-b'!$A$3:$A$60,"FP",'TP-b'!$E$3:$E$60,1,'TP-b'!$B$3:$B$60,"&lt;="&amp;BL1)&gt;0,_xlfn.MAXIFS('TP-b'!$B$3:$B$60,'TP-b'!$A$3:$A$60,"FP",'TP-b'!$E$3:$E$60,1,'TP-b'!$B$3:$B$60,"&lt;="&amp;BL1),IF(_xlfn.MINIFS('TP-b'!$B$3:$B$60,'TP-b'!$A$3:$A$60,"FP",'TP-b'!$E$3:$E$60,1)&gt;0,_xlfn.MINIFS('TP-b'!$B$3:$B$60,'TP-b'!$A$3:$A$60,"FP",'TP-b'!$E$3:$E$60,1),"")))</f>
        <v/>
      </c>
      <c r="BM31" s="28">
        <f>IF(BM1="","",IF(_xlfn.MAXIFS('TP-b'!$B$3:$B$60,'TP-b'!$A$3:$A$60,"FP",'TP-b'!$E$3:$E$60,1,'TP-b'!$B$3:$B$60,"&lt;="&amp;BM1)&gt;0,_xlfn.MAXIFS('TP-b'!$B$3:$B$60,'TP-b'!$A$3:$A$60,"FP",'TP-b'!$E$3:$E$60,1,'TP-b'!$B$3:$B$60,"&lt;="&amp;BM1),IF(_xlfn.MINIFS('TP-b'!$B$3:$B$60,'TP-b'!$A$3:$A$60,"FP",'TP-b'!$E$3:$E$60,1)&gt;0,_xlfn.MINIFS('TP-b'!$B$3:$B$60,'TP-b'!$A$3:$A$60,"FP",'TP-b'!$E$3:$E$60,1),"")))</f>
        <v/>
      </c>
      <c r="BN31" s="28">
        <f>IF(BN1="","",IF(_xlfn.MAXIFS('TP-b'!$B$3:$B$60,'TP-b'!$A$3:$A$60,"FP",'TP-b'!$E$3:$E$60,1,'TP-b'!$B$3:$B$60,"&lt;="&amp;BN1)&gt;0,_xlfn.MAXIFS('TP-b'!$B$3:$B$60,'TP-b'!$A$3:$A$60,"FP",'TP-b'!$E$3:$E$60,1,'TP-b'!$B$3:$B$60,"&lt;="&amp;BN1),IF(_xlfn.MINIFS('TP-b'!$B$3:$B$60,'TP-b'!$A$3:$A$60,"FP",'TP-b'!$E$3:$E$60,1)&gt;0,_xlfn.MINIFS('TP-b'!$B$3:$B$60,'TP-b'!$A$3:$A$60,"FP",'TP-b'!$E$3:$E$60,1),"")))</f>
        <v/>
      </c>
      <c r="BO31" s="28">
        <f>IF(BO1="","",IF(_xlfn.MAXIFS('TP-b'!$B$3:$B$60,'TP-b'!$A$3:$A$60,"FP",'TP-b'!$E$3:$E$60,1,'TP-b'!$B$3:$B$60,"&lt;="&amp;BO1)&gt;0,_xlfn.MAXIFS('TP-b'!$B$3:$B$60,'TP-b'!$A$3:$A$60,"FP",'TP-b'!$E$3:$E$60,1,'TP-b'!$B$3:$B$60,"&lt;="&amp;BO1),IF(_xlfn.MINIFS('TP-b'!$B$3:$B$60,'TP-b'!$A$3:$A$60,"FP",'TP-b'!$E$3:$E$60,1)&gt;0,_xlfn.MINIFS('TP-b'!$B$3:$B$60,'TP-b'!$A$3:$A$60,"FP",'TP-b'!$E$3:$E$60,1),"")))</f>
        <v/>
      </c>
      <c r="BP31" s="28">
        <f>IF(BP1="","",IF(_xlfn.MAXIFS('TP-b'!$B$3:$B$60,'TP-b'!$A$3:$A$60,"FP",'TP-b'!$E$3:$E$60,1,'TP-b'!$B$3:$B$60,"&lt;="&amp;BP1)&gt;0,_xlfn.MAXIFS('TP-b'!$B$3:$B$60,'TP-b'!$A$3:$A$60,"FP",'TP-b'!$E$3:$E$60,1,'TP-b'!$B$3:$B$60,"&lt;="&amp;BP1),IF(_xlfn.MINIFS('TP-b'!$B$3:$B$60,'TP-b'!$A$3:$A$60,"FP",'TP-b'!$E$3:$E$60,1)&gt;0,_xlfn.MINIFS('TP-b'!$B$3:$B$60,'TP-b'!$A$3:$A$60,"FP",'TP-b'!$E$3:$E$60,1),"")))</f>
        <v/>
      </c>
      <c r="BQ31" s="28">
        <f>IF(BQ1="","",IF(_xlfn.MAXIFS('TP-b'!$B$3:$B$60,'TP-b'!$A$3:$A$60,"FP",'TP-b'!$E$3:$E$60,1,'TP-b'!$B$3:$B$60,"&lt;="&amp;BQ1)&gt;0,_xlfn.MAXIFS('TP-b'!$B$3:$B$60,'TP-b'!$A$3:$A$60,"FP",'TP-b'!$E$3:$E$60,1,'TP-b'!$B$3:$B$60,"&lt;="&amp;BQ1),IF(_xlfn.MINIFS('TP-b'!$B$3:$B$60,'TP-b'!$A$3:$A$60,"FP",'TP-b'!$E$3:$E$60,1)&gt;0,_xlfn.MINIFS('TP-b'!$B$3:$B$60,'TP-b'!$A$3:$A$60,"FP",'TP-b'!$E$3:$E$60,1),"")))</f>
        <v/>
      </c>
      <c r="BR31" s="28">
        <f>IF(BR1="","",IF(_xlfn.MAXIFS('TP-b'!$B$3:$B$60,'TP-b'!$A$3:$A$60,"FP",'TP-b'!$E$3:$E$60,1,'TP-b'!$B$3:$B$60,"&lt;="&amp;BR1)&gt;0,_xlfn.MAXIFS('TP-b'!$B$3:$B$60,'TP-b'!$A$3:$A$60,"FP",'TP-b'!$E$3:$E$60,1,'TP-b'!$B$3:$B$60,"&lt;="&amp;BR1),IF(_xlfn.MINIFS('TP-b'!$B$3:$B$60,'TP-b'!$A$3:$A$60,"FP",'TP-b'!$E$3:$E$60,1)&gt;0,_xlfn.MINIFS('TP-b'!$B$3:$B$60,'TP-b'!$A$3:$A$60,"FP",'TP-b'!$E$3:$E$60,1),"")))</f>
        <v/>
      </c>
      <c r="BS31" s="28">
        <f>IF(BS1="","",IF(_xlfn.MAXIFS('TP-b'!$B$3:$B$60,'TP-b'!$A$3:$A$60,"FP",'TP-b'!$E$3:$E$60,1,'TP-b'!$B$3:$B$60,"&lt;="&amp;BS1)&gt;0,_xlfn.MAXIFS('TP-b'!$B$3:$B$60,'TP-b'!$A$3:$A$60,"FP",'TP-b'!$E$3:$E$60,1,'TP-b'!$B$3:$B$60,"&lt;="&amp;BS1),IF(_xlfn.MINIFS('TP-b'!$B$3:$B$60,'TP-b'!$A$3:$A$60,"FP",'TP-b'!$E$3:$E$60,1)&gt;0,_xlfn.MINIFS('TP-b'!$B$3:$B$60,'TP-b'!$A$3:$A$60,"FP",'TP-b'!$E$3:$E$60,1),"")))</f>
        <v/>
      </c>
      <c r="BT31" s="28">
        <f>IF(BT1="","",IF(_xlfn.MAXIFS('TP-b'!$B$3:$B$60,'TP-b'!$A$3:$A$60,"FP",'TP-b'!$E$3:$E$60,1,'TP-b'!$B$3:$B$60,"&lt;="&amp;BT1)&gt;0,_xlfn.MAXIFS('TP-b'!$B$3:$B$60,'TP-b'!$A$3:$A$60,"FP",'TP-b'!$E$3:$E$60,1,'TP-b'!$B$3:$B$60,"&lt;="&amp;BT1),IF(_xlfn.MINIFS('TP-b'!$B$3:$B$60,'TP-b'!$A$3:$A$60,"FP",'TP-b'!$E$3:$E$60,1)&gt;0,_xlfn.MINIFS('TP-b'!$B$3:$B$60,'TP-b'!$A$3:$A$60,"FP",'TP-b'!$E$3:$E$60,1),"")))</f>
        <v/>
      </c>
      <c r="BU31" s="28">
        <f>IF(BU1="","",IF(_xlfn.MAXIFS('TP-b'!$B$3:$B$60,'TP-b'!$A$3:$A$60,"FP",'TP-b'!$E$3:$E$60,1,'TP-b'!$B$3:$B$60,"&lt;="&amp;BU1)&gt;0,_xlfn.MAXIFS('TP-b'!$B$3:$B$60,'TP-b'!$A$3:$A$60,"FP",'TP-b'!$E$3:$E$60,1,'TP-b'!$B$3:$B$60,"&lt;="&amp;BU1),IF(_xlfn.MINIFS('TP-b'!$B$3:$B$60,'TP-b'!$A$3:$A$60,"FP",'TP-b'!$E$3:$E$60,1)&gt;0,_xlfn.MINIFS('TP-b'!$B$3:$B$60,'TP-b'!$A$3:$A$60,"FP",'TP-b'!$E$3:$E$60,1),"")))</f>
        <v/>
      </c>
      <c r="BV31" s="28">
        <f>IF(BV1="","",IF(_xlfn.MAXIFS('TP-b'!$B$3:$B$60,'TP-b'!$A$3:$A$60,"FP",'TP-b'!$E$3:$E$60,1,'TP-b'!$B$3:$B$60,"&lt;="&amp;BV1)&gt;0,_xlfn.MAXIFS('TP-b'!$B$3:$B$60,'TP-b'!$A$3:$A$60,"FP",'TP-b'!$E$3:$E$60,1,'TP-b'!$B$3:$B$60,"&lt;="&amp;BV1),IF(_xlfn.MINIFS('TP-b'!$B$3:$B$60,'TP-b'!$A$3:$A$60,"FP",'TP-b'!$E$3:$E$60,1)&gt;0,_xlfn.MINIFS('TP-b'!$B$3:$B$60,'TP-b'!$A$3:$A$60,"FP",'TP-b'!$E$3:$E$60,1),"")))</f>
        <v/>
      </c>
      <c r="BW31" s="28">
        <f>IF(BW1="","",IF(_xlfn.MAXIFS('TP-b'!$B$3:$B$60,'TP-b'!$A$3:$A$60,"FP",'TP-b'!$E$3:$E$60,1,'TP-b'!$B$3:$B$60,"&lt;="&amp;BW1)&gt;0,_xlfn.MAXIFS('TP-b'!$B$3:$B$60,'TP-b'!$A$3:$A$60,"FP",'TP-b'!$E$3:$E$60,1,'TP-b'!$B$3:$B$60,"&lt;="&amp;BW1),IF(_xlfn.MINIFS('TP-b'!$B$3:$B$60,'TP-b'!$A$3:$A$60,"FP",'TP-b'!$E$3:$E$60,1)&gt;0,_xlfn.MINIFS('TP-b'!$B$3:$B$60,'TP-b'!$A$3:$A$60,"FP",'TP-b'!$E$3:$E$60,1),"")))</f>
        <v/>
      </c>
      <c r="BX31" s="28">
        <f>IF(BX1="","",IF(_xlfn.MAXIFS('TP-b'!$B$3:$B$60,'TP-b'!$A$3:$A$60,"FP",'TP-b'!$E$3:$E$60,1,'TP-b'!$B$3:$B$60,"&lt;="&amp;BX1)&gt;0,_xlfn.MAXIFS('TP-b'!$B$3:$B$60,'TP-b'!$A$3:$A$60,"FP",'TP-b'!$E$3:$E$60,1,'TP-b'!$B$3:$B$60,"&lt;="&amp;BX1),IF(_xlfn.MINIFS('TP-b'!$B$3:$B$60,'TP-b'!$A$3:$A$60,"FP",'TP-b'!$E$3:$E$60,1)&gt;0,_xlfn.MINIFS('TP-b'!$B$3:$B$60,'TP-b'!$A$3:$A$60,"FP",'TP-b'!$E$3:$E$60,1),"")))</f>
        <v/>
      </c>
      <c r="BY31" s="28">
        <f>IF(BY1="","",IF(_xlfn.MAXIFS('TP-b'!$B$3:$B$60,'TP-b'!$A$3:$A$60,"FP",'TP-b'!$E$3:$E$60,1,'TP-b'!$B$3:$B$60,"&lt;="&amp;BY1)&gt;0,_xlfn.MAXIFS('TP-b'!$B$3:$B$60,'TP-b'!$A$3:$A$60,"FP",'TP-b'!$E$3:$E$60,1,'TP-b'!$B$3:$B$60,"&lt;="&amp;BY1),IF(_xlfn.MINIFS('TP-b'!$B$3:$B$60,'TP-b'!$A$3:$A$60,"FP",'TP-b'!$E$3:$E$60,1)&gt;0,_xlfn.MINIFS('TP-b'!$B$3:$B$60,'TP-b'!$A$3:$A$60,"FP",'TP-b'!$E$3:$E$60,1),"")))</f>
        <v/>
      </c>
      <c r="BZ31" s="28">
        <f>IF(BZ1="","",IF(_xlfn.MAXIFS('TP-b'!$B$3:$B$60,'TP-b'!$A$3:$A$60,"FP",'TP-b'!$E$3:$E$60,1,'TP-b'!$B$3:$B$60,"&lt;="&amp;BZ1)&gt;0,_xlfn.MAXIFS('TP-b'!$B$3:$B$60,'TP-b'!$A$3:$A$60,"FP",'TP-b'!$E$3:$E$60,1,'TP-b'!$B$3:$B$60,"&lt;="&amp;BZ1),IF(_xlfn.MINIFS('TP-b'!$B$3:$B$60,'TP-b'!$A$3:$A$60,"FP",'TP-b'!$E$3:$E$60,1)&gt;0,_xlfn.MINIFS('TP-b'!$B$3:$B$60,'TP-b'!$A$3:$A$60,"FP",'TP-b'!$E$3:$E$60,1),"")))</f>
        <v/>
      </c>
      <c r="CA31" s="28">
        <f>IF(CA1="","",IF(_xlfn.MAXIFS('TP-b'!$B$3:$B$60,'TP-b'!$A$3:$A$60,"FP",'TP-b'!$E$3:$E$60,1,'TP-b'!$B$3:$B$60,"&lt;="&amp;CA1)&gt;0,_xlfn.MAXIFS('TP-b'!$B$3:$B$60,'TP-b'!$A$3:$A$60,"FP",'TP-b'!$E$3:$E$60,1,'TP-b'!$B$3:$B$60,"&lt;="&amp;CA1),IF(_xlfn.MINIFS('TP-b'!$B$3:$B$60,'TP-b'!$A$3:$A$60,"FP",'TP-b'!$E$3:$E$60,1)&gt;0,_xlfn.MINIFS('TP-b'!$B$3:$B$60,'TP-b'!$A$3:$A$60,"FP",'TP-b'!$E$3:$E$60,1),"")))</f>
        <v/>
      </c>
      <c r="CB31" s="28">
        <f>IF(CB1="","",IF(_xlfn.MAXIFS('TP-b'!$B$3:$B$60,'TP-b'!$A$3:$A$60,"FP",'TP-b'!$E$3:$E$60,1,'TP-b'!$B$3:$B$60,"&lt;="&amp;CB1)&gt;0,_xlfn.MAXIFS('TP-b'!$B$3:$B$60,'TP-b'!$A$3:$A$60,"FP",'TP-b'!$E$3:$E$60,1,'TP-b'!$B$3:$B$60,"&lt;="&amp;CB1),IF(_xlfn.MINIFS('TP-b'!$B$3:$B$60,'TP-b'!$A$3:$A$60,"FP",'TP-b'!$E$3:$E$60,1)&gt;0,_xlfn.MINIFS('TP-b'!$B$3:$B$60,'TP-b'!$A$3:$A$60,"FP",'TP-b'!$E$3:$E$60,1),"")))</f>
        <v/>
      </c>
      <c r="CC31" s="28">
        <f>IF(CC1="","",IF(_xlfn.MAXIFS('TP-b'!$B$3:$B$60,'TP-b'!$A$3:$A$60,"FP",'TP-b'!$E$3:$E$60,1,'TP-b'!$B$3:$B$60,"&lt;="&amp;CC1)&gt;0,_xlfn.MAXIFS('TP-b'!$B$3:$B$60,'TP-b'!$A$3:$A$60,"FP",'TP-b'!$E$3:$E$60,1,'TP-b'!$B$3:$B$60,"&lt;="&amp;CC1),IF(_xlfn.MINIFS('TP-b'!$B$3:$B$60,'TP-b'!$A$3:$A$60,"FP",'TP-b'!$E$3:$E$60,1)&gt;0,_xlfn.MINIFS('TP-b'!$B$3:$B$60,'TP-b'!$A$3:$A$60,"FP",'TP-b'!$E$3:$E$60,1),"")))</f>
        <v/>
      </c>
      <c r="CD31" s="28">
        <f>IF(CD1="","",IF(_xlfn.MAXIFS('TP-b'!$B$3:$B$60,'TP-b'!$A$3:$A$60,"FP",'TP-b'!$E$3:$E$60,1,'TP-b'!$B$3:$B$60,"&lt;="&amp;CD1)&gt;0,_xlfn.MAXIFS('TP-b'!$B$3:$B$60,'TP-b'!$A$3:$A$60,"FP",'TP-b'!$E$3:$E$60,1,'TP-b'!$B$3:$B$60,"&lt;="&amp;CD1),IF(_xlfn.MINIFS('TP-b'!$B$3:$B$60,'TP-b'!$A$3:$A$60,"FP",'TP-b'!$E$3:$E$60,1)&gt;0,_xlfn.MINIFS('TP-b'!$B$3:$B$60,'TP-b'!$A$3:$A$60,"FP",'TP-b'!$E$3:$E$60,1),"")))</f>
        <v/>
      </c>
      <c r="CE31" s="28">
        <f>IF(CE1="","",IF(_xlfn.MAXIFS('TP-b'!$B$3:$B$60,'TP-b'!$A$3:$A$60,"FP",'TP-b'!$E$3:$E$60,1,'TP-b'!$B$3:$B$60,"&lt;="&amp;CE1)&gt;0,_xlfn.MAXIFS('TP-b'!$B$3:$B$60,'TP-b'!$A$3:$A$60,"FP",'TP-b'!$E$3:$E$60,1,'TP-b'!$B$3:$B$60,"&lt;="&amp;CE1),IF(_xlfn.MINIFS('TP-b'!$B$3:$B$60,'TP-b'!$A$3:$A$60,"FP",'TP-b'!$E$3:$E$60,1)&gt;0,_xlfn.MINIFS('TP-b'!$B$3:$B$60,'TP-b'!$A$3:$A$60,"FP",'TP-b'!$E$3:$E$60,1),"")))</f>
        <v/>
      </c>
      <c r="CF31" s="28">
        <f>IF(CF1="","",IF(_xlfn.MAXIFS('TP-b'!$B$3:$B$60,'TP-b'!$A$3:$A$60,"FP",'TP-b'!$E$3:$E$60,1,'TP-b'!$B$3:$B$60,"&lt;="&amp;CF1)&gt;0,_xlfn.MAXIFS('TP-b'!$B$3:$B$60,'TP-b'!$A$3:$A$60,"FP",'TP-b'!$E$3:$E$60,1,'TP-b'!$B$3:$B$60,"&lt;="&amp;CF1),IF(_xlfn.MINIFS('TP-b'!$B$3:$B$60,'TP-b'!$A$3:$A$60,"FP",'TP-b'!$E$3:$E$60,1)&gt;0,_xlfn.MINIFS('TP-b'!$B$3:$B$60,'TP-b'!$A$3:$A$60,"FP",'TP-b'!$E$3:$E$60,1),"")))</f>
        <v/>
      </c>
      <c r="CG31" s="28">
        <f>IF(CG1="","",IF(_xlfn.MAXIFS('TP-b'!$B$3:$B$60,'TP-b'!$A$3:$A$60,"FP",'TP-b'!$E$3:$E$60,1,'TP-b'!$B$3:$B$60,"&lt;="&amp;CG1)&gt;0,_xlfn.MAXIFS('TP-b'!$B$3:$B$60,'TP-b'!$A$3:$A$60,"FP",'TP-b'!$E$3:$E$60,1,'TP-b'!$B$3:$B$60,"&lt;="&amp;CG1),IF(_xlfn.MINIFS('TP-b'!$B$3:$B$60,'TP-b'!$A$3:$A$60,"FP",'TP-b'!$E$3:$E$60,1)&gt;0,_xlfn.MINIFS('TP-b'!$B$3:$B$60,'TP-b'!$A$3:$A$60,"FP",'TP-b'!$E$3:$E$60,1),"")))</f>
        <v/>
      </c>
      <c r="CH31" s="28">
        <f>IF(CH1="","",IF(_xlfn.MAXIFS('TP-b'!$B$3:$B$60,'TP-b'!$A$3:$A$60,"FP",'TP-b'!$E$3:$E$60,1,'TP-b'!$B$3:$B$60,"&lt;="&amp;CH1)&gt;0,_xlfn.MAXIFS('TP-b'!$B$3:$B$60,'TP-b'!$A$3:$A$60,"FP",'TP-b'!$E$3:$E$60,1,'TP-b'!$B$3:$B$60,"&lt;="&amp;CH1),IF(_xlfn.MINIFS('TP-b'!$B$3:$B$60,'TP-b'!$A$3:$A$60,"FP",'TP-b'!$E$3:$E$60,1)&gt;0,_xlfn.MINIFS('TP-b'!$B$3:$B$60,'TP-b'!$A$3:$A$60,"FP",'TP-b'!$E$3:$E$60,1),"")))</f>
        <v/>
      </c>
      <c r="CI31" s="28">
        <f>IF(CI1="","",IF(_xlfn.MAXIFS('TP-b'!$B$3:$B$60,'TP-b'!$A$3:$A$60,"FP",'TP-b'!$E$3:$E$60,1,'TP-b'!$B$3:$B$60,"&lt;="&amp;CI1)&gt;0,_xlfn.MAXIFS('TP-b'!$B$3:$B$60,'TP-b'!$A$3:$A$60,"FP",'TP-b'!$E$3:$E$60,1,'TP-b'!$B$3:$B$60,"&lt;="&amp;CI1),IF(_xlfn.MINIFS('TP-b'!$B$3:$B$60,'TP-b'!$A$3:$A$60,"FP",'TP-b'!$E$3:$E$60,1)&gt;0,_xlfn.MINIFS('TP-b'!$B$3:$B$60,'TP-b'!$A$3:$A$60,"FP",'TP-b'!$E$3:$E$60,1),"")))</f>
        <v/>
      </c>
      <c r="CJ31" s="28">
        <f>IF(CJ1="","",IF(_xlfn.MAXIFS('TP-b'!$B$3:$B$60,'TP-b'!$A$3:$A$60,"FP",'TP-b'!$E$3:$E$60,1,'TP-b'!$B$3:$B$60,"&lt;="&amp;CJ1)&gt;0,_xlfn.MAXIFS('TP-b'!$B$3:$B$60,'TP-b'!$A$3:$A$60,"FP",'TP-b'!$E$3:$E$60,1,'TP-b'!$B$3:$B$60,"&lt;="&amp;CJ1),IF(_xlfn.MINIFS('TP-b'!$B$3:$B$60,'TP-b'!$A$3:$A$60,"FP",'TP-b'!$E$3:$E$60,1)&gt;0,_xlfn.MINIFS('TP-b'!$B$3:$B$60,'TP-b'!$A$3:$A$60,"FP",'TP-b'!$E$3:$E$60,1),"")))</f>
        <v/>
      </c>
      <c r="CK31" s="28">
        <f>IF(CK1="","",IF(_xlfn.MAXIFS('TP-b'!$B$3:$B$60,'TP-b'!$A$3:$A$60,"FP",'TP-b'!$E$3:$E$60,1,'TP-b'!$B$3:$B$60,"&lt;="&amp;CK1)&gt;0,_xlfn.MAXIFS('TP-b'!$B$3:$B$60,'TP-b'!$A$3:$A$60,"FP",'TP-b'!$E$3:$E$60,1,'TP-b'!$B$3:$B$60,"&lt;="&amp;CK1),IF(_xlfn.MINIFS('TP-b'!$B$3:$B$60,'TP-b'!$A$3:$A$60,"FP",'TP-b'!$E$3:$E$60,1)&gt;0,_xlfn.MINIFS('TP-b'!$B$3:$B$60,'TP-b'!$A$3:$A$60,"FP",'TP-b'!$E$3:$E$60,1),"")))</f>
        <v/>
      </c>
      <c r="CL31" s="28">
        <f>IF(CL1="","",IF(_xlfn.MAXIFS('TP-b'!$B$3:$B$60,'TP-b'!$A$3:$A$60,"FP",'TP-b'!$E$3:$E$60,1,'TP-b'!$B$3:$B$60,"&lt;="&amp;CL1)&gt;0,_xlfn.MAXIFS('TP-b'!$B$3:$B$60,'TP-b'!$A$3:$A$60,"FP",'TP-b'!$E$3:$E$60,1,'TP-b'!$B$3:$B$60,"&lt;="&amp;CL1),IF(_xlfn.MINIFS('TP-b'!$B$3:$B$60,'TP-b'!$A$3:$A$60,"FP",'TP-b'!$E$3:$E$60,1)&gt;0,_xlfn.MINIFS('TP-b'!$B$3:$B$60,'TP-b'!$A$3:$A$60,"FP",'TP-b'!$E$3:$E$60,1),"")))</f>
        <v/>
      </c>
      <c r="CM31" s="28">
        <f>IF(CM1="","",IF(_xlfn.MAXIFS('TP-b'!$B$3:$B$60,'TP-b'!$A$3:$A$60,"FP",'TP-b'!$E$3:$E$60,1,'TP-b'!$B$3:$B$60,"&lt;="&amp;CM1)&gt;0,_xlfn.MAXIFS('TP-b'!$B$3:$B$60,'TP-b'!$A$3:$A$60,"FP",'TP-b'!$E$3:$E$60,1,'TP-b'!$B$3:$B$60,"&lt;="&amp;CM1),IF(_xlfn.MINIFS('TP-b'!$B$3:$B$60,'TP-b'!$A$3:$A$60,"FP",'TP-b'!$E$3:$E$60,1)&gt;0,_xlfn.MINIFS('TP-b'!$B$3:$B$60,'TP-b'!$A$3:$A$60,"FP",'TP-b'!$E$3:$E$60,1),"")))</f>
        <v/>
      </c>
      <c r="CN31" s="28">
        <f>IF(CN1="","",IF(_xlfn.MAXIFS('TP-b'!$B$3:$B$60,'TP-b'!$A$3:$A$60,"FP",'TP-b'!$E$3:$E$60,1,'TP-b'!$B$3:$B$60,"&lt;="&amp;CN1)&gt;0,_xlfn.MAXIFS('TP-b'!$B$3:$B$60,'TP-b'!$A$3:$A$60,"FP",'TP-b'!$E$3:$E$60,1,'TP-b'!$B$3:$B$60,"&lt;="&amp;CN1),IF(_xlfn.MINIFS('TP-b'!$B$3:$B$60,'TP-b'!$A$3:$A$60,"FP",'TP-b'!$E$3:$E$60,1)&gt;0,_xlfn.MINIFS('TP-b'!$B$3:$B$60,'TP-b'!$A$3:$A$60,"FP",'TP-b'!$E$3:$E$60,1),"")))</f>
        <v/>
      </c>
      <c r="CO31" s="28">
        <f>IF(CO1="","",IF(_xlfn.MAXIFS('TP-b'!$B$3:$B$60,'TP-b'!$A$3:$A$60,"FP",'TP-b'!$E$3:$E$60,1,'TP-b'!$B$3:$B$60,"&lt;="&amp;CO1)&gt;0,_xlfn.MAXIFS('TP-b'!$B$3:$B$60,'TP-b'!$A$3:$A$60,"FP",'TP-b'!$E$3:$E$60,1,'TP-b'!$B$3:$B$60,"&lt;="&amp;CO1),IF(_xlfn.MINIFS('TP-b'!$B$3:$B$60,'TP-b'!$A$3:$A$60,"FP",'TP-b'!$E$3:$E$60,1)&gt;0,_xlfn.MINIFS('TP-b'!$B$3:$B$60,'TP-b'!$A$3:$A$60,"FP",'TP-b'!$E$3:$E$60,1),"")))</f>
        <v/>
      </c>
      <c r="CP31" s="28">
        <f>IF(CP1="","",IF(_xlfn.MAXIFS('TP-b'!$B$3:$B$60,'TP-b'!$A$3:$A$60,"FP",'TP-b'!$E$3:$E$60,1,'TP-b'!$B$3:$B$60,"&lt;="&amp;CP1)&gt;0,_xlfn.MAXIFS('TP-b'!$B$3:$B$60,'TP-b'!$A$3:$A$60,"FP",'TP-b'!$E$3:$E$60,1,'TP-b'!$B$3:$B$60,"&lt;="&amp;CP1),IF(_xlfn.MINIFS('TP-b'!$B$3:$B$60,'TP-b'!$A$3:$A$60,"FP",'TP-b'!$E$3:$E$60,1)&gt;0,_xlfn.MINIFS('TP-b'!$B$3:$B$60,'TP-b'!$A$3:$A$60,"FP",'TP-b'!$E$3:$E$60,1),"")))</f>
        <v/>
      </c>
      <c r="CQ31" s="28">
        <f>IF(CQ1="","",IF(_xlfn.MAXIFS('TP-b'!$B$3:$B$60,'TP-b'!$A$3:$A$60,"FP",'TP-b'!$E$3:$E$60,1,'TP-b'!$B$3:$B$60,"&lt;="&amp;CQ1)&gt;0,_xlfn.MAXIFS('TP-b'!$B$3:$B$60,'TP-b'!$A$3:$A$60,"FP",'TP-b'!$E$3:$E$60,1,'TP-b'!$B$3:$B$60,"&lt;="&amp;CQ1),IF(_xlfn.MINIFS('TP-b'!$B$3:$B$60,'TP-b'!$A$3:$A$60,"FP",'TP-b'!$E$3:$E$60,1)&gt;0,_xlfn.MINIFS('TP-b'!$B$3:$B$60,'TP-b'!$A$3:$A$60,"FP",'TP-b'!$E$3:$E$60,1),"")))</f>
        <v/>
      </c>
      <c r="CR31" s="28">
        <f>IF(CR1="","",IF(_xlfn.MAXIFS('TP-b'!$B$3:$B$60,'TP-b'!$A$3:$A$60,"FP",'TP-b'!$E$3:$E$60,1,'TP-b'!$B$3:$B$60,"&lt;="&amp;CR1)&gt;0,_xlfn.MAXIFS('TP-b'!$B$3:$B$60,'TP-b'!$A$3:$A$60,"FP",'TP-b'!$E$3:$E$60,1,'TP-b'!$B$3:$B$60,"&lt;="&amp;CR1),IF(_xlfn.MINIFS('TP-b'!$B$3:$B$60,'TP-b'!$A$3:$A$60,"FP",'TP-b'!$E$3:$E$60,1)&gt;0,_xlfn.MINIFS('TP-b'!$B$3:$B$60,'TP-b'!$A$3:$A$60,"FP",'TP-b'!$E$3:$E$60,1),"")))</f>
        <v/>
      </c>
      <c r="CS31" s="28">
        <f>IF(CS1="","",IF(_xlfn.MAXIFS('TP-b'!$B$3:$B$60,'TP-b'!$A$3:$A$60,"FP",'TP-b'!$E$3:$E$60,1,'TP-b'!$B$3:$B$60,"&lt;="&amp;CS1)&gt;0,_xlfn.MAXIFS('TP-b'!$B$3:$B$60,'TP-b'!$A$3:$A$60,"FP",'TP-b'!$E$3:$E$60,1,'TP-b'!$B$3:$B$60,"&lt;="&amp;CS1),IF(_xlfn.MINIFS('TP-b'!$B$3:$B$60,'TP-b'!$A$3:$A$60,"FP",'TP-b'!$E$3:$E$60,1)&gt;0,_xlfn.MINIFS('TP-b'!$B$3:$B$60,'TP-b'!$A$3:$A$60,"FP",'TP-b'!$E$3:$E$60,1),"")))</f>
        <v/>
      </c>
      <c r="CT31" s="28">
        <f>IF(CT1="","",IF(_xlfn.MAXIFS('TP-b'!$B$3:$B$60,'TP-b'!$A$3:$A$60,"FP",'TP-b'!$E$3:$E$60,1,'TP-b'!$B$3:$B$60,"&lt;="&amp;CT1)&gt;0,_xlfn.MAXIFS('TP-b'!$B$3:$B$60,'TP-b'!$A$3:$A$60,"FP",'TP-b'!$E$3:$E$60,1,'TP-b'!$B$3:$B$60,"&lt;="&amp;CT1),IF(_xlfn.MINIFS('TP-b'!$B$3:$B$60,'TP-b'!$A$3:$A$60,"FP",'TP-b'!$E$3:$E$60,1)&gt;0,_xlfn.MINIFS('TP-b'!$B$3:$B$60,'TP-b'!$A$3:$A$60,"FP",'TP-b'!$E$3:$E$60,1),"")))</f>
        <v/>
      </c>
      <c r="CU31" s="28">
        <f>IF(CU1="","",IF(_xlfn.MAXIFS('TP-b'!$B$3:$B$60,'TP-b'!$A$3:$A$60,"FP",'TP-b'!$E$3:$E$60,1,'TP-b'!$B$3:$B$60,"&lt;="&amp;CU1)&gt;0,_xlfn.MAXIFS('TP-b'!$B$3:$B$60,'TP-b'!$A$3:$A$60,"FP",'TP-b'!$E$3:$E$60,1,'TP-b'!$B$3:$B$60,"&lt;="&amp;CU1),IF(_xlfn.MINIFS('TP-b'!$B$3:$B$60,'TP-b'!$A$3:$A$60,"FP",'TP-b'!$E$3:$E$60,1)&gt;0,_xlfn.MINIFS('TP-b'!$B$3:$B$60,'TP-b'!$A$3:$A$60,"FP",'TP-b'!$E$3:$E$60,1),"")))</f>
        <v/>
      </c>
      <c r="CV31" s="28">
        <f>IF(CV1="","",IF(_xlfn.MAXIFS('TP-b'!$B$3:$B$60,'TP-b'!$A$3:$A$60,"FP",'TP-b'!$E$3:$E$60,1,'TP-b'!$B$3:$B$60,"&lt;="&amp;CV1)&gt;0,_xlfn.MAXIFS('TP-b'!$B$3:$B$60,'TP-b'!$A$3:$A$60,"FP",'TP-b'!$E$3:$E$60,1,'TP-b'!$B$3:$B$60,"&lt;="&amp;CV1),IF(_xlfn.MINIFS('TP-b'!$B$3:$B$60,'TP-b'!$A$3:$A$60,"FP",'TP-b'!$E$3:$E$60,1)&gt;0,_xlfn.MINIFS('TP-b'!$B$3:$B$60,'TP-b'!$A$3:$A$60,"FP",'TP-b'!$E$3:$E$60,1),"")))</f>
        <v/>
      </c>
      <c r="CW31" s="28">
        <f>IF(CW1="","",IF(_xlfn.MAXIFS('TP-b'!$B$3:$B$60,'TP-b'!$A$3:$A$60,"FP",'TP-b'!$E$3:$E$60,1,'TP-b'!$B$3:$B$60,"&lt;="&amp;CW1)&gt;0,_xlfn.MAXIFS('TP-b'!$B$3:$B$60,'TP-b'!$A$3:$A$60,"FP",'TP-b'!$E$3:$E$60,1,'TP-b'!$B$3:$B$60,"&lt;="&amp;CW1),IF(_xlfn.MINIFS('TP-b'!$B$3:$B$60,'TP-b'!$A$3:$A$60,"FP",'TP-b'!$E$3:$E$60,1)&gt;0,_xlfn.MINIFS('TP-b'!$B$3:$B$60,'TP-b'!$A$3:$A$60,"FP",'TP-b'!$E$3:$E$60,1),"")))</f>
        <v/>
      </c>
      <c r="CX31" s="28">
        <f>IF(CX1="","",IF(_xlfn.MAXIFS('TP-b'!$B$3:$B$60,'TP-b'!$A$3:$A$60,"FP",'TP-b'!$E$3:$E$60,1,'TP-b'!$B$3:$B$60,"&lt;="&amp;CX1)&gt;0,_xlfn.MAXIFS('TP-b'!$B$3:$B$60,'TP-b'!$A$3:$A$60,"FP",'TP-b'!$E$3:$E$60,1,'TP-b'!$B$3:$B$60,"&lt;="&amp;CX1),IF(_xlfn.MINIFS('TP-b'!$B$3:$B$60,'TP-b'!$A$3:$A$60,"FP",'TP-b'!$E$3:$E$60,1)&gt;0,_xlfn.MINIFS('TP-b'!$B$3:$B$60,'TP-b'!$A$3:$A$60,"FP",'TP-b'!$E$3:$E$60,1),"")))</f>
        <v/>
      </c>
      <c r="CY31" s="28">
        <f>IF(CY1="","",IF(_xlfn.MAXIFS('TP-b'!$B$3:$B$60,'TP-b'!$A$3:$A$60,"FP",'TP-b'!$E$3:$E$60,1,'TP-b'!$B$3:$B$60,"&lt;="&amp;CY1)&gt;0,_xlfn.MAXIFS('TP-b'!$B$3:$B$60,'TP-b'!$A$3:$A$60,"FP",'TP-b'!$E$3:$E$60,1,'TP-b'!$B$3:$B$60,"&lt;="&amp;CY1),IF(_xlfn.MINIFS('TP-b'!$B$3:$B$60,'TP-b'!$A$3:$A$60,"FP",'TP-b'!$E$3:$E$60,1)&gt;0,_xlfn.MINIFS('TP-b'!$B$3:$B$60,'TP-b'!$A$3:$A$60,"FP",'TP-b'!$E$3:$E$60,1),"")))</f>
        <v/>
      </c>
      <c r="CZ31" s="28">
        <f>IF(CZ1="","",IF(_xlfn.MAXIFS('TP-b'!$B$3:$B$60,'TP-b'!$A$3:$A$60,"FP",'TP-b'!$E$3:$E$60,1,'TP-b'!$B$3:$B$60,"&lt;="&amp;CZ1)&gt;0,_xlfn.MAXIFS('TP-b'!$B$3:$B$60,'TP-b'!$A$3:$A$60,"FP",'TP-b'!$E$3:$E$60,1,'TP-b'!$B$3:$B$60,"&lt;="&amp;CZ1),IF(_xlfn.MINIFS('TP-b'!$B$3:$B$60,'TP-b'!$A$3:$A$60,"FP",'TP-b'!$E$3:$E$60,1)&gt;0,_xlfn.MINIFS('TP-b'!$B$3:$B$60,'TP-b'!$A$3:$A$60,"FP",'TP-b'!$E$3:$E$60,1),"")))</f>
        <v/>
      </c>
      <c r="DA31" s="28">
        <f>IF(DA1="","",IF(_xlfn.MAXIFS('TP-b'!$B$3:$B$60,'TP-b'!$A$3:$A$60,"FP",'TP-b'!$E$3:$E$60,1,'TP-b'!$B$3:$B$60,"&lt;="&amp;DA1)&gt;0,_xlfn.MAXIFS('TP-b'!$B$3:$B$60,'TP-b'!$A$3:$A$60,"FP",'TP-b'!$E$3:$E$60,1,'TP-b'!$B$3:$B$60,"&lt;="&amp;DA1),IF(_xlfn.MINIFS('TP-b'!$B$3:$B$60,'TP-b'!$A$3:$A$60,"FP",'TP-b'!$E$3:$E$60,1)&gt;0,_xlfn.MINIFS('TP-b'!$B$3:$B$60,'TP-b'!$A$3:$A$60,"FP",'TP-b'!$E$3:$E$60,1),"")))</f>
        <v/>
      </c>
      <c r="DB31" s="28">
        <f>IF(DB1="","",IF(_xlfn.MAXIFS('TP-b'!$B$3:$B$60,'TP-b'!$A$3:$A$60,"FP",'TP-b'!$E$3:$E$60,1,'TP-b'!$B$3:$B$60,"&lt;="&amp;DB1)&gt;0,_xlfn.MAXIFS('TP-b'!$B$3:$B$60,'TP-b'!$A$3:$A$60,"FP",'TP-b'!$E$3:$E$60,1,'TP-b'!$B$3:$B$60,"&lt;="&amp;DB1),IF(_xlfn.MINIFS('TP-b'!$B$3:$B$60,'TP-b'!$A$3:$A$60,"FP",'TP-b'!$E$3:$E$60,1)&gt;0,_xlfn.MINIFS('TP-b'!$B$3:$B$60,'TP-b'!$A$3:$A$60,"FP",'TP-b'!$E$3:$E$60,1),"")))</f>
        <v/>
      </c>
      <c r="DC31" s="28">
        <f>IF(DC1="","",IF(_xlfn.MAXIFS('TP-b'!$B$3:$B$60,'TP-b'!$A$3:$A$60,"FP",'TP-b'!$E$3:$E$60,1,'TP-b'!$B$3:$B$60,"&lt;="&amp;DC1)&gt;0,_xlfn.MAXIFS('TP-b'!$B$3:$B$60,'TP-b'!$A$3:$A$60,"FP",'TP-b'!$E$3:$E$60,1,'TP-b'!$B$3:$B$60,"&lt;="&amp;DC1),IF(_xlfn.MINIFS('TP-b'!$B$3:$B$60,'TP-b'!$A$3:$A$60,"FP",'TP-b'!$E$3:$E$60,1)&gt;0,_xlfn.MINIFS('TP-b'!$B$3:$B$60,'TP-b'!$A$3:$A$60,"FP",'TP-b'!$E$3:$E$60,1),"")))</f>
        <v/>
      </c>
      <c r="DD31" s="28">
        <f>IF(DD1="","",IF(_xlfn.MAXIFS('TP-b'!$B$3:$B$60,'TP-b'!$A$3:$A$60,"FP",'TP-b'!$E$3:$E$60,1,'TP-b'!$B$3:$B$60,"&lt;="&amp;DD1)&gt;0,_xlfn.MAXIFS('TP-b'!$B$3:$B$60,'TP-b'!$A$3:$A$60,"FP",'TP-b'!$E$3:$E$60,1,'TP-b'!$B$3:$B$60,"&lt;="&amp;DD1),IF(_xlfn.MINIFS('TP-b'!$B$3:$B$60,'TP-b'!$A$3:$A$60,"FP",'TP-b'!$E$3:$E$60,1)&gt;0,_xlfn.MINIFS('TP-b'!$B$3:$B$60,'TP-b'!$A$3:$A$60,"FP",'TP-b'!$E$3:$E$60,1),"")))</f>
        <v/>
      </c>
      <c r="DE31" s="28">
        <f>IF(DE1="","",IF(_xlfn.MAXIFS('TP-b'!$B$3:$B$60,'TP-b'!$A$3:$A$60,"FP",'TP-b'!$E$3:$E$60,1,'TP-b'!$B$3:$B$60,"&lt;="&amp;DE1)&gt;0,_xlfn.MAXIFS('TP-b'!$B$3:$B$60,'TP-b'!$A$3:$A$60,"FP",'TP-b'!$E$3:$E$60,1,'TP-b'!$B$3:$B$60,"&lt;="&amp;DE1),IF(_xlfn.MINIFS('TP-b'!$B$3:$B$60,'TP-b'!$A$3:$A$60,"FP",'TP-b'!$E$3:$E$60,1)&gt;0,_xlfn.MINIFS('TP-b'!$B$3:$B$60,'TP-b'!$A$3:$A$60,"FP",'TP-b'!$E$3:$E$60,1),"")))</f>
        <v/>
      </c>
      <c r="DF31" s="28">
        <f>IF(DF1="","",IF(_xlfn.MAXIFS('TP-b'!$B$3:$B$60,'TP-b'!$A$3:$A$60,"FP",'TP-b'!$E$3:$E$60,1,'TP-b'!$B$3:$B$60,"&lt;="&amp;DF1)&gt;0,_xlfn.MAXIFS('TP-b'!$B$3:$B$60,'TP-b'!$A$3:$A$60,"FP",'TP-b'!$E$3:$E$60,1,'TP-b'!$B$3:$B$60,"&lt;="&amp;DF1),IF(_xlfn.MINIFS('TP-b'!$B$3:$B$60,'TP-b'!$A$3:$A$60,"FP",'TP-b'!$E$3:$E$60,1)&gt;0,_xlfn.MINIFS('TP-b'!$B$3:$B$60,'TP-b'!$A$3:$A$60,"FP",'TP-b'!$E$3:$E$60,1),"")))</f>
        <v/>
      </c>
      <c r="DG31" s="28">
        <f>IF(DG1="","",IF(_xlfn.MAXIFS('TP-b'!$B$3:$B$60,'TP-b'!$A$3:$A$60,"FP",'TP-b'!$E$3:$E$60,1,'TP-b'!$B$3:$B$60,"&lt;="&amp;DG1)&gt;0,_xlfn.MAXIFS('TP-b'!$B$3:$B$60,'TP-b'!$A$3:$A$60,"FP",'TP-b'!$E$3:$E$60,1,'TP-b'!$B$3:$B$60,"&lt;="&amp;DG1),IF(_xlfn.MINIFS('TP-b'!$B$3:$B$60,'TP-b'!$A$3:$A$60,"FP",'TP-b'!$E$3:$E$60,1)&gt;0,_xlfn.MINIFS('TP-b'!$B$3:$B$60,'TP-b'!$A$3:$A$60,"FP",'TP-b'!$E$3:$E$60,1),"")))</f>
        <v/>
      </c>
      <c r="DH31" s="28">
        <f>IF(DH1="","",IF(_xlfn.MAXIFS('TP-b'!$B$3:$B$60,'TP-b'!$A$3:$A$60,"FP",'TP-b'!$E$3:$E$60,1,'TP-b'!$B$3:$B$60,"&lt;="&amp;DH1)&gt;0,_xlfn.MAXIFS('TP-b'!$B$3:$B$60,'TP-b'!$A$3:$A$60,"FP",'TP-b'!$E$3:$E$60,1,'TP-b'!$B$3:$B$60,"&lt;="&amp;DH1),IF(_xlfn.MINIFS('TP-b'!$B$3:$B$60,'TP-b'!$A$3:$A$60,"FP",'TP-b'!$E$3:$E$60,1)&gt;0,_xlfn.MINIFS('TP-b'!$B$3:$B$60,'TP-b'!$A$3:$A$60,"FP",'TP-b'!$E$3:$E$60,1),"")))</f>
        <v/>
      </c>
      <c r="DI31" s="28">
        <f>IF(DI1="","",IF(_xlfn.MAXIFS('TP-b'!$B$3:$B$60,'TP-b'!$A$3:$A$60,"FP",'TP-b'!$E$3:$E$60,1,'TP-b'!$B$3:$B$60,"&lt;="&amp;DI1)&gt;0,_xlfn.MAXIFS('TP-b'!$B$3:$B$60,'TP-b'!$A$3:$A$60,"FP",'TP-b'!$E$3:$E$60,1,'TP-b'!$B$3:$B$60,"&lt;="&amp;DI1),IF(_xlfn.MINIFS('TP-b'!$B$3:$B$60,'TP-b'!$A$3:$A$60,"FP",'TP-b'!$E$3:$E$60,1)&gt;0,_xlfn.MINIFS('TP-b'!$B$3:$B$60,'TP-b'!$A$3:$A$60,"FP",'TP-b'!$E$3:$E$60,1),"")))</f>
        <v/>
      </c>
      <c r="DJ31" s="28">
        <f>IF(DJ1="","",IF(_xlfn.MAXIFS('TP-b'!$B$3:$B$60,'TP-b'!$A$3:$A$60,"FP",'TP-b'!$E$3:$E$60,1,'TP-b'!$B$3:$B$60,"&lt;="&amp;DJ1)&gt;0,_xlfn.MAXIFS('TP-b'!$B$3:$B$60,'TP-b'!$A$3:$A$60,"FP",'TP-b'!$E$3:$E$60,1,'TP-b'!$B$3:$B$60,"&lt;="&amp;DJ1),IF(_xlfn.MINIFS('TP-b'!$B$3:$B$60,'TP-b'!$A$3:$A$60,"FP",'TP-b'!$E$3:$E$60,1)&gt;0,_xlfn.MINIFS('TP-b'!$B$3:$B$60,'TP-b'!$A$3:$A$60,"FP",'TP-b'!$E$3:$E$60,1),"")))</f>
        <v/>
      </c>
      <c r="DK31" s="28">
        <f>IF(DK1="","",IF(_xlfn.MAXIFS('TP-b'!$B$3:$B$60,'TP-b'!$A$3:$A$60,"FP",'TP-b'!$E$3:$E$60,1,'TP-b'!$B$3:$B$60,"&lt;="&amp;DK1)&gt;0,_xlfn.MAXIFS('TP-b'!$B$3:$B$60,'TP-b'!$A$3:$A$60,"FP",'TP-b'!$E$3:$E$60,1,'TP-b'!$B$3:$B$60,"&lt;="&amp;DK1),IF(_xlfn.MINIFS('TP-b'!$B$3:$B$60,'TP-b'!$A$3:$A$60,"FP",'TP-b'!$E$3:$E$60,1)&gt;0,_xlfn.MINIFS('TP-b'!$B$3:$B$60,'TP-b'!$A$3:$A$60,"FP",'TP-b'!$E$3:$E$60,1),"")))</f>
        <v/>
      </c>
      <c r="DL31" s="28">
        <f>IF(DL1="","",IF(_xlfn.MAXIFS('TP-b'!$B$3:$B$60,'TP-b'!$A$3:$A$60,"FP",'TP-b'!$E$3:$E$60,1,'TP-b'!$B$3:$B$60,"&lt;="&amp;DL1)&gt;0,_xlfn.MAXIFS('TP-b'!$B$3:$B$60,'TP-b'!$A$3:$A$60,"FP",'TP-b'!$E$3:$E$60,1,'TP-b'!$B$3:$B$60,"&lt;="&amp;DL1),IF(_xlfn.MINIFS('TP-b'!$B$3:$B$60,'TP-b'!$A$3:$A$60,"FP",'TP-b'!$E$3:$E$60,1)&gt;0,_xlfn.MINIFS('TP-b'!$B$3:$B$60,'TP-b'!$A$3:$A$60,"FP",'TP-b'!$E$3:$E$60,1),"")))</f>
        <v/>
      </c>
      <c r="DM31" s="28">
        <f>IF(DM1="","",IF(_xlfn.MAXIFS('TP-b'!$B$3:$B$60,'TP-b'!$A$3:$A$60,"FP",'TP-b'!$E$3:$E$60,1,'TP-b'!$B$3:$B$60,"&lt;="&amp;DM1)&gt;0,_xlfn.MAXIFS('TP-b'!$B$3:$B$60,'TP-b'!$A$3:$A$60,"FP",'TP-b'!$E$3:$E$60,1,'TP-b'!$B$3:$B$60,"&lt;="&amp;DM1),IF(_xlfn.MINIFS('TP-b'!$B$3:$B$60,'TP-b'!$A$3:$A$60,"FP",'TP-b'!$E$3:$E$60,1)&gt;0,_xlfn.MINIFS('TP-b'!$B$3:$B$60,'TP-b'!$A$3:$A$60,"FP",'TP-b'!$E$3:$E$60,1),"")))</f>
        <v/>
      </c>
      <c r="DN31" s="28">
        <f>IF(DN1="","",IF(_xlfn.MAXIFS('TP-b'!$B$3:$B$60,'TP-b'!$A$3:$A$60,"FP",'TP-b'!$E$3:$E$60,1,'TP-b'!$B$3:$B$60,"&lt;="&amp;DN1)&gt;0,_xlfn.MAXIFS('TP-b'!$B$3:$B$60,'TP-b'!$A$3:$A$60,"FP",'TP-b'!$E$3:$E$60,1,'TP-b'!$B$3:$B$60,"&lt;="&amp;DN1),IF(_xlfn.MINIFS('TP-b'!$B$3:$B$60,'TP-b'!$A$3:$A$60,"FP",'TP-b'!$E$3:$E$60,1)&gt;0,_xlfn.MINIFS('TP-b'!$B$3:$B$60,'TP-b'!$A$3:$A$60,"FP",'TP-b'!$E$3:$E$60,1),"")))</f>
        <v/>
      </c>
      <c r="DO31" s="28">
        <f>IF(DO1="","",IF(_xlfn.MAXIFS('TP-b'!$B$3:$B$60,'TP-b'!$A$3:$A$60,"FP",'TP-b'!$E$3:$E$60,1,'TP-b'!$B$3:$B$60,"&lt;="&amp;DO1)&gt;0,_xlfn.MAXIFS('TP-b'!$B$3:$B$60,'TP-b'!$A$3:$A$60,"FP",'TP-b'!$E$3:$E$60,1,'TP-b'!$B$3:$B$60,"&lt;="&amp;DO1),IF(_xlfn.MINIFS('TP-b'!$B$3:$B$60,'TP-b'!$A$3:$A$60,"FP",'TP-b'!$E$3:$E$60,1)&gt;0,_xlfn.MINIFS('TP-b'!$B$3:$B$60,'TP-b'!$A$3:$A$60,"FP",'TP-b'!$E$3:$E$60,1),"")))</f>
        <v/>
      </c>
      <c r="DP31" s="28">
        <f>IF(DP1="","",IF(_xlfn.MAXIFS('TP-b'!$B$3:$B$60,'TP-b'!$A$3:$A$60,"FP",'TP-b'!$E$3:$E$60,1,'TP-b'!$B$3:$B$60,"&lt;="&amp;DP1)&gt;0,_xlfn.MAXIFS('TP-b'!$B$3:$B$60,'TP-b'!$A$3:$A$60,"FP",'TP-b'!$E$3:$E$60,1,'TP-b'!$B$3:$B$60,"&lt;="&amp;DP1),IF(_xlfn.MINIFS('TP-b'!$B$3:$B$60,'TP-b'!$A$3:$A$60,"FP",'TP-b'!$E$3:$E$60,1)&gt;0,_xlfn.MINIFS('TP-b'!$B$3:$B$60,'TP-b'!$A$3:$A$60,"FP",'TP-b'!$E$3:$E$60,1),"")))</f>
        <v/>
      </c>
      <c r="DQ31" s="28">
        <f>IF(DQ1="","",IF(_xlfn.MAXIFS('TP-b'!$B$3:$B$60,'TP-b'!$A$3:$A$60,"FP",'TP-b'!$E$3:$E$60,1,'TP-b'!$B$3:$B$60,"&lt;="&amp;DQ1)&gt;0,_xlfn.MAXIFS('TP-b'!$B$3:$B$60,'TP-b'!$A$3:$A$60,"FP",'TP-b'!$E$3:$E$60,1,'TP-b'!$B$3:$B$60,"&lt;="&amp;DQ1),IF(_xlfn.MINIFS('TP-b'!$B$3:$B$60,'TP-b'!$A$3:$A$60,"FP",'TP-b'!$E$3:$E$60,1)&gt;0,_xlfn.MINIFS('TP-b'!$B$3:$B$60,'TP-b'!$A$3:$A$60,"FP",'TP-b'!$E$3:$E$60,1),"")))</f>
        <v/>
      </c>
      <c r="DR31" s="28">
        <f>IF(DR1="","",IF(_xlfn.MAXIFS('TP-b'!$B$3:$B$60,'TP-b'!$A$3:$A$60,"FP",'TP-b'!$E$3:$E$60,1,'TP-b'!$B$3:$B$60,"&lt;="&amp;DR1)&gt;0,_xlfn.MAXIFS('TP-b'!$B$3:$B$60,'TP-b'!$A$3:$A$60,"FP",'TP-b'!$E$3:$E$60,1,'TP-b'!$B$3:$B$60,"&lt;="&amp;DR1),IF(_xlfn.MINIFS('TP-b'!$B$3:$B$60,'TP-b'!$A$3:$A$60,"FP",'TP-b'!$E$3:$E$60,1)&gt;0,_xlfn.MINIFS('TP-b'!$B$3:$B$60,'TP-b'!$A$3:$A$60,"FP",'TP-b'!$E$3:$E$60,1),"")))</f>
        <v/>
      </c>
      <c r="DS31" s="28">
        <f>IF(DS1="","",IF(_xlfn.MAXIFS('TP-b'!$B$3:$B$60,'TP-b'!$A$3:$A$60,"FP",'TP-b'!$E$3:$E$60,1,'TP-b'!$B$3:$B$60,"&lt;="&amp;DS1)&gt;0,_xlfn.MAXIFS('TP-b'!$B$3:$B$60,'TP-b'!$A$3:$A$60,"FP",'TP-b'!$E$3:$E$60,1,'TP-b'!$B$3:$B$60,"&lt;="&amp;DS1),IF(_xlfn.MINIFS('TP-b'!$B$3:$B$60,'TP-b'!$A$3:$A$60,"FP",'TP-b'!$E$3:$E$60,1)&gt;0,_xlfn.MINIFS('TP-b'!$B$3:$B$60,'TP-b'!$A$3:$A$60,"FP",'TP-b'!$E$3:$E$60,1),"")))</f>
        <v/>
      </c>
      <c r="DT31" s="28">
        <f>IF(DT1="","",IF(_xlfn.MAXIFS('TP-b'!$B$3:$B$60,'TP-b'!$A$3:$A$60,"FP",'TP-b'!$E$3:$E$60,1,'TP-b'!$B$3:$B$60,"&lt;="&amp;DT1)&gt;0,_xlfn.MAXIFS('TP-b'!$B$3:$B$60,'TP-b'!$A$3:$A$60,"FP",'TP-b'!$E$3:$E$60,1,'TP-b'!$B$3:$B$60,"&lt;="&amp;DT1),IF(_xlfn.MINIFS('TP-b'!$B$3:$B$60,'TP-b'!$A$3:$A$60,"FP",'TP-b'!$E$3:$E$60,1)&gt;0,_xlfn.MINIFS('TP-b'!$B$3:$B$60,'TP-b'!$A$3:$A$60,"FP",'TP-b'!$E$3:$E$60,1),"")))</f>
        <v/>
      </c>
      <c r="DU31" s="28">
        <f>IF(DU1="","",IF(_xlfn.MAXIFS('TP-b'!$B$3:$B$60,'TP-b'!$A$3:$A$60,"FP",'TP-b'!$E$3:$E$60,1,'TP-b'!$B$3:$B$60,"&lt;="&amp;DU1)&gt;0,_xlfn.MAXIFS('TP-b'!$B$3:$B$60,'TP-b'!$A$3:$A$60,"FP",'TP-b'!$E$3:$E$60,1,'TP-b'!$B$3:$B$60,"&lt;="&amp;DU1),IF(_xlfn.MINIFS('TP-b'!$B$3:$B$60,'TP-b'!$A$3:$A$60,"FP",'TP-b'!$E$3:$E$60,1)&gt;0,_xlfn.MINIFS('TP-b'!$B$3:$B$60,'TP-b'!$A$3:$A$60,"FP",'TP-b'!$E$3:$E$60,1),"")))</f>
        <v/>
      </c>
      <c r="DV31" s="28">
        <f>IF(DV1="","",IF(_xlfn.MAXIFS('TP-b'!$B$3:$B$60,'TP-b'!$A$3:$A$60,"FP",'TP-b'!$E$3:$E$60,1,'TP-b'!$B$3:$B$60,"&lt;="&amp;DV1)&gt;0,_xlfn.MAXIFS('TP-b'!$B$3:$B$60,'TP-b'!$A$3:$A$60,"FP",'TP-b'!$E$3:$E$60,1,'TP-b'!$B$3:$B$60,"&lt;="&amp;DV1),IF(_xlfn.MINIFS('TP-b'!$B$3:$B$60,'TP-b'!$A$3:$A$60,"FP",'TP-b'!$E$3:$E$60,1)&gt;0,_xlfn.MINIFS('TP-b'!$B$3:$B$60,'TP-b'!$A$3:$A$60,"FP",'TP-b'!$E$3:$E$60,1),"")))</f>
        <v/>
      </c>
      <c r="DW31" s="28">
        <f>IF(DW1="","",IF(_xlfn.MAXIFS('TP-b'!$B$3:$B$60,'TP-b'!$A$3:$A$60,"FP",'TP-b'!$E$3:$E$60,1,'TP-b'!$B$3:$B$60,"&lt;="&amp;DW1)&gt;0,_xlfn.MAXIFS('TP-b'!$B$3:$B$60,'TP-b'!$A$3:$A$60,"FP",'TP-b'!$E$3:$E$60,1,'TP-b'!$B$3:$B$60,"&lt;="&amp;DW1),IF(_xlfn.MINIFS('TP-b'!$B$3:$B$60,'TP-b'!$A$3:$A$60,"FP",'TP-b'!$E$3:$E$60,1)&gt;0,_xlfn.MINIFS('TP-b'!$B$3:$B$60,'TP-b'!$A$3:$A$60,"FP",'TP-b'!$E$3:$E$60,1),"")))</f>
        <v/>
      </c>
      <c r="DX31" s="28">
        <f>IF(DX1="","",IF(_xlfn.MAXIFS('TP-b'!$B$3:$B$60,'TP-b'!$A$3:$A$60,"FP",'TP-b'!$E$3:$E$60,1,'TP-b'!$B$3:$B$60,"&lt;="&amp;DX1)&gt;0,_xlfn.MAXIFS('TP-b'!$B$3:$B$60,'TP-b'!$A$3:$A$60,"FP",'TP-b'!$E$3:$E$60,1,'TP-b'!$B$3:$B$60,"&lt;="&amp;DX1),IF(_xlfn.MINIFS('TP-b'!$B$3:$B$60,'TP-b'!$A$3:$A$60,"FP",'TP-b'!$E$3:$E$60,1)&gt;0,_xlfn.MINIFS('TP-b'!$B$3:$B$60,'TP-b'!$A$3:$A$60,"FP",'TP-b'!$E$3:$E$60,1),"")))</f>
        <v/>
      </c>
      <c r="DY31" s="28">
        <f>IF(DY1="","",IF(_xlfn.MAXIFS('TP-b'!$B$3:$B$60,'TP-b'!$A$3:$A$60,"FP",'TP-b'!$E$3:$E$60,1,'TP-b'!$B$3:$B$60,"&lt;="&amp;DY1)&gt;0,_xlfn.MAXIFS('TP-b'!$B$3:$B$60,'TP-b'!$A$3:$A$60,"FP",'TP-b'!$E$3:$E$60,1,'TP-b'!$B$3:$B$60,"&lt;="&amp;DY1),IF(_xlfn.MINIFS('TP-b'!$B$3:$B$60,'TP-b'!$A$3:$A$60,"FP",'TP-b'!$E$3:$E$60,1)&gt;0,_xlfn.MINIFS('TP-b'!$B$3:$B$60,'TP-b'!$A$3:$A$60,"FP",'TP-b'!$E$3:$E$60,1),"")))</f>
        <v/>
      </c>
      <c r="DZ31" s="28">
        <f>IF(DZ1="","",IF(_xlfn.MAXIFS('TP-b'!$B$3:$B$60,'TP-b'!$A$3:$A$60,"FP",'TP-b'!$E$3:$E$60,1,'TP-b'!$B$3:$B$60,"&lt;="&amp;DZ1)&gt;0,_xlfn.MAXIFS('TP-b'!$B$3:$B$60,'TP-b'!$A$3:$A$60,"FP",'TP-b'!$E$3:$E$60,1,'TP-b'!$B$3:$B$60,"&lt;="&amp;DZ1),IF(_xlfn.MINIFS('TP-b'!$B$3:$B$60,'TP-b'!$A$3:$A$60,"FP",'TP-b'!$E$3:$E$60,1)&gt;0,_xlfn.MINIFS('TP-b'!$B$3:$B$60,'TP-b'!$A$3:$A$60,"FP",'TP-b'!$E$3:$E$60,1),"")))</f>
        <v/>
      </c>
      <c r="EA31" s="28">
        <f>IF(EA1="","",IF(_xlfn.MAXIFS('TP-b'!$B$3:$B$60,'TP-b'!$A$3:$A$60,"FP",'TP-b'!$E$3:$E$60,1,'TP-b'!$B$3:$B$60,"&lt;="&amp;EA1)&gt;0,_xlfn.MAXIFS('TP-b'!$B$3:$B$60,'TP-b'!$A$3:$A$60,"FP",'TP-b'!$E$3:$E$60,1,'TP-b'!$B$3:$B$60,"&lt;="&amp;EA1),IF(_xlfn.MINIFS('TP-b'!$B$3:$B$60,'TP-b'!$A$3:$A$60,"FP",'TP-b'!$E$3:$E$60,1)&gt;0,_xlfn.MINIFS('TP-b'!$B$3:$B$60,'TP-b'!$A$3:$A$60,"FP",'TP-b'!$E$3:$E$60,1),"")))</f>
        <v/>
      </c>
      <c r="EB31" s="28">
        <f>IF(EB1="","",IF(_xlfn.MAXIFS('TP-b'!$B$3:$B$60,'TP-b'!$A$3:$A$60,"FP",'TP-b'!$E$3:$E$60,1,'TP-b'!$B$3:$B$60,"&lt;="&amp;EB1)&gt;0,_xlfn.MAXIFS('TP-b'!$B$3:$B$60,'TP-b'!$A$3:$A$60,"FP",'TP-b'!$E$3:$E$60,1,'TP-b'!$B$3:$B$60,"&lt;="&amp;EB1),IF(_xlfn.MINIFS('TP-b'!$B$3:$B$60,'TP-b'!$A$3:$A$60,"FP",'TP-b'!$E$3:$E$60,1)&gt;0,_xlfn.MINIFS('TP-b'!$B$3:$B$60,'TP-b'!$A$3:$A$60,"FP",'TP-b'!$E$3:$E$60,1),"")))</f>
        <v/>
      </c>
      <c r="EC31" s="28">
        <f>IF(EC1="","",IF(_xlfn.MAXIFS('TP-b'!$B$3:$B$60,'TP-b'!$A$3:$A$60,"FP",'TP-b'!$E$3:$E$60,1,'TP-b'!$B$3:$B$60,"&lt;="&amp;EC1)&gt;0,_xlfn.MAXIFS('TP-b'!$B$3:$B$60,'TP-b'!$A$3:$A$60,"FP",'TP-b'!$E$3:$E$60,1,'TP-b'!$B$3:$B$60,"&lt;="&amp;EC1),IF(_xlfn.MINIFS('TP-b'!$B$3:$B$60,'TP-b'!$A$3:$A$60,"FP",'TP-b'!$E$3:$E$60,1)&gt;0,_xlfn.MINIFS('TP-b'!$B$3:$B$60,'TP-b'!$A$3:$A$60,"FP",'TP-b'!$E$3:$E$60,1),"")))</f>
        <v/>
      </c>
      <c r="ED31" s="28">
        <f>IF(ED1="","",IF(_xlfn.MAXIFS('TP-b'!$B$3:$B$60,'TP-b'!$A$3:$A$60,"FP",'TP-b'!$E$3:$E$60,1,'TP-b'!$B$3:$B$60,"&lt;="&amp;ED1)&gt;0,_xlfn.MAXIFS('TP-b'!$B$3:$B$60,'TP-b'!$A$3:$A$60,"FP",'TP-b'!$E$3:$E$60,1,'TP-b'!$B$3:$B$60,"&lt;="&amp;ED1),IF(_xlfn.MINIFS('TP-b'!$B$3:$B$60,'TP-b'!$A$3:$A$60,"FP",'TP-b'!$E$3:$E$60,1)&gt;0,_xlfn.MINIFS('TP-b'!$B$3:$B$60,'TP-b'!$A$3:$A$60,"FP",'TP-b'!$E$3:$E$60,1),"")))</f>
        <v/>
      </c>
      <c r="EE31" s="28">
        <f>IF(EE1="","",IF(_xlfn.MAXIFS('TP-b'!$B$3:$B$60,'TP-b'!$A$3:$A$60,"FP",'TP-b'!$E$3:$E$60,1,'TP-b'!$B$3:$B$60,"&lt;="&amp;EE1)&gt;0,_xlfn.MAXIFS('TP-b'!$B$3:$B$60,'TP-b'!$A$3:$A$60,"FP",'TP-b'!$E$3:$E$60,1,'TP-b'!$B$3:$B$60,"&lt;="&amp;EE1),IF(_xlfn.MINIFS('TP-b'!$B$3:$B$60,'TP-b'!$A$3:$A$60,"FP",'TP-b'!$E$3:$E$60,1)&gt;0,_xlfn.MINIFS('TP-b'!$B$3:$B$60,'TP-b'!$A$3:$A$60,"FP",'TP-b'!$E$3:$E$60,1),"")))</f>
        <v/>
      </c>
      <c r="EF31" s="28">
        <f>IF(EF1="","",IF(_xlfn.MAXIFS('TP-b'!$B$3:$B$60,'TP-b'!$A$3:$A$60,"FP",'TP-b'!$E$3:$E$60,1,'TP-b'!$B$3:$B$60,"&lt;="&amp;EF1)&gt;0,_xlfn.MAXIFS('TP-b'!$B$3:$B$60,'TP-b'!$A$3:$A$60,"FP",'TP-b'!$E$3:$E$60,1,'TP-b'!$B$3:$B$60,"&lt;="&amp;EF1),IF(_xlfn.MINIFS('TP-b'!$B$3:$B$60,'TP-b'!$A$3:$A$60,"FP",'TP-b'!$E$3:$E$60,1)&gt;0,_xlfn.MINIFS('TP-b'!$B$3:$B$60,'TP-b'!$A$3:$A$60,"FP",'TP-b'!$E$3:$E$60,1),"")))</f>
        <v/>
      </c>
      <c r="EG31" s="28">
        <f>IF(EG1="","",IF(_xlfn.MAXIFS('TP-b'!$B$3:$B$60,'TP-b'!$A$3:$A$60,"FP",'TP-b'!$E$3:$E$60,1,'TP-b'!$B$3:$B$60,"&lt;="&amp;EG1)&gt;0,_xlfn.MAXIFS('TP-b'!$B$3:$B$60,'TP-b'!$A$3:$A$60,"FP",'TP-b'!$E$3:$E$60,1,'TP-b'!$B$3:$B$60,"&lt;="&amp;EG1),IF(_xlfn.MINIFS('TP-b'!$B$3:$B$60,'TP-b'!$A$3:$A$60,"FP",'TP-b'!$E$3:$E$60,1)&gt;0,_xlfn.MINIFS('TP-b'!$B$3:$B$60,'TP-b'!$A$3:$A$60,"FP",'TP-b'!$E$3:$E$60,1),"")))</f>
        <v/>
      </c>
      <c r="EH31" s="28">
        <f>IF(EH1="","",IF(_xlfn.MAXIFS('TP-b'!$B$3:$B$60,'TP-b'!$A$3:$A$60,"FP",'TP-b'!$E$3:$E$60,1,'TP-b'!$B$3:$B$60,"&lt;="&amp;EH1)&gt;0,_xlfn.MAXIFS('TP-b'!$B$3:$B$60,'TP-b'!$A$3:$A$60,"FP",'TP-b'!$E$3:$E$60,1,'TP-b'!$B$3:$B$60,"&lt;="&amp;EH1),IF(_xlfn.MINIFS('TP-b'!$B$3:$B$60,'TP-b'!$A$3:$A$60,"FP",'TP-b'!$E$3:$E$60,1)&gt;0,_xlfn.MINIFS('TP-b'!$B$3:$B$60,'TP-b'!$A$3:$A$60,"FP",'TP-b'!$E$3:$E$60,1),"")))</f>
        <v/>
      </c>
      <c r="EI31" s="28">
        <f>IF(EI1="","",IF(_xlfn.MAXIFS('TP-b'!$B$3:$B$60,'TP-b'!$A$3:$A$60,"FP",'TP-b'!$E$3:$E$60,1,'TP-b'!$B$3:$B$60,"&lt;="&amp;EI1)&gt;0,_xlfn.MAXIFS('TP-b'!$B$3:$B$60,'TP-b'!$A$3:$A$60,"FP",'TP-b'!$E$3:$E$60,1,'TP-b'!$B$3:$B$60,"&lt;="&amp;EI1),IF(_xlfn.MINIFS('TP-b'!$B$3:$B$60,'TP-b'!$A$3:$A$60,"FP",'TP-b'!$E$3:$E$60,1)&gt;0,_xlfn.MINIFS('TP-b'!$B$3:$B$60,'TP-b'!$A$3:$A$60,"FP",'TP-b'!$E$3:$E$60,1),"")))</f>
        <v/>
      </c>
      <c r="EJ31" s="28">
        <f>IF(EJ1="","",IF(_xlfn.MAXIFS('TP-b'!$B$3:$B$60,'TP-b'!$A$3:$A$60,"FP",'TP-b'!$E$3:$E$60,1,'TP-b'!$B$3:$B$60,"&lt;="&amp;EJ1)&gt;0,_xlfn.MAXIFS('TP-b'!$B$3:$B$60,'TP-b'!$A$3:$A$60,"FP",'TP-b'!$E$3:$E$60,1,'TP-b'!$B$3:$B$60,"&lt;="&amp;EJ1),IF(_xlfn.MINIFS('TP-b'!$B$3:$B$60,'TP-b'!$A$3:$A$60,"FP",'TP-b'!$E$3:$E$60,1)&gt;0,_xlfn.MINIFS('TP-b'!$B$3:$B$60,'TP-b'!$A$3:$A$60,"FP",'TP-b'!$E$3:$E$60,1),"")))</f>
        <v/>
      </c>
      <c r="EK31" s="28">
        <f>IF(EK1="","",IF(_xlfn.MAXIFS('TP-b'!$B$3:$B$60,'TP-b'!$A$3:$A$60,"FP",'TP-b'!$E$3:$E$60,1,'TP-b'!$B$3:$B$60,"&lt;="&amp;EK1)&gt;0,_xlfn.MAXIFS('TP-b'!$B$3:$B$60,'TP-b'!$A$3:$A$60,"FP",'TP-b'!$E$3:$E$60,1,'TP-b'!$B$3:$B$60,"&lt;="&amp;EK1),IF(_xlfn.MINIFS('TP-b'!$B$3:$B$60,'TP-b'!$A$3:$A$60,"FP",'TP-b'!$E$3:$E$60,1)&gt;0,_xlfn.MINIFS('TP-b'!$B$3:$B$60,'TP-b'!$A$3:$A$60,"FP",'TP-b'!$E$3:$E$60,1),"")))</f>
        <v/>
      </c>
      <c r="EL31" s="28">
        <f>IF(EL1="","",IF(_xlfn.MAXIFS('TP-b'!$B$3:$B$60,'TP-b'!$A$3:$A$60,"FP",'TP-b'!$E$3:$E$60,1,'TP-b'!$B$3:$B$60,"&lt;="&amp;EL1)&gt;0,_xlfn.MAXIFS('TP-b'!$B$3:$B$60,'TP-b'!$A$3:$A$60,"FP",'TP-b'!$E$3:$E$60,1,'TP-b'!$B$3:$B$60,"&lt;="&amp;EL1),IF(_xlfn.MINIFS('TP-b'!$B$3:$B$60,'TP-b'!$A$3:$A$60,"FP",'TP-b'!$E$3:$E$60,1)&gt;0,_xlfn.MINIFS('TP-b'!$B$3:$B$60,'TP-b'!$A$3:$A$60,"FP",'TP-b'!$E$3:$E$60,1),"")))</f>
        <v/>
      </c>
      <c r="EM31" s="28">
        <f>IF(EM1="","",IF(_xlfn.MAXIFS('TP-b'!$B$3:$B$60,'TP-b'!$A$3:$A$60,"FP",'TP-b'!$E$3:$E$60,1,'TP-b'!$B$3:$B$60,"&lt;="&amp;EM1)&gt;0,_xlfn.MAXIFS('TP-b'!$B$3:$B$60,'TP-b'!$A$3:$A$60,"FP",'TP-b'!$E$3:$E$60,1,'TP-b'!$B$3:$B$60,"&lt;="&amp;EM1),IF(_xlfn.MINIFS('TP-b'!$B$3:$B$60,'TP-b'!$A$3:$A$60,"FP",'TP-b'!$E$3:$E$60,1)&gt;0,_xlfn.MINIFS('TP-b'!$B$3:$B$60,'TP-b'!$A$3:$A$60,"FP",'TP-b'!$E$3:$E$60,1),"")))</f>
        <v/>
      </c>
      <c r="EN31" s="28">
        <f>IF(EN1="","",IF(_xlfn.MAXIFS('TP-b'!$B$3:$B$60,'TP-b'!$A$3:$A$60,"FP",'TP-b'!$E$3:$E$60,1,'TP-b'!$B$3:$B$60,"&lt;="&amp;EN1)&gt;0,_xlfn.MAXIFS('TP-b'!$B$3:$B$60,'TP-b'!$A$3:$A$60,"FP",'TP-b'!$E$3:$E$60,1,'TP-b'!$B$3:$B$60,"&lt;="&amp;EN1),IF(_xlfn.MINIFS('TP-b'!$B$3:$B$60,'TP-b'!$A$3:$A$60,"FP",'TP-b'!$E$3:$E$60,1)&gt;0,_xlfn.MINIFS('TP-b'!$B$3:$B$60,'TP-b'!$A$3:$A$60,"FP",'TP-b'!$E$3:$E$60,1),"")))</f>
        <v/>
      </c>
      <c r="EO31" s="28">
        <f>IF(EO1="","",IF(_xlfn.MAXIFS('TP-b'!$B$3:$B$60,'TP-b'!$A$3:$A$60,"FP",'TP-b'!$E$3:$E$60,1,'TP-b'!$B$3:$B$60,"&lt;="&amp;EO1)&gt;0,_xlfn.MAXIFS('TP-b'!$B$3:$B$60,'TP-b'!$A$3:$A$60,"FP",'TP-b'!$E$3:$E$60,1,'TP-b'!$B$3:$B$60,"&lt;="&amp;EO1),IF(_xlfn.MINIFS('TP-b'!$B$3:$B$60,'TP-b'!$A$3:$A$60,"FP",'TP-b'!$E$3:$E$60,1)&gt;0,_xlfn.MINIFS('TP-b'!$B$3:$B$60,'TP-b'!$A$3:$A$60,"FP",'TP-b'!$E$3:$E$60,1),"")))</f>
        <v/>
      </c>
      <c r="EP31" s="28">
        <f>IF(EP1="","",IF(_xlfn.MAXIFS('TP-b'!$B$3:$B$60,'TP-b'!$A$3:$A$60,"FP",'TP-b'!$E$3:$E$60,1,'TP-b'!$B$3:$B$60,"&lt;="&amp;EP1)&gt;0,_xlfn.MAXIFS('TP-b'!$B$3:$B$60,'TP-b'!$A$3:$A$60,"FP",'TP-b'!$E$3:$E$60,1,'TP-b'!$B$3:$B$60,"&lt;="&amp;EP1),IF(_xlfn.MINIFS('TP-b'!$B$3:$B$60,'TP-b'!$A$3:$A$60,"FP",'TP-b'!$E$3:$E$60,1)&gt;0,_xlfn.MINIFS('TP-b'!$B$3:$B$60,'TP-b'!$A$3:$A$60,"FP",'TP-b'!$E$3:$E$60,1),"")))</f>
        <v/>
      </c>
      <c r="EQ31" s="28">
        <f>IF(EQ1="","",IF(_xlfn.MAXIFS('TP-b'!$B$3:$B$60,'TP-b'!$A$3:$A$60,"FP",'TP-b'!$E$3:$E$60,1,'TP-b'!$B$3:$B$60,"&lt;="&amp;EQ1)&gt;0,_xlfn.MAXIFS('TP-b'!$B$3:$B$60,'TP-b'!$A$3:$A$60,"FP",'TP-b'!$E$3:$E$60,1,'TP-b'!$B$3:$B$60,"&lt;="&amp;EQ1),IF(_xlfn.MINIFS('TP-b'!$B$3:$B$60,'TP-b'!$A$3:$A$60,"FP",'TP-b'!$E$3:$E$60,1)&gt;0,_xlfn.MINIFS('TP-b'!$B$3:$B$60,'TP-b'!$A$3:$A$60,"FP",'TP-b'!$E$3:$E$60,1),"")))</f>
        <v/>
      </c>
      <c r="ER31" s="28">
        <f>IF(ER1="","",IF(_xlfn.MAXIFS('TP-b'!$B$3:$B$60,'TP-b'!$A$3:$A$60,"FP",'TP-b'!$E$3:$E$60,1,'TP-b'!$B$3:$B$60,"&lt;="&amp;ER1)&gt;0,_xlfn.MAXIFS('TP-b'!$B$3:$B$60,'TP-b'!$A$3:$A$60,"FP",'TP-b'!$E$3:$E$60,1,'TP-b'!$B$3:$B$60,"&lt;="&amp;ER1),IF(_xlfn.MINIFS('TP-b'!$B$3:$B$60,'TP-b'!$A$3:$A$60,"FP",'TP-b'!$E$3:$E$60,1)&gt;0,_xlfn.MINIFS('TP-b'!$B$3:$B$60,'TP-b'!$A$3:$A$60,"FP",'TP-b'!$E$3:$E$60,1),"")))</f>
        <v/>
      </c>
      <c r="ES31" s="28">
        <f>IF(ES1="","",IF(_xlfn.MAXIFS('TP-b'!$B$3:$B$60,'TP-b'!$A$3:$A$60,"FP",'TP-b'!$E$3:$E$60,1,'TP-b'!$B$3:$B$60,"&lt;="&amp;ES1)&gt;0,_xlfn.MAXIFS('TP-b'!$B$3:$B$60,'TP-b'!$A$3:$A$60,"FP",'TP-b'!$E$3:$E$60,1,'TP-b'!$B$3:$B$60,"&lt;="&amp;ES1),IF(_xlfn.MINIFS('TP-b'!$B$3:$B$60,'TP-b'!$A$3:$A$60,"FP",'TP-b'!$E$3:$E$60,1)&gt;0,_xlfn.MINIFS('TP-b'!$B$3:$B$60,'TP-b'!$A$3:$A$60,"FP",'TP-b'!$E$3:$E$60,1),"")))</f>
        <v/>
      </c>
      <c r="ET31" s="28">
        <f>IF(ET1="","",IF(_xlfn.MAXIFS('TP-b'!$B$3:$B$60,'TP-b'!$A$3:$A$60,"FP",'TP-b'!$E$3:$E$60,1,'TP-b'!$B$3:$B$60,"&lt;="&amp;ET1)&gt;0,_xlfn.MAXIFS('TP-b'!$B$3:$B$60,'TP-b'!$A$3:$A$60,"FP",'TP-b'!$E$3:$E$60,1,'TP-b'!$B$3:$B$60,"&lt;="&amp;ET1),IF(_xlfn.MINIFS('TP-b'!$B$3:$B$60,'TP-b'!$A$3:$A$60,"FP",'TP-b'!$E$3:$E$60,1)&gt;0,_xlfn.MINIFS('TP-b'!$B$3:$B$60,'TP-b'!$A$3:$A$60,"FP",'TP-b'!$E$3:$E$60,1),"")))</f>
        <v/>
      </c>
      <c r="EU31" s="28">
        <f>IF(EU1="","",IF(_xlfn.MAXIFS('TP-b'!$B$3:$B$60,'TP-b'!$A$3:$A$60,"FP",'TP-b'!$E$3:$E$60,1,'TP-b'!$B$3:$B$60,"&lt;="&amp;EU1)&gt;0,_xlfn.MAXIFS('TP-b'!$B$3:$B$60,'TP-b'!$A$3:$A$60,"FP",'TP-b'!$E$3:$E$60,1,'TP-b'!$B$3:$B$60,"&lt;="&amp;EU1),IF(_xlfn.MINIFS('TP-b'!$B$3:$B$60,'TP-b'!$A$3:$A$60,"FP",'TP-b'!$E$3:$E$60,1)&gt;0,_xlfn.MINIFS('TP-b'!$B$3:$B$60,'TP-b'!$A$3:$A$60,"FP",'TP-b'!$E$3:$E$60,1),"")))</f>
        <v/>
      </c>
      <c r="EV31" s="28">
        <f>IF(EV1="","",IF(_xlfn.MAXIFS('TP-b'!$B$3:$B$60,'TP-b'!$A$3:$A$60,"FP",'TP-b'!$E$3:$E$60,1,'TP-b'!$B$3:$B$60,"&lt;="&amp;EV1)&gt;0,_xlfn.MAXIFS('TP-b'!$B$3:$B$60,'TP-b'!$A$3:$A$60,"FP",'TP-b'!$E$3:$E$60,1,'TP-b'!$B$3:$B$60,"&lt;="&amp;EV1),IF(_xlfn.MINIFS('TP-b'!$B$3:$B$60,'TP-b'!$A$3:$A$60,"FP",'TP-b'!$E$3:$E$60,1)&gt;0,_xlfn.MINIFS('TP-b'!$B$3:$B$60,'TP-b'!$A$3:$A$60,"FP",'TP-b'!$E$3:$E$60,1),"")))</f>
        <v/>
      </c>
      <c r="EW31" s="28">
        <f>IF(EW1="","",IF(_xlfn.MAXIFS('TP-b'!$B$3:$B$60,'TP-b'!$A$3:$A$60,"FP",'TP-b'!$E$3:$E$60,1,'TP-b'!$B$3:$B$60,"&lt;="&amp;EW1)&gt;0,_xlfn.MAXIFS('TP-b'!$B$3:$B$60,'TP-b'!$A$3:$A$60,"FP",'TP-b'!$E$3:$E$60,1,'TP-b'!$B$3:$B$60,"&lt;="&amp;EW1),IF(_xlfn.MINIFS('TP-b'!$B$3:$B$60,'TP-b'!$A$3:$A$60,"FP",'TP-b'!$E$3:$E$60,1)&gt;0,_xlfn.MINIFS('TP-b'!$B$3:$B$60,'TP-b'!$A$3:$A$60,"FP",'TP-b'!$E$3:$E$60,1),"")))</f>
        <v/>
      </c>
      <c r="EX31" s="28">
        <f>IF(EX1="","",IF(_xlfn.MAXIFS('TP-b'!$B$3:$B$60,'TP-b'!$A$3:$A$60,"FP",'TP-b'!$E$3:$E$60,1,'TP-b'!$B$3:$B$60,"&lt;="&amp;EX1)&gt;0,_xlfn.MAXIFS('TP-b'!$B$3:$B$60,'TP-b'!$A$3:$A$60,"FP",'TP-b'!$E$3:$E$60,1,'TP-b'!$B$3:$B$60,"&lt;="&amp;EX1),IF(_xlfn.MINIFS('TP-b'!$B$3:$B$60,'TP-b'!$A$3:$A$60,"FP",'TP-b'!$E$3:$E$60,1)&gt;0,_xlfn.MINIFS('TP-b'!$B$3:$B$60,'TP-b'!$A$3:$A$60,"FP",'TP-b'!$E$3:$E$60,1),"")))</f>
        <v/>
      </c>
      <c r="EY31" s="28">
        <f>IF(EY1="","",IF(_xlfn.MAXIFS('TP-b'!$B$3:$B$60,'TP-b'!$A$3:$A$60,"FP",'TP-b'!$E$3:$E$60,1,'TP-b'!$B$3:$B$60,"&lt;="&amp;EY1)&gt;0,_xlfn.MAXIFS('TP-b'!$B$3:$B$60,'TP-b'!$A$3:$A$60,"FP",'TP-b'!$E$3:$E$60,1,'TP-b'!$B$3:$B$60,"&lt;="&amp;EY1),IF(_xlfn.MINIFS('TP-b'!$B$3:$B$60,'TP-b'!$A$3:$A$60,"FP",'TP-b'!$E$3:$E$60,1)&gt;0,_xlfn.MINIFS('TP-b'!$B$3:$B$60,'TP-b'!$A$3:$A$60,"FP",'TP-b'!$E$3:$E$60,1),"")))</f>
        <v/>
      </c>
      <c r="EZ31" s="28">
        <f>IF(EZ1="","",IF(_xlfn.MAXIFS('TP-b'!$B$3:$B$60,'TP-b'!$A$3:$A$60,"FP",'TP-b'!$E$3:$E$60,1,'TP-b'!$B$3:$B$60,"&lt;="&amp;EZ1)&gt;0,_xlfn.MAXIFS('TP-b'!$B$3:$B$60,'TP-b'!$A$3:$A$60,"FP",'TP-b'!$E$3:$E$60,1,'TP-b'!$B$3:$B$60,"&lt;="&amp;EZ1),IF(_xlfn.MINIFS('TP-b'!$B$3:$B$60,'TP-b'!$A$3:$A$60,"FP",'TP-b'!$E$3:$E$60,1)&gt;0,_xlfn.MINIFS('TP-b'!$B$3:$B$60,'TP-b'!$A$3:$A$60,"FP",'TP-b'!$E$3:$E$60,1),"")))</f>
        <v/>
      </c>
      <c r="FA31" s="28">
        <f>IF(FA1="","",IF(_xlfn.MAXIFS('TP-b'!$B$3:$B$60,'TP-b'!$A$3:$A$60,"FP",'TP-b'!$E$3:$E$60,1,'TP-b'!$B$3:$B$60,"&lt;="&amp;FA1)&gt;0,_xlfn.MAXIFS('TP-b'!$B$3:$B$60,'TP-b'!$A$3:$A$60,"FP",'TP-b'!$E$3:$E$60,1,'TP-b'!$B$3:$B$60,"&lt;="&amp;FA1),IF(_xlfn.MINIFS('TP-b'!$B$3:$B$60,'TP-b'!$A$3:$A$60,"FP",'TP-b'!$E$3:$E$60,1)&gt;0,_xlfn.MINIFS('TP-b'!$B$3:$B$60,'TP-b'!$A$3:$A$60,"FP",'TP-b'!$E$3:$E$60,1),"")))</f>
        <v/>
      </c>
      <c r="FB31" s="28">
        <f>IF(FB1="","",IF(_xlfn.MAXIFS('TP-b'!$B$3:$B$60,'TP-b'!$A$3:$A$60,"FP",'TP-b'!$E$3:$E$60,1,'TP-b'!$B$3:$B$60,"&lt;="&amp;FB1)&gt;0,_xlfn.MAXIFS('TP-b'!$B$3:$B$60,'TP-b'!$A$3:$A$60,"FP",'TP-b'!$E$3:$E$60,1,'TP-b'!$B$3:$B$60,"&lt;="&amp;FB1),IF(_xlfn.MINIFS('TP-b'!$B$3:$B$60,'TP-b'!$A$3:$A$60,"FP",'TP-b'!$E$3:$E$60,1)&gt;0,_xlfn.MINIFS('TP-b'!$B$3:$B$60,'TP-b'!$A$3:$A$60,"FP",'TP-b'!$E$3:$E$60,1),"")))</f>
        <v/>
      </c>
      <c r="FC31" s="28">
        <f>IF(FC1="","",IF(_xlfn.MAXIFS('TP-b'!$B$3:$B$60,'TP-b'!$A$3:$A$60,"FP",'TP-b'!$E$3:$E$60,1,'TP-b'!$B$3:$B$60,"&lt;="&amp;FC1)&gt;0,_xlfn.MAXIFS('TP-b'!$B$3:$B$60,'TP-b'!$A$3:$A$60,"FP",'TP-b'!$E$3:$E$60,1,'TP-b'!$B$3:$B$60,"&lt;="&amp;FC1),IF(_xlfn.MINIFS('TP-b'!$B$3:$B$60,'TP-b'!$A$3:$A$60,"FP",'TP-b'!$E$3:$E$60,1)&gt;0,_xlfn.MINIFS('TP-b'!$B$3:$B$60,'TP-b'!$A$3:$A$60,"FP",'TP-b'!$E$3:$E$60,1),"")))</f>
        <v/>
      </c>
      <c r="FD31" s="28">
        <f>IF(FD1="","",IF(_xlfn.MAXIFS('TP-b'!$B$3:$B$60,'TP-b'!$A$3:$A$60,"FP",'TP-b'!$E$3:$E$60,1,'TP-b'!$B$3:$B$60,"&lt;="&amp;FD1)&gt;0,_xlfn.MAXIFS('TP-b'!$B$3:$B$60,'TP-b'!$A$3:$A$60,"FP",'TP-b'!$E$3:$E$60,1,'TP-b'!$B$3:$B$60,"&lt;="&amp;FD1),IF(_xlfn.MINIFS('TP-b'!$B$3:$B$60,'TP-b'!$A$3:$A$60,"FP",'TP-b'!$E$3:$E$60,1)&gt;0,_xlfn.MINIFS('TP-b'!$B$3:$B$60,'TP-b'!$A$3:$A$60,"FP",'TP-b'!$E$3:$E$60,1),"")))</f>
        <v/>
      </c>
      <c r="FE31" s="28">
        <f>IF(FE1="","",IF(_xlfn.MAXIFS('TP-b'!$B$3:$B$60,'TP-b'!$A$3:$A$60,"FP",'TP-b'!$E$3:$E$60,1,'TP-b'!$B$3:$B$60,"&lt;="&amp;FE1)&gt;0,_xlfn.MAXIFS('TP-b'!$B$3:$B$60,'TP-b'!$A$3:$A$60,"FP",'TP-b'!$E$3:$E$60,1,'TP-b'!$B$3:$B$60,"&lt;="&amp;FE1),IF(_xlfn.MINIFS('TP-b'!$B$3:$B$60,'TP-b'!$A$3:$A$60,"FP",'TP-b'!$E$3:$E$60,1)&gt;0,_xlfn.MINIFS('TP-b'!$B$3:$B$60,'TP-b'!$A$3:$A$60,"FP",'TP-b'!$E$3:$E$60,1),"")))</f>
        <v/>
      </c>
      <c r="FF31" s="28">
        <f>IF(FF1="","",IF(_xlfn.MAXIFS('TP-b'!$B$3:$B$60,'TP-b'!$A$3:$A$60,"FP",'TP-b'!$E$3:$E$60,1,'TP-b'!$B$3:$B$60,"&lt;="&amp;FF1)&gt;0,_xlfn.MAXIFS('TP-b'!$B$3:$B$60,'TP-b'!$A$3:$A$60,"FP",'TP-b'!$E$3:$E$60,1,'TP-b'!$B$3:$B$60,"&lt;="&amp;FF1),IF(_xlfn.MINIFS('TP-b'!$B$3:$B$60,'TP-b'!$A$3:$A$60,"FP",'TP-b'!$E$3:$E$60,1)&gt;0,_xlfn.MINIFS('TP-b'!$B$3:$B$60,'TP-b'!$A$3:$A$60,"FP",'TP-b'!$E$3:$E$60,1),"")))</f>
        <v/>
      </c>
      <c r="FG31" s="28">
        <f>IF(FG1="","",IF(_xlfn.MAXIFS('TP-b'!$B$3:$B$60,'TP-b'!$A$3:$A$60,"FP",'TP-b'!$E$3:$E$60,1,'TP-b'!$B$3:$B$60,"&lt;="&amp;FG1)&gt;0,_xlfn.MAXIFS('TP-b'!$B$3:$B$60,'TP-b'!$A$3:$A$60,"FP",'TP-b'!$E$3:$E$60,1,'TP-b'!$B$3:$B$60,"&lt;="&amp;FG1),IF(_xlfn.MINIFS('TP-b'!$B$3:$B$60,'TP-b'!$A$3:$A$60,"FP",'TP-b'!$E$3:$E$60,1)&gt;0,_xlfn.MINIFS('TP-b'!$B$3:$B$60,'TP-b'!$A$3:$A$60,"FP",'TP-b'!$E$3:$E$60,1),"")))</f>
        <v/>
      </c>
      <c r="FH31" s="28">
        <f>IF(FH1="","",IF(_xlfn.MAXIFS('TP-b'!$B$3:$B$60,'TP-b'!$A$3:$A$60,"FP",'TP-b'!$E$3:$E$60,1,'TP-b'!$B$3:$B$60,"&lt;="&amp;FH1)&gt;0,_xlfn.MAXIFS('TP-b'!$B$3:$B$60,'TP-b'!$A$3:$A$60,"FP",'TP-b'!$E$3:$E$60,1,'TP-b'!$B$3:$B$60,"&lt;="&amp;FH1),IF(_xlfn.MINIFS('TP-b'!$B$3:$B$60,'TP-b'!$A$3:$A$60,"FP",'TP-b'!$E$3:$E$60,1)&gt;0,_xlfn.MINIFS('TP-b'!$B$3:$B$60,'TP-b'!$A$3:$A$60,"FP",'TP-b'!$E$3:$E$60,1),"")))</f>
        <v/>
      </c>
      <c r="FI31" s="28">
        <f>IF(FI1="","",IF(_xlfn.MAXIFS('TP-b'!$B$3:$B$60,'TP-b'!$A$3:$A$60,"FP",'TP-b'!$E$3:$E$60,1,'TP-b'!$B$3:$B$60,"&lt;="&amp;FI1)&gt;0,_xlfn.MAXIFS('TP-b'!$B$3:$B$60,'TP-b'!$A$3:$A$60,"FP",'TP-b'!$E$3:$E$60,1,'TP-b'!$B$3:$B$60,"&lt;="&amp;FI1),IF(_xlfn.MINIFS('TP-b'!$B$3:$B$60,'TP-b'!$A$3:$A$60,"FP",'TP-b'!$E$3:$E$60,1)&gt;0,_xlfn.MINIFS('TP-b'!$B$3:$B$60,'TP-b'!$A$3:$A$60,"FP",'TP-b'!$E$3:$E$60,1),"")))</f>
        <v/>
      </c>
      <c r="FJ31" s="28">
        <f>IF(FJ1="","",IF(_xlfn.MAXIFS('TP-b'!$B$3:$B$60,'TP-b'!$A$3:$A$60,"FP",'TP-b'!$E$3:$E$60,1,'TP-b'!$B$3:$B$60,"&lt;="&amp;FJ1)&gt;0,_xlfn.MAXIFS('TP-b'!$B$3:$B$60,'TP-b'!$A$3:$A$60,"FP",'TP-b'!$E$3:$E$60,1,'TP-b'!$B$3:$B$60,"&lt;="&amp;FJ1),IF(_xlfn.MINIFS('TP-b'!$B$3:$B$60,'TP-b'!$A$3:$A$60,"FP",'TP-b'!$E$3:$E$60,1)&gt;0,_xlfn.MINIFS('TP-b'!$B$3:$B$60,'TP-b'!$A$3:$A$60,"FP",'TP-b'!$E$3:$E$60,1),"")))</f>
        <v/>
      </c>
      <c r="FK31" s="28">
        <f>IF(FK1="","",IF(_xlfn.MAXIFS('TP-b'!$B$3:$B$60,'TP-b'!$A$3:$A$60,"FP",'TP-b'!$E$3:$E$60,1,'TP-b'!$B$3:$B$60,"&lt;="&amp;FK1)&gt;0,_xlfn.MAXIFS('TP-b'!$B$3:$B$60,'TP-b'!$A$3:$A$60,"FP",'TP-b'!$E$3:$E$60,1,'TP-b'!$B$3:$B$60,"&lt;="&amp;FK1),IF(_xlfn.MINIFS('TP-b'!$B$3:$B$60,'TP-b'!$A$3:$A$60,"FP",'TP-b'!$E$3:$E$60,1)&gt;0,_xlfn.MINIFS('TP-b'!$B$3:$B$60,'TP-b'!$A$3:$A$60,"FP",'TP-b'!$E$3:$E$60,1),"")))</f>
        <v/>
      </c>
      <c r="FL31" s="28">
        <f>IF(FL1="","",IF(_xlfn.MAXIFS('TP-b'!$B$3:$B$60,'TP-b'!$A$3:$A$60,"FP",'TP-b'!$E$3:$E$60,1,'TP-b'!$B$3:$B$60,"&lt;="&amp;FL1)&gt;0,_xlfn.MAXIFS('TP-b'!$B$3:$B$60,'TP-b'!$A$3:$A$60,"FP",'TP-b'!$E$3:$E$60,1,'TP-b'!$B$3:$B$60,"&lt;="&amp;FL1),IF(_xlfn.MINIFS('TP-b'!$B$3:$B$60,'TP-b'!$A$3:$A$60,"FP",'TP-b'!$E$3:$E$60,1)&gt;0,_xlfn.MINIFS('TP-b'!$B$3:$B$60,'TP-b'!$A$3:$A$60,"FP",'TP-b'!$E$3:$E$60,1),"")))</f>
        <v/>
      </c>
      <c r="FM31" s="28">
        <f>IF(FM1="","",IF(_xlfn.MAXIFS('TP-b'!$B$3:$B$60,'TP-b'!$A$3:$A$60,"FP",'TP-b'!$E$3:$E$60,1,'TP-b'!$B$3:$B$60,"&lt;="&amp;FM1)&gt;0,_xlfn.MAXIFS('TP-b'!$B$3:$B$60,'TP-b'!$A$3:$A$60,"FP",'TP-b'!$E$3:$E$60,1,'TP-b'!$B$3:$B$60,"&lt;="&amp;FM1),IF(_xlfn.MINIFS('TP-b'!$B$3:$B$60,'TP-b'!$A$3:$A$60,"FP",'TP-b'!$E$3:$E$60,1)&gt;0,_xlfn.MINIFS('TP-b'!$B$3:$B$60,'TP-b'!$A$3:$A$60,"FP",'TP-b'!$E$3:$E$60,1),"")))</f>
        <v/>
      </c>
      <c r="FN31" s="28">
        <f>IF(FN1="","",IF(_xlfn.MAXIFS('TP-b'!$B$3:$B$60,'TP-b'!$A$3:$A$60,"FP",'TP-b'!$E$3:$E$60,1,'TP-b'!$B$3:$B$60,"&lt;="&amp;FN1)&gt;0,_xlfn.MAXIFS('TP-b'!$B$3:$B$60,'TP-b'!$A$3:$A$60,"FP",'TP-b'!$E$3:$E$60,1,'TP-b'!$B$3:$B$60,"&lt;="&amp;FN1),IF(_xlfn.MINIFS('TP-b'!$B$3:$B$60,'TP-b'!$A$3:$A$60,"FP",'TP-b'!$E$3:$E$60,1)&gt;0,_xlfn.MINIFS('TP-b'!$B$3:$B$60,'TP-b'!$A$3:$A$60,"FP",'TP-b'!$E$3:$E$60,1),"")))</f>
        <v/>
      </c>
      <c r="FO31" s="28">
        <f>IF(FO1="","",IF(_xlfn.MAXIFS('TP-b'!$B$3:$B$60,'TP-b'!$A$3:$A$60,"FP",'TP-b'!$E$3:$E$60,1,'TP-b'!$B$3:$B$60,"&lt;="&amp;FO1)&gt;0,_xlfn.MAXIFS('TP-b'!$B$3:$B$60,'TP-b'!$A$3:$A$60,"FP",'TP-b'!$E$3:$E$60,1,'TP-b'!$B$3:$B$60,"&lt;="&amp;FO1),IF(_xlfn.MINIFS('TP-b'!$B$3:$B$60,'TP-b'!$A$3:$A$60,"FP",'TP-b'!$E$3:$E$60,1)&gt;0,_xlfn.MINIFS('TP-b'!$B$3:$B$60,'TP-b'!$A$3:$A$60,"FP",'TP-b'!$E$3:$E$60,1),"")))</f>
        <v/>
      </c>
      <c r="FP31" s="28">
        <f>IF(FP1="","",IF(_xlfn.MAXIFS('TP-b'!$B$3:$B$60,'TP-b'!$A$3:$A$60,"FP",'TP-b'!$E$3:$E$60,1,'TP-b'!$B$3:$B$60,"&lt;="&amp;FP1)&gt;0,_xlfn.MAXIFS('TP-b'!$B$3:$B$60,'TP-b'!$A$3:$A$60,"FP",'TP-b'!$E$3:$E$60,1,'TP-b'!$B$3:$B$60,"&lt;="&amp;FP1),IF(_xlfn.MINIFS('TP-b'!$B$3:$B$60,'TP-b'!$A$3:$A$60,"FP",'TP-b'!$E$3:$E$60,1)&gt;0,_xlfn.MINIFS('TP-b'!$B$3:$B$60,'TP-b'!$A$3:$A$60,"FP",'TP-b'!$E$3:$E$60,1),"")))</f>
        <v/>
      </c>
      <c r="FQ31" s="28">
        <f>IF(FQ1="","",IF(_xlfn.MAXIFS('TP-b'!$B$3:$B$60,'TP-b'!$A$3:$A$60,"FP",'TP-b'!$E$3:$E$60,1,'TP-b'!$B$3:$B$60,"&lt;="&amp;FQ1)&gt;0,_xlfn.MAXIFS('TP-b'!$B$3:$B$60,'TP-b'!$A$3:$A$60,"FP",'TP-b'!$E$3:$E$60,1,'TP-b'!$B$3:$B$60,"&lt;="&amp;FQ1),IF(_xlfn.MINIFS('TP-b'!$B$3:$B$60,'TP-b'!$A$3:$A$60,"FP",'TP-b'!$E$3:$E$60,1)&gt;0,_xlfn.MINIFS('TP-b'!$B$3:$B$60,'TP-b'!$A$3:$A$60,"FP",'TP-b'!$E$3:$E$60,1),"")))</f>
        <v/>
      </c>
    </row>
    <row r="32" hidden="1">
      <c r="A32" s="25" t="inlineStr">
        <is>
          <t>FP</t>
        </is>
      </c>
      <c r="B32" s="27" t="inlineStr">
        <is>
          <t>(end of day level)</t>
        </is>
      </c>
      <c r="D32" s="18">
        <f>IF(D13="","",IF(ISNUMBER(D20),D20,D13))</f>
        <v/>
      </c>
      <c r="E32" s="18">
        <f>IF(E13="","",IF(ISNUMBER(E20),E20,E13))</f>
        <v/>
      </c>
      <c r="F32" s="18">
        <f>IF(F13="","",IF(ISNUMBER(F20),F20,F13))</f>
        <v/>
      </c>
      <c r="G32" s="18">
        <f>IF(G13="","",IF(ISNUMBER(G20),G20,G13))</f>
        <v/>
      </c>
      <c r="H32" s="18">
        <f>IF(H13="","",IF(ISNUMBER(H20),H20,H13))</f>
        <v/>
      </c>
      <c r="I32" s="18">
        <f>IF(I13="","",IF(ISNUMBER(I20),I20,I13))</f>
        <v/>
      </c>
      <c r="J32" s="18">
        <f>IF(J13="","",IF(ISNUMBER(J20),J20,J13))</f>
        <v/>
      </c>
      <c r="K32" s="18">
        <f>IF(K13="","",IF(ISNUMBER(K20),K20,K13))</f>
        <v/>
      </c>
      <c r="L32" s="18">
        <f>IF(L13="","",IF(ISNUMBER(L20),L20,L13))</f>
        <v/>
      </c>
      <c r="M32" s="18">
        <f>IF(M13="","",IF(ISNUMBER(M20),M20,M13))</f>
        <v/>
      </c>
      <c r="N32" s="18">
        <f>IF(N13="","",IF(ISNUMBER(N20),N20,N13))</f>
        <v/>
      </c>
      <c r="O32" s="18">
        <f>IF(O13="","",IF(ISNUMBER(O20),O20,O13))</f>
        <v/>
      </c>
      <c r="P32" s="18">
        <f>IF(P13="","",IF(ISNUMBER(P20),P20,P13))</f>
        <v/>
      </c>
      <c r="Q32" s="18">
        <f>IF(Q13="","",IF(ISNUMBER(Q20),Q20,Q13))</f>
        <v/>
      </c>
      <c r="R32" s="18">
        <f>IF(R13="","",IF(ISNUMBER(R20),R20,R13))</f>
        <v/>
      </c>
      <c r="S32" s="18">
        <f>IF(S13="","",IF(ISNUMBER(S20),S20,S13))</f>
        <v/>
      </c>
      <c r="T32" s="18">
        <f>IF(T13="","",IF(ISNUMBER(T20),T20,T13))</f>
        <v/>
      </c>
      <c r="U32" s="18">
        <f>IF(U13="","",IF(ISNUMBER(U20),U20,U13))</f>
        <v/>
      </c>
      <c r="V32" s="18">
        <f>IF(V13="","",IF(ISNUMBER(V20),V20,V13))</f>
        <v/>
      </c>
      <c r="W32" s="18">
        <f>IF(W13="","",IF(ISNUMBER(W20),W20,W13))</f>
        <v/>
      </c>
      <c r="X32" s="18">
        <f>IF(X13="","",IF(ISNUMBER(X20),X20,X13))</f>
        <v/>
      </c>
      <c r="Y32" s="18">
        <f>IF(Y13="","",IF(ISNUMBER(Y20),Y20,Y13))</f>
        <v/>
      </c>
      <c r="Z32" s="18">
        <f>IF(Z13="","",IF(ISNUMBER(Z20),Z20,Z13))</f>
        <v/>
      </c>
      <c r="AA32" s="18">
        <f>IF(AA13="","",IF(ISNUMBER(AA20),AA20,AA13))</f>
        <v/>
      </c>
      <c r="AB32" s="18">
        <f>IF(AB13="","",IF(ISNUMBER(AB20),AB20,AB13))</f>
        <v/>
      </c>
      <c r="AC32" s="18">
        <f>IF(AC13="","",IF(ISNUMBER(AC20),AC20,AC13))</f>
        <v/>
      </c>
      <c r="AD32" s="18">
        <f>IF(AD13="","",IF(ISNUMBER(AD20),AD20,AD13))</f>
        <v/>
      </c>
      <c r="AE32" s="18">
        <f>IF(AE13="","",IF(ISNUMBER(AE20),AE20,AE13))</f>
        <v/>
      </c>
      <c r="AF32" s="18">
        <f>IF(AF13="","",IF(ISNUMBER(AF20),AF20,AF13))</f>
        <v/>
      </c>
      <c r="AG32" s="18">
        <f>IF(AG13="","",IF(ISNUMBER(AG20),AG20,AG13))</f>
        <v/>
      </c>
      <c r="AH32" s="18">
        <f>IF(AH13="","",IF(ISNUMBER(AH20),AH20,AH13))</f>
        <v/>
      </c>
      <c r="AI32" s="18">
        <f>IF(AI13="","",IF(ISNUMBER(AI20),AI20,AI13))</f>
        <v/>
      </c>
      <c r="AJ32" s="18">
        <f>IF(AJ13="","",IF(ISNUMBER(AJ20),AJ20,AJ13))</f>
        <v/>
      </c>
      <c r="AK32" s="18">
        <f>IF(AK13="","",IF(ISNUMBER(AK20),AK20,AK13))</f>
        <v/>
      </c>
      <c r="AL32" s="18">
        <f>IF(AL13="","",IF(ISNUMBER(AL20),AL20,AL13))</f>
        <v/>
      </c>
      <c r="AM32" s="18">
        <f>IF(AM13="","",IF(ISNUMBER(AM20),AM20,AM13))</f>
        <v/>
      </c>
      <c r="AN32" s="18">
        <f>IF(AN13="","",IF(ISNUMBER(AN20),AN20,AN13))</f>
        <v/>
      </c>
      <c r="AO32" s="18">
        <f>IF(AO13="","",IF(ISNUMBER(AO20),AO20,AO13))</f>
        <v/>
      </c>
      <c r="AP32" s="18">
        <f>IF(AP13="","",IF(ISNUMBER(AP20),AP20,AP13))</f>
        <v/>
      </c>
      <c r="AQ32" s="18">
        <f>IF(AQ13="","",IF(ISNUMBER(AQ20),AQ20,AQ13))</f>
        <v/>
      </c>
      <c r="AR32" s="18">
        <f>IF(AR13="","",IF(ISNUMBER(AR20),AR20,AR13))</f>
        <v/>
      </c>
      <c r="AS32" s="18">
        <f>IF(AS13="","",IF(ISNUMBER(AS20),AS20,AS13))</f>
        <v/>
      </c>
      <c r="AT32" s="18">
        <f>IF(AT13="","",IF(ISNUMBER(AT20),AT20,AT13))</f>
        <v/>
      </c>
      <c r="AU32" s="18">
        <f>IF(AU13="","",IF(ISNUMBER(AU20),AU20,AU13))</f>
        <v/>
      </c>
      <c r="AV32" s="18">
        <f>IF(AV13="","",IF(ISNUMBER(AV20),AV20,AV13))</f>
        <v/>
      </c>
      <c r="AW32" s="18">
        <f>IF(AW13="","",IF(ISNUMBER(AW20),AW20,AW13))</f>
        <v/>
      </c>
      <c r="AX32" s="18">
        <f>IF(AX13="","",IF(ISNUMBER(AX20),AX20,AX13))</f>
        <v/>
      </c>
      <c r="AY32" s="18">
        <f>IF(AY13="","",IF(ISNUMBER(AY20),AY20,AY13))</f>
        <v/>
      </c>
      <c r="AZ32" s="18">
        <f>IF(AZ13="","",IF(ISNUMBER(AZ20),AZ20,AZ13))</f>
        <v/>
      </c>
      <c r="BA32" s="18">
        <f>IF(BA13="","",IF(ISNUMBER(BA20),BA20,BA13))</f>
        <v/>
      </c>
      <c r="BB32" s="18">
        <f>IF(BB13="","",IF(ISNUMBER(BB20),BB20,BB13))</f>
        <v/>
      </c>
      <c r="BC32" s="18">
        <f>IF(BC13="","",IF(ISNUMBER(BC20),BC20,BC13))</f>
        <v/>
      </c>
      <c r="BD32" s="18">
        <f>IF(BD13="","",IF(ISNUMBER(BD20),BD20,BD13))</f>
        <v/>
      </c>
      <c r="BE32" s="18">
        <f>IF(BE13="","",IF(ISNUMBER(BE20),BE20,BE13))</f>
        <v/>
      </c>
      <c r="BF32" s="18">
        <f>IF(BF13="","",IF(ISNUMBER(BF20),BF20,BF13))</f>
        <v/>
      </c>
      <c r="BG32" s="18">
        <f>IF(BG13="","",IF(ISNUMBER(BG20),BG20,BG13))</f>
        <v/>
      </c>
      <c r="BH32" s="18">
        <f>IF(BH13="","",IF(ISNUMBER(BH20),BH20,BH13))</f>
        <v/>
      </c>
      <c r="BI32" s="18">
        <f>IF(BI13="","",IF(ISNUMBER(BI20),BI20,BI13))</f>
        <v/>
      </c>
      <c r="BJ32" s="18">
        <f>IF(BJ13="","",IF(ISNUMBER(BJ20),BJ20,BJ13))</f>
        <v/>
      </c>
      <c r="BK32" s="18">
        <f>IF(BK13="","",IF(ISNUMBER(BK20),BK20,BK13))</f>
        <v/>
      </c>
      <c r="BL32" s="18">
        <f>IF(BL13="","",IF(ISNUMBER(BL20),BL20,BL13))</f>
        <v/>
      </c>
      <c r="BM32" s="18">
        <f>IF(BM13="","",IF(ISNUMBER(BM20),BM20,BM13))</f>
        <v/>
      </c>
      <c r="BN32" s="18">
        <f>IF(BN13="","",IF(ISNUMBER(BN20),BN20,BN13))</f>
        <v/>
      </c>
      <c r="BO32" s="18">
        <f>IF(BO13="","",IF(ISNUMBER(BO20),BO20,BO13))</f>
        <v/>
      </c>
      <c r="BP32" s="18">
        <f>IF(BP13="","",IF(ISNUMBER(BP20),BP20,BP13))</f>
        <v/>
      </c>
      <c r="BQ32" s="18">
        <f>IF(BQ13="","",IF(ISNUMBER(BQ20),BQ20,BQ13))</f>
        <v/>
      </c>
      <c r="BR32" s="18">
        <f>IF(BR13="","",IF(ISNUMBER(BR20),BR20,BR13))</f>
        <v/>
      </c>
      <c r="BS32" s="18">
        <f>IF(BS13="","",IF(ISNUMBER(BS20),BS20,BS13))</f>
        <v/>
      </c>
      <c r="BT32" s="18">
        <f>IF(BT13="","",IF(ISNUMBER(BT20),BT20,BT13))</f>
        <v/>
      </c>
      <c r="BU32" s="18">
        <f>IF(BU13="","",IF(ISNUMBER(BU20),BU20,BU13))</f>
        <v/>
      </c>
      <c r="BV32" s="18">
        <f>IF(BV13="","",IF(ISNUMBER(BV20),BV20,BV13))</f>
        <v/>
      </c>
      <c r="BW32" s="18">
        <f>IF(BW13="","",IF(ISNUMBER(BW20),BW20,BW13))</f>
        <v/>
      </c>
      <c r="BX32" s="18">
        <f>IF(BX13="","",IF(ISNUMBER(BX20),BX20,BX13))</f>
        <v/>
      </c>
      <c r="BY32" s="18">
        <f>IF(BY13="","",IF(ISNUMBER(BY20),BY20,BY13))</f>
        <v/>
      </c>
      <c r="BZ32" s="18">
        <f>IF(BZ13="","",IF(ISNUMBER(BZ20),BZ20,BZ13))</f>
        <v/>
      </c>
      <c r="CA32" s="18">
        <f>IF(CA13="","",IF(ISNUMBER(CA20),CA20,CA13))</f>
        <v/>
      </c>
      <c r="CB32" s="18">
        <f>IF(CB13="","",IF(ISNUMBER(CB20),CB20,CB13))</f>
        <v/>
      </c>
      <c r="CC32" s="18">
        <f>IF(CC13="","",IF(ISNUMBER(CC20),CC20,CC13))</f>
        <v/>
      </c>
      <c r="CD32" s="18">
        <f>IF(CD13="","",IF(ISNUMBER(CD20),CD20,CD13))</f>
        <v/>
      </c>
      <c r="CE32" s="18">
        <f>IF(CE13="","",IF(ISNUMBER(CE20),CE20,CE13))</f>
        <v/>
      </c>
      <c r="CF32" s="18">
        <f>IF(CF13="","",IF(ISNUMBER(CF20),CF20,CF13))</f>
        <v/>
      </c>
      <c r="CG32" s="18">
        <f>IF(CG13="","",IF(ISNUMBER(CG20),CG20,CG13))</f>
        <v/>
      </c>
      <c r="CH32" s="18">
        <f>IF(CH13="","",IF(ISNUMBER(CH20),CH20,CH13))</f>
        <v/>
      </c>
      <c r="CI32" s="18">
        <f>IF(CI13="","",IF(ISNUMBER(CI20),CI20,CI13))</f>
        <v/>
      </c>
      <c r="CJ32" s="18">
        <f>IF(CJ13="","",IF(ISNUMBER(CJ20),CJ20,CJ13))</f>
        <v/>
      </c>
      <c r="CK32" s="18">
        <f>IF(CK13="","",IF(ISNUMBER(CK20),CK20,CK13))</f>
        <v/>
      </c>
      <c r="CL32" s="18">
        <f>IF(CL13="","",IF(ISNUMBER(CL20),CL20,CL13))</f>
        <v/>
      </c>
      <c r="CM32" s="18">
        <f>IF(CM13="","",IF(ISNUMBER(CM20),CM20,CM13))</f>
        <v/>
      </c>
      <c r="CN32" s="18">
        <f>IF(CN13="","",IF(ISNUMBER(CN20),CN20,CN13))</f>
        <v/>
      </c>
      <c r="CO32" s="18">
        <f>IF(CO13="","",IF(ISNUMBER(CO20),CO20,CO13))</f>
        <v/>
      </c>
      <c r="CP32" s="18">
        <f>IF(CP13="","",IF(ISNUMBER(CP20),CP20,CP13))</f>
        <v/>
      </c>
      <c r="CQ32" s="18">
        <f>IF(CQ13="","",IF(ISNUMBER(CQ20),CQ20,CQ13))</f>
        <v/>
      </c>
      <c r="CR32" s="18">
        <f>IF(CR13="","",IF(ISNUMBER(CR20),CR20,CR13))</f>
        <v/>
      </c>
      <c r="CS32" s="18">
        <f>IF(CS13="","",IF(ISNUMBER(CS20),CS20,CS13))</f>
        <v/>
      </c>
      <c r="CT32" s="18">
        <f>IF(CT13="","",IF(ISNUMBER(CT20),CT20,CT13))</f>
        <v/>
      </c>
      <c r="CU32" s="18">
        <f>IF(CU13="","",IF(ISNUMBER(CU20),CU20,CU13))</f>
        <v/>
      </c>
      <c r="CV32" s="18">
        <f>IF(CV13="","",IF(ISNUMBER(CV20),CV20,CV13))</f>
        <v/>
      </c>
      <c r="CW32" s="18">
        <f>IF(CW13="","",IF(ISNUMBER(CW20),CW20,CW13))</f>
        <v/>
      </c>
      <c r="CX32" s="18">
        <f>IF(CX13="","",IF(ISNUMBER(CX20),CX20,CX13))</f>
        <v/>
      </c>
      <c r="CY32" s="18">
        <f>IF(CY13="","",IF(ISNUMBER(CY20),CY20,CY13))</f>
        <v/>
      </c>
      <c r="CZ32" s="18">
        <f>IF(CZ13="","",IF(ISNUMBER(CZ20),CZ20,CZ13))</f>
        <v/>
      </c>
      <c r="DA32" s="18">
        <f>IF(DA13="","",IF(ISNUMBER(DA20),DA20,DA13))</f>
        <v/>
      </c>
      <c r="DB32" s="18">
        <f>IF(DB13="","",IF(ISNUMBER(DB20),DB20,DB13))</f>
        <v/>
      </c>
      <c r="DC32" s="18">
        <f>IF(DC13="","",IF(ISNUMBER(DC20),DC20,DC13))</f>
        <v/>
      </c>
      <c r="DD32" s="18">
        <f>IF(DD13="","",IF(ISNUMBER(DD20),DD20,DD13))</f>
        <v/>
      </c>
      <c r="DE32" s="18">
        <f>IF(DE13="","",IF(ISNUMBER(DE20),DE20,DE13))</f>
        <v/>
      </c>
      <c r="DF32" s="18">
        <f>IF(DF13="","",IF(ISNUMBER(DF20),DF20,DF13))</f>
        <v/>
      </c>
      <c r="DG32" s="18">
        <f>IF(DG13="","",IF(ISNUMBER(DG20),DG20,DG13))</f>
        <v/>
      </c>
      <c r="DH32" s="18">
        <f>IF(DH13="","",IF(ISNUMBER(DH20),DH20,DH13))</f>
        <v/>
      </c>
      <c r="DI32" s="18">
        <f>IF(DI13="","",IF(ISNUMBER(DI20),DI20,DI13))</f>
        <v/>
      </c>
      <c r="DJ32" s="18">
        <f>IF(DJ13="","",IF(ISNUMBER(DJ20),DJ20,DJ13))</f>
        <v/>
      </c>
      <c r="DK32" s="18">
        <f>IF(DK13="","",IF(ISNUMBER(DK20),DK20,DK13))</f>
        <v/>
      </c>
      <c r="DL32" s="18">
        <f>IF(DL13="","",IF(ISNUMBER(DL20),DL20,DL13))</f>
        <v/>
      </c>
      <c r="DM32" s="18">
        <f>IF(DM13="","",IF(ISNUMBER(DM20),DM20,DM13))</f>
        <v/>
      </c>
      <c r="DN32" s="18">
        <f>IF(DN13="","",IF(ISNUMBER(DN20),DN20,DN13))</f>
        <v/>
      </c>
      <c r="DO32" s="18">
        <f>IF(DO13="","",IF(ISNUMBER(DO20),DO20,DO13))</f>
        <v/>
      </c>
      <c r="DP32" s="18">
        <f>IF(DP13="","",IF(ISNUMBER(DP20),DP20,DP13))</f>
        <v/>
      </c>
      <c r="DQ32" s="18">
        <f>IF(DQ13="","",IF(ISNUMBER(DQ20),DQ20,DQ13))</f>
        <v/>
      </c>
      <c r="DR32" s="18">
        <f>IF(DR13="","",IF(ISNUMBER(DR20),DR20,DR13))</f>
        <v/>
      </c>
      <c r="DS32" s="18">
        <f>IF(DS13="","",IF(ISNUMBER(DS20),DS20,DS13))</f>
        <v/>
      </c>
      <c r="DT32" s="18">
        <f>IF(DT13="","",IF(ISNUMBER(DT20),DT20,DT13))</f>
        <v/>
      </c>
      <c r="DU32" s="18">
        <f>IF(DU13="","",IF(ISNUMBER(DU20),DU20,DU13))</f>
        <v/>
      </c>
      <c r="DV32" s="18">
        <f>IF(DV13="","",IF(ISNUMBER(DV20),DV20,DV13))</f>
        <v/>
      </c>
      <c r="DW32" s="18">
        <f>IF(DW13="","",IF(ISNUMBER(DW20),DW20,DW13))</f>
        <v/>
      </c>
      <c r="DX32" s="18">
        <f>IF(DX13="","",IF(ISNUMBER(DX20),DX20,DX13))</f>
        <v/>
      </c>
      <c r="DY32" s="18">
        <f>IF(DY13="","",IF(ISNUMBER(DY20),DY20,DY13))</f>
        <v/>
      </c>
      <c r="DZ32" s="18">
        <f>IF(DZ13="","",IF(ISNUMBER(DZ20),DZ20,DZ13))</f>
        <v/>
      </c>
      <c r="EA32" s="18">
        <f>IF(EA13="","",IF(ISNUMBER(EA20),EA20,EA13))</f>
        <v/>
      </c>
      <c r="EB32" s="18">
        <f>IF(EB13="","",IF(ISNUMBER(EB20),EB20,EB13))</f>
        <v/>
      </c>
      <c r="EC32" s="18">
        <f>IF(EC13="","",IF(ISNUMBER(EC20),EC20,EC13))</f>
        <v/>
      </c>
      <c r="ED32" s="18">
        <f>IF(ED13="","",IF(ISNUMBER(ED20),ED20,ED13))</f>
        <v/>
      </c>
      <c r="EE32" s="18">
        <f>IF(EE13="","",IF(ISNUMBER(EE20),EE20,EE13))</f>
        <v/>
      </c>
      <c r="EF32" s="18">
        <f>IF(EF13="","",IF(ISNUMBER(EF20),EF20,EF13))</f>
        <v/>
      </c>
      <c r="EG32" s="18">
        <f>IF(EG13="","",IF(ISNUMBER(EG20),EG20,EG13))</f>
        <v/>
      </c>
      <c r="EH32" s="18">
        <f>IF(EH13="","",IF(ISNUMBER(EH20),EH20,EH13))</f>
        <v/>
      </c>
      <c r="EI32" s="18">
        <f>IF(EI13="","",IF(ISNUMBER(EI20),EI20,EI13))</f>
        <v/>
      </c>
      <c r="EJ32" s="18">
        <f>IF(EJ13="","",IF(ISNUMBER(EJ20),EJ20,EJ13))</f>
        <v/>
      </c>
      <c r="EK32" s="18">
        <f>IF(EK13="","",IF(ISNUMBER(EK20),EK20,EK13))</f>
        <v/>
      </c>
      <c r="EL32" s="18">
        <f>IF(EL13="","",IF(ISNUMBER(EL20),EL20,EL13))</f>
        <v/>
      </c>
      <c r="EM32" s="18">
        <f>IF(EM13="","",IF(ISNUMBER(EM20),EM20,EM13))</f>
        <v/>
      </c>
      <c r="EN32" s="18">
        <f>IF(EN13="","",IF(ISNUMBER(EN20),EN20,EN13))</f>
        <v/>
      </c>
      <c r="EO32" s="18">
        <f>IF(EO13="","",IF(ISNUMBER(EO20),EO20,EO13))</f>
        <v/>
      </c>
      <c r="EP32" s="18">
        <f>IF(EP13="","",IF(ISNUMBER(EP20),EP20,EP13))</f>
        <v/>
      </c>
      <c r="EQ32" s="18">
        <f>IF(EQ13="","",IF(ISNUMBER(EQ20),EQ20,EQ13))</f>
        <v/>
      </c>
      <c r="ER32" s="18">
        <f>IF(ER13="","",IF(ISNUMBER(ER20),ER20,ER13))</f>
        <v/>
      </c>
      <c r="ES32" s="18">
        <f>IF(ES13="","",IF(ISNUMBER(ES20),ES20,ES13))</f>
        <v/>
      </c>
      <c r="ET32" s="18">
        <f>IF(ET13="","",IF(ISNUMBER(ET20),ET20,ET13))</f>
        <v/>
      </c>
      <c r="EU32" s="18">
        <f>IF(EU13="","",IF(ISNUMBER(EU20),EU20,EU13))</f>
        <v/>
      </c>
      <c r="EV32" s="18">
        <f>IF(EV13="","",IF(ISNUMBER(EV20),EV20,EV13))</f>
        <v/>
      </c>
      <c r="EW32" s="18">
        <f>IF(EW13="","",IF(ISNUMBER(EW20),EW20,EW13))</f>
        <v/>
      </c>
      <c r="EX32" s="18">
        <f>IF(EX13="","",IF(ISNUMBER(EX20),EX20,EX13))</f>
        <v/>
      </c>
      <c r="EY32" s="18">
        <f>IF(EY13="","",IF(ISNUMBER(EY20),EY20,EY13))</f>
        <v/>
      </c>
      <c r="EZ32" s="18">
        <f>IF(EZ13="","",IF(ISNUMBER(EZ20),EZ20,EZ13))</f>
        <v/>
      </c>
      <c r="FA32" s="18">
        <f>IF(FA13="","",IF(ISNUMBER(FA20),FA20,FA13))</f>
        <v/>
      </c>
      <c r="FB32" s="18">
        <f>IF(FB13="","",IF(ISNUMBER(FB20),FB20,FB13))</f>
        <v/>
      </c>
      <c r="FC32" s="18">
        <f>IF(FC13="","",IF(ISNUMBER(FC20),FC20,FC13))</f>
        <v/>
      </c>
      <c r="FD32" s="18">
        <f>IF(FD13="","",IF(ISNUMBER(FD20),FD20,FD13))</f>
        <v/>
      </c>
      <c r="FE32" s="18">
        <f>IF(FE13="","",IF(ISNUMBER(FE20),FE20,FE13))</f>
        <v/>
      </c>
      <c r="FF32" s="18">
        <f>IF(FF13="","",IF(ISNUMBER(FF20),FF20,FF13))</f>
        <v/>
      </c>
      <c r="FG32" s="18">
        <f>IF(FG13="","",IF(ISNUMBER(FG20),FG20,FG13))</f>
        <v/>
      </c>
      <c r="FH32" s="18">
        <f>IF(FH13="","",IF(ISNUMBER(FH20),FH20,FH13))</f>
        <v/>
      </c>
      <c r="FI32" s="18">
        <f>IF(FI13="","",IF(ISNUMBER(FI20),FI20,FI13))</f>
        <v/>
      </c>
      <c r="FJ32" s="18">
        <f>IF(FJ13="","",IF(ISNUMBER(FJ20),FJ20,FJ13))</f>
        <v/>
      </c>
      <c r="FK32" s="18">
        <f>IF(FK13="","",IF(ISNUMBER(FK20),FK20,FK13))</f>
        <v/>
      </c>
      <c r="FL32" s="18">
        <f>IF(FL13="","",IF(ISNUMBER(FL20),FL20,FL13))</f>
        <v/>
      </c>
      <c r="FM32" s="18">
        <f>IF(FM13="","",IF(ISNUMBER(FM20),FM20,FM13))</f>
        <v/>
      </c>
      <c r="FN32" s="18">
        <f>IF(FN13="","",IF(ISNUMBER(FN20),FN20,FN13))</f>
        <v/>
      </c>
      <c r="FO32" s="18">
        <f>IF(FO13="","",IF(ISNUMBER(FO20),FO20,FO13))</f>
        <v/>
      </c>
      <c r="FP32" s="18">
        <f>IF(FP13="","",IF(ISNUMBER(FP20),FP20,FP13))</f>
        <v/>
      </c>
      <c r="FQ32" s="18">
        <f>IF(FQ13="","",IF(ISNUMBER(FQ20),FQ20,FQ13))</f>
        <v/>
      </c>
    </row>
    <row r="33" hidden="1">
      <c r="A33" s="25" t="inlineStr">
        <is>
          <t>FP</t>
        </is>
      </c>
      <c r="B33" s="27" t="inlineStr">
        <is>
          <t>(has level)</t>
        </is>
      </c>
      <c r="D33" s="18">
        <f>IF(ISNUMBER(D13),1,0)</f>
        <v/>
      </c>
      <c r="E33" s="18">
        <f>IF(ISNUMBER(E13),1,0)</f>
        <v/>
      </c>
      <c r="F33" s="18">
        <f>IF(ISNUMBER(F13),1,0)</f>
        <v/>
      </c>
      <c r="G33" s="18">
        <f>IF(ISNUMBER(G13),1,0)</f>
        <v/>
      </c>
      <c r="H33" s="18">
        <f>IF(ISNUMBER(H13),1,0)</f>
        <v/>
      </c>
      <c r="I33" s="18">
        <f>IF(ISNUMBER(I13),1,0)</f>
        <v/>
      </c>
      <c r="J33" s="18">
        <f>IF(ISNUMBER(J13),1,0)</f>
        <v/>
      </c>
      <c r="K33" s="18">
        <f>IF(ISNUMBER(K13),1,0)</f>
        <v/>
      </c>
      <c r="L33" s="18">
        <f>IF(ISNUMBER(L13),1,0)</f>
        <v/>
      </c>
      <c r="M33" s="18">
        <f>IF(ISNUMBER(M13),1,0)</f>
        <v/>
      </c>
      <c r="N33" s="18">
        <f>IF(ISNUMBER(N13),1,0)</f>
        <v/>
      </c>
      <c r="O33" s="18">
        <f>IF(ISNUMBER(O13),1,0)</f>
        <v/>
      </c>
      <c r="P33" s="18">
        <f>IF(ISNUMBER(P13),1,0)</f>
        <v/>
      </c>
      <c r="Q33" s="18">
        <f>IF(ISNUMBER(Q13),1,0)</f>
        <v/>
      </c>
      <c r="R33" s="18">
        <f>IF(ISNUMBER(R13),1,0)</f>
        <v/>
      </c>
      <c r="S33" s="18">
        <f>IF(ISNUMBER(S13),1,0)</f>
        <v/>
      </c>
      <c r="T33" s="18">
        <f>IF(ISNUMBER(T13),1,0)</f>
        <v/>
      </c>
      <c r="U33" s="18">
        <f>IF(ISNUMBER(U13),1,0)</f>
        <v/>
      </c>
      <c r="V33" s="18">
        <f>IF(ISNUMBER(V13),1,0)</f>
        <v/>
      </c>
      <c r="W33" s="18">
        <f>IF(ISNUMBER(W13),1,0)</f>
        <v/>
      </c>
      <c r="X33" s="18">
        <f>IF(ISNUMBER(X13),1,0)</f>
        <v/>
      </c>
      <c r="Y33" s="18">
        <f>IF(ISNUMBER(Y13),1,0)</f>
        <v/>
      </c>
      <c r="Z33" s="18">
        <f>IF(ISNUMBER(Z13),1,0)</f>
        <v/>
      </c>
      <c r="AA33" s="18">
        <f>IF(ISNUMBER(AA13),1,0)</f>
        <v/>
      </c>
      <c r="AB33" s="18">
        <f>IF(ISNUMBER(AB13),1,0)</f>
        <v/>
      </c>
      <c r="AC33" s="18">
        <f>IF(ISNUMBER(AC13),1,0)</f>
        <v/>
      </c>
      <c r="AD33" s="18">
        <f>IF(ISNUMBER(AD13),1,0)</f>
        <v/>
      </c>
      <c r="AE33" s="18">
        <f>IF(ISNUMBER(AE13),1,0)</f>
        <v/>
      </c>
      <c r="AF33" s="18">
        <f>IF(ISNUMBER(AF13),1,0)</f>
        <v/>
      </c>
      <c r="AG33" s="18">
        <f>IF(ISNUMBER(AG13),1,0)</f>
        <v/>
      </c>
      <c r="AH33" s="18">
        <f>IF(ISNUMBER(AH13),1,0)</f>
        <v/>
      </c>
      <c r="AI33" s="18">
        <f>IF(ISNUMBER(AI13),1,0)</f>
        <v/>
      </c>
      <c r="AJ33" s="18">
        <f>IF(ISNUMBER(AJ13),1,0)</f>
        <v/>
      </c>
      <c r="AK33" s="18">
        <f>IF(ISNUMBER(AK13),1,0)</f>
        <v/>
      </c>
      <c r="AL33" s="18">
        <f>IF(ISNUMBER(AL13),1,0)</f>
        <v/>
      </c>
      <c r="AM33" s="18">
        <f>IF(ISNUMBER(AM13),1,0)</f>
        <v/>
      </c>
      <c r="AN33" s="18">
        <f>IF(ISNUMBER(AN13),1,0)</f>
        <v/>
      </c>
      <c r="AO33" s="18">
        <f>IF(ISNUMBER(AO13),1,0)</f>
        <v/>
      </c>
      <c r="AP33" s="18">
        <f>IF(ISNUMBER(AP13),1,0)</f>
        <v/>
      </c>
      <c r="AQ33" s="18">
        <f>IF(ISNUMBER(AQ13),1,0)</f>
        <v/>
      </c>
      <c r="AR33" s="18">
        <f>IF(ISNUMBER(AR13),1,0)</f>
        <v/>
      </c>
      <c r="AS33" s="18">
        <f>IF(ISNUMBER(AS13),1,0)</f>
        <v/>
      </c>
      <c r="AT33" s="18">
        <f>IF(ISNUMBER(AT13),1,0)</f>
        <v/>
      </c>
      <c r="AU33" s="18">
        <f>IF(ISNUMBER(AU13),1,0)</f>
        <v/>
      </c>
      <c r="AV33" s="18">
        <f>IF(ISNUMBER(AV13),1,0)</f>
        <v/>
      </c>
      <c r="AW33" s="18">
        <f>IF(ISNUMBER(AW13),1,0)</f>
        <v/>
      </c>
      <c r="AX33" s="18">
        <f>IF(ISNUMBER(AX13),1,0)</f>
        <v/>
      </c>
      <c r="AY33" s="18">
        <f>IF(ISNUMBER(AY13),1,0)</f>
        <v/>
      </c>
      <c r="AZ33" s="18">
        <f>IF(ISNUMBER(AZ13),1,0)</f>
        <v/>
      </c>
      <c r="BA33" s="18">
        <f>IF(ISNUMBER(BA13),1,0)</f>
        <v/>
      </c>
      <c r="BB33" s="18">
        <f>IF(ISNUMBER(BB13),1,0)</f>
        <v/>
      </c>
      <c r="BC33" s="18">
        <f>IF(ISNUMBER(BC13),1,0)</f>
        <v/>
      </c>
      <c r="BD33" s="18">
        <f>IF(ISNUMBER(BD13),1,0)</f>
        <v/>
      </c>
      <c r="BE33" s="18">
        <f>IF(ISNUMBER(BE13),1,0)</f>
        <v/>
      </c>
      <c r="BF33" s="18">
        <f>IF(ISNUMBER(BF13),1,0)</f>
        <v/>
      </c>
      <c r="BG33" s="18">
        <f>IF(ISNUMBER(BG13),1,0)</f>
        <v/>
      </c>
      <c r="BH33" s="18">
        <f>IF(ISNUMBER(BH13),1,0)</f>
        <v/>
      </c>
      <c r="BI33" s="18">
        <f>IF(ISNUMBER(BI13),1,0)</f>
        <v/>
      </c>
      <c r="BJ33" s="18">
        <f>IF(ISNUMBER(BJ13),1,0)</f>
        <v/>
      </c>
      <c r="BK33" s="18">
        <f>IF(ISNUMBER(BK13),1,0)</f>
        <v/>
      </c>
      <c r="BL33" s="18">
        <f>IF(ISNUMBER(BL13),1,0)</f>
        <v/>
      </c>
      <c r="BM33" s="18">
        <f>IF(ISNUMBER(BM13),1,0)</f>
        <v/>
      </c>
      <c r="BN33" s="18">
        <f>IF(ISNUMBER(BN13),1,0)</f>
        <v/>
      </c>
      <c r="BO33" s="18">
        <f>IF(ISNUMBER(BO13),1,0)</f>
        <v/>
      </c>
      <c r="BP33" s="18">
        <f>IF(ISNUMBER(BP13),1,0)</f>
        <v/>
      </c>
      <c r="BQ33" s="18">
        <f>IF(ISNUMBER(BQ13),1,0)</f>
        <v/>
      </c>
      <c r="BR33" s="18">
        <f>IF(ISNUMBER(BR13),1,0)</f>
        <v/>
      </c>
      <c r="BS33" s="18">
        <f>IF(ISNUMBER(BS13),1,0)</f>
        <v/>
      </c>
      <c r="BT33" s="18">
        <f>IF(ISNUMBER(BT13),1,0)</f>
        <v/>
      </c>
      <c r="BU33" s="18">
        <f>IF(ISNUMBER(BU13),1,0)</f>
        <v/>
      </c>
      <c r="BV33" s="18">
        <f>IF(ISNUMBER(BV13),1,0)</f>
        <v/>
      </c>
      <c r="BW33" s="18">
        <f>IF(ISNUMBER(BW13),1,0)</f>
        <v/>
      </c>
      <c r="BX33" s="18">
        <f>IF(ISNUMBER(BX13),1,0)</f>
        <v/>
      </c>
      <c r="BY33" s="18">
        <f>IF(ISNUMBER(BY13),1,0)</f>
        <v/>
      </c>
      <c r="BZ33" s="18">
        <f>IF(ISNUMBER(BZ13),1,0)</f>
        <v/>
      </c>
      <c r="CA33" s="18">
        <f>IF(ISNUMBER(CA13),1,0)</f>
        <v/>
      </c>
      <c r="CB33" s="18">
        <f>IF(ISNUMBER(CB13),1,0)</f>
        <v/>
      </c>
      <c r="CC33" s="18">
        <f>IF(ISNUMBER(CC13),1,0)</f>
        <v/>
      </c>
      <c r="CD33" s="18">
        <f>IF(ISNUMBER(CD13),1,0)</f>
        <v/>
      </c>
      <c r="CE33" s="18">
        <f>IF(ISNUMBER(CE13),1,0)</f>
        <v/>
      </c>
      <c r="CF33" s="18">
        <f>IF(ISNUMBER(CF13),1,0)</f>
        <v/>
      </c>
      <c r="CG33" s="18">
        <f>IF(ISNUMBER(CG13),1,0)</f>
        <v/>
      </c>
      <c r="CH33" s="18">
        <f>IF(ISNUMBER(CH13),1,0)</f>
        <v/>
      </c>
      <c r="CI33" s="18">
        <f>IF(ISNUMBER(CI13),1,0)</f>
        <v/>
      </c>
      <c r="CJ33" s="18">
        <f>IF(ISNUMBER(CJ13),1,0)</f>
        <v/>
      </c>
      <c r="CK33" s="18">
        <f>IF(ISNUMBER(CK13),1,0)</f>
        <v/>
      </c>
      <c r="CL33" s="18">
        <f>IF(ISNUMBER(CL13),1,0)</f>
        <v/>
      </c>
      <c r="CM33" s="18">
        <f>IF(ISNUMBER(CM13),1,0)</f>
        <v/>
      </c>
      <c r="CN33" s="18">
        <f>IF(ISNUMBER(CN13),1,0)</f>
        <v/>
      </c>
      <c r="CO33" s="18">
        <f>IF(ISNUMBER(CO13),1,0)</f>
        <v/>
      </c>
      <c r="CP33" s="18">
        <f>IF(ISNUMBER(CP13),1,0)</f>
        <v/>
      </c>
      <c r="CQ33" s="18">
        <f>IF(ISNUMBER(CQ13),1,0)</f>
        <v/>
      </c>
      <c r="CR33" s="18">
        <f>IF(ISNUMBER(CR13),1,0)</f>
        <v/>
      </c>
      <c r="CS33" s="18">
        <f>IF(ISNUMBER(CS13),1,0)</f>
        <v/>
      </c>
      <c r="CT33" s="18">
        <f>IF(ISNUMBER(CT13),1,0)</f>
        <v/>
      </c>
      <c r="CU33" s="18">
        <f>IF(ISNUMBER(CU13),1,0)</f>
        <v/>
      </c>
      <c r="CV33" s="18">
        <f>IF(ISNUMBER(CV13),1,0)</f>
        <v/>
      </c>
      <c r="CW33" s="18">
        <f>IF(ISNUMBER(CW13),1,0)</f>
        <v/>
      </c>
      <c r="CX33" s="18">
        <f>IF(ISNUMBER(CX13),1,0)</f>
        <v/>
      </c>
      <c r="CY33" s="18">
        <f>IF(ISNUMBER(CY13),1,0)</f>
        <v/>
      </c>
      <c r="CZ33" s="18">
        <f>IF(ISNUMBER(CZ13),1,0)</f>
        <v/>
      </c>
      <c r="DA33" s="18">
        <f>IF(ISNUMBER(DA13),1,0)</f>
        <v/>
      </c>
      <c r="DB33" s="18">
        <f>IF(ISNUMBER(DB13),1,0)</f>
        <v/>
      </c>
      <c r="DC33" s="18">
        <f>IF(ISNUMBER(DC13),1,0)</f>
        <v/>
      </c>
      <c r="DD33" s="18">
        <f>IF(ISNUMBER(DD13),1,0)</f>
        <v/>
      </c>
      <c r="DE33" s="18">
        <f>IF(ISNUMBER(DE13),1,0)</f>
        <v/>
      </c>
      <c r="DF33" s="18">
        <f>IF(ISNUMBER(DF13),1,0)</f>
        <v/>
      </c>
      <c r="DG33" s="18">
        <f>IF(ISNUMBER(DG13),1,0)</f>
        <v/>
      </c>
      <c r="DH33" s="18">
        <f>IF(ISNUMBER(DH13),1,0)</f>
        <v/>
      </c>
      <c r="DI33" s="18">
        <f>IF(ISNUMBER(DI13),1,0)</f>
        <v/>
      </c>
      <c r="DJ33" s="18">
        <f>IF(ISNUMBER(DJ13),1,0)</f>
        <v/>
      </c>
      <c r="DK33" s="18">
        <f>IF(ISNUMBER(DK13),1,0)</f>
        <v/>
      </c>
      <c r="DL33" s="18">
        <f>IF(ISNUMBER(DL13),1,0)</f>
        <v/>
      </c>
      <c r="DM33" s="18">
        <f>IF(ISNUMBER(DM13),1,0)</f>
        <v/>
      </c>
      <c r="DN33" s="18">
        <f>IF(ISNUMBER(DN13),1,0)</f>
        <v/>
      </c>
      <c r="DO33" s="18">
        <f>IF(ISNUMBER(DO13),1,0)</f>
        <v/>
      </c>
      <c r="DP33" s="18">
        <f>IF(ISNUMBER(DP13),1,0)</f>
        <v/>
      </c>
      <c r="DQ33" s="18">
        <f>IF(ISNUMBER(DQ13),1,0)</f>
        <v/>
      </c>
      <c r="DR33" s="18">
        <f>IF(ISNUMBER(DR13),1,0)</f>
        <v/>
      </c>
      <c r="DS33" s="18">
        <f>IF(ISNUMBER(DS13),1,0)</f>
        <v/>
      </c>
      <c r="DT33" s="18">
        <f>IF(ISNUMBER(DT13),1,0)</f>
        <v/>
      </c>
      <c r="DU33" s="18">
        <f>IF(ISNUMBER(DU13),1,0)</f>
        <v/>
      </c>
      <c r="DV33" s="18">
        <f>IF(ISNUMBER(DV13),1,0)</f>
        <v/>
      </c>
      <c r="DW33" s="18">
        <f>IF(ISNUMBER(DW13),1,0)</f>
        <v/>
      </c>
      <c r="DX33" s="18">
        <f>IF(ISNUMBER(DX13),1,0)</f>
        <v/>
      </c>
      <c r="DY33" s="18">
        <f>IF(ISNUMBER(DY13),1,0)</f>
        <v/>
      </c>
      <c r="DZ33" s="18">
        <f>IF(ISNUMBER(DZ13),1,0)</f>
        <v/>
      </c>
      <c r="EA33" s="18">
        <f>IF(ISNUMBER(EA13),1,0)</f>
        <v/>
      </c>
      <c r="EB33" s="18">
        <f>IF(ISNUMBER(EB13),1,0)</f>
        <v/>
      </c>
      <c r="EC33" s="18">
        <f>IF(ISNUMBER(EC13),1,0)</f>
        <v/>
      </c>
      <c r="ED33" s="18">
        <f>IF(ISNUMBER(ED13),1,0)</f>
        <v/>
      </c>
      <c r="EE33" s="18">
        <f>IF(ISNUMBER(EE13),1,0)</f>
        <v/>
      </c>
      <c r="EF33" s="18">
        <f>IF(ISNUMBER(EF13),1,0)</f>
        <v/>
      </c>
      <c r="EG33" s="18">
        <f>IF(ISNUMBER(EG13),1,0)</f>
        <v/>
      </c>
      <c r="EH33" s="18">
        <f>IF(ISNUMBER(EH13),1,0)</f>
        <v/>
      </c>
      <c r="EI33" s="18">
        <f>IF(ISNUMBER(EI13),1,0)</f>
        <v/>
      </c>
      <c r="EJ33" s="18">
        <f>IF(ISNUMBER(EJ13),1,0)</f>
        <v/>
      </c>
      <c r="EK33" s="18">
        <f>IF(ISNUMBER(EK13),1,0)</f>
        <v/>
      </c>
      <c r="EL33" s="18">
        <f>IF(ISNUMBER(EL13),1,0)</f>
        <v/>
      </c>
      <c r="EM33" s="18">
        <f>IF(ISNUMBER(EM13),1,0)</f>
        <v/>
      </c>
      <c r="EN33" s="18">
        <f>IF(ISNUMBER(EN13),1,0)</f>
        <v/>
      </c>
      <c r="EO33" s="18">
        <f>IF(ISNUMBER(EO13),1,0)</f>
        <v/>
      </c>
      <c r="EP33" s="18">
        <f>IF(ISNUMBER(EP13),1,0)</f>
        <v/>
      </c>
      <c r="EQ33" s="18">
        <f>IF(ISNUMBER(EQ13),1,0)</f>
        <v/>
      </c>
      <c r="ER33" s="18">
        <f>IF(ISNUMBER(ER13),1,0)</f>
        <v/>
      </c>
      <c r="ES33" s="18">
        <f>IF(ISNUMBER(ES13),1,0)</f>
        <v/>
      </c>
      <c r="ET33" s="18">
        <f>IF(ISNUMBER(ET13),1,0)</f>
        <v/>
      </c>
      <c r="EU33" s="18">
        <f>IF(ISNUMBER(EU13),1,0)</f>
        <v/>
      </c>
      <c r="EV33" s="18">
        <f>IF(ISNUMBER(EV13),1,0)</f>
        <v/>
      </c>
      <c r="EW33" s="18">
        <f>IF(ISNUMBER(EW13),1,0)</f>
        <v/>
      </c>
      <c r="EX33" s="18">
        <f>IF(ISNUMBER(EX13),1,0)</f>
        <v/>
      </c>
      <c r="EY33" s="18">
        <f>IF(ISNUMBER(EY13),1,0)</f>
        <v/>
      </c>
      <c r="EZ33" s="18">
        <f>IF(ISNUMBER(EZ13),1,0)</f>
        <v/>
      </c>
      <c r="FA33" s="18">
        <f>IF(ISNUMBER(FA13),1,0)</f>
        <v/>
      </c>
      <c r="FB33" s="18">
        <f>IF(ISNUMBER(FB13),1,0)</f>
        <v/>
      </c>
      <c r="FC33" s="18">
        <f>IF(ISNUMBER(FC13),1,0)</f>
        <v/>
      </c>
      <c r="FD33" s="18">
        <f>IF(ISNUMBER(FD13),1,0)</f>
        <v/>
      </c>
      <c r="FE33" s="18">
        <f>IF(ISNUMBER(FE13),1,0)</f>
        <v/>
      </c>
      <c r="FF33" s="18">
        <f>IF(ISNUMBER(FF13),1,0)</f>
        <v/>
      </c>
      <c r="FG33" s="18">
        <f>IF(ISNUMBER(FG13),1,0)</f>
        <v/>
      </c>
      <c r="FH33" s="18">
        <f>IF(ISNUMBER(FH13),1,0)</f>
        <v/>
      </c>
      <c r="FI33" s="18">
        <f>IF(ISNUMBER(FI13),1,0)</f>
        <v/>
      </c>
      <c r="FJ33" s="18">
        <f>IF(ISNUMBER(FJ13),1,0)</f>
        <v/>
      </c>
      <c r="FK33" s="18">
        <f>IF(ISNUMBER(FK13),1,0)</f>
        <v/>
      </c>
      <c r="FL33" s="18">
        <f>IF(ISNUMBER(FL13),1,0)</f>
        <v/>
      </c>
      <c r="FM33" s="18">
        <f>IF(ISNUMBER(FM13),1,0)</f>
        <v/>
      </c>
      <c r="FN33" s="18">
        <f>IF(ISNUMBER(FN13),1,0)</f>
        <v/>
      </c>
      <c r="FO33" s="18">
        <f>IF(ISNUMBER(FO13),1,0)</f>
        <v/>
      </c>
      <c r="FP33" s="18">
        <f>IF(ISNUMBER(FP13),1,0)</f>
        <v/>
      </c>
      <c r="FQ33" s="18">
        <f>IF(ISNUMBER(FQ13),1,0)</f>
        <v/>
      </c>
    </row>
    <row r="36">
      <c r="A36" s="29" t="inlineStr">
        <is>
          <t>3F4D+MD</t>
        </is>
      </c>
      <c r="B36" s="30" t="inlineStr">
        <is>
          <t>3F4D+MD plot</t>
        </is>
      </c>
    </row>
    <row r="37">
      <c r="A37" s="31" t="inlineStr">
        <is>
          <t>3F4D+MD</t>
        </is>
      </c>
      <c r="B37" s="30" t="inlineStr">
        <is>
          <t>Daily m (cm) * / দৈনিক m</t>
        </is>
      </c>
      <c r="C37" s="18">
        <f>COUNT($D$37:$FQ$37)&amp;" days"</f>
        <v/>
      </c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 t="n"/>
      <c r="EG37" s="22" t="n"/>
      <c r="EH37" s="22" t="n"/>
      <c r="EI37" s="22" t="n"/>
      <c r="EJ37" s="22" t="n"/>
      <c r="EK37" s="22" t="n"/>
      <c r="EL37" s="22" t="n"/>
      <c r="EM37" s="22" t="n"/>
      <c r="EN37" s="22" t="n"/>
      <c r="EO37" s="22" t="n"/>
      <c r="EP37" s="22" t="n"/>
      <c r="EQ37" s="22" t="n"/>
      <c r="ER37" s="22" t="n"/>
      <c r="ES37" s="22" t="n"/>
      <c r="ET37" s="22" t="n"/>
      <c r="EU37" s="22" t="n"/>
      <c r="EV37" s="22" t="n"/>
      <c r="EW37" s="22" t="n"/>
      <c r="EX37" s="22" t="n"/>
      <c r="EY37" s="22" t="n"/>
      <c r="EZ37" s="22" t="n"/>
      <c r="FA37" s="22" t="n"/>
      <c r="FB37" s="22" t="n"/>
      <c r="FC37" s="22" t="n"/>
      <c r="FD37" s="22" t="n"/>
      <c r="FE37" s="22" t="n"/>
      <c r="FF37" s="22" t="n"/>
      <c r="FG37" s="22" t="n"/>
      <c r="FH37" s="22" t="n"/>
      <c r="FI37" s="22" t="n"/>
      <c r="FJ37" s="22" t="n"/>
      <c r="FK37" s="22" t="n"/>
      <c r="FL37" s="22" t="n"/>
      <c r="FM37" s="22" t="n"/>
      <c r="FN37" s="22" t="n"/>
      <c r="FO37" s="22" t="n"/>
      <c r="FP37" s="22" t="n"/>
      <c r="FQ37" s="22" t="n"/>
    </row>
    <row r="38">
      <c r="A38" s="31" t="inlineStr">
        <is>
          <t>3F4D+MD</t>
        </is>
      </c>
      <c r="B38" s="30" t="inlineStr">
        <is>
          <t>Daily water level (cm) / পানির স্তর</t>
        </is>
      </c>
      <c r="D38" s="6">
        <f>IF(OR(D1="",NOT(ISNUMBER(D37)),D39=""),"",ROUND(D37-D39+D40,1))</f>
        <v/>
      </c>
      <c r="E38" s="6">
        <f>IF(OR(E1="",NOT(ISNUMBER(E37)),E39=""),"",ROUND(E37-E39+E40,1))</f>
        <v/>
      </c>
      <c r="F38" s="6">
        <f>IF(OR(F1="",NOT(ISNUMBER(F37)),F39=""),"",ROUND(F37-F39+F40,1))</f>
        <v/>
      </c>
      <c r="G38" s="6">
        <f>IF(OR(G1="",NOT(ISNUMBER(G37)),G39=""),"",ROUND(G37-G39+G40,1))</f>
        <v/>
      </c>
      <c r="H38" s="6">
        <f>IF(OR(H1="",NOT(ISNUMBER(H37)),H39=""),"",ROUND(H37-H39+H40,1))</f>
        <v/>
      </c>
      <c r="I38" s="6">
        <f>IF(OR(I1="",NOT(ISNUMBER(I37)),I39=""),"",ROUND(I37-I39+I40,1))</f>
        <v/>
      </c>
      <c r="J38" s="6">
        <f>IF(OR(J1="",NOT(ISNUMBER(J37)),J39=""),"",ROUND(J37-J39+J40,1))</f>
        <v/>
      </c>
      <c r="K38" s="6">
        <f>IF(OR(K1="",NOT(ISNUMBER(K37)),K39=""),"",ROUND(K37-K39+K40,1))</f>
        <v/>
      </c>
      <c r="L38" s="6">
        <f>IF(OR(L1="",NOT(ISNUMBER(L37)),L39=""),"",ROUND(L37-L39+L40,1))</f>
        <v/>
      </c>
      <c r="M38" s="6">
        <f>IF(OR(M1="",NOT(ISNUMBER(M37)),M39=""),"",ROUND(M37-M39+M40,1))</f>
        <v/>
      </c>
      <c r="N38" s="6">
        <f>IF(OR(N1="",NOT(ISNUMBER(N37)),N39=""),"",ROUND(N37-N39+N40,1))</f>
        <v/>
      </c>
      <c r="O38" s="6">
        <f>IF(OR(O1="",NOT(ISNUMBER(O37)),O39=""),"",ROUND(O37-O39+O40,1))</f>
        <v/>
      </c>
      <c r="P38" s="6">
        <f>IF(OR(P1="",NOT(ISNUMBER(P37)),P39=""),"",ROUND(P37-P39+P40,1))</f>
        <v/>
      </c>
      <c r="Q38" s="6">
        <f>IF(OR(Q1="",NOT(ISNUMBER(Q37)),Q39=""),"",ROUND(Q37-Q39+Q40,1))</f>
        <v/>
      </c>
      <c r="R38" s="6">
        <f>IF(OR(R1="",NOT(ISNUMBER(R37)),R39=""),"",ROUND(R37-R39+R40,1))</f>
        <v/>
      </c>
      <c r="S38" s="6">
        <f>IF(OR(S1="",NOT(ISNUMBER(S37)),S39=""),"",ROUND(S37-S39+S40,1))</f>
        <v/>
      </c>
      <c r="T38" s="6">
        <f>IF(OR(T1="",NOT(ISNUMBER(T37)),T39=""),"",ROUND(T37-T39+T40,1))</f>
        <v/>
      </c>
      <c r="U38" s="6">
        <f>IF(OR(U1="",NOT(ISNUMBER(U37)),U39=""),"",ROUND(U37-U39+U40,1))</f>
        <v/>
      </c>
      <c r="V38" s="6">
        <f>IF(OR(V1="",NOT(ISNUMBER(V37)),V39=""),"",ROUND(V37-V39+V40,1))</f>
        <v/>
      </c>
      <c r="W38" s="6">
        <f>IF(OR(W1="",NOT(ISNUMBER(W37)),W39=""),"",ROUND(W37-W39+W40,1))</f>
        <v/>
      </c>
      <c r="X38" s="6">
        <f>IF(OR(X1="",NOT(ISNUMBER(X37)),X39=""),"",ROUND(X37-X39+X40,1))</f>
        <v/>
      </c>
      <c r="Y38" s="6">
        <f>IF(OR(Y1="",NOT(ISNUMBER(Y37)),Y39=""),"",ROUND(Y37-Y39+Y40,1))</f>
        <v/>
      </c>
      <c r="Z38" s="6">
        <f>IF(OR(Z1="",NOT(ISNUMBER(Z37)),Z39=""),"",ROUND(Z37-Z39+Z40,1))</f>
        <v/>
      </c>
      <c r="AA38" s="6">
        <f>IF(OR(AA1="",NOT(ISNUMBER(AA37)),AA39=""),"",ROUND(AA37-AA39+AA40,1))</f>
        <v/>
      </c>
      <c r="AB38" s="6">
        <f>IF(OR(AB1="",NOT(ISNUMBER(AB37)),AB39=""),"",ROUND(AB37-AB39+AB40,1))</f>
        <v/>
      </c>
      <c r="AC38" s="6">
        <f>IF(OR(AC1="",NOT(ISNUMBER(AC37)),AC39=""),"",ROUND(AC37-AC39+AC40,1))</f>
        <v/>
      </c>
      <c r="AD38" s="6">
        <f>IF(OR(AD1="",NOT(ISNUMBER(AD37)),AD39=""),"",ROUND(AD37-AD39+AD40,1))</f>
        <v/>
      </c>
      <c r="AE38" s="6">
        <f>IF(OR(AE1="",NOT(ISNUMBER(AE37)),AE39=""),"",ROUND(AE37-AE39+AE40,1))</f>
        <v/>
      </c>
      <c r="AF38" s="6">
        <f>IF(OR(AF1="",NOT(ISNUMBER(AF37)),AF39=""),"",ROUND(AF37-AF39+AF40,1))</f>
        <v/>
      </c>
      <c r="AG38" s="6">
        <f>IF(OR(AG1="",NOT(ISNUMBER(AG37)),AG39=""),"",ROUND(AG37-AG39+AG40,1))</f>
        <v/>
      </c>
      <c r="AH38" s="6">
        <f>IF(OR(AH1="",NOT(ISNUMBER(AH37)),AH39=""),"",ROUND(AH37-AH39+AH40,1))</f>
        <v/>
      </c>
      <c r="AI38" s="6">
        <f>IF(OR(AI1="",NOT(ISNUMBER(AI37)),AI39=""),"",ROUND(AI37-AI39+AI40,1))</f>
        <v/>
      </c>
      <c r="AJ38" s="6">
        <f>IF(OR(AJ1="",NOT(ISNUMBER(AJ37)),AJ39=""),"",ROUND(AJ37-AJ39+AJ40,1))</f>
        <v/>
      </c>
      <c r="AK38" s="6">
        <f>IF(OR(AK1="",NOT(ISNUMBER(AK37)),AK39=""),"",ROUND(AK37-AK39+AK40,1))</f>
        <v/>
      </c>
      <c r="AL38" s="6">
        <f>IF(OR(AL1="",NOT(ISNUMBER(AL37)),AL39=""),"",ROUND(AL37-AL39+AL40,1))</f>
        <v/>
      </c>
      <c r="AM38" s="6">
        <f>IF(OR(AM1="",NOT(ISNUMBER(AM37)),AM39=""),"",ROUND(AM37-AM39+AM40,1))</f>
        <v/>
      </c>
      <c r="AN38" s="6">
        <f>IF(OR(AN1="",NOT(ISNUMBER(AN37)),AN39=""),"",ROUND(AN37-AN39+AN40,1))</f>
        <v/>
      </c>
      <c r="AO38" s="6">
        <f>IF(OR(AO1="",NOT(ISNUMBER(AO37)),AO39=""),"",ROUND(AO37-AO39+AO40,1))</f>
        <v/>
      </c>
      <c r="AP38" s="6">
        <f>IF(OR(AP1="",NOT(ISNUMBER(AP37)),AP39=""),"",ROUND(AP37-AP39+AP40,1))</f>
        <v/>
      </c>
      <c r="AQ38" s="6">
        <f>IF(OR(AQ1="",NOT(ISNUMBER(AQ37)),AQ39=""),"",ROUND(AQ37-AQ39+AQ40,1))</f>
        <v/>
      </c>
      <c r="AR38" s="6">
        <f>IF(OR(AR1="",NOT(ISNUMBER(AR37)),AR39=""),"",ROUND(AR37-AR39+AR40,1))</f>
        <v/>
      </c>
      <c r="AS38" s="6">
        <f>IF(OR(AS1="",NOT(ISNUMBER(AS37)),AS39=""),"",ROUND(AS37-AS39+AS40,1))</f>
        <v/>
      </c>
      <c r="AT38" s="6">
        <f>IF(OR(AT1="",NOT(ISNUMBER(AT37)),AT39=""),"",ROUND(AT37-AT39+AT40,1))</f>
        <v/>
      </c>
      <c r="AU38" s="6">
        <f>IF(OR(AU1="",NOT(ISNUMBER(AU37)),AU39=""),"",ROUND(AU37-AU39+AU40,1))</f>
        <v/>
      </c>
      <c r="AV38" s="6">
        <f>IF(OR(AV1="",NOT(ISNUMBER(AV37)),AV39=""),"",ROUND(AV37-AV39+AV40,1))</f>
        <v/>
      </c>
      <c r="AW38" s="6">
        <f>IF(OR(AW1="",NOT(ISNUMBER(AW37)),AW39=""),"",ROUND(AW37-AW39+AW40,1))</f>
        <v/>
      </c>
      <c r="AX38" s="6">
        <f>IF(OR(AX1="",NOT(ISNUMBER(AX37)),AX39=""),"",ROUND(AX37-AX39+AX40,1))</f>
        <v/>
      </c>
      <c r="AY38" s="6">
        <f>IF(OR(AY1="",NOT(ISNUMBER(AY37)),AY39=""),"",ROUND(AY37-AY39+AY40,1))</f>
        <v/>
      </c>
      <c r="AZ38" s="6">
        <f>IF(OR(AZ1="",NOT(ISNUMBER(AZ37)),AZ39=""),"",ROUND(AZ37-AZ39+AZ40,1))</f>
        <v/>
      </c>
      <c r="BA38" s="6">
        <f>IF(OR(BA1="",NOT(ISNUMBER(BA37)),BA39=""),"",ROUND(BA37-BA39+BA40,1))</f>
        <v/>
      </c>
      <c r="BB38" s="6">
        <f>IF(OR(BB1="",NOT(ISNUMBER(BB37)),BB39=""),"",ROUND(BB37-BB39+BB40,1))</f>
        <v/>
      </c>
      <c r="BC38" s="6">
        <f>IF(OR(BC1="",NOT(ISNUMBER(BC37)),BC39=""),"",ROUND(BC37-BC39+BC40,1))</f>
        <v/>
      </c>
      <c r="BD38" s="6">
        <f>IF(OR(BD1="",NOT(ISNUMBER(BD37)),BD39=""),"",ROUND(BD37-BD39+BD40,1))</f>
        <v/>
      </c>
      <c r="BE38" s="6">
        <f>IF(OR(BE1="",NOT(ISNUMBER(BE37)),BE39=""),"",ROUND(BE37-BE39+BE40,1))</f>
        <v/>
      </c>
      <c r="BF38" s="6">
        <f>IF(OR(BF1="",NOT(ISNUMBER(BF37)),BF39=""),"",ROUND(BF37-BF39+BF40,1))</f>
        <v/>
      </c>
      <c r="BG38" s="6">
        <f>IF(OR(BG1="",NOT(ISNUMBER(BG37)),BG39=""),"",ROUND(BG37-BG39+BG40,1))</f>
        <v/>
      </c>
      <c r="BH38" s="6">
        <f>IF(OR(BH1="",NOT(ISNUMBER(BH37)),BH39=""),"",ROUND(BH37-BH39+BH40,1))</f>
        <v/>
      </c>
      <c r="BI38" s="6">
        <f>IF(OR(BI1="",NOT(ISNUMBER(BI37)),BI39=""),"",ROUND(BI37-BI39+BI40,1))</f>
        <v/>
      </c>
      <c r="BJ38" s="6">
        <f>IF(OR(BJ1="",NOT(ISNUMBER(BJ37)),BJ39=""),"",ROUND(BJ37-BJ39+BJ40,1))</f>
        <v/>
      </c>
      <c r="BK38" s="6">
        <f>IF(OR(BK1="",NOT(ISNUMBER(BK37)),BK39=""),"",ROUND(BK37-BK39+BK40,1))</f>
        <v/>
      </c>
      <c r="BL38" s="6">
        <f>IF(OR(BL1="",NOT(ISNUMBER(BL37)),BL39=""),"",ROUND(BL37-BL39+BL40,1))</f>
        <v/>
      </c>
      <c r="BM38" s="6">
        <f>IF(OR(BM1="",NOT(ISNUMBER(BM37)),BM39=""),"",ROUND(BM37-BM39+BM40,1))</f>
        <v/>
      </c>
      <c r="BN38" s="6">
        <f>IF(OR(BN1="",NOT(ISNUMBER(BN37)),BN39=""),"",ROUND(BN37-BN39+BN40,1))</f>
        <v/>
      </c>
      <c r="BO38" s="6">
        <f>IF(OR(BO1="",NOT(ISNUMBER(BO37)),BO39=""),"",ROUND(BO37-BO39+BO40,1))</f>
        <v/>
      </c>
      <c r="BP38" s="6">
        <f>IF(OR(BP1="",NOT(ISNUMBER(BP37)),BP39=""),"",ROUND(BP37-BP39+BP40,1))</f>
        <v/>
      </c>
      <c r="BQ38" s="6">
        <f>IF(OR(BQ1="",NOT(ISNUMBER(BQ37)),BQ39=""),"",ROUND(BQ37-BQ39+BQ40,1))</f>
        <v/>
      </c>
      <c r="BR38" s="6">
        <f>IF(OR(BR1="",NOT(ISNUMBER(BR37)),BR39=""),"",ROUND(BR37-BR39+BR40,1))</f>
        <v/>
      </c>
      <c r="BS38" s="6">
        <f>IF(OR(BS1="",NOT(ISNUMBER(BS37)),BS39=""),"",ROUND(BS37-BS39+BS40,1))</f>
        <v/>
      </c>
      <c r="BT38" s="6">
        <f>IF(OR(BT1="",NOT(ISNUMBER(BT37)),BT39=""),"",ROUND(BT37-BT39+BT40,1))</f>
        <v/>
      </c>
      <c r="BU38" s="6">
        <f>IF(OR(BU1="",NOT(ISNUMBER(BU37)),BU39=""),"",ROUND(BU37-BU39+BU40,1))</f>
        <v/>
      </c>
      <c r="BV38" s="6">
        <f>IF(OR(BV1="",NOT(ISNUMBER(BV37)),BV39=""),"",ROUND(BV37-BV39+BV40,1))</f>
        <v/>
      </c>
      <c r="BW38" s="6">
        <f>IF(OR(BW1="",NOT(ISNUMBER(BW37)),BW39=""),"",ROUND(BW37-BW39+BW40,1))</f>
        <v/>
      </c>
      <c r="BX38" s="6">
        <f>IF(OR(BX1="",NOT(ISNUMBER(BX37)),BX39=""),"",ROUND(BX37-BX39+BX40,1))</f>
        <v/>
      </c>
      <c r="BY38" s="6">
        <f>IF(OR(BY1="",NOT(ISNUMBER(BY37)),BY39=""),"",ROUND(BY37-BY39+BY40,1))</f>
        <v/>
      </c>
      <c r="BZ38" s="6">
        <f>IF(OR(BZ1="",NOT(ISNUMBER(BZ37)),BZ39=""),"",ROUND(BZ37-BZ39+BZ40,1))</f>
        <v/>
      </c>
      <c r="CA38" s="6">
        <f>IF(OR(CA1="",NOT(ISNUMBER(CA37)),CA39=""),"",ROUND(CA37-CA39+CA40,1))</f>
        <v/>
      </c>
      <c r="CB38" s="6">
        <f>IF(OR(CB1="",NOT(ISNUMBER(CB37)),CB39=""),"",ROUND(CB37-CB39+CB40,1))</f>
        <v/>
      </c>
      <c r="CC38" s="6">
        <f>IF(OR(CC1="",NOT(ISNUMBER(CC37)),CC39=""),"",ROUND(CC37-CC39+CC40,1))</f>
        <v/>
      </c>
      <c r="CD38" s="6">
        <f>IF(OR(CD1="",NOT(ISNUMBER(CD37)),CD39=""),"",ROUND(CD37-CD39+CD40,1))</f>
        <v/>
      </c>
      <c r="CE38" s="6">
        <f>IF(OR(CE1="",NOT(ISNUMBER(CE37)),CE39=""),"",ROUND(CE37-CE39+CE40,1))</f>
        <v/>
      </c>
      <c r="CF38" s="6">
        <f>IF(OR(CF1="",NOT(ISNUMBER(CF37)),CF39=""),"",ROUND(CF37-CF39+CF40,1))</f>
        <v/>
      </c>
      <c r="CG38" s="6">
        <f>IF(OR(CG1="",NOT(ISNUMBER(CG37)),CG39=""),"",ROUND(CG37-CG39+CG40,1))</f>
        <v/>
      </c>
      <c r="CH38" s="6">
        <f>IF(OR(CH1="",NOT(ISNUMBER(CH37)),CH39=""),"",ROUND(CH37-CH39+CH40,1))</f>
        <v/>
      </c>
      <c r="CI38" s="6">
        <f>IF(OR(CI1="",NOT(ISNUMBER(CI37)),CI39=""),"",ROUND(CI37-CI39+CI40,1))</f>
        <v/>
      </c>
      <c r="CJ38" s="6">
        <f>IF(OR(CJ1="",NOT(ISNUMBER(CJ37)),CJ39=""),"",ROUND(CJ37-CJ39+CJ40,1))</f>
        <v/>
      </c>
      <c r="CK38" s="6">
        <f>IF(OR(CK1="",NOT(ISNUMBER(CK37)),CK39=""),"",ROUND(CK37-CK39+CK40,1))</f>
        <v/>
      </c>
      <c r="CL38" s="6">
        <f>IF(OR(CL1="",NOT(ISNUMBER(CL37)),CL39=""),"",ROUND(CL37-CL39+CL40,1))</f>
        <v/>
      </c>
      <c r="CM38" s="6">
        <f>IF(OR(CM1="",NOT(ISNUMBER(CM37)),CM39=""),"",ROUND(CM37-CM39+CM40,1))</f>
        <v/>
      </c>
      <c r="CN38" s="6">
        <f>IF(OR(CN1="",NOT(ISNUMBER(CN37)),CN39=""),"",ROUND(CN37-CN39+CN40,1))</f>
        <v/>
      </c>
      <c r="CO38" s="6">
        <f>IF(OR(CO1="",NOT(ISNUMBER(CO37)),CO39=""),"",ROUND(CO37-CO39+CO40,1))</f>
        <v/>
      </c>
      <c r="CP38" s="6">
        <f>IF(OR(CP1="",NOT(ISNUMBER(CP37)),CP39=""),"",ROUND(CP37-CP39+CP40,1))</f>
        <v/>
      </c>
      <c r="CQ38" s="6">
        <f>IF(OR(CQ1="",NOT(ISNUMBER(CQ37)),CQ39=""),"",ROUND(CQ37-CQ39+CQ40,1))</f>
        <v/>
      </c>
      <c r="CR38" s="6">
        <f>IF(OR(CR1="",NOT(ISNUMBER(CR37)),CR39=""),"",ROUND(CR37-CR39+CR40,1))</f>
        <v/>
      </c>
      <c r="CS38" s="6">
        <f>IF(OR(CS1="",NOT(ISNUMBER(CS37)),CS39=""),"",ROUND(CS37-CS39+CS40,1))</f>
        <v/>
      </c>
      <c r="CT38" s="6">
        <f>IF(OR(CT1="",NOT(ISNUMBER(CT37)),CT39=""),"",ROUND(CT37-CT39+CT40,1))</f>
        <v/>
      </c>
      <c r="CU38" s="6">
        <f>IF(OR(CU1="",NOT(ISNUMBER(CU37)),CU39=""),"",ROUND(CU37-CU39+CU40,1))</f>
        <v/>
      </c>
      <c r="CV38" s="6">
        <f>IF(OR(CV1="",NOT(ISNUMBER(CV37)),CV39=""),"",ROUND(CV37-CV39+CV40,1))</f>
        <v/>
      </c>
      <c r="CW38" s="6">
        <f>IF(OR(CW1="",NOT(ISNUMBER(CW37)),CW39=""),"",ROUND(CW37-CW39+CW40,1))</f>
        <v/>
      </c>
      <c r="CX38" s="6">
        <f>IF(OR(CX1="",NOT(ISNUMBER(CX37)),CX39=""),"",ROUND(CX37-CX39+CX40,1))</f>
        <v/>
      </c>
      <c r="CY38" s="6">
        <f>IF(OR(CY1="",NOT(ISNUMBER(CY37)),CY39=""),"",ROUND(CY37-CY39+CY40,1))</f>
        <v/>
      </c>
      <c r="CZ38" s="6">
        <f>IF(OR(CZ1="",NOT(ISNUMBER(CZ37)),CZ39=""),"",ROUND(CZ37-CZ39+CZ40,1))</f>
        <v/>
      </c>
      <c r="DA38" s="6">
        <f>IF(OR(DA1="",NOT(ISNUMBER(DA37)),DA39=""),"",ROUND(DA37-DA39+DA40,1))</f>
        <v/>
      </c>
      <c r="DB38" s="6">
        <f>IF(OR(DB1="",NOT(ISNUMBER(DB37)),DB39=""),"",ROUND(DB37-DB39+DB40,1))</f>
        <v/>
      </c>
      <c r="DC38" s="6">
        <f>IF(OR(DC1="",NOT(ISNUMBER(DC37)),DC39=""),"",ROUND(DC37-DC39+DC40,1))</f>
        <v/>
      </c>
      <c r="DD38" s="6">
        <f>IF(OR(DD1="",NOT(ISNUMBER(DD37)),DD39=""),"",ROUND(DD37-DD39+DD40,1))</f>
        <v/>
      </c>
      <c r="DE38" s="6">
        <f>IF(OR(DE1="",NOT(ISNUMBER(DE37)),DE39=""),"",ROUND(DE37-DE39+DE40,1))</f>
        <v/>
      </c>
      <c r="DF38" s="6">
        <f>IF(OR(DF1="",NOT(ISNUMBER(DF37)),DF39=""),"",ROUND(DF37-DF39+DF40,1))</f>
        <v/>
      </c>
      <c r="DG38" s="6">
        <f>IF(OR(DG1="",NOT(ISNUMBER(DG37)),DG39=""),"",ROUND(DG37-DG39+DG40,1))</f>
        <v/>
      </c>
      <c r="DH38" s="6">
        <f>IF(OR(DH1="",NOT(ISNUMBER(DH37)),DH39=""),"",ROUND(DH37-DH39+DH40,1))</f>
        <v/>
      </c>
      <c r="DI38" s="6">
        <f>IF(OR(DI1="",NOT(ISNUMBER(DI37)),DI39=""),"",ROUND(DI37-DI39+DI40,1))</f>
        <v/>
      </c>
      <c r="DJ38" s="6">
        <f>IF(OR(DJ1="",NOT(ISNUMBER(DJ37)),DJ39=""),"",ROUND(DJ37-DJ39+DJ40,1))</f>
        <v/>
      </c>
      <c r="DK38" s="6">
        <f>IF(OR(DK1="",NOT(ISNUMBER(DK37)),DK39=""),"",ROUND(DK37-DK39+DK40,1))</f>
        <v/>
      </c>
      <c r="DL38" s="6">
        <f>IF(OR(DL1="",NOT(ISNUMBER(DL37)),DL39=""),"",ROUND(DL37-DL39+DL40,1))</f>
        <v/>
      </c>
      <c r="DM38" s="6">
        <f>IF(OR(DM1="",NOT(ISNUMBER(DM37)),DM39=""),"",ROUND(DM37-DM39+DM40,1))</f>
        <v/>
      </c>
      <c r="DN38" s="6">
        <f>IF(OR(DN1="",NOT(ISNUMBER(DN37)),DN39=""),"",ROUND(DN37-DN39+DN40,1))</f>
        <v/>
      </c>
      <c r="DO38" s="6">
        <f>IF(OR(DO1="",NOT(ISNUMBER(DO37)),DO39=""),"",ROUND(DO37-DO39+DO40,1))</f>
        <v/>
      </c>
      <c r="DP38" s="6">
        <f>IF(OR(DP1="",NOT(ISNUMBER(DP37)),DP39=""),"",ROUND(DP37-DP39+DP40,1))</f>
        <v/>
      </c>
      <c r="DQ38" s="6">
        <f>IF(OR(DQ1="",NOT(ISNUMBER(DQ37)),DQ39=""),"",ROUND(DQ37-DQ39+DQ40,1))</f>
        <v/>
      </c>
      <c r="DR38" s="6">
        <f>IF(OR(DR1="",NOT(ISNUMBER(DR37)),DR39=""),"",ROUND(DR37-DR39+DR40,1))</f>
        <v/>
      </c>
      <c r="DS38" s="6">
        <f>IF(OR(DS1="",NOT(ISNUMBER(DS37)),DS39=""),"",ROUND(DS37-DS39+DS40,1))</f>
        <v/>
      </c>
      <c r="DT38" s="6">
        <f>IF(OR(DT1="",NOT(ISNUMBER(DT37)),DT39=""),"",ROUND(DT37-DT39+DT40,1))</f>
        <v/>
      </c>
      <c r="DU38" s="6">
        <f>IF(OR(DU1="",NOT(ISNUMBER(DU37)),DU39=""),"",ROUND(DU37-DU39+DU40,1))</f>
        <v/>
      </c>
      <c r="DV38" s="6">
        <f>IF(OR(DV1="",NOT(ISNUMBER(DV37)),DV39=""),"",ROUND(DV37-DV39+DV40,1))</f>
        <v/>
      </c>
      <c r="DW38" s="6">
        <f>IF(OR(DW1="",NOT(ISNUMBER(DW37)),DW39=""),"",ROUND(DW37-DW39+DW40,1))</f>
        <v/>
      </c>
      <c r="DX38" s="6">
        <f>IF(OR(DX1="",NOT(ISNUMBER(DX37)),DX39=""),"",ROUND(DX37-DX39+DX40,1))</f>
        <v/>
      </c>
      <c r="DY38" s="6">
        <f>IF(OR(DY1="",NOT(ISNUMBER(DY37)),DY39=""),"",ROUND(DY37-DY39+DY40,1))</f>
        <v/>
      </c>
      <c r="DZ38" s="6">
        <f>IF(OR(DZ1="",NOT(ISNUMBER(DZ37)),DZ39=""),"",ROUND(DZ37-DZ39+DZ40,1))</f>
        <v/>
      </c>
      <c r="EA38" s="6">
        <f>IF(OR(EA1="",NOT(ISNUMBER(EA37)),EA39=""),"",ROUND(EA37-EA39+EA40,1))</f>
        <v/>
      </c>
      <c r="EB38" s="6">
        <f>IF(OR(EB1="",NOT(ISNUMBER(EB37)),EB39=""),"",ROUND(EB37-EB39+EB40,1))</f>
        <v/>
      </c>
      <c r="EC38" s="6">
        <f>IF(OR(EC1="",NOT(ISNUMBER(EC37)),EC39=""),"",ROUND(EC37-EC39+EC40,1))</f>
        <v/>
      </c>
      <c r="ED38" s="6">
        <f>IF(OR(ED1="",NOT(ISNUMBER(ED37)),ED39=""),"",ROUND(ED37-ED39+ED40,1))</f>
        <v/>
      </c>
      <c r="EE38" s="6">
        <f>IF(OR(EE1="",NOT(ISNUMBER(EE37)),EE39=""),"",ROUND(EE37-EE39+EE40,1))</f>
        <v/>
      </c>
      <c r="EF38" s="6">
        <f>IF(OR(EF1="",NOT(ISNUMBER(EF37)),EF39=""),"",ROUND(EF37-EF39+EF40,1))</f>
        <v/>
      </c>
      <c r="EG38" s="6">
        <f>IF(OR(EG1="",NOT(ISNUMBER(EG37)),EG39=""),"",ROUND(EG37-EG39+EG40,1))</f>
        <v/>
      </c>
      <c r="EH38" s="6">
        <f>IF(OR(EH1="",NOT(ISNUMBER(EH37)),EH39=""),"",ROUND(EH37-EH39+EH40,1))</f>
        <v/>
      </c>
      <c r="EI38" s="6">
        <f>IF(OR(EI1="",NOT(ISNUMBER(EI37)),EI39=""),"",ROUND(EI37-EI39+EI40,1))</f>
        <v/>
      </c>
      <c r="EJ38" s="6">
        <f>IF(OR(EJ1="",NOT(ISNUMBER(EJ37)),EJ39=""),"",ROUND(EJ37-EJ39+EJ40,1))</f>
        <v/>
      </c>
      <c r="EK38" s="6">
        <f>IF(OR(EK1="",NOT(ISNUMBER(EK37)),EK39=""),"",ROUND(EK37-EK39+EK40,1))</f>
        <v/>
      </c>
      <c r="EL38" s="6">
        <f>IF(OR(EL1="",NOT(ISNUMBER(EL37)),EL39=""),"",ROUND(EL37-EL39+EL40,1))</f>
        <v/>
      </c>
      <c r="EM38" s="6">
        <f>IF(OR(EM1="",NOT(ISNUMBER(EM37)),EM39=""),"",ROUND(EM37-EM39+EM40,1))</f>
        <v/>
      </c>
      <c r="EN38" s="6">
        <f>IF(OR(EN1="",NOT(ISNUMBER(EN37)),EN39=""),"",ROUND(EN37-EN39+EN40,1))</f>
        <v/>
      </c>
      <c r="EO38" s="6">
        <f>IF(OR(EO1="",NOT(ISNUMBER(EO37)),EO39=""),"",ROUND(EO37-EO39+EO40,1))</f>
        <v/>
      </c>
      <c r="EP38" s="6">
        <f>IF(OR(EP1="",NOT(ISNUMBER(EP37)),EP39=""),"",ROUND(EP37-EP39+EP40,1))</f>
        <v/>
      </c>
      <c r="EQ38" s="6">
        <f>IF(OR(EQ1="",NOT(ISNUMBER(EQ37)),EQ39=""),"",ROUND(EQ37-EQ39+EQ40,1))</f>
        <v/>
      </c>
      <c r="ER38" s="6">
        <f>IF(OR(ER1="",NOT(ISNUMBER(ER37)),ER39=""),"",ROUND(ER37-ER39+ER40,1))</f>
        <v/>
      </c>
      <c r="ES38" s="6">
        <f>IF(OR(ES1="",NOT(ISNUMBER(ES37)),ES39=""),"",ROUND(ES37-ES39+ES40,1))</f>
        <v/>
      </c>
      <c r="ET38" s="6">
        <f>IF(OR(ET1="",NOT(ISNUMBER(ET37)),ET39=""),"",ROUND(ET37-ET39+ET40,1))</f>
        <v/>
      </c>
      <c r="EU38" s="6">
        <f>IF(OR(EU1="",NOT(ISNUMBER(EU37)),EU39=""),"",ROUND(EU37-EU39+EU40,1))</f>
        <v/>
      </c>
      <c r="EV38" s="6">
        <f>IF(OR(EV1="",NOT(ISNUMBER(EV37)),EV39=""),"",ROUND(EV37-EV39+EV40,1))</f>
        <v/>
      </c>
      <c r="EW38" s="6">
        <f>IF(OR(EW1="",NOT(ISNUMBER(EW37)),EW39=""),"",ROUND(EW37-EW39+EW40,1))</f>
        <v/>
      </c>
      <c r="EX38" s="6">
        <f>IF(OR(EX1="",NOT(ISNUMBER(EX37)),EX39=""),"",ROUND(EX37-EX39+EX40,1))</f>
        <v/>
      </c>
      <c r="EY38" s="6">
        <f>IF(OR(EY1="",NOT(ISNUMBER(EY37)),EY39=""),"",ROUND(EY37-EY39+EY40,1))</f>
        <v/>
      </c>
      <c r="EZ38" s="6">
        <f>IF(OR(EZ1="",NOT(ISNUMBER(EZ37)),EZ39=""),"",ROUND(EZ37-EZ39+EZ40,1))</f>
        <v/>
      </c>
      <c r="FA38" s="6">
        <f>IF(OR(FA1="",NOT(ISNUMBER(FA37)),FA39=""),"",ROUND(FA37-FA39+FA40,1))</f>
        <v/>
      </c>
      <c r="FB38" s="6">
        <f>IF(OR(FB1="",NOT(ISNUMBER(FB37)),FB39=""),"",ROUND(FB37-FB39+FB40,1))</f>
        <v/>
      </c>
      <c r="FC38" s="6">
        <f>IF(OR(FC1="",NOT(ISNUMBER(FC37)),FC39=""),"",ROUND(FC37-FC39+FC40,1))</f>
        <v/>
      </c>
      <c r="FD38" s="6">
        <f>IF(OR(FD1="",NOT(ISNUMBER(FD37)),FD39=""),"",ROUND(FD37-FD39+FD40,1))</f>
        <v/>
      </c>
      <c r="FE38" s="6">
        <f>IF(OR(FE1="",NOT(ISNUMBER(FE37)),FE39=""),"",ROUND(FE37-FE39+FE40,1))</f>
        <v/>
      </c>
      <c r="FF38" s="6">
        <f>IF(OR(FF1="",NOT(ISNUMBER(FF37)),FF39=""),"",ROUND(FF37-FF39+FF40,1))</f>
        <v/>
      </c>
      <c r="FG38" s="6">
        <f>IF(OR(FG1="",NOT(ISNUMBER(FG37)),FG39=""),"",ROUND(FG37-FG39+FG40,1))</f>
        <v/>
      </c>
      <c r="FH38" s="6">
        <f>IF(OR(FH1="",NOT(ISNUMBER(FH37)),FH39=""),"",ROUND(FH37-FH39+FH40,1))</f>
        <v/>
      </c>
      <c r="FI38" s="6">
        <f>IF(OR(FI1="",NOT(ISNUMBER(FI37)),FI39=""),"",ROUND(FI37-FI39+FI40,1))</f>
        <v/>
      </c>
      <c r="FJ38" s="6">
        <f>IF(OR(FJ1="",NOT(ISNUMBER(FJ37)),FJ39=""),"",ROUND(FJ37-FJ39+FJ40,1))</f>
        <v/>
      </c>
      <c r="FK38" s="6">
        <f>IF(OR(FK1="",NOT(ISNUMBER(FK37)),FK39=""),"",ROUND(FK37-FK39+FK40,1))</f>
        <v/>
      </c>
      <c r="FL38" s="6">
        <f>IF(OR(FL1="",NOT(ISNUMBER(FL37)),FL39=""),"",ROUND(FL37-FL39+FL40,1))</f>
        <v/>
      </c>
      <c r="FM38" s="6">
        <f>IF(OR(FM1="",NOT(ISNUMBER(FM37)),FM39=""),"",ROUND(FM37-FM39+FM40,1))</f>
        <v/>
      </c>
      <c r="FN38" s="6">
        <f>IF(OR(FN1="",NOT(ISNUMBER(FN37)),FN39=""),"",ROUND(FN37-FN39+FN40,1))</f>
        <v/>
      </c>
      <c r="FO38" s="6">
        <f>IF(OR(FO1="",NOT(ISNUMBER(FO37)),FO39=""),"",ROUND(FO37-FO39+FO40,1))</f>
        <v/>
      </c>
      <c r="FP38" s="6">
        <f>IF(OR(FP1="",NOT(ISNUMBER(FP37)),FP39=""),"",ROUND(FP37-FP39+FP40,1))</f>
        <v/>
      </c>
      <c r="FQ38" s="6">
        <f>IF(OR(FQ1="",NOT(ISNUMBER(FQ37)),FQ39=""),"",ROUND(FQ37-FQ39+FQ40,1))</f>
        <v/>
      </c>
    </row>
    <row r="39">
      <c r="A39" s="31" t="inlineStr">
        <is>
          <t>3F4D+MD</t>
        </is>
      </c>
      <c r="B39" s="30" t="inlineStr">
        <is>
          <t>TP (cm)</t>
        </is>
      </c>
      <c r="D39" s="6">
        <f>IF(D56="","",AVERAGEIFS('TP-b'!$C$3:$C$60,'TP-b'!$A$3:$A$60,"3F4D+MD",'TP-b'!$B$3:$B$60,D56,'TP-b'!$E$3:$E$60,1))</f>
        <v/>
      </c>
      <c r="E39" s="6">
        <f>IF(E56="","",AVERAGEIFS('TP-b'!$C$3:$C$60,'TP-b'!$A$3:$A$60,"3F4D+MD",'TP-b'!$B$3:$B$60,E56,'TP-b'!$E$3:$E$60,1))</f>
        <v/>
      </c>
      <c r="F39" s="6">
        <f>IF(F56="","",AVERAGEIFS('TP-b'!$C$3:$C$60,'TP-b'!$A$3:$A$60,"3F4D+MD",'TP-b'!$B$3:$B$60,F56,'TP-b'!$E$3:$E$60,1))</f>
        <v/>
      </c>
      <c r="G39" s="6">
        <f>IF(G56="","",AVERAGEIFS('TP-b'!$C$3:$C$60,'TP-b'!$A$3:$A$60,"3F4D+MD",'TP-b'!$B$3:$B$60,G56,'TP-b'!$E$3:$E$60,1))</f>
        <v/>
      </c>
      <c r="H39" s="6">
        <f>IF(H56="","",AVERAGEIFS('TP-b'!$C$3:$C$60,'TP-b'!$A$3:$A$60,"3F4D+MD",'TP-b'!$B$3:$B$60,H56,'TP-b'!$E$3:$E$60,1))</f>
        <v/>
      </c>
      <c r="I39" s="6">
        <f>IF(I56="","",AVERAGEIFS('TP-b'!$C$3:$C$60,'TP-b'!$A$3:$A$60,"3F4D+MD",'TP-b'!$B$3:$B$60,I56,'TP-b'!$E$3:$E$60,1))</f>
        <v/>
      </c>
      <c r="J39" s="6">
        <f>IF(J56="","",AVERAGEIFS('TP-b'!$C$3:$C$60,'TP-b'!$A$3:$A$60,"3F4D+MD",'TP-b'!$B$3:$B$60,J56,'TP-b'!$E$3:$E$60,1))</f>
        <v/>
      </c>
      <c r="K39" s="6">
        <f>IF(K56="","",AVERAGEIFS('TP-b'!$C$3:$C$60,'TP-b'!$A$3:$A$60,"3F4D+MD",'TP-b'!$B$3:$B$60,K56,'TP-b'!$E$3:$E$60,1))</f>
        <v/>
      </c>
      <c r="L39" s="6">
        <f>IF(L56="","",AVERAGEIFS('TP-b'!$C$3:$C$60,'TP-b'!$A$3:$A$60,"3F4D+MD",'TP-b'!$B$3:$B$60,L56,'TP-b'!$E$3:$E$60,1))</f>
        <v/>
      </c>
      <c r="M39" s="6">
        <f>IF(M56="","",AVERAGEIFS('TP-b'!$C$3:$C$60,'TP-b'!$A$3:$A$60,"3F4D+MD",'TP-b'!$B$3:$B$60,M56,'TP-b'!$E$3:$E$60,1))</f>
        <v/>
      </c>
      <c r="N39" s="6">
        <f>IF(N56="","",AVERAGEIFS('TP-b'!$C$3:$C$60,'TP-b'!$A$3:$A$60,"3F4D+MD",'TP-b'!$B$3:$B$60,N56,'TP-b'!$E$3:$E$60,1))</f>
        <v/>
      </c>
      <c r="O39" s="6">
        <f>IF(O56="","",AVERAGEIFS('TP-b'!$C$3:$C$60,'TP-b'!$A$3:$A$60,"3F4D+MD",'TP-b'!$B$3:$B$60,O56,'TP-b'!$E$3:$E$60,1))</f>
        <v/>
      </c>
      <c r="P39" s="6">
        <f>IF(P56="","",AVERAGEIFS('TP-b'!$C$3:$C$60,'TP-b'!$A$3:$A$60,"3F4D+MD",'TP-b'!$B$3:$B$60,P56,'TP-b'!$E$3:$E$60,1))</f>
        <v/>
      </c>
      <c r="Q39" s="6">
        <f>IF(Q56="","",AVERAGEIFS('TP-b'!$C$3:$C$60,'TP-b'!$A$3:$A$60,"3F4D+MD",'TP-b'!$B$3:$B$60,Q56,'TP-b'!$E$3:$E$60,1))</f>
        <v/>
      </c>
      <c r="R39" s="6">
        <f>IF(R56="","",AVERAGEIFS('TP-b'!$C$3:$C$60,'TP-b'!$A$3:$A$60,"3F4D+MD",'TP-b'!$B$3:$B$60,R56,'TP-b'!$E$3:$E$60,1))</f>
        <v/>
      </c>
      <c r="S39" s="6">
        <f>IF(S56="","",AVERAGEIFS('TP-b'!$C$3:$C$60,'TP-b'!$A$3:$A$60,"3F4D+MD",'TP-b'!$B$3:$B$60,S56,'TP-b'!$E$3:$E$60,1))</f>
        <v/>
      </c>
      <c r="T39" s="6">
        <f>IF(T56="","",AVERAGEIFS('TP-b'!$C$3:$C$60,'TP-b'!$A$3:$A$60,"3F4D+MD",'TP-b'!$B$3:$B$60,T56,'TP-b'!$E$3:$E$60,1))</f>
        <v/>
      </c>
      <c r="U39" s="6">
        <f>IF(U56="","",AVERAGEIFS('TP-b'!$C$3:$C$60,'TP-b'!$A$3:$A$60,"3F4D+MD",'TP-b'!$B$3:$B$60,U56,'TP-b'!$E$3:$E$60,1))</f>
        <v/>
      </c>
      <c r="V39" s="6">
        <f>IF(V56="","",AVERAGEIFS('TP-b'!$C$3:$C$60,'TP-b'!$A$3:$A$60,"3F4D+MD",'TP-b'!$B$3:$B$60,V56,'TP-b'!$E$3:$E$60,1))</f>
        <v/>
      </c>
      <c r="W39" s="6">
        <f>IF(W56="","",AVERAGEIFS('TP-b'!$C$3:$C$60,'TP-b'!$A$3:$A$60,"3F4D+MD",'TP-b'!$B$3:$B$60,W56,'TP-b'!$E$3:$E$60,1))</f>
        <v/>
      </c>
      <c r="X39" s="6">
        <f>IF(X56="","",AVERAGEIFS('TP-b'!$C$3:$C$60,'TP-b'!$A$3:$A$60,"3F4D+MD",'TP-b'!$B$3:$B$60,X56,'TP-b'!$E$3:$E$60,1))</f>
        <v/>
      </c>
      <c r="Y39" s="6">
        <f>IF(Y56="","",AVERAGEIFS('TP-b'!$C$3:$C$60,'TP-b'!$A$3:$A$60,"3F4D+MD",'TP-b'!$B$3:$B$60,Y56,'TP-b'!$E$3:$E$60,1))</f>
        <v/>
      </c>
      <c r="Z39" s="6">
        <f>IF(Z56="","",AVERAGEIFS('TP-b'!$C$3:$C$60,'TP-b'!$A$3:$A$60,"3F4D+MD",'TP-b'!$B$3:$B$60,Z56,'TP-b'!$E$3:$E$60,1))</f>
        <v/>
      </c>
      <c r="AA39" s="6">
        <f>IF(AA56="","",AVERAGEIFS('TP-b'!$C$3:$C$60,'TP-b'!$A$3:$A$60,"3F4D+MD",'TP-b'!$B$3:$B$60,AA56,'TP-b'!$E$3:$E$60,1))</f>
        <v/>
      </c>
      <c r="AB39" s="6">
        <f>IF(AB56="","",AVERAGEIFS('TP-b'!$C$3:$C$60,'TP-b'!$A$3:$A$60,"3F4D+MD",'TP-b'!$B$3:$B$60,AB56,'TP-b'!$E$3:$E$60,1))</f>
        <v/>
      </c>
      <c r="AC39" s="6">
        <f>IF(AC56="","",AVERAGEIFS('TP-b'!$C$3:$C$60,'TP-b'!$A$3:$A$60,"3F4D+MD",'TP-b'!$B$3:$B$60,AC56,'TP-b'!$E$3:$E$60,1))</f>
        <v/>
      </c>
      <c r="AD39" s="6">
        <f>IF(AD56="","",AVERAGEIFS('TP-b'!$C$3:$C$60,'TP-b'!$A$3:$A$60,"3F4D+MD",'TP-b'!$B$3:$B$60,AD56,'TP-b'!$E$3:$E$60,1))</f>
        <v/>
      </c>
      <c r="AE39" s="6">
        <f>IF(AE56="","",AVERAGEIFS('TP-b'!$C$3:$C$60,'TP-b'!$A$3:$A$60,"3F4D+MD",'TP-b'!$B$3:$B$60,AE56,'TP-b'!$E$3:$E$60,1))</f>
        <v/>
      </c>
      <c r="AF39" s="6">
        <f>IF(AF56="","",AVERAGEIFS('TP-b'!$C$3:$C$60,'TP-b'!$A$3:$A$60,"3F4D+MD",'TP-b'!$B$3:$B$60,AF56,'TP-b'!$E$3:$E$60,1))</f>
        <v/>
      </c>
      <c r="AG39" s="6">
        <f>IF(AG56="","",AVERAGEIFS('TP-b'!$C$3:$C$60,'TP-b'!$A$3:$A$60,"3F4D+MD",'TP-b'!$B$3:$B$60,AG56,'TP-b'!$E$3:$E$60,1))</f>
        <v/>
      </c>
      <c r="AH39" s="6">
        <f>IF(AH56="","",AVERAGEIFS('TP-b'!$C$3:$C$60,'TP-b'!$A$3:$A$60,"3F4D+MD",'TP-b'!$B$3:$B$60,AH56,'TP-b'!$E$3:$E$60,1))</f>
        <v/>
      </c>
      <c r="AI39" s="6">
        <f>IF(AI56="","",AVERAGEIFS('TP-b'!$C$3:$C$60,'TP-b'!$A$3:$A$60,"3F4D+MD",'TP-b'!$B$3:$B$60,AI56,'TP-b'!$E$3:$E$60,1))</f>
        <v/>
      </c>
      <c r="AJ39" s="6">
        <f>IF(AJ56="","",AVERAGEIFS('TP-b'!$C$3:$C$60,'TP-b'!$A$3:$A$60,"3F4D+MD",'TP-b'!$B$3:$B$60,AJ56,'TP-b'!$E$3:$E$60,1))</f>
        <v/>
      </c>
      <c r="AK39" s="6">
        <f>IF(AK56="","",AVERAGEIFS('TP-b'!$C$3:$C$60,'TP-b'!$A$3:$A$60,"3F4D+MD",'TP-b'!$B$3:$B$60,AK56,'TP-b'!$E$3:$E$60,1))</f>
        <v/>
      </c>
      <c r="AL39" s="6">
        <f>IF(AL56="","",AVERAGEIFS('TP-b'!$C$3:$C$60,'TP-b'!$A$3:$A$60,"3F4D+MD",'TP-b'!$B$3:$B$60,AL56,'TP-b'!$E$3:$E$60,1))</f>
        <v/>
      </c>
      <c r="AM39" s="6">
        <f>IF(AM56="","",AVERAGEIFS('TP-b'!$C$3:$C$60,'TP-b'!$A$3:$A$60,"3F4D+MD",'TP-b'!$B$3:$B$60,AM56,'TP-b'!$E$3:$E$60,1))</f>
        <v/>
      </c>
      <c r="AN39" s="6">
        <f>IF(AN56="","",AVERAGEIFS('TP-b'!$C$3:$C$60,'TP-b'!$A$3:$A$60,"3F4D+MD",'TP-b'!$B$3:$B$60,AN56,'TP-b'!$E$3:$E$60,1))</f>
        <v/>
      </c>
      <c r="AO39" s="6">
        <f>IF(AO56="","",AVERAGEIFS('TP-b'!$C$3:$C$60,'TP-b'!$A$3:$A$60,"3F4D+MD",'TP-b'!$B$3:$B$60,AO56,'TP-b'!$E$3:$E$60,1))</f>
        <v/>
      </c>
      <c r="AP39" s="6">
        <f>IF(AP56="","",AVERAGEIFS('TP-b'!$C$3:$C$60,'TP-b'!$A$3:$A$60,"3F4D+MD",'TP-b'!$B$3:$B$60,AP56,'TP-b'!$E$3:$E$60,1))</f>
        <v/>
      </c>
      <c r="AQ39" s="6">
        <f>IF(AQ56="","",AVERAGEIFS('TP-b'!$C$3:$C$60,'TP-b'!$A$3:$A$60,"3F4D+MD",'TP-b'!$B$3:$B$60,AQ56,'TP-b'!$E$3:$E$60,1))</f>
        <v/>
      </c>
      <c r="AR39" s="6">
        <f>IF(AR56="","",AVERAGEIFS('TP-b'!$C$3:$C$60,'TP-b'!$A$3:$A$60,"3F4D+MD",'TP-b'!$B$3:$B$60,AR56,'TP-b'!$E$3:$E$60,1))</f>
        <v/>
      </c>
      <c r="AS39" s="6">
        <f>IF(AS56="","",AVERAGEIFS('TP-b'!$C$3:$C$60,'TP-b'!$A$3:$A$60,"3F4D+MD",'TP-b'!$B$3:$B$60,AS56,'TP-b'!$E$3:$E$60,1))</f>
        <v/>
      </c>
      <c r="AT39" s="6">
        <f>IF(AT56="","",AVERAGEIFS('TP-b'!$C$3:$C$60,'TP-b'!$A$3:$A$60,"3F4D+MD",'TP-b'!$B$3:$B$60,AT56,'TP-b'!$E$3:$E$60,1))</f>
        <v/>
      </c>
      <c r="AU39" s="6">
        <f>IF(AU56="","",AVERAGEIFS('TP-b'!$C$3:$C$60,'TP-b'!$A$3:$A$60,"3F4D+MD",'TP-b'!$B$3:$B$60,AU56,'TP-b'!$E$3:$E$60,1))</f>
        <v/>
      </c>
      <c r="AV39" s="6">
        <f>IF(AV56="","",AVERAGEIFS('TP-b'!$C$3:$C$60,'TP-b'!$A$3:$A$60,"3F4D+MD",'TP-b'!$B$3:$B$60,AV56,'TP-b'!$E$3:$E$60,1))</f>
        <v/>
      </c>
      <c r="AW39" s="6">
        <f>IF(AW56="","",AVERAGEIFS('TP-b'!$C$3:$C$60,'TP-b'!$A$3:$A$60,"3F4D+MD",'TP-b'!$B$3:$B$60,AW56,'TP-b'!$E$3:$E$60,1))</f>
        <v/>
      </c>
      <c r="AX39" s="6">
        <f>IF(AX56="","",AVERAGEIFS('TP-b'!$C$3:$C$60,'TP-b'!$A$3:$A$60,"3F4D+MD",'TP-b'!$B$3:$B$60,AX56,'TP-b'!$E$3:$E$60,1))</f>
        <v/>
      </c>
      <c r="AY39" s="6">
        <f>IF(AY56="","",AVERAGEIFS('TP-b'!$C$3:$C$60,'TP-b'!$A$3:$A$60,"3F4D+MD",'TP-b'!$B$3:$B$60,AY56,'TP-b'!$E$3:$E$60,1))</f>
        <v/>
      </c>
      <c r="AZ39" s="6">
        <f>IF(AZ56="","",AVERAGEIFS('TP-b'!$C$3:$C$60,'TP-b'!$A$3:$A$60,"3F4D+MD",'TP-b'!$B$3:$B$60,AZ56,'TP-b'!$E$3:$E$60,1))</f>
        <v/>
      </c>
      <c r="BA39" s="6">
        <f>IF(BA56="","",AVERAGEIFS('TP-b'!$C$3:$C$60,'TP-b'!$A$3:$A$60,"3F4D+MD",'TP-b'!$B$3:$B$60,BA56,'TP-b'!$E$3:$E$60,1))</f>
        <v/>
      </c>
      <c r="BB39" s="6">
        <f>IF(BB56="","",AVERAGEIFS('TP-b'!$C$3:$C$60,'TP-b'!$A$3:$A$60,"3F4D+MD",'TP-b'!$B$3:$B$60,BB56,'TP-b'!$E$3:$E$60,1))</f>
        <v/>
      </c>
      <c r="BC39" s="6">
        <f>IF(BC56="","",AVERAGEIFS('TP-b'!$C$3:$C$60,'TP-b'!$A$3:$A$60,"3F4D+MD",'TP-b'!$B$3:$B$60,BC56,'TP-b'!$E$3:$E$60,1))</f>
        <v/>
      </c>
      <c r="BD39" s="6">
        <f>IF(BD56="","",AVERAGEIFS('TP-b'!$C$3:$C$60,'TP-b'!$A$3:$A$60,"3F4D+MD",'TP-b'!$B$3:$B$60,BD56,'TP-b'!$E$3:$E$60,1))</f>
        <v/>
      </c>
      <c r="BE39" s="6">
        <f>IF(BE56="","",AVERAGEIFS('TP-b'!$C$3:$C$60,'TP-b'!$A$3:$A$60,"3F4D+MD",'TP-b'!$B$3:$B$60,BE56,'TP-b'!$E$3:$E$60,1))</f>
        <v/>
      </c>
      <c r="BF39" s="6">
        <f>IF(BF56="","",AVERAGEIFS('TP-b'!$C$3:$C$60,'TP-b'!$A$3:$A$60,"3F4D+MD",'TP-b'!$B$3:$B$60,BF56,'TP-b'!$E$3:$E$60,1))</f>
        <v/>
      </c>
      <c r="BG39" s="6">
        <f>IF(BG56="","",AVERAGEIFS('TP-b'!$C$3:$C$60,'TP-b'!$A$3:$A$60,"3F4D+MD",'TP-b'!$B$3:$B$60,BG56,'TP-b'!$E$3:$E$60,1))</f>
        <v/>
      </c>
      <c r="BH39" s="6">
        <f>IF(BH56="","",AVERAGEIFS('TP-b'!$C$3:$C$60,'TP-b'!$A$3:$A$60,"3F4D+MD",'TP-b'!$B$3:$B$60,BH56,'TP-b'!$E$3:$E$60,1))</f>
        <v/>
      </c>
      <c r="BI39" s="6">
        <f>IF(BI56="","",AVERAGEIFS('TP-b'!$C$3:$C$60,'TP-b'!$A$3:$A$60,"3F4D+MD",'TP-b'!$B$3:$B$60,BI56,'TP-b'!$E$3:$E$60,1))</f>
        <v/>
      </c>
      <c r="BJ39" s="6">
        <f>IF(BJ56="","",AVERAGEIFS('TP-b'!$C$3:$C$60,'TP-b'!$A$3:$A$60,"3F4D+MD",'TP-b'!$B$3:$B$60,BJ56,'TP-b'!$E$3:$E$60,1))</f>
        <v/>
      </c>
      <c r="BK39" s="6">
        <f>IF(BK56="","",AVERAGEIFS('TP-b'!$C$3:$C$60,'TP-b'!$A$3:$A$60,"3F4D+MD",'TP-b'!$B$3:$B$60,BK56,'TP-b'!$E$3:$E$60,1))</f>
        <v/>
      </c>
      <c r="BL39" s="6">
        <f>IF(BL56="","",AVERAGEIFS('TP-b'!$C$3:$C$60,'TP-b'!$A$3:$A$60,"3F4D+MD",'TP-b'!$B$3:$B$60,BL56,'TP-b'!$E$3:$E$60,1))</f>
        <v/>
      </c>
      <c r="BM39" s="6">
        <f>IF(BM56="","",AVERAGEIFS('TP-b'!$C$3:$C$60,'TP-b'!$A$3:$A$60,"3F4D+MD",'TP-b'!$B$3:$B$60,BM56,'TP-b'!$E$3:$E$60,1))</f>
        <v/>
      </c>
      <c r="BN39" s="6">
        <f>IF(BN56="","",AVERAGEIFS('TP-b'!$C$3:$C$60,'TP-b'!$A$3:$A$60,"3F4D+MD",'TP-b'!$B$3:$B$60,BN56,'TP-b'!$E$3:$E$60,1))</f>
        <v/>
      </c>
      <c r="BO39" s="6">
        <f>IF(BO56="","",AVERAGEIFS('TP-b'!$C$3:$C$60,'TP-b'!$A$3:$A$60,"3F4D+MD",'TP-b'!$B$3:$B$60,BO56,'TP-b'!$E$3:$E$60,1))</f>
        <v/>
      </c>
      <c r="BP39" s="6">
        <f>IF(BP56="","",AVERAGEIFS('TP-b'!$C$3:$C$60,'TP-b'!$A$3:$A$60,"3F4D+MD",'TP-b'!$B$3:$B$60,BP56,'TP-b'!$E$3:$E$60,1))</f>
        <v/>
      </c>
      <c r="BQ39" s="6">
        <f>IF(BQ56="","",AVERAGEIFS('TP-b'!$C$3:$C$60,'TP-b'!$A$3:$A$60,"3F4D+MD",'TP-b'!$B$3:$B$60,BQ56,'TP-b'!$E$3:$E$60,1))</f>
        <v/>
      </c>
      <c r="BR39" s="6">
        <f>IF(BR56="","",AVERAGEIFS('TP-b'!$C$3:$C$60,'TP-b'!$A$3:$A$60,"3F4D+MD",'TP-b'!$B$3:$B$60,BR56,'TP-b'!$E$3:$E$60,1))</f>
        <v/>
      </c>
      <c r="BS39" s="6">
        <f>IF(BS56="","",AVERAGEIFS('TP-b'!$C$3:$C$60,'TP-b'!$A$3:$A$60,"3F4D+MD",'TP-b'!$B$3:$B$60,BS56,'TP-b'!$E$3:$E$60,1))</f>
        <v/>
      </c>
      <c r="BT39" s="6">
        <f>IF(BT56="","",AVERAGEIFS('TP-b'!$C$3:$C$60,'TP-b'!$A$3:$A$60,"3F4D+MD",'TP-b'!$B$3:$B$60,BT56,'TP-b'!$E$3:$E$60,1))</f>
        <v/>
      </c>
      <c r="BU39" s="6">
        <f>IF(BU56="","",AVERAGEIFS('TP-b'!$C$3:$C$60,'TP-b'!$A$3:$A$60,"3F4D+MD",'TP-b'!$B$3:$B$60,BU56,'TP-b'!$E$3:$E$60,1))</f>
        <v/>
      </c>
      <c r="BV39" s="6">
        <f>IF(BV56="","",AVERAGEIFS('TP-b'!$C$3:$C$60,'TP-b'!$A$3:$A$60,"3F4D+MD",'TP-b'!$B$3:$B$60,BV56,'TP-b'!$E$3:$E$60,1))</f>
        <v/>
      </c>
      <c r="BW39" s="6">
        <f>IF(BW56="","",AVERAGEIFS('TP-b'!$C$3:$C$60,'TP-b'!$A$3:$A$60,"3F4D+MD",'TP-b'!$B$3:$B$60,BW56,'TP-b'!$E$3:$E$60,1))</f>
        <v/>
      </c>
      <c r="BX39" s="6">
        <f>IF(BX56="","",AVERAGEIFS('TP-b'!$C$3:$C$60,'TP-b'!$A$3:$A$60,"3F4D+MD",'TP-b'!$B$3:$B$60,BX56,'TP-b'!$E$3:$E$60,1))</f>
        <v/>
      </c>
      <c r="BY39" s="6">
        <f>IF(BY56="","",AVERAGEIFS('TP-b'!$C$3:$C$60,'TP-b'!$A$3:$A$60,"3F4D+MD",'TP-b'!$B$3:$B$60,BY56,'TP-b'!$E$3:$E$60,1))</f>
        <v/>
      </c>
      <c r="BZ39" s="6">
        <f>IF(BZ56="","",AVERAGEIFS('TP-b'!$C$3:$C$60,'TP-b'!$A$3:$A$60,"3F4D+MD",'TP-b'!$B$3:$B$60,BZ56,'TP-b'!$E$3:$E$60,1))</f>
        <v/>
      </c>
      <c r="CA39" s="6">
        <f>IF(CA56="","",AVERAGEIFS('TP-b'!$C$3:$C$60,'TP-b'!$A$3:$A$60,"3F4D+MD",'TP-b'!$B$3:$B$60,CA56,'TP-b'!$E$3:$E$60,1))</f>
        <v/>
      </c>
      <c r="CB39" s="6">
        <f>IF(CB56="","",AVERAGEIFS('TP-b'!$C$3:$C$60,'TP-b'!$A$3:$A$60,"3F4D+MD",'TP-b'!$B$3:$B$60,CB56,'TP-b'!$E$3:$E$60,1))</f>
        <v/>
      </c>
      <c r="CC39" s="6">
        <f>IF(CC56="","",AVERAGEIFS('TP-b'!$C$3:$C$60,'TP-b'!$A$3:$A$60,"3F4D+MD",'TP-b'!$B$3:$B$60,CC56,'TP-b'!$E$3:$E$60,1))</f>
        <v/>
      </c>
      <c r="CD39" s="6">
        <f>IF(CD56="","",AVERAGEIFS('TP-b'!$C$3:$C$60,'TP-b'!$A$3:$A$60,"3F4D+MD",'TP-b'!$B$3:$B$60,CD56,'TP-b'!$E$3:$E$60,1))</f>
        <v/>
      </c>
      <c r="CE39" s="6">
        <f>IF(CE56="","",AVERAGEIFS('TP-b'!$C$3:$C$60,'TP-b'!$A$3:$A$60,"3F4D+MD",'TP-b'!$B$3:$B$60,CE56,'TP-b'!$E$3:$E$60,1))</f>
        <v/>
      </c>
      <c r="CF39" s="6">
        <f>IF(CF56="","",AVERAGEIFS('TP-b'!$C$3:$C$60,'TP-b'!$A$3:$A$60,"3F4D+MD",'TP-b'!$B$3:$B$60,CF56,'TP-b'!$E$3:$E$60,1))</f>
        <v/>
      </c>
      <c r="CG39" s="6">
        <f>IF(CG56="","",AVERAGEIFS('TP-b'!$C$3:$C$60,'TP-b'!$A$3:$A$60,"3F4D+MD",'TP-b'!$B$3:$B$60,CG56,'TP-b'!$E$3:$E$60,1))</f>
        <v/>
      </c>
      <c r="CH39" s="6">
        <f>IF(CH56="","",AVERAGEIFS('TP-b'!$C$3:$C$60,'TP-b'!$A$3:$A$60,"3F4D+MD",'TP-b'!$B$3:$B$60,CH56,'TP-b'!$E$3:$E$60,1))</f>
        <v/>
      </c>
      <c r="CI39" s="6">
        <f>IF(CI56="","",AVERAGEIFS('TP-b'!$C$3:$C$60,'TP-b'!$A$3:$A$60,"3F4D+MD",'TP-b'!$B$3:$B$60,CI56,'TP-b'!$E$3:$E$60,1))</f>
        <v/>
      </c>
      <c r="CJ39" s="6">
        <f>IF(CJ56="","",AVERAGEIFS('TP-b'!$C$3:$C$60,'TP-b'!$A$3:$A$60,"3F4D+MD",'TP-b'!$B$3:$B$60,CJ56,'TP-b'!$E$3:$E$60,1))</f>
        <v/>
      </c>
      <c r="CK39" s="6">
        <f>IF(CK56="","",AVERAGEIFS('TP-b'!$C$3:$C$60,'TP-b'!$A$3:$A$60,"3F4D+MD",'TP-b'!$B$3:$B$60,CK56,'TP-b'!$E$3:$E$60,1))</f>
        <v/>
      </c>
      <c r="CL39" s="6">
        <f>IF(CL56="","",AVERAGEIFS('TP-b'!$C$3:$C$60,'TP-b'!$A$3:$A$60,"3F4D+MD",'TP-b'!$B$3:$B$60,CL56,'TP-b'!$E$3:$E$60,1))</f>
        <v/>
      </c>
      <c r="CM39" s="6">
        <f>IF(CM56="","",AVERAGEIFS('TP-b'!$C$3:$C$60,'TP-b'!$A$3:$A$60,"3F4D+MD",'TP-b'!$B$3:$B$60,CM56,'TP-b'!$E$3:$E$60,1))</f>
        <v/>
      </c>
      <c r="CN39" s="6">
        <f>IF(CN56="","",AVERAGEIFS('TP-b'!$C$3:$C$60,'TP-b'!$A$3:$A$60,"3F4D+MD",'TP-b'!$B$3:$B$60,CN56,'TP-b'!$E$3:$E$60,1))</f>
        <v/>
      </c>
      <c r="CO39" s="6">
        <f>IF(CO56="","",AVERAGEIFS('TP-b'!$C$3:$C$60,'TP-b'!$A$3:$A$60,"3F4D+MD",'TP-b'!$B$3:$B$60,CO56,'TP-b'!$E$3:$E$60,1))</f>
        <v/>
      </c>
      <c r="CP39" s="6">
        <f>IF(CP56="","",AVERAGEIFS('TP-b'!$C$3:$C$60,'TP-b'!$A$3:$A$60,"3F4D+MD",'TP-b'!$B$3:$B$60,CP56,'TP-b'!$E$3:$E$60,1))</f>
        <v/>
      </c>
      <c r="CQ39" s="6">
        <f>IF(CQ56="","",AVERAGEIFS('TP-b'!$C$3:$C$60,'TP-b'!$A$3:$A$60,"3F4D+MD",'TP-b'!$B$3:$B$60,CQ56,'TP-b'!$E$3:$E$60,1))</f>
        <v/>
      </c>
      <c r="CR39" s="6">
        <f>IF(CR56="","",AVERAGEIFS('TP-b'!$C$3:$C$60,'TP-b'!$A$3:$A$60,"3F4D+MD",'TP-b'!$B$3:$B$60,CR56,'TP-b'!$E$3:$E$60,1))</f>
        <v/>
      </c>
      <c r="CS39" s="6">
        <f>IF(CS56="","",AVERAGEIFS('TP-b'!$C$3:$C$60,'TP-b'!$A$3:$A$60,"3F4D+MD",'TP-b'!$B$3:$B$60,CS56,'TP-b'!$E$3:$E$60,1))</f>
        <v/>
      </c>
      <c r="CT39" s="6">
        <f>IF(CT56="","",AVERAGEIFS('TP-b'!$C$3:$C$60,'TP-b'!$A$3:$A$60,"3F4D+MD",'TP-b'!$B$3:$B$60,CT56,'TP-b'!$E$3:$E$60,1))</f>
        <v/>
      </c>
      <c r="CU39" s="6">
        <f>IF(CU56="","",AVERAGEIFS('TP-b'!$C$3:$C$60,'TP-b'!$A$3:$A$60,"3F4D+MD",'TP-b'!$B$3:$B$60,CU56,'TP-b'!$E$3:$E$60,1))</f>
        <v/>
      </c>
      <c r="CV39" s="6">
        <f>IF(CV56="","",AVERAGEIFS('TP-b'!$C$3:$C$60,'TP-b'!$A$3:$A$60,"3F4D+MD",'TP-b'!$B$3:$B$60,CV56,'TP-b'!$E$3:$E$60,1))</f>
        <v/>
      </c>
      <c r="CW39" s="6">
        <f>IF(CW56="","",AVERAGEIFS('TP-b'!$C$3:$C$60,'TP-b'!$A$3:$A$60,"3F4D+MD",'TP-b'!$B$3:$B$60,CW56,'TP-b'!$E$3:$E$60,1))</f>
        <v/>
      </c>
      <c r="CX39" s="6">
        <f>IF(CX56="","",AVERAGEIFS('TP-b'!$C$3:$C$60,'TP-b'!$A$3:$A$60,"3F4D+MD",'TP-b'!$B$3:$B$60,CX56,'TP-b'!$E$3:$E$60,1))</f>
        <v/>
      </c>
      <c r="CY39" s="6">
        <f>IF(CY56="","",AVERAGEIFS('TP-b'!$C$3:$C$60,'TP-b'!$A$3:$A$60,"3F4D+MD",'TP-b'!$B$3:$B$60,CY56,'TP-b'!$E$3:$E$60,1))</f>
        <v/>
      </c>
      <c r="CZ39" s="6">
        <f>IF(CZ56="","",AVERAGEIFS('TP-b'!$C$3:$C$60,'TP-b'!$A$3:$A$60,"3F4D+MD",'TP-b'!$B$3:$B$60,CZ56,'TP-b'!$E$3:$E$60,1))</f>
        <v/>
      </c>
      <c r="DA39" s="6">
        <f>IF(DA56="","",AVERAGEIFS('TP-b'!$C$3:$C$60,'TP-b'!$A$3:$A$60,"3F4D+MD",'TP-b'!$B$3:$B$60,DA56,'TP-b'!$E$3:$E$60,1))</f>
        <v/>
      </c>
      <c r="DB39" s="6">
        <f>IF(DB56="","",AVERAGEIFS('TP-b'!$C$3:$C$60,'TP-b'!$A$3:$A$60,"3F4D+MD",'TP-b'!$B$3:$B$60,DB56,'TP-b'!$E$3:$E$60,1))</f>
        <v/>
      </c>
      <c r="DC39" s="6">
        <f>IF(DC56="","",AVERAGEIFS('TP-b'!$C$3:$C$60,'TP-b'!$A$3:$A$60,"3F4D+MD",'TP-b'!$B$3:$B$60,DC56,'TP-b'!$E$3:$E$60,1))</f>
        <v/>
      </c>
      <c r="DD39" s="6">
        <f>IF(DD56="","",AVERAGEIFS('TP-b'!$C$3:$C$60,'TP-b'!$A$3:$A$60,"3F4D+MD",'TP-b'!$B$3:$B$60,DD56,'TP-b'!$E$3:$E$60,1))</f>
        <v/>
      </c>
      <c r="DE39" s="6">
        <f>IF(DE56="","",AVERAGEIFS('TP-b'!$C$3:$C$60,'TP-b'!$A$3:$A$60,"3F4D+MD",'TP-b'!$B$3:$B$60,DE56,'TP-b'!$E$3:$E$60,1))</f>
        <v/>
      </c>
      <c r="DF39" s="6">
        <f>IF(DF56="","",AVERAGEIFS('TP-b'!$C$3:$C$60,'TP-b'!$A$3:$A$60,"3F4D+MD",'TP-b'!$B$3:$B$60,DF56,'TP-b'!$E$3:$E$60,1))</f>
        <v/>
      </c>
      <c r="DG39" s="6">
        <f>IF(DG56="","",AVERAGEIFS('TP-b'!$C$3:$C$60,'TP-b'!$A$3:$A$60,"3F4D+MD",'TP-b'!$B$3:$B$60,DG56,'TP-b'!$E$3:$E$60,1))</f>
        <v/>
      </c>
      <c r="DH39" s="6">
        <f>IF(DH56="","",AVERAGEIFS('TP-b'!$C$3:$C$60,'TP-b'!$A$3:$A$60,"3F4D+MD",'TP-b'!$B$3:$B$60,DH56,'TP-b'!$E$3:$E$60,1))</f>
        <v/>
      </c>
      <c r="DI39" s="6">
        <f>IF(DI56="","",AVERAGEIFS('TP-b'!$C$3:$C$60,'TP-b'!$A$3:$A$60,"3F4D+MD",'TP-b'!$B$3:$B$60,DI56,'TP-b'!$E$3:$E$60,1))</f>
        <v/>
      </c>
      <c r="DJ39" s="6">
        <f>IF(DJ56="","",AVERAGEIFS('TP-b'!$C$3:$C$60,'TP-b'!$A$3:$A$60,"3F4D+MD",'TP-b'!$B$3:$B$60,DJ56,'TP-b'!$E$3:$E$60,1))</f>
        <v/>
      </c>
      <c r="DK39" s="6">
        <f>IF(DK56="","",AVERAGEIFS('TP-b'!$C$3:$C$60,'TP-b'!$A$3:$A$60,"3F4D+MD",'TP-b'!$B$3:$B$60,DK56,'TP-b'!$E$3:$E$60,1))</f>
        <v/>
      </c>
      <c r="DL39" s="6">
        <f>IF(DL56="","",AVERAGEIFS('TP-b'!$C$3:$C$60,'TP-b'!$A$3:$A$60,"3F4D+MD",'TP-b'!$B$3:$B$60,DL56,'TP-b'!$E$3:$E$60,1))</f>
        <v/>
      </c>
      <c r="DM39" s="6">
        <f>IF(DM56="","",AVERAGEIFS('TP-b'!$C$3:$C$60,'TP-b'!$A$3:$A$60,"3F4D+MD",'TP-b'!$B$3:$B$60,DM56,'TP-b'!$E$3:$E$60,1))</f>
        <v/>
      </c>
      <c r="DN39" s="6">
        <f>IF(DN56="","",AVERAGEIFS('TP-b'!$C$3:$C$60,'TP-b'!$A$3:$A$60,"3F4D+MD",'TP-b'!$B$3:$B$60,DN56,'TP-b'!$E$3:$E$60,1))</f>
        <v/>
      </c>
      <c r="DO39" s="6">
        <f>IF(DO56="","",AVERAGEIFS('TP-b'!$C$3:$C$60,'TP-b'!$A$3:$A$60,"3F4D+MD",'TP-b'!$B$3:$B$60,DO56,'TP-b'!$E$3:$E$60,1))</f>
        <v/>
      </c>
      <c r="DP39" s="6">
        <f>IF(DP56="","",AVERAGEIFS('TP-b'!$C$3:$C$60,'TP-b'!$A$3:$A$60,"3F4D+MD",'TP-b'!$B$3:$B$60,DP56,'TP-b'!$E$3:$E$60,1))</f>
        <v/>
      </c>
      <c r="DQ39" s="6">
        <f>IF(DQ56="","",AVERAGEIFS('TP-b'!$C$3:$C$60,'TP-b'!$A$3:$A$60,"3F4D+MD",'TP-b'!$B$3:$B$60,DQ56,'TP-b'!$E$3:$E$60,1))</f>
        <v/>
      </c>
      <c r="DR39" s="6">
        <f>IF(DR56="","",AVERAGEIFS('TP-b'!$C$3:$C$60,'TP-b'!$A$3:$A$60,"3F4D+MD",'TP-b'!$B$3:$B$60,DR56,'TP-b'!$E$3:$E$60,1))</f>
        <v/>
      </c>
      <c r="DS39" s="6">
        <f>IF(DS56="","",AVERAGEIFS('TP-b'!$C$3:$C$60,'TP-b'!$A$3:$A$60,"3F4D+MD",'TP-b'!$B$3:$B$60,DS56,'TP-b'!$E$3:$E$60,1))</f>
        <v/>
      </c>
      <c r="DT39" s="6">
        <f>IF(DT56="","",AVERAGEIFS('TP-b'!$C$3:$C$60,'TP-b'!$A$3:$A$60,"3F4D+MD",'TP-b'!$B$3:$B$60,DT56,'TP-b'!$E$3:$E$60,1))</f>
        <v/>
      </c>
      <c r="DU39" s="6">
        <f>IF(DU56="","",AVERAGEIFS('TP-b'!$C$3:$C$60,'TP-b'!$A$3:$A$60,"3F4D+MD",'TP-b'!$B$3:$B$60,DU56,'TP-b'!$E$3:$E$60,1))</f>
        <v/>
      </c>
      <c r="DV39" s="6">
        <f>IF(DV56="","",AVERAGEIFS('TP-b'!$C$3:$C$60,'TP-b'!$A$3:$A$60,"3F4D+MD",'TP-b'!$B$3:$B$60,DV56,'TP-b'!$E$3:$E$60,1))</f>
        <v/>
      </c>
      <c r="DW39" s="6">
        <f>IF(DW56="","",AVERAGEIFS('TP-b'!$C$3:$C$60,'TP-b'!$A$3:$A$60,"3F4D+MD",'TP-b'!$B$3:$B$60,DW56,'TP-b'!$E$3:$E$60,1))</f>
        <v/>
      </c>
      <c r="DX39" s="6">
        <f>IF(DX56="","",AVERAGEIFS('TP-b'!$C$3:$C$60,'TP-b'!$A$3:$A$60,"3F4D+MD",'TP-b'!$B$3:$B$60,DX56,'TP-b'!$E$3:$E$60,1))</f>
        <v/>
      </c>
      <c r="DY39" s="6">
        <f>IF(DY56="","",AVERAGEIFS('TP-b'!$C$3:$C$60,'TP-b'!$A$3:$A$60,"3F4D+MD",'TP-b'!$B$3:$B$60,DY56,'TP-b'!$E$3:$E$60,1))</f>
        <v/>
      </c>
      <c r="DZ39" s="6">
        <f>IF(DZ56="","",AVERAGEIFS('TP-b'!$C$3:$C$60,'TP-b'!$A$3:$A$60,"3F4D+MD",'TP-b'!$B$3:$B$60,DZ56,'TP-b'!$E$3:$E$60,1))</f>
        <v/>
      </c>
      <c r="EA39" s="6">
        <f>IF(EA56="","",AVERAGEIFS('TP-b'!$C$3:$C$60,'TP-b'!$A$3:$A$60,"3F4D+MD",'TP-b'!$B$3:$B$60,EA56,'TP-b'!$E$3:$E$60,1))</f>
        <v/>
      </c>
      <c r="EB39" s="6">
        <f>IF(EB56="","",AVERAGEIFS('TP-b'!$C$3:$C$60,'TP-b'!$A$3:$A$60,"3F4D+MD",'TP-b'!$B$3:$B$60,EB56,'TP-b'!$E$3:$E$60,1))</f>
        <v/>
      </c>
      <c r="EC39" s="6">
        <f>IF(EC56="","",AVERAGEIFS('TP-b'!$C$3:$C$60,'TP-b'!$A$3:$A$60,"3F4D+MD",'TP-b'!$B$3:$B$60,EC56,'TP-b'!$E$3:$E$60,1))</f>
        <v/>
      </c>
      <c r="ED39" s="6">
        <f>IF(ED56="","",AVERAGEIFS('TP-b'!$C$3:$C$60,'TP-b'!$A$3:$A$60,"3F4D+MD",'TP-b'!$B$3:$B$60,ED56,'TP-b'!$E$3:$E$60,1))</f>
        <v/>
      </c>
      <c r="EE39" s="6">
        <f>IF(EE56="","",AVERAGEIFS('TP-b'!$C$3:$C$60,'TP-b'!$A$3:$A$60,"3F4D+MD",'TP-b'!$B$3:$B$60,EE56,'TP-b'!$E$3:$E$60,1))</f>
        <v/>
      </c>
      <c r="EF39" s="6">
        <f>IF(EF56="","",AVERAGEIFS('TP-b'!$C$3:$C$60,'TP-b'!$A$3:$A$60,"3F4D+MD",'TP-b'!$B$3:$B$60,EF56,'TP-b'!$E$3:$E$60,1))</f>
        <v/>
      </c>
      <c r="EG39" s="6">
        <f>IF(EG56="","",AVERAGEIFS('TP-b'!$C$3:$C$60,'TP-b'!$A$3:$A$60,"3F4D+MD",'TP-b'!$B$3:$B$60,EG56,'TP-b'!$E$3:$E$60,1))</f>
        <v/>
      </c>
      <c r="EH39" s="6">
        <f>IF(EH56="","",AVERAGEIFS('TP-b'!$C$3:$C$60,'TP-b'!$A$3:$A$60,"3F4D+MD",'TP-b'!$B$3:$B$60,EH56,'TP-b'!$E$3:$E$60,1))</f>
        <v/>
      </c>
      <c r="EI39" s="6">
        <f>IF(EI56="","",AVERAGEIFS('TP-b'!$C$3:$C$60,'TP-b'!$A$3:$A$60,"3F4D+MD",'TP-b'!$B$3:$B$60,EI56,'TP-b'!$E$3:$E$60,1))</f>
        <v/>
      </c>
      <c r="EJ39" s="6">
        <f>IF(EJ56="","",AVERAGEIFS('TP-b'!$C$3:$C$60,'TP-b'!$A$3:$A$60,"3F4D+MD",'TP-b'!$B$3:$B$60,EJ56,'TP-b'!$E$3:$E$60,1))</f>
        <v/>
      </c>
      <c r="EK39" s="6">
        <f>IF(EK56="","",AVERAGEIFS('TP-b'!$C$3:$C$60,'TP-b'!$A$3:$A$60,"3F4D+MD",'TP-b'!$B$3:$B$60,EK56,'TP-b'!$E$3:$E$60,1))</f>
        <v/>
      </c>
      <c r="EL39" s="6">
        <f>IF(EL56="","",AVERAGEIFS('TP-b'!$C$3:$C$60,'TP-b'!$A$3:$A$60,"3F4D+MD",'TP-b'!$B$3:$B$60,EL56,'TP-b'!$E$3:$E$60,1))</f>
        <v/>
      </c>
      <c r="EM39" s="6">
        <f>IF(EM56="","",AVERAGEIFS('TP-b'!$C$3:$C$60,'TP-b'!$A$3:$A$60,"3F4D+MD",'TP-b'!$B$3:$B$60,EM56,'TP-b'!$E$3:$E$60,1))</f>
        <v/>
      </c>
      <c r="EN39" s="6">
        <f>IF(EN56="","",AVERAGEIFS('TP-b'!$C$3:$C$60,'TP-b'!$A$3:$A$60,"3F4D+MD",'TP-b'!$B$3:$B$60,EN56,'TP-b'!$E$3:$E$60,1))</f>
        <v/>
      </c>
      <c r="EO39" s="6">
        <f>IF(EO56="","",AVERAGEIFS('TP-b'!$C$3:$C$60,'TP-b'!$A$3:$A$60,"3F4D+MD",'TP-b'!$B$3:$B$60,EO56,'TP-b'!$E$3:$E$60,1))</f>
        <v/>
      </c>
      <c r="EP39" s="6">
        <f>IF(EP56="","",AVERAGEIFS('TP-b'!$C$3:$C$60,'TP-b'!$A$3:$A$60,"3F4D+MD",'TP-b'!$B$3:$B$60,EP56,'TP-b'!$E$3:$E$60,1))</f>
        <v/>
      </c>
      <c r="EQ39" s="6">
        <f>IF(EQ56="","",AVERAGEIFS('TP-b'!$C$3:$C$60,'TP-b'!$A$3:$A$60,"3F4D+MD",'TP-b'!$B$3:$B$60,EQ56,'TP-b'!$E$3:$E$60,1))</f>
        <v/>
      </c>
      <c r="ER39" s="6">
        <f>IF(ER56="","",AVERAGEIFS('TP-b'!$C$3:$C$60,'TP-b'!$A$3:$A$60,"3F4D+MD",'TP-b'!$B$3:$B$60,ER56,'TP-b'!$E$3:$E$60,1))</f>
        <v/>
      </c>
      <c r="ES39" s="6">
        <f>IF(ES56="","",AVERAGEIFS('TP-b'!$C$3:$C$60,'TP-b'!$A$3:$A$60,"3F4D+MD",'TP-b'!$B$3:$B$60,ES56,'TP-b'!$E$3:$E$60,1))</f>
        <v/>
      </c>
      <c r="ET39" s="6">
        <f>IF(ET56="","",AVERAGEIFS('TP-b'!$C$3:$C$60,'TP-b'!$A$3:$A$60,"3F4D+MD",'TP-b'!$B$3:$B$60,ET56,'TP-b'!$E$3:$E$60,1))</f>
        <v/>
      </c>
      <c r="EU39" s="6">
        <f>IF(EU56="","",AVERAGEIFS('TP-b'!$C$3:$C$60,'TP-b'!$A$3:$A$60,"3F4D+MD",'TP-b'!$B$3:$B$60,EU56,'TP-b'!$E$3:$E$60,1))</f>
        <v/>
      </c>
      <c r="EV39" s="6">
        <f>IF(EV56="","",AVERAGEIFS('TP-b'!$C$3:$C$60,'TP-b'!$A$3:$A$60,"3F4D+MD",'TP-b'!$B$3:$B$60,EV56,'TP-b'!$E$3:$E$60,1))</f>
        <v/>
      </c>
      <c r="EW39" s="6">
        <f>IF(EW56="","",AVERAGEIFS('TP-b'!$C$3:$C$60,'TP-b'!$A$3:$A$60,"3F4D+MD",'TP-b'!$B$3:$B$60,EW56,'TP-b'!$E$3:$E$60,1))</f>
        <v/>
      </c>
      <c r="EX39" s="6">
        <f>IF(EX56="","",AVERAGEIFS('TP-b'!$C$3:$C$60,'TP-b'!$A$3:$A$60,"3F4D+MD",'TP-b'!$B$3:$B$60,EX56,'TP-b'!$E$3:$E$60,1))</f>
        <v/>
      </c>
      <c r="EY39" s="6">
        <f>IF(EY56="","",AVERAGEIFS('TP-b'!$C$3:$C$60,'TP-b'!$A$3:$A$60,"3F4D+MD",'TP-b'!$B$3:$B$60,EY56,'TP-b'!$E$3:$E$60,1))</f>
        <v/>
      </c>
      <c r="EZ39" s="6">
        <f>IF(EZ56="","",AVERAGEIFS('TP-b'!$C$3:$C$60,'TP-b'!$A$3:$A$60,"3F4D+MD",'TP-b'!$B$3:$B$60,EZ56,'TP-b'!$E$3:$E$60,1))</f>
        <v/>
      </c>
      <c r="FA39" s="6">
        <f>IF(FA56="","",AVERAGEIFS('TP-b'!$C$3:$C$60,'TP-b'!$A$3:$A$60,"3F4D+MD",'TP-b'!$B$3:$B$60,FA56,'TP-b'!$E$3:$E$60,1))</f>
        <v/>
      </c>
      <c r="FB39" s="6">
        <f>IF(FB56="","",AVERAGEIFS('TP-b'!$C$3:$C$60,'TP-b'!$A$3:$A$60,"3F4D+MD",'TP-b'!$B$3:$B$60,FB56,'TP-b'!$E$3:$E$60,1))</f>
        <v/>
      </c>
      <c r="FC39" s="6">
        <f>IF(FC56="","",AVERAGEIFS('TP-b'!$C$3:$C$60,'TP-b'!$A$3:$A$60,"3F4D+MD",'TP-b'!$B$3:$B$60,FC56,'TP-b'!$E$3:$E$60,1))</f>
        <v/>
      </c>
      <c r="FD39" s="6">
        <f>IF(FD56="","",AVERAGEIFS('TP-b'!$C$3:$C$60,'TP-b'!$A$3:$A$60,"3F4D+MD",'TP-b'!$B$3:$B$60,FD56,'TP-b'!$E$3:$E$60,1))</f>
        <v/>
      </c>
      <c r="FE39" s="6">
        <f>IF(FE56="","",AVERAGEIFS('TP-b'!$C$3:$C$60,'TP-b'!$A$3:$A$60,"3F4D+MD",'TP-b'!$B$3:$B$60,FE56,'TP-b'!$E$3:$E$60,1))</f>
        <v/>
      </c>
      <c r="FF39" s="6">
        <f>IF(FF56="","",AVERAGEIFS('TP-b'!$C$3:$C$60,'TP-b'!$A$3:$A$60,"3F4D+MD",'TP-b'!$B$3:$B$60,FF56,'TP-b'!$E$3:$E$60,1))</f>
        <v/>
      </c>
      <c r="FG39" s="6">
        <f>IF(FG56="","",AVERAGEIFS('TP-b'!$C$3:$C$60,'TP-b'!$A$3:$A$60,"3F4D+MD",'TP-b'!$B$3:$B$60,FG56,'TP-b'!$E$3:$E$60,1))</f>
        <v/>
      </c>
      <c r="FH39" s="6">
        <f>IF(FH56="","",AVERAGEIFS('TP-b'!$C$3:$C$60,'TP-b'!$A$3:$A$60,"3F4D+MD",'TP-b'!$B$3:$B$60,FH56,'TP-b'!$E$3:$E$60,1))</f>
        <v/>
      </c>
      <c r="FI39" s="6">
        <f>IF(FI56="","",AVERAGEIFS('TP-b'!$C$3:$C$60,'TP-b'!$A$3:$A$60,"3F4D+MD",'TP-b'!$B$3:$B$60,FI56,'TP-b'!$E$3:$E$60,1))</f>
        <v/>
      </c>
      <c r="FJ39" s="6">
        <f>IF(FJ56="","",AVERAGEIFS('TP-b'!$C$3:$C$60,'TP-b'!$A$3:$A$60,"3F4D+MD",'TP-b'!$B$3:$B$60,FJ56,'TP-b'!$E$3:$E$60,1))</f>
        <v/>
      </c>
      <c r="FK39" s="6">
        <f>IF(FK56="","",AVERAGEIFS('TP-b'!$C$3:$C$60,'TP-b'!$A$3:$A$60,"3F4D+MD",'TP-b'!$B$3:$B$60,FK56,'TP-b'!$E$3:$E$60,1))</f>
        <v/>
      </c>
      <c r="FL39" s="6">
        <f>IF(FL56="","",AVERAGEIFS('TP-b'!$C$3:$C$60,'TP-b'!$A$3:$A$60,"3F4D+MD",'TP-b'!$B$3:$B$60,FL56,'TP-b'!$E$3:$E$60,1))</f>
        <v/>
      </c>
      <c r="FM39" s="6">
        <f>IF(FM56="","",AVERAGEIFS('TP-b'!$C$3:$C$60,'TP-b'!$A$3:$A$60,"3F4D+MD",'TP-b'!$B$3:$B$60,FM56,'TP-b'!$E$3:$E$60,1))</f>
        <v/>
      </c>
      <c r="FN39" s="6">
        <f>IF(FN56="","",AVERAGEIFS('TP-b'!$C$3:$C$60,'TP-b'!$A$3:$A$60,"3F4D+MD",'TP-b'!$B$3:$B$60,FN56,'TP-b'!$E$3:$E$60,1))</f>
        <v/>
      </c>
      <c r="FO39" s="6">
        <f>IF(FO56="","",AVERAGEIFS('TP-b'!$C$3:$C$60,'TP-b'!$A$3:$A$60,"3F4D+MD",'TP-b'!$B$3:$B$60,FO56,'TP-b'!$E$3:$E$60,1))</f>
        <v/>
      </c>
      <c r="FP39" s="6">
        <f>IF(FP56="","",AVERAGEIFS('TP-b'!$C$3:$C$60,'TP-b'!$A$3:$A$60,"3F4D+MD",'TP-b'!$B$3:$B$60,FP56,'TP-b'!$E$3:$E$60,1))</f>
        <v/>
      </c>
      <c r="FQ39" s="6">
        <f>IF(FQ56="","",AVERAGEIFS('TP-b'!$C$3:$C$60,'TP-b'!$A$3:$A$60,"3F4D+MD",'TP-b'!$B$3:$B$60,FQ56,'TP-b'!$E$3:$E$60,1))</f>
        <v/>
      </c>
    </row>
    <row r="40">
      <c r="A40" s="31" t="inlineStr">
        <is>
          <t>3F4D+MD</t>
        </is>
      </c>
      <c r="B40" s="30" t="inlineStr">
        <is>
          <t>b (cm)</t>
        </is>
      </c>
      <c r="D40" s="6">
        <f>IF(D56="","",AVERAGEIFS('TP-b'!$D$3:$D$60,'TP-b'!$A$3:$A$60,"3F4D+MD",'TP-b'!$B$3:$B$60,D56,'TP-b'!$E$3:$E$60,1))</f>
        <v/>
      </c>
      <c r="E40" s="6">
        <f>IF(E56="","",AVERAGEIFS('TP-b'!$D$3:$D$60,'TP-b'!$A$3:$A$60,"3F4D+MD",'TP-b'!$B$3:$B$60,E56,'TP-b'!$E$3:$E$60,1))</f>
        <v/>
      </c>
      <c r="F40" s="6">
        <f>IF(F56="","",AVERAGEIFS('TP-b'!$D$3:$D$60,'TP-b'!$A$3:$A$60,"3F4D+MD",'TP-b'!$B$3:$B$60,F56,'TP-b'!$E$3:$E$60,1))</f>
        <v/>
      </c>
      <c r="G40" s="6">
        <f>IF(G56="","",AVERAGEIFS('TP-b'!$D$3:$D$60,'TP-b'!$A$3:$A$60,"3F4D+MD",'TP-b'!$B$3:$B$60,G56,'TP-b'!$E$3:$E$60,1))</f>
        <v/>
      </c>
      <c r="H40" s="6">
        <f>IF(H56="","",AVERAGEIFS('TP-b'!$D$3:$D$60,'TP-b'!$A$3:$A$60,"3F4D+MD",'TP-b'!$B$3:$B$60,H56,'TP-b'!$E$3:$E$60,1))</f>
        <v/>
      </c>
      <c r="I40" s="6">
        <f>IF(I56="","",AVERAGEIFS('TP-b'!$D$3:$D$60,'TP-b'!$A$3:$A$60,"3F4D+MD",'TP-b'!$B$3:$B$60,I56,'TP-b'!$E$3:$E$60,1))</f>
        <v/>
      </c>
      <c r="J40" s="6">
        <f>IF(J56="","",AVERAGEIFS('TP-b'!$D$3:$D$60,'TP-b'!$A$3:$A$60,"3F4D+MD",'TP-b'!$B$3:$B$60,J56,'TP-b'!$E$3:$E$60,1))</f>
        <v/>
      </c>
      <c r="K40" s="6">
        <f>IF(K56="","",AVERAGEIFS('TP-b'!$D$3:$D$60,'TP-b'!$A$3:$A$60,"3F4D+MD",'TP-b'!$B$3:$B$60,K56,'TP-b'!$E$3:$E$60,1))</f>
        <v/>
      </c>
      <c r="L40" s="6">
        <f>IF(L56="","",AVERAGEIFS('TP-b'!$D$3:$D$60,'TP-b'!$A$3:$A$60,"3F4D+MD",'TP-b'!$B$3:$B$60,L56,'TP-b'!$E$3:$E$60,1))</f>
        <v/>
      </c>
      <c r="M40" s="6">
        <f>IF(M56="","",AVERAGEIFS('TP-b'!$D$3:$D$60,'TP-b'!$A$3:$A$60,"3F4D+MD",'TP-b'!$B$3:$B$60,M56,'TP-b'!$E$3:$E$60,1))</f>
        <v/>
      </c>
      <c r="N40" s="6">
        <f>IF(N56="","",AVERAGEIFS('TP-b'!$D$3:$D$60,'TP-b'!$A$3:$A$60,"3F4D+MD",'TP-b'!$B$3:$B$60,N56,'TP-b'!$E$3:$E$60,1))</f>
        <v/>
      </c>
      <c r="O40" s="6">
        <f>IF(O56="","",AVERAGEIFS('TP-b'!$D$3:$D$60,'TP-b'!$A$3:$A$60,"3F4D+MD",'TP-b'!$B$3:$B$60,O56,'TP-b'!$E$3:$E$60,1))</f>
        <v/>
      </c>
      <c r="P40" s="6">
        <f>IF(P56="","",AVERAGEIFS('TP-b'!$D$3:$D$60,'TP-b'!$A$3:$A$60,"3F4D+MD",'TP-b'!$B$3:$B$60,P56,'TP-b'!$E$3:$E$60,1))</f>
        <v/>
      </c>
      <c r="Q40" s="6">
        <f>IF(Q56="","",AVERAGEIFS('TP-b'!$D$3:$D$60,'TP-b'!$A$3:$A$60,"3F4D+MD",'TP-b'!$B$3:$B$60,Q56,'TP-b'!$E$3:$E$60,1))</f>
        <v/>
      </c>
      <c r="R40" s="6">
        <f>IF(R56="","",AVERAGEIFS('TP-b'!$D$3:$D$60,'TP-b'!$A$3:$A$60,"3F4D+MD",'TP-b'!$B$3:$B$60,R56,'TP-b'!$E$3:$E$60,1))</f>
        <v/>
      </c>
      <c r="S40" s="6">
        <f>IF(S56="","",AVERAGEIFS('TP-b'!$D$3:$D$60,'TP-b'!$A$3:$A$60,"3F4D+MD",'TP-b'!$B$3:$B$60,S56,'TP-b'!$E$3:$E$60,1))</f>
        <v/>
      </c>
      <c r="T40" s="6">
        <f>IF(T56="","",AVERAGEIFS('TP-b'!$D$3:$D$60,'TP-b'!$A$3:$A$60,"3F4D+MD",'TP-b'!$B$3:$B$60,T56,'TP-b'!$E$3:$E$60,1))</f>
        <v/>
      </c>
      <c r="U40" s="6">
        <f>IF(U56="","",AVERAGEIFS('TP-b'!$D$3:$D$60,'TP-b'!$A$3:$A$60,"3F4D+MD",'TP-b'!$B$3:$B$60,U56,'TP-b'!$E$3:$E$60,1))</f>
        <v/>
      </c>
      <c r="V40" s="6">
        <f>IF(V56="","",AVERAGEIFS('TP-b'!$D$3:$D$60,'TP-b'!$A$3:$A$60,"3F4D+MD",'TP-b'!$B$3:$B$60,V56,'TP-b'!$E$3:$E$60,1))</f>
        <v/>
      </c>
      <c r="W40" s="6">
        <f>IF(W56="","",AVERAGEIFS('TP-b'!$D$3:$D$60,'TP-b'!$A$3:$A$60,"3F4D+MD",'TP-b'!$B$3:$B$60,W56,'TP-b'!$E$3:$E$60,1))</f>
        <v/>
      </c>
      <c r="X40" s="6">
        <f>IF(X56="","",AVERAGEIFS('TP-b'!$D$3:$D$60,'TP-b'!$A$3:$A$60,"3F4D+MD",'TP-b'!$B$3:$B$60,X56,'TP-b'!$E$3:$E$60,1))</f>
        <v/>
      </c>
      <c r="Y40" s="6">
        <f>IF(Y56="","",AVERAGEIFS('TP-b'!$D$3:$D$60,'TP-b'!$A$3:$A$60,"3F4D+MD",'TP-b'!$B$3:$B$60,Y56,'TP-b'!$E$3:$E$60,1))</f>
        <v/>
      </c>
      <c r="Z40" s="6">
        <f>IF(Z56="","",AVERAGEIFS('TP-b'!$D$3:$D$60,'TP-b'!$A$3:$A$60,"3F4D+MD",'TP-b'!$B$3:$B$60,Z56,'TP-b'!$E$3:$E$60,1))</f>
        <v/>
      </c>
      <c r="AA40" s="6">
        <f>IF(AA56="","",AVERAGEIFS('TP-b'!$D$3:$D$60,'TP-b'!$A$3:$A$60,"3F4D+MD",'TP-b'!$B$3:$B$60,AA56,'TP-b'!$E$3:$E$60,1))</f>
        <v/>
      </c>
      <c r="AB40" s="6">
        <f>IF(AB56="","",AVERAGEIFS('TP-b'!$D$3:$D$60,'TP-b'!$A$3:$A$60,"3F4D+MD",'TP-b'!$B$3:$B$60,AB56,'TP-b'!$E$3:$E$60,1))</f>
        <v/>
      </c>
      <c r="AC40" s="6">
        <f>IF(AC56="","",AVERAGEIFS('TP-b'!$D$3:$D$60,'TP-b'!$A$3:$A$60,"3F4D+MD",'TP-b'!$B$3:$B$60,AC56,'TP-b'!$E$3:$E$60,1))</f>
        <v/>
      </c>
      <c r="AD40" s="6">
        <f>IF(AD56="","",AVERAGEIFS('TP-b'!$D$3:$D$60,'TP-b'!$A$3:$A$60,"3F4D+MD",'TP-b'!$B$3:$B$60,AD56,'TP-b'!$E$3:$E$60,1))</f>
        <v/>
      </c>
      <c r="AE40" s="6">
        <f>IF(AE56="","",AVERAGEIFS('TP-b'!$D$3:$D$60,'TP-b'!$A$3:$A$60,"3F4D+MD",'TP-b'!$B$3:$B$60,AE56,'TP-b'!$E$3:$E$60,1))</f>
        <v/>
      </c>
      <c r="AF40" s="6">
        <f>IF(AF56="","",AVERAGEIFS('TP-b'!$D$3:$D$60,'TP-b'!$A$3:$A$60,"3F4D+MD",'TP-b'!$B$3:$B$60,AF56,'TP-b'!$E$3:$E$60,1))</f>
        <v/>
      </c>
      <c r="AG40" s="6">
        <f>IF(AG56="","",AVERAGEIFS('TP-b'!$D$3:$D$60,'TP-b'!$A$3:$A$60,"3F4D+MD",'TP-b'!$B$3:$B$60,AG56,'TP-b'!$E$3:$E$60,1))</f>
        <v/>
      </c>
      <c r="AH40" s="6">
        <f>IF(AH56="","",AVERAGEIFS('TP-b'!$D$3:$D$60,'TP-b'!$A$3:$A$60,"3F4D+MD",'TP-b'!$B$3:$B$60,AH56,'TP-b'!$E$3:$E$60,1))</f>
        <v/>
      </c>
      <c r="AI40" s="6">
        <f>IF(AI56="","",AVERAGEIFS('TP-b'!$D$3:$D$60,'TP-b'!$A$3:$A$60,"3F4D+MD",'TP-b'!$B$3:$B$60,AI56,'TP-b'!$E$3:$E$60,1))</f>
        <v/>
      </c>
      <c r="AJ40" s="6">
        <f>IF(AJ56="","",AVERAGEIFS('TP-b'!$D$3:$D$60,'TP-b'!$A$3:$A$60,"3F4D+MD",'TP-b'!$B$3:$B$60,AJ56,'TP-b'!$E$3:$E$60,1))</f>
        <v/>
      </c>
      <c r="AK40" s="6">
        <f>IF(AK56="","",AVERAGEIFS('TP-b'!$D$3:$D$60,'TP-b'!$A$3:$A$60,"3F4D+MD",'TP-b'!$B$3:$B$60,AK56,'TP-b'!$E$3:$E$60,1))</f>
        <v/>
      </c>
      <c r="AL40" s="6">
        <f>IF(AL56="","",AVERAGEIFS('TP-b'!$D$3:$D$60,'TP-b'!$A$3:$A$60,"3F4D+MD",'TP-b'!$B$3:$B$60,AL56,'TP-b'!$E$3:$E$60,1))</f>
        <v/>
      </c>
      <c r="AM40" s="6">
        <f>IF(AM56="","",AVERAGEIFS('TP-b'!$D$3:$D$60,'TP-b'!$A$3:$A$60,"3F4D+MD",'TP-b'!$B$3:$B$60,AM56,'TP-b'!$E$3:$E$60,1))</f>
        <v/>
      </c>
      <c r="AN40" s="6">
        <f>IF(AN56="","",AVERAGEIFS('TP-b'!$D$3:$D$60,'TP-b'!$A$3:$A$60,"3F4D+MD",'TP-b'!$B$3:$B$60,AN56,'TP-b'!$E$3:$E$60,1))</f>
        <v/>
      </c>
      <c r="AO40" s="6">
        <f>IF(AO56="","",AVERAGEIFS('TP-b'!$D$3:$D$60,'TP-b'!$A$3:$A$60,"3F4D+MD",'TP-b'!$B$3:$B$60,AO56,'TP-b'!$E$3:$E$60,1))</f>
        <v/>
      </c>
      <c r="AP40" s="6">
        <f>IF(AP56="","",AVERAGEIFS('TP-b'!$D$3:$D$60,'TP-b'!$A$3:$A$60,"3F4D+MD",'TP-b'!$B$3:$B$60,AP56,'TP-b'!$E$3:$E$60,1))</f>
        <v/>
      </c>
      <c r="AQ40" s="6">
        <f>IF(AQ56="","",AVERAGEIFS('TP-b'!$D$3:$D$60,'TP-b'!$A$3:$A$60,"3F4D+MD",'TP-b'!$B$3:$B$60,AQ56,'TP-b'!$E$3:$E$60,1))</f>
        <v/>
      </c>
      <c r="AR40" s="6">
        <f>IF(AR56="","",AVERAGEIFS('TP-b'!$D$3:$D$60,'TP-b'!$A$3:$A$60,"3F4D+MD",'TP-b'!$B$3:$B$60,AR56,'TP-b'!$E$3:$E$60,1))</f>
        <v/>
      </c>
      <c r="AS40" s="6">
        <f>IF(AS56="","",AVERAGEIFS('TP-b'!$D$3:$D$60,'TP-b'!$A$3:$A$60,"3F4D+MD",'TP-b'!$B$3:$B$60,AS56,'TP-b'!$E$3:$E$60,1))</f>
        <v/>
      </c>
      <c r="AT40" s="6">
        <f>IF(AT56="","",AVERAGEIFS('TP-b'!$D$3:$D$60,'TP-b'!$A$3:$A$60,"3F4D+MD",'TP-b'!$B$3:$B$60,AT56,'TP-b'!$E$3:$E$60,1))</f>
        <v/>
      </c>
      <c r="AU40" s="6">
        <f>IF(AU56="","",AVERAGEIFS('TP-b'!$D$3:$D$60,'TP-b'!$A$3:$A$60,"3F4D+MD",'TP-b'!$B$3:$B$60,AU56,'TP-b'!$E$3:$E$60,1))</f>
        <v/>
      </c>
      <c r="AV40" s="6">
        <f>IF(AV56="","",AVERAGEIFS('TP-b'!$D$3:$D$60,'TP-b'!$A$3:$A$60,"3F4D+MD",'TP-b'!$B$3:$B$60,AV56,'TP-b'!$E$3:$E$60,1))</f>
        <v/>
      </c>
      <c r="AW40" s="6">
        <f>IF(AW56="","",AVERAGEIFS('TP-b'!$D$3:$D$60,'TP-b'!$A$3:$A$60,"3F4D+MD",'TP-b'!$B$3:$B$60,AW56,'TP-b'!$E$3:$E$60,1))</f>
        <v/>
      </c>
      <c r="AX40" s="6">
        <f>IF(AX56="","",AVERAGEIFS('TP-b'!$D$3:$D$60,'TP-b'!$A$3:$A$60,"3F4D+MD",'TP-b'!$B$3:$B$60,AX56,'TP-b'!$E$3:$E$60,1))</f>
        <v/>
      </c>
      <c r="AY40" s="6">
        <f>IF(AY56="","",AVERAGEIFS('TP-b'!$D$3:$D$60,'TP-b'!$A$3:$A$60,"3F4D+MD",'TP-b'!$B$3:$B$60,AY56,'TP-b'!$E$3:$E$60,1))</f>
        <v/>
      </c>
      <c r="AZ40" s="6">
        <f>IF(AZ56="","",AVERAGEIFS('TP-b'!$D$3:$D$60,'TP-b'!$A$3:$A$60,"3F4D+MD",'TP-b'!$B$3:$B$60,AZ56,'TP-b'!$E$3:$E$60,1))</f>
        <v/>
      </c>
      <c r="BA40" s="6">
        <f>IF(BA56="","",AVERAGEIFS('TP-b'!$D$3:$D$60,'TP-b'!$A$3:$A$60,"3F4D+MD",'TP-b'!$B$3:$B$60,BA56,'TP-b'!$E$3:$E$60,1))</f>
        <v/>
      </c>
      <c r="BB40" s="6">
        <f>IF(BB56="","",AVERAGEIFS('TP-b'!$D$3:$D$60,'TP-b'!$A$3:$A$60,"3F4D+MD",'TP-b'!$B$3:$B$60,BB56,'TP-b'!$E$3:$E$60,1))</f>
        <v/>
      </c>
      <c r="BC40" s="6">
        <f>IF(BC56="","",AVERAGEIFS('TP-b'!$D$3:$D$60,'TP-b'!$A$3:$A$60,"3F4D+MD",'TP-b'!$B$3:$B$60,BC56,'TP-b'!$E$3:$E$60,1))</f>
        <v/>
      </c>
      <c r="BD40" s="6">
        <f>IF(BD56="","",AVERAGEIFS('TP-b'!$D$3:$D$60,'TP-b'!$A$3:$A$60,"3F4D+MD",'TP-b'!$B$3:$B$60,BD56,'TP-b'!$E$3:$E$60,1))</f>
        <v/>
      </c>
      <c r="BE40" s="6">
        <f>IF(BE56="","",AVERAGEIFS('TP-b'!$D$3:$D$60,'TP-b'!$A$3:$A$60,"3F4D+MD",'TP-b'!$B$3:$B$60,BE56,'TP-b'!$E$3:$E$60,1))</f>
        <v/>
      </c>
      <c r="BF40" s="6">
        <f>IF(BF56="","",AVERAGEIFS('TP-b'!$D$3:$D$60,'TP-b'!$A$3:$A$60,"3F4D+MD",'TP-b'!$B$3:$B$60,BF56,'TP-b'!$E$3:$E$60,1))</f>
        <v/>
      </c>
      <c r="BG40" s="6">
        <f>IF(BG56="","",AVERAGEIFS('TP-b'!$D$3:$D$60,'TP-b'!$A$3:$A$60,"3F4D+MD",'TP-b'!$B$3:$B$60,BG56,'TP-b'!$E$3:$E$60,1))</f>
        <v/>
      </c>
      <c r="BH40" s="6">
        <f>IF(BH56="","",AVERAGEIFS('TP-b'!$D$3:$D$60,'TP-b'!$A$3:$A$60,"3F4D+MD",'TP-b'!$B$3:$B$60,BH56,'TP-b'!$E$3:$E$60,1))</f>
        <v/>
      </c>
      <c r="BI40" s="6">
        <f>IF(BI56="","",AVERAGEIFS('TP-b'!$D$3:$D$60,'TP-b'!$A$3:$A$60,"3F4D+MD",'TP-b'!$B$3:$B$60,BI56,'TP-b'!$E$3:$E$60,1))</f>
        <v/>
      </c>
      <c r="BJ40" s="6">
        <f>IF(BJ56="","",AVERAGEIFS('TP-b'!$D$3:$D$60,'TP-b'!$A$3:$A$60,"3F4D+MD",'TP-b'!$B$3:$B$60,BJ56,'TP-b'!$E$3:$E$60,1))</f>
        <v/>
      </c>
      <c r="BK40" s="6">
        <f>IF(BK56="","",AVERAGEIFS('TP-b'!$D$3:$D$60,'TP-b'!$A$3:$A$60,"3F4D+MD",'TP-b'!$B$3:$B$60,BK56,'TP-b'!$E$3:$E$60,1))</f>
        <v/>
      </c>
      <c r="BL40" s="6">
        <f>IF(BL56="","",AVERAGEIFS('TP-b'!$D$3:$D$60,'TP-b'!$A$3:$A$60,"3F4D+MD",'TP-b'!$B$3:$B$60,BL56,'TP-b'!$E$3:$E$60,1))</f>
        <v/>
      </c>
      <c r="BM40" s="6">
        <f>IF(BM56="","",AVERAGEIFS('TP-b'!$D$3:$D$60,'TP-b'!$A$3:$A$60,"3F4D+MD",'TP-b'!$B$3:$B$60,BM56,'TP-b'!$E$3:$E$60,1))</f>
        <v/>
      </c>
      <c r="BN40" s="6">
        <f>IF(BN56="","",AVERAGEIFS('TP-b'!$D$3:$D$60,'TP-b'!$A$3:$A$60,"3F4D+MD",'TP-b'!$B$3:$B$60,BN56,'TP-b'!$E$3:$E$60,1))</f>
        <v/>
      </c>
      <c r="BO40" s="6">
        <f>IF(BO56="","",AVERAGEIFS('TP-b'!$D$3:$D$60,'TP-b'!$A$3:$A$60,"3F4D+MD",'TP-b'!$B$3:$B$60,BO56,'TP-b'!$E$3:$E$60,1))</f>
        <v/>
      </c>
      <c r="BP40" s="6">
        <f>IF(BP56="","",AVERAGEIFS('TP-b'!$D$3:$D$60,'TP-b'!$A$3:$A$60,"3F4D+MD",'TP-b'!$B$3:$B$60,BP56,'TP-b'!$E$3:$E$60,1))</f>
        <v/>
      </c>
      <c r="BQ40" s="6">
        <f>IF(BQ56="","",AVERAGEIFS('TP-b'!$D$3:$D$60,'TP-b'!$A$3:$A$60,"3F4D+MD",'TP-b'!$B$3:$B$60,BQ56,'TP-b'!$E$3:$E$60,1))</f>
        <v/>
      </c>
      <c r="BR40" s="6">
        <f>IF(BR56="","",AVERAGEIFS('TP-b'!$D$3:$D$60,'TP-b'!$A$3:$A$60,"3F4D+MD",'TP-b'!$B$3:$B$60,BR56,'TP-b'!$E$3:$E$60,1))</f>
        <v/>
      </c>
      <c r="BS40" s="6">
        <f>IF(BS56="","",AVERAGEIFS('TP-b'!$D$3:$D$60,'TP-b'!$A$3:$A$60,"3F4D+MD",'TP-b'!$B$3:$B$60,BS56,'TP-b'!$E$3:$E$60,1))</f>
        <v/>
      </c>
      <c r="BT40" s="6">
        <f>IF(BT56="","",AVERAGEIFS('TP-b'!$D$3:$D$60,'TP-b'!$A$3:$A$60,"3F4D+MD",'TP-b'!$B$3:$B$60,BT56,'TP-b'!$E$3:$E$60,1))</f>
        <v/>
      </c>
      <c r="BU40" s="6">
        <f>IF(BU56="","",AVERAGEIFS('TP-b'!$D$3:$D$60,'TP-b'!$A$3:$A$60,"3F4D+MD",'TP-b'!$B$3:$B$60,BU56,'TP-b'!$E$3:$E$60,1))</f>
        <v/>
      </c>
      <c r="BV40" s="6">
        <f>IF(BV56="","",AVERAGEIFS('TP-b'!$D$3:$D$60,'TP-b'!$A$3:$A$60,"3F4D+MD",'TP-b'!$B$3:$B$60,BV56,'TP-b'!$E$3:$E$60,1))</f>
        <v/>
      </c>
      <c r="BW40" s="6">
        <f>IF(BW56="","",AVERAGEIFS('TP-b'!$D$3:$D$60,'TP-b'!$A$3:$A$60,"3F4D+MD",'TP-b'!$B$3:$B$60,BW56,'TP-b'!$E$3:$E$60,1))</f>
        <v/>
      </c>
      <c r="BX40" s="6">
        <f>IF(BX56="","",AVERAGEIFS('TP-b'!$D$3:$D$60,'TP-b'!$A$3:$A$60,"3F4D+MD",'TP-b'!$B$3:$B$60,BX56,'TP-b'!$E$3:$E$60,1))</f>
        <v/>
      </c>
      <c r="BY40" s="6">
        <f>IF(BY56="","",AVERAGEIFS('TP-b'!$D$3:$D$60,'TP-b'!$A$3:$A$60,"3F4D+MD",'TP-b'!$B$3:$B$60,BY56,'TP-b'!$E$3:$E$60,1))</f>
        <v/>
      </c>
      <c r="BZ40" s="6">
        <f>IF(BZ56="","",AVERAGEIFS('TP-b'!$D$3:$D$60,'TP-b'!$A$3:$A$60,"3F4D+MD",'TP-b'!$B$3:$B$60,BZ56,'TP-b'!$E$3:$E$60,1))</f>
        <v/>
      </c>
      <c r="CA40" s="6">
        <f>IF(CA56="","",AVERAGEIFS('TP-b'!$D$3:$D$60,'TP-b'!$A$3:$A$60,"3F4D+MD",'TP-b'!$B$3:$B$60,CA56,'TP-b'!$E$3:$E$60,1))</f>
        <v/>
      </c>
      <c r="CB40" s="6">
        <f>IF(CB56="","",AVERAGEIFS('TP-b'!$D$3:$D$60,'TP-b'!$A$3:$A$60,"3F4D+MD",'TP-b'!$B$3:$B$60,CB56,'TP-b'!$E$3:$E$60,1))</f>
        <v/>
      </c>
      <c r="CC40" s="6">
        <f>IF(CC56="","",AVERAGEIFS('TP-b'!$D$3:$D$60,'TP-b'!$A$3:$A$60,"3F4D+MD",'TP-b'!$B$3:$B$60,CC56,'TP-b'!$E$3:$E$60,1))</f>
        <v/>
      </c>
      <c r="CD40" s="6">
        <f>IF(CD56="","",AVERAGEIFS('TP-b'!$D$3:$D$60,'TP-b'!$A$3:$A$60,"3F4D+MD",'TP-b'!$B$3:$B$60,CD56,'TP-b'!$E$3:$E$60,1))</f>
        <v/>
      </c>
      <c r="CE40" s="6">
        <f>IF(CE56="","",AVERAGEIFS('TP-b'!$D$3:$D$60,'TP-b'!$A$3:$A$60,"3F4D+MD",'TP-b'!$B$3:$B$60,CE56,'TP-b'!$E$3:$E$60,1))</f>
        <v/>
      </c>
      <c r="CF40" s="6">
        <f>IF(CF56="","",AVERAGEIFS('TP-b'!$D$3:$D$60,'TP-b'!$A$3:$A$60,"3F4D+MD",'TP-b'!$B$3:$B$60,CF56,'TP-b'!$E$3:$E$60,1))</f>
        <v/>
      </c>
      <c r="CG40" s="6">
        <f>IF(CG56="","",AVERAGEIFS('TP-b'!$D$3:$D$60,'TP-b'!$A$3:$A$60,"3F4D+MD",'TP-b'!$B$3:$B$60,CG56,'TP-b'!$E$3:$E$60,1))</f>
        <v/>
      </c>
      <c r="CH40" s="6">
        <f>IF(CH56="","",AVERAGEIFS('TP-b'!$D$3:$D$60,'TP-b'!$A$3:$A$60,"3F4D+MD",'TP-b'!$B$3:$B$60,CH56,'TP-b'!$E$3:$E$60,1))</f>
        <v/>
      </c>
      <c r="CI40" s="6">
        <f>IF(CI56="","",AVERAGEIFS('TP-b'!$D$3:$D$60,'TP-b'!$A$3:$A$60,"3F4D+MD",'TP-b'!$B$3:$B$60,CI56,'TP-b'!$E$3:$E$60,1))</f>
        <v/>
      </c>
      <c r="CJ40" s="6">
        <f>IF(CJ56="","",AVERAGEIFS('TP-b'!$D$3:$D$60,'TP-b'!$A$3:$A$60,"3F4D+MD",'TP-b'!$B$3:$B$60,CJ56,'TP-b'!$E$3:$E$60,1))</f>
        <v/>
      </c>
      <c r="CK40" s="6">
        <f>IF(CK56="","",AVERAGEIFS('TP-b'!$D$3:$D$60,'TP-b'!$A$3:$A$60,"3F4D+MD",'TP-b'!$B$3:$B$60,CK56,'TP-b'!$E$3:$E$60,1))</f>
        <v/>
      </c>
      <c r="CL40" s="6">
        <f>IF(CL56="","",AVERAGEIFS('TP-b'!$D$3:$D$60,'TP-b'!$A$3:$A$60,"3F4D+MD",'TP-b'!$B$3:$B$60,CL56,'TP-b'!$E$3:$E$60,1))</f>
        <v/>
      </c>
      <c r="CM40" s="6">
        <f>IF(CM56="","",AVERAGEIFS('TP-b'!$D$3:$D$60,'TP-b'!$A$3:$A$60,"3F4D+MD",'TP-b'!$B$3:$B$60,CM56,'TP-b'!$E$3:$E$60,1))</f>
        <v/>
      </c>
      <c r="CN40" s="6">
        <f>IF(CN56="","",AVERAGEIFS('TP-b'!$D$3:$D$60,'TP-b'!$A$3:$A$60,"3F4D+MD",'TP-b'!$B$3:$B$60,CN56,'TP-b'!$E$3:$E$60,1))</f>
        <v/>
      </c>
      <c r="CO40" s="6">
        <f>IF(CO56="","",AVERAGEIFS('TP-b'!$D$3:$D$60,'TP-b'!$A$3:$A$60,"3F4D+MD",'TP-b'!$B$3:$B$60,CO56,'TP-b'!$E$3:$E$60,1))</f>
        <v/>
      </c>
      <c r="CP40" s="6">
        <f>IF(CP56="","",AVERAGEIFS('TP-b'!$D$3:$D$60,'TP-b'!$A$3:$A$60,"3F4D+MD",'TP-b'!$B$3:$B$60,CP56,'TP-b'!$E$3:$E$60,1))</f>
        <v/>
      </c>
      <c r="CQ40" s="6">
        <f>IF(CQ56="","",AVERAGEIFS('TP-b'!$D$3:$D$60,'TP-b'!$A$3:$A$60,"3F4D+MD",'TP-b'!$B$3:$B$60,CQ56,'TP-b'!$E$3:$E$60,1))</f>
        <v/>
      </c>
      <c r="CR40" s="6">
        <f>IF(CR56="","",AVERAGEIFS('TP-b'!$D$3:$D$60,'TP-b'!$A$3:$A$60,"3F4D+MD",'TP-b'!$B$3:$B$60,CR56,'TP-b'!$E$3:$E$60,1))</f>
        <v/>
      </c>
      <c r="CS40" s="6">
        <f>IF(CS56="","",AVERAGEIFS('TP-b'!$D$3:$D$60,'TP-b'!$A$3:$A$60,"3F4D+MD",'TP-b'!$B$3:$B$60,CS56,'TP-b'!$E$3:$E$60,1))</f>
        <v/>
      </c>
      <c r="CT40" s="6">
        <f>IF(CT56="","",AVERAGEIFS('TP-b'!$D$3:$D$60,'TP-b'!$A$3:$A$60,"3F4D+MD",'TP-b'!$B$3:$B$60,CT56,'TP-b'!$E$3:$E$60,1))</f>
        <v/>
      </c>
      <c r="CU40" s="6">
        <f>IF(CU56="","",AVERAGEIFS('TP-b'!$D$3:$D$60,'TP-b'!$A$3:$A$60,"3F4D+MD",'TP-b'!$B$3:$B$60,CU56,'TP-b'!$E$3:$E$60,1))</f>
        <v/>
      </c>
      <c r="CV40" s="6">
        <f>IF(CV56="","",AVERAGEIFS('TP-b'!$D$3:$D$60,'TP-b'!$A$3:$A$60,"3F4D+MD",'TP-b'!$B$3:$B$60,CV56,'TP-b'!$E$3:$E$60,1))</f>
        <v/>
      </c>
      <c r="CW40" s="6">
        <f>IF(CW56="","",AVERAGEIFS('TP-b'!$D$3:$D$60,'TP-b'!$A$3:$A$60,"3F4D+MD",'TP-b'!$B$3:$B$60,CW56,'TP-b'!$E$3:$E$60,1))</f>
        <v/>
      </c>
      <c r="CX40" s="6">
        <f>IF(CX56="","",AVERAGEIFS('TP-b'!$D$3:$D$60,'TP-b'!$A$3:$A$60,"3F4D+MD",'TP-b'!$B$3:$B$60,CX56,'TP-b'!$E$3:$E$60,1))</f>
        <v/>
      </c>
      <c r="CY40" s="6">
        <f>IF(CY56="","",AVERAGEIFS('TP-b'!$D$3:$D$60,'TP-b'!$A$3:$A$60,"3F4D+MD",'TP-b'!$B$3:$B$60,CY56,'TP-b'!$E$3:$E$60,1))</f>
        <v/>
      </c>
      <c r="CZ40" s="6">
        <f>IF(CZ56="","",AVERAGEIFS('TP-b'!$D$3:$D$60,'TP-b'!$A$3:$A$60,"3F4D+MD",'TP-b'!$B$3:$B$60,CZ56,'TP-b'!$E$3:$E$60,1))</f>
        <v/>
      </c>
      <c r="DA40" s="6">
        <f>IF(DA56="","",AVERAGEIFS('TP-b'!$D$3:$D$60,'TP-b'!$A$3:$A$60,"3F4D+MD",'TP-b'!$B$3:$B$60,DA56,'TP-b'!$E$3:$E$60,1))</f>
        <v/>
      </c>
      <c r="DB40" s="6">
        <f>IF(DB56="","",AVERAGEIFS('TP-b'!$D$3:$D$60,'TP-b'!$A$3:$A$60,"3F4D+MD",'TP-b'!$B$3:$B$60,DB56,'TP-b'!$E$3:$E$60,1))</f>
        <v/>
      </c>
      <c r="DC40" s="6">
        <f>IF(DC56="","",AVERAGEIFS('TP-b'!$D$3:$D$60,'TP-b'!$A$3:$A$60,"3F4D+MD",'TP-b'!$B$3:$B$60,DC56,'TP-b'!$E$3:$E$60,1))</f>
        <v/>
      </c>
      <c r="DD40" s="6">
        <f>IF(DD56="","",AVERAGEIFS('TP-b'!$D$3:$D$60,'TP-b'!$A$3:$A$60,"3F4D+MD",'TP-b'!$B$3:$B$60,DD56,'TP-b'!$E$3:$E$60,1))</f>
        <v/>
      </c>
      <c r="DE40" s="6">
        <f>IF(DE56="","",AVERAGEIFS('TP-b'!$D$3:$D$60,'TP-b'!$A$3:$A$60,"3F4D+MD",'TP-b'!$B$3:$B$60,DE56,'TP-b'!$E$3:$E$60,1))</f>
        <v/>
      </c>
      <c r="DF40" s="6">
        <f>IF(DF56="","",AVERAGEIFS('TP-b'!$D$3:$D$60,'TP-b'!$A$3:$A$60,"3F4D+MD",'TP-b'!$B$3:$B$60,DF56,'TP-b'!$E$3:$E$60,1))</f>
        <v/>
      </c>
      <c r="DG40" s="6">
        <f>IF(DG56="","",AVERAGEIFS('TP-b'!$D$3:$D$60,'TP-b'!$A$3:$A$60,"3F4D+MD",'TP-b'!$B$3:$B$60,DG56,'TP-b'!$E$3:$E$60,1))</f>
        <v/>
      </c>
      <c r="DH40" s="6">
        <f>IF(DH56="","",AVERAGEIFS('TP-b'!$D$3:$D$60,'TP-b'!$A$3:$A$60,"3F4D+MD",'TP-b'!$B$3:$B$60,DH56,'TP-b'!$E$3:$E$60,1))</f>
        <v/>
      </c>
      <c r="DI40" s="6">
        <f>IF(DI56="","",AVERAGEIFS('TP-b'!$D$3:$D$60,'TP-b'!$A$3:$A$60,"3F4D+MD",'TP-b'!$B$3:$B$60,DI56,'TP-b'!$E$3:$E$60,1))</f>
        <v/>
      </c>
      <c r="DJ40" s="6">
        <f>IF(DJ56="","",AVERAGEIFS('TP-b'!$D$3:$D$60,'TP-b'!$A$3:$A$60,"3F4D+MD",'TP-b'!$B$3:$B$60,DJ56,'TP-b'!$E$3:$E$60,1))</f>
        <v/>
      </c>
      <c r="DK40" s="6">
        <f>IF(DK56="","",AVERAGEIFS('TP-b'!$D$3:$D$60,'TP-b'!$A$3:$A$60,"3F4D+MD",'TP-b'!$B$3:$B$60,DK56,'TP-b'!$E$3:$E$60,1))</f>
        <v/>
      </c>
      <c r="DL40" s="6">
        <f>IF(DL56="","",AVERAGEIFS('TP-b'!$D$3:$D$60,'TP-b'!$A$3:$A$60,"3F4D+MD",'TP-b'!$B$3:$B$60,DL56,'TP-b'!$E$3:$E$60,1))</f>
        <v/>
      </c>
      <c r="DM40" s="6">
        <f>IF(DM56="","",AVERAGEIFS('TP-b'!$D$3:$D$60,'TP-b'!$A$3:$A$60,"3F4D+MD",'TP-b'!$B$3:$B$60,DM56,'TP-b'!$E$3:$E$60,1))</f>
        <v/>
      </c>
      <c r="DN40" s="6">
        <f>IF(DN56="","",AVERAGEIFS('TP-b'!$D$3:$D$60,'TP-b'!$A$3:$A$60,"3F4D+MD",'TP-b'!$B$3:$B$60,DN56,'TP-b'!$E$3:$E$60,1))</f>
        <v/>
      </c>
      <c r="DO40" s="6">
        <f>IF(DO56="","",AVERAGEIFS('TP-b'!$D$3:$D$60,'TP-b'!$A$3:$A$60,"3F4D+MD",'TP-b'!$B$3:$B$60,DO56,'TP-b'!$E$3:$E$60,1))</f>
        <v/>
      </c>
      <c r="DP40" s="6">
        <f>IF(DP56="","",AVERAGEIFS('TP-b'!$D$3:$D$60,'TP-b'!$A$3:$A$60,"3F4D+MD",'TP-b'!$B$3:$B$60,DP56,'TP-b'!$E$3:$E$60,1))</f>
        <v/>
      </c>
      <c r="DQ40" s="6">
        <f>IF(DQ56="","",AVERAGEIFS('TP-b'!$D$3:$D$60,'TP-b'!$A$3:$A$60,"3F4D+MD",'TP-b'!$B$3:$B$60,DQ56,'TP-b'!$E$3:$E$60,1))</f>
        <v/>
      </c>
      <c r="DR40" s="6">
        <f>IF(DR56="","",AVERAGEIFS('TP-b'!$D$3:$D$60,'TP-b'!$A$3:$A$60,"3F4D+MD",'TP-b'!$B$3:$B$60,DR56,'TP-b'!$E$3:$E$60,1))</f>
        <v/>
      </c>
      <c r="DS40" s="6">
        <f>IF(DS56="","",AVERAGEIFS('TP-b'!$D$3:$D$60,'TP-b'!$A$3:$A$60,"3F4D+MD",'TP-b'!$B$3:$B$60,DS56,'TP-b'!$E$3:$E$60,1))</f>
        <v/>
      </c>
      <c r="DT40" s="6">
        <f>IF(DT56="","",AVERAGEIFS('TP-b'!$D$3:$D$60,'TP-b'!$A$3:$A$60,"3F4D+MD",'TP-b'!$B$3:$B$60,DT56,'TP-b'!$E$3:$E$60,1))</f>
        <v/>
      </c>
      <c r="DU40" s="6">
        <f>IF(DU56="","",AVERAGEIFS('TP-b'!$D$3:$D$60,'TP-b'!$A$3:$A$60,"3F4D+MD",'TP-b'!$B$3:$B$60,DU56,'TP-b'!$E$3:$E$60,1))</f>
        <v/>
      </c>
      <c r="DV40" s="6">
        <f>IF(DV56="","",AVERAGEIFS('TP-b'!$D$3:$D$60,'TP-b'!$A$3:$A$60,"3F4D+MD",'TP-b'!$B$3:$B$60,DV56,'TP-b'!$E$3:$E$60,1))</f>
        <v/>
      </c>
      <c r="DW40" s="6">
        <f>IF(DW56="","",AVERAGEIFS('TP-b'!$D$3:$D$60,'TP-b'!$A$3:$A$60,"3F4D+MD",'TP-b'!$B$3:$B$60,DW56,'TP-b'!$E$3:$E$60,1))</f>
        <v/>
      </c>
      <c r="DX40" s="6">
        <f>IF(DX56="","",AVERAGEIFS('TP-b'!$D$3:$D$60,'TP-b'!$A$3:$A$60,"3F4D+MD",'TP-b'!$B$3:$B$60,DX56,'TP-b'!$E$3:$E$60,1))</f>
        <v/>
      </c>
      <c r="DY40" s="6">
        <f>IF(DY56="","",AVERAGEIFS('TP-b'!$D$3:$D$60,'TP-b'!$A$3:$A$60,"3F4D+MD",'TP-b'!$B$3:$B$60,DY56,'TP-b'!$E$3:$E$60,1))</f>
        <v/>
      </c>
      <c r="DZ40" s="6">
        <f>IF(DZ56="","",AVERAGEIFS('TP-b'!$D$3:$D$60,'TP-b'!$A$3:$A$60,"3F4D+MD",'TP-b'!$B$3:$B$60,DZ56,'TP-b'!$E$3:$E$60,1))</f>
        <v/>
      </c>
      <c r="EA40" s="6">
        <f>IF(EA56="","",AVERAGEIFS('TP-b'!$D$3:$D$60,'TP-b'!$A$3:$A$60,"3F4D+MD",'TP-b'!$B$3:$B$60,EA56,'TP-b'!$E$3:$E$60,1))</f>
        <v/>
      </c>
      <c r="EB40" s="6">
        <f>IF(EB56="","",AVERAGEIFS('TP-b'!$D$3:$D$60,'TP-b'!$A$3:$A$60,"3F4D+MD",'TP-b'!$B$3:$B$60,EB56,'TP-b'!$E$3:$E$60,1))</f>
        <v/>
      </c>
      <c r="EC40" s="6">
        <f>IF(EC56="","",AVERAGEIFS('TP-b'!$D$3:$D$60,'TP-b'!$A$3:$A$60,"3F4D+MD",'TP-b'!$B$3:$B$60,EC56,'TP-b'!$E$3:$E$60,1))</f>
        <v/>
      </c>
      <c r="ED40" s="6">
        <f>IF(ED56="","",AVERAGEIFS('TP-b'!$D$3:$D$60,'TP-b'!$A$3:$A$60,"3F4D+MD",'TP-b'!$B$3:$B$60,ED56,'TP-b'!$E$3:$E$60,1))</f>
        <v/>
      </c>
      <c r="EE40" s="6">
        <f>IF(EE56="","",AVERAGEIFS('TP-b'!$D$3:$D$60,'TP-b'!$A$3:$A$60,"3F4D+MD",'TP-b'!$B$3:$B$60,EE56,'TP-b'!$E$3:$E$60,1))</f>
        <v/>
      </c>
      <c r="EF40" s="6">
        <f>IF(EF56="","",AVERAGEIFS('TP-b'!$D$3:$D$60,'TP-b'!$A$3:$A$60,"3F4D+MD",'TP-b'!$B$3:$B$60,EF56,'TP-b'!$E$3:$E$60,1))</f>
        <v/>
      </c>
      <c r="EG40" s="6">
        <f>IF(EG56="","",AVERAGEIFS('TP-b'!$D$3:$D$60,'TP-b'!$A$3:$A$60,"3F4D+MD",'TP-b'!$B$3:$B$60,EG56,'TP-b'!$E$3:$E$60,1))</f>
        <v/>
      </c>
      <c r="EH40" s="6">
        <f>IF(EH56="","",AVERAGEIFS('TP-b'!$D$3:$D$60,'TP-b'!$A$3:$A$60,"3F4D+MD",'TP-b'!$B$3:$B$60,EH56,'TP-b'!$E$3:$E$60,1))</f>
        <v/>
      </c>
      <c r="EI40" s="6">
        <f>IF(EI56="","",AVERAGEIFS('TP-b'!$D$3:$D$60,'TP-b'!$A$3:$A$60,"3F4D+MD",'TP-b'!$B$3:$B$60,EI56,'TP-b'!$E$3:$E$60,1))</f>
        <v/>
      </c>
      <c r="EJ40" s="6">
        <f>IF(EJ56="","",AVERAGEIFS('TP-b'!$D$3:$D$60,'TP-b'!$A$3:$A$60,"3F4D+MD",'TP-b'!$B$3:$B$60,EJ56,'TP-b'!$E$3:$E$60,1))</f>
        <v/>
      </c>
      <c r="EK40" s="6">
        <f>IF(EK56="","",AVERAGEIFS('TP-b'!$D$3:$D$60,'TP-b'!$A$3:$A$60,"3F4D+MD",'TP-b'!$B$3:$B$60,EK56,'TP-b'!$E$3:$E$60,1))</f>
        <v/>
      </c>
      <c r="EL40" s="6">
        <f>IF(EL56="","",AVERAGEIFS('TP-b'!$D$3:$D$60,'TP-b'!$A$3:$A$60,"3F4D+MD",'TP-b'!$B$3:$B$60,EL56,'TP-b'!$E$3:$E$60,1))</f>
        <v/>
      </c>
      <c r="EM40" s="6">
        <f>IF(EM56="","",AVERAGEIFS('TP-b'!$D$3:$D$60,'TP-b'!$A$3:$A$60,"3F4D+MD",'TP-b'!$B$3:$B$60,EM56,'TP-b'!$E$3:$E$60,1))</f>
        <v/>
      </c>
      <c r="EN40" s="6">
        <f>IF(EN56="","",AVERAGEIFS('TP-b'!$D$3:$D$60,'TP-b'!$A$3:$A$60,"3F4D+MD",'TP-b'!$B$3:$B$60,EN56,'TP-b'!$E$3:$E$60,1))</f>
        <v/>
      </c>
      <c r="EO40" s="6">
        <f>IF(EO56="","",AVERAGEIFS('TP-b'!$D$3:$D$60,'TP-b'!$A$3:$A$60,"3F4D+MD",'TP-b'!$B$3:$B$60,EO56,'TP-b'!$E$3:$E$60,1))</f>
        <v/>
      </c>
      <c r="EP40" s="6">
        <f>IF(EP56="","",AVERAGEIFS('TP-b'!$D$3:$D$60,'TP-b'!$A$3:$A$60,"3F4D+MD",'TP-b'!$B$3:$B$60,EP56,'TP-b'!$E$3:$E$60,1))</f>
        <v/>
      </c>
      <c r="EQ40" s="6">
        <f>IF(EQ56="","",AVERAGEIFS('TP-b'!$D$3:$D$60,'TP-b'!$A$3:$A$60,"3F4D+MD",'TP-b'!$B$3:$B$60,EQ56,'TP-b'!$E$3:$E$60,1))</f>
        <v/>
      </c>
      <c r="ER40" s="6">
        <f>IF(ER56="","",AVERAGEIFS('TP-b'!$D$3:$D$60,'TP-b'!$A$3:$A$60,"3F4D+MD",'TP-b'!$B$3:$B$60,ER56,'TP-b'!$E$3:$E$60,1))</f>
        <v/>
      </c>
      <c r="ES40" s="6">
        <f>IF(ES56="","",AVERAGEIFS('TP-b'!$D$3:$D$60,'TP-b'!$A$3:$A$60,"3F4D+MD",'TP-b'!$B$3:$B$60,ES56,'TP-b'!$E$3:$E$60,1))</f>
        <v/>
      </c>
      <c r="ET40" s="6">
        <f>IF(ET56="","",AVERAGEIFS('TP-b'!$D$3:$D$60,'TP-b'!$A$3:$A$60,"3F4D+MD",'TP-b'!$B$3:$B$60,ET56,'TP-b'!$E$3:$E$60,1))</f>
        <v/>
      </c>
      <c r="EU40" s="6">
        <f>IF(EU56="","",AVERAGEIFS('TP-b'!$D$3:$D$60,'TP-b'!$A$3:$A$60,"3F4D+MD",'TP-b'!$B$3:$B$60,EU56,'TP-b'!$E$3:$E$60,1))</f>
        <v/>
      </c>
      <c r="EV40" s="6">
        <f>IF(EV56="","",AVERAGEIFS('TP-b'!$D$3:$D$60,'TP-b'!$A$3:$A$60,"3F4D+MD",'TP-b'!$B$3:$B$60,EV56,'TP-b'!$E$3:$E$60,1))</f>
        <v/>
      </c>
      <c r="EW40" s="6">
        <f>IF(EW56="","",AVERAGEIFS('TP-b'!$D$3:$D$60,'TP-b'!$A$3:$A$60,"3F4D+MD",'TP-b'!$B$3:$B$60,EW56,'TP-b'!$E$3:$E$60,1))</f>
        <v/>
      </c>
      <c r="EX40" s="6">
        <f>IF(EX56="","",AVERAGEIFS('TP-b'!$D$3:$D$60,'TP-b'!$A$3:$A$60,"3F4D+MD",'TP-b'!$B$3:$B$60,EX56,'TP-b'!$E$3:$E$60,1))</f>
        <v/>
      </c>
      <c r="EY40" s="6">
        <f>IF(EY56="","",AVERAGEIFS('TP-b'!$D$3:$D$60,'TP-b'!$A$3:$A$60,"3F4D+MD",'TP-b'!$B$3:$B$60,EY56,'TP-b'!$E$3:$E$60,1))</f>
        <v/>
      </c>
      <c r="EZ40" s="6">
        <f>IF(EZ56="","",AVERAGEIFS('TP-b'!$D$3:$D$60,'TP-b'!$A$3:$A$60,"3F4D+MD",'TP-b'!$B$3:$B$60,EZ56,'TP-b'!$E$3:$E$60,1))</f>
        <v/>
      </c>
      <c r="FA40" s="6">
        <f>IF(FA56="","",AVERAGEIFS('TP-b'!$D$3:$D$60,'TP-b'!$A$3:$A$60,"3F4D+MD",'TP-b'!$B$3:$B$60,FA56,'TP-b'!$E$3:$E$60,1))</f>
        <v/>
      </c>
      <c r="FB40" s="6">
        <f>IF(FB56="","",AVERAGEIFS('TP-b'!$D$3:$D$60,'TP-b'!$A$3:$A$60,"3F4D+MD",'TP-b'!$B$3:$B$60,FB56,'TP-b'!$E$3:$E$60,1))</f>
        <v/>
      </c>
      <c r="FC40" s="6">
        <f>IF(FC56="","",AVERAGEIFS('TP-b'!$D$3:$D$60,'TP-b'!$A$3:$A$60,"3F4D+MD",'TP-b'!$B$3:$B$60,FC56,'TP-b'!$E$3:$E$60,1))</f>
        <v/>
      </c>
      <c r="FD40" s="6">
        <f>IF(FD56="","",AVERAGEIFS('TP-b'!$D$3:$D$60,'TP-b'!$A$3:$A$60,"3F4D+MD",'TP-b'!$B$3:$B$60,FD56,'TP-b'!$E$3:$E$60,1))</f>
        <v/>
      </c>
      <c r="FE40" s="6">
        <f>IF(FE56="","",AVERAGEIFS('TP-b'!$D$3:$D$60,'TP-b'!$A$3:$A$60,"3F4D+MD",'TP-b'!$B$3:$B$60,FE56,'TP-b'!$E$3:$E$60,1))</f>
        <v/>
      </c>
      <c r="FF40" s="6">
        <f>IF(FF56="","",AVERAGEIFS('TP-b'!$D$3:$D$60,'TP-b'!$A$3:$A$60,"3F4D+MD",'TP-b'!$B$3:$B$60,FF56,'TP-b'!$E$3:$E$60,1))</f>
        <v/>
      </c>
      <c r="FG40" s="6">
        <f>IF(FG56="","",AVERAGEIFS('TP-b'!$D$3:$D$60,'TP-b'!$A$3:$A$60,"3F4D+MD",'TP-b'!$B$3:$B$60,FG56,'TP-b'!$E$3:$E$60,1))</f>
        <v/>
      </c>
      <c r="FH40" s="6">
        <f>IF(FH56="","",AVERAGEIFS('TP-b'!$D$3:$D$60,'TP-b'!$A$3:$A$60,"3F4D+MD",'TP-b'!$B$3:$B$60,FH56,'TP-b'!$E$3:$E$60,1))</f>
        <v/>
      </c>
      <c r="FI40" s="6">
        <f>IF(FI56="","",AVERAGEIFS('TP-b'!$D$3:$D$60,'TP-b'!$A$3:$A$60,"3F4D+MD",'TP-b'!$B$3:$B$60,FI56,'TP-b'!$E$3:$E$60,1))</f>
        <v/>
      </c>
      <c r="FJ40" s="6">
        <f>IF(FJ56="","",AVERAGEIFS('TP-b'!$D$3:$D$60,'TP-b'!$A$3:$A$60,"3F4D+MD",'TP-b'!$B$3:$B$60,FJ56,'TP-b'!$E$3:$E$60,1))</f>
        <v/>
      </c>
      <c r="FK40" s="6">
        <f>IF(FK56="","",AVERAGEIFS('TP-b'!$D$3:$D$60,'TP-b'!$A$3:$A$60,"3F4D+MD",'TP-b'!$B$3:$B$60,FK56,'TP-b'!$E$3:$E$60,1))</f>
        <v/>
      </c>
      <c r="FL40" s="6">
        <f>IF(FL56="","",AVERAGEIFS('TP-b'!$D$3:$D$60,'TP-b'!$A$3:$A$60,"3F4D+MD",'TP-b'!$B$3:$B$60,FL56,'TP-b'!$E$3:$E$60,1))</f>
        <v/>
      </c>
      <c r="FM40" s="6">
        <f>IF(FM56="","",AVERAGEIFS('TP-b'!$D$3:$D$60,'TP-b'!$A$3:$A$60,"3F4D+MD",'TP-b'!$B$3:$B$60,FM56,'TP-b'!$E$3:$E$60,1))</f>
        <v/>
      </c>
      <c r="FN40" s="6">
        <f>IF(FN56="","",AVERAGEIFS('TP-b'!$D$3:$D$60,'TP-b'!$A$3:$A$60,"3F4D+MD",'TP-b'!$B$3:$B$60,FN56,'TP-b'!$E$3:$E$60,1))</f>
        <v/>
      </c>
      <c r="FO40" s="6">
        <f>IF(FO56="","",AVERAGEIFS('TP-b'!$D$3:$D$60,'TP-b'!$A$3:$A$60,"3F4D+MD",'TP-b'!$B$3:$B$60,FO56,'TP-b'!$E$3:$E$60,1))</f>
        <v/>
      </c>
      <c r="FP40" s="6">
        <f>IF(FP56="","",AVERAGEIFS('TP-b'!$D$3:$D$60,'TP-b'!$A$3:$A$60,"3F4D+MD",'TP-b'!$B$3:$B$60,FP56,'TP-b'!$E$3:$E$60,1))</f>
        <v/>
      </c>
      <c r="FQ40" s="6">
        <f>IF(FQ56="","",AVERAGEIFS('TP-b'!$D$3:$D$60,'TP-b'!$A$3:$A$60,"3F4D+MD",'TP-b'!$B$3:$B$60,FQ56,'TP-b'!$E$3:$E$60,1))</f>
        <v/>
      </c>
    </row>
    <row r="41">
      <c r="A41" s="31" t="inlineStr">
        <is>
          <t>3F4D+MD</t>
        </is>
      </c>
      <c r="B41" s="30" t="inlineStr">
        <is>
          <t>Before irrigation m (cm) / সেচের আগে m</t>
        </is>
      </c>
      <c r="C41" s="18">
        <f>COUNT($D$46:$FQ$46)&amp;" irrig."</f>
        <v/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 t="n"/>
      <c r="EG41" s="22" t="n"/>
      <c r="EH41" s="22" t="n"/>
      <c r="EI41" s="22" t="n"/>
      <c r="EJ41" s="22" t="n"/>
      <c r="EK41" s="22" t="n"/>
      <c r="EL41" s="22" t="n"/>
      <c r="EM41" s="22" t="n"/>
      <c r="EN41" s="22" t="n"/>
      <c r="EO41" s="22" t="n"/>
      <c r="EP41" s="22" t="n"/>
      <c r="EQ41" s="22" t="n"/>
      <c r="ER41" s="22" t="n"/>
      <c r="ES41" s="22" t="n"/>
      <c r="ET41" s="22" t="n"/>
      <c r="EU41" s="22" t="n"/>
      <c r="EV41" s="22" t="n"/>
      <c r="EW41" s="22" t="n"/>
      <c r="EX41" s="22" t="n"/>
      <c r="EY41" s="22" t="n"/>
      <c r="EZ41" s="22" t="n"/>
      <c r="FA41" s="22" t="n"/>
      <c r="FB41" s="22" t="n"/>
      <c r="FC41" s="22" t="n"/>
      <c r="FD41" s="22" t="n"/>
      <c r="FE41" s="22" t="n"/>
      <c r="FF41" s="22" t="n"/>
      <c r="FG41" s="22" t="n"/>
      <c r="FH41" s="22" t="n"/>
      <c r="FI41" s="22" t="n"/>
      <c r="FJ41" s="22" t="n"/>
      <c r="FK41" s="22" t="n"/>
      <c r="FL41" s="22" t="n"/>
      <c r="FM41" s="22" t="n"/>
      <c r="FN41" s="22" t="n"/>
      <c r="FO41" s="22" t="n"/>
      <c r="FP41" s="22" t="n"/>
      <c r="FQ41" s="22" t="n"/>
    </row>
    <row r="42">
      <c r="A42" s="31" t="inlineStr">
        <is>
          <t>3F4D+MD</t>
        </is>
      </c>
      <c r="B42" s="30" t="inlineStr">
        <is>
          <t>After irrigation m (cm) / সেচের পরে 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 t="n"/>
      <c r="EG42" s="22" t="n"/>
      <c r="EH42" s="22" t="n"/>
      <c r="EI42" s="22" t="n"/>
      <c r="EJ42" s="22" t="n"/>
      <c r="EK42" s="22" t="n"/>
      <c r="EL42" s="22" t="n"/>
      <c r="EM42" s="22" t="n"/>
      <c r="EN42" s="22" t="n"/>
      <c r="EO42" s="22" t="n"/>
      <c r="EP42" s="22" t="n"/>
      <c r="EQ42" s="22" t="n"/>
      <c r="ER42" s="22" t="n"/>
      <c r="ES42" s="22" t="n"/>
      <c r="ET42" s="22" t="n"/>
      <c r="EU42" s="22" t="n"/>
      <c r="EV42" s="22" t="n"/>
      <c r="EW42" s="22" t="n"/>
      <c r="EX42" s="22" t="n"/>
      <c r="EY42" s="22" t="n"/>
      <c r="EZ42" s="22" t="n"/>
      <c r="FA42" s="22" t="n"/>
      <c r="FB42" s="22" t="n"/>
      <c r="FC42" s="22" t="n"/>
      <c r="FD42" s="22" t="n"/>
      <c r="FE42" s="22" t="n"/>
      <c r="FF42" s="22" t="n"/>
      <c r="FG42" s="22" t="n"/>
      <c r="FH42" s="22" t="n"/>
      <c r="FI42" s="22" t="n"/>
      <c r="FJ42" s="22" t="n"/>
      <c r="FK42" s="22" t="n"/>
      <c r="FL42" s="22" t="n"/>
      <c r="FM42" s="22" t="n"/>
      <c r="FN42" s="22" t="n"/>
      <c r="FO42" s="22" t="n"/>
      <c r="FP42" s="22" t="n"/>
      <c r="FQ42" s="22" t="n"/>
    </row>
    <row r="43">
      <c r="A43" s="31" t="inlineStr">
        <is>
          <t>3F4D+MD</t>
        </is>
      </c>
      <c r="B43" s="30" t="inlineStr">
        <is>
          <t>Irrigation time (min:sec) / সেচের সময়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 t="n"/>
      <c r="EG43" s="22" t="n"/>
      <c r="EH43" s="22" t="n"/>
      <c r="EI43" s="22" t="n"/>
      <c r="EJ43" s="22" t="n"/>
      <c r="EK43" s="22" t="n"/>
      <c r="EL43" s="22" t="n"/>
      <c r="EM43" s="22" t="n"/>
      <c r="EN43" s="22" t="n"/>
      <c r="EO43" s="22" t="n"/>
      <c r="EP43" s="22" t="n"/>
      <c r="EQ43" s="22" t="n"/>
      <c r="ER43" s="22" t="n"/>
      <c r="ES43" s="22" t="n"/>
      <c r="ET43" s="22" t="n"/>
      <c r="EU43" s="22" t="n"/>
      <c r="EV43" s="22" t="n"/>
      <c r="EW43" s="22" t="n"/>
      <c r="EX43" s="22" t="n"/>
      <c r="EY43" s="22" t="n"/>
      <c r="EZ43" s="22" t="n"/>
      <c r="FA43" s="22" t="n"/>
      <c r="FB43" s="22" t="n"/>
      <c r="FC43" s="22" t="n"/>
      <c r="FD43" s="22" t="n"/>
      <c r="FE43" s="22" t="n"/>
      <c r="FF43" s="22" t="n"/>
      <c r="FG43" s="22" t="n"/>
      <c r="FH43" s="22" t="n"/>
      <c r="FI43" s="22" t="n"/>
      <c r="FJ43" s="22" t="n"/>
      <c r="FK43" s="22" t="n"/>
      <c r="FL43" s="22" t="n"/>
      <c r="FM43" s="22" t="n"/>
      <c r="FN43" s="22" t="n"/>
      <c r="FO43" s="22" t="n"/>
      <c r="FP43" s="22" t="n"/>
      <c r="FQ43" s="22" t="n"/>
    </row>
    <row r="44">
      <c r="A44" s="31" t="inlineStr">
        <is>
          <t>3F4D+MD</t>
        </is>
      </c>
      <c r="B44" s="30" t="inlineStr">
        <is>
          <t>Before irrigation water level (cm) / সেচের আগে স্তর</t>
        </is>
      </c>
      <c r="D44" s="6">
        <f>IF(AND(ISNUMBER(D41),ISNUMBER(D42),D39&lt;&gt;""),ROUND(D41-D39+D40,1),"")</f>
        <v/>
      </c>
      <c r="E44" s="6">
        <f>IF(AND(ISNUMBER(E41),ISNUMBER(E42),E39&lt;&gt;""),ROUND(E41-E39+E40,1),"")</f>
        <v/>
      </c>
      <c r="F44" s="6">
        <f>IF(AND(ISNUMBER(F41),ISNUMBER(F42),F39&lt;&gt;""),ROUND(F41-F39+F40,1),"")</f>
        <v/>
      </c>
      <c r="G44" s="6">
        <f>IF(AND(ISNUMBER(G41),ISNUMBER(G42),G39&lt;&gt;""),ROUND(G41-G39+G40,1),"")</f>
        <v/>
      </c>
      <c r="H44" s="6">
        <f>IF(AND(ISNUMBER(H41),ISNUMBER(H42),H39&lt;&gt;""),ROUND(H41-H39+H40,1),"")</f>
        <v/>
      </c>
      <c r="I44" s="6">
        <f>IF(AND(ISNUMBER(I41),ISNUMBER(I42),I39&lt;&gt;""),ROUND(I41-I39+I40,1),"")</f>
        <v/>
      </c>
      <c r="J44" s="6">
        <f>IF(AND(ISNUMBER(J41),ISNUMBER(J42),J39&lt;&gt;""),ROUND(J41-J39+J40,1),"")</f>
        <v/>
      </c>
      <c r="K44" s="6">
        <f>IF(AND(ISNUMBER(K41),ISNUMBER(K42),K39&lt;&gt;""),ROUND(K41-K39+K40,1),"")</f>
        <v/>
      </c>
      <c r="L44" s="6">
        <f>IF(AND(ISNUMBER(L41),ISNUMBER(L42),L39&lt;&gt;""),ROUND(L41-L39+L40,1),"")</f>
        <v/>
      </c>
      <c r="M44" s="6">
        <f>IF(AND(ISNUMBER(M41),ISNUMBER(M42),M39&lt;&gt;""),ROUND(M41-M39+M40,1),"")</f>
        <v/>
      </c>
      <c r="N44" s="6">
        <f>IF(AND(ISNUMBER(N41),ISNUMBER(N42),N39&lt;&gt;""),ROUND(N41-N39+N40,1),"")</f>
        <v/>
      </c>
      <c r="O44" s="6">
        <f>IF(AND(ISNUMBER(O41),ISNUMBER(O42),O39&lt;&gt;""),ROUND(O41-O39+O40,1),"")</f>
        <v/>
      </c>
      <c r="P44" s="6">
        <f>IF(AND(ISNUMBER(P41),ISNUMBER(P42),P39&lt;&gt;""),ROUND(P41-P39+P40,1),"")</f>
        <v/>
      </c>
      <c r="Q44" s="6">
        <f>IF(AND(ISNUMBER(Q41),ISNUMBER(Q42),Q39&lt;&gt;""),ROUND(Q41-Q39+Q40,1),"")</f>
        <v/>
      </c>
      <c r="R44" s="6">
        <f>IF(AND(ISNUMBER(R41),ISNUMBER(R42),R39&lt;&gt;""),ROUND(R41-R39+R40,1),"")</f>
        <v/>
      </c>
      <c r="S44" s="6">
        <f>IF(AND(ISNUMBER(S41),ISNUMBER(S42),S39&lt;&gt;""),ROUND(S41-S39+S40,1),"")</f>
        <v/>
      </c>
      <c r="T44" s="6">
        <f>IF(AND(ISNUMBER(T41),ISNUMBER(T42),T39&lt;&gt;""),ROUND(T41-T39+T40,1),"")</f>
        <v/>
      </c>
      <c r="U44" s="6">
        <f>IF(AND(ISNUMBER(U41),ISNUMBER(U42),U39&lt;&gt;""),ROUND(U41-U39+U40,1),"")</f>
        <v/>
      </c>
      <c r="V44" s="6">
        <f>IF(AND(ISNUMBER(V41),ISNUMBER(V42),V39&lt;&gt;""),ROUND(V41-V39+V40,1),"")</f>
        <v/>
      </c>
      <c r="W44" s="6">
        <f>IF(AND(ISNUMBER(W41),ISNUMBER(W42),W39&lt;&gt;""),ROUND(W41-W39+W40,1),"")</f>
        <v/>
      </c>
      <c r="X44" s="6">
        <f>IF(AND(ISNUMBER(X41),ISNUMBER(X42),X39&lt;&gt;""),ROUND(X41-X39+X40,1),"")</f>
        <v/>
      </c>
      <c r="Y44" s="6">
        <f>IF(AND(ISNUMBER(Y41),ISNUMBER(Y42),Y39&lt;&gt;""),ROUND(Y41-Y39+Y40,1),"")</f>
        <v/>
      </c>
      <c r="Z44" s="6">
        <f>IF(AND(ISNUMBER(Z41),ISNUMBER(Z42),Z39&lt;&gt;""),ROUND(Z41-Z39+Z40,1),"")</f>
        <v/>
      </c>
      <c r="AA44" s="6">
        <f>IF(AND(ISNUMBER(AA41),ISNUMBER(AA42),AA39&lt;&gt;""),ROUND(AA41-AA39+AA40,1),"")</f>
        <v/>
      </c>
      <c r="AB44" s="6">
        <f>IF(AND(ISNUMBER(AB41),ISNUMBER(AB42),AB39&lt;&gt;""),ROUND(AB41-AB39+AB40,1),"")</f>
        <v/>
      </c>
      <c r="AC44" s="6">
        <f>IF(AND(ISNUMBER(AC41),ISNUMBER(AC42),AC39&lt;&gt;""),ROUND(AC41-AC39+AC40,1),"")</f>
        <v/>
      </c>
      <c r="AD44" s="6">
        <f>IF(AND(ISNUMBER(AD41),ISNUMBER(AD42),AD39&lt;&gt;""),ROUND(AD41-AD39+AD40,1),"")</f>
        <v/>
      </c>
      <c r="AE44" s="6">
        <f>IF(AND(ISNUMBER(AE41),ISNUMBER(AE42),AE39&lt;&gt;""),ROUND(AE41-AE39+AE40,1),"")</f>
        <v/>
      </c>
      <c r="AF44" s="6">
        <f>IF(AND(ISNUMBER(AF41),ISNUMBER(AF42),AF39&lt;&gt;""),ROUND(AF41-AF39+AF40,1),"")</f>
        <v/>
      </c>
      <c r="AG44" s="6">
        <f>IF(AND(ISNUMBER(AG41),ISNUMBER(AG42),AG39&lt;&gt;""),ROUND(AG41-AG39+AG40,1),"")</f>
        <v/>
      </c>
      <c r="AH44" s="6">
        <f>IF(AND(ISNUMBER(AH41),ISNUMBER(AH42),AH39&lt;&gt;""),ROUND(AH41-AH39+AH40,1),"")</f>
        <v/>
      </c>
      <c r="AI44" s="6">
        <f>IF(AND(ISNUMBER(AI41),ISNUMBER(AI42),AI39&lt;&gt;""),ROUND(AI41-AI39+AI40,1),"")</f>
        <v/>
      </c>
      <c r="AJ44" s="6">
        <f>IF(AND(ISNUMBER(AJ41),ISNUMBER(AJ42),AJ39&lt;&gt;""),ROUND(AJ41-AJ39+AJ40,1),"")</f>
        <v/>
      </c>
      <c r="AK44" s="6">
        <f>IF(AND(ISNUMBER(AK41),ISNUMBER(AK42),AK39&lt;&gt;""),ROUND(AK41-AK39+AK40,1),"")</f>
        <v/>
      </c>
      <c r="AL44" s="6">
        <f>IF(AND(ISNUMBER(AL41),ISNUMBER(AL42),AL39&lt;&gt;""),ROUND(AL41-AL39+AL40,1),"")</f>
        <v/>
      </c>
      <c r="AM44" s="6">
        <f>IF(AND(ISNUMBER(AM41),ISNUMBER(AM42),AM39&lt;&gt;""),ROUND(AM41-AM39+AM40,1),"")</f>
        <v/>
      </c>
      <c r="AN44" s="6">
        <f>IF(AND(ISNUMBER(AN41),ISNUMBER(AN42),AN39&lt;&gt;""),ROUND(AN41-AN39+AN40,1),"")</f>
        <v/>
      </c>
      <c r="AO44" s="6">
        <f>IF(AND(ISNUMBER(AO41),ISNUMBER(AO42),AO39&lt;&gt;""),ROUND(AO41-AO39+AO40,1),"")</f>
        <v/>
      </c>
      <c r="AP44" s="6">
        <f>IF(AND(ISNUMBER(AP41),ISNUMBER(AP42),AP39&lt;&gt;""),ROUND(AP41-AP39+AP40,1),"")</f>
        <v/>
      </c>
      <c r="AQ44" s="6">
        <f>IF(AND(ISNUMBER(AQ41),ISNUMBER(AQ42),AQ39&lt;&gt;""),ROUND(AQ41-AQ39+AQ40,1),"")</f>
        <v/>
      </c>
      <c r="AR44" s="6">
        <f>IF(AND(ISNUMBER(AR41),ISNUMBER(AR42),AR39&lt;&gt;""),ROUND(AR41-AR39+AR40,1),"")</f>
        <v/>
      </c>
      <c r="AS44" s="6">
        <f>IF(AND(ISNUMBER(AS41),ISNUMBER(AS42),AS39&lt;&gt;""),ROUND(AS41-AS39+AS40,1),"")</f>
        <v/>
      </c>
      <c r="AT44" s="6">
        <f>IF(AND(ISNUMBER(AT41),ISNUMBER(AT42),AT39&lt;&gt;""),ROUND(AT41-AT39+AT40,1),"")</f>
        <v/>
      </c>
      <c r="AU44" s="6">
        <f>IF(AND(ISNUMBER(AU41),ISNUMBER(AU42),AU39&lt;&gt;""),ROUND(AU41-AU39+AU40,1),"")</f>
        <v/>
      </c>
      <c r="AV44" s="6">
        <f>IF(AND(ISNUMBER(AV41),ISNUMBER(AV42),AV39&lt;&gt;""),ROUND(AV41-AV39+AV40,1),"")</f>
        <v/>
      </c>
      <c r="AW44" s="6">
        <f>IF(AND(ISNUMBER(AW41),ISNUMBER(AW42),AW39&lt;&gt;""),ROUND(AW41-AW39+AW40,1),"")</f>
        <v/>
      </c>
      <c r="AX44" s="6">
        <f>IF(AND(ISNUMBER(AX41),ISNUMBER(AX42),AX39&lt;&gt;""),ROUND(AX41-AX39+AX40,1),"")</f>
        <v/>
      </c>
      <c r="AY44" s="6">
        <f>IF(AND(ISNUMBER(AY41),ISNUMBER(AY42),AY39&lt;&gt;""),ROUND(AY41-AY39+AY40,1),"")</f>
        <v/>
      </c>
      <c r="AZ44" s="6">
        <f>IF(AND(ISNUMBER(AZ41),ISNUMBER(AZ42),AZ39&lt;&gt;""),ROUND(AZ41-AZ39+AZ40,1),"")</f>
        <v/>
      </c>
      <c r="BA44" s="6">
        <f>IF(AND(ISNUMBER(BA41),ISNUMBER(BA42),BA39&lt;&gt;""),ROUND(BA41-BA39+BA40,1),"")</f>
        <v/>
      </c>
      <c r="BB44" s="6">
        <f>IF(AND(ISNUMBER(BB41),ISNUMBER(BB42),BB39&lt;&gt;""),ROUND(BB41-BB39+BB40,1),"")</f>
        <v/>
      </c>
      <c r="BC44" s="6">
        <f>IF(AND(ISNUMBER(BC41),ISNUMBER(BC42),BC39&lt;&gt;""),ROUND(BC41-BC39+BC40,1),"")</f>
        <v/>
      </c>
      <c r="BD44" s="6">
        <f>IF(AND(ISNUMBER(BD41),ISNUMBER(BD42),BD39&lt;&gt;""),ROUND(BD41-BD39+BD40,1),"")</f>
        <v/>
      </c>
      <c r="BE44" s="6">
        <f>IF(AND(ISNUMBER(BE41),ISNUMBER(BE42),BE39&lt;&gt;""),ROUND(BE41-BE39+BE40,1),"")</f>
        <v/>
      </c>
      <c r="BF44" s="6">
        <f>IF(AND(ISNUMBER(BF41),ISNUMBER(BF42),BF39&lt;&gt;""),ROUND(BF41-BF39+BF40,1),"")</f>
        <v/>
      </c>
      <c r="BG44" s="6">
        <f>IF(AND(ISNUMBER(BG41),ISNUMBER(BG42),BG39&lt;&gt;""),ROUND(BG41-BG39+BG40,1),"")</f>
        <v/>
      </c>
      <c r="BH44" s="6">
        <f>IF(AND(ISNUMBER(BH41),ISNUMBER(BH42),BH39&lt;&gt;""),ROUND(BH41-BH39+BH40,1),"")</f>
        <v/>
      </c>
      <c r="BI44" s="6">
        <f>IF(AND(ISNUMBER(BI41),ISNUMBER(BI42),BI39&lt;&gt;""),ROUND(BI41-BI39+BI40,1),"")</f>
        <v/>
      </c>
      <c r="BJ44" s="6">
        <f>IF(AND(ISNUMBER(BJ41),ISNUMBER(BJ42),BJ39&lt;&gt;""),ROUND(BJ41-BJ39+BJ40,1),"")</f>
        <v/>
      </c>
      <c r="BK44" s="6">
        <f>IF(AND(ISNUMBER(BK41),ISNUMBER(BK42),BK39&lt;&gt;""),ROUND(BK41-BK39+BK40,1),"")</f>
        <v/>
      </c>
      <c r="BL44" s="6">
        <f>IF(AND(ISNUMBER(BL41),ISNUMBER(BL42),BL39&lt;&gt;""),ROUND(BL41-BL39+BL40,1),"")</f>
        <v/>
      </c>
      <c r="BM44" s="6">
        <f>IF(AND(ISNUMBER(BM41),ISNUMBER(BM42),BM39&lt;&gt;""),ROUND(BM41-BM39+BM40,1),"")</f>
        <v/>
      </c>
      <c r="BN44" s="6">
        <f>IF(AND(ISNUMBER(BN41),ISNUMBER(BN42),BN39&lt;&gt;""),ROUND(BN41-BN39+BN40,1),"")</f>
        <v/>
      </c>
      <c r="BO44" s="6">
        <f>IF(AND(ISNUMBER(BO41),ISNUMBER(BO42),BO39&lt;&gt;""),ROUND(BO41-BO39+BO40,1),"")</f>
        <v/>
      </c>
      <c r="BP44" s="6">
        <f>IF(AND(ISNUMBER(BP41),ISNUMBER(BP42),BP39&lt;&gt;""),ROUND(BP41-BP39+BP40,1),"")</f>
        <v/>
      </c>
      <c r="BQ44" s="6">
        <f>IF(AND(ISNUMBER(BQ41),ISNUMBER(BQ42),BQ39&lt;&gt;""),ROUND(BQ41-BQ39+BQ40,1),"")</f>
        <v/>
      </c>
      <c r="BR44" s="6">
        <f>IF(AND(ISNUMBER(BR41),ISNUMBER(BR42),BR39&lt;&gt;""),ROUND(BR41-BR39+BR40,1),"")</f>
        <v/>
      </c>
      <c r="BS44" s="6">
        <f>IF(AND(ISNUMBER(BS41),ISNUMBER(BS42),BS39&lt;&gt;""),ROUND(BS41-BS39+BS40,1),"")</f>
        <v/>
      </c>
      <c r="BT44" s="6">
        <f>IF(AND(ISNUMBER(BT41),ISNUMBER(BT42),BT39&lt;&gt;""),ROUND(BT41-BT39+BT40,1),"")</f>
        <v/>
      </c>
      <c r="BU44" s="6">
        <f>IF(AND(ISNUMBER(BU41),ISNUMBER(BU42),BU39&lt;&gt;""),ROUND(BU41-BU39+BU40,1),"")</f>
        <v/>
      </c>
      <c r="BV44" s="6">
        <f>IF(AND(ISNUMBER(BV41),ISNUMBER(BV42),BV39&lt;&gt;""),ROUND(BV41-BV39+BV40,1),"")</f>
        <v/>
      </c>
      <c r="BW44" s="6">
        <f>IF(AND(ISNUMBER(BW41),ISNUMBER(BW42),BW39&lt;&gt;""),ROUND(BW41-BW39+BW40,1),"")</f>
        <v/>
      </c>
      <c r="BX44" s="6">
        <f>IF(AND(ISNUMBER(BX41),ISNUMBER(BX42),BX39&lt;&gt;""),ROUND(BX41-BX39+BX40,1),"")</f>
        <v/>
      </c>
      <c r="BY44" s="6">
        <f>IF(AND(ISNUMBER(BY41),ISNUMBER(BY42),BY39&lt;&gt;""),ROUND(BY41-BY39+BY40,1),"")</f>
        <v/>
      </c>
      <c r="BZ44" s="6">
        <f>IF(AND(ISNUMBER(BZ41),ISNUMBER(BZ42),BZ39&lt;&gt;""),ROUND(BZ41-BZ39+BZ40,1),"")</f>
        <v/>
      </c>
      <c r="CA44" s="6">
        <f>IF(AND(ISNUMBER(CA41),ISNUMBER(CA42),CA39&lt;&gt;""),ROUND(CA41-CA39+CA40,1),"")</f>
        <v/>
      </c>
      <c r="CB44" s="6">
        <f>IF(AND(ISNUMBER(CB41),ISNUMBER(CB42),CB39&lt;&gt;""),ROUND(CB41-CB39+CB40,1),"")</f>
        <v/>
      </c>
      <c r="CC44" s="6">
        <f>IF(AND(ISNUMBER(CC41),ISNUMBER(CC42),CC39&lt;&gt;""),ROUND(CC41-CC39+CC40,1),"")</f>
        <v/>
      </c>
      <c r="CD44" s="6">
        <f>IF(AND(ISNUMBER(CD41),ISNUMBER(CD42),CD39&lt;&gt;""),ROUND(CD41-CD39+CD40,1),"")</f>
        <v/>
      </c>
      <c r="CE44" s="6">
        <f>IF(AND(ISNUMBER(CE41),ISNUMBER(CE42),CE39&lt;&gt;""),ROUND(CE41-CE39+CE40,1),"")</f>
        <v/>
      </c>
      <c r="CF44" s="6">
        <f>IF(AND(ISNUMBER(CF41),ISNUMBER(CF42),CF39&lt;&gt;""),ROUND(CF41-CF39+CF40,1),"")</f>
        <v/>
      </c>
      <c r="CG44" s="6">
        <f>IF(AND(ISNUMBER(CG41),ISNUMBER(CG42),CG39&lt;&gt;""),ROUND(CG41-CG39+CG40,1),"")</f>
        <v/>
      </c>
      <c r="CH44" s="6">
        <f>IF(AND(ISNUMBER(CH41),ISNUMBER(CH42),CH39&lt;&gt;""),ROUND(CH41-CH39+CH40,1),"")</f>
        <v/>
      </c>
      <c r="CI44" s="6">
        <f>IF(AND(ISNUMBER(CI41),ISNUMBER(CI42),CI39&lt;&gt;""),ROUND(CI41-CI39+CI40,1),"")</f>
        <v/>
      </c>
      <c r="CJ44" s="6">
        <f>IF(AND(ISNUMBER(CJ41),ISNUMBER(CJ42),CJ39&lt;&gt;""),ROUND(CJ41-CJ39+CJ40,1),"")</f>
        <v/>
      </c>
      <c r="CK44" s="6">
        <f>IF(AND(ISNUMBER(CK41),ISNUMBER(CK42),CK39&lt;&gt;""),ROUND(CK41-CK39+CK40,1),"")</f>
        <v/>
      </c>
      <c r="CL44" s="6">
        <f>IF(AND(ISNUMBER(CL41),ISNUMBER(CL42),CL39&lt;&gt;""),ROUND(CL41-CL39+CL40,1),"")</f>
        <v/>
      </c>
      <c r="CM44" s="6">
        <f>IF(AND(ISNUMBER(CM41),ISNUMBER(CM42),CM39&lt;&gt;""),ROUND(CM41-CM39+CM40,1),"")</f>
        <v/>
      </c>
      <c r="CN44" s="6">
        <f>IF(AND(ISNUMBER(CN41),ISNUMBER(CN42),CN39&lt;&gt;""),ROUND(CN41-CN39+CN40,1),"")</f>
        <v/>
      </c>
      <c r="CO44" s="6">
        <f>IF(AND(ISNUMBER(CO41),ISNUMBER(CO42),CO39&lt;&gt;""),ROUND(CO41-CO39+CO40,1),"")</f>
        <v/>
      </c>
      <c r="CP44" s="6">
        <f>IF(AND(ISNUMBER(CP41),ISNUMBER(CP42),CP39&lt;&gt;""),ROUND(CP41-CP39+CP40,1),"")</f>
        <v/>
      </c>
      <c r="CQ44" s="6">
        <f>IF(AND(ISNUMBER(CQ41),ISNUMBER(CQ42),CQ39&lt;&gt;""),ROUND(CQ41-CQ39+CQ40,1),"")</f>
        <v/>
      </c>
      <c r="CR44" s="6">
        <f>IF(AND(ISNUMBER(CR41),ISNUMBER(CR42),CR39&lt;&gt;""),ROUND(CR41-CR39+CR40,1),"")</f>
        <v/>
      </c>
      <c r="CS44" s="6">
        <f>IF(AND(ISNUMBER(CS41),ISNUMBER(CS42),CS39&lt;&gt;""),ROUND(CS41-CS39+CS40,1),"")</f>
        <v/>
      </c>
      <c r="CT44" s="6">
        <f>IF(AND(ISNUMBER(CT41),ISNUMBER(CT42),CT39&lt;&gt;""),ROUND(CT41-CT39+CT40,1),"")</f>
        <v/>
      </c>
      <c r="CU44" s="6">
        <f>IF(AND(ISNUMBER(CU41),ISNUMBER(CU42),CU39&lt;&gt;""),ROUND(CU41-CU39+CU40,1),"")</f>
        <v/>
      </c>
      <c r="CV44" s="6">
        <f>IF(AND(ISNUMBER(CV41),ISNUMBER(CV42),CV39&lt;&gt;""),ROUND(CV41-CV39+CV40,1),"")</f>
        <v/>
      </c>
      <c r="CW44" s="6">
        <f>IF(AND(ISNUMBER(CW41),ISNUMBER(CW42),CW39&lt;&gt;""),ROUND(CW41-CW39+CW40,1),"")</f>
        <v/>
      </c>
      <c r="CX44" s="6">
        <f>IF(AND(ISNUMBER(CX41),ISNUMBER(CX42),CX39&lt;&gt;""),ROUND(CX41-CX39+CX40,1),"")</f>
        <v/>
      </c>
      <c r="CY44" s="6">
        <f>IF(AND(ISNUMBER(CY41),ISNUMBER(CY42),CY39&lt;&gt;""),ROUND(CY41-CY39+CY40,1),"")</f>
        <v/>
      </c>
      <c r="CZ44" s="6">
        <f>IF(AND(ISNUMBER(CZ41),ISNUMBER(CZ42),CZ39&lt;&gt;""),ROUND(CZ41-CZ39+CZ40,1),"")</f>
        <v/>
      </c>
      <c r="DA44" s="6">
        <f>IF(AND(ISNUMBER(DA41),ISNUMBER(DA42),DA39&lt;&gt;""),ROUND(DA41-DA39+DA40,1),"")</f>
        <v/>
      </c>
      <c r="DB44" s="6">
        <f>IF(AND(ISNUMBER(DB41),ISNUMBER(DB42),DB39&lt;&gt;""),ROUND(DB41-DB39+DB40,1),"")</f>
        <v/>
      </c>
      <c r="DC44" s="6">
        <f>IF(AND(ISNUMBER(DC41),ISNUMBER(DC42),DC39&lt;&gt;""),ROUND(DC41-DC39+DC40,1),"")</f>
        <v/>
      </c>
      <c r="DD44" s="6">
        <f>IF(AND(ISNUMBER(DD41),ISNUMBER(DD42),DD39&lt;&gt;""),ROUND(DD41-DD39+DD40,1),"")</f>
        <v/>
      </c>
      <c r="DE44" s="6">
        <f>IF(AND(ISNUMBER(DE41),ISNUMBER(DE42),DE39&lt;&gt;""),ROUND(DE41-DE39+DE40,1),"")</f>
        <v/>
      </c>
      <c r="DF44" s="6">
        <f>IF(AND(ISNUMBER(DF41),ISNUMBER(DF42),DF39&lt;&gt;""),ROUND(DF41-DF39+DF40,1),"")</f>
        <v/>
      </c>
      <c r="DG44" s="6">
        <f>IF(AND(ISNUMBER(DG41),ISNUMBER(DG42),DG39&lt;&gt;""),ROUND(DG41-DG39+DG40,1),"")</f>
        <v/>
      </c>
      <c r="DH44" s="6">
        <f>IF(AND(ISNUMBER(DH41),ISNUMBER(DH42),DH39&lt;&gt;""),ROUND(DH41-DH39+DH40,1),"")</f>
        <v/>
      </c>
      <c r="DI44" s="6">
        <f>IF(AND(ISNUMBER(DI41),ISNUMBER(DI42),DI39&lt;&gt;""),ROUND(DI41-DI39+DI40,1),"")</f>
        <v/>
      </c>
      <c r="DJ44" s="6">
        <f>IF(AND(ISNUMBER(DJ41),ISNUMBER(DJ42),DJ39&lt;&gt;""),ROUND(DJ41-DJ39+DJ40,1),"")</f>
        <v/>
      </c>
      <c r="DK44" s="6">
        <f>IF(AND(ISNUMBER(DK41),ISNUMBER(DK42),DK39&lt;&gt;""),ROUND(DK41-DK39+DK40,1),"")</f>
        <v/>
      </c>
      <c r="DL44" s="6">
        <f>IF(AND(ISNUMBER(DL41),ISNUMBER(DL42),DL39&lt;&gt;""),ROUND(DL41-DL39+DL40,1),"")</f>
        <v/>
      </c>
      <c r="DM44" s="6">
        <f>IF(AND(ISNUMBER(DM41),ISNUMBER(DM42),DM39&lt;&gt;""),ROUND(DM41-DM39+DM40,1),"")</f>
        <v/>
      </c>
      <c r="DN44" s="6">
        <f>IF(AND(ISNUMBER(DN41),ISNUMBER(DN42),DN39&lt;&gt;""),ROUND(DN41-DN39+DN40,1),"")</f>
        <v/>
      </c>
      <c r="DO44" s="6">
        <f>IF(AND(ISNUMBER(DO41),ISNUMBER(DO42),DO39&lt;&gt;""),ROUND(DO41-DO39+DO40,1),"")</f>
        <v/>
      </c>
      <c r="DP44" s="6">
        <f>IF(AND(ISNUMBER(DP41),ISNUMBER(DP42),DP39&lt;&gt;""),ROUND(DP41-DP39+DP40,1),"")</f>
        <v/>
      </c>
      <c r="DQ44" s="6">
        <f>IF(AND(ISNUMBER(DQ41),ISNUMBER(DQ42),DQ39&lt;&gt;""),ROUND(DQ41-DQ39+DQ40,1),"")</f>
        <v/>
      </c>
      <c r="DR44" s="6">
        <f>IF(AND(ISNUMBER(DR41),ISNUMBER(DR42),DR39&lt;&gt;""),ROUND(DR41-DR39+DR40,1),"")</f>
        <v/>
      </c>
      <c r="DS44" s="6">
        <f>IF(AND(ISNUMBER(DS41),ISNUMBER(DS42),DS39&lt;&gt;""),ROUND(DS41-DS39+DS40,1),"")</f>
        <v/>
      </c>
      <c r="DT44" s="6">
        <f>IF(AND(ISNUMBER(DT41),ISNUMBER(DT42),DT39&lt;&gt;""),ROUND(DT41-DT39+DT40,1),"")</f>
        <v/>
      </c>
      <c r="DU44" s="6">
        <f>IF(AND(ISNUMBER(DU41),ISNUMBER(DU42),DU39&lt;&gt;""),ROUND(DU41-DU39+DU40,1),"")</f>
        <v/>
      </c>
      <c r="DV44" s="6">
        <f>IF(AND(ISNUMBER(DV41),ISNUMBER(DV42),DV39&lt;&gt;""),ROUND(DV41-DV39+DV40,1),"")</f>
        <v/>
      </c>
      <c r="DW44" s="6">
        <f>IF(AND(ISNUMBER(DW41),ISNUMBER(DW42),DW39&lt;&gt;""),ROUND(DW41-DW39+DW40,1),"")</f>
        <v/>
      </c>
      <c r="DX44" s="6">
        <f>IF(AND(ISNUMBER(DX41),ISNUMBER(DX42),DX39&lt;&gt;""),ROUND(DX41-DX39+DX40,1),"")</f>
        <v/>
      </c>
      <c r="DY44" s="6">
        <f>IF(AND(ISNUMBER(DY41),ISNUMBER(DY42),DY39&lt;&gt;""),ROUND(DY41-DY39+DY40,1),"")</f>
        <v/>
      </c>
      <c r="DZ44" s="6">
        <f>IF(AND(ISNUMBER(DZ41),ISNUMBER(DZ42),DZ39&lt;&gt;""),ROUND(DZ41-DZ39+DZ40,1),"")</f>
        <v/>
      </c>
      <c r="EA44" s="6">
        <f>IF(AND(ISNUMBER(EA41),ISNUMBER(EA42),EA39&lt;&gt;""),ROUND(EA41-EA39+EA40,1),"")</f>
        <v/>
      </c>
      <c r="EB44" s="6">
        <f>IF(AND(ISNUMBER(EB41),ISNUMBER(EB42),EB39&lt;&gt;""),ROUND(EB41-EB39+EB40,1),"")</f>
        <v/>
      </c>
      <c r="EC44" s="6">
        <f>IF(AND(ISNUMBER(EC41),ISNUMBER(EC42),EC39&lt;&gt;""),ROUND(EC41-EC39+EC40,1),"")</f>
        <v/>
      </c>
      <c r="ED44" s="6">
        <f>IF(AND(ISNUMBER(ED41),ISNUMBER(ED42),ED39&lt;&gt;""),ROUND(ED41-ED39+ED40,1),"")</f>
        <v/>
      </c>
      <c r="EE44" s="6">
        <f>IF(AND(ISNUMBER(EE41),ISNUMBER(EE42),EE39&lt;&gt;""),ROUND(EE41-EE39+EE40,1),"")</f>
        <v/>
      </c>
      <c r="EF44" s="6">
        <f>IF(AND(ISNUMBER(EF41),ISNUMBER(EF42),EF39&lt;&gt;""),ROUND(EF41-EF39+EF40,1),"")</f>
        <v/>
      </c>
      <c r="EG44" s="6">
        <f>IF(AND(ISNUMBER(EG41),ISNUMBER(EG42),EG39&lt;&gt;""),ROUND(EG41-EG39+EG40,1),"")</f>
        <v/>
      </c>
      <c r="EH44" s="6">
        <f>IF(AND(ISNUMBER(EH41),ISNUMBER(EH42),EH39&lt;&gt;""),ROUND(EH41-EH39+EH40,1),"")</f>
        <v/>
      </c>
      <c r="EI44" s="6">
        <f>IF(AND(ISNUMBER(EI41),ISNUMBER(EI42),EI39&lt;&gt;""),ROUND(EI41-EI39+EI40,1),"")</f>
        <v/>
      </c>
      <c r="EJ44" s="6">
        <f>IF(AND(ISNUMBER(EJ41),ISNUMBER(EJ42),EJ39&lt;&gt;""),ROUND(EJ41-EJ39+EJ40,1),"")</f>
        <v/>
      </c>
      <c r="EK44" s="6">
        <f>IF(AND(ISNUMBER(EK41),ISNUMBER(EK42),EK39&lt;&gt;""),ROUND(EK41-EK39+EK40,1),"")</f>
        <v/>
      </c>
      <c r="EL44" s="6">
        <f>IF(AND(ISNUMBER(EL41),ISNUMBER(EL42),EL39&lt;&gt;""),ROUND(EL41-EL39+EL40,1),"")</f>
        <v/>
      </c>
      <c r="EM44" s="6">
        <f>IF(AND(ISNUMBER(EM41),ISNUMBER(EM42),EM39&lt;&gt;""),ROUND(EM41-EM39+EM40,1),"")</f>
        <v/>
      </c>
      <c r="EN44" s="6">
        <f>IF(AND(ISNUMBER(EN41),ISNUMBER(EN42),EN39&lt;&gt;""),ROUND(EN41-EN39+EN40,1),"")</f>
        <v/>
      </c>
      <c r="EO44" s="6">
        <f>IF(AND(ISNUMBER(EO41),ISNUMBER(EO42),EO39&lt;&gt;""),ROUND(EO41-EO39+EO40,1),"")</f>
        <v/>
      </c>
      <c r="EP44" s="6">
        <f>IF(AND(ISNUMBER(EP41),ISNUMBER(EP42),EP39&lt;&gt;""),ROUND(EP41-EP39+EP40,1),"")</f>
        <v/>
      </c>
      <c r="EQ44" s="6">
        <f>IF(AND(ISNUMBER(EQ41),ISNUMBER(EQ42),EQ39&lt;&gt;""),ROUND(EQ41-EQ39+EQ40,1),"")</f>
        <v/>
      </c>
      <c r="ER44" s="6">
        <f>IF(AND(ISNUMBER(ER41),ISNUMBER(ER42),ER39&lt;&gt;""),ROUND(ER41-ER39+ER40,1),"")</f>
        <v/>
      </c>
      <c r="ES44" s="6">
        <f>IF(AND(ISNUMBER(ES41),ISNUMBER(ES42),ES39&lt;&gt;""),ROUND(ES41-ES39+ES40,1),"")</f>
        <v/>
      </c>
      <c r="ET44" s="6">
        <f>IF(AND(ISNUMBER(ET41),ISNUMBER(ET42),ET39&lt;&gt;""),ROUND(ET41-ET39+ET40,1),"")</f>
        <v/>
      </c>
      <c r="EU44" s="6">
        <f>IF(AND(ISNUMBER(EU41),ISNUMBER(EU42),EU39&lt;&gt;""),ROUND(EU41-EU39+EU40,1),"")</f>
        <v/>
      </c>
      <c r="EV44" s="6">
        <f>IF(AND(ISNUMBER(EV41),ISNUMBER(EV42),EV39&lt;&gt;""),ROUND(EV41-EV39+EV40,1),"")</f>
        <v/>
      </c>
      <c r="EW44" s="6">
        <f>IF(AND(ISNUMBER(EW41),ISNUMBER(EW42),EW39&lt;&gt;""),ROUND(EW41-EW39+EW40,1),"")</f>
        <v/>
      </c>
      <c r="EX44" s="6">
        <f>IF(AND(ISNUMBER(EX41),ISNUMBER(EX42),EX39&lt;&gt;""),ROUND(EX41-EX39+EX40,1),"")</f>
        <v/>
      </c>
      <c r="EY44" s="6">
        <f>IF(AND(ISNUMBER(EY41),ISNUMBER(EY42),EY39&lt;&gt;""),ROUND(EY41-EY39+EY40,1),"")</f>
        <v/>
      </c>
      <c r="EZ44" s="6">
        <f>IF(AND(ISNUMBER(EZ41),ISNUMBER(EZ42),EZ39&lt;&gt;""),ROUND(EZ41-EZ39+EZ40,1),"")</f>
        <v/>
      </c>
      <c r="FA44" s="6">
        <f>IF(AND(ISNUMBER(FA41),ISNUMBER(FA42),FA39&lt;&gt;""),ROUND(FA41-FA39+FA40,1),"")</f>
        <v/>
      </c>
      <c r="FB44" s="6">
        <f>IF(AND(ISNUMBER(FB41),ISNUMBER(FB42),FB39&lt;&gt;""),ROUND(FB41-FB39+FB40,1),"")</f>
        <v/>
      </c>
      <c r="FC44" s="6">
        <f>IF(AND(ISNUMBER(FC41),ISNUMBER(FC42),FC39&lt;&gt;""),ROUND(FC41-FC39+FC40,1),"")</f>
        <v/>
      </c>
      <c r="FD44" s="6">
        <f>IF(AND(ISNUMBER(FD41),ISNUMBER(FD42),FD39&lt;&gt;""),ROUND(FD41-FD39+FD40,1),"")</f>
        <v/>
      </c>
      <c r="FE44" s="6">
        <f>IF(AND(ISNUMBER(FE41),ISNUMBER(FE42),FE39&lt;&gt;""),ROUND(FE41-FE39+FE40,1),"")</f>
        <v/>
      </c>
      <c r="FF44" s="6">
        <f>IF(AND(ISNUMBER(FF41),ISNUMBER(FF42),FF39&lt;&gt;""),ROUND(FF41-FF39+FF40,1),"")</f>
        <v/>
      </c>
      <c r="FG44" s="6">
        <f>IF(AND(ISNUMBER(FG41),ISNUMBER(FG42),FG39&lt;&gt;""),ROUND(FG41-FG39+FG40,1),"")</f>
        <v/>
      </c>
      <c r="FH44" s="6">
        <f>IF(AND(ISNUMBER(FH41),ISNUMBER(FH42),FH39&lt;&gt;""),ROUND(FH41-FH39+FH40,1),"")</f>
        <v/>
      </c>
      <c r="FI44" s="6">
        <f>IF(AND(ISNUMBER(FI41),ISNUMBER(FI42),FI39&lt;&gt;""),ROUND(FI41-FI39+FI40,1),"")</f>
        <v/>
      </c>
      <c r="FJ44" s="6">
        <f>IF(AND(ISNUMBER(FJ41),ISNUMBER(FJ42),FJ39&lt;&gt;""),ROUND(FJ41-FJ39+FJ40,1),"")</f>
        <v/>
      </c>
      <c r="FK44" s="6">
        <f>IF(AND(ISNUMBER(FK41),ISNUMBER(FK42),FK39&lt;&gt;""),ROUND(FK41-FK39+FK40,1),"")</f>
        <v/>
      </c>
      <c r="FL44" s="6">
        <f>IF(AND(ISNUMBER(FL41),ISNUMBER(FL42),FL39&lt;&gt;""),ROUND(FL41-FL39+FL40,1),"")</f>
        <v/>
      </c>
      <c r="FM44" s="6">
        <f>IF(AND(ISNUMBER(FM41),ISNUMBER(FM42),FM39&lt;&gt;""),ROUND(FM41-FM39+FM40,1),"")</f>
        <v/>
      </c>
      <c r="FN44" s="6">
        <f>IF(AND(ISNUMBER(FN41),ISNUMBER(FN42),FN39&lt;&gt;""),ROUND(FN41-FN39+FN40,1),"")</f>
        <v/>
      </c>
      <c r="FO44" s="6">
        <f>IF(AND(ISNUMBER(FO41),ISNUMBER(FO42),FO39&lt;&gt;""),ROUND(FO41-FO39+FO40,1),"")</f>
        <v/>
      </c>
      <c r="FP44" s="6">
        <f>IF(AND(ISNUMBER(FP41),ISNUMBER(FP42),FP39&lt;&gt;""),ROUND(FP41-FP39+FP40,1),"")</f>
        <v/>
      </c>
      <c r="FQ44" s="6">
        <f>IF(AND(ISNUMBER(FQ41),ISNUMBER(FQ42),FQ39&lt;&gt;""),ROUND(FQ41-FQ39+FQ40,1),"")</f>
        <v/>
      </c>
    </row>
    <row r="45">
      <c r="A45" s="31" t="inlineStr">
        <is>
          <t>3F4D+MD</t>
        </is>
      </c>
      <c r="B45" s="30" t="inlineStr">
        <is>
          <t>After irrigation water level (cm) / সেচের পরে স্তর</t>
        </is>
      </c>
      <c r="D45" s="6">
        <f>IF(AND(ISNUMBER(D41),ISNUMBER(D42),D39&lt;&gt;""),ROUND(D42-D39+D40,1),"")</f>
        <v/>
      </c>
      <c r="E45" s="6">
        <f>IF(AND(ISNUMBER(E41),ISNUMBER(E42),E39&lt;&gt;""),ROUND(E42-E39+E40,1),"")</f>
        <v/>
      </c>
      <c r="F45" s="6">
        <f>IF(AND(ISNUMBER(F41),ISNUMBER(F42),F39&lt;&gt;""),ROUND(F42-F39+F40,1),"")</f>
        <v/>
      </c>
      <c r="G45" s="6">
        <f>IF(AND(ISNUMBER(G41),ISNUMBER(G42),G39&lt;&gt;""),ROUND(G42-G39+G40,1),"")</f>
        <v/>
      </c>
      <c r="H45" s="6">
        <f>IF(AND(ISNUMBER(H41),ISNUMBER(H42),H39&lt;&gt;""),ROUND(H42-H39+H40,1),"")</f>
        <v/>
      </c>
      <c r="I45" s="6">
        <f>IF(AND(ISNUMBER(I41),ISNUMBER(I42),I39&lt;&gt;""),ROUND(I42-I39+I40,1),"")</f>
        <v/>
      </c>
      <c r="J45" s="6">
        <f>IF(AND(ISNUMBER(J41),ISNUMBER(J42),J39&lt;&gt;""),ROUND(J42-J39+J40,1),"")</f>
        <v/>
      </c>
      <c r="K45" s="6">
        <f>IF(AND(ISNUMBER(K41),ISNUMBER(K42),K39&lt;&gt;""),ROUND(K42-K39+K40,1),"")</f>
        <v/>
      </c>
      <c r="L45" s="6">
        <f>IF(AND(ISNUMBER(L41),ISNUMBER(L42),L39&lt;&gt;""),ROUND(L42-L39+L40,1),"")</f>
        <v/>
      </c>
      <c r="M45" s="6">
        <f>IF(AND(ISNUMBER(M41),ISNUMBER(M42),M39&lt;&gt;""),ROUND(M42-M39+M40,1),"")</f>
        <v/>
      </c>
      <c r="N45" s="6">
        <f>IF(AND(ISNUMBER(N41),ISNUMBER(N42),N39&lt;&gt;""),ROUND(N42-N39+N40,1),"")</f>
        <v/>
      </c>
      <c r="O45" s="6">
        <f>IF(AND(ISNUMBER(O41),ISNUMBER(O42),O39&lt;&gt;""),ROUND(O42-O39+O40,1),"")</f>
        <v/>
      </c>
      <c r="P45" s="6">
        <f>IF(AND(ISNUMBER(P41),ISNUMBER(P42),P39&lt;&gt;""),ROUND(P42-P39+P40,1),"")</f>
        <v/>
      </c>
      <c r="Q45" s="6">
        <f>IF(AND(ISNUMBER(Q41),ISNUMBER(Q42),Q39&lt;&gt;""),ROUND(Q42-Q39+Q40,1),"")</f>
        <v/>
      </c>
      <c r="R45" s="6">
        <f>IF(AND(ISNUMBER(R41),ISNUMBER(R42),R39&lt;&gt;""),ROUND(R42-R39+R40,1),"")</f>
        <v/>
      </c>
      <c r="S45" s="6">
        <f>IF(AND(ISNUMBER(S41),ISNUMBER(S42),S39&lt;&gt;""),ROUND(S42-S39+S40,1),"")</f>
        <v/>
      </c>
      <c r="T45" s="6">
        <f>IF(AND(ISNUMBER(T41),ISNUMBER(T42),T39&lt;&gt;""),ROUND(T42-T39+T40,1),"")</f>
        <v/>
      </c>
      <c r="U45" s="6">
        <f>IF(AND(ISNUMBER(U41),ISNUMBER(U42),U39&lt;&gt;""),ROUND(U42-U39+U40,1),"")</f>
        <v/>
      </c>
      <c r="V45" s="6">
        <f>IF(AND(ISNUMBER(V41),ISNUMBER(V42),V39&lt;&gt;""),ROUND(V42-V39+V40,1),"")</f>
        <v/>
      </c>
      <c r="W45" s="6">
        <f>IF(AND(ISNUMBER(W41),ISNUMBER(W42),W39&lt;&gt;""),ROUND(W42-W39+W40,1),"")</f>
        <v/>
      </c>
      <c r="X45" s="6">
        <f>IF(AND(ISNUMBER(X41),ISNUMBER(X42),X39&lt;&gt;""),ROUND(X42-X39+X40,1),"")</f>
        <v/>
      </c>
      <c r="Y45" s="6">
        <f>IF(AND(ISNUMBER(Y41),ISNUMBER(Y42),Y39&lt;&gt;""),ROUND(Y42-Y39+Y40,1),"")</f>
        <v/>
      </c>
      <c r="Z45" s="6">
        <f>IF(AND(ISNUMBER(Z41),ISNUMBER(Z42),Z39&lt;&gt;""),ROUND(Z42-Z39+Z40,1),"")</f>
        <v/>
      </c>
      <c r="AA45" s="6">
        <f>IF(AND(ISNUMBER(AA41),ISNUMBER(AA42),AA39&lt;&gt;""),ROUND(AA42-AA39+AA40,1),"")</f>
        <v/>
      </c>
      <c r="AB45" s="6">
        <f>IF(AND(ISNUMBER(AB41),ISNUMBER(AB42),AB39&lt;&gt;""),ROUND(AB42-AB39+AB40,1),"")</f>
        <v/>
      </c>
      <c r="AC45" s="6">
        <f>IF(AND(ISNUMBER(AC41),ISNUMBER(AC42),AC39&lt;&gt;""),ROUND(AC42-AC39+AC40,1),"")</f>
        <v/>
      </c>
      <c r="AD45" s="6">
        <f>IF(AND(ISNUMBER(AD41),ISNUMBER(AD42),AD39&lt;&gt;""),ROUND(AD42-AD39+AD40,1),"")</f>
        <v/>
      </c>
      <c r="AE45" s="6">
        <f>IF(AND(ISNUMBER(AE41),ISNUMBER(AE42),AE39&lt;&gt;""),ROUND(AE42-AE39+AE40,1),"")</f>
        <v/>
      </c>
      <c r="AF45" s="6">
        <f>IF(AND(ISNUMBER(AF41),ISNUMBER(AF42),AF39&lt;&gt;""),ROUND(AF42-AF39+AF40,1),"")</f>
        <v/>
      </c>
      <c r="AG45" s="6">
        <f>IF(AND(ISNUMBER(AG41),ISNUMBER(AG42),AG39&lt;&gt;""),ROUND(AG42-AG39+AG40,1),"")</f>
        <v/>
      </c>
      <c r="AH45" s="6">
        <f>IF(AND(ISNUMBER(AH41),ISNUMBER(AH42),AH39&lt;&gt;""),ROUND(AH42-AH39+AH40,1),"")</f>
        <v/>
      </c>
      <c r="AI45" s="6">
        <f>IF(AND(ISNUMBER(AI41),ISNUMBER(AI42),AI39&lt;&gt;""),ROUND(AI42-AI39+AI40,1),"")</f>
        <v/>
      </c>
      <c r="AJ45" s="6">
        <f>IF(AND(ISNUMBER(AJ41),ISNUMBER(AJ42),AJ39&lt;&gt;""),ROUND(AJ42-AJ39+AJ40,1),"")</f>
        <v/>
      </c>
      <c r="AK45" s="6">
        <f>IF(AND(ISNUMBER(AK41),ISNUMBER(AK42),AK39&lt;&gt;""),ROUND(AK42-AK39+AK40,1),"")</f>
        <v/>
      </c>
      <c r="AL45" s="6">
        <f>IF(AND(ISNUMBER(AL41),ISNUMBER(AL42),AL39&lt;&gt;""),ROUND(AL42-AL39+AL40,1),"")</f>
        <v/>
      </c>
      <c r="AM45" s="6">
        <f>IF(AND(ISNUMBER(AM41),ISNUMBER(AM42),AM39&lt;&gt;""),ROUND(AM42-AM39+AM40,1),"")</f>
        <v/>
      </c>
      <c r="AN45" s="6">
        <f>IF(AND(ISNUMBER(AN41),ISNUMBER(AN42),AN39&lt;&gt;""),ROUND(AN42-AN39+AN40,1),"")</f>
        <v/>
      </c>
      <c r="AO45" s="6">
        <f>IF(AND(ISNUMBER(AO41),ISNUMBER(AO42),AO39&lt;&gt;""),ROUND(AO42-AO39+AO40,1),"")</f>
        <v/>
      </c>
      <c r="AP45" s="6">
        <f>IF(AND(ISNUMBER(AP41),ISNUMBER(AP42),AP39&lt;&gt;""),ROUND(AP42-AP39+AP40,1),"")</f>
        <v/>
      </c>
      <c r="AQ45" s="6">
        <f>IF(AND(ISNUMBER(AQ41),ISNUMBER(AQ42),AQ39&lt;&gt;""),ROUND(AQ42-AQ39+AQ40,1),"")</f>
        <v/>
      </c>
      <c r="AR45" s="6">
        <f>IF(AND(ISNUMBER(AR41),ISNUMBER(AR42),AR39&lt;&gt;""),ROUND(AR42-AR39+AR40,1),"")</f>
        <v/>
      </c>
      <c r="AS45" s="6">
        <f>IF(AND(ISNUMBER(AS41),ISNUMBER(AS42),AS39&lt;&gt;""),ROUND(AS42-AS39+AS40,1),"")</f>
        <v/>
      </c>
      <c r="AT45" s="6">
        <f>IF(AND(ISNUMBER(AT41),ISNUMBER(AT42),AT39&lt;&gt;""),ROUND(AT42-AT39+AT40,1),"")</f>
        <v/>
      </c>
      <c r="AU45" s="6">
        <f>IF(AND(ISNUMBER(AU41),ISNUMBER(AU42),AU39&lt;&gt;""),ROUND(AU42-AU39+AU40,1),"")</f>
        <v/>
      </c>
      <c r="AV45" s="6">
        <f>IF(AND(ISNUMBER(AV41),ISNUMBER(AV42),AV39&lt;&gt;""),ROUND(AV42-AV39+AV40,1),"")</f>
        <v/>
      </c>
      <c r="AW45" s="6">
        <f>IF(AND(ISNUMBER(AW41),ISNUMBER(AW42),AW39&lt;&gt;""),ROUND(AW42-AW39+AW40,1),"")</f>
        <v/>
      </c>
      <c r="AX45" s="6">
        <f>IF(AND(ISNUMBER(AX41),ISNUMBER(AX42),AX39&lt;&gt;""),ROUND(AX42-AX39+AX40,1),"")</f>
        <v/>
      </c>
      <c r="AY45" s="6">
        <f>IF(AND(ISNUMBER(AY41),ISNUMBER(AY42),AY39&lt;&gt;""),ROUND(AY42-AY39+AY40,1),"")</f>
        <v/>
      </c>
      <c r="AZ45" s="6">
        <f>IF(AND(ISNUMBER(AZ41),ISNUMBER(AZ42),AZ39&lt;&gt;""),ROUND(AZ42-AZ39+AZ40,1),"")</f>
        <v/>
      </c>
      <c r="BA45" s="6">
        <f>IF(AND(ISNUMBER(BA41),ISNUMBER(BA42),BA39&lt;&gt;""),ROUND(BA42-BA39+BA40,1),"")</f>
        <v/>
      </c>
      <c r="BB45" s="6">
        <f>IF(AND(ISNUMBER(BB41),ISNUMBER(BB42),BB39&lt;&gt;""),ROUND(BB42-BB39+BB40,1),"")</f>
        <v/>
      </c>
      <c r="BC45" s="6">
        <f>IF(AND(ISNUMBER(BC41),ISNUMBER(BC42),BC39&lt;&gt;""),ROUND(BC42-BC39+BC40,1),"")</f>
        <v/>
      </c>
      <c r="BD45" s="6">
        <f>IF(AND(ISNUMBER(BD41),ISNUMBER(BD42),BD39&lt;&gt;""),ROUND(BD42-BD39+BD40,1),"")</f>
        <v/>
      </c>
      <c r="BE45" s="6">
        <f>IF(AND(ISNUMBER(BE41),ISNUMBER(BE42),BE39&lt;&gt;""),ROUND(BE42-BE39+BE40,1),"")</f>
        <v/>
      </c>
      <c r="BF45" s="6">
        <f>IF(AND(ISNUMBER(BF41),ISNUMBER(BF42),BF39&lt;&gt;""),ROUND(BF42-BF39+BF40,1),"")</f>
        <v/>
      </c>
      <c r="BG45" s="6">
        <f>IF(AND(ISNUMBER(BG41),ISNUMBER(BG42),BG39&lt;&gt;""),ROUND(BG42-BG39+BG40,1),"")</f>
        <v/>
      </c>
      <c r="BH45" s="6">
        <f>IF(AND(ISNUMBER(BH41),ISNUMBER(BH42),BH39&lt;&gt;""),ROUND(BH42-BH39+BH40,1),"")</f>
        <v/>
      </c>
      <c r="BI45" s="6">
        <f>IF(AND(ISNUMBER(BI41),ISNUMBER(BI42),BI39&lt;&gt;""),ROUND(BI42-BI39+BI40,1),"")</f>
        <v/>
      </c>
      <c r="BJ45" s="6">
        <f>IF(AND(ISNUMBER(BJ41),ISNUMBER(BJ42),BJ39&lt;&gt;""),ROUND(BJ42-BJ39+BJ40,1),"")</f>
        <v/>
      </c>
      <c r="BK45" s="6">
        <f>IF(AND(ISNUMBER(BK41),ISNUMBER(BK42),BK39&lt;&gt;""),ROUND(BK42-BK39+BK40,1),"")</f>
        <v/>
      </c>
      <c r="BL45" s="6">
        <f>IF(AND(ISNUMBER(BL41),ISNUMBER(BL42),BL39&lt;&gt;""),ROUND(BL42-BL39+BL40,1),"")</f>
        <v/>
      </c>
      <c r="BM45" s="6">
        <f>IF(AND(ISNUMBER(BM41),ISNUMBER(BM42),BM39&lt;&gt;""),ROUND(BM42-BM39+BM40,1),"")</f>
        <v/>
      </c>
      <c r="BN45" s="6">
        <f>IF(AND(ISNUMBER(BN41),ISNUMBER(BN42),BN39&lt;&gt;""),ROUND(BN42-BN39+BN40,1),"")</f>
        <v/>
      </c>
      <c r="BO45" s="6">
        <f>IF(AND(ISNUMBER(BO41),ISNUMBER(BO42),BO39&lt;&gt;""),ROUND(BO42-BO39+BO40,1),"")</f>
        <v/>
      </c>
      <c r="BP45" s="6">
        <f>IF(AND(ISNUMBER(BP41),ISNUMBER(BP42),BP39&lt;&gt;""),ROUND(BP42-BP39+BP40,1),"")</f>
        <v/>
      </c>
      <c r="BQ45" s="6">
        <f>IF(AND(ISNUMBER(BQ41),ISNUMBER(BQ42),BQ39&lt;&gt;""),ROUND(BQ42-BQ39+BQ40,1),"")</f>
        <v/>
      </c>
      <c r="BR45" s="6">
        <f>IF(AND(ISNUMBER(BR41),ISNUMBER(BR42),BR39&lt;&gt;""),ROUND(BR42-BR39+BR40,1),"")</f>
        <v/>
      </c>
      <c r="BS45" s="6">
        <f>IF(AND(ISNUMBER(BS41),ISNUMBER(BS42),BS39&lt;&gt;""),ROUND(BS42-BS39+BS40,1),"")</f>
        <v/>
      </c>
      <c r="BT45" s="6">
        <f>IF(AND(ISNUMBER(BT41),ISNUMBER(BT42),BT39&lt;&gt;""),ROUND(BT42-BT39+BT40,1),"")</f>
        <v/>
      </c>
      <c r="BU45" s="6">
        <f>IF(AND(ISNUMBER(BU41),ISNUMBER(BU42),BU39&lt;&gt;""),ROUND(BU42-BU39+BU40,1),"")</f>
        <v/>
      </c>
      <c r="BV45" s="6">
        <f>IF(AND(ISNUMBER(BV41),ISNUMBER(BV42),BV39&lt;&gt;""),ROUND(BV42-BV39+BV40,1),"")</f>
        <v/>
      </c>
      <c r="BW45" s="6">
        <f>IF(AND(ISNUMBER(BW41),ISNUMBER(BW42),BW39&lt;&gt;""),ROUND(BW42-BW39+BW40,1),"")</f>
        <v/>
      </c>
      <c r="BX45" s="6">
        <f>IF(AND(ISNUMBER(BX41),ISNUMBER(BX42),BX39&lt;&gt;""),ROUND(BX42-BX39+BX40,1),"")</f>
        <v/>
      </c>
      <c r="BY45" s="6">
        <f>IF(AND(ISNUMBER(BY41),ISNUMBER(BY42),BY39&lt;&gt;""),ROUND(BY42-BY39+BY40,1),"")</f>
        <v/>
      </c>
      <c r="BZ45" s="6">
        <f>IF(AND(ISNUMBER(BZ41),ISNUMBER(BZ42),BZ39&lt;&gt;""),ROUND(BZ42-BZ39+BZ40,1),"")</f>
        <v/>
      </c>
      <c r="CA45" s="6">
        <f>IF(AND(ISNUMBER(CA41),ISNUMBER(CA42),CA39&lt;&gt;""),ROUND(CA42-CA39+CA40,1),"")</f>
        <v/>
      </c>
      <c r="CB45" s="6">
        <f>IF(AND(ISNUMBER(CB41),ISNUMBER(CB42),CB39&lt;&gt;""),ROUND(CB42-CB39+CB40,1),"")</f>
        <v/>
      </c>
      <c r="CC45" s="6">
        <f>IF(AND(ISNUMBER(CC41),ISNUMBER(CC42),CC39&lt;&gt;""),ROUND(CC42-CC39+CC40,1),"")</f>
        <v/>
      </c>
      <c r="CD45" s="6">
        <f>IF(AND(ISNUMBER(CD41),ISNUMBER(CD42),CD39&lt;&gt;""),ROUND(CD42-CD39+CD40,1),"")</f>
        <v/>
      </c>
      <c r="CE45" s="6">
        <f>IF(AND(ISNUMBER(CE41),ISNUMBER(CE42),CE39&lt;&gt;""),ROUND(CE42-CE39+CE40,1),"")</f>
        <v/>
      </c>
      <c r="CF45" s="6">
        <f>IF(AND(ISNUMBER(CF41),ISNUMBER(CF42),CF39&lt;&gt;""),ROUND(CF42-CF39+CF40,1),"")</f>
        <v/>
      </c>
      <c r="CG45" s="6">
        <f>IF(AND(ISNUMBER(CG41),ISNUMBER(CG42),CG39&lt;&gt;""),ROUND(CG42-CG39+CG40,1),"")</f>
        <v/>
      </c>
      <c r="CH45" s="6">
        <f>IF(AND(ISNUMBER(CH41),ISNUMBER(CH42),CH39&lt;&gt;""),ROUND(CH42-CH39+CH40,1),"")</f>
        <v/>
      </c>
      <c r="CI45" s="6">
        <f>IF(AND(ISNUMBER(CI41),ISNUMBER(CI42),CI39&lt;&gt;""),ROUND(CI42-CI39+CI40,1),"")</f>
        <v/>
      </c>
      <c r="CJ45" s="6">
        <f>IF(AND(ISNUMBER(CJ41),ISNUMBER(CJ42),CJ39&lt;&gt;""),ROUND(CJ42-CJ39+CJ40,1),"")</f>
        <v/>
      </c>
      <c r="CK45" s="6">
        <f>IF(AND(ISNUMBER(CK41),ISNUMBER(CK42),CK39&lt;&gt;""),ROUND(CK42-CK39+CK40,1),"")</f>
        <v/>
      </c>
      <c r="CL45" s="6">
        <f>IF(AND(ISNUMBER(CL41),ISNUMBER(CL42),CL39&lt;&gt;""),ROUND(CL42-CL39+CL40,1),"")</f>
        <v/>
      </c>
      <c r="CM45" s="6">
        <f>IF(AND(ISNUMBER(CM41),ISNUMBER(CM42),CM39&lt;&gt;""),ROUND(CM42-CM39+CM40,1),"")</f>
        <v/>
      </c>
      <c r="CN45" s="6">
        <f>IF(AND(ISNUMBER(CN41),ISNUMBER(CN42),CN39&lt;&gt;""),ROUND(CN42-CN39+CN40,1),"")</f>
        <v/>
      </c>
      <c r="CO45" s="6">
        <f>IF(AND(ISNUMBER(CO41),ISNUMBER(CO42),CO39&lt;&gt;""),ROUND(CO42-CO39+CO40,1),"")</f>
        <v/>
      </c>
      <c r="CP45" s="6">
        <f>IF(AND(ISNUMBER(CP41),ISNUMBER(CP42),CP39&lt;&gt;""),ROUND(CP42-CP39+CP40,1),"")</f>
        <v/>
      </c>
      <c r="CQ45" s="6">
        <f>IF(AND(ISNUMBER(CQ41),ISNUMBER(CQ42),CQ39&lt;&gt;""),ROUND(CQ42-CQ39+CQ40,1),"")</f>
        <v/>
      </c>
      <c r="CR45" s="6">
        <f>IF(AND(ISNUMBER(CR41),ISNUMBER(CR42),CR39&lt;&gt;""),ROUND(CR42-CR39+CR40,1),"")</f>
        <v/>
      </c>
      <c r="CS45" s="6">
        <f>IF(AND(ISNUMBER(CS41),ISNUMBER(CS42),CS39&lt;&gt;""),ROUND(CS42-CS39+CS40,1),"")</f>
        <v/>
      </c>
      <c r="CT45" s="6">
        <f>IF(AND(ISNUMBER(CT41),ISNUMBER(CT42),CT39&lt;&gt;""),ROUND(CT42-CT39+CT40,1),"")</f>
        <v/>
      </c>
      <c r="CU45" s="6">
        <f>IF(AND(ISNUMBER(CU41),ISNUMBER(CU42),CU39&lt;&gt;""),ROUND(CU42-CU39+CU40,1),"")</f>
        <v/>
      </c>
      <c r="CV45" s="6">
        <f>IF(AND(ISNUMBER(CV41),ISNUMBER(CV42),CV39&lt;&gt;""),ROUND(CV42-CV39+CV40,1),"")</f>
        <v/>
      </c>
      <c r="CW45" s="6">
        <f>IF(AND(ISNUMBER(CW41),ISNUMBER(CW42),CW39&lt;&gt;""),ROUND(CW42-CW39+CW40,1),"")</f>
        <v/>
      </c>
      <c r="CX45" s="6">
        <f>IF(AND(ISNUMBER(CX41),ISNUMBER(CX42),CX39&lt;&gt;""),ROUND(CX42-CX39+CX40,1),"")</f>
        <v/>
      </c>
      <c r="CY45" s="6">
        <f>IF(AND(ISNUMBER(CY41),ISNUMBER(CY42),CY39&lt;&gt;""),ROUND(CY42-CY39+CY40,1),"")</f>
        <v/>
      </c>
      <c r="CZ45" s="6">
        <f>IF(AND(ISNUMBER(CZ41),ISNUMBER(CZ42),CZ39&lt;&gt;""),ROUND(CZ42-CZ39+CZ40,1),"")</f>
        <v/>
      </c>
      <c r="DA45" s="6">
        <f>IF(AND(ISNUMBER(DA41),ISNUMBER(DA42),DA39&lt;&gt;""),ROUND(DA42-DA39+DA40,1),"")</f>
        <v/>
      </c>
      <c r="DB45" s="6">
        <f>IF(AND(ISNUMBER(DB41),ISNUMBER(DB42),DB39&lt;&gt;""),ROUND(DB42-DB39+DB40,1),"")</f>
        <v/>
      </c>
      <c r="DC45" s="6">
        <f>IF(AND(ISNUMBER(DC41),ISNUMBER(DC42),DC39&lt;&gt;""),ROUND(DC42-DC39+DC40,1),"")</f>
        <v/>
      </c>
      <c r="DD45" s="6">
        <f>IF(AND(ISNUMBER(DD41),ISNUMBER(DD42),DD39&lt;&gt;""),ROUND(DD42-DD39+DD40,1),"")</f>
        <v/>
      </c>
      <c r="DE45" s="6">
        <f>IF(AND(ISNUMBER(DE41),ISNUMBER(DE42),DE39&lt;&gt;""),ROUND(DE42-DE39+DE40,1),"")</f>
        <v/>
      </c>
      <c r="DF45" s="6">
        <f>IF(AND(ISNUMBER(DF41),ISNUMBER(DF42),DF39&lt;&gt;""),ROUND(DF42-DF39+DF40,1),"")</f>
        <v/>
      </c>
      <c r="DG45" s="6">
        <f>IF(AND(ISNUMBER(DG41),ISNUMBER(DG42),DG39&lt;&gt;""),ROUND(DG42-DG39+DG40,1),"")</f>
        <v/>
      </c>
      <c r="DH45" s="6">
        <f>IF(AND(ISNUMBER(DH41),ISNUMBER(DH42),DH39&lt;&gt;""),ROUND(DH42-DH39+DH40,1),"")</f>
        <v/>
      </c>
      <c r="DI45" s="6">
        <f>IF(AND(ISNUMBER(DI41),ISNUMBER(DI42),DI39&lt;&gt;""),ROUND(DI42-DI39+DI40,1),"")</f>
        <v/>
      </c>
      <c r="DJ45" s="6">
        <f>IF(AND(ISNUMBER(DJ41),ISNUMBER(DJ42),DJ39&lt;&gt;""),ROUND(DJ42-DJ39+DJ40,1),"")</f>
        <v/>
      </c>
      <c r="DK45" s="6">
        <f>IF(AND(ISNUMBER(DK41),ISNUMBER(DK42),DK39&lt;&gt;""),ROUND(DK42-DK39+DK40,1),"")</f>
        <v/>
      </c>
      <c r="DL45" s="6">
        <f>IF(AND(ISNUMBER(DL41),ISNUMBER(DL42),DL39&lt;&gt;""),ROUND(DL42-DL39+DL40,1),"")</f>
        <v/>
      </c>
      <c r="DM45" s="6">
        <f>IF(AND(ISNUMBER(DM41),ISNUMBER(DM42),DM39&lt;&gt;""),ROUND(DM42-DM39+DM40,1),"")</f>
        <v/>
      </c>
      <c r="DN45" s="6">
        <f>IF(AND(ISNUMBER(DN41),ISNUMBER(DN42),DN39&lt;&gt;""),ROUND(DN42-DN39+DN40,1),"")</f>
        <v/>
      </c>
      <c r="DO45" s="6">
        <f>IF(AND(ISNUMBER(DO41),ISNUMBER(DO42),DO39&lt;&gt;""),ROUND(DO42-DO39+DO40,1),"")</f>
        <v/>
      </c>
      <c r="DP45" s="6">
        <f>IF(AND(ISNUMBER(DP41),ISNUMBER(DP42),DP39&lt;&gt;""),ROUND(DP42-DP39+DP40,1),"")</f>
        <v/>
      </c>
      <c r="DQ45" s="6">
        <f>IF(AND(ISNUMBER(DQ41),ISNUMBER(DQ42),DQ39&lt;&gt;""),ROUND(DQ42-DQ39+DQ40,1),"")</f>
        <v/>
      </c>
      <c r="DR45" s="6">
        <f>IF(AND(ISNUMBER(DR41),ISNUMBER(DR42),DR39&lt;&gt;""),ROUND(DR42-DR39+DR40,1),"")</f>
        <v/>
      </c>
      <c r="DS45" s="6">
        <f>IF(AND(ISNUMBER(DS41),ISNUMBER(DS42),DS39&lt;&gt;""),ROUND(DS42-DS39+DS40,1),"")</f>
        <v/>
      </c>
      <c r="DT45" s="6">
        <f>IF(AND(ISNUMBER(DT41),ISNUMBER(DT42),DT39&lt;&gt;""),ROUND(DT42-DT39+DT40,1),"")</f>
        <v/>
      </c>
      <c r="DU45" s="6">
        <f>IF(AND(ISNUMBER(DU41),ISNUMBER(DU42),DU39&lt;&gt;""),ROUND(DU42-DU39+DU40,1),"")</f>
        <v/>
      </c>
      <c r="DV45" s="6">
        <f>IF(AND(ISNUMBER(DV41),ISNUMBER(DV42),DV39&lt;&gt;""),ROUND(DV42-DV39+DV40,1),"")</f>
        <v/>
      </c>
      <c r="DW45" s="6">
        <f>IF(AND(ISNUMBER(DW41),ISNUMBER(DW42),DW39&lt;&gt;""),ROUND(DW42-DW39+DW40,1),"")</f>
        <v/>
      </c>
      <c r="DX45" s="6">
        <f>IF(AND(ISNUMBER(DX41),ISNUMBER(DX42),DX39&lt;&gt;""),ROUND(DX42-DX39+DX40,1),"")</f>
        <v/>
      </c>
      <c r="DY45" s="6">
        <f>IF(AND(ISNUMBER(DY41),ISNUMBER(DY42),DY39&lt;&gt;""),ROUND(DY42-DY39+DY40,1),"")</f>
        <v/>
      </c>
      <c r="DZ45" s="6">
        <f>IF(AND(ISNUMBER(DZ41),ISNUMBER(DZ42),DZ39&lt;&gt;""),ROUND(DZ42-DZ39+DZ40,1),"")</f>
        <v/>
      </c>
      <c r="EA45" s="6">
        <f>IF(AND(ISNUMBER(EA41),ISNUMBER(EA42),EA39&lt;&gt;""),ROUND(EA42-EA39+EA40,1),"")</f>
        <v/>
      </c>
      <c r="EB45" s="6">
        <f>IF(AND(ISNUMBER(EB41),ISNUMBER(EB42),EB39&lt;&gt;""),ROUND(EB42-EB39+EB40,1),"")</f>
        <v/>
      </c>
      <c r="EC45" s="6">
        <f>IF(AND(ISNUMBER(EC41),ISNUMBER(EC42),EC39&lt;&gt;""),ROUND(EC42-EC39+EC40,1),"")</f>
        <v/>
      </c>
      <c r="ED45" s="6">
        <f>IF(AND(ISNUMBER(ED41),ISNUMBER(ED42),ED39&lt;&gt;""),ROUND(ED42-ED39+ED40,1),"")</f>
        <v/>
      </c>
      <c r="EE45" s="6">
        <f>IF(AND(ISNUMBER(EE41),ISNUMBER(EE42),EE39&lt;&gt;""),ROUND(EE42-EE39+EE40,1),"")</f>
        <v/>
      </c>
      <c r="EF45" s="6">
        <f>IF(AND(ISNUMBER(EF41),ISNUMBER(EF42),EF39&lt;&gt;""),ROUND(EF42-EF39+EF40,1),"")</f>
        <v/>
      </c>
      <c r="EG45" s="6">
        <f>IF(AND(ISNUMBER(EG41),ISNUMBER(EG42),EG39&lt;&gt;""),ROUND(EG42-EG39+EG40,1),"")</f>
        <v/>
      </c>
      <c r="EH45" s="6">
        <f>IF(AND(ISNUMBER(EH41),ISNUMBER(EH42),EH39&lt;&gt;""),ROUND(EH42-EH39+EH40,1),"")</f>
        <v/>
      </c>
      <c r="EI45" s="6">
        <f>IF(AND(ISNUMBER(EI41),ISNUMBER(EI42),EI39&lt;&gt;""),ROUND(EI42-EI39+EI40,1),"")</f>
        <v/>
      </c>
      <c r="EJ45" s="6">
        <f>IF(AND(ISNUMBER(EJ41),ISNUMBER(EJ42),EJ39&lt;&gt;""),ROUND(EJ42-EJ39+EJ40,1),"")</f>
        <v/>
      </c>
      <c r="EK45" s="6">
        <f>IF(AND(ISNUMBER(EK41),ISNUMBER(EK42),EK39&lt;&gt;""),ROUND(EK42-EK39+EK40,1),"")</f>
        <v/>
      </c>
      <c r="EL45" s="6">
        <f>IF(AND(ISNUMBER(EL41),ISNUMBER(EL42),EL39&lt;&gt;""),ROUND(EL42-EL39+EL40,1),"")</f>
        <v/>
      </c>
      <c r="EM45" s="6">
        <f>IF(AND(ISNUMBER(EM41),ISNUMBER(EM42),EM39&lt;&gt;""),ROUND(EM42-EM39+EM40,1),"")</f>
        <v/>
      </c>
      <c r="EN45" s="6">
        <f>IF(AND(ISNUMBER(EN41),ISNUMBER(EN42),EN39&lt;&gt;""),ROUND(EN42-EN39+EN40,1),"")</f>
        <v/>
      </c>
      <c r="EO45" s="6">
        <f>IF(AND(ISNUMBER(EO41),ISNUMBER(EO42),EO39&lt;&gt;""),ROUND(EO42-EO39+EO40,1),"")</f>
        <v/>
      </c>
      <c r="EP45" s="6">
        <f>IF(AND(ISNUMBER(EP41),ISNUMBER(EP42),EP39&lt;&gt;""),ROUND(EP42-EP39+EP40,1),"")</f>
        <v/>
      </c>
      <c r="EQ45" s="6">
        <f>IF(AND(ISNUMBER(EQ41),ISNUMBER(EQ42),EQ39&lt;&gt;""),ROUND(EQ42-EQ39+EQ40,1),"")</f>
        <v/>
      </c>
      <c r="ER45" s="6">
        <f>IF(AND(ISNUMBER(ER41),ISNUMBER(ER42),ER39&lt;&gt;""),ROUND(ER42-ER39+ER40,1),"")</f>
        <v/>
      </c>
      <c r="ES45" s="6">
        <f>IF(AND(ISNUMBER(ES41),ISNUMBER(ES42),ES39&lt;&gt;""),ROUND(ES42-ES39+ES40,1),"")</f>
        <v/>
      </c>
      <c r="ET45" s="6">
        <f>IF(AND(ISNUMBER(ET41),ISNUMBER(ET42),ET39&lt;&gt;""),ROUND(ET42-ET39+ET40,1),"")</f>
        <v/>
      </c>
      <c r="EU45" s="6">
        <f>IF(AND(ISNUMBER(EU41),ISNUMBER(EU42),EU39&lt;&gt;""),ROUND(EU42-EU39+EU40,1),"")</f>
        <v/>
      </c>
      <c r="EV45" s="6">
        <f>IF(AND(ISNUMBER(EV41),ISNUMBER(EV42),EV39&lt;&gt;""),ROUND(EV42-EV39+EV40,1),"")</f>
        <v/>
      </c>
      <c r="EW45" s="6">
        <f>IF(AND(ISNUMBER(EW41),ISNUMBER(EW42),EW39&lt;&gt;""),ROUND(EW42-EW39+EW40,1),"")</f>
        <v/>
      </c>
      <c r="EX45" s="6">
        <f>IF(AND(ISNUMBER(EX41),ISNUMBER(EX42),EX39&lt;&gt;""),ROUND(EX42-EX39+EX40,1),"")</f>
        <v/>
      </c>
      <c r="EY45" s="6">
        <f>IF(AND(ISNUMBER(EY41),ISNUMBER(EY42),EY39&lt;&gt;""),ROUND(EY42-EY39+EY40,1),"")</f>
        <v/>
      </c>
      <c r="EZ45" s="6">
        <f>IF(AND(ISNUMBER(EZ41),ISNUMBER(EZ42),EZ39&lt;&gt;""),ROUND(EZ42-EZ39+EZ40,1),"")</f>
        <v/>
      </c>
      <c r="FA45" s="6">
        <f>IF(AND(ISNUMBER(FA41),ISNUMBER(FA42),FA39&lt;&gt;""),ROUND(FA42-FA39+FA40,1),"")</f>
        <v/>
      </c>
      <c r="FB45" s="6">
        <f>IF(AND(ISNUMBER(FB41),ISNUMBER(FB42),FB39&lt;&gt;""),ROUND(FB42-FB39+FB40,1),"")</f>
        <v/>
      </c>
      <c r="FC45" s="6">
        <f>IF(AND(ISNUMBER(FC41),ISNUMBER(FC42),FC39&lt;&gt;""),ROUND(FC42-FC39+FC40,1),"")</f>
        <v/>
      </c>
      <c r="FD45" s="6">
        <f>IF(AND(ISNUMBER(FD41),ISNUMBER(FD42),FD39&lt;&gt;""),ROUND(FD42-FD39+FD40,1),"")</f>
        <v/>
      </c>
      <c r="FE45" s="6">
        <f>IF(AND(ISNUMBER(FE41),ISNUMBER(FE42),FE39&lt;&gt;""),ROUND(FE42-FE39+FE40,1),"")</f>
        <v/>
      </c>
      <c r="FF45" s="6">
        <f>IF(AND(ISNUMBER(FF41),ISNUMBER(FF42),FF39&lt;&gt;""),ROUND(FF42-FF39+FF40,1),"")</f>
        <v/>
      </c>
      <c r="FG45" s="6">
        <f>IF(AND(ISNUMBER(FG41),ISNUMBER(FG42),FG39&lt;&gt;""),ROUND(FG42-FG39+FG40,1),"")</f>
        <v/>
      </c>
      <c r="FH45" s="6">
        <f>IF(AND(ISNUMBER(FH41),ISNUMBER(FH42),FH39&lt;&gt;""),ROUND(FH42-FH39+FH40,1),"")</f>
        <v/>
      </c>
      <c r="FI45" s="6">
        <f>IF(AND(ISNUMBER(FI41),ISNUMBER(FI42),FI39&lt;&gt;""),ROUND(FI42-FI39+FI40,1),"")</f>
        <v/>
      </c>
      <c r="FJ45" s="6">
        <f>IF(AND(ISNUMBER(FJ41),ISNUMBER(FJ42),FJ39&lt;&gt;""),ROUND(FJ42-FJ39+FJ40,1),"")</f>
        <v/>
      </c>
      <c r="FK45" s="6">
        <f>IF(AND(ISNUMBER(FK41),ISNUMBER(FK42),FK39&lt;&gt;""),ROUND(FK42-FK39+FK40,1),"")</f>
        <v/>
      </c>
      <c r="FL45" s="6">
        <f>IF(AND(ISNUMBER(FL41),ISNUMBER(FL42),FL39&lt;&gt;""),ROUND(FL42-FL39+FL40,1),"")</f>
        <v/>
      </c>
      <c r="FM45" s="6">
        <f>IF(AND(ISNUMBER(FM41),ISNUMBER(FM42),FM39&lt;&gt;""),ROUND(FM42-FM39+FM40,1),"")</f>
        <v/>
      </c>
      <c r="FN45" s="6">
        <f>IF(AND(ISNUMBER(FN41),ISNUMBER(FN42),FN39&lt;&gt;""),ROUND(FN42-FN39+FN40,1),"")</f>
        <v/>
      </c>
      <c r="FO45" s="6">
        <f>IF(AND(ISNUMBER(FO41),ISNUMBER(FO42),FO39&lt;&gt;""),ROUND(FO42-FO39+FO40,1),"")</f>
        <v/>
      </c>
      <c r="FP45" s="6">
        <f>IF(AND(ISNUMBER(FP41),ISNUMBER(FP42),FP39&lt;&gt;""),ROUND(FP42-FP39+FP40,1),"")</f>
        <v/>
      </c>
      <c r="FQ45" s="6">
        <f>IF(AND(ISNUMBER(FQ41),ISNUMBER(FQ42),FQ39&lt;&gt;""),ROUND(FQ42-FQ39+FQ40,1),"")</f>
        <v/>
      </c>
    </row>
    <row r="46">
      <c r="A46" s="31" t="inlineStr">
        <is>
          <t>3F4D+MD</t>
        </is>
      </c>
      <c r="B46" s="30" t="inlineStr">
        <is>
          <t>Irrigation (mm) / সেচ (মিমি)</t>
        </is>
      </c>
      <c r="C46" s="4">
        <f>ROUND(SUM($D$46:$FQ$46),0)</f>
        <v/>
      </c>
      <c r="D46" s="6">
        <f>IF(AND(ISNUMBER(D37),ISNUMBER(D44),ISNUMBER(D45)),ROUND((D45-MAX(D44,0))*10,1),"")</f>
        <v/>
      </c>
      <c r="E46" s="6">
        <f>IF(AND(ISNUMBER(E37),ISNUMBER(E44),ISNUMBER(E45)),ROUND((E45-MAX(E44,0))*10,1),"")</f>
        <v/>
      </c>
      <c r="F46" s="6">
        <f>IF(AND(ISNUMBER(F37),ISNUMBER(F44),ISNUMBER(F45)),ROUND((F45-MAX(F44,0))*10,1),"")</f>
        <v/>
      </c>
      <c r="G46" s="6">
        <f>IF(AND(ISNUMBER(G37),ISNUMBER(G44),ISNUMBER(G45)),ROUND((G45-MAX(G44,0))*10,1),"")</f>
        <v/>
      </c>
      <c r="H46" s="6">
        <f>IF(AND(ISNUMBER(H37),ISNUMBER(H44),ISNUMBER(H45)),ROUND((H45-MAX(H44,0))*10,1),"")</f>
        <v/>
      </c>
      <c r="I46" s="6">
        <f>IF(AND(ISNUMBER(I37),ISNUMBER(I44),ISNUMBER(I45)),ROUND((I45-MAX(I44,0))*10,1),"")</f>
        <v/>
      </c>
      <c r="J46" s="6">
        <f>IF(AND(ISNUMBER(J37),ISNUMBER(J44),ISNUMBER(J45)),ROUND((J45-MAX(J44,0))*10,1),"")</f>
        <v/>
      </c>
      <c r="K46" s="6">
        <f>IF(AND(ISNUMBER(K37),ISNUMBER(K44),ISNUMBER(K45)),ROUND((K45-MAX(K44,0))*10,1),"")</f>
        <v/>
      </c>
      <c r="L46" s="6">
        <f>IF(AND(ISNUMBER(L37),ISNUMBER(L44),ISNUMBER(L45)),ROUND((L45-MAX(L44,0))*10,1),"")</f>
        <v/>
      </c>
      <c r="M46" s="6">
        <f>IF(AND(ISNUMBER(M37),ISNUMBER(M44),ISNUMBER(M45)),ROUND((M45-MAX(M44,0))*10,1),"")</f>
        <v/>
      </c>
      <c r="N46" s="6">
        <f>IF(AND(ISNUMBER(N37),ISNUMBER(N44),ISNUMBER(N45)),ROUND((N45-MAX(N44,0))*10,1),"")</f>
        <v/>
      </c>
      <c r="O46" s="6">
        <f>IF(AND(ISNUMBER(O37),ISNUMBER(O44),ISNUMBER(O45)),ROUND((O45-MAX(O44,0))*10,1),"")</f>
        <v/>
      </c>
      <c r="P46" s="6">
        <f>IF(AND(ISNUMBER(P37),ISNUMBER(P44),ISNUMBER(P45)),ROUND((P45-MAX(P44,0))*10,1),"")</f>
        <v/>
      </c>
      <c r="Q46" s="6">
        <f>IF(AND(ISNUMBER(Q37),ISNUMBER(Q44),ISNUMBER(Q45)),ROUND((Q45-MAX(Q44,0))*10,1),"")</f>
        <v/>
      </c>
      <c r="R46" s="6">
        <f>IF(AND(ISNUMBER(R37),ISNUMBER(R44),ISNUMBER(R45)),ROUND((R45-MAX(R44,0))*10,1),"")</f>
        <v/>
      </c>
      <c r="S46" s="6">
        <f>IF(AND(ISNUMBER(S37),ISNUMBER(S44),ISNUMBER(S45)),ROUND((S45-MAX(S44,0))*10,1),"")</f>
        <v/>
      </c>
      <c r="T46" s="6">
        <f>IF(AND(ISNUMBER(T37),ISNUMBER(T44),ISNUMBER(T45)),ROUND((T45-MAX(T44,0))*10,1),"")</f>
        <v/>
      </c>
      <c r="U46" s="6">
        <f>IF(AND(ISNUMBER(U37),ISNUMBER(U44),ISNUMBER(U45)),ROUND((U45-MAX(U44,0))*10,1),"")</f>
        <v/>
      </c>
      <c r="V46" s="6">
        <f>IF(AND(ISNUMBER(V37),ISNUMBER(V44),ISNUMBER(V45)),ROUND((V45-MAX(V44,0))*10,1),"")</f>
        <v/>
      </c>
      <c r="W46" s="6">
        <f>IF(AND(ISNUMBER(W37),ISNUMBER(W44),ISNUMBER(W45)),ROUND((W45-MAX(W44,0))*10,1),"")</f>
        <v/>
      </c>
      <c r="X46" s="6">
        <f>IF(AND(ISNUMBER(X37),ISNUMBER(X44),ISNUMBER(X45)),ROUND((X45-MAX(X44,0))*10,1),"")</f>
        <v/>
      </c>
      <c r="Y46" s="6">
        <f>IF(AND(ISNUMBER(Y37),ISNUMBER(Y44),ISNUMBER(Y45)),ROUND((Y45-MAX(Y44,0))*10,1),"")</f>
        <v/>
      </c>
      <c r="Z46" s="6">
        <f>IF(AND(ISNUMBER(Z37),ISNUMBER(Z44),ISNUMBER(Z45)),ROUND((Z45-MAX(Z44,0))*10,1),"")</f>
        <v/>
      </c>
      <c r="AA46" s="6">
        <f>IF(AND(ISNUMBER(AA37),ISNUMBER(AA44),ISNUMBER(AA45)),ROUND((AA45-MAX(AA44,0))*10,1),"")</f>
        <v/>
      </c>
      <c r="AB46" s="6">
        <f>IF(AND(ISNUMBER(AB37),ISNUMBER(AB44),ISNUMBER(AB45)),ROUND((AB45-MAX(AB44,0))*10,1),"")</f>
        <v/>
      </c>
      <c r="AC46" s="6">
        <f>IF(AND(ISNUMBER(AC37),ISNUMBER(AC44),ISNUMBER(AC45)),ROUND((AC45-MAX(AC44,0))*10,1),"")</f>
        <v/>
      </c>
      <c r="AD46" s="6">
        <f>IF(AND(ISNUMBER(AD37),ISNUMBER(AD44),ISNUMBER(AD45)),ROUND((AD45-MAX(AD44,0))*10,1),"")</f>
        <v/>
      </c>
      <c r="AE46" s="6">
        <f>IF(AND(ISNUMBER(AE37),ISNUMBER(AE44),ISNUMBER(AE45)),ROUND((AE45-MAX(AE44,0))*10,1),"")</f>
        <v/>
      </c>
      <c r="AF46" s="6">
        <f>IF(AND(ISNUMBER(AF37),ISNUMBER(AF44),ISNUMBER(AF45)),ROUND((AF45-MAX(AF44,0))*10,1),"")</f>
        <v/>
      </c>
      <c r="AG46" s="6">
        <f>IF(AND(ISNUMBER(AG37),ISNUMBER(AG44),ISNUMBER(AG45)),ROUND((AG45-MAX(AG44,0))*10,1),"")</f>
        <v/>
      </c>
      <c r="AH46" s="6">
        <f>IF(AND(ISNUMBER(AH37),ISNUMBER(AH44),ISNUMBER(AH45)),ROUND((AH45-MAX(AH44,0))*10,1),"")</f>
        <v/>
      </c>
      <c r="AI46" s="6">
        <f>IF(AND(ISNUMBER(AI37),ISNUMBER(AI44),ISNUMBER(AI45)),ROUND((AI45-MAX(AI44,0))*10,1),"")</f>
        <v/>
      </c>
      <c r="AJ46" s="6">
        <f>IF(AND(ISNUMBER(AJ37),ISNUMBER(AJ44),ISNUMBER(AJ45)),ROUND((AJ45-MAX(AJ44,0))*10,1),"")</f>
        <v/>
      </c>
      <c r="AK46" s="6">
        <f>IF(AND(ISNUMBER(AK37),ISNUMBER(AK44),ISNUMBER(AK45)),ROUND((AK45-MAX(AK44,0))*10,1),"")</f>
        <v/>
      </c>
      <c r="AL46" s="6">
        <f>IF(AND(ISNUMBER(AL37),ISNUMBER(AL44),ISNUMBER(AL45)),ROUND((AL45-MAX(AL44,0))*10,1),"")</f>
        <v/>
      </c>
      <c r="AM46" s="6">
        <f>IF(AND(ISNUMBER(AM37),ISNUMBER(AM44),ISNUMBER(AM45)),ROUND((AM45-MAX(AM44,0))*10,1),"")</f>
        <v/>
      </c>
      <c r="AN46" s="6">
        <f>IF(AND(ISNUMBER(AN37),ISNUMBER(AN44),ISNUMBER(AN45)),ROUND((AN45-MAX(AN44,0))*10,1),"")</f>
        <v/>
      </c>
      <c r="AO46" s="6">
        <f>IF(AND(ISNUMBER(AO37),ISNUMBER(AO44),ISNUMBER(AO45)),ROUND((AO45-MAX(AO44,0))*10,1),"")</f>
        <v/>
      </c>
      <c r="AP46" s="6">
        <f>IF(AND(ISNUMBER(AP37),ISNUMBER(AP44),ISNUMBER(AP45)),ROUND((AP45-MAX(AP44,0))*10,1),"")</f>
        <v/>
      </c>
      <c r="AQ46" s="6">
        <f>IF(AND(ISNUMBER(AQ37),ISNUMBER(AQ44),ISNUMBER(AQ45)),ROUND((AQ45-MAX(AQ44,0))*10,1),"")</f>
        <v/>
      </c>
      <c r="AR46" s="6">
        <f>IF(AND(ISNUMBER(AR37),ISNUMBER(AR44),ISNUMBER(AR45)),ROUND((AR45-MAX(AR44,0))*10,1),"")</f>
        <v/>
      </c>
      <c r="AS46" s="6">
        <f>IF(AND(ISNUMBER(AS37),ISNUMBER(AS44),ISNUMBER(AS45)),ROUND((AS45-MAX(AS44,0))*10,1),"")</f>
        <v/>
      </c>
      <c r="AT46" s="6">
        <f>IF(AND(ISNUMBER(AT37),ISNUMBER(AT44),ISNUMBER(AT45)),ROUND((AT45-MAX(AT44,0))*10,1),"")</f>
        <v/>
      </c>
      <c r="AU46" s="6">
        <f>IF(AND(ISNUMBER(AU37),ISNUMBER(AU44),ISNUMBER(AU45)),ROUND((AU45-MAX(AU44,0))*10,1),"")</f>
        <v/>
      </c>
      <c r="AV46" s="6">
        <f>IF(AND(ISNUMBER(AV37),ISNUMBER(AV44),ISNUMBER(AV45)),ROUND((AV45-MAX(AV44,0))*10,1),"")</f>
        <v/>
      </c>
      <c r="AW46" s="6">
        <f>IF(AND(ISNUMBER(AW37),ISNUMBER(AW44),ISNUMBER(AW45)),ROUND((AW45-MAX(AW44,0))*10,1),"")</f>
        <v/>
      </c>
      <c r="AX46" s="6">
        <f>IF(AND(ISNUMBER(AX37),ISNUMBER(AX44),ISNUMBER(AX45)),ROUND((AX45-MAX(AX44,0))*10,1),"")</f>
        <v/>
      </c>
      <c r="AY46" s="6">
        <f>IF(AND(ISNUMBER(AY37),ISNUMBER(AY44),ISNUMBER(AY45)),ROUND((AY45-MAX(AY44,0))*10,1),"")</f>
        <v/>
      </c>
      <c r="AZ46" s="6">
        <f>IF(AND(ISNUMBER(AZ37),ISNUMBER(AZ44),ISNUMBER(AZ45)),ROUND((AZ45-MAX(AZ44,0))*10,1),"")</f>
        <v/>
      </c>
      <c r="BA46" s="6">
        <f>IF(AND(ISNUMBER(BA37),ISNUMBER(BA44),ISNUMBER(BA45)),ROUND((BA45-MAX(BA44,0))*10,1),"")</f>
        <v/>
      </c>
      <c r="BB46" s="6">
        <f>IF(AND(ISNUMBER(BB37),ISNUMBER(BB44),ISNUMBER(BB45)),ROUND((BB45-MAX(BB44,0))*10,1),"")</f>
        <v/>
      </c>
      <c r="BC46" s="6">
        <f>IF(AND(ISNUMBER(BC37),ISNUMBER(BC44),ISNUMBER(BC45)),ROUND((BC45-MAX(BC44,0))*10,1),"")</f>
        <v/>
      </c>
      <c r="BD46" s="6">
        <f>IF(AND(ISNUMBER(BD37),ISNUMBER(BD44),ISNUMBER(BD45)),ROUND((BD45-MAX(BD44,0))*10,1),"")</f>
        <v/>
      </c>
      <c r="BE46" s="6">
        <f>IF(AND(ISNUMBER(BE37),ISNUMBER(BE44),ISNUMBER(BE45)),ROUND((BE45-MAX(BE44,0))*10,1),"")</f>
        <v/>
      </c>
      <c r="BF46" s="6">
        <f>IF(AND(ISNUMBER(BF37),ISNUMBER(BF44),ISNUMBER(BF45)),ROUND((BF45-MAX(BF44,0))*10,1),"")</f>
        <v/>
      </c>
      <c r="BG46" s="6">
        <f>IF(AND(ISNUMBER(BG37),ISNUMBER(BG44),ISNUMBER(BG45)),ROUND((BG45-MAX(BG44,0))*10,1),"")</f>
        <v/>
      </c>
      <c r="BH46" s="6">
        <f>IF(AND(ISNUMBER(BH37),ISNUMBER(BH44),ISNUMBER(BH45)),ROUND((BH45-MAX(BH44,0))*10,1),"")</f>
        <v/>
      </c>
      <c r="BI46" s="6">
        <f>IF(AND(ISNUMBER(BI37),ISNUMBER(BI44),ISNUMBER(BI45)),ROUND((BI45-MAX(BI44,0))*10,1),"")</f>
        <v/>
      </c>
      <c r="BJ46" s="6">
        <f>IF(AND(ISNUMBER(BJ37),ISNUMBER(BJ44),ISNUMBER(BJ45)),ROUND((BJ45-MAX(BJ44,0))*10,1),"")</f>
        <v/>
      </c>
      <c r="BK46" s="6">
        <f>IF(AND(ISNUMBER(BK37),ISNUMBER(BK44),ISNUMBER(BK45)),ROUND((BK45-MAX(BK44,0))*10,1),"")</f>
        <v/>
      </c>
      <c r="BL46" s="6">
        <f>IF(AND(ISNUMBER(BL37),ISNUMBER(BL44),ISNUMBER(BL45)),ROUND((BL45-MAX(BL44,0))*10,1),"")</f>
        <v/>
      </c>
      <c r="BM46" s="6">
        <f>IF(AND(ISNUMBER(BM37),ISNUMBER(BM44),ISNUMBER(BM45)),ROUND((BM45-MAX(BM44,0))*10,1),"")</f>
        <v/>
      </c>
      <c r="BN46" s="6">
        <f>IF(AND(ISNUMBER(BN37),ISNUMBER(BN44),ISNUMBER(BN45)),ROUND((BN45-MAX(BN44,0))*10,1),"")</f>
        <v/>
      </c>
      <c r="BO46" s="6">
        <f>IF(AND(ISNUMBER(BO37),ISNUMBER(BO44),ISNUMBER(BO45)),ROUND((BO45-MAX(BO44,0))*10,1),"")</f>
        <v/>
      </c>
      <c r="BP46" s="6">
        <f>IF(AND(ISNUMBER(BP37),ISNUMBER(BP44),ISNUMBER(BP45)),ROUND((BP45-MAX(BP44,0))*10,1),"")</f>
        <v/>
      </c>
      <c r="BQ46" s="6">
        <f>IF(AND(ISNUMBER(BQ37),ISNUMBER(BQ44),ISNUMBER(BQ45)),ROUND((BQ45-MAX(BQ44,0))*10,1),"")</f>
        <v/>
      </c>
      <c r="BR46" s="6">
        <f>IF(AND(ISNUMBER(BR37),ISNUMBER(BR44),ISNUMBER(BR45)),ROUND((BR45-MAX(BR44,0))*10,1),"")</f>
        <v/>
      </c>
      <c r="BS46" s="6">
        <f>IF(AND(ISNUMBER(BS37),ISNUMBER(BS44),ISNUMBER(BS45)),ROUND((BS45-MAX(BS44,0))*10,1),"")</f>
        <v/>
      </c>
      <c r="BT46" s="6">
        <f>IF(AND(ISNUMBER(BT37),ISNUMBER(BT44),ISNUMBER(BT45)),ROUND((BT45-MAX(BT44,0))*10,1),"")</f>
        <v/>
      </c>
      <c r="BU46" s="6">
        <f>IF(AND(ISNUMBER(BU37),ISNUMBER(BU44),ISNUMBER(BU45)),ROUND((BU45-MAX(BU44,0))*10,1),"")</f>
        <v/>
      </c>
      <c r="BV46" s="6">
        <f>IF(AND(ISNUMBER(BV37),ISNUMBER(BV44),ISNUMBER(BV45)),ROUND((BV45-MAX(BV44,0))*10,1),"")</f>
        <v/>
      </c>
      <c r="BW46" s="6">
        <f>IF(AND(ISNUMBER(BW37),ISNUMBER(BW44),ISNUMBER(BW45)),ROUND((BW45-MAX(BW44,0))*10,1),"")</f>
        <v/>
      </c>
      <c r="BX46" s="6">
        <f>IF(AND(ISNUMBER(BX37),ISNUMBER(BX44),ISNUMBER(BX45)),ROUND((BX45-MAX(BX44,0))*10,1),"")</f>
        <v/>
      </c>
      <c r="BY46" s="6">
        <f>IF(AND(ISNUMBER(BY37),ISNUMBER(BY44),ISNUMBER(BY45)),ROUND((BY45-MAX(BY44,0))*10,1),"")</f>
        <v/>
      </c>
      <c r="BZ46" s="6">
        <f>IF(AND(ISNUMBER(BZ37),ISNUMBER(BZ44),ISNUMBER(BZ45)),ROUND((BZ45-MAX(BZ44,0))*10,1),"")</f>
        <v/>
      </c>
      <c r="CA46" s="6">
        <f>IF(AND(ISNUMBER(CA37),ISNUMBER(CA44),ISNUMBER(CA45)),ROUND((CA45-MAX(CA44,0))*10,1),"")</f>
        <v/>
      </c>
      <c r="CB46" s="6">
        <f>IF(AND(ISNUMBER(CB37),ISNUMBER(CB44),ISNUMBER(CB45)),ROUND((CB45-MAX(CB44,0))*10,1),"")</f>
        <v/>
      </c>
      <c r="CC46" s="6">
        <f>IF(AND(ISNUMBER(CC37),ISNUMBER(CC44),ISNUMBER(CC45)),ROUND((CC45-MAX(CC44,0))*10,1),"")</f>
        <v/>
      </c>
      <c r="CD46" s="6">
        <f>IF(AND(ISNUMBER(CD37),ISNUMBER(CD44),ISNUMBER(CD45)),ROUND((CD45-MAX(CD44,0))*10,1),"")</f>
        <v/>
      </c>
      <c r="CE46" s="6">
        <f>IF(AND(ISNUMBER(CE37),ISNUMBER(CE44),ISNUMBER(CE45)),ROUND((CE45-MAX(CE44,0))*10,1),"")</f>
        <v/>
      </c>
      <c r="CF46" s="6">
        <f>IF(AND(ISNUMBER(CF37),ISNUMBER(CF44),ISNUMBER(CF45)),ROUND((CF45-MAX(CF44,0))*10,1),"")</f>
        <v/>
      </c>
      <c r="CG46" s="6">
        <f>IF(AND(ISNUMBER(CG37),ISNUMBER(CG44),ISNUMBER(CG45)),ROUND((CG45-MAX(CG44,0))*10,1),"")</f>
        <v/>
      </c>
      <c r="CH46" s="6">
        <f>IF(AND(ISNUMBER(CH37),ISNUMBER(CH44),ISNUMBER(CH45)),ROUND((CH45-MAX(CH44,0))*10,1),"")</f>
        <v/>
      </c>
      <c r="CI46" s="6">
        <f>IF(AND(ISNUMBER(CI37),ISNUMBER(CI44),ISNUMBER(CI45)),ROUND((CI45-MAX(CI44,0))*10,1),"")</f>
        <v/>
      </c>
      <c r="CJ46" s="6">
        <f>IF(AND(ISNUMBER(CJ37),ISNUMBER(CJ44),ISNUMBER(CJ45)),ROUND((CJ45-MAX(CJ44,0))*10,1),"")</f>
        <v/>
      </c>
      <c r="CK46" s="6">
        <f>IF(AND(ISNUMBER(CK37),ISNUMBER(CK44),ISNUMBER(CK45)),ROUND((CK45-MAX(CK44,0))*10,1),"")</f>
        <v/>
      </c>
      <c r="CL46" s="6">
        <f>IF(AND(ISNUMBER(CL37),ISNUMBER(CL44),ISNUMBER(CL45)),ROUND((CL45-MAX(CL44,0))*10,1),"")</f>
        <v/>
      </c>
      <c r="CM46" s="6">
        <f>IF(AND(ISNUMBER(CM37),ISNUMBER(CM44),ISNUMBER(CM45)),ROUND((CM45-MAX(CM44,0))*10,1),"")</f>
        <v/>
      </c>
      <c r="CN46" s="6">
        <f>IF(AND(ISNUMBER(CN37),ISNUMBER(CN44),ISNUMBER(CN45)),ROUND((CN45-MAX(CN44,0))*10,1),"")</f>
        <v/>
      </c>
      <c r="CO46" s="6">
        <f>IF(AND(ISNUMBER(CO37),ISNUMBER(CO44),ISNUMBER(CO45)),ROUND((CO45-MAX(CO44,0))*10,1),"")</f>
        <v/>
      </c>
      <c r="CP46" s="6">
        <f>IF(AND(ISNUMBER(CP37),ISNUMBER(CP44),ISNUMBER(CP45)),ROUND((CP45-MAX(CP44,0))*10,1),"")</f>
        <v/>
      </c>
      <c r="CQ46" s="6">
        <f>IF(AND(ISNUMBER(CQ37),ISNUMBER(CQ44),ISNUMBER(CQ45)),ROUND((CQ45-MAX(CQ44,0))*10,1),"")</f>
        <v/>
      </c>
      <c r="CR46" s="6">
        <f>IF(AND(ISNUMBER(CR37),ISNUMBER(CR44),ISNUMBER(CR45)),ROUND((CR45-MAX(CR44,0))*10,1),"")</f>
        <v/>
      </c>
      <c r="CS46" s="6">
        <f>IF(AND(ISNUMBER(CS37),ISNUMBER(CS44),ISNUMBER(CS45)),ROUND((CS45-MAX(CS44,0))*10,1),"")</f>
        <v/>
      </c>
      <c r="CT46" s="6">
        <f>IF(AND(ISNUMBER(CT37),ISNUMBER(CT44),ISNUMBER(CT45)),ROUND((CT45-MAX(CT44,0))*10,1),"")</f>
        <v/>
      </c>
      <c r="CU46" s="6">
        <f>IF(AND(ISNUMBER(CU37),ISNUMBER(CU44),ISNUMBER(CU45)),ROUND((CU45-MAX(CU44,0))*10,1),"")</f>
        <v/>
      </c>
      <c r="CV46" s="6">
        <f>IF(AND(ISNUMBER(CV37),ISNUMBER(CV44),ISNUMBER(CV45)),ROUND((CV45-MAX(CV44,0))*10,1),"")</f>
        <v/>
      </c>
      <c r="CW46" s="6">
        <f>IF(AND(ISNUMBER(CW37),ISNUMBER(CW44),ISNUMBER(CW45)),ROUND((CW45-MAX(CW44,0))*10,1),"")</f>
        <v/>
      </c>
      <c r="CX46" s="6">
        <f>IF(AND(ISNUMBER(CX37),ISNUMBER(CX44),ISNUMBER(CX45)),ROUND((CX45-MAX(CX44,0))*10,1),"")</f>
        <v/>
      </c>
      <c r="CY46" s="6">
        <f>IF(AND(ISNUMBER(CY37),ISNUMBER(CY44),ISNUMBER(CY45)),ROUND((CY45-MAX(CY44,0))*10,1),"")</f>
        <v/>
      </c>
      <c r="CZ46" s="6">
        <f>IF(AND(ISNUMBER(CZ37),ISNUMBER(CZ44),ISNUMBER(CZ45)),ROUND((CZ45-MAX(CZ44,0))*10,1),"")</f>
        <v/>
      </c>
      <c r="DA46" s="6">
        <f>IF(AND(ISNUMBER(DA37),ISNUMBER(DA44),ISNUMBER(DA45)),ROUND((DA45-MAX(DA44,0))*10,1),"")</f>
        <v/>
      </c>
      <c r="DB46" s="6">
        <f>IF(AND(ISNUMBER(DB37),ISNUMBER(DB44),ISNUMBER(DB45)),ROUND((DB45-MAX(DB44,0))*10,1),"")</f>
        <v/>
      </c>
      <c r="DC46" s="6">
        <f>IF(AND(ISNUMBER(DC37),ISNUMBER(DC44),ISNUMBER(DC45)),ROUND((DC45-MAX(DC44,0))*10,1),"")</f>
        <v/>
      </c>
      <c r="DD46" s="6">
        <f>IF(AND(ISNUMBER(DD37),ISNUMBER(DD44),ISNUMBER(DD45)),ROUND((DD45-MAX(DD44,0))*10,1),"")</f>
        <v/>
      </c>
      <c r="DE46" s="6">
        <f>IF(AND(ISNUMBER(DE37),ISNUMBER(DE44),ISNUMBER(DE45)),ROUND((DE45-MAX(DE44,0))*10,1),"")</f>
        <v/>
      </c>
      <c r="DF46" s="6">
        <f>IF(AND(ISNUMBER(DF37),ISNUMBER(DF44),ISNUMBER(DF45)),ROUND((DF45-MAX(DF44,0))*10,1),"")</f>
        <v/>
      </c>
      <c r="DG46" s="6">
        <f>IF(AND(ISNUMBER(DG37),ISNUMBER(DG44),ISNUMBER(DG45)),ROUND((DG45-MAX(DG44,0))*10,1),"")</f>
        <v/>
      </c>
      <c r="DH46" s="6">
        <f>IF(AND(ISNUMBER(DH37),ISNUMBER(DH44),ISNUMBER(DH45)),ROUND((DH45-MAX(DH44,0))*10,1),"")</f>
        <v/>
      </c>
      <c r="DI46" s="6">
        <f>IF(AND(ISNUMBER(DI37),ISNUMBER(DI44),ISNUMBER(DI45)),ROUND((DI45-MAX(DI44,0))*10,1),"")</f>
        <v/>
      </c>
      <c r="DJ46" s="6">
        <f>IF(AND(ISNUMBER(DJ37),ISNUMBER(DJ44),ISNUMBER(DJ45)),ROUND((DJ45-MAX(DJ44,0))*10,1),"")</f>
        <v/>
      </c>
      <c r="DK46" s="6">
        <f>IF(AND(ISNUMBER(DK37),ISNUMBER(DK44),ISNUMBER(DK45)),ROUND((DK45-MAX(DK44,0))*10,1),"")</f>
        <v/>
      </c>
      <c r="DL46" s="6">
        <f>IF(AND(ISNUMBER(DL37),ISNUMBER(DL44),ISNUMBER(DL45)),ROUND((DL45-MAX(DL44,0))*10,1),"")</f>
        <v/>
      </c>
      <c r="DM46" s="6">
        <f>IF(AND(ISNUMBER(DM37),ISNUMBER(DM44),ISNUMBER(DM45)),ROUND((DM45-MAX(DM44,0))*10,1),"")</f>
        <v/>
      </c>
      <c r="DN46" s="6">
        <f>IF(AND(ISNUMBER(DN37),ISNUMBER(DN44),ISNUMBER(DN45)),ROUND((DN45-MAX(DN44,0))*10,1),"")</f>
        <v/>
      </c>
      <c r="DO46" s="6">
        <f>IF(AND(ISNUMBER(DO37),ISNUMBER(DO44),ISNUMBER(DO45)),ROUND((DO45-MAX(DO44,0))*10,1),"")</f>
        <v/>
      </c>
      <c r="DP46" s="6">
        <f>IF(AND(ISNUMBER(DP37),ISNUMBER(DP44),ISNUMBER(DP45)),ROUND((DP45-MAX(DP44,0))*10,1),"")</f>
        <v/>
      </c>
      <c r="DQ46" s="6">
        <f>IF(AND(ISNUMBER(DQ37),ISNUMBER(DQ44),ISNUMBER(DQ45)),ROUND((DQ45-MAX(DQ44,0))*10,1),"")</f>
        <v/>
      </c>
      <c r="DR46" s="6">
        <f>IF(AND(ISNUMBER(DR37),ISNUMBER(DR44),ISNUMBER(DR45)),ROUND((DR45-MAX(DR44,0))*10,1),"")</f>
        <v/>
      </c>
      <c r="DS46" s="6">
        <f>IF(AND(ISNUMBER(DS37),ISNUMBER(DS44),ISNUMBER(DS45)),ROUND((DS45-MAX(DS44,0))*10,1),"")</f>
        <v/>
      </c>
      <c r="DT46" s="6">
        <f>IF(AND(ISNUMBER(DT37),ISNUMBER(DT44),ISNUMBER(DT45)),ROUND((DT45-MAX(DT44,0))*10,1),"")</f>
        <v/>
      </c>
      <c r="DU46" s="6">
        <f>IF(AND(ISNUMBER(DU37),ISNUMBER(DU44),ISNUMBER(DU45)),ROUND((DU45-MAX(DU44,0))*10,1),"")</f>
        <v/>
      </c>
      <c r="DV46" s="6">
        <f>IF(AND(ISNUMBER(DV37),ISNUMBER(DV44),ISNUMBER(DV45)),ROUND((DV45-MAX(DV44,0))*10,1),"")</f>
        <v/>
      </c>
      <c r="DW46" s="6">
        <f>IF(AND(ISNUMBER(DW37),ISNUMBER(DW44),ISNUMBER(DW45)),ROUND((DW45-MAX(DW44,0))*10,1),"")</f>
        <v/>
      </c>
      <c r="DX46" s="6">
        <f>IF(AND(ISNUMBER(DX37),ISNUMBER(DX44),ISNUMBER(DX45)),ROUND((DX45-MAX(DX44,0))*10,1),"")</f>
        <v/>
      </c>
      <c r="DY46" s="6">
        <f>IF(AND(ISNUMBER(DY37),ISNUMBER(DY44),ISNUMBER(DY45)),ROUND((DY45-MAX(DY44,0))*10,1),"")</f>
        <v/>
      </c>
      <c r="DZ46" s="6">
        <f>IF(AND(ISNUMBER(DZ37),ISNUMBER(DZ44),ISNUMBER(DZ45)),ROUND((DZ45-MAX(DZ44,0))*10,1),"")</f>
        <v/>
      </c>
      <c r="EA46" s="6">
        <f>IF(AND(ISNUMBER(EA37),ISNUMBER(EA44),ISNUMBER(EA45)),ROUND((EA45-MAX(EA44,0))*10,1),"")</f>
        <v/>
      </c>
      <c r="EB46" s="6">
        <f>IF(AND(ISNUMBER(EB37),ISNUMBER(EB44),ISNUMBER(EB45)),ROUND((EB45-MAX(EB44,0))*10,1),"")</f>
        <v/>
      </c>
      <c r="EC46" s="6">
        <f>IF(AND(ISNUMBER(EC37),ISNUMBER(EC44),ISNUMBER(EC45)),ROUND((EC45-MAX(EC44,0))*10,1),"")</f>
        <v/>
      </c>
      <c r="ED46" s="6">
        <f>IF(AND(ISNUMBER(ED37),ISNUMBER(ED44),ISNUMBER(ED45)),ROUND((ED45-MAX(ED44,0))*10,1),"")</f>
        <v/>
      </c>
      <c r="EE46" s="6">
        <f>IF(AND(ISNUMBER(EE37),ISNUMBER(EE44),ISNUMBER(EE45)),ROUND((EE45-MAX(EE44,0))*10,1),"")</f>
        <v/>
      </c>
      <c r="EF46" s="6">
        <f>IF(AND(ISNUMBER(EF37),ISNUMBER(EF44),ISNUMBER(EF45)),ROUND((EF45-MAX(EF44,0))*10,1),"")</f>
        <v/>
      </c>
      <c r="EG46" s="6">
        <f>IF(AND(ISNUMBER(EG37),ISNUMBER(EG44),ISNUMBER(EG45)),ROUND((EG45-MAX(EG44,0))*10,1),"")</f>
        <v/>
      </c>
      <c r="EH46" s="6">
        <f>IF(AND(ISNUMBER(EH37),ISNUMBER(EH44),ISNUMBER(EH45)),ROUND((EH45-MAX(EH44,0))*10,1),"")</f>
        <v/>
      </c>
      <c r="EI46" s="6">
        <f>IF(AND(ISNUMBER(EI37),ISNUMBER(EI44),ISNUMBER(EI45)),ROUND((EI45-MAX(EI44,0))*10,1),"")</f>
        <v/>
      </c>
      <c r="EJ46" s="6">
        <f>IF(AND(ISNUMBER(EJ37),ISNUMBER(EJ44),ISNUMBER(EJ45)),ROUND((EJ45-MAX(EJ44,0))*10,1),"")</f>
        <v/>
      </c>
      <c r="EK46" s="6">
        <f>IF(AND(ISNUMBER(EK37),ISNUMBER(EK44),ISNUMBER(EK45)),ROUND((EK45-MAX(EK44,0))*10,1),"")</f>
        <v/>
      </c>
      <c r="EL46" s="6">
        <f>IF(AND(ISNUMBER(EL37),ISNUMBER(EL44),ISNUMBER(EL45)),ROUND((EL45-MAX(EL44,0))*10,1),"")</f>
        <v/>
      </c>
      <c r="EM46" s="6">
        <f>IF(AND(ISNUMBER(EM37),ISNUMBER(EM44),ISNUMBER(EM45)),ROUND((EM45-MAX(EM44,0))*10,1),"")</f>
        <v/>
      </c>
      <c r="EN46" s="6">
        <f>IF(AND(ISNUMBER(EN37),ISNUMBER(EN44),ISNUMBER(EN45)),ROUND((EN45-MAX(EN44,0))*10,1),"")</f>
        <v/>
      </c>
      <c r="EO46" s="6">
        <f>IF(AND(ISNUMBER(EO37),ISNUMBER(EO44),ISNUMBER(EO45)),ROUND((EO45-MAX(EO44,0))*10,1),"")</f>
        <v/>
      </c>
      <c r="EP46" s="6">
        <f>IF(AND(ISNUMBER(EP37),ISNUMBER(EP44),ISNUMBER(EP45)),ROUND((EP45-MAX(EP44,0))*10,1),"")</f>
        <v/>
      </c>
      <c r="EQ46" s="6">
        <f>IF(AND(ISNUMBER(EQ37),ISNUMBER(EQ44),ISNUMBER(EQ45)),ROUND((EQ45-MAX(EQ44,0))*10,1),"")</f>
        <v/>
      </c>
      <c r="ER46" s="6">
        <f>IF(AND(ISNUMBER(ER37),ISNUMBER(ER44),ISNUMBER(ER45)),ROUND((ER45-MAX(ER44,0))*10,1),"")</f>
        <v/>
      </c>
      <c r="ES46" s="6">
        <f>IF(AND(ISNUMBER(ES37),ISNUMBER(ES44),ISNUMBER(ES45)),ROUND((ES45-MAX(ES44,0))*10,1),"")</f>
        <v/>
      </c>
      <c r="ET46" s="6">
        <f>IF(AND(ISNUMBER(ET37),ISNUMBER(ET44),ISNUMBER(ET45)),ROUND((ET45-MAX(ET44,0))*10,1),"")</f>
        <v/>
      </c>
      <c r="EU46" s="6">
        <f>IF(AND(ISNUMBER(EU37),ISNUMBER(EU44),ISNUMBER(EU45)),ROUND((EU45-MAX(EU44,0))*10,1),"")</f>
        <v/>
      </c>
      <c r="EV46" s="6">
        <f>IF(AND(ISNUMBER(EV37),ISNUMBER(EV44),ISNUMBER(EV45)),ROUND((EV45-MAX(EV44,0))*10,1),"")</f>
        <v/>
      </c>
      <c r="EW46" s="6">
        <f>IF(AND(ISNUMBER(EW37),ISNUMBER(EW44),ISNUMBER(EW45)),ROUND((EW45-MAX(EW44,0))*10,1),"")</f>
        <v/>
      </c>
      <c r="EX46" s="6">
        <f>IF(AND(ISNUMBER(EX37),ISNUMBER(EX44),ISNUMBER(EX45)),ROUND((EX45-MAX(EX44,0))*10,1),"")</f>
        <v/>
      </c>
      <c r="EY46" s="6">
        <f>IF(AND(ISNUMBER(EY37),ISNUMBER(EY44),ISNUMBER(EY45)),ROUND((EY45-MAX(EY44,0))*10,1),"")</f>
        <v/>
      </c>
      <c r="EZ46" s="6">
        <f>IF(AND(ISNUMBER(EZ37),ISNUMBER(EZ44),ISNUMBER(EZ45)),ROUND((EZ45-MAX(EZ44,0))*10,1),"")</f>
        <v/>
      </c>
      <c r="FA46" s="6">
        <f>IF(AND(ISNUMBER(FA37),ISNUMBER(FA44),ISNUMBER(FA45)),ROUND((FA45-MAX(FA44,0))*10,1),"")</f>
        <v/>
      </c>
      <c r="FB46" s="6">
        <f>IF(AND(ISNUMBER(FB37),ISNUMBER(FB44),ISNUMBER(FB45)),ROUND((FB45-MAX(FB44,0))*10,1),"")</f>
        <v/>
      </c>
      <c r="FC46" s="6">
        <f>IF(AND(ISNUMBER(FC37),ISNUMBER(FC44),ISNUMBER(FC45)),ROUND((FC45-MAX(FC44,0))*10,1),"")</f>
        <v/>
      </c>
      <c r="FD46" s="6">
        <f>IF(AND(ISNUMBER(FD37),ISNUMBER(FD44),ISNUMBER(FD45)),ROUND((FD45-MAX(FD44,0))*10,1),"")</f>
        <v/>
      </c>
      <c r="FE46" s="6">
        <f>IF(AND(ISNUMBER(FE37),ISNUMBER(FE44),ISNUMBER(FE45)),ROUND((FE45-MAX(FE44,0))*10,1),"")</f>
        <v/>
      </c>
      <c r="FF46" s="6">
        <f>IF(AND(ISNUMBER(FF37),ISNUMBER(FF44),ISNUMBER(FF45)),ROUND((FF45-MAX(FF44,0))*10,1),"")</f>
        <v/>
      </c>
      <c r="FG46" s="6">
        <f>IF(AND(ISNUMBER(FG37),ISNUMBER(FG44),ISNUMBER(FG45)),ROUND((FG45-MAX(FG44,0))*10,1),"")</f>
        <v/>
      </c>
      <c r="FH46" s="6">
        <f>IF(AND(ISNUMBER(FH37),ISNUMBER(FH44),ISNUMBER(FH45)),ROUND((FH45-MAX(FH44,0))*10,1),"")</f>
        <v/>
      </c>
      <c r="FI46" s="6">
        <f>IF(AND(ISNUMBER(FI37),ISNUMBER(FI44),ISNUMBER(FI45)),ROUND((FI45-MAX(FI44,0))*10,1),"")</f>
        <v/>
      </c>
      <c r="FJ46" s="6">
        <f>IF(AND(ISNUMBER(FJ37),ISNUMBER(FJ44),ISNUMBER(FJ45)),ROUND((FJ45-MAX(FJ44,0))*10,1),"")</f>
        <v/>
      </c>
      <c r="FK46" s="6">
        <f>IF(AND(ISNUMBER(FK37),ISNUMBER(FK44),ISNUMBER(FK45)),ROUND((FK45-MAX(FK44,0))*10,1),"")</f>
        <v/>
      </c>
      <c r="FL46" s="6">
        <f>IF(AND(ISNUMBER(FL37),ISNUMBER(FL44),ISNUMBER(FL45)),ROUND((FL45-MAX(FL44,0))*10,1),"")</f>
        <v/>
      </c>
      <c r="FM46" s="6">
        <f>IF(AND(ISNUMBER(FM37),ISNUMBER(FM44),ISNUMBER(FM45)),ROUND((FM45-MAX(FM44,0))*10,1),"")</f>
        <v/>
      </c>
      <c r="FN46" s="6">
        <f>IF(AND(ISNUMBER(FN37),ISNUMBER(FN44),ISNUMBER(FN45)),ROUND((FN45-MAX(FN44,0))*10,1),"")</f>
        <v/>
      </c>
      <c r="FO46" s="6">
        <f>IF(AND(ISNUMBER(FO37),ISNUMBER(FO44),ISNUMBER(FO45)),ROUND((FO45-MAX(FO44,0))*10,1),"")</f>
        <v/>
      </c>
      <c r="FP46" s="6">
        <f>IF(AND(ISNUMBER(FP37),ISNUMBER(FP44),ISNUMBER(FP45)),ROUND((FP45-MAX(FP44,0))*10,1),"")</f>
        <v/>
      </c>
      <c r="FQ46" s="6">
        <f>IF(AND(ISNUMBER(FQ37),ISNUMBER(FQ44),ISNUMBER(FQ45)),ROUND((FQ45-MAX(FQ44,0))*10,1),"")</f>
        <v/>
      </c>
    </row>
    <row r="47">
      <c r="A47" s="31" t="inlineStr">
        <is>
          <t>3F4D+MD</t>
        </is>
      </c>
      <c r="B47" s="30" t="inlineStr">
        <is>
          <t>Cumulative irrigation (mm) / মোট সেচ</t>
        </is>
      </c>
      <c r="C47" s="4">
        <f>IF(COUNT($D$47:$FQ$47)=0,"",MAX($D$47:$FQ$47))</f>
        <v/>
      </c>
      <c r="D47" s="6">
        <f>IF(D38="","",ROUND(SUM($D$46:D46),1))</f>
        <v/>
      </c>
      <c r="E47" s="6">
        <f>IF(E38="","",ROUND(SUM($D$46:E46),1))</f>
        <v/>
      </c>
      <c r="F47" s="6">
        <f>IF(F38="","",ROUND(SUM($D$46:F46),1))</f>
        <v/>
      </c>
      <c r="G47" s="6">
        <f>IF(G38="","",ROUND(SUM($D$46:G46),1))</f>
        <v/>
      </c>
      <c r="H47" s="6">
        <f>IF(H38="","",ROUND(SUM($D$46:H46),1))</f>
        <v/>
      </c>
      <c r="I47" s="6">
        <f>IF(I38="","",ROUND(SUM($D$46:I46),1))</f>
        <v/>
      </c>
      <c r="J47" s="6">
        <f>IF(J38="","",ROUND(SUM($D$46:J46),1))</f>
        <v/>
      </c>
      <c r="K47" s="6">
        <f>IF(K38="","",ROUND(SUM($D$46:K46),1))</f>
        <v/>
      </c>
      <c r="L47" s="6">
        <f>IF(L38="","",ROUND(SUM($D$46:L46),1))</f>
        <v/>
      </c>
      <c r="M47" s="6">
        <f>IF(M38="","",ROUND(SUM($D$46:M46),1))</f>
        <v/>
      </c>
      <c r="N47" s="6">
        <f>IF(N38="","",ROUND(SUM($D$46:N46),1))</f>
        <v/>
      </c>
      <c r="O47" s="6">
        <f>IF(O38="","",ROUND(SUM($D$46:O46),1))</f>
        <v/>
      </c>
      <c r="P47" s="6">
        <f>IF(P38="","",ROUND(SUM($D$46:P46),1))</f>
        <v/>
      </c>
      <c r="Q47" s="6">
        <f>IF(Q38="","",ROUND(SUM($D$46:Q46),1))</f>
        <v/>
      </c>
      <c r="R47" s="6">
        <f>IF(R38="","",ROUND(SUM($D$46:R46),1))</f>
        <v/>
      </c>
      <c r="S47" s="6">
        <f>IF(S38="","",ROUND(SUM($D$46:S46),1))</f>
        <v/>
      </c>
      <c r="T47" s="6">
        <f>IF(T38="","",ROUND(SUM($D$46:T46),1))</f>
        <v/>
      </c>
      <c r="U47" s="6">
        <f>IF(U38="","",ROUND(SUM($D$46:U46),1))</f>
        <v/>
      </c>
      <c r="V47" s="6">
        <f>IF(V38="","",ROUND(SUM($D$46:V46),1))</f>
        <v/>
      </c>
      <c r="W47" s="6">
        <f>IF(W38="","",ROUND(SUM($D$46:W46),1))</f>
        <v/>
      </c>
      <c r="X47" s="6">
        <f>IF(X38="","",ROUND(SUM($D$46:X46),1))</f>
        <v/>
      </c>
      <c r="Y47" s="6">
        <f>IF(Y38="","",ROUND(SUM($D$46:Y46),1))</f>
        <v/>
      </c>
      <c r="Z47" s="6">
        <f>IF(Z38="","",ROUND(SUM($D$46:Z46),1))</f>
        <v/>
      </c>
      <c r="AA47" s="6">
        <f>IF(AA38="","",ROUND(SUM($D$46:AA46),1))</f>
        <v/>
      </c>
      <c r="AB47" s="6">
        <f>IF(AB38="","",ROUND(SUM($D$46:AB46),1))</f>
        <v/>
      </c>
      <c r="AC47" s="6">
        <f>IF(AC38="","",ROUND(SUM($D$46:AC46),1))</f>
        <v/>
      </c>
      <c r="AD47" s="6">
        <f>IF(AD38="","",ROUND(SUM($D$46:AD46),1))</f>
        <v/>
      </c>
      <c r="AE47" s="6">
        <f>IF(AE38="","",ROUND(SUM($D$46:AE46),1))</f>
        <v/>
      </c>
      <c r="AF47" s="6">
        <f>IF(AF38="","",ROUND(SUM($D$46:AF46),1))</f>
        <v/>
      </c>
      <c r="AG47" s="6">
        <f>IF(AG38="","",ROUND(SUM($D$46:AG46),1))</f>
        <v/>
      </c>
      <c r="AH47" s="6">
        <f>IF(AH38="","",ROUND(SUM($D$46:AH46),1))</f>
        <v/>
      </c>
      <c r="AI47" s="6">
        <f>IF(AI38="","",ROUND(SUM($D$46:AI46),1))</f>
        <v/>
      </c>
      <c r="AJ47" s="6">
        <f>IF(AJ38="","",ROUND(SUM($D$46:AJ46),1))</f>
        <v/>
      </c>
      <c r="AK47" s="6">
        <f>IF(AK38="","",ROUND(SUM($D$46:AK46),1))</f>
        <v/>
      </c>
      <c r="AL47" s="6">
        <f>IF(AL38="","",ROUND(SUM($D$46:AL46),1))</f>
        <v/>
      </c>
      <c r="AM47" s="6">
        <f>IF(AM38="","",ROUND(SUM($D$46:AM46),1))</f>
        <v/>
      </c>
      <c r="AN47" s="6">
        <f>IF(AN38="","",ROUND(SUM($D$46:AN46),1))</f>
        <v/>
      </c>
      <c r="AO47" s="6">
        <f>IF(AO38="","",ROUND(SUM($D$46:AO46),1))</f>
        <v/>
      </c>
      <c r="AP47" s="6">
        <f>IF(AP38="","",ROUND(SUM($D$46:AP46),1))</f>
        <v/>
      </c>
      <c r="AQ47" s="6">
        <f>IF(AQ38="","",ROUND(SUM($D$46:AQ46),1))</f>
        <v/>
      </c>
      <c r="AR47" s="6">
        <f>IF(AR38="","",ROUND(SUM($D$46:AR46),1))</f>
        <v/>
      </c>
      <c r="AS47" s="6">
        <f>IF(AS38="","",ROUND(SUM($D$46:AS46),1))</f>
        <v/>
      </c>
      <c r="AT47" s="6">
        <f>IF(AT38="","",ROUND(SUM($D$46:AT46),1))</f>
        <v/>
      </c>
      <c r="AU47" s="6">
        <f>IF(AU38="","",ROUND(SUM($D$46:AU46),1))</f>
        <v/>
      </c>
      <c r="AV47" s="6">
        <f>IF(AV38="","",ROUND(SUM($D$46:AV46),1))</f>
        <v/>
      </c>
      <c r="AW47" s="6">
        <f>IF(AW38="","",ROUND(SUM($D$46:AW46),1))</f>
        <v/>
      </c>
      <c r="AX47" s="6">
        <f>IF(AX38="","",ROUND(SUM($D$46:AX46),1))</f>
        <v/>
      </c>
      <c r="AY47" s="6">
        <f>IF(AY38="","",ROUND(SUM($D$46:AY46),1))</f>
        <v/>
      </c>
      <c r="AZ47" s="6">
        <f>IF(AZ38="","",ROUND(SUM($D$46:AZ46),1))</f>
        <v/>
      </c>
      <c r="BA47" s="6">
        <f>IF(BA38="","",ROUND(SUM($D$46:BA46),1))</f>
        <v/>
      </c>
      <c r="BB47" s="6">
        <f>IF(BB38="","",ROUND(SUM($D$46:BB46),1))</f>
        <v/>
      </c>
      <c r="BC47" s="6">
        <f>IF(BC38="","",ROUND(SUM($D$46:BC46),1))</f>
        <v/>
      </c>
      <c r="BD47" s="6">
        <f>IF(BD38="","",ROUND(SUM($D$46:BD46),1))</f>
        <v/>
      </c>
      <c r="BE47" s="6">
        <f>IF(BE38="","",ROUND(SUM($D$46:BE46),1))</f>
        <v/>
      </c>
      <c r="BF47" s="6">
        <f>IF(BF38="","",ROUND(SUM($D$46:BF46),1))</f>
        <v/>
      </c>
      <c r="BG47" s="6">
        <f>IF(BG38="","",ROUND(SUM($D$46:BG46),1))</f>
        <v/>
      </c>
      <c r="BH47" s="6">
        <f>IF(BH38="","",ROUND(SUM($D$46:BH46),1))</f>
        <v/>
      </c>
      <c r="BI47" s="6">
        <f>IF(BI38="","",ROUND(SUM($D$46:BI46),1))</f>
        <v/>
      </c>
      <c r="BJ47" s="6">
        <f>IF(BJ38="","",ROUND(SUM($D$46:BJ46),1))</f>
        <v/>
      </c>
      <c r="BK47" s="6">
        <f>IF(BK38="","",ROUND(SUM($D$46:BK46),1))</f>
        <v/>
      </c>
      <c r="BL47" s="6">
        <f>IF(BL38="","",ROUND(SUM($D$46:BL46),1))</f>
        <v/>
      </c>
      <c r="BM47" s="6">
        <f>IF(BM38="","",ROUND(SUM($D$46:BM46),1))</f>
        <v/>
      </c>
      <c r="BN47" s="6">
        <f>IF(BN38="","",ROUND(SUM($D$46:BN46),1))</f>
        <v/>
      </c>
      <c r="BO47" s="6">
        <f>IF(BO38="","",ROUND(SUM($D$46:BO46),1))</f>
        <v/>
      </c>
      <c r="BP47" s="6">
        <f>IF(BP38="","",ROUND(SUM($D$46:BP46),1))</f>
        <v/>
      </c>
      <c r="BQ47" s="6">
        <f>IF(BQ38="","",ROUND(SUM($D$46:BQ46),1))</f>
        <v/>
      </c>
      <c r="BR47" s="6">
        <f>IF(BR38="","",ROUND(SUM($D$46:BR46),1))</f>
        <v/>
      </c>
      <c r="BS47" s="6">
        <f>IF(BS38="","",ROUND(SUM($D$46:BS46),1))</f>
        <v/>
      </c>
      <c r="BT47" s="6">
        <f>IF(BT38="","",ROUND(SUM($D$46:BT46),1))</f>
        <v/>
      </c>
      <c r="BU47" s="6">
        <f>IF(BU38="","",ROUND(SUM($D$46:BU46),1))</f>
        <v/>
      </c>
      <c r="BV47" s="6">
        <f>IF(BV38="","",ROUND(SUM($D$46:BV46),1))</f>
        <v/>
      </c>
      <c r="BW47" s="6">
        <f>IF(BW38="","",ROUND(SUM($D$46:BW46),1))</f>
        <v/>
      </c>
      <c r="BX47" s="6">
        <f>IF(BX38="","",ROUND(SUM($D$46:BX46),1))</f>
        <v/>
      </c>
      <c r="BY47" s="6">
        <f>IF(BY38="","",ROUND(SUM($D$46:BY46),1))</f>
        <v/>
      </c>
      <c r="BZ47" s="6">
        <f>IF(BZ38="","",ROUND(SUM($D$46:BZ46),1))</f>
        <v/>
      </c>
      <c r="CA47" s="6">
        <f>IF(CA38="","",ROUND(SUM($D$46:CA46),1))</f>
        <v/>
      </c>
      <c r="CB47" s="6">
        <f>IF(CB38="","",ROUND(SUM($D$46:CB46),1))</f>
        <v/>
      </c>
      <c r="CC47" s="6">
        <f>IF(CC38="","",ROUND(SUM($D$46:CC46),1))</f>
        <v/>
      </c>
      <c r="CD47" s="6">
        <f>IF(CD38="","",ROUND(SUM($D$46:CD46),1))</f>
        <v/>
      </c>
      <c r="CE47" s="6">
        <f>IF(CE38="","",ROUND(SUM($D$46:CE46),1))</f>
        <v/>
      </c>
      <c r="CF47" s="6">
        <f>IF(CF38="","",ROUND(SUM($D$46:CF46),1))</f>
        <v/>
      </c>
      <c r="CG47" s="6">
        <f>IF(CG38="","",ROUND(SUM($D$46:CG46),1))</f>
        <v/>
      </c>
      <c r="CH47" s="6">
        <f>IF(CH38="","",ROUND(SUM($D$46:CH46),1))</f>
        <v/>
      </c>
      <c r="CI47" s="6">
        <f>IF(CI38="","",ROUND(SUM($D$46:CI46),1))</f>
        <v/>
      </c>
      <c r="CJ47" s="6">
        <f>IF(CJ38="","",ROUND(SUM($D$46:CJ46),1))</f>
        <v/>
      </c>
      <c r="CK47" s="6">
        <f>IF(CK38="","",ROUND(SUM($D$46:CK46),1))</f>
        <v/>
      </c>
      <c r="CL47" s="6">
        <f>IF(CL38="","",ROUND(SUM($D$46:CL46),1))</f>
        <v/>
      </c>
      <c r="CM47" s="6">
        <f>IF(CM38="","",ROUND(SUM($D$46:CM46),1))</f>
        <v/>
      </c>
      <c r="CN47" s="6">
        <f>IF(CN38="","",ROUND(SUM($D$46:CN46),1))</f>
        <v/>
      </c>
      <c r="CO47" s="6">
        <f>IF(CO38="","",ROUND(SUM($D$46:CO46),1))</f>
        <v/>
      </c>
      <c r="CP47" s="6">
        <f>IF(CP38="","",ROUND(SUM($D$46:CP46),1))</f>
        <v/>
      </c>
      <c r="CQ47" s="6">
        <f>IF(CQ38="","",ROUND(SUM($D$46:CQ46),1))</f>
        <v/>
      </c>
      <c r="CR47" s="6">
        <f>IF(CR38="","",ROUND(SUM($D$46:CR46),1))</f>
        <v/>
      </c>
      <c r="CS47" s="6">
        <f>IF(CS38="","",ROUND(SUM($D$46:CS46),1))</f>
        <v/>
      </c>
      <c r="CT47" s="6">
        <f>IF(CT38="","",ROUND(SUM($D$46:CT46),1))</f>
        <v/>
      </c>
      <c r="CU47" s="6">
        <f>IF(CU38="","",ROUND(SUM($D$46:CU46),1))</f>
        <v/>
      </c>
      <c r="CV47" s="6">
        <f>IF(CV38="","",ROUND(SUM($D$46:CV46),1))</f>
        <v/>
      </c>
      <c r="CW47" s="6">
        <f>IF(CW38="","",ROUND(SUM($D$46:CW46),1))</f>
        <v/>
      </c>
      <c r="CX47" s="6">
        <f>IF(CX38="","",ROUND(SUM($D$46:CX46),1))</f>
        <v/>
      </c>
      <c r="CY47" s="6">
        <f>IF(CY38="","",ROUND(SUM($D$46:CY46),1))</f>
        <v/>
      </c>
      <c r="CZ47" s="6">
        <f>IF(CZ38="","",ROUND(SUM($D$46:CZ46),1))</f>
        <v/>
      </c>
      <c r="DA47" s="6">
        <f>IF(DA38="","",ROUND(SUM($D$46:DA46),1))</f>
        <v/>
      </c>
      <c r="DB47" s="6">
        <f>IF(DB38="","",ROUND(SUM($D$46:DB46),1))</f>
        <v/>
      </c>
      <c r="DC47" s="6">
        <f>IF(DC38="","",ROUND(SUM($D$46:DC46),1))</f>
        <v/>
      </c>
      <c r="DD47" s="6">
        <f>IF(DD38="","",ROUND(SUM($D$46:DD46),1))</f>
        <v/>
      </c>
      <c r="DE47" s="6">
        <f>IF(DE38="","",ROUND(SUM($D$46:DE46),1))</f>
        <v/>
      </c>
      <c r="DF47" s="6">
        <f>IF(DF38="","",ROUND(SUM($D$46:DF46),1))</f>
        <v/>
      </c>
      <c r="DG47" s="6">
        <f>IF(DG38="","",ROUND(SUM($D$46:DG46),1))</f>
        <v/>
      </c>
      <c r="DH47" s="6">
        <f>IF(DH38="","",ROUND(SUM($D$46:DH46),1))</f>
        <v/>
      </c>
      <c r="DI47" s="6">
        <f>IF(DI38="","",ROUND(SUM($D$46:DI46),1))</f>
        <v/>
      </c>
      <c r="DJ47" s="6">
        <f>IF(DJ38="","",ROUND(SUM($D$46:DJ46),1))</f>
        <v/>
      </c>
      <c r="DK47" s="6">
        <f>IF(DK38="","",ROUND(SUM($D$46:DK46),1))</f>
        <v/>
      </c>
      <c r="DL47" s="6">
        <f>IF(DL38="","",ROUND(SUM($D$46:DL46),1))</f>
        <v/>
      </c>
      <c r="DM47" s="6">
        <f>IF(DM38="","",ROUND(SUM($D$46:DM46),1))</f>
        <v/>
      </c>
      <c r="DN47" s="6">
        <f>IF(DN38="","",ROUND(SUM($D$46:DN46),1))</f>
        <v/>
      </c>
      <c r="DO47" s="6">
        <f>IF(DO38="","",ROUND(SUM($D$46:DO46),1))</f>
        <v/>
      </c>
      <c r="DP47" s="6">
        <f>IF(DP38="","",ROUND(SUM($D$46:DP46),1))</f>
        <v/>
      </c>
      <c r="DQ47" s="6">
        <f>IF(DQ38="","",ROUND(SUM($D$46:DQ46),1))</f>
        <v/>
      </c>
      <c r="DR47" s="6">
        <f>IF(DR38="","",ROUND(SUM($D$46:DR46),1))</f>
        <v/>
      </c>
      <c r="DS47" s="6">
        <f>IF(DS38="","",ROUND(SUM($D$46:DS46),1))</f>
        <v/>
      </c>
      <c r="DT47" s="6">
        <f>IF(DT38="","",ROUND(SUM($D$46:DT46),1))</f>
        <v/>
      </c>
      <c r="DU47" s="6">
        <f>IF(DU38="","",ROUND(SUM($D$46:DU46),1))</f>
        <v/>
      </c>
      <c r="DV47" s="6">
        <f>IF(DV38="","",ROUND(SUM($D$46:DV46),1))</f>
        <v/>
      </c>
      <c r="DW47" s="6">
        <f>IF(DW38="","",ROUND(SUM($D$46:DW46),1))</f>
        <v/>
      </c>
      <c r="DX47" s="6">
        <f>IF(DX38="","",ROUND(SUM($D$46:DX46),1))</f>
        <v/>
      </c>
      <c r="DY47" s="6">
        <f>IF(DY38="","",ROUND(SUM($D$46:DY46),1))</f>
        <v/>
      </c>
      <c r="DZ47" s="6">
        <f>IF(DZ38="","",ROUND(SUM($D$46:DZ46),1))</f>
        <v/>
      </c>
      <c r="EA47" s="6">
        <f>IF(EA38="","",ROUND(SUM($D$46:EA46),1))</f>
        <v/>
      </c>
      <c r="EB47" s="6">
        <f>IF(EB38="","",ROUND(SUM($D$46:EB46),1))</f>
        <v/>
      </c>
      <c r="EC47" s="6">
        <f>IF(EC38="","",ROUND(SUM($D$46:EC46),1))</f>
        <v/>
      </c>
      <c r="ED47" s="6">
        <f>IF(ED38="","",ROUND(SUM($D$46:ED46),1))</f>
        <v/>
      </c>
      <c r="EE47" s="6">
        <f>IF(EE38="","",ROUND(SUM($D$46:EE46),1))</f>
        <v/>
      </c>
      <c r="EF47" s="6">
        <f>IF(EF38="","",ROUND(SUM($D$46:EF46),1))</f>
        <v/>
      </c>
      <c r="EG47" s="6">
        <f>IF(EG38="","",ROUND(SUM($D$46:EG46),1))</f>
        <v/>
      </c>
      <c r="EH47" s="6">
        <f>IF(EH38="","",ROUND(SUM($D$46:EH46),1))</f>
        <v/>
      </c>
      <c r="EI47" s="6">
        <f>IF(EI38="","",ROUND(SUM($D$46:EI46),1))</f>
        <v/>
      </c>
      <c r="EJ47" s="6">
        <f>IF(EJ38="","",ROUND(SUM($D$46:EJ46),1))</f>
        <v/>
      </c>
      <c r="EK47" s="6">
        <f>IF(EK38="","",ROUND(SUM($D$46:EK46),1))</f>
        <v/>
      </c>
      <c r="EL47" s="6">
        <f>IF(EL38="","",ROUND(SUM($D$46:EL46),1))</f>
        <v/>
      </c>
      <c r="EM47" s="6">
        <f>IF(EM38="","",ROUND(SUM($D$46:EM46),1))</f>
        <v/>
      </c>
      <c r="EN47" s="6">
        <f>IF(EN38="","",ROUND(SUM($D$46:EN46),1))</f>
        <v/>
      </c>
      <c r="EO47" s="6">
        <f>IF(EO38="","",ROUND(SUM($D$46:EO46),1))</f>
        <v/>
      </c>
      <c r="EP47" s="6">
        <f>IF(EP38="","",ROUND(SUM($D$46:EP46),1))</f>
        <v/>
      </c>
      <c r="EQ47" s="6">
        <f>IF(EQ38="","",ROUND(SUM($D$46:EQ46),1))</f>
        <v/>
      </c>
      <c r="ER47" s="6">
        <f>IF(ER38="","",ROUND(SUM($D$46:ER46),1))</f>
        <v/>
      </c>
      <c r="ES47" s="6">
        <f>IF(ES38="","",ROUND(SUM($D$46:ES46),1))</f>
        <v/>
      </c>
      <c r="ET47" s="6">
        <f>IF(ET38="","",ROUND(SUM($D$46:ET46),1))</f>
        <v/>
      </c>
      <c r="EU47" s="6">
        <f>IF(EU38="","",ROUND(SUM($D$46:EU46),1))</f>
        <v/>
      </c>
      <c r="EV47" s="6">
        <f>IF(EV38="","",ROUND(SUM($D$46:EV46),1))</f>
        <v/>
      </c>
      <c r="EW47" s="6">
        <f>IF(EW38="","",ROUND(SUM($D$46:EW46),1))</f>
        <v/>
      </c>
      <c r="EX47" s="6">
        <f>IF(EX38="","",ROUND(SUM($D$46:EX46),1))</f>
        <v/>
      </c>
      <c r="EY47" s="6">
        <f>IF(EY38="","",ROUND(SUM($D$46:EY46),1))</f>
        <v/>
      </c>
      <c r="EZ47" s="6">
        <f>IF(EZ38="","",ROUND(SUM($D$46:EZ46),1))</f>
        <v/>
      </c>
      <c r="FA47" s="6">
        <f>IF(FA38="","",ROUND(SUM($D$46:FA46),1))</f>
        <v/>
      </c>
      <c r="FB47" s="6">
        <f>IF(FB38="","",ROUND(SUM($D$46:FB46),1))</f>
        <v/>
      </c>
      <c r="FC47" s="6">
        <f>IF(FC38="","",ROUND(SUM($D$46:FC46),1))</f>
        <v/>
      </c>
      <c r="FD47" s="6">
        <f>IF(FD38="","",ROUND(SUM($D$46:FD46),1))</f>
        <v/>
      </c>
      <c r="FE47" s="6">
        <f>IF(FE38="","",ROUND(SUM($D$46:FE46),1))</f>
        <v/>
      </c>
      <c r="FF47" s="6">
        <f>IF(FF38="","",ROUND(SUM($D$46:FF46),1))</f>
        <v/>
      </c>
      <c r="FG47" s="6">
        <f>IF(FG38="","",ROUND(SUM($D$46:FG46),1))</f>
        <v/>
      </c>
      <c r="FH47" s="6">
        <f>IF(FH38="","",ROUND(SUM($D$46:FH46),1))</f>
        <v/>
      </c>
      <c r="FI47" s="6">
        <f>IF(FI38="","",ROUND(SUM($D$46:FI46),1))</f>
        <v/>
      </c>
      <c r="FJ47" s="6">
        <f>IF(FJ38="","",ROUND(SUM($D$46:FJ46),1))</f>
        <v/>
      </c>
      <c r="FK47" s="6">
        <f>IF(FK38="","",ROUND(SUM($D$46:FK46),1))</f>
        <v/>
      </c>
      <c r="FL47" s="6">
        <f>IF(FL38="","",ROUND(SUM($D$46:FL46),1))</f>
        <v/>
      </c>
      <c r="FM47" s="6">
        <f>IF(FM38="","",ROUND(SUM($D$46:FM46),1))</f>
        <v/>
      </c>
      <c r="FN47" s="6">
        <f>IF(FN38="","",ROUND(SUM($D$46:FN46),1))</f>
        <v/>
      </c>
      <c r="FO47" s="6">
        <f>IF(FO38="","",ROUND(SUM($D$46:FO46),1))</f>
        <v/>
      </c>
      <c r="FP47" s="6">
        <f>IF(FP38="","",ROUND(SUM($D$46:FP46),1))</f>
        <v/>
      </c>
      <c r="FQ47" s="6">
        <f>IF(FQ38="","",ROUND(SUM($D$46:FQ46),1))</f>
        <v/>
      </c>
    </row>
    <row r="48">
      <c r="A48" s="31" t="inlineStr">
        <is>
          <t>3F4D+MD</t>
        </is>
      </c>
      <c r="B48" s="30" t="inlineStr">
        <is>
          <t>Daily water-level decrease (mm) / দৈনিক হ্রাস</t>
        </is>
      </c>
      <c r="D48" s="6">
        <f>""</f>
        <v/>
      </c>
      <c r="E48" s="6">
        <f>IF(AND(ISNUMBER(D57),ISNUMBER(E38)),ROUND((D57-E38)*10,1),"")</f>
        <v/>
      </c>
      <c r="F48" s="6">
        <f>IF(AND(ISNUMBER(E57),ISNUMBER(F38)),ROUND((E57-F38)*10,1),"")</f>
        <v/>
      </c>
      <c r="G48" s="6">
        <f>IF(AND(ISNUMBER(F57),ISNUMBER(G38)),ROUND((F57-G38)*10,1),"")</f>
        <v/>
      </c>
      <c r="H48" s="6">
        <f>IF(AND(ISNUMBER(G57),ISNUMBER(H38)),ROUND((G57-H38)*10,1),"")</f>
        <v/>
      </c>
      <c r="I48" s="6">
        <f>IF(AND(ISNUMBER(H57),ISNUMBER(I38)),ROUND((H57-I38)*10,1),"")</f>
        <v/>
      </c>
      <c r="J48" s="6">
        <f>IF(AND(ISNUMBER(I57),ISNUMBER(J38)),ROUND((I57-J38)*10,1),"")</f>
        <v/>
      </c>
      <c r="K48" s="6">
        <f>IF(AND(ISNUMBER(J57),ISNUMBER(K38)),ROUND((J57-K38)*10,1),"")</f>
        <v/>
      </c>
      <c r="L48" s="6">
        <f>IF(AND(ISNUMBER(K57),ISNUMBER(L38)),ROUND((K57-L38)*10,1),"")</f>
        <v/>
      </c>
      <c r="M48" s="6">
        <f>IF(AND(ISNUMBER(L57),ISNUMBER(M38)),ROUND((L57-M38)*10,1),"")</f>
        <v/>
      </c>
      <c r="N48" s="6">
        <f>IF(AND(ISNUMBER(M57),ISNUMBER(N38)),ROUND((M57-N38)*10,1),"")</f>
        <v/>
      </c>
      <c r="O48" s="6">
        <f>IF(AND(ISNUMBER(N57),ISNUMBER(O38)),ROUND((N57-O38)*10,1),"")</f>
        <v/>
      </c>
      <c r="P48" s="6">
        <f>IF(AND(ISNUMBER(O57),ISNUMBER(P38)),ROUND((O57-P38)*10,1),"")</f>
        <v/>
      </c>
      <c r="Q48" s="6">
        <f>IF(AND(ISNUMBER(P57),ISNUMBER(Q38)),ROUND((P57-Q38)*10,1),"")</f>
        <v/>
      </c>
      <c r="R48" s="6">
        <f>IF(AND(ISNUMBER(Q57),ISNUMBER(R38)),ROUND((Q57-R38)*10,1),"")</f>
        <v/>
      </c>
      <c r="S48" s="6">
        <f>IF(AND(ISNUMBER(R57),ISNUMBER(S38)),ROUND((R57-S38)*10,1),"")</f>
        <v/>
      </c>
      <c r="T48" s="6">
        <f>IF(AND(ISNUMBER(S57),ISNUMBER(T38)),ROUND((S57-T38)*10,1),"")</f>
        <v/>
      </c>
      <c r="U48" s="6">
        <f>IF(AND(ISNUMBER(T57),ISNUMBER(U38)),ROUND((T57-U38)*10,1),"")</f>
        <v/>
      </c>
      <c r="V48" s="6">
        <f>IF(AND(ISNUMBER(U57),ISNUMBER(V38)),ROUND((U57-V38)*10,1),"")</f>
        <v/>
      </c>
      <c r="W48" s="6">
        <f>IF(AND(ISNUMBER(V57),ISNUMBER(W38)),ROUND((V57-W38)*10,1),"")</f>
        <v/>
      </c>
      <c r="X48" s="6">
        <f>IF(AND(ISNUMBER(W57),ISNUMBER(X38)),ROUND((W57-X38)*10,1),"")</f>
        <v/>
      </c>
      <c r="Y48" s="6">
        <f>IF(AND(ISNUMBER(X57),ISNUMBER(Y38)),ROUND((X57-Y38)*10,1),"")</f>
        <v/>
      </c>
      <c r="Z48" s="6">
        <f>IF(AND(ISNUMBER(Y57),ISNUMBER(Z38)),ROUND((Y57-Z38)*10,1),"")</f>
        <v/>
      </c>
      <c r="AA48" s="6">
        <f>IF(AND(ISNUMBER(Z57),ISNUMBER(AA38)),ROUND((Z57-AA38)*10,1),"")</f>
        <v/>
      </c>
      <c r="AB48" s="6">
        <f>IF(AND(ISNUMBER(AA57),ISNUMBER(AB38)),ROUND((AA57-AB38)*10,1),"")</f>
        <v/>
      </c>
      <c r="AC48" s="6">
        <f>IF(AND(ISNUMBER(AB57),ISNUMBER(AC38)),ROUND((AB57-AC38)*10,1),"")</f>
        <v/>
      </c>
      <c r="AD48" s="6">
        <f>IF(AND(ISNUMBER(AC57),ISNUMBER(AD38)),ROUND((AC57-AD38)*10,1),"")</f>
        <v/>
      </c>
      <c r="AE48" s="6">
        <f>IF(AND(ISNUMBER(AD57),ISNUMBER(AE38)),ROUND((AD57-AE38)*10,1),"")</f>
        <v/>
      </c>
      <c r="AF48" s="6">
        <f>IF(AND(ISNUMBER(AE57),ISNUMBER(AF38)),ROUND((AE57-AF38)*10,1),"")</f>
        <v/>
      </c>
      <c r="AG48" s="6">
        <f>IF(AND(ISNUMBER(AF57),ISNUMBER(AG38)),ROUND((AF57-AG38)*10,1),"")</f>
        <v/>
      </c>
      <c r="AH48" s="6">
        <f>IF(AND(ISNUMBER(AG57),ISNUMBER(AH38)),ROUND((AG57-AH38)*10,1),"")</f>
        <v/>
      </c>
      <c r="AI48" s="6">
        <f>IF(AND(ISNUMBER(AH57),ISNUMBER(AI38)),ROUND((AH57-AI38)*10,1),"")</f>
        <v/>
      </c>
      <c r="AJ48" s="6">
        <f>IF(AND(ISNUMBER(AI57),ISNUMBER(AJ38)),ROUND((AI57-AJ38)*10,1),"")</f>
        <v/>
      </c>
      <c r="AK48" s="6">
        <f>IF(AND(ISNUMBER(AJ57),ISNUMBER(AK38)),ROUND((AJ57-AK38)*10,1),"")</f>
        <v/>
      </c>
      <c r="AL48" s="6">
        <f>IF(AND(ISNUMBER(AK57),ISNUMBER(AL38)),ROUND((AK57-AL38)*10,1),"")</f>
        <v/>
      </c>
      <c r="AM48" s="6">
        <f>IF(AND(ISNUMBER(AL57),ISNUMBER(AM38)),ROUND((AL57-AM38)*10,1),"")</f>
        <v/>
      </c>
      <c r="AN48" s="6">
        <f>IF(AND(ISNUMBER(AM57),ISNUMBER(AN38)),ROUND((AM57-AN38)*10,1),"")</f>
        <v/>
      </c>
      <c r="AO48" s="6">
        <f>IF(AND(ISNUMBER(AN57),ISNUMBER(AO38)),ROUND((AN57-AO38)*10,1),"")</f>
        <v/>
      </c>
      <c r="AP48" s="6">
        <f>IF(AND(ISNUMBER(AO57),ISNUMBER(AP38)),ROUND((AO57-AP38)*10,1),"")</f>
        <v/>
      </c>
      <c r="AQ48" s="6">
        <f>IF(AND(ISNUMBER(AP57),ISNUMBER(AQ38)),ROUND((AP57-AQ38)*10,1),"")</f>
        <v/>
      </c>
      <c r="AR48" s="6">
        <f>IF(AND(ISNUMBER(AQ57),ISNUMBER(AR38)),ROUND((AQ57-AR38)*10,1),"")</f>
        <v/>
      </c>
      <c r="AS48" s="6">
        <f>IF(AND(ISNUMBER(AR57),ISNUMBER(AS38)),ROUND((AR57-AS38)*10,1),"")</f>
        <v/>
      </c>
      <c r="AT48" s="6">
        <f>IF(AND(ISNUMBER(AS57),ISNUMBER(AT38)),ROUND((AS57-AT38)*10,1),"")</f>
        <v/>
      </c>
      <c r="AU48" s="6">
        <f>IF(AND(ISNUMBER(AT57),ISNUMBER(AU38)),ROUND((AT57-AU38)*10,1),"")</f>
        <v/>
      </c>
      <c r="AV48" s="6">
        <f>IF(AND(ISNUMBER(AU57),ISNUMBER(AV38)),ROUND((AU57-AV38)*10,1),"")</f>
        <v/>
      </c>
      <c r="AW48" s="6">
        <f>IF(AND(ISNUMBER(AV57),ISNUMBER(AW38)),ROUND((AV57-AW38)*10,1),"")</f>
        <v/>
      </c>
      <c r="AX48" s="6">
        <f>IF(AND(ISNUMBER(AW57),ISNUMBER(AX38)),ROUND((AW57-AX38)*10,1),"")</f>
        <v/>
      </c>
      <c r="AY48" s="6">
        <f>IF(AND(ISNUMBER(AX57),ISNUMBER(AY38)),ROUND((AX57-AY38)*10,1),"")</f>
        <v/>
      </c>
      <c r="AZ48" s="6">
        <f>IF(AND(ISNUMBER(AY57),ISNUMBER(AZ38)),ROUND((AY57-AZ38)*10,1),"")</f>
        <v/>
      </c>
      <c r="BA48" s="6">
        <f>IF(AND(ISNUMBER(AZ57),ISNUMBER(BA38)),ROUND((AZ57-BA38)*10,1),"")</f>
        <v/>
      </c>
      <c r="BB48" s="6">
        <f>IF(AND(ISNUMBER(BA57),ISNUMBER(BB38)),ROUND((BA57-BB38)*10,1),"")</f>
        <v/>
      </c>
      <c r="BC48" s="6">
        <f>IF(AND(ISNUMBER(BB57),ISNUMBER(BC38)),ROUND((BB57-BC38)*10,1),"")</f>
        <v/>
      </c>
      <c r="BD48" s="6">
        <f>IF(AND(ISNUMBER(BC57),ISNUMBER(BD38)),ROUND((BC57-BD38)*10,1),"")</f>
        <v/>
      </c>
      <c r="BE48" s="6">
        <f>IF(AND(ISNUMBER(BD57),ISNUMBER(BE38)),ROUND((BD57-BE38)*10,1),"")</f>
        <v/>
      </c>
      <c r="BF48" s="6">
        <f>IF(AND(ISNUMBER(BE57),ISNUMBER(BF38)),ROUND((BE57-BF38)*10,1),"")</f>
        <v/>
      </c>
      <c r="BG48" s="6">
        <f>IF(AND(ISNUMBER(BF57),ISNUMBER(BG38)),ROUND((BF57-BG38)*10,1),"")</f>
        <v/>
      </c>
      <c r="BH48" s="6">
        <f>IF(AND(ISNUMBER(BG57),ISNUMBER(BH38)),ROUND((BG57-BH38)*10,1),"")</f>
        <v/>
      </c>
      <c r="BI48" s="6">
        <f>IF(AND(ISNUMBER(BH57),ISNUMBER(BI38)),ROUND((BH57-BI38)*10,1),"")</f>
        <v/>
      </c>
      <c r="BJ48" s="6">
        <f>IF(AND(ISNUMBER(BI57),ISNUMBER(BJ38)),ROUND((BI57-BJ38)*10,1),"")</f>
        <v/>
      </c>
      <c r="BK48" s="6">
        <f>IF(AND(ISNUMBER(BJ57),ISNUMBER(BK38)),ROUND((BJ57-BK38)*10,1),"")</f>
        <v/>
      </c>
      <c r="BL48" s="6">
        <f>IF(AND(ISNUMBER(BK57),ISNUMBER(BL38)),ROUND((BK57-BL38)*10,1),"")</f>
        <v/>
      </c>
      <c r="BM48" s="6">
        <f>IF(AND(ISNUMBER(BL57),ISNUMBER(BM38)),ROUND((BL57-BM38)*10,1),"")</f>
        <v/>
      </c>
      <c r="BN48" s="6">
        <f>IF(AND(ISNUMBER(BM57),ISNUMBER(BN38)),ROUND((BM57-BN38)*10,1),"")</f>
        <v/>
      </c>
      <c r="BO48" s="6">
        <f>IF(AND(ISNUMBER(BN57),ISNUMBER(BO38)),ROUND((BN57-BO38)*10,1),"")</f>
        <v/>
      </c>
      <c r="BP48" s="6">
        <f>IF(AND(ISNUMBER(BO57),ISNUMBER(BP38)),ROUND((BO57-BP38)*10,1),"")</f>
        <v/>
      </c>
      <c r="BQ48" s="6">
        <f>IF(AND(ISNUMBER(BP57),ISNUMBER(BQ38)),ROUND((BP57-BQ38)*10,1),"")</f>
        <v/>
      </c>
      <c r="BR48" s="6">
        <f>IF(AND(ISNUMBER(BQ57),ISNUMBER(BR38)),ROUND((BQ57-BR38)*10,1),"")</f>
        <v/>
      </c>
      <c r="BS48" s="6">
        <f>IF(AND(ISNUMBER(BR57),ISNUMBER(BS38)),ROUND((BR57-BS38)*10,1),"")</f>
        <v/>
      </c>
      <c r="BT48" s="6">
        <f>IF(AND(ISNUMBER(BS57),ISNUMBER(BT38)),ROUND((BS57-BT38)*10,1),"")</f>
        <v/>
      </c>
      <c r="BU48" s="6">
        <f>IF(AND(ISNUMBER(BT57),ISNUMBER(BU38)),ROUND((BT57-BU38)*10,1),"")</f>
        <v/>
      </c>
      <c r="BV48" s="6">
        <f>IF(AND(ISNUMBER(BU57),ISNUMBER(BV38)),ROUND((BU57-BV38)*10,1),"")</f>
        <v/>
      </c>
      <c r="BW48" s="6">
        <f>IF(AND(ISNUMBER(BV57),ISNUMBER(BW38)),ROUND((BV57-BW38)*10,1),"")</f>
        <v/>
      </c>
      <c r="BX48" s="6">
        <f>IF(AND(ISNUMBER(BW57),ISNUMBER(BX38)),ROUND((BW57-BX38)*10,1),"")</f>
        <v/>
      </c>
      <c r="BY48" s="6">
        <f>IF(AND(ISNUMBER(BX57),ISNUMBER(BY38)),ROUND((BX57-BY38)*10,1),"")</f>
        <v/>
      </c>
      <c r="BZ48" s="6">
        <f>IF(AND(ISNUMBER(BY57),ISNUMBER(BZ38)),ROUND((BY57-BZ38)*10,1),"")</f>
        <v/>
      </c>
      <c r="CA48" s="6">
        <f>IF(AND(ISNUMBER(BZ57),ISNUMBER(CA38)),ROUND((BZ57-CA38)*10,1),"")</f>
        <v/>
      </c>
      <c r="CB48" s="6">
        <f>IF(AND(ISNUMBER(CA57),ISNUMBER(CB38)),ROUND((CA57-CB38)*10,1),"")</f>
        <v/>
      </c>
      <c r="CC48" s="6">
        <f>IF(AND(ISNUMBER(CB57),ISNUMBER(CC38)),ROUND((CB57-CC38)*10,1),"")</f>
        <v/>
      </c>
      <c r="CD48" s="6">
        <f>IF(AND(ISNUMBER(CC57),ISNUMBER(CD38)),ROUND((CC57-CD38)*10,1),"")</f>
        <v/>
      </c>
      <c r="CE48" s="6">
        <f>IF(AND(ISNUMBER(CD57),ISNUMBER(CE38)),ROUND((CD57-CE38)*10,1),"")</f>
        <v/>
      </c>
      <c r="CF48" s="6">
        <f>IF(AND(ISNUMBER(CE57),ISNUMBER(CF38)),ROUND((CE57-CF38)*10,1),"")</f>
        <v/>
      </c>
      <c r="CG48" s="6">
        <f>IF(AND(ISNUMBER(CF57),ISNUMBER(CG38)),ROUND((CF57-CG38)*10,1),"")</f>
        <v/>
      </c>
      <c r="CH48" s="6">
        <f>IF(AND(ISNUMBER(CG57),ISNUMBER(CH38)),ROUND((CG57-CH38)*10,1),"")</f>
        <v/>
      </c>
      <c r="CI48" s="6">
        <f>IF(AND(ISNUMBER(CH57),ISNUMBER(CI38)),ROUND((CH57-CI38)*10,1),"")</f>
        <v/>
      </c>
      <c r="CJ48" s="6">
        <f>IF(AND(ISNUMBER(CI57),ISNUMBER(CJ38)),ROUND((CI57-CJ38)*10,1),"")</f>
        <v/>
      </c>
      <c r="CK48" s="6">
        <f>IF(AND(ISNUMBER(CJ57),ISNUMBER(CK38)),ROUND((CJ57-CK38)*10,1),"")</f>
        <v/>
      </c>
      <c r="CL48" s="6">
        <f>IF(AND(ISNUMBER(CK57),ISNUMBER(CL38)),ROUND((CK57-CL38)*10,1),"")</f>
        <v/>
      </c>
      <c r="CM48" s="6">
        <f>IF(AND(ISNUMBER(CL57),ISNUMBER(CM38)),ROUND((CL57-CM38)*10,1),"")</f>
        <v/>
      </c>
      <c r="CN48" s="6">
        <f>IF(AND(ISNUMBER(CM57),ISNUMBER(CN38)),ROUND((CM57-CN38)*10,1),"")</f>
        <v/>
      </c>
      <c r="CO48" s="6">
        <f>IF(AND(ISNUMBER(CN57),ISNUMBER(CO38)),ROUND((CN57-CO38)*10,1),"")</f>
        <v/>
      </c>
      <c r="CP48" s="6">
        <f>IF(AND(ISNUMBER(CO57),ISNUMBER(CP38)),ROUND((CO57-CP38)*10,1),"")</f>
        <v/>
      </c>
      <c r="CQ48" s="6">
        <f>IF(AND(ISNUMBER(CP57),ISNUMBER(CQ38)),ROUND((CP57-CQ38)*10,1),"")</f>
        <v/>
      </c>
      <c r="CR48" s="6">
        <f>IF(AND(ISNUMBER(CQ57),ISNUMBER(CR38)),ROUND((CQ57-CR38)*10,1),"")</f>
        <v/>
      </c>
      <c r="CS48" s="6">
        <f>IF(AND(ISNUMBER(CR57),ISNUMBER(CS38)),ROUND((CR57-CS38)*10,1),"")</f>
        <v/>
      </c>
      <c r="CT48" s="6">
        <f>IF(AND(ISNUMBER(CS57),ISNUMBER(CT38)),ROUND((CS57-CT38)*10,1),"")</f>
        <v/>
      </c>
      <c r="CU48" s="6">
        <f>IF(AND(ISNUMBER(CT57),ISNUMBER(CU38)),ROUND((CT57-CU38)*10,1),"")</f>
        <v/>
      </c>
      <c r="CV48" s="6">
        <f>IF(AND(ISNUMBER(CU57),ISNUMBER(CV38)),ROUND((CU57-CV38)*10,1),"")</f>
        <v/>
      </c>
      <c r="CW48" s="6">
        <f>IF(AND(ISNUMBER(CV57),ISNUMBER(CW38)),ROUND((CV57-CW38)*10,1),"")</f>
        <v/>
      </c>
      <c r="CX48" s="6">
        <f>IF(AND(ISNUMBER(CW57),ISNUMBER(CX38)),ROUND((CW57-CX38)*10,1),"")</f>
        <v/>
      </c>
      <c r="CY48" s="6">
        <f>IF(AND(ISNUMBER(CX57),ISNUMBER(CY38)),ROUND((CX57-CY38)*10,1),"")</f>
        <v/>
      </c>
      <c r="CZ48" s="6">
        <f>IF(AND(ISNUMBER(CY57),ISNUMBER(CZ38)),ROUND((CY57-CZ38)*10,1),"")</f>
        <v/>
      </c>
      <c r="DA48" s="6">
        <f>IF(AND(ISNUMBER(CZ57),ISNUMBER(DA38)),ROUND((CZ57-DA38)*10,1),"")</f>
        <v/>
      </c>
      <c r="DB48" s="6">
        <f>IF(AND(ISNUMBER(DA57),ISNUMBER(DB38)),ROUND((DA57-DB38)*10,1),"")</f>
        <v/>
      </c>
      <c r="DC48" s="6">
        <f>IF(AND(ISNUMBER(DB57),ISNUMBER(DC38)),ROUND((DB57-DC38)*10,1),"")</f>
        <v/>
      </c>
      <c r="DD48" s="6">
        <f>IF(AND(ISNUMBER(DC57),ISNUMBER(DD38)),ROUND((DC57-DD38)*10,1),"")</f>
        <v/>
      </c>
      <c r="DE48" s="6">
        <f>IF(AND(ISNUMBER(DD57),ISNUMBER(DE38)),ROUND((DD57-DE38)*10,1),"")</f>
        <v/>
      </c>
      <c r="DF48" s="6">
        <f>IF(AND(ISNUMBER(DE57),ISNUMBER(DF38)),ROUND((DE57-DF38)*10,1),"")</f>
        <v/>
      </c>
      <c r="DG48" s="6">
        <f>IF(AND(ISNUMBER(DF57),ISNUMBER(DG38)),ROUND((DF57-DG38)*10,1),"")</f>
        <v/>
      </c>
      <c r="DH48" s="6">
        <f>IF(AND(ISNUMBER(DG57),ISNUMBER(DH38)),ROUND((DG57-DH38)*10,1),"")</f>
        <v/>
      </c>
      <c r="DI48" s="6">
        <f>IF(AND(ISNUMBER(DH57),ISNUMBER(DI38)),ROUND((DH57-DI38)*10,1),"")</f>
        <v/>
      </c>
      <c r="DJ48" s="6">
        <f>IF(AND(ISNUMBER(DI57),ISNUMBER(DJ38)),ROUND((DI57-DJ38)*10,1),"")</f>
        <v/>
      </c>
      <c r="DK48" s="6">
        <f>IF(AND(ISNUMBER(DJ57),ISNUMBER(DK38)),ROUND((DJ57-DK38)*10,1),"")</f>
        <v/>
      </c>
      <c r="DL48" s="6">
        <f>IF(AND(ISNUMBER(DK57),ISNUMBER(DL38)),ROUND((DK57-DL38)*10,1),"")</f>
        <v/>
      </c>
      <c r="DM48" s="6">
        <f>IF(AND(ISNUMBER(DL57),ISNUMBER(DM38)),ROUND((DL57-DM38)*10,1),"")</f>
        <v/>
      </c>
      <c r="DN48" s="6">
        <f>IF(AND(ISNUMBER(DM57),ISNUMBER(DN38)),ROUND((DM57-DN38)*10,1),"")</f>
        <v/>
      </c>
      <c r="DO48" s="6">
        <f>IF(AND(ISNUMBER(DN57),ISNUMBER(DO38)),ROUND((DN57-DO38)*10,1),"")</f>
        <v/>
      </c>
      <c r="DP48" s="6">
        <f>IF(AND(ISNUMBER(DO57),ISNUMBER(DP38)),ROUND((DO57-DP38)*10,1),"")</f>
        <v/>
      </c>
      <c r="DQ48" s="6">
        <f>IF(AND(ISNUMBER(DP57),ISNUMBER(DQ38)),ROUND((DP57-DQ38)*10,1),"")</f>
        <v/>
      </c>
      <c r="DR48" s="6">
        <f>IF(AND(ISNUMBER(DQ57),ISNUMBER(DR38)),ROUND((DQ57-DR38)*10,1),"")</f>
        <v/>
      </c>
      <c r="DS48" s="6">
        <f>IF(AND(ISNUMBER(DR57),ISNUMBER(DS38)),ROUND((DR57-DS38)*10,1),"")</f>
        <v/>
      </c>
      <c r="DT48" s="6">
        <f>IF(AND(ISNUMBER(DS57),ISNUMBER(DT38)),ROUND((DS57-DT38)*10,1),"")</f>
        <v/>
      </c>
      <c r="DU48" s="6">
        <f>IF(AND(ISNUMBER(DT57),ISNUMBER(DU38)),ROUND((DT57-DU38)*10,1),"")</f>
        <v/>
      </c>
      <c r="DV48" s="6">
        <f>IF(AND(ISNUMBER(DU57),ISNUMBER(DV38)),ROUND((DU57-DV38)*10,1),"")</f>
        <v/>
      </c>
      <c r="DW48" s="6">
        <f>IF(AND(ISNUMBER(DV57),ISNUMBER(DW38)),ROUND((DV57-DW38)*10,1),"")</f>
        <v/>
      </c>
      <c r="DX48" s="6">
        <f>IF(AND(ISNUMBER(DW57),ISNUMBER(DX38)),ROUND((DW57-DX38)*10,1),"")</f>
        <v/>
      </c>
      <c r="DY48" s="6">
        <f>IF(AND(ISNUMBER(DX57),ISNUMBER(DY38)),ROUND((DX57-DY38)*10,1),"")</f>
        <v/>
      </c>
      <c r="DZ48" s="6">
        <f>IF(AND(ISNUMBER(DY57),ISNUMBER(DZ38)),ROUND((DY57-DZ38)*10,1),"")</f>
        <v/>
      </c>
      <c r="EA48" s="6">
        <f>IF(AND(ISNUMBER(DZ57),ISNUMBER(EA38)),ROUND((DZ57-EA38)*10,1),"")</f>
        <v/>
      </c>
      <c r="EB48" s="6">
        <f>IF(AND(ISNUMBER(EA57),ISNUMBER(EB38)),ROUND((EA57-EB38)*10,1),"")</f>
        <v/>
      </c>
      <c r="EC48" s="6">
        <f>IF(AND(ISNUMBER(EB57),ISNUMBER(EC38)),ROUND((EB57-EC38)*10,1),"")</f>
        <v/>
      </c>
      <c r="ED48" s="6">
        <f>IF(AND(ISNUMBER(EC57),ISNUMBER(ED38)),ROUND((EC57-ED38)*10,1),"")</f>
        <v/>
      </c>
      <c r="EE48" s="6">
        <f>IF(AND(ISNUMBER(ED57),ISNUMBER(EE38)),ROUND((ED57-EE38)*10,1),"")</f>
        <v/>
      </c>
      <c r="EF48" s="6">
        <f>IF(AND(ISNUMBER(EE57),ISNUMBER(EF38)),ROUND((EE57-EF38)*10,1),"")</f>
        <v/>
      </c>
      <c r="EG48" s="6">
        <f>IF(AND(ISNUMBER(EF57),ISNUMBER(EG38)),ROUND((EF57-EG38)*10,1),"")</f>
        <v/>
      </c>
      <c r="EH48" s="6">
        <f>IF(AND(ISNUMBER(EG57),ISNUMBER(EH38)),ROUND((EG57-EH38)*10,1),"")</f>
        <v/>
      </c>
      <c r="EI48" s="6">
        <f>IF(AND(ISNUMBER(EH57),ISNUMBER(EI38)),ROUND((EH57-EI38)*10,1),"")</f>
        <v/>
      </c>
      <c r="EJ48" s="6">
        <f>IF(AND(ISNUMBER(EI57),ISNUMBER(EJ38)),ROUND((EI57-EJ38)*10,1),"")</f>
        <v/>
      </c>
      <c r="EK48" s="6">
        <f>IF(AND(ISNUMBER(EJ57),ISNUMBER(EK38)),ROUND((EJ57-EK38)*10,1),"")</f>
        <v/>
      </c>
      <c r="EL48" s="6">
        <f>IF(AND(ISNUMBER(EK57),ISNUMBER(EL38)),ROUND((EK57-EL38)*10,1),"")</f>
        <v/>
      </c>
      <c r="EM48" s="6">
        <f>IF(AND(ISNUMBER(EL57),ISNUMBER(EM38)),ROUND((EL57-EM38)*10,1),"")</f>
        <v/>
      </c>
      <c r="EN48" s="6">
        <f>IF(AND(ISNUMBER(EM57),ISNUMBER(EN38)),ROUND((EM57-EN38)*10,1),"")</f>
        <v/>
      </c>
      <c r="EO48" s="6">
        <f>IF(AND(ISNUMBER(EN57),ISNUMBER(EO38)),ROUND((EN57-EO38)*10,1),"")</f>
        <v/>
      </c>
      <c r="EP48" s="6">
        <f>IF(AND(ISNUMBER(EO57),ISNUMBER(EP38)),ROUND((EO57-EP38)*10,1),"")</f>
        <v/>
      </c>
      <c r="EQ48" s="6">
        <f>IF(AND(ISNUMBER(EP57),ISNUMBER(EQ38)),ROUND((EP57-EQ38)*10,1),"")</f>
        <v/>
      </c>
      <c r="ER48" s="6">
        <f>IF(AND(ISNUMBER(EQ57),ISNUMBER(ER38)),ROUND((EQ57-ER38)*10,1),"")</f>
        <v/>
      </c>
      <c r="ES48" s="6">
        <f>IF(AND(ISNUMBER(ER57),ISNUMBER(ES38)),ROUND((ER57-ES38)*10,1),"")</f>
        <v/>
      </c>
      <c r="ET48" s="6">
        <f>IF(AND(ISNUMBER(ES57),ISNUMBER(ET38)),ROUND((ES57-ET38)*10,1),"")</f>
        <v/>
      </c>
      <c r="EU48" s="6">
        <f>IF(AND(ISNUMBER(ET57),ISNUMBER(EU38)),ROUND((ET57-EU38)*10,1),"")</f>
        <v/>
      </c>
      <c r="EV48" s="6">
        <f>IF(AND(ISNUMBER(EU57),ISNUMBER(EV38)),ROUND((EU57-EV38)*10,1),"")</f>
        <v/>
      </c>
      <c r="EW48" s="6">
        <f>IF(AND(ISNUMBER(EV57),ISNUMBER(EW38)),ROUND((EV57-EW38)*10,1),"")</f>
        <v/>
      </c>
      <c r="EX48" s="6">
        <f>IF(AND(ISNUMBER(EW57),ISNUMBER(EX38)),ROUND((EW57-EX38)*10,1),"")</f>
        <v/>
      </c>
      <c r="EY48" s="6">
        <f>IF(AND(ISNUMBER(EX57),ISNUMBER(EY38)),ROUND((EX57-EY38)*10,1),"")</f>
        <v/>
      </c>
      <c r="EZ48" s="6">
        <f>IF(AND(ISNUMBER(EY57),ISNUMBER(EZ38)),ROUND((EY57-EZ38)*10,1),"")</f>
        <v/>
      </c>
      <c r="FA48" s="6">
        <f>IF(AND(ISNUMBER(EZ57),ISNUMBER(FA38)),ROUND((EZ57-FA38)*10,1),"")</f>
        <v/>
      </c>
      <c r="FB48" s="6">
        <f>IF(AND(ISNUMBER(FA57),ISNUMBER(FB38)),ROUND((FA57-FB38)*10,1),"")</f>
        <v/>
      </c>
      <c r="FC48" s="6">
        <f>IF(AND(ISNUMBER(FB57),ISNUMBER(FC38)),ROUND((FB57-FC38)*10,1),"")</f>
        <v/>
      </c>
      <c r="FD48" s="6">
        <f>IF(AND(ISNUMBER(FC57),ISNUMBER(FD38)),ROUND((FC57-FD38)*10,1),"")</f>
        <v/>
      </c>
      <c r="FE48" s="6">
        <f>IF(AND(ISNUMBER(FD57),ISNUMBER(FE38)),ROUND((FD57-FE38)*10,1),"")</f>
        <v/>
      </c>
      <c r="FF48" s="6">
        <f>IF(AND(ISNUMBER(FE57),ISNUMBER(FF38)),ROUND((FE57-FF38)*10,1),"")</f>
        <v/>
      </c>
      <c r="FG48" s="6">
        <f>IF(AND(ISNUMBER(FF57),ISNUMBER(FG38)),ROUND((FF57-FG38)*10,1),"")</f>
        <v/>
      </c>
      <c r="FH48" s="6">
        <f>IF(AND(ISNUMBER(FG57),ISNUMBER(FH38)),ROUND((FG57-FH38)*10,1),"")</f>
        <v/>
      </c>
      <c r="FI48" s="6">
        <f>IF(AND(ISNUMBER(FH57),ISNUMBER(FI38)),ROUND((FH57-FI38)*10,1),"")</f>
        <v/>
      </c>
      <c r="FJ48" s="6">
        <f>IF(AND(ISNUMBER(FI57),ISNUMBER(FJ38)),ROUND((FI57-FJ38)*10,1),"")</f>
        <v/>
      </c>
      <c r="FK48" s="6">
        <f>IF(AND(ISNUMBER(FJ57),ISNUMBER(FK38)),ROUND((FJ57-FK38)*10,1),"")</f>
        <v/>
      </c>
      <c r="FL48" s="6">
        <f>IF(AND(ISNUMBER(FK57),ISNUMBER(FL38)),ROUND((FK57-FL38)*10,1),"")</f>
        <v/>
      </c>
      <c r="FM48" s="6">
        <f>IF(AND(ISNUMBER(FL57),ISNUMBER(FM38)),ROUND((FL57-FM38)*10,1),"")</f>
        <v/>
      </c>
      <c r="FN48" s="6">
        <f>IF(AND(ISNUMBER(FM57),ISNUMBER(FN38)),ROUND((FM57-FN38)*10,1),"")</f>
        <v/>
      </c>
      <c r="FO48" s="6">
        <f>IF(AND(ISNUMBER(FN57),ISNUMBER(FO38)),ROUND((FN57-FO38)*10,1),"")</f>
        <v/>
      </c>
      <c r="FP48" s="6">
        <f>IF(AND(ISNUMBER(FO57),ISNUMBER(FP38)),ROUND((FO57-FP38)*10,1),"")</f>
        <v/>
      </c>
      <c r="FQ48" s="6">
        <f>IF(AND(ISNUMBER(FP57),ISNUMBER(FQ38)),ROUND((FP57-FQ38)*10,1),"")</f>
        <v/>
      </c>
    </row>
    <row r="49">
      <c r="A49" s="31" t="inlineStr">
        <is>
          <t>3F4D+MD</t>
        </is>
      </c>
      <c r="B49" s="30" t="inlineStr">
        <is>
          <t>Field condition / মাঠের অবস্থা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 t="n"/>
      <c r="EG49" s="22" t="n"/>
      <c r="EH49" s="22" t="n"/>
      <c r="EI49" s="22" t="n"/>
      <c r="EJ49" s="22" t="n"/>
      <c r="EK49" s="22" t="n"/>
      <c r="EL49" s="22" t="n"/>
      <c r="EM49" s="22" t="n"/>
      <c r="EN49" s="22" t="n"/>
      <c r="EO49" s="22" t="n"/>
      <c r="EP49" s="22" t="n"/>
      <c r="EQ49" s="22" t="n"/>
      <c r="ER49" s="22" t="n"/>
      <c r="ES49" s="22" t="n"/>
      <c r="ET49" s="22" t="n"/>
      <c r="EU49" s="22" t="n"/>
      <c r="EV49" s="22" t="n"/>
      <c r="EW49" s="22" t="n"/>
      <c r="EX49" s="22" t="n"/>
      <c r="EY49" s="22" t="n"/>
      <c r="EZ49" s="22" t="n"/>
      <c r="FA49" s="22" t="n"/>
      <c r="FB49" s="22" t="n"/>
      <c r="FC49" s="22" t="n"/>
      <c r="FD49" s="22" t="n"/>
      <c r="FE49" s="22" t="n"/>
      <c r="FF49" s="22" t="n"/>
      <c r="FG49" s="22" t="n"/>
      <c r="FH49" s="22" t="n"/>
      <c r="FI49" s="22" t="n"/>
      <c r="FJ49" s="22" t="n"/>
      <c r="FK49" s="22" t="n"/>
      <c r="FL49" s="22" t="n"/>
      <c r="FM49" s="22" t="n"/>
      <c r="FN49" s="22" t="n"/>
      <c r="FO49" s="22" t="n"/>
      <c r="FP49" s="22" t="n"/>
      <c r="FQ49" s="22" t="n"/>
    </row>
    <row r="50">
      <c r="A50" s="31" t="inlineStr">
        <is>
          <t>3F4D+MD</t>
        </is>
      </c>
      <c r="B50" s="30" t="inlineStr">
        <is>
          <t>Condition / অবস্থা</t>
        </is>
      </c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 t="n"/>
      <c r="EG50" s="22" t="n"/>
      <c r="EH50" s="22" t="n"/>
      <c r="EI50" s="22" t="n"/>
      <c r="EJ50" s="22" t="n"/>
      <c r="EK50" s="22" t="n"/>
      <c r="EL50" s="22" t="n"/>
      <c r="EM50" s="22" t="n"/>
      <c r="EN50" s="22" t="n"/>
      <c r="EO50" s="22" t="n"/>
      <c r="EP50" s="22" t="n"/>
      <c r="EQ50" s="22" t="n"/>
      <c r="ER50" s="22" t="n"/>
      <c r="ES50" s="22" t="n"/>
      <c r="ET50" s="22" t="n"/>
      <c r="EU50" s="22" t="n"/>
      <c r="EV50" s="22" t="n"/>
      <c r="EW50" s="22" t="n"/>
      <c r="EX50" s="22" t="n"/>
      <c r="EY50" s="22" t="n"/>
      <c r="EZ50" s="22" t="n"/>
      <c r="FA50" s="22" t="n"/>
      <c r="FB50" s="22" t="n"/>
      <c r="FC50" s="22" t="n"/>
      <c r="FD50" s="22" t="n"/>
      <c r="FE50" s="22" t="n"/>
      <c r="FF50" s="22" t="n"/>
      <c r="FG50" s="22" t="n"/>
      <c r="FH50" s="22" t="n"/>
      <c r="FI50" s="22" t="n"/>
      <c r="FJ50" s="22" t="n"/>
      <c r="FK50" s="22" t="n"/>
      <c r="FL50" s="22" t="n"/>
      <c r="FM50" s="22" t="n"/>
      <c r="FN50" s="22" t="n"/>
      <c r="FO50" s="22" t="n"/>
      <c r="FP50" s="22" t="n"/>
      <c r="FQ50" s="22" t="n"/>
    </row>
    <row r="51">
      <c r="A51" s="31" t="inlineStr">
        <is>
          <t>3F4D+MD</t>
        </is>
      </c>
      <c r="B51" s="30" t="inlineStr">
        <is>
          <t>Farmer (land owner) min / কৃষকের সময় (মিনিট)</t>
        </is>
      </c>
      <c r="C51" s="4">
        <f>SUM($D$51:$FQ$51)</f>
        <v/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 t="n"/>
      <c r="EG51" s="22" t="n"/>
      <c r="EH51" s="22" t="n"/>
      <c r="EI51" s="22" t="n"/>
      <c r="EJ51" s="22" t="n"/>
      <c r="EK51" s="22" t="n"/>
      <c r="EL51" s="22" t="n"/>
      <c r="EM51" s="22" t="n"/>
      <c r="EN51" s="22" t="n"/>
      <c r="EO51" s="22" t="n"/>
      <c r="EP51" s="22" t="n"/>
      <c r="EQ51" s="22" t="n"/>
      <c r="ER51" s="22" t="n"/>
      <c r="ES51" s="22" t="n"/>
      <c r="ET51" s="22" t="n"/>
      <c r="EU51" s="22" t="n"/>
      <c r="EV51" s="22" t="n"/>
      <c r="EW51" s="22" t="n"/>
      <c r="EX51" s="22" t="n"/>
      <c r="EY51" s="22" t="n"/>
      <c r="EZ51" s="22" t="n"/>
      <c r="FA51" s="22" t="n"/>
      <c r="FB51" s="22" t="n"/>
      <c r="FC51" s="22" t="n"/>
      <c r="FD51" s="22" t="n"/>
      <c r="FE51" s="22" t="n"/>
      <c r="FF51" s="22" t="n"/>
      <c r="FG51" s="22" t="n"/>
      <c r="FH51" s="22" t="n"/>
      <c r="FI51" s="22" t="n"/>
      <c r="FJ51" s="22" t="n"/>
      <c r="FK51" s="22" t="n"/>
      <c r="FL51" s="22" t="n"/>
      <c r="FM51" s="22" t="n"/>
      <c r="FN51" s="22" t="n"/>
      <c r="FO51" s="22" t="n"/>
      <c r="FP51" s="22" t="n"/>
      <c r="FQ51" s="22" t="n"/>
    </row>
    <row r="52">
      <c r="A52" s="31" t="inlineStr">
        <is>
          <t>3F4D+MD</t>
        </is>
      </c>
      <c r="B52" s="30" t="inlineStr">
        <is>
          <t>Farmer work contents / কৃষকের কাজ</t>
        </is>
      </c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 t="n"/>
      <c r="EG52" s="22" t="n"/>
      <c r="EH52" s="22" t="n"/>
      <c r="EI52" s="22" t="n"/>
      <c r="EJ52" s="22" t="n"/>
      <c r="EK52" s="22" t="n"/>
      <c r="EL52" s="22" t="n"/>
      <c r="EM52" s="22" t="n"/>
      <c r="EN52" s="22" t="n"/>
      <c r="EO52" s="22" t="n"/>
      <c r="EP52" s="22" t="n"/>
      <c r="EQ52" s="22" t="n"/>
      <c r="ER52" s="22" t="n"/>
      <c r="ES52" s="22" t="n"/>
      <c r="ET52" s="22" t="n"/>
      <c r="EU52" s="22" t="n"/>
      <c r="EV52" s="22" t="n"/>
      <c r="EW52" s="22" t="n"/>
      <c r="EX52" s="22" t="n"/>
      <c r="EY52" s="22" t="n"/>
      <c r="EZ52" s="22" t="n"/>
      <c r="FA52" s="22" t="n"/>
      <c r="FB52" s="22" t="n"/>
      <c r="FC52" s="22" t="n"/>
      <c r="FD52" s="22" t="n"/>
      <c r="FE52" s="22" t="n"/>
      <c r="FF52" s="22" t="n"/>
      <c r="FG52" s="22" t="n"/>
      <c r="FH52" s="22" t="n"/>
      <c r="FI52" s="22" t="n"/>
      <c r="FJ52" s="22" t="n"/>
      <c r="FK52" s="22" t="n"/>
      <c r="FL52" s="22" t="n"/>
      <c r="FM52" s="22" t="n"/>
      <c r="FN52" s="22" t="n"/>
      <c r="FO52" s="22" t="n"/>
      <c r="FP52" s="22" t="n"/>
      <c r="FQ52" s="22" t="n"/>
    </row>
    <row r="53">
      <c r="A53" s="31" t="inlineStr">
        <is>
          <t>3F4D+MD</t>
        </is>
      </c>
      <c r="B53" s="30" t="inlineStr">
        <is>
          <t>Labour BDT / শ্রমিক (টাকা)</t>
        </is>
      </c>
      <c r="C53" s="4">
        <f>SUM($D$53:$FQ$53)</f>
        <v/>
      </c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 t="n"/>
      <c r="EG53" s="22" t="n"/>
      <c r="EH53" s="22" t="n"/>
      <c r="EI53" s="22" t="n"/>
      <c r="EJ53" s="22" t="n"/>
      <c r="EK53" s="22" t="n"/>
      <c r="EL53" s="22" t="n"/>
      <c r="EM53" s="22" t="n"/>
      <c r="EN53" s="22" t="n"/>
      <c r="EO53" s="22" t="n"/>
      <c r="EP53" s="22" t="n"/>
      <c r="EQ53" s="22" t="n"/>
      <c r="ER53" s="22" t="n"/>
      <c r="ES53" s="22" t="n"/>
      <c r="ET53" s="22" t="n"/>
      <c r="EU53" s="22" t="n"/>
      <c r="EV53" s="22" t="n"/>
      <c r="EW53" s="22" t="n"/>
      <c r="EX53" s="22" t="n"/>
      <c r="EY53" s="22" t="n"/>
      <c r="EZ53" s="22" t="n"/>
      <c r="FA53" s="22" t="n"/>
      <c r="FB53" s="22" t="n"/>
      <c r="FC53" s="22" t="n"/>
      <c r="FD53" s="22" t="n"/>
      <c r="FE53" s="22" t="n"/>
      <c r="FF53" s="22" t="n"/>
      <c r="FG53" s="22" t="n"/>
      <c r="FH53" s="22" t="n"/>
      <c r="FI53" s="22" t="n"/>
      <c r="FJ53" s="22" t="n"/>
      <c r="FK53" s="22" t="n"/>
      <c r="FL53" s="22" t="n"/>
      <c r="FM53" s="22" t="n"/>
      <c r="FN53" s="22" t="n"/>
      <c r="FO53" s="22" t="n"/>
      <c r="FP53" s="22" t="n"/>
      <c r="FQ53" s="22" t="n"/>
    </row>
    <row r="54">
      <c r="A54" s="31" t="inlineStr">
        <is>
          <t>3F4D+MD</t>
        </is>
      </c>
      <c r="B54" s="30" t="inlineStr">
        <is>
          <t>Labour work contents / শ্রমিকের কাজ</t>
        </is>
      </c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 t="n"/>
      <c r="EG54" s="22" t="n"/>
      <c r="EH54" s="22" t="n"/>
      <c r="EI54" s="22" t="n"/>
      <c r="EJ54" s="22" t="n"/>
      <c r="EK54" s="22" t="n"/>
      <c r="EL54" s="22" t="n"/>
      <c r="EM54" s="22" t="n"/>
      <c r="EN54" s="22" t="n"/>
      <c r="EO54" s="22" t="n"/>
      <c r="EP54" s="22" t="n"/>
      <c r="EQ54" s="22" t="n"/>
      <c r="ER54" s="22" t="n"/>
      <c r="ES54" s="22" t="n"/>
      <c r="ET54" s="22" t="n"/>
      <c r="EU54" s="22" t="n"/>
      <c r="EV54" s="22" t="n"/>
      <c r="EW54" s="22" t="n"/>
      <c r="EX54" s="22" t="n"/>
      <c r="EY54" s="22" t="n"/>
      <c r="EZ54" s="22" t="n"/>
      <c r="FA54" s="22" t="n"/>
      <c r="FB54" s="22" t="n"/>
      <c r="FC54" s="22" t="n"/>
      <c r="FD54" s="22" t="n"/>
      <c r="FE54" s="22" t="n"/>
      <c r="FF54" s="22" t="n"/>
      <c r="FG54" s="22" t="n"/>
      <c r="FH54" s="22" t="n"/>
      <c r="FI54" s="22" t="n"/>
      <c r="FJ54" s="22" t="n"/>
      <c r="FK54" s="22" t="n"/>
      <c r="FL54" s="22" t="n"/>
      <c r="FM54" s="22" t="n"/>
      <c r="FN54" s="22" t="n"/>
      <c r="FO54" s="22" t="n"/>
      <c r="FP54" s="22" t="n"/>
      <c r="FQ54" s="22" t="n"/>
    </row>
    <row r="55">
      <c r="A55" s="31" t="inlineStr">
        <is>
          <t>3F4D+MD</t>
        </is>
      </c>
      <c r="B55" s="30" t="inlineStr">
        <is>
          <t>Check / পরীক্ষা</t>
        </is>
      </c>
      <c r="D55" s="26">
        <f>IF(D1="","",IF(AND(ISNUMBER(D38),OR(D38&lt;-30,D38&gt;20)),"WL out of range; ","")&amp;IF(AND(ISNUMBER(D37),D38=""),"no TP/b; ","")&amp;IF(AND(ISNUMBER(D44),ISNUMBER(D45)),IF(D45&lt;D44,"After&lt;Before; ",""),"")&amp;IF(AND(ISNUMBER(D37),ISNUMBER(D41)&lt;&gt;ISNUMBER(D42)),"irrigation readings missing; ","")&amp;IF(ISNUMBER(D48),IF(AND(ABS(D48)&gt;50,NOT(N(D8)&gt;0)),"WL jump &gt;5 cm; ",""),"")&amp;IF(AND(ISNUMBER(PitanE),ISNUMBER(D56),D1&gt;PitanE+2,D56&lt;PitanE),"re-measure TP/b after Pitan; ",""))</f>
        <v/>
      </c>
      <c r="E55" s="26">
        <f>IF(E1="","",IF(AND(ISNUMBER(E38),OR(E38&lt;-30,E38&gt;20)),"WL out of range; ","")&amp;IF(AND(ISNUMBER(E37),E38=""),"no TP/b; ","")&amp;IF(AND(ISNUMBER(E44),ISNUMBER(E45)),IF(E45&lt;E44,"After&lt;Before; ",""),"")&amp;IF(AND(ISNUMBER(E37),ISNUMBER(E41)&lt;&gt;ISNUMBER(E42)),"irrigation readings missing; ","")&amp;IF(ISNUMBER(E48),IF(AND(ABS(E48)&gt;50,NOT(N(E8)&gt;0)),"WL jump &gt;5 cm; ",""),"")&amp;IF(AND(ISNUMBER(PitanE),ISNUMBER(E56),E1&gt;PitanE+2,E56&lt;PitanE),"re-measure TP/b after Pitan; ",""))</f>
        <v/>
      </c>
      <c r="F55" s="26">
        <f>IF(F1="","",IF(AND(ISNUMBER(F38),OR(F38&lt;-30,F38&gt;20)),"WL out of range; ","")&amp;IF(AND(ISNUMBER(F37),F38=""),"no TP/b; ","")&amp;IF(AND(ISNUMBER(F44),ISNUMBER(F45)),IF(F45&lt;F44,"After&lt;Before; ",""),"")&amp;IF(AND(ISNUMBER(F37),ISNUMBER(F41)&lt;&gt;ISNUMBER(F42)),"irrigation readings missing; ","")&amp;IF(ISNUMBER(F48),IF(AND(ABS(F48)&gt;50,NOT(N(F8)&gt;0)),"WL jump &gt;5 cm; ",""),"")&amp;IF(AND(ISNUMBER(PitanE),ISNUMBER(F56),F1&gt;PitanE+2,F56&lt;PitanE),"re-measure TP/b after Pitan; ",""))</f>
        <v/>
      </c>
      <c r="G55" s="26">
        <f>IF(G1="","",IF(AND(ISNUMBER(G38),OR(G38&lt;-30,G38&gt;20)),"WL out of range; ","")&amp;IF(AND(ISNUMBER(G37),G38=""),"no TP/b; ","")&amp;IF(AND(ISNUMBER(G44),ISNUMBER(G45)),IF(G45&lt;G44,"After&lt;Before; ",""),"")&amp;IF(AND(ISNUMBER(G37),ISNUMBER(G41)&lt;&gt;ISNUMBER(G42)),"irrigation readings missing; ","")&amp;IF(ISNUMBER(G48),IF(AND(ABS(G48)&gt;50,NOT(N(G8)&gt;0)),"WL jump &gt;5 cm; ",""),"")&amp;IF(AND(ISNUMBER(PitanE),ISNUMBER(G56),G1&gt;PitanE+2,G56&lt;PitanE),"re-measure TP/b after Pitan; ",""))</f>
        <v/>
      </c>
      <c r="H55" s="26">
        <f>IF(H1="","",IF(AND(ISNUMBER(H38),OR(H38&lt;-30,H38&gt;20)),"WL out of range; ","")&amp;IF(AND(ISNUMBER(H37),H38=""),"no TP/b; ","")&amp;IF(AND(ISNUMBER(H44),ISNUMBER(H45)),IF(H45&lt;H44,"After&lt;Before; ",""),"")&amp;IF(AND(ISNUMBER(H37),ISNUMBER(H41)&lt;&gt;ISNUMBER(H42)),"irrigation readings missing; ","")&amp;IF(ISNUMBER(H48),IF(AND(ABS(H48)&gt;50,NOT(N(H8)&gt;0)),"WL jump &gt;5 cm; ",""),"")&amp;IF(AND(ISNUMBER(PitanE),ISNUMBER(H56),H1&gt;PitanE+2,H56&lt;PitanE),"re-measure TP/b after Pitan; ",""))</f>
        <v/>
      </c>
      <c r="I55" s="26">
        <f>IF(I1="","",IF(AND(ISNUMBER(I38),OR(I38&lt;-30,I38&gt;20)),"WL out of range; ","")&amp;IF(AND(ISNUMBER(I37),I38=""),"no TP/b; ","")&amp;IF(AND(ISNUMBER(I44),ISNUMBER(I45)),IF(I45&lt;I44,"After&lt;Before; ",""),"")&amp;IF(AND(ISNUMBER(I37),ISNUMBER(I41)&lt;&gt;ISNUMBER(I42)),"irrigation readings missing; ","")&amp;IF(ISNUMBER(I48),IF(AND(ABS(I48)&gt;50,NOT(N(I8)&gt;0)),"WL jump &gt;5 cm; ",""),"")&amp;IF(AND(ISNUMBER(PitanE),ISNUMBER(I56),I1&gt;PitanE+2,I56&lt;PitanE),"re-measure TP/b after Pitan; ",""))</f>
        <v/>
      </c>
      <c r="J55" s="26">
        <f>IF(J1="","",IF(AND(ISNUMBER(J38),OR(J38&lt;-30,J38&gt;20)),"WL out of range; ","")&amp;IF(AND(ISNUMBER(J37),J38=""),"no TP/b; ","")&amp;IF(AND(ISNUMBER(J44),ISNUMBER(J45)),IF(J45&lt;J44,"After&lt;Before; ",""),"")&amp;IF(AND(ISNUMBER(J37),ISNUMBER(J41)&lt;&gt;ISNUMBER(J42)),"irrigation readings missing; ","")&amp;IF(ISNUMBER(J48),IF(AND(ABS(J48)&gt;50,NOT(N(J8)&gt;0)),"WL jump &gt;5 cm; ",""),"")&amp;IF(AND(ISNUMBER(PitanE),ISNUMBER(J56),J1&gt;PitanE+2,J56&lt;PitanE),"re-measure TP/b after Pitan; ",""))</f>
        <v/>
      </c>
      <c r="K55" s="26">
        <f>IF(K1="","",IF(AND(ISNUMBER(K38),OR(K38&lt;-30,K38&gt;20)),"WL out of range; ","")&amp;IF(AND(ISNUMBER(K37),K38=""),"no TP/b; ","")&amp;IF(AND(ISNUMBER(K44),ISNUMBER(K45)),IF(K45&lt;K44,"After&lt;Before; ",""),"")&amp;IF(AND(ISNUMBER(K37),ISNUMBER(K41)&lt;&gt;ISNUMBER(K42)),"irrigation readings missing; ","")&amp;IF(ISNUMBER(K48),IF(AND(ABS(K48)&gt;50,NOT(N(K8)&gt;0)),"WL jump &gt;5 cm; ",""),"")&amp;IF(AND(ISNUMBER(PitanE),ISNUMBER(K56),K1&gt;PitanE+2,K56&lt;PitanE),"re-measure TP/b after Pitan; ",""))</f>
        <v/>
      </c>
      <c r="L55" s="26">
        <f>IF(L1="","",IF(AND(ISNUMBER(L38),OR(L38&lt;-30,L38&gt;20)),"WL out of range; ","")&amp;IF(AND(ISNUMBER(L37),L38=""),"no TP/b; ","")&amp;IF(AND(ISNUMBER(L44),ISNUMBER(L45)),IF(L45&lt;L44,"After&lt;Before; ",""),"")&amp;IF(AND(ISNUMBER(L37),ISNUMBER(L41)&lt;&gt;ISNUMBER(L42)),"irrigation readings missing; ","")&amp;IF(ISNUMBER(L48),IF(AND(ABS(L48)&gt;50,NOT(N(L8)&gt;0)),"WL jump &gt;5 cm; ",""),"")&amp;IF(AND(ISNUMBER(PitanE),ISNUMBER(L56),L1&gt;PitanE+2,L56&lt;PitanE),"re-measure TP/b after Pitan; ",""))</f>
        <v/>
      </c>
      <c r="M55" s="26">
        <f>IF(M1="","",IF(AND(ISNUMBER(M38),OR(M38&lt;-30,M38&gt;20)),"WL out of range; ","")&amp;IF(AND(ISNUMBER(M37),M38=""),"no TP/b; ","")&amp;IF(AND(ISNUMBER(M44),ISNUMBER(M45)),IF(M45&lt;M44,"After&lt;Before; ",""),"")&amp;IF(AND(ISNUMBER(M37),ISNUMBER(M41)&lt;&gt;ISNUMBER(M42)),"irrigation readings missing; ","")&amp;IF(ISNUMBER(M48),IF(AND(ABS(M48)&gt;50,NOT(N(M8)&gt;0)),"WL jump &gt;5 cm; ",""),"")&amp;IF(AND(ISNUMBER(PitanE),ISNUMBER(M56),M1&gt;PitanE+2,M56&lt;PitanE),"re-measure TP/b after Pitan; ",""))</f>
        <v/>
      </c>
      <c r="N55" s="26">
        <f>IF(N1="","",IF(AND(ISNUMBER(N38),OR(N38&lt;-30,N38&gt;20)),"WL out of range; ","")&amp;IF(AND(ISNUMBER(N37),N38=""),"no TP/b; ","")&amp;IF(AND(ISNUMBER(N44),ISNUMBER(N45)),IF(N45&lt;N44,"After&lt;Before; ",""),"")&amp;IF(AND(ISNUMBER(N37),ISNUMBER(N41)&lt;&gt;ISNUMBER(N42)),"irrigation readings missing; ","")&amp;IF(ISNUMBER(N48),IF(AND(ABS(N48)&gt;50,NOT(N(N8)&gt;0)),"WL jump &gt;5 cm; ",""),"")&amp;IF(AND(ISNUMBER(PitanE),ISNUMBER(N56),N1&gt;PitanE+2,N56&lt;PitanE),"re-measure TP/b after Pitan; ",""))</f>
        <v/>
      </c>
      <c r="O55" s="26">
        <f>IF(O1="","",IF(AND(ISNUMBER(O38),OR(O38&lt;-30,O38&gt;20)),"WL out of range; ","")&amp;IF(AND(ISNUMBER(O37),O38=""),"no TP/b; ","")&amp;IF(AND(ISNUMBER(O44),ISNUMBER(O45)),IF(O45&lt;O44,"After&lt;Before; ",""),"")&amp;IF(AND(ISNUMBER(O37),ISNUMBER(O41)&lt;&gt;ISNUMBER(O42)),"irrigation readings missing; ","")&amp;IF(ISNUMBER(O48),IF(AND(ABS(O48)&gt;50,NOT(N(O8)&gt;0)),"WL jump &gt;5 cm; ",""),"")&amp;IF(AND(ISNUMBER(PitanE),ISNUMBER(O56),O1&gt;PitanE+2,O56&lt;PitanE),"re-measure TP/b after Pitan; ",""))</f>
        <v/>
      </c>
      <c r="P55" s="26">
        <f>IF(P1="","",IF(AND(ISNUMBER(P38),OR(P38&lt;-30,P38&gt;20)),"WL out of range; ","")&amp;IF(AND(ISNUMBER(P37),P38=""),"no TP/b; ","")&amp;IF(AND(ISNUMBER(P44),ISNUMBER(P45)),IF(P45&lt;P44,"After&lt;Before; ",""),"")&amp;IF(AND(ISNUMBER(P37),ISNUMBER(P41)&lt;&gt;ISNUMBER(P42)),"irrigation readings missing; ","")&amp;IF(ISNUMBER(P48),IF(AND(ABS(P48)&gt;50,NOT(N(P8)&gt;0)),"WL jump &gt;5 cm; ",""),"")&amp;IF(AND(ISNUMBER(PitanE),ISNUMBER(P56),P1&gt;PitanE+2,P56&lt;PitanE),"re-measure TP/b after Pitan; ",""))</f>
        <v/>
      </c>
      <c r="Q55" s="26">
        <f>IF(Q1="","",IF(AND(ISNUMBER(Q38),OR(Q38&lt;-30,Q38&gt;20)),"WL out of range; ","")&amp;IF(AND(ISNUMBER(Q37),Q38=""),"no TP/b; ","")&amp;IF(AND(ISNUMBER(Q44),ISNUMBER(Q45)),IF(Q45&lt;Q44,"After&lt;Before; ",""),"")&amp;IF(AND(ISNUMBER(Q37),ISNUMBER(Q41)&lt;&gt;ISNUMBER(Q42)),"irrigation readings missing; ","")&amp;IF(ISNUMBER(Q48),IF(AND(ABS(Q48)&gt;50,NOT(N(Q8)&gt;0)),"WL jump &gt;5 cm; ",""),"")&amp;IF(AND(ISNUMBER(PitanE),ISNUMBER(Q56),Q1&gt;PitanE+2,Q56&lt;PitanE),"re-measure TP/b after Pitan; ",""))</f>
        <v/>
      </c>
      <c r="R55" s="26">
        <f>IF(R1="","",IF(AND(ISNUMBER(R38),OR(R38&lt;-30,R38&gt;20)),"WL out of range; ","")&amp;IF(AND(ISNUMBER(R37),R38=""),"no TP/b; ","")&amp;IF(AND(ISNUMBER(R44),ISNUMBER(R45)),IF(R45&lt;R44,"After&lt;Before; ",""),"")&amp;IF(AND(ISNUMBER(R37),ISNUMBER(R41)&lt;&gt;ISNUMBER(R42)),"irrigation readings missing; ","")&amp;IF(ISNUMBER(R48),IF(AND(ABS(R48)&gt;50,NOT(N(R8)&gt;0)),"WL jump &gt;5 cm; ",""),"")&amp;IF(AND(ISNUMBER(PitanE),ISNUMBER(R56),R1&gt;PitanE+2,R56&lt;PitanE),"re-measure TP/b after Pitan; ",""))</f>
        <v/>
      </c>
      <c r="S55" s="26">
        <f>IF(S1="","",IF(AND(ISNUMBER(S38),OR(S38&lt;-30,S38&gt;20)),"WL out of range; ","")&amp;IF(AND(ISNUMBER(S37),S38=""),"no TP/b; ","")&amp;IF(AND(ISNUMBER(S44),ISNUMBER(S45)),IF(S45&lt;S44,"After&lt;Before; ",""),"")&amp;IF(AND(ISNUMBER(S37),ISNUMBER(S41)&lt;&gt;ISNUMBER(S42)),"irrigation readings missing; ","")&amp;IF(ISNUMBER(S48),IF(AND(ABS(S48)&gt;50,NOT(N(S8)&gt;0)),"WL jump &gt;5 cm; ",""),"")&amp;IF(AND(ISNUMBER(PitanE),ISNUMBER(S56),S1&gt;PitanE+2,S56&lt;PitanE),"re-measure TP/b after Pitan; ",""))</f>
        <v/>
      </c>
      <c r="T55" s="26">
        <f>IF(T1="","",IF(AND(ISNUMBER(T38),OR(T38&lt;-30,T38&gt;20)),"WL out of range; ","")&amp;IF(AND(ISNUMBER(T37),T38=""),"no TP/b; ","")&amp;IF(AND(ISNUMBER(T44),ISNUMBER(T45)),IF(T45&lt;T44,"After&lt;Before; ",""),"")&amp;IF(AND(ISNUMBER(T37),ISNUMBER(T41)&lt;&gt;ISNUMBER(T42)),"irrigation readings missing; ","")&amp;IF(ISNUMBER(T48),IF(AND(ABS(T48)&gt;50,NOT(N(T8)&gt;0)),"WL jump &gt;5 cm; ",""),"")&amp;IF(AND(ISNUMBER(PitanE),ISNUMBER(T56),T1&gt;PitanE+2,T56&lt;PitanE),"re-measure TP/b after Pitan; ",""))</f>
        <v/>
      </c>
      <c r="U55" s="26">
        <f>IF(U1="","",IF(AND(ISNUMBER(U38),OR(U38&lt;-30,U38&gt;20)),"WL out of range; ","")&amp;IF(AND(ISNUMBER(U37),U38=""),"no TP/b; ","")&amp;IF(AND(ISNUMBER(U44),ISNUMBER(U45)),IF(U45&lt;U44,"After&lt;Before; ",""),"")&amp;IF(AND(ISNUMBER(U37),ISNUMBER(U41)&lt;&gt;ISNUMBER(U42)),"irrigation readings missing; ","")&amp;IF(ISNUMBER(U48),IF(AND(ABS(U48)&gt;50,NOT(N(U8)&gt;0)),"WL jump &gt;5 cm; ",""),"")&amp;IF(AND(ISNUMBER(PitanE),ISNUMBER(U56),U1&gt;PitanE+2,U56&lt;PitanE),"re-measure TP/b after Pitan; ",""))</f>
        <v/>
      </c>
      <c r="V55" s="26">
        <f>IF(V1="","",IF(AND(ISNUMBER(V38),OR(V38&lt;-30,V38&gt;20)),"WL out of range; ","")&amp;IF(AND(ISNUMBER(V37),V38=""),"no TP/b; ","")&amp;IF(AND(ISNUMBER(V44),ISNUMBER(V45)),IF(V45&lt;V44,"After&lt;Before; ",""),"")&amp;IF(AND(ISNUMBER(V37),ISNUMBER(V41)&lt;&gt;ISNUMBER(V42)),"irrigation readings missing; ","")&amp;IF(ISNUMBER(V48),IF(AND(ABS(V48)&gt;50,NOT(N(V8)&gt;0)),"WL jump &gt;5 cm; ",""),"")&amp;IF(AND(ISNUMBER(PitanE),ISNUMBER(V56),V1&gt;PitanE+2,V56&lt;PitanE),"re-measure TP/b after Pitan; ",""))</f>
        <v/>
      </c>
      <c r="W55" s="26">
        <f>IF(W1="","",IF(AND(ISNUMBER(W38),OR(W38&lt;-30,W38&gt;20)),"WL out of range; ","")&amp;IF(AND(ISNUMBER(W37),W38=""),"no TP/b; ","")&amp;IF(AND(ISNUMBER(W44),ISNUMBER(W45)),IF(W45&lt;W44,"After&lt;Before; ",""),"")&amp;IF(AND(ISNUMBER(W37),ISNUMBER(W41)&lt;&gt;ISNUMBER(W42)),"irrigation readings missing; ","")&amp;IF(ISNUMBER(W48),IF(AND(ABS(W48)&gt;50,NOT(N(W8)&gt;0)),"WL jump &gt;5 cm; ",""),"")&amp;IF(AND(ISNUMBER(PitanE),ISNUMBER(W56),W1&gt;PitanE+2,W56&lt;PitanE),"re-measure TP/b after Pitan; ",""))</f>
        <v/>
      </c>
      <c r="X55" s="26">
        <f>IF(X1="","",IF(AND(ISNUMBER(X38),OR(X38&lt;-30,X38&gt;20)),"WL out of range; ","")&amp;IF(AND(ISNUMBER(X37),X38=""),"no TP/b; ","")&amp;IF(AND(ISNUMBER(X44),ISNUMBER(X45)),IF(X45&lt;X44,"After&lt;Before; ",""),"")&amp;IF(AND(ISNUMBER(X37),ISNUMBER(X41)&lt;&gt;ISNUMBER(X42)),"irrigation readings missing; ","")&amp;IF(ISNUMBER(X48),IF(AND(ABS(X48)&gt;50,NOT(N(X8)&gt;0)),"WL jump &gt;5 cm; ",""),"")&amp;IF(AND(ISNUMBER(PitanE),ISNUMBER(X56),X1&gt;PitanE+2,X56&lt;PitanE),"re-measure TP/b after Pitan; ",""))</f>
        <v/>
      </c>
      <c r="Y55" s="26">
        <f>IF(Y1="","",IF(AND(ISNUMBER(Y38),OR(Y38&lt;-30,Y38&gt;20)),"WL out of range; ","")&amp;IF(AND(ISNUMBER(Y37),Y38=""),"no TP/b; ","")&amp;IF(AND(ISNUMBER(Y44),ISNUMBER(Y45)),IF(Y45&lt;Y44,"After&lt;Before; ",""),"")&amp;IF(AND(ISNUMBER(Y37),ISNUMBER(Y41)&lt;&gt;ISNUMBER(Y42)),"irrigation readings missing; ","")&amp;IF(ISNUMBER(Y48),IF(AND(ABS(Y48)&gt;50,NOT(N(Y8)&gt;0)),"WL jump &gt;5 cm; ",""),"")&amp;IF(AND(ISNUMBER(PitanE),ISNUMBER(Y56),Y1&gt;PitanE+2,Y56&lt;PitanE),"re-measure TP/b after Pitan; ",""))</f>
        <v/>
      </c>
      <c r="Z55" s="26">
        <f>IF(Z1="","",IF(AND(ISNUMBER(Z38),OR(Z38&lt;-30,Z38&gt;20)),"WL out of range; ","")&amp;IF(AND(ISNUMBER(Z37),Z38=""),"no TP/b; ","")&amp;IF(AND(ISNUMBER(Z44),ISNUMBER(Z45)),IF(Z45&lt;Z44,"After&lt;Before; ",""),"")&amp;IF(AND(ISNUMBER(Z37),ISNUMBER(Z41)&lt;&gt;ISNUMBER(Z42)),"irrigation readings missing; ","")&amp;IF(ISNUMBER(Z48),IF(AND(ABS(Z48)&gt;50,NOT(N(Z8)&gt;0)),"WL jump &gt;5 cm; ",""),"")&amp;IF(AND(ISNUMBER(PitanE),ISNUMBER(Z56),Z1&gt;PitanE+2,Z56&lt;PitanE),"re-measure TP/b after Pitan; ",""))</f>
        <v/>
      </c>
      <c r="AA55" s="26">
        <f>IF(AA1="","",IF(AND(ISNUMBER(AA38),OR(AA38&lt;-30,AA38&gt;20)),"WL out of range; ","")&amp;IF(AND(ISNUMBER(AA37),AA38=""),"no TP/b; ","")&amp;IF(AND(ISNUMBER(AA44),ISNUMBER(AA45)),IF(AA45&lt;AA44,"After&lt;Before; ",""),"")&amp;IF(AND(ISNUMBER(AA37),ISNUMBER(AA41)&lt;&gt;ISNUMBER(AA42)),"irrigation readings missing; ","")&amp;IF(ISNUMBER(AA48),IF(AND(ABS(AA48)&gt;50,NOT(N(AA8)&gt;0)),"WL jump &gt;5 cm; ",""),"")&amp;IF(AND(ISNUMBER(PitanE),ISNUMBER(AA56),AA1&gt;PitanE+2,AA56&lt;PitanE),"re-measure TP/b after Pitan; ",""))</f>
        <v/>
      </c>
      <c r="AB55" s="26">
        <f>IF(AB1="","",IF(AND(ISNUMBER(AB38),OR(AB38&lt;-30,AB38&gt;20)),"WL out of range; ","")&amp;IF(AND(ISNUMBER(AB37),AB38=""),"no TP/b; ","")&amp;IF(AND(ISNUMBER(AB44),ISNUMBER(AB45)),IF(AB45&lt;AB44,"After&lt;Before; ",""),"")&amp;IF(AND(ISNUMBER(AB37),ISNUMBER(AB41)&lt;&gt;ISNUMBER(AB42)),"irrigation readings missing; ","")&amp;IF(ISNUMBER(AB48),IF(AND(ABS(AB48)&gt;50,NOT(N(AB8)&gt;0)),"WL jump &gt;5 cm; ",""),"")&amp;IF(AND(ISNUMBER(PitanE),ISNUMBER(AB56),AB1&gt;PitanE+2,AB56&lt;PitanE),"re-measure TP/b after Pitan; ",""))</f>
        <v/>
      </c>
      <c r="AC55" s="26">
        <f>IF(AC1="","",IF(AND(ISNUMBER(AC38),OR(AC38&lt;-30,AC38&gt;20)),"WL out of range; ","")&amp;IF(AND(ISNUMBER(AC37),AC38=""),"no TP/b; ","")&amp;IF(AND(ISNUMBER(AC44),ISNUMBER(AC45)),IF(AC45&lt;AC44,"After&lt;Before; ",""),"")&amp;IF(AND(ISNUMBER(AC37),ISNUMBER(AC41)&lt;&gt;ISNUMBER(AC42)),"irrigation readings missing; ","")&amp;IF(ISNUMBER(AC48),IF(AND(ABS(AC48)&gt;50,NOT(N(AC8)&gt;0)),"WL jump &gt;5 cm; ",""),"")&amp;IF(AND(ISNUMBER(PitanE),ISNUMBER(AC56),AC1&gt;PitanE+2,AC56&lt;PitanE),"re-measure TP/b after Pitan; ",""))</f>
        <v/>
      </c>
      <c r="AD55" s="26">
        <f>IF(AD1="","",IF(AND(ISNUMBER(AD38),OR(AD38&lt;-30,AD38&gt;20)),"WL out of range; ","")&amp;IF(AND(ISNUMBER(AD37),AD38=""),"no TP/b; ","")&amp;IF(AND(ISNUMBER(AD44),ISNUMBER(AD45)),IF(AD45&lt;AD44,"After&lt;Before; ",""),"")&amp;IF(AND(ISNUMBER(AD37),ISNUMBER(AD41)&lt;&gt;ISNUMBER(AD42)),"irrigation readings missing; ","")&amp;IF(ISNUMBER(AD48),IF(AND(ABS(AD48)&gt;50,NOT(N(AD8)&gt;0)),"WL jump &gt;5 cm; ",""),"")&amp;IF(AND(ISNUMBER(PitanE),ISNUMBER(AD56),AD1&gt;PitanE+2,AD56&lt;PitanE),"re-measure TP/b after Pitan; ",""))</f>
        <v/>
      </c>
      <c r="AE55" s="26">
        <f>IF(AE1="","",IF(AND(ISNUMBER(AE38),OR(AE38&lt;-30,AE38&gt;20)),"WL out of range; ","")&amp;IF(AND(ISNUMBER(AE37),AE38=""),"no TP/b; ","")&amp;IF(AND(ISNUMBER(AE44),ISNUMBER(AE45)),IF(AE45&lt;AE44,"After&lt;Before; ",""),"")&amp;IF(AND(ISNUMBER(AE37),ISNUMBER(AE41)&lt;&gt;ISNUMBER(AE42)),"irrigation readings missing; ","")&amp;IF(ISNUMBER(AE48),IF(AND(ABS(AE48)&gt;50,NOT(N(AE8)&gt;0)),"WL jump &gt;5 cm; ",""),"")&amp;IF(AND(ISNUMBER(PitanE),ISNUMBER(AE56),AE1&gt;PitanE+2,AE56&lt;PitanE),"re-measure TP/b after Pitan; ",""))</f>
        <v/>
      </c>
      <c r="AF55" s="26">
        <f>IF(AF1="","",IF(AND(ISNUMBER(AF38),OR(AF38&lt;-30,AF38&gt;20)),"WL out of range; ","")&amp;IF(AND(ISNUMBER(AF37),AF38=""),"no TP/b; ","")&amp;IF(AND(ISNUMBER(AF44),ISNUMBER(AF45)),IF(AF45&lt;AF44,"After&lt;Before; ",""),"")&amp;IF(AND(ISNUMBER(AF37),ISNUMBER(AF41)&lt;&gt;ISNUMBER(AF42)),"irrigation readings missing; ","")&amp;IF(ISNUMBER(AF48),IF(AND(ABS(AF48)&gt;50,NOT(N(AF8)&gt;0)),"WL jump &gt;5 cm; ",""),"")&amp;IF(AND(ISNUMBER(PitanE),ISNUMBER(AF56),AF1&gt;PitanE+2,AF56&lt;PitanE),"re-measure TP/b after Pitan; ",""))</f>
        <v/>
      </c>
      <c r="AG55" s="26">
        <f>IF(AG1="","",IF(AND(ISNUMBER(AG38),OR(AG38&lt;-30,AG38&gt;20)),"WL out of range; ","")&amp;IF(AND(ISNUMBER(AG37),AG38=""),"no TP/b; ","")&amp;IF(AND(ISNUMBER(AG44),ISNUMBER(AG45)),IF(AG45&lt;AG44,"After&lt;Before; ",""),"")&amp;IF(AND(ISNUMBER(AG37),ISNUMBER(AG41)&lt;&gt;ISNUMBER(AG42)),"irrigation readings missing; ","")&amp;IF(ISNUMBER(AG48),IF(AND(ABS(AG48)&gt;50,NOT(N(AG8)&gt;0)),"WL jump &gt;5 cm; ",""),"")&amp;IF(AND(ISNUMBER(PitanE),ISNUMBER(AG56),AG1&gt;PitanE+2,AG56&lt;PitanE),"re-measure TP/b after Pitan; ",""))</f>
        <v/>
      </c>
      <c r="AH55" s="26">
        <f>IF(AH1="","",IF(AND(ISNUMBER(AH38),OR(AH38&lt;-30,AH38&gt;20)),"WL out of range; ","")&amp;IF(AND(ISNUMBER(AH37),AH38=""),"no TP/b; ","")&amp;IF(AND(ISNUMBER(AH44),ISNUMBER(AH45)),IF(AH45&lt;AH44,"After&lt;Before; ",""),"")&amp;IF(AND(ISNUMBER(AH37),ISNUMBER(AH41)&lt;&gt;ISNUMBER(AH42)),"irrigation readings missing; ","")&amp;IF(ISNUMBER(AH48),IF(AND(ABS(AH48)&gt;50,NOT(N(AH8)&gt;0)),"WL jump &gt;5 cm; ",""),"")&amp;IF(AND(ISNUMBER(PitanE),ISNUMBER(AH56),AH1&gt;PitanE+2,AH56&lt;PitanE),"re-measure TP/b after Pitan; ",""))</f>
        <v/>
      </c>
      <c r="AI55" s="26">
        <f>IF(AI1="","",IF(AND(ISNUMBER(AI38),OR(AI38&lt;-30,AI38&gt;20)),"WL out of range; ","")&amp;IF(AND(ISNUMBER(AI37),AI38=""),"no TP/b; ","")&amp;IF(AND(ISNUMBER(AI44),ISNUMBER(AI45)),IF(AI45&lt;AI44,"After&lt;Before; ",""),"")&amp;IF(AND(ISNUMBER(AI37),ISNUMBER(AI41)&lt;&gt;ISNUMBER(AI42)),"irrigation readings missing; ","")&amp;IF(ISNUMBER(AI48),IF(AND(ABS(AI48)&gt;50,NOT(N(AI8)&gt;0)),"WL jump &gt;5 cm; ",""),"")&amp;IF(AND(ISNUMBER(PitanE),ISNUMBER(AI56),AI1&gt;PitanE+2,AI56&lt;PitanE),"re-measure TP/b after Pitan; ",""))</f>
        <v/>
      </c>
      <c r="AJ55" s="26">
        <f>IF(AJ1="","",IF(AND(ISNUMBER(AJ38),OR(AJ38&lt;-30,AJ38&gt;20)),"WL out of range; ","")&amp;IF(AND(ISNUMBER(AJ37),AJ38=""),"no TP/b; ","")&amp;IF(AND(ISNUMBER(AJ44),ISNUMBER(AJ45)),IF(AJ45&lt;AJ44,"After&lt;Before; ",""),"")&amp;IF(AND(ISNUMBER(AJ37),ISNUMBER(AJ41)&lt;&gt;ISNUMBER(AJ42)),"irrigation readings missing; ","")&amp;IF(ISNUMBER(AJ48),IF(AND(ABS(AJ48)&gt;50,NOT(N(AJ8)&gt;0)),"WL jump &gt;5 cm; ",""),"")&amp;IF(AND(ISNUMBER(PitanE),ISNUMBER(AJ56),AJ1&gt;PitanE+2,AJ56&lt;PitanE),"re-measure TP/b after Pitan; ",""))</f>
        <v/>
      </c>
      <c r="AK55" s="26">
        <f>IF(AK1="","",IF(AND(ISNUMBER(AK38),OR(AK38&lt;-30,AK38&gt;20)),"WL out of range; ","")&amp;IF(AND(ISNUMBER(AK37),AK38=""),"no TP/b; ","")&amp;IF(AND(ISNUMBER(AK44),ISNUMBER(AK45)),IF(AK45&lt;AK44,"After&lt;Before; ",""),"")&amp;IF(AND(ISNUMBER(AK37),ISNUMBER(AK41)&lt;&gt;ISNUMBER(AK42)),"irrigation readings missing; ","")&amp;IF(ISNUMBER(AK48),IF(AND(ABS(AK48)&gt;50,NOT(N(AK8)&gt;0)),"WL jump &gt;5 cm; ",""),"")&amp;IF(AND(ISNUMBER(PitanE),ISNUMBER(AK56),AK1&gt;PitanE+2,AK56&lt;PitanE),"re-measure TP/b after Pitan; ",""))</f>
        <v/>
      </c>
      <c r="AL55" s="26">
        <f>IF(AL1="","",IF(AND(ISNUMBER(AL38),OR(AL38&lt;-30,AL38&gt;20)),"WL out of range; ","")&amp;IF(AND(ISNUMBER(AL37),AL38=""),"no TP/b; ","")&amp;IF(AND(ISNUMBER(AL44),ISNUMBER(AL45)),IF(AL45&lt;AL44,"After&lt;Before; ",""),"")&amp;IF(AND(ISNUMBER(AL37),ISNUMBER(AL41)&lt;&gt;ISNUMBER(AL42)),"irrigation readings missing; ","")&amp;IF(ISNUMBER(AL48),IF(AND(ABS(AL48)&gt;50,NOT(N(AL8)&gt;0)),"WL jump &gt;5 cm; ",""),"")&amp;IF(AND(ISNUMBER(PitanE),ISNUMBER(AL56),AL1&gt;PitanE+2,AL56&lt;PitanE),"re-measure TP/b after Pitan; ",""))</f>
        <v/>
      </c>
      <c r="AM55" s="26">
        <f>IF(AM1="","",IF(AND(ISNUMBER(AM38),OR(AM38&lt;-30,AM38&gt;20)),"WL out of range; ","")&amp;IF(AND(ISNUMBER(AM37),AM38=""),"no TP/b; ","")&amp;IF(AND(ISNUMBER(AM44),ISNUMBER(AM45)),IF(AM45&lt;AM44,"After&lt;Before; ",""),"")&amp;IF(AND(ISNUMBER(AM37),ISNUMBER(AM41)&lt;&gt;ISNUMBER(AM42)),"irrigation readings missing; ","")&amp;IF(ISNUMBER(AM48),IF(AND(ABS(AM48)&gt;50,NOT(N(AM8)&gt;0)),"WL jump &gt;5 cm; ",""),"")&amp;IF(AND(ISNUMBER(PitanE),ISNUMBER(AM56),AM1&gt;PitanE+2,AM56&lt;PitanE),"re-measure TP/b after Pitan; ",""))</f>
        <v/>
      </c>
      <c r="AN55" s="26">
        <f>IF(AN1="","",IF(AND(ISNUMBER(AN38),OR(AN38&lt;-30,AN38&gt;20)),"WL out of range; ","")&amp;IF(AND(ISNUMBER(AN37),AN38=""),"no TP/b; ","")&amp;IF(AND(ISNUMBER(AN44),ISNUMBER(AN45)),IF(AN45&lt;AN44,"After&lt;Before; ",""),"")&amp;IF(AND(ISNUMBER(AN37),ISNUMBER(AN41)&lt;&gt;ISNUMBER(AN42)),"irrigation readings missing; ","")&amp;IF(ISNUMBER(AN48),IF(AND(ABS(AN48)&gt;50,NOT(N(AN8)&gt;0)),"WL jump &gt;5 cm; ",""),"")&amp;IF(AND(ISNUMBER(PitanE),ISNUMBER(AN56),AN1&gt;PitanE+2,AN56&lt;PitanE),"re-measure TP/b after Pitan; ",""))</f>
        <v/>
      </c>
      <c r="AO55" s="26">
        <f>IF(AO1="","",IF(AND(ISNUMBER(AO38),OR(AO38&lt;-30,AO38&gt;20)),"WL out of range; ","")&amp;IF(AND(ISNUMBER(AO37),AO38=""),"no TP/b; ","")&amp;IF(AND(ISNUMBER(AO44),ISNUMBER(AO45)),IF(AO45&lt;AO44,"After&lt;Before; ",""),"")&amp;IF(AND(ISNUMBER(AO37),ISNUMBER(AO41)&lt;&gt;ISNUMBER(AO42)),"irrigation readings missing; ","")&amp;IF(ISNUMBER(AO48),IF(AND(ABS(AO48)&gt;50,NOT(N(AO8)&gt;0)),"WL jump &gt;5 cm; ",""),"")&amp;IF(AND(ISNUMBER(PitanE),ISNUMBER(AO56),AO1&gt;PitanE+2,AO56&lt;PitanE),"re-measure TP/b after Pitan; ",""))</f>
        <v/>
      </c>
      <c r="AP55" s="26">
        <f>IF(AP1="","",IF(AND(ISNUMBER(AP38),OR(AP38&lt;-30,AP38&gt;20)),"WL out of range; ","")&amp;IF(AND(ISNUMBER(AP37),AP38=""),"no TP/b; ","")&amp;IF(AND(ISNUMBER(AP44),ISNUMBER(AP45)),IF(AP45&lt;AP44,"After&lt;Before; ",""),"")&amp;IF(AND(ISNUMBER(AP37),ISNUMBER(AP41)&lt;&gt;ISNUMBER(AP42)),"irrigation readings missing; ","")&amp;IF(ISNUMBER(AP48),IF(AND(ABS(AP48)&gt;50,NOT(N(AP8)&gt;0)),"WL jump &gt;5 cm; ",""),"")&amp;IF(AND(ISNUMBER(PitanE),ISNUMBER(AP56),AP1&gt;PitanE+2,AP56&lt;PitanE),"re-measure TP/b after Pitan; ",""))</f>
        <v/>
      </c>
      <c r="AQ55" s="26">
        <f>IF(AQ1="","",IF(AND(ISNUMBER(AQ38),OR(AQ38&lt;-30,AQ38&gt;20)),"WL out of range; ","")&amp;IF(AND(ISNUMBER(AQ37),AQ38=""),"no TP/b; ","")&amp;IF(AND(ISNUMBER(AQ44),ISNUMBER(AQ45)),IF(AQ45&lt;AQ44,"After&lt;Before; ",""),"")&amp;IF(AND(ISNUMBER(AQ37),ISNUMBER(AQ41)&lt;&gt;ISNUMBER(AQ42)),"irrigation readings missing; ","")&amp;IF(ISNUMBER(AQ48),IF(AND(ABS(AQ48)&gt;50,NOT(N(AQ8)&gt;0)),"WL jump &gt;5 cm; ",""),"")&amp;IF(AND(ISNUMBER(PitanE),ISNUMBER(AQ56),AQ1&gt;PitanE+2,AQ56&lt;PitanE),"re-measure TP/b after Pitan; ",""))</f>
        <v/>
      </c>
      <c r="AR55" s="26">
        <f>IF(AR1="","",IF(AND(ISNUMBER(AR38),OR(AR38&lt;-30,AR38&gt;20)),"WL out of range; ","")&amp;IF(AND(ISNUMBER(AR37),AR38=""),"no TP/b; ","")&amp;IF(AND(ISNUMBER(AR44),ISNUMBER(AR45)),IF(AR45&lt;AR44,"After&lt;Before; ",""),"")&amp;IF(AND(ISNUMBER(AR37),ISNUMBER(AR41)&lt;&gt;ISNUMBER(AR42)),"irrigation readings missing; ","")&amp;IF(ISNUMBER(AR48),IF(AND(ABS(AR48)&gt;50,NOT(N(AR8)&gt;0)),"WL jump &gt;5 cm; ",""),"")&amp;IF(AND(ISNUMBER(PitanE),ISNUMBER(AR56),AR1&gt;PitanE+2,AR56&lt;PitanE),"re-measure TP/b after Pitan; ",""))</f>
        <v/>
      </c>
      <c r="AS55" s="26">
        <f>IF(AS1="","",IF(AND(ISNUMBER(AS38),OR(AS38&lt;-30,AS38&gt;20)),"WL out of range; ","")&amp;IF(AND(ISNUMBER(AS37),AS38=""),"no TP/b; ","")&amp;IF(AND(ISNUMBER(AS44),ISNUMBER(AS45)),IF(AS45&lt;AS44,"After&lt;Before; ",""),"")&amp;IF(AND(ISNUMBER(AS37),ISNUMBER(AS41)&lt;&gt;ISNUMBER(AS42)),"irrigation readings missing; ","")&amp;IF(ISNUMBER(AS48),IF(AND(ABS(AS48)&gt;50,NOT(N(AS8)&gt;0)),"WL jump &gt;5 cm; ",""),"")&amp;IF(AND(ISNUMBER(PitanE),ISNUMBER(AS56),AS1&gt;PitanE+2,AS56&lt;PitanE),"re-measure TP/b after Pitan; ",""))</f>
        <v/>
      </c>
      <c r="AT55" s="26">
        <f>IF(AT1="","",IF(AND(ISNUMBER(AT38),OR(AT38&lt;-30,AT38&gt;20)),"WL out of range; ","")&amp;IF(AND(ISNUMBER(AT37),AT38=""),"no TP/b; ","")&amp;IF(AND(ISNUMBER(AT44),ISNUMBER(AT45)),IF(AT45&lt;AT44,"After&lt;Before; ",""),"")&amp;IF(AND(ISNUMBER(AT37),ISNUMBER(AT41)&lt;&gt;ISNUMBER(AT42)),"irrigation readings missing; ","")&amp;IF(ISNUMBER(AT48),IF(AND(ABS(AT48)&gt;50,NOT(N(AT8)&gt;0)),"WL jump &gt;5 cm; ",""),"")&amp;IF(AND(ISNUMBER(PitanE),ISNUMBER(AT56),AT1&gt;PitanE+2,AT56&lt;PitanE),"re-measure TP/b after Pitan; ",""))</f>
        <v/>
      </c>
      <c r="AU55" s="26">
        <f>IF(AU1="","",IF(AND(ISNUMBER(AU38),OR(AU38&lt;-30,AU38&gt;20)),"WL out of range; ","")&amp;IF(AND(ISNUMBER(AU37),AU38=""),"no TP/b; ","")&amp;IF(AND(ISNUMBER(AU44),ISNUMBER(AU45)),IF(AU45&lt;AU44,"After&lt;Before; ",""),"")&amp;IF(AND(ISNUMBER(AU37),ISNUMBER(AU41)&lt;&gt;ISNUMBER(AU42)),"irrigation readings missing; ","")&amp;IF(ISNUMBER(AU48),IF(AND(ABS(AU48)&gt;50,NOT(N(AU8)&gt;0)),"WL jump &gt;5 cm; ",""),"")&amp;IF(AND(ISNUMBER(PitanE),ISNUMBER(AU56),AU1&gt;PitanE+2,AU56&lt;PitanE),"re-measure TP/b after Pitan; ",""))</f>
        <v/>
      </c>
      <c r="AV55" s="26">
        <f>IF(AV1="","",IF(AND(ISNUMBER(AV38),OR(AV38&lt;-30,AV38&gt;20)),"WL out of range; ","")&amp;IF(AND(ISNUMBER(AV37),AV38=""),"no TP/b; ","")&amp;IF(AND(ISNUMBER(AV44),ISNUMBER(AV45)),IF(AV45&lt;AV44,"After&lt;Before; ",""),"")&amp;IF(AND(ISNUMBER(AV37),ISNUMBER(AV41)&lt;&gt;ISNUMBER(AV42)),"irrigation readings missing; ","")&amp;IF(ISNUMBER(AV48),IF(AND(ABS(AV48)&gt;50,NOT(N(AV8)&gt;0)),"WL jump &gt;5 cm; ",""),"")&amp;IF(AND(ISNUMBER(PitanE),ISNUMBER(AV56),AV1&gt;PitanE+2,AV56&lt;PitanE),"re-measure TP/b after Pitan; ",""))</f>
        <v/>
      </c>
      <c r="AW55" s="26">
        <f>IF(AW1="","",IF(AND(ISNUMBER(AW38),OR(AW38&lt;-30,AW38&gt;20)),"WL out of range; ","")&amp;IF(AND(ISNUMBER(AW37),AW38=""),"no TP/b; ","")&amp;IF(AND(ISNUMBER(AW44),ISNUMBER(AW45)),IF(AW45&lt;AW44,"After&lt;Before; ",""),"")&amp;IF(AND(ISNUMBER(AW37),ISNUMBER(AW41)&lt;&gt;ISNUMBER(AW42)),"irrigation readings missing; ","")&amp;IF(ISNUMBER(AW48),IF(AND(ABS(AW48)&gt;50,NOT(N(AW8)&gt;0)),"WL jump &gt;5 cm; ",""),"")&amp;IF(AND(ISNUMBER(PitanE),ISNUMBER(AW56),AW1&gt;PitanE+2,AW56&lt;PitanE),"re-measure TP/b after Pitan; ",""))</f>
        <v/>
      </c>
      <c r="AX55" s="26">
        <f>IF(AX1="","",IF(AND(ISNUMBER(AX38),OR(AX38&lt;-30,AX38&gt;20)),"WL out of range; ","")&amp;IF(AND(ISNUMBER(AX37),AX38=""),"no TP/b; ","")&amp;IF(AND(ISNUMBER(AX44),ISNUMBER(AX45)),IF(AX45&lt;AX44,"After&lt;Before; ",""),"")&amp;IF(AND(ISNUMBER(AX37),ISNUMBER(AX41)&lt;&gt;ISNUMBER(AX42)),"irrigation readings missing; ","")&amp;IF(ISNUMBER(AX48),IF(AND(ABS(AX48)&gt;50,NOT(N(AX8)&gt;0)),"WL jump &gt;5 cm; ",""),"")&amp;IF(AND(ISNUMBER(PitanE),ISNUMBER(AX56),AX1&gt;PitanE+2,AX56&lt;PitanE),"re-measure TP/b after Pitan; ",""))</f>
        <v/>
      </c>
      <c r="AY55" s="26">
        <f>IF(AY1="","",IF(AND(ISNUMBER(AY38),OR(AY38&lt;-30,AY38&gt;20)),"WL out of range; ","")&amp;IF(AND(ISNUMBER(AY37),AY38=""),"no TP/b; ","")&amp;IF(AND(ISNUMBER(AY44),ISNUMBER(AY45)),IF(AY45&lt;AY44,"After&lt;Before; ",""),"")&amp;IF(AND(ISNUMBER(AY37),ISNUMBER(AY41)&lt;&gt;ISNUMBER(AY42)),"irrigation readings missing; ","")&amp;IF(ISNUMBER(AY48),IF(AND(ABS(AY48)&gt;50,NOT(N(AY8)&gt;0)),"WL jump &gt;5 cm; ",""),"")&amp;IF(AND(ISNUMBER(PitanE),ISNUMBER(AY56),AY1&gt;PitanE+2,AY56&lt;PitanE),"re-measure TP/b after Pitan; ",""))</f>
        <v/>
      </c>
      <c r="AZ55" s="26">
        <f>IF(AZ1="","",IF(AND(ISNUMBER(AZ38),OR(AZ38&lt;-30,AZ38&gt;20)),"WL out of range; ","")&amp;IF(AND(ISNUMBER(AZ37),AZ38=""),"no TP/b; ","")&amp;IF(AND(ISNUMBER(AZ44),ISNUMBER(AZ45)),IF(AZ45&lt;AZ44,"After&lt;Before; ",""),"")&amp;IF(AND(ISNUMBER(AZ37),ISNUMBER(AZ41)&lt;&gt;ISNUMBER(AZ42)),"irrigation readings missing; ","")&amp;IF(ISNUMBER(AZ48),IF(AND(ABS(AZ48)&gt;50,NOT(N(AZ8)&gt;0)),"WL jump &gt;5 cm; ",""),"")&amp;IF(AND(ISNUMBER(PitanE),ISNUMBER(AZ56),AZ1&gt;PitanE+2,AZ56&lt;PitanE),"re-measure TP/b after Pitan; ",""))</f>
        <v/>
      </c>
      <c r="BA55" s="26">
        <f>IF(BA1="","",IF(AND(ISNUMBER(BA38),OR(BA38&lt;-30,BA38&gt;20)),"WL out of range; ","")&amp;IF(AND(ISNUMBER(BA37),BA38=""),"no TP/b; ","")&amp;IF(AND(ISNUMBER(BA44),ISNUMBER(BA45)),IF(BA45&lt;BA44,"After&lt;Before; ",""),"")&amp;IF(AND(ISNUMBER(BA37),ISNUMBER(BA41)&lt;&gt;ISNUMBER(BA42)),"irrigation readings missing; ","")&amp;IF(ISNUMBER(BA48),IF(AND(ABS(BA48)&gt;50,NOT(N(BA8)&gt;0)),"WL jump &gt;5 cm; ",""),"")&amp;IF(AND(ISNUMBER(PitanE),ISNUMBER(BA56),BA1&gt;PitanE+2,BA56&lt;PitanE),"re-measure TP/b after Pitan; ",""))</f>
        <v/>
      </c>
      <c r="BB55" s="26">
        <f>IF(BB1="","",IF(AND(ISNUMBER(BB38),OR(BB38&lt;-30,BB38&gt;20)),"WL out of range; ","")&amp;IF(AND(ISNUMBER(BB37),BB38=""),"no TP/b; ","")&amp;IF(AND(ISNUMBER(BB44),ISNUMBER(BB45)),IF(BB45&lt;BB44,"After&lt;Before; ",""),"")&amp;IF(AND(ISNUMBER(BB37),ISNUMBER(BB41)&lt;&gt;ISNUMBER(BB42)),"irrigation readings missing; ","")&amp;IF(ISNUMBER(BB48),IF(AND(ABS(BB48)&gt;50,NOT(N(BB8)&gt;0)),"WL jump &gt;5 cm; ",""),"")&amp;IF(AND(ISNUMBER(PitanE),ISNUMBER(BB56),BB1&gt;PitanE+2,BB56&lt;PitanE),"re-measure TP/b after Pitan; ",""))</f>
        <v/>
      </c>
      <c r="BC55" s="26">
        <f>IF(BC1="","",IF(AND(ISNUMBER(BC38),OR(BC38&lt;-30,BC38&gt;20)),"WL out of range; ","")&amp;IF(AND(ISNUMBER(BC37),BC38=""),"no TP/b; ","")&amp;IF(AND(ISNUMBER(BC44),ISNUMBER(BC45)),IF(BC45&lt;BC44,"After&lt;Before; ",""),"")&amp;IF(AND(ISNUMBER(BC37),ISNUMBER(BC41)&lt;&gt;ISNUMBER(BC42)),"irrigation readings missing; ","")&amp;IF(ISNUMBER(BC48),IF(AND(ABS(BC48)&gt;50,NOT(N(BC8)&gt;0)),"WL jump &gt;5 cm; ",""),"")&amp;IF(AND(ISNUMBER(PitanE),ISNUMBER(BC56),BC1&gt;PitanE+2,BC56&lt;PitanE),"re-measure TP/b after Pitan; ",""))</f>
        <v/>
      </c>
      <c r="BD55" s="26">
        <f>IF(BD1="","",IF(AND(ISNUMBER(BD38),OR(BD38&lt;-30,BD38&gt;20)),"WL out of range; ","")&amp;IF(AND(ISNUMBER(BD37),BD38=""),"no TP/b; ","")&amp;IF(AND(ISNUMBER(BD44),ISNUMBER(BD45)),IF(BD45&lt;BD44,"After&lt;Before; ",""),"")&amp;IF(AND(ISNUMBER(BD37),ISNUMBER(BD41)&lt;&gt;ISNUMBER(BD42)),"irrigation readings missing; ","")&amp;IF(ISNUMBER(BD48),IF(AND(ABS(BD48)&gt;50,NOT(N(BD8)&gt;0)),"WL jump &gt;5 cm; ",""),"")&amp;IF(AND(ISNUMBER(PitanE),ISNUMBER(BD56),BD1&gt;PitanE+2,BD56&lt;PitanE),"re-measure TP/b after Pitan; ",""))</f>
        <v/>
      </c>
      <c r="BE55" s="26">
        <f>IF(BE1="","",IF(AND(ISNUMBER(BE38),OR(BE38&lt;-30,BE38&gt;20)),"WL out of range; ","")&amp;IF(AND(ISNUMBER(BE37),BE38=""),"no TP/b; ","")&amp;IF(AND(ISNUMBER(BE44),ISNUMBER(BE45)),IF(BE45&lt;BE44,"After&lt;Before; ",""),"")&amp;IF(AND(ISNUMBER(BE37),ISNUMBER(BE41)&lt;&gt;ISNUMBER(BE42)),"irrigation readings missing; ","")&amp;IF(ISNUMBER(BE48),IF(AND(ABS(BE48)&gt;50,NOT(N(BE8)&gt;0)),"WL jump &gt;5 cm; ",""),"")&amp;IF(AND(ISNUMBER(PitanE),ISNUMBER(BE56),BE1&gt;PitanE+2,BE56&lt;PitanE),"re-measure TP/b after Pitan; ",""))</f>
        <v/>
      </c>
      <c r="BF55" s="26">
        <f>IF(BF1="","",IF(AND(ISNUMBER(BF38),OR(BF38&lt;-30,BF38&gt;20)),"WL out of range; ","")&amp;IF(AND(ISNUMBER(BF37),BF38=""),"no TP/b; ","")&amp;IF(AND(ISNUMBER(BF44),ISNUMBER(BF45)),IF(BF45&lt;BF44,"After&lt;Before; ",""),"")&amp;IF(AND(ISNUMBER(BF37),ISNUMBER(BF41)&lt;&gt;ISNUMBER(BF42)),"irrigation readings missing; ","")&amp;IF(ISNUMBER(BF48),IF(AND(ABS(BF48)&gt;50,NOT(N(BF8)&gt;0)),"WL jump &gt;5 cm; ",""),"")&amp;IF(AND(ISNUMBER(PitanE),ISNUMBER(BF56),BF1&gt;PitanE+2,BF56&lt;PitanE),"re-measure TP/b after Pitan; ",""))</f>
        <v/>
      </c>
      <c r="BG55" s="26">
        <f>IF(BG1="","",IF(AND(ISNUMBER(BG38),OR(BG38&lt;-30,BG38&gt;20)),"WL out of range; ","")&amp;IF(AND(ISNUMBER(BG37),BG38=""),"no TP/b; ","")&amp;IF(AND(ISNUMBER(BG44),ISNUMBER(BG45)),IF(BG45&lt;BG44,"After&lt;Before; ",""),"")&amp;IF(AND(ISNUMBER(BG37),ISNUMBER(BG41)&lt;&gt;ISNUMBER(BG42)),"irrigation readings missing; ","")&amp;IF(ISNUMBER(BG48),IF(AND(ABS(BG48)&gt;50,NOT(N(BG8)&gt;0)),"WL jump &gt;5 cm; ",""),"")&amp;IF(AND(ISNUMBER(PitanE),ISNUMBER(BG56),BG1&gt;PitanE+2,BG56&lt;PitanE),"re-measure TP/b after Pitan; ",""))</f>
        <v/>
      </c>
      <c r="BH55" s="26">
        <f>IF(BH1="","",IF(AND(ISNUMBER(BH38),OR(BH38&lt;-30,BH38&gt;20)),"WL out of range; ","")&amp;IF(AND(ISNUMBER(BH37),BH38=""),"no TP/b; ","")&amp;IF(AND(ISNUMBER(BH44),ISNUMBER(BH45)),IF(BH45&lt;BH44,"After&lt;Before; ",""),"")&amp;IF(AND(ISNUMBER(BH37),ISNUMBER(BH41)&lt;&gt;ISNUMBER(BH42)),"irrigation readings missing; ","")&amp;IF(ISNUMBER(BH48),IF(AND(ABS(BH48)&gt;50,NOT(N(BH8)&gt;0)),"WL jump &gt;5 cm; ",""),"")&amp;IF(AND(ISNUMBER(PitanE),ISNUMBER(BH56),BH1&gt;PitanE+2,BH56&lt;PitanE),"re-measure TP/b after Pitan; ",""))</f>
        <v/>
      </c>
      <c r="BI55" s="26">
        <f>IF(BI1="","",IF(AND(ISNUMBER(BI38),OR(BI38&lt;-30,BI38&gt;20)),"WL out of range; ","")&amp;IF(AND(ISNUMBER(BI37),BI38=""),"no TP/b; ","")&amp;IF(AND(ISNUMBER(BI44),ISNUMBER(BI45)),IF(BI45&lt;BI44,"After&lt;Before; ",""),"")&amp;IF(AND(ISNUMBER(BI37),ISNUMBER(BI41)&lt;&gt;ISNUMBER(BI42)),"irrigation readings missing; ","")&amp;IF(ISNUMBER(BI48),IF(AND(ABS(BI48)&gt;50,NOT(N(BI8)&gt;0)),"WL jump &gt;5 cm; ",""),"")&amp;IF(AND(ISNUMBER(PitanE),ISNUMBER(BI56),BI1&gt;PitanE+2,BI56&lt;PitanE),"re-measure TP/b after Pitan; ",""))</f>
        <v/>
      </c>
      <c r="BJ55" s="26">
        <f>IF(BJ1="","",IF(AND(ISNUMBER(BJ38),OR(BJ38&lt;-30,BJ38&gt;20)),"WL out of range; ","")&amp;IF(AND(ISNUMBER(BJ37),BJ38=""),"no TP/b; ","")&amp;IF(AND(ISNUMBER(BJ44),ISNUMBER(BJ45)),IF(BJ45&lt;BJ44,"After&lt;Before; ",""),"")&amp;IF(AND(ISNUMBER(BJ37),ISNUMBER(BJ41)&lt;&gt;ISNUMBER(BJ42)),"irrigation readings missing; ","")&amp;IF(ISNUMBER(BJ48),IF(AND(ABS(BJ48)&gt;50,NOT(N(BJ8)&gt;0)),"WL jump &gt;5 cm; ",""),"")&amp;IF(AND(ISNUMBER(PitanE),ISNUMBER(BJ56),BJ1&gt;PitanE+2,BJ56&lt;PitanE),"re-measure TP/b after Pitan; ",""))</f>
        <v/>
      </c>
      <c r="BK55" s="26">
        <f>IF(BK1="","",IF(AND(ISNUMBER(BK38),OR(BK38&lt;-30,BK38&gt;20)),"WL out of range; ","")&amp;IF(AND(ISNUMBER(BK37),BK38=""),"no TP/b; ","")&amp;IF(AND(ISNUMBER(BK44),ISNUMBER(BK45)),IF(BK45&lt;BK44,"After&lt;Before; ",""),"")&amp;IF(AND(ISNUMBER(BK37),ISNUMBER(BK41)&lt;&gt;ISNUMBER(BK42)),"irrigation readings missing; ","")&amp;IF(ISNUMBER(BK48),IF(AND(ABS(BK48)&gt;50,NOT(N(BK8)&gt;0)),"WL jump &gt;5 cm; ",""),"")&amp;IF(AND(ISNUMBER(PitanE),ISNUMBER(BK56),BK1&gt;PitanE+2,BK56&lt;PitanE),"re-measure TP/b after Pitan; ",""))</f>
        <v/>
      </c>
      <c r="BL55" s="26">
        <f>IF(BL1="","",IF(AND(ISNUMBER(BL38),OR(BL38&lt;-30,BL38&gt;20)),"WL out of range; ","")&amp;IF(AND(ISNUMBER(BL37),BL38=""),"no TP/b; ","")&amp;IF(AND(ISNUMBER(BL44),ISNUMBER(BL45)),IF(BL45&lt;BL44,"After&lt;Before; ",""),"")&amp;IF(AND(ISNUMBER(BL37),ISNUMBER(BL41)&lt;&gt;ISNUMBER(BL42)),"irrigation readings missing; ","")&amp;IF(ISNUMBER(BL48),IF(AND(ABS(BL48)&gt;50,NOT(N(BL8)&gt;0)),"WL jump &gt;5 cm; ",""),"")&amp;IF(AND(ISNUMBER(PitanE),ISNUMBER(BL56),BL1&gt;PitanE+2,BL56&lt;PitanE),"re-measure TP/b after Pitan; ",""))</f>
        <v/>
      </c>
      <c r="BM55" s="26">
        <f>IF(BM1="","",IF(AND(ISNUMBER(BM38),OR(BM38&lt;-30,BM38&gt;20)),"WL out of range; ","")&amp;IF(AND(ISNUMBER(BM37),BM38=""),"no TP/b; ","")&amp;IF(AND(ISNUMBER(BM44),ISNUMBER(BM45)),IF(BM45&lt;BM44,"After&lt;Before; ",""),"")&amp;IF(AND(ISNUMBER(BM37),ISNUMBER(BM41)&lt;&gt;ISNUMBER(BM42)),"irrigation readings missing; ","")&amp;IF(ISNUMBER(BM48),IF(AND(ABS(BM48)&gt;50,NOT(N(BM8)&gt;0)),"WL jump &gt;5 cm; ",""),"")&amp;IF(AND(ISNUMBER(PitanE),ISNUMBER(BM56),BM1&gt;PitanE+2,BM56&lt;PitanE),"re-measure TP/b after Pitan; ",""))</f>
        <v/>
      </c>
      <c r="BN55" s="26">
        <f>IF(BN1="","",IF(AND(ISNUMBER(BN38),OR(BN38&lt;-30,BN38&gt;20)),"WL out of range; ","")&amp;IF(AND(ISNUMBER(BN37),BN38=""),"no TP/b; ","")&amp;IF(AND(ISNUMBER(BN44),ISNUMBER(BN45)),IF(BN45&lt;BN44,"After&lt;Before; ",""),"")&amp;IF(AND(ISNUMBER(BN37),ISNUMBER(BN41)&lt;&gt;ISNUMBER(BN42)),"irrigation readings missing; ","")&amp;IF(ISNUMBER(BN48),IF(AND(ABS(BN48)&gt;50,NOT(N(BN8)&gt;0)),"WL jump &gt;5 cm; ",""),"")&amp;IF(AND(ISNUMBER(PitanE),ISNUMBER(BN56),BN1&gt;PitanE+2,BN56&lt;PitanE),"re-measure TP/b after Pitan; ",""))</f>
        <v/>
      </c>
      <c r="BO55" s="26">
        <f>IF(BO1="","",IF(AND(ISNUMBER(BO38),OR(BO38&lt;-30,BO38&gt;20)),"WL out of range; ","")&amp;IF(AND(ISNUMBER(BO37),BO38=""),"no TP/b; ","")&amp;IF(AND(ISNUMBER(BO44),ISNUMBER(BO45)),IF(BO45&lt;BO44,"After&lt;Before; ",""),"")&amp;IF(AND(ISNUMBER(BO37),ISNUMBER(BO41)&lt;&gt;ISNUMBER(BO42)),"irrigation readings missing; ","")&amp;IF(ISNUMBER(BO48),IF(AND(ABS(BO48)&gt;50,NOT(N(BO8)&gt;0)),"WL jump &gt;5 cm; ",""),"")&amp;IF(AND(ISNUMBER(PitanE),ISNUMBER(BO56),BO1&gt;PitanE+2,BO56&lt;PitanE),"re-measure TP/b after Pitan; ",""))</f>
        <v/>
      </c>
      <c r="BP55" s="26">
        <f>IF(BP1="","",IF(AND(ISNUMBER(BP38),OR(BP38&lt;-30,BP38&gt;20)),"WL out of range; ","")&amp;IF(AND(ISNUMBER(BP37),BP38=""),"no TP/b; ","")&amp;IF(AND(ISNUMBER(BP44),ISNUMBER(BP45)),IF(BP45&lt;BP44,"After&lt;Before; ",""),"")&amp;IF(AND(ISNUMBER(BP37),ISNUMBER(BP41)&lt;&gt;ISNUMBER(BP42)),"irrigation readings missing; ","")&amp;IF(ISNUMBER(BP48),IF(AND(ABS(BP48)&gt;50,NOT(N(BP8)&gt;0)),"WL jump &gt;5 cm; ",""),"")&amp;IF(AND(ISNUMBER(PitanE),ISNUMBER(BP56),BP1&gt;PitanE+2,BP56&lt;PitanE),"re-measure TP/b after Pitan; ",""))</f>
        <v/>
      </c>
      <c r="BQ55" s="26">
        <f>IF(BQ1="","",IF(AND(ISNUMBER(BQ38),OR(BQ38&lt;-30,BQ38&gt;20)),"WL out of range; ","")&amp;IF(AND(ISNUMBER(BQ37),BQ38=""),"no TP/b; ","")&amp;IF(AND(ISNUMBER(BQ44),ISNUMBER(BQ45)),IF(BQ45&lt;BQ44,"After&lt;Before; ",""),"")&amp;IF(AND(ISNUMBER(BQ37),ISNUMBER(BQ41)&lt;&gt;ISNUMBER(BQ42)),"irrigation readings missing; ","")&amp;IF(ISNUMBER(BQ48),IF(AND(ABS(BQ48)&gt;50,NOT(N(BQ8)&gt;0)),"WL jump &gt;5 cm; ",""),"")&amp;IF(AND(ISNUMBER(PitanE),ISNUMBER(BQ56),BQ1&gt;PitanE+2,BQ56&lt;PitanE),"re-measure TP/b after Pitan; ",""))</f>
        <v/>
      </c>
      <c r="BR55" s="26">
        <f>IF(BR1="","",IF(AND(ISNUMBER(BR38),OR(BR38&lt;-30,BR38&gt;20)),"WL out of range; ","")&amp;IF(AND(ISNUMBER(BR37),BR38=""),"no TP/b; ","")&amp;IF(AND(ISNUMBER(BR44),ISNUMBER(BR45)),IF(BR45&lt;BR44,"After&lt;Before; ",""),"")&amp;IF(AND(ISNUMBER(BR37),ISNUMBER(BR41)&lt;&gt;ISNUMBER(BR42)),"irrigation readings missing; ","")&amp;IF(ISNUMBER(BR48),IF(AND(ABS(BR48)&gt;50,NOT(N(BR8)&gt;0)),"WL jump &gt;5 cm; ",""),"")&amp;IF(AND(ISNUMBER(PitanE),ISNUMBER(BR56),BR1&gt;PitanE+2,BR56&lt;PitanE),"re-measure TP/b after Pitan; ",""))</f>
        <v/>
      </c>
      <c r="BS55" s="26">
        <f>IF(BS1="","",IF(AND(ISNUMBER(BS38),OR(BS38&lt;-30,BS38&gt;20)),"WL out of range; ","")&amp;IF(AND(ISNUMBER(BS37),BS38=""),"no TP/b; ","")&amp;IF(AND(ISNUMBER(BS44),ISNUMBER(BS45)),IF(BS45&lt;BS44,"After&lt;Before; ",""),"")&amp;IF(AND(ISNUMBER(BS37),ISNUMBER(BS41)&lt;&gt;ISNUMBER(BS42)),"irrigation readings missing; ","")&amp;IF(ISNUMBER(BS48),IF(AND(ABS(BS48)&gt;50,NOT(N(BS8)&gt;0)),"WL jump &gt;5 cm; ",""),"")&amp;IF(AND(ISNUMBER(PitanE),ISNUMBER(BS56),BS1&gt;PitanE+2,BS56&lt;PitanE),"re-measure TP/b after Pitan; ",""))</f>
        <v/>
      </c>
      <c r="BT55" s="26">
        <f>IF(BT1="","",IF(AND(ISNUMBER(BT38),OR(BT38&lt;-30,BT38&gt;20)),"WL out of range; ","")&amp;IF(AND(ISNUMBER(BT37),BT38=""),"no TP/b; ","")&amp;IF(AND(ISNUMBER(BT44),ISNUMBER(BT45)),IF(BT45&lt;BT44,"After&lt;Before; ",""),"")&amp;IF(AND(ISNUMBER(BT37),ISNUMBER(BT41)&lt;&gt;ISNUMBER(BT42)),"irrigation readings missing; ","")&amp;IF(ISNUMBER(BT48),IF(AND(ABS(BT48)&gt;50,NOT(N(BT8)&gt;0)),"WL jump &gt;5 cm; ",""),"")&amp;IF(AND(ISNUMBER(PitanE),ISNUMBER(BT56),BT1&gt;PitanE+2,BT56&lt;PitanE),"re-measure TP/b after Pitan; ",""))</f>
        <v/>
      </c>
      <c r="BU55" s="26">
        <f>IF(BU1="","",IF(AND(ISNUMBER(BU38),OR(BU38&lt;-30,BU38&gt;20)),"WL out of range; ","")&amp;IF(AND(ISNUMBER(BU37),BU38=""),"no TP/b; ","")&amp;IF(AND(ISNUMBER(BU44),ISNUMBER(BU45)),IF(BU45&lt;BU44,"After&lt;Before; ",""),"")&amp;IF(AND(ISNUMBER(BU37),ISNUMBER(BU41)&lt;&gt;ISNUMBER(BU42)),"irrigation readings missing; ","")&amp;IF(ISNUMBER(BU48),IF(AND(ABS(BU48)&gt;50,NOT(N(BU8)&gt;0)),"WL jump &gt;5 cm; ",""),"")&amp;IF(AND(ISNUMBER(PitanE),ISNUMBER(BU56),BU1&gt;PitanE+2,BU56&lt;PitanE),"re-measure TP/b after Pitan; ",""))</f>
        <v/>
      </c>
      <c r="BV55" s="26">
        <f>IF(BV1="","",IF(AND(ISNUMBER(BV38),OR(BV38&lt;-30,BV38&gt;20)),"WL out of range; ","")&amp;IF(AND(ISNUMBER(BV37),BV38=""),"no TP/b; ","")&amp;IF(AND(ISNUMBER(BV44),ISNUMBER(BV45)),IF(BV45&lt;BV44,"After&lt;Before; ",""),"")&amp;IF(AND(ISNUMBER(BV37),ISNUMBER(BV41)&lt;&gt;ISNUMBER(BV42)),"irrigation readings missing; ","")&amp;IF(ISNUMBER(BV48),IF(AND(ABS(BV48)&gt;50,NOT(N(BV8)&gt;0)),"WL jump &gt;5 cm; ",""),"")&amp;IF(AND(ISNUMBER(PitanE),ISNUMBER(BV56),BV1&gt;PitanE+2,BV56&lt;PitanE),"re-measure TP/b after Pitan; ",""))</f>
        <v/>
      </c>
      <c r="BW55" s="26">
        <f>IF(BW1="","",IF(AND(ISNUMBER(BW38),OR(BW38&lt;-30,BW38&gt;20)),"WL out of range; ","")&amp;IF(AND(ISNUMBER(BW37),BW38=""),"no TP/b; ","")&amp;IF(AND(ISNUMBER(BW44),ISNUMBER(BW45)),IF(BW45&lt;BW44,"After&lt;Before; ",""),"")&amp;IF(AND(ISNUMBER(BW37),ISNUMBER(BW41)&lt;&gt;ISNUMBER(BW42)),"irrigation readings missing; ","")&amp;IF(ISNUMBER(BW48),IF(AND(ABS(BW48)&gt;50,NOT(N(BW8)&gt;0)),"WL jump &gt;5 cm; ",""),"")&amp;IF(AND(ISNUMBER(PitanE),ISNUMBER(BW56),BW1&gt;PitanE+2,BW56&lt;PitanE),"re-measure TP/b after Pitan; ",""))</f>
        <v/>
      </c>
      <c r="BX55" s="26">
        <f>IF(BX1="","",IF(AND(ISNUMBER(BX38),OR(BX38&lt;-30,BX38&gt;20)),"WL out of range; ","")&amp;IF(AND(ISNUMBER(BX37),BX38=""),"no TP/b; ","")&amp;IF(AND(ISNUMBER(BX44),ISNUMBER(BX45)),IF(BX45&lt;BX44,"After&lt;Before; ",""),"")&amp;IF(AND(ISNUMBER(BX37),ISNUMBER(BX41)&lt;&gt;ISNUMBER(BX42)),"irrigation readings missing; ","")&amp;IF(ISNUMBER(BX48),IF(AND(ABS(BX48)&gt;50,NOT(N(BX8)&gt;0)),"WL jump &gt;5 cm; ",""),"")&amp;IF(AND(ISNUMBER(PitanE),ISNUMBER(BX56),BX1&gt;PitanE+2,BX56&lt;PitanE),"re-measure TP/b after Pitan; ",""))</f>
        <v/>
      </c>
      <c r="BY55" s="26">
        <f>IF(BY1="","",IF(AND(ISNUMBER(BY38),OR(BY38&lt;-30,BY38&gt;20)),"WL out of range; ","")&amp;IF(AND(ISNUMBER(BY37),BY38=""),"no TP/b; ","")&amp;IF(AND(ISNUMBER(BY44),ISNUMBER(BY45)),IF(BY45&lt;BY44,"After&lt;Before; ",""),"")&amp;IF(AND(ISNUMBER(BY37),ISNUMBER(BY41)&lt;&gt;ISNUMBER(BY42)),"irrigation readings missing; ","")&amp;IF(ISNUMBER(BY48),IF(AND(ABS(BY48)&gt;50,NOT(N(BY8)&gt;0)),"WL jump &gt;5 cm; ",""),"")&amp;IF(AND(ISNUMBER(PitanE),ISNUMBER(BY56),BY1&gt;PitanE+2,BY56&lt;PitanE),"re-measure TP/b after Pitan; ",""))</f>
        <v/>
      </c>
      <c r="BZ55" s="26">
        <f>IF(BZ1="","",IF(AND(ISNUMBER(BZ38),OR(BZ38&lt;-30,BZ38&gt;20)),"WL out of range; ","")&amp;IF(AND(ISNUMBER(BZ37),BZ38=""),"no TP/b; ","")&amp;IF(AND(ISNUMBER(BZ44),ISNUMBER(BZ45)),IF(BZ45&lt;BZ44,"After&lt;Before; ",""),"")&amp;IF(AND(ISNUMBER(BZ37),ISNUMBER(BZ41)&lt;&gt;ISNUMBER(BZ42)),"irrigation readings missing; ","")&amp;IF(ISNUMBER(BZ48),IF(AND(ABS(BZ48)&gt;50,NOT(N(BZ8)&gt;0)),"WL jump &gt;5 cm; ",""),"")&amp;IF(AND(ISNUMBER(PitanE),ISNUMBER(BZ56),BZ1&gt;PitanE+2,BZ56&lt;PitanE),"re-measure TP/b after Pitan; ",""))</f>
        <v/>
      </c>
      <c r="CA55" s="26">
        <f>IF(CA1="","",IF(AND(ISNUMBER(CA38),OR(CA38&lt;-30,CA38&gt;20)),"WL out of range; ","")&amp;IF(AND(ISNUMBER(CA37),CA38=""),"no TP/b; ","")&amp;IF(AND(ISNUMBER(CA44),ISNUMBER(CA45)),IF(CA45&lt;CA44,"After&lt;Before; ",""),"")&amp;IF(AND(ISNUMBER(CA37),ISNUMBER(CA41)&lt;&gt;ISNUMBER(CA42)),"irrigation readings missing; ","")&amp;IF(ISNUMBER(CA48),IF(AND(ABS(CA48)&gt;50,NOT(N(CA8)&gt;0)),"WL jump &gt;5 cm; ",""),"")&amp;IF(AND(ISNUMBER(PitanE),ISNUMBER(CA56),CA1&gt;PitanE+2,CA56&lt;PitanE),"re-measure TP/b after Pitan; ",""))</f>
        <v/>
      </c>
      <c r="CB55" s="26">
        <f>IF(CB1="","",IF(AND(ISNUMBER(CB38),OR(CB38&lt;-30,CB38&gt;20)),"WL out of range; ","")&amp;IF(AND(ISNUMBER(CB37),CB38=""),"no TP/b; ","")&amp;IF(AND(ISNUMBER(CB44),ISNUMBER(CB45)),IF(CB45&lt;CB44,"After&lt;Before; ",""),"")&amp;IF(AND(ISNUMBER(CB37),ISNUMBER(CB41)&lt;&gt;ISNUMBER(CB42)),"irrigation readings missing; ","")&amp;IF(ISNUMBER(CB48),IF(AND(ABS(CB48)&gt;50,NOT(N(CB8)&gt;0)),"WL jump &gt;5 cm; ",""),"")&amp;IF(AND(ISNUMBER(PitanE),ISNUMBER(CB56),CB1&gt;PitanE+2,CB56&lt;PitanE),"re-measure TP/b after Pitan; ",""))</f>
        <v/>
      </c>
      <c r="CC55" s="26">
        <f>IF(CC1="","",IF(AND(ISNUMBER(CC38),OR(CC38&lt;-30,CC38&gt;20)),"WL out of range; ","")&amp;IF(AND(ISNUMBER(CC37),CC38=""),"no TP/b; ","")&amp;IF(AND(ISNUMBER(CC44),ISNUMBER(CC45)),IF(CC45&lt;CC44,"After&lt;Before; ",""),"")&amp;IF(AND(ISNUMBER(CC37),ISNUMBER(CC41)&lt;&gt;ISNUMBER(CC42)),"irrigation readings missing; ","")&amp;IF(ISNUMBER(CC48),IF(AND(ABS(CC48)&gt;50,NOT(N(CC8)&gt;0)),"WL jump &gt;5 cm; ",""),"")&amp;IF(AND(ISNUMBER(PitanE),ISNUMBER(CC56),CC1&gt;PitanE+2,CC56&lt;PitanE),"re-measure TP/b after Pitan; ",""))</f>
        <v/>
      </c>
      <c r="CD55" s="26">
        <f>IF(CD1="","",IF(AND(ISNUMBER(CD38),OR(CD38&lt;-30,CD38&gt;20)),"WL out of range; ","")&amp;IF(AND(ISNUMBER(CD37),CD38=""),"no TP/b; ","")&amp;IF(AND(ISNUMBER(CD44),ISNUMBER(CD45)),IF(CD45&lt;CD44,"After&lt;Before; ",""),"")&amp;IF(AND(ISNUMBER(CD37),ISNUMBER(CD41)&lt;&gt;ISNUMBER(CD42)),"irrigation readings missing; ","")&amp;IF(ISNUMBER(CD48),IF(AND(ABS(CD48)&gt;50,NOT(N(CD8)&gt;0)),"WL jump &gt;5 cm; ",""),"")&amp;IF(AND(ISNUMBER(PitanE),ISNUMBER(CD56),CD1&gt;PitanE+2,CD56&lt;PitanE),"re-measure TP/b after Pitan; ",""))</f>
        <v/>
      </c>
      <c r="CE55" s="26">
        <f>IF(CE1="","",IF(AND(ISNUMBER(CE38),OR(CE38&lt;-30,CE38&gt;20)),"WL out of range; ","")&amp;IF(AND(ISNUMBER(CE37),CE38=""),"no TP/b; ","")&amp;IF(AND(ISNUMBER(CE44),ISNUMBER(CE45)),IF(CE45&lt;CE44,"After&lt;Before; ",""),"")&amp;IF(AND(ISNUMBER(CE37),ISNUMBER(CE41)&lt;&gt;ISNUMBER(CE42)),"irrigation readings missing; ","")&amp;IF(ISNUMBER(CE48),IF(AND(ABS(CE48)&gt;50,NOT(N(CE8)&gt;0)),"WL jump &gt;5 cm; ",""),"")&amp;IF(AND(ISNUMBER(PitanE),ISNUMBER(CE56),CE1&gt;PitanE+2,CE56&lt;PitanE),"re-measure TP/b after Pitan; ",""))</f>
        <v/>
      </c>
      <c r="CF55" s="26">
        <f>IF(CF1="","",IF(AND(ISNUMBER(CF38),OR(CF38&lt;-30,CF38&gt;20)),"WL out of range; ","")&amp;IF(AND(ISNUMBER(CF37),CF38=""),"no TP/b; ","")&amp;IF(AND(ISNUMBER(CF44),ISNUMBER(CF45)),IF(CF45&lt;CF44,"After&lt;Before; ",""),"")&amp;IF(AND(ISNUMBER(CF37),ISNUMBER(CF41)&lt;&gt;ISNUMBER(CF42)),"irrigation readings missing; ","")&amp;IF(ISNUMBER(CF48),IF(AND(ABS(CF48)&gt;50,NOT(N(CF8)&gt;0)),"WL jump &gt;5 cm; ",""),"")&amp;IF(AND(ISNUMBER(PitanE),ISNUMBER(CF56),CF1&gt;PitanE+2,CF56&lt;PitanE),"re-measure TP/b after Pitan; ",""))</f>
        <v/>
      </c>
      <c r="CG55" s="26">
        <f>IF(CG1="","",IF(AND(ISNUMBER(CG38),OR(CG38&lt;-30,CG38&gt;20)),"WL out of range; ","")&amp;IF(AND(ISNUMBER(CG37),CG38=""),"no TP/b; ","")&amp;IF(AND(ISNUMBER(CG44),ISNUMBER(CG45)),IF(CG45&lt;CG44,"After&lt;Before; ",""),"")&amp;IF(AND(ISNUMBER(CG37),ISNUMBER(CG41)&lt;&gt;ISNUMBER(CG42)),"irrigation readings missing; ","")&amp;IF(ISNUMBER(CG48),IF(AND(ABS(CG48)&gt;50,NOT(N(CG8)&gt;0)),"WL jump &gt;5 cm; ",""),"")&amp;IF(AND(ISNUMBER(PitanE),ISNUMBER(CG56),CG1&gt;PitanE+2,CG56&lt;PitanE),"re-measure TP/b after Pitan; ",""))</f>
        <v/>
      </c>
      <c r="CH55" s="26">
        <f>IF(CH1="","",IF(AND(ISNUMBER(CH38),OR(CH38&lt;-30,CH38&gt;20)),"WL out of range; ","")&amp;IF(AND(ISNUMBER(CH37),CH38=""),"no TP/b; ","")&amp;IF(AND(ISNUMBER(CH44),ISNUMBER(CH45)),IF(CH45&lt;CH44,"After&lt;Before; ",""),"")&amp;IF(AND(ISNUMBER(CH37),ISNUMBER(CH41)&lt;&gt;ISNUMBER(CH42)),"irrigation readings missing; ","")&amp;IF(ISNUMBER(CH48),IF(AND(ABS(CH48)&gt;50,NOT(N(CH8)&gt;0)),"WL jump &gt;5 cm; ",""),"")&amp;IF(AND(ISNUMBER(PitanE),ISNUMBER(CH56),CH1&gt;PitanE+2,CH56&lt;PitanE),"re-measure TP/b after Pitan; ",""))</f>
        <v/>
      </c>
      <c r="CI55" s="26">
        <f>IF(CI1="","",IF(AND(ISNUMBER(CI38),OR(CI38&lt;-30,CI38&gt;20)),"WL out of range; ","")&amp;IF(AND(ISNUMBER(CI37),CI38=""),"no TP/b; ","")&amp;IF(AND(ISNUMBER(CI44),ISNUMBER(CI45)),IF(CI45&lt;CI44,"After&lt;Before; ",""),"")&amp;IF(AND(ISNUMBER(CI37),ISNUMBER(CI41)&lt;&gt;ISNUMBER(CI42)),"irrigation readings missing; ","")&amp;IF(ISNUMBER(CI48),IF(AND(ABS(CI48)&gt;50,NOT(N(CI8)&gt;0)),"WL jump &gt;5 cm; ",""),"")&amp;IF(AND(ISNUMBER(PitanE),ISNUMBER(CI56),CI1&gt;PitanE+2,CI56&lt;PitanE),"re-measure TP/b after Pitan; ",""))</f>
        <v/>
      </c>
      <c r="CJ55" s="26">
        <f>IF(CJ1="","",IF(AND(ISNUMBER(CJ38),OR(CJ38&lt;-30,CJ38&gt;20)),"WL out of range; ","")&amp;IF(AND(ISNUMBER(CJ37),CJ38=""),"no TP/b; ","")&amp;IF(AND(ISNUMBER(CJ44),ISNUMBER(CJ45)),IF(CJ45&lt;CJ44,"After&lt;Before; ",""),"")&amp;IF(AND(ISNUMBER(CJ37),ISNUMBER(CJ41)&lt;&gt;ISNUMBER(CJ42)),"irrigation readings missing; ","")&amp;IF(ISNUMBER(CJ48),IF(AND(ABS(CJ48)&gt;50,NOT(N(CJ8)&gt;0)),"WL jump &gt;5 cm; ",""),"")&amp;IF(AND(ISNUMBER(PitanE),ISNUMBER(CJ56),CJ1&gt;PitanE+2,CJ56&lt;PitanE),"re-measure TP/b after Pitan; ",""))</f>
        <v/>
      </c>
      <c r="CK55" s="26">
        <f>IF(CK1="","",IF(AND(ISNUMBER(CK38),OR(CK38&lt;-30,CK38&gt;20)),"WL out of range; ","")&amp;IF(AND(ISNUMBER(CK37),CK38=""),"no TP/b; ","")&amp;IF(AND(ISNUMBER(CK44),ISNUMBER(CK45)),IF(CK45&lt;CK44,"After&lt;Before; ",""),"")&amp;IF(AND(ISNUMBER(CK37),ISNUMBER(CK41)&lt;&gt;ISNUMBER(CK42)),"irrigation readings missing; ","")&amp;IF(ISNUMBER(CK48),IF(AND(ABS(CK48)&gt;50,NOT(N(CK8)&gt;0)),"WL jump &gt;5 cm; ",""),"")&amp;IF(AND(ISNUMBER(PitanE),ISNUMBER(CK56),CK1&gt;PitanE+2,CK56&lt;PitanE),"re-measure TP/b after Pitan; ",""))</f>
        <v/>
      </c>
      <c r="CL55" s="26">
        <f>IF(CL1="","",IF(AND(ISNUMBER(CL38),OR(CL38&lt;-30,CL38&gt;20)),"WL out of range; ","")&amp;IF(AND(ISNUMBER(CL37),CL38=""),"no TP/b; ","")&amp;IF(AND(ISNUMBER(CL44),ISNUMBER(CL45)),IF(CL45&lt;CL44,"After&lt;Before; ",""),"")&amp;IF(AND(ISNUMBER(CL37),ISNUMBER(CL41)&lt;&gt;ISNUMBER(CL42)),"irrigation readings missing; ","")&amp;IF(ISNUMBER(CL48),IF(AND(ABS(CL48)&gt;50,NOT(N(CL8)&gt;0)),"WL jump &gt;5 cm; ",""),"")&amp;IF(AND(ISNUMBER(PitanE),ISNUMBER(CL56),CL1&gt;PitanE+2,CL56&lt;PitanE),"re-measure TP/b after Pitan; ",""))</f>
        <v/>
      </c>
      <c r="CM55" s="26">
        <f>IF(CM1="","",IF(AND(ISNUMBER(CM38),OR(CM38&lt;-30,CM38&gt;20)),"WL out of range; ","")&amp;IF(AND(ISNUMBER(CM37),CM38=""),"no TP/b; ","")&amp;IF(AND(ISNUMBER(CM44),ISNUMBER(CM45)),IF(CM45&lt;CM44,"After&lt;Before; ",""),"")&amp;IF(AND(ISNUMBER(CM37),ISNUMBER(CM41)&lt;&gt;ISNUMBER(CM42)),"irrigation readings missing; ","")&amp;IF(ISNUMBER(CM48),IF(AND(ABS(CM48)&gt;50,NOT(N(CM8)&gt;0)),"WL jump &gt;5 cm; ",""),"")&amp;IF(AND(ISNUMBER(PitanE),ISNUMBER(CM56),CM1&gt;PitanE+2,CM56&lt;PitanE),"re-measure TP/b after Pitan; ",""))</f>
        <v/>
      </c>
      <c r="CN55" s="26">
        <f>IF(CN1="","",IF(AND(ISNUMBER(CN38),OR(CN38&lt;-30,CN38&gt;20)),"WL out of range; ","")&amp;IF(AND(ISNUMBER(CN37),CN38=""),"no TP/b; ","")&amp;IF(AND(ISNUMBER(CN44),ISNUMBER(CN45)),IF(CN45&lt;CN44,"After&lt;Before; ",""),"")&amp;IF(AND(ISNUMBER(CN37),ISNUMBER(CN41)&lt;&gt;ISNUMBER(CN42)),"irrigation readings missing; ","")&amp;IF(ISNUMBER(CN48),IF(AND(ABS(CN48)&gt;50,NOT(N(CN8)&gt;0)),"WL jump &gt;5 cm; ",""),"")&amp;IF(AND(ISNUMBER(PitanE),ISNUMBER(CN56),CN1&gt;PitanE+2,CN56&lt;PitanE),"re-measure TP/b after Pitan; ",""))</f>
        <v/>
      </c>
      <c r="CO55" s="26">
        <f>IF(CO1="","",IF(AND(ISNUMBER(CO38),OR(CO38&lt;-30,CO38&gt;20)),"WL out of range; ","")&amp;IF(AND(ISNUMBER(CO37),CO38=""),"no TP/b; ","")&amp;IF(AND(ISNUMBER(CO44),ISNUMBER(CO45)),IF(CO45&lt;CO44,"After&lt;Before; ",""),"")&amp;IF(AND(ISNUMBER(CO37),ISNUMBER(CO41)&lt;&gt;ISNUMBER(CO42)),"irrigation readings missing; ","")&amp;IF(ISNUMBER(CO48),IF(AND(ABS(CO48)&gt;50,NOT(N(CO8)&gt;0)),"WL jump &gt;5 cm; ",""),"")&amp;IF(AND(ISNUMBER(PitanE),ISNUMBER(CO56),CO1&gt;PitanE+2,CO56&lt;PitanE),"re-measure TP/b after Pitan; ",""))</f>
        <v/>
      </c>
      <c r="CP55" s="26">
        <f>IF(CP1="","",IF(AND(ISNUMBER(CP38),OR(CP38&lt;-30,CP38&gt;20)),"WL out of range; ","")&amp;IF(AND(ISNUMBER(CP37),CP38=""),"no TP/b; ","")&amp;IF(AND(ISNUMBER(CP44),ISNUMBER(CP45)),IF(CP45&lt;CP44,"After&lt;Before; ",""),"")&amp;IF(AND(ISNUMBER(CP37),ISNUMBER(CP41)&lt;&gt;ISNUMBER(CP42)),"irrigation readings missing; ","")&amp;IF(ISNUMBER(CP48),IF(AND(ABS(CP48)&gt;50,NOT(N(CP8)&gt;0)),"WL jump &gt;5 cm; ",""),"")&amp;IF(AND(ISNUMBER(PitanE),ISNUMBER(CP56),CP1&gt;PitanE+2,CP56&lt;PitanE),"re-measure TP/b after Pitan; ",""))</f>
        <v/>
      </c>
      <c r="CQ55" s="26">
        <f>IF(CQ1="","",IF(AND(ISNUMBER(CQ38),OR(CQ38&lt;-30,CQ38&gt;20)),"WL out of range; ","")&amp;IF(AND(ISNUMBER(CQ37),CQ38=""),"no TP/b; ","")&amp;IF(AND(ISNUMBER(CQ44),ISNUMBER(CQ45)),IF(CQ45&lt;CQ44,"After&lt;Before; ",""),"")&amp;IF(AND(ISNUMBER(CQ37),ISNUMBER(CQ41)&lt;&gt;ISNUMBER(CQ42)),"irrigation readings missing; ","")&amp;IF(ISNUMBER(CQ48),IF(AND(ABS(CQ48)&gt;50,NOT(N(CQ8)&gt;0)),"WL jump &gt;5 cm; ",""),"")&amp;IF(AND(ISNUMBER(PitanE),ISNUMBER(CQ56),CQ1&gt;PitanE+2,CQ56&lt;PitanE),"re-measure TP/b after Pitan; ",""))</f>
        <v/>
      </c>
      <c r="CR55" s="26">
        <f>IF(CR1="","",IF(AND(ISNUMBER(CR38),OR(CR38&lt;-30,CR38&gt;20)),"WL out of range; ","")&amp;IF(AND(ISNUMBER(CR37),CR38=""),"no TP/b; ","")&amp;IF(AND(ISNUMBER(CR44),ISNUMBER(CR45)),IF(CR45&lt;CR44,"After&lt;Before; ",""),"")&amp;IF(AND(ISNUMBER(CR37),ISNUMBER(CR41)&lt;&gt;ISNUMBER(CR42)),"irrigation readings missing; ","")&amp;IF(ISNUMBER(CR48),IF(AND(ABS(CR48)&gt;50,NOT(N(CR8)&gt;0)),"WL jump &gt;5 cm; ",""),"")&amp;IF(AND(ISNUMBER(PitanE),ISNUMBER(CR56),CR1&gt;PitanE+2,CR56&lt;PitanE),"re-measure TP/b after Pitan; ",""))</f>
        <v/>
      </c>
      <c r="CS55" s="26">
        <f>IF(CS1="","",IF(AND(ISNUMBER(CS38),OR(CS38&lt;-30,CS38&gt;20)),"WL out of range; ","")&amp;IF(AND(ISNUMBER(CS37),CS38=""),"no TP/b; ","")&amp;IF(AND(ISNUMBER(CS44),ISNUMBER(CS45)),IF(CS45&lt;CS44,"After&lt;Before; ",""),"")&amp;IF(AND(ISNUMBER(CS37),ISNUMBER(CS41)&lt;&gt;ISNUMBER(CS42)),"irrigation readings missing; ","")&amp;IF(ISNUMBER(CS48),IF(AND(ABS(CS48)&gt;50,NOT(N(CS8)&gt;0)),"WL jump &gt;5 cm; ",""),"")&amp;IF(AND(ISNUMBER(PitanE),ISNUMBER(CS56),CS1&gt;PitanE+2,CS56&lt;PitanE),"re-measure TP/b after Pitan; ",""))</f>
        <v/>
      </c>
      <c r="CT55" s="26">
        <f>IF(CT1="","",IF(AND(ISNUMBER(CT38),OR(CT38&lt;-30,CT38&gt;20)),"WL out of range; ","")&amp;IF(AND(ISNUMBER(CT37),CT38=""),"no TP/b; ","")&amp;IF(AND(ISNUMBER(CT44),ISNUMBER(CT45)),IF(CT45&lt;CT44,"After&lt;Before; ",""),"")&amp;IF(AND(ISNUMBER(CT37),ISNUMBER(CT41)&lt;&gt;ISNUMBER(CT42)),"irrigation readings missing; ","")&amp;IF(ISNUMBER(CT48),IF(AND(ABS(CT48)&gt;50,NOT(N(CT8)&gt;0)),"WL jump &gt;5 cm; ",""),"")&amp;IF(AND(ISNUMBER(PitanE),ISNUMBER(CT56),CT1&gt;PitanE+2,CT56&lt;PitanE),"re-measure TP/b after Pitan; ",""))</f>
        <v/>
      </c>
      <c r="CU55" s="26">
        <f>IF(CU1="","",IF(AND(ISNUMBER(CU38),OR(CU38&lt;-30,CU38&gt;20)),"WL out of range; ","")&amp;IF(AND(ISNUMBER(CU37),CU38=""),"no TP/b; ","")&amp;IF(AND(ISNUMBER(CU44),ISNUMBER(CU45)),IF(CU45&lt;CU44,"After&lt;Before; ",""),"")&amp;IF(AND(ISNUMBER(CU37),ISNUMBER(CU41)&lt;&gt;ISNUMBER(CU42)),"irrigation readings missing; ","")&amp;IF(ISNUMBER(CU48),IF(AND(ABS(CU48)&gt;50,NOT(N(CU8)&gt;0)),"WL jump &gt;5 cm; ",""),"")&amp;IF(AND(ISNUMBER(PitanE),ISNUMBER(CU56),CU1&gt;PitanE+2,CU56&lt;PitanE),"re-measure TP/b after Pitan; ",""))</f>
        <v/>
      </c>
      <c r="CV55" s="26">
        <f>IF(CV1="","",IF(AND(ISNUMBER(CV38),OR(CV38&lt;-30,CV38&gt;20)),"WL out of range; ","")&amp;IF(AND(ISNUMBER(CV37),CV38=""),"no TP/b; ","")&amp;IF(AND(ISNUMBER(CV44),ISNUMBER(CV45)),IF(CV45&lt;CV44,"After&lt;Before; ",""),"")&amp;IF(AND(ISNUMBER(CV37),ISNUMBER(CV41)&lt;&gt;ISNUMBER(CV42)),"irrigation readings missing; ","")&amp;IF(ISNUMBER(CV48),IF(AND(ABS(CV48)&gt;50,NOT(N(CV8)&gt;0)),"WL jump &gt;5 cm; ",""),"")&amp;IF(AND(ISNUMBER(PitanE),ISNUMBER(CV56),CV1&gt;PitanE+2,CV56&lt;PitanE),"re-measure TP/b after Pitan; ",""))</f>
        <v/>
      </c>
      <c r="CW55" s="26">
        <f>IF(CW1="","",IF(AND(ISNUMBER(CW38),OR(CW38&lt;-30,CW38&gt;20)),"WL out of range; ","")&amp;IF(AND(ISNUMBER(CW37),CW38=""),"no TP/b; ","")&amp;IF(AND(ISNUMBER(CW44),ISNUMBER(CW45)),IF(CW45&lt;CW44,"After&lt;Before; ",""),"")&amp;IF(AND(ISNUMBER(CW37),ISNUMBER(CW41)&lt;&gt;ISNUMBER(CW42)),"irrigation readings missing; ","")&amp;IF(ISNUMBER(CW48),IF(AND(ABS(CW48)&gt;50,NOT(N(CW8)&gt;0)),"WL jump &gt;5 cm; ",""),"")&amp;IF(AND(ISNUMBER(PitanE),ISNUMBER(CW56),CW1&gt;PitanE+2,CW56&lt;PitanE),"re-measure TP/b after Pitan; ",""))</f>
        <v/>
      </c>
      <c r="CX55" s="26">
        <f>IF(CX1="","",IF(AND(ISNUMBER(CX38),OR(CX38&lt;-30,CX38&gt;20)),"WL out of range; ","")&amp;IF(AND(ISNUMBER(CX37),CX38=""),"no TP/b; ","")&amp;IF(AND(ISNUMBER(CX44),ISNUMBER(CX45)),IF(CX45&lt;CX44,"After&lt;Before; ",""),"")&amp;IF(AND(ISNUMBER(CX37),ISNUMBER(CX41)&lt;&gt;ISNUMBER(CX42)),"irrigation readings missing; ","")&amp;IF(ISNUMBER(CX48),IF(AND(ABS(CX48)&gt;50,NOT(N(CX8)&gt;0)),"WL jump &gt;5 cm; ",""),"")&amp;IF(AND(ISNUMBER(PitanE),ISNUMBER(CX56),CX1&gt;PitanE+2,CX56&lt;PitanE),"re-measure TP/b after Pitan; ",""))</f>
        <v/>
      </c>
      <c r="CY55" s="26">
        <f>IF(CY1="","",IF(AND(ISNUMBER(CY38),OR(CY38&lt;-30,CY38&gt;20)),"WL out of range; ","")&amp;IF(AND(ISNUMBER(CY37),CY38=""),"no TP/b; ","")&amp;IF(AND(ISNUMBER(CY44),ISNUMBER(CY45)),IF(CY45&lt;CY44,"After&lt;Before; ",""),"")&amp;IF(AND(ISNUMBER(CY37),ISNUMBER(CY41)&lt;&gt;ISNUMBER(CY42)),"irrigation readings missing; ","")&amp;IF(ISNUMBER(CY48),IF(AND(ABS(CY48)&gt;50,NOT(N(CY8)&gt;0)),"WL jump &gt;5 cm; ",""),"")&amp;IF(AND(ISNUMBER(PitanE),ISNUMBER(CY56),CY1&gt;PitanE+2,CY56&lt;PitanE),"re-measure TP/b after Pitan; ",""))</f>
        <v/>
      </c>
      <c r="CZ55" s="26">
        <f>IF(CZ1="","",IF(AND(ISNUMBER(CZ38),OR(CZ38&lt;-30,CZ38&gt;20)),"WL out of range; ","")&amp;IF(AND(ISNUMBER(CZ37),CZ38=""),"no TP/b; ","")&amp;IF(AND(ISNUMBER(CZ44),ISNUMBER(CZ45)),IF(CZ45&lt;CZ44,"After&lt;Before; ",""),"")&amp;IF(AND(ISNUMBER(CZ37),ISNUMBER(CZ41)&lt;&gt;ISNUMBER(CZ42)),"irrigation readings missing; ","")&amp;IF(ISNUMBER(CZ48),IF(AND(ABS(CZ48)&gt;50,NOT(N(CZ8)&gt;0)),"WL jump &gt;5 cm; ",""),"")&amp;IF(AND(ISNUMBER(PitanE),ISNUMBER(CZ56),CZ1&gt;PitanE+2,CZ56&lt;PitanE),"re-measure TP/b after Pitan; ",""))</f>
        <v/>
      </c>
      <c r="DA55" s="26">
        <f>IF(DA1="","",IF(AND(ISNUMBER(DA38),OR(DA38&lt;-30,DA38&gt;20)),"WL out of range; ","")&amp;IF(AND(ISNUMBER(DA37),DA38=""),"no TP/b; ","")&amp;IF(AND(ISNUMBER(DA44),ISNUMBER(DA45)),IF(DA45&lt;DA44,"After&lt;Before; ",""),"")&amp;IF(AND(ISNUMBER(DA37),ISNUMBER(DA41)&lt;&gt;ISNUMBER(DA42)),"irrigation readings missing; ","")&amp;IF(ISNUMBER(DA48),IF(AND(ABS(DA48)&gt;50,NOT(N(DA8)&gt;0)),"WL jump &gt;5 cm; ",""),"")&amp;IF(AND(ISNUMBER(PitanE),ISNUMBER(DA56),DA1&gt;PitanE+2,DA56&lt;PitanE),"re-measure TP/b after Pitan; ",""))</f>
        <v/>
      </c>
      <c r="DB55" s="26">
        <f>IF(DB1="","",IF(AND(ISNUMBER(DB38),OR(DB38&lt;-30,DB38&gt;20)),"WL out of range; ","")&amp;IF(AND(ISNUMBER(DB37),DB38=""),"no TP/b; ","")&amp;IF(AND(ISNUMBER(DB44),ISNUMBER(DB45)),IF(DB45&lt;DB44,"After&lt;Before; ",""),"")&amp;IF(AND(ISNUMBER(DB37),ISNUMBER(DB41)&lt;&gt;ISNUMBER(DB42)),"irrigation readings missing; ","")&amp;IF(ISNUMBER(DB48),IF(AND(ABS(DB48)&gt;50,NOT(N(DB8)&gt;0)),"WL jump &gt;5 cm; ",""),"")&amp;IF(AND(ISNUMBER(PitanE),ISNUMBER(DB56),DB1&gt;PitanE+2,DB56&lt;PitanE),"re-measure TP/b after Pitan; ",""))</f>
        <v/>
      </c>
      <c r="DC55" s="26">
        <f>IF(DC1="","",IF(AND(ISNUMBER(DC38),OR(DC38&lt;-30,DC38&gt;20)),"WL out of range; ","")&amp;IF(AND(ISNUMBER(DC37),DC38=""),"no TP/b; ","")&amp;IF(AND(ISNUMBER(DC44),ISNUMBER(DC45)),IF(DC45&lt;DC44,"After&lt;Before; ",""),"")&amp;IF(AND(ISNUMBER(DC37),ISNUMBER(DC41)&lt;&gt;ISNUMBER(DC42)),"irrigation readings missing; ","")&amp;IF(ISNUMBER(DC48),IF(AND(ABS(DC48)&gt;50,NOT(N(DC8)&gt;0)),"WL jump &gt;5 cm; ",""),"")&amp;IF(AND(ISNUMBER(PitanE),ISNUMBER(DC56),DC1&gt;PitanE+2,DC56&lt;PitanE),"re-measure TP/b after Pitan; ",""))</f>
        <v/>
      </c>
      <c r="DD55" s="26">
        <f>IF(DD1="","",IF(AND(ISNUMBER(DD38),OR(DD38&lt;-30,DD38&gt;20)),"WL out of range; ","")&amp;IF(AND(ISNUMBER(DD37),DD38=""),"no TP/b; ","")&amp;IF(AND(ISNUMBER(DD44),ISNUMBER(DD45)),IF(DD45&lt;DD44,"After&lt;Before; ",""),"")&amp;IF(AND(ISNUMBER(DD37),ISNUMBER(DD41)&lt;&gt;ISNUMBER(DD42)),"irrigation readings missing; ","")&amp;IF(ISNUMBER(DD48),IF(AND(ABS(DD48)&gt;50,NOT(N(DD8)&gt;0)),"WL jump &gt;5 cm; ",""),"")&amp;IF(AND(ISNUMBER(PitanE),ISNUMBER(DD56),DD1&gt;PitanE+2,DD56&lt;PitanE),"re-measure TP/b after Pitan; ",""))</f>
        <v/>
      </c>
      <c r="DE55" s="26">
        <f>IF(DE1="","",IF(AND(ISNUMBER(DE38),OR(DE38&lt;-30,DE38&gt;20)),"WL out of range; ","")&amp;IF(AND(ISNUMBER(DE37),DE38=""),"no TP/b; ","")&amp;IF(AND(ISNUMBER(DE44),ISNUMBER(DE45)),IF(DE45&lt;DE44,"After&lt;Before; ",""),"")&amp;IF(AND(ISNUMBER(DE37),ISNUMBER(DE41)&lt;&gt;ISNUMBER(DE42)),"irrigation readings missing; ","")&amp;IF(ISNUMBER(DE48),IF(AND(ABS(DE48)&gt;50,NOT(N(DE8)&gt;0)),"WL jump &gt;5 cm; ",""),"")&amp;IF(AND(ISNUMBER(PitanE),ISNUMBER(DE56),DE1&gt;PitanE+2,DE56&lt;PitanE),"re-measure TP/b after Pitan; ",""))</f>
        <v/>
      </c>
      <c r="DF55" s="26">
        <f>IF(DF1="","",IF(AND(ISNUMBER(DF38),OR(DF38&lt;-30,DF38&gt;20)),"WL out of range; ","")&amp;IF(AND(ISNUMBER(DF37),DF38=""),"no TP/b; ","")&amp;IF(AND(ISNUMBER(DF44),ISNUMBER(DF45)),IF(DF45&lt;DF44,"After&lt;Before; ",""),"")&amp;IF(AND(ISNUMBER(DF37),ISNUMBER(DF41)&lt;&gt;ISNUMBER(DF42)),"irrigation readings missing; ","")&amp;IF(ISNUMBER(DF48),IF(AND(ABS(DF48)&gt;50,NOT(N(DF8)&gt;0)),"WL jump &gt;5 cm; ",""),"")&amp;IF(AND(ISNUMBER(PitanE),ISNUMBER(DF56),DF1&gt;PitanE+2,DF56&lt;PitanE),"re-measure TP/b after Pitan; ",""))</f>
        <v/>
      </c>
      <c r="DG55" s="26">
        <f>IF(DG1="","",IF(AND(ISNUMBER(DG38),OR(DG38&lt;-30,DG38&gt;20)),"WL out of range; ","")&amp;IF(AND(ISNUMBER(DG37),DG38=""),"no TP/b; ","")&amp;IF(AND(ISNUMBER(DG44),ISNUMBER(DG45)),IF(DG45&lt;DG44,"After&lt;Before; ",""),"")&amp;IF(AND(ISNUMBER(DG37),ISNUMBER(DG41)&lt;&gt;ISNUMBER(DG42)),"irrigation readings missing; ","")&amp;IF(ISNUMBER(DG48),IF(AND(ABS(DG48)&gt;50,NOT(N(DG8)&gt;0)),"WL jump &gt;5 cm; ",""),"")&amp;IF(AND(ISNUMBER(PitanE),ISNUMBER(DG56),DG1&gt;PitanE+2,DG56&lt;PitanE),"re-measure TP/b after Pitan; ",""))</f>
        <v/>
      </c>
      <c r="DH55" s="26">
        <f>IF(DH1="","",IF(AND(ISNUMBER(DH38),OR(DH38&lt;-30,DH38&gt;20)),"WL out of range; ","")&amp;IF(AND(ISNUMBER(DH37),DH38=""),"no TP/b; ","")&amp;IF(AND(ISNUMBER(DH44),ISNUMBER(DH45)),IF(DH45&lt;DH44,"After&lt;Before; ",""),"")&amp;IF(AND(ISNUMBER(DH37),ISNUMBER(DH41)&lt;&gt;ISNUMBER(DH42)),"irrigation readings missing; ","")&amp;IF(ISNUMBER(DH48),IF(AND(ABS(DH48)&gt;50,NOT(N(DH8)&gt;0)),"WL jump &gt;5 cm; ",""),"")&amp;IF(AND(ISNUMBER(PitanE),ISNUMBER(DH56),DH1&gt;PitanE+2,DH56&lt;PitanE),"re-measure TP/b after Pitan; ",""))</f>
        <v/>
      </c>
      <c r="DI55" s="26">
        <f>IF(DI1="","",IF(AND(ISNUMBER(DI38),OR(DI38&lt;-30,DI38&gt;20)),"WL out of range; ","")&amp;IF(AND(ISNUMBER(DI37),DI38=""),"no TP/b; ","")&amp;IF(AND(ISNUMBER(DI44),ISNUMBER(DI45)),IF(DI45&lt;DI44,"After&lt;Before; ",""),"")&amp;IF(AND(ISNUMBER(DI37),ISNUMBER(DI41)&lt;&gt;ISNUMBER(DI42)),"irrigation readings missing; ","")&amp;IF(ISNUMBER(DI48),IF(AND(ABS(DI48)&gt;50,NOT(N(DI8)&gt;0)),"WL jump &gt;5 cm; ",""),"")&amp;IF(AND(ISNUMBER(PitanE),ISNUMBER(DI56),DI1&gt;PitanE+2,DI56&lt;PitanE),"re-measure TP/b after Pitan; ",""))</f>
        <v/>
      </c>
      <c r="DJ55" s="26">
        <f>IF(DJ1="","",IF(AND(ISNUMBER(DJ38),OR(DJ38&lt;-30,DJ38&gt;20)),"WL out of range; ","")&amp;IF(AND(ISNUMBER(DJ37),DJ38=""),"no TP/b; ","")&amp;IF(AND(ISNUMBER(DJ44),ISNUMBER(DJ45)),IF(DJ45&lt;DJ44,"After&lt;Before; ",""),"")&amp;IF(AND(ISNUMBER(DJ37),ISNUMBER(DJ41)&lt;&gt;ISNUMBER(DJ42)),"irrigation readings missing; ","")&amp;IF(ISNUMBER(DJ48),IF(AND(ABS(DJ48)&gt;50,NOT(N(DJ8)&gt;0)),"WL jump &gt;5 cm; ",""),"")&amp;IF(AND(ISNUMBER(PitanE),ISNUMBER(DJ56),DJ1&gt;PitanE+2,DJ56&lt;PitanE),"re-measure TP/b after Pitan; ",""))</f>
        <v/>
      </c>
      <c r="DK55" s="26">
        <f>IF(DK1="","",IF(AND(ISNUMBER(DK38),OR(DK38&lt;-30,DK38&gt;20)),"WL out of range; ","")&amp;IF(AND(ISNUMBER(DK37),DK38=""),"no TP/b; ","")&amp;IF(AND(ISNUMBER(DK44),ISNUMBER(DK45)),IF(DK45&lt;DK44,"After&lt;Before; ",""),"")&amp;IF(AND(ISNUMBER(DK37),ISNUMBER(DK41)&lt;&gt;ISNUMBER(DK42)),"irrigation readings missing; ","")&amp;IF(ISNUMBER(DK48),IF(AND(ABS(DK48)&gt;50,NOT(N(DK8)&gt;0)),"WL jump &gt;5 cm; ",""),"")&amp;IF(AND(ISNUMBER(PitanE),ISNUMBER(DK56),DK1&gt;PitanE+2,DK56&lt;PitanE),"re-measure TP/b after Pitan; ",""))</f>
        <v/>
      </c>
      <c r="DL55" s="26">
        <f>IF(DL1="","",IF(AND(ISNUMBER(DL38),OR(DL38&lt;-30,DL38&gt;20)),"WL out of range; ","")&amp;IF(AND(ISNUMBER(DL37),DL38=""),"no TP/b; ","")&amp;IF(AND(ISNUMBER(DL44),ISNUMBER(DL45)),IF(DL45&lt;DL44,"After&lt;Before; ",""),"")&amp;IF(AND(ISNUMBER(DL37),ISNUMBER(DL41)&lt;&gt;ISNUMBER(DL42)),"irrigation readings missing; ","")&amp;IF(ISNUMBER(DL48),IF(AND(ABS(DL48)&gt;50,NOT(N(DL8)&gt;0)),"WL jump &gt;5 cm; ",""),"")&amp;IF(AND(ISNUMBER(PitanE),ISNUMBER(DL56),DL1&gt;PitanE+2,DL56&lt;PitanE),"re-measure TP/b after Pitan; ",""))</f>
        <v/>
      </c>
      <c r="DM55" s="26">
        <f>IF(DM1="","",IF(AND(ISNUMBER(DM38),OR(DM38&lt;-30,DM38&gt;20)),"WL out of range; ","")&amp;IF(AND(ISNUMBER(DM37),DM38=""),"no TP/b; ","")&amp;IF(AND(ISNUMBER(DM44),ISNUMBER(DM45)),IF(DM45&lt;DM44,"After&lt;Before; ",""),"")&amp;IF(AND(ISNUMBER(DM37),ISNUMBER(DM41)&lt;&gt;ISNUMBER(DM42)),"irrigation readings missing; ","")&amp;IF(ISNUMBER(DM48),IF(AND(ABS(DM48)&gt;50,NOT(N(DM8)&gt;0)),"WL jump &gt;5 cm; ",""),"")&amp;IF(AND(ISNUMBER(PitanE),ISNUMBER(DM56),DM1&gt;PitanE+2,DM56&lt;PitanE),"re-measure TP/b after Pitan; ",""))</f>
        <v/>
      </c>
      <c r="DN55" s="26">
        <f>IF(DN1="","",IF(AND(ISNUMBER(DN38),OR(DN38&lt;-30,DN38&gt;20)),"WL out of range; ","")&amp;IF(AND(ISNUMBER(DN37),DN38=""),"no TP/b; ","")&amp;IF(AND(ISNUMBER(DN44),ISNUMBER(DN45)),IF(DN45&lt;DN44,"After&lt;Before; ",""),"")&amp;IF(AND(ISNUMBER(DN37),ISNUMBER(DN41)&lt;&gt;ISNUMBER(DN42)),"irrigation readings missing; ","")&amp;IF(ISNUMBER(DN48),IF(AND(ABS(DN48)&gt;50,NOT(N(DN8)&gt;0)),"WL jump &gt;5 cm; ",""),"")&amp;IF(AND(ISNUMBER(PitanE),ISNUMBER(DN56),DN1&gt;PitanE+2,DN56&lt;PitanE),"re-measure TP/b after Pitan; ",""))</f>
        <v/>
      </c>
      <c r="DO55" s="26">
        <f>IF(DO1="","",IF(AND(ISNUMBER(DO38),OR(DO38&lt;-30,DO38&gt;20)),"WL out of range; ","")&amp;IF(AND(ISNUMBER(DO37),DO38=""),"no TP/b; ","")&amp;IF(AND(ISNUMBER(DO44),ISNUMBER(DO45)),IF(DO45&lt;DO44,"After&lt;Before; ",""),"")&amp;IF(AND(ISNUMBER(DO37),ISNUMBER(DO41)&lt;&gt;ISNUMBER(DO42)),"irrigation readings missing; ","")&amp;IF(ISNUMBER(DO48),IF(AND(ABS(DO48)&gt;50,NOT(N(DO8)&gt;0)),"WL jump &gt;5 cm; ",""),"")&amp;IF(AND(ISNUMBER(PitanE),ISNUMBER(DO56),DO1&gt;PitanE+2,DO56&lt;PitanE),"re-measure TP/b after Pitan; ",""))</f>
        <v/>
      </c>
      <c r="DP55" s="26">
        <f>IF(DP1="","",IF(AND(ISNUMBER(DP38),OR(DP38&lt;-30,DP38&gt;20)),"WL out of range; ","")&amp;IF(AND(ISNUMBER(DP37),DP38=""),"no TP/b; ","")&amp;IF(AND(ISNUMBER(DP44),ISNUMBER(DP45)),IF(DP45&lt;DP44,"After&lt;Before; ",""),"")&amp;IF(AND(ISNUMBER(DP37),ISNUMBER(DP41)&lt;&gt;ISNUMBER(DP42)),"irrigation readings missing; ","")&amp;IF(ISNUMBER(DP48),IF(AND(ABS(DP48)&gt;50,NOT(N(DP8)&gt;0)),"WL jump &gt;5 cm; ",""),"")&amp;IF(AND(ISNUMBER(PitanE),ISNUMBER(DP56),DP1&gt;PitanE+2,DP56&lt;PitanE),"re-measure TP/b after Pitan; ",""))</f>
        <v/>
      </c>
      <c r="DQ55" s="26">
        <f>IF(DQ1="","",IF(AND(ISNUMBER(DQ38),OR(DQ38&lt;-30,DQ38&gt;20)),"WL out of range; ","")&amp;IF(AND(ISNUMBER(DQ37),DQ38=""),"no TP/b; ","")&amp;IF(AND(ISNUMBER(DQ44),ISNUMBER(DQ45)),IF(DQ45&lt;DQ44,"After&lt;Before; ",""),"")&amp;IF(AND(ISNUMBER(DQ37),ISNUMBER(DQ41)&lt;&gt;ISNUMBER(DQ42)),"irrigation readings missing; ","")&amp;IF(ISNUMBER(DQ48),IF(AND(ABS(DQ48)&gt;50,NOT(N(DQ8)&gt;0)),"WL jump &gt;5 cm; ",""),"")&amp;IF(AND(ISNUMBER(PitanE),ISNUMBER(DQ56),DQ1&gt;PitanE+2,DQ56&lt;PitanE),"re-measure TP/b after Pitan; ",""))</f>
        <v/>
      </c>
      <c r="DR55" s="26">
        <f>IF(DR1="","",IF(AND(ISNUMBER(DR38),OR(DR38&lt;-30,DR38&gt;20)),"WL out of range; ","")&amp;IF(AND(ISNUMBER(DR37),DR38=""),"no TP/b; ","")&amp;IF(AND(ISNUMBER(DR44),ISNUMBER(DR45)),IF(DR45&lt;DR44,"After&lt;Before; ",""),"")&amp;IF(AND(ISNUMBER(DR37),ISNUMBER(DR41)&lt;&gt;ISNUMBER(DR42)),"irrigation readings missing; ","")&amp;IF(ISNUMBER(DR48),IF(AND(ABS(DR48)&gt;50,NOT(N(DR8)&gt;0)),"WL jump &gt;5 cm; ",""),"")&amp;IF(AND(ISNUMBER(PitanE),ISNUMBER(DR56),DR1&gt;PitanE+2,DR56&lt;PitanE),"re-measure TP/b after Pitan; ",""))</f>
        <v/>
      </c>
      <c r="DS55" s="26">
        <f>IF(DS1="","",IF(AND(ISNUMBER(DS38),OR(DS38&lt;-30,DS38&gt;20)),"WL out of range; ","")&amp;IF(AND(ISNUMBER(DS37),DS38=""),"no TP/b; ","")&amp;IF(AND(ISNUMBER(DS44),ISNUMBER(DS45)),IF(DS45&lt;DS44,"After&lt;Before; ",""),"")&amp;IF(AND(ISNUMBER(DS37),ISNUMBER(DS41)&lt;&gt;ISNUMBER(DS42)),"irrigation readings missing; ","")&amp;IF(ISNUMBER(DS48),IF(AND(ABS(DS48)&gt;50,NOT(N(DS8)&gt;0)),"WL jump &gt;5 cm; ",""),"")&amp;IF(AND(ISNUMBER(PitanE),ISNUMBER(DS56),DS1&gt;PitanE+2,DS56&lt;PitanE),"re-measure TP/b after Pitan; ",""))</f>
        <v/>
      </c>
      <c r="DT55" s="26">
        <f>IF(DT1="","",IF(AND(ISNUMBER(DT38),OR(DT38&lt;-30,DT38&gt;20)),"WL out of range; ","")&amp;IF(AND(ISNUMBER(DT37),DT38=""),"no TP/b; ","")&amp;IF(AND(ISNUMBER(DT44),ISNUMBER(DT45)),IF(DT45&lt;DT44,"After&lt;Before; ",""),"")&amp;IF(AND(ISNUMBER(DT37),ISNUMBER(DT41)&lt;&gt;ISNUMBER(DT42)),"irrigation readings missing; ","")&amp;IF(ISNUMBER(DT48),IF(AND(ABS(DT48)&gt;50,NOT(N(DT8)&gt;0)),"WL jump &gt;5 cm; ",""),"")&amp;IF(AND(ISNUMBER(PitanE),ISNUMBER(DT56),DT1&gt;PitanE+2,DT56&lt;PitanE),"re-measure TP/b after Pitan; ",""))</f>
        <v/>
      </c>
      <c r="DU55" s="26">
        <f>IF(DU1="","",IF(AND(ISNUMBER(DU38),OR(DU38&lt;-30,DU38&gt;20)),"WL out of range; ","")&amp;IF(AND(ISNUMBER(DU37),DU38=""),"no TP/b; ","")&amp;IF(AND(ISNUMBER(DU44),ISNUMBER(DU45)),IF(DU45&lt;DU44,"After&lt;Before; ",""),"")&amp;IF(AND(ISNUMBER(DU37),ISNUMBER(DU41)&lt;&gt;ISNUMBER(DU42)),"irrigation readings missing; ","")&amp;IF(ISNUMBER(DU48),IF(AND(ABS(DU48)&gt;50,NOT(N(DU8)&gt;0)),"WL jump &gt;5 cm; ",""),"")&amp;IF(AND(ISNUMBER(PitanE),ISNUMBER(DU56),DU1&gt;PitanE+2,DU56&lt;PitanE),"re-measure TP/b after Pitan; ",""))</f>
        <v/>
      </c>
      <c r="DV55" s="26">
        <f>IF(DV1="","",IF(AND(ISNUMBER(DV38),OR(DV38&lt;-30,DV38&gt;20)),"WL out of range; ","")&amp;IF(AND(ISNUMBER(DV37),DV38=""),"no TP/b; ","")&amp;IF(AND(ISNUMBER(DV44),ISNUMBER(DV45)),IF(DV45&lt;DV44,"After&lt;Before; ",""),"")&amp;IF(AND(ISNUMBER(DV37),ISNUMBER(DV41)&lt;&gt;ISNUMBER(DV42)),"irrigation readings missing; ","")&amp;IF(ISNUMBER(DV48),IF(AND(ABS(DV48)&gt;50,NOT(N(DV8)&gt;0)),"WL jump &gt;5 cm; ",""),"")&amp;IF(AND(ISNUMBER(PitanE),ISNUMBER(DV56),DV1&gt;PitanE+2,DV56&lt;PitanE),"re-measure TP/b after Pitan; ",""))</f>
        <v/>
      </c>
      <c r="DW55" s="26">
        <f>IF(DW1="","",IF(AND(ISNUMBER(DW38),OR(DW38&lt;-30,DW38&gt;20)),"WL out of range; ","")&amp;IF(AND(ISNUMBER(DW37),DW38=""),"no TP/b; ","")&amp;IF(AND(ISNUMBER(DW44),ISNUMBER(DW45)),IF(DW45&lt;DW44,"After&lt;Before; ",""),"")&amp;IF(AND(ISNUMBER(DW37),ISNUMBER(DW41)&lt;&gt;ISNUMBER(DW42)),"irrigation readings missing; ","")&amp;IF(ISNUMBER(DW48),IF(AND(ABS(DW48)&gt;50,NOT(N(DW8)&gt;0)),"WL jump &gt;5 cm; ",""),"")&amp;IF(AND(ISNUMBER(PitanE),ISNUMBER(DW56),DW1&gt;PitanE+2,DW56&lt;PitanE),"re-measure TP/b after Pitan; ",""))</f>
        <v/>
      </c>
      <c r="DX55" s="26">
        <f>IF(DX1="","",IF(AND(ISNUMBER(DX38),OR(DX38&lt;-30,DX38&gt;20)),"WL out of range; ","")&amp;IF(AND(ISNUMBER(DX37),DX38=""),"no TP/b; ","")&amp;IF(AND(ISNUMBER(DX44),ISNUMBER(DX45)),IF(DX45&lt;DX44,"After&lt;Before; ",""),"")&amp;IF(AND(ISNUMBER(DX37),ISNUMBER(DX41)&lt;&gt;ISNUMBER(DX42)),"irrigation readings missing; ","")&amp;IF(ISNUMBER(DX48),IF(AND(ABS(DX48)&gt;50,NOT(N(DX8)&gt;0)),"WL jump &gt;5 cm; ",""),"")&amp;IF(AND(ISNUMBER(PitanE),ISNUMBER(DX56),DX1&gt;PitanE+2,DX56&lt;PitanE),"re-measure TP/b after Pitan; ",""))</f>
        <v/>
      </c>
      <c r="DY55" s="26">
        <f>IF(DY1="","",IF(AND(ISNUMBER(DY38),OR(DY38&lt;-30,DY38&gt;20)),"WL out of range; ","")&amp;IF(AND(ISNUMBER(DY37),DY38=""),"no TP/b; ","")&amp;IF(AND(ISNUMBER(DY44),ISNUMBER(DY45)),IF(DY45&lt;DY44,"After&lt;Before; ",""),"")&amp;IF(AND(ISNUMBER(DY37),ISNUMBER(DY41)&lt;&gt;ISNUMBER(DY42)),"irrigation readings missing; ","")&amp;IF(ISNUMBER(DY48),IF(AND(ABS(DY48)&gt;50,NOT(N(DY8)&gt;0)),"WL jump &gt;5 cm; ",""),"")&amp;IF(AND(ISNUMBER(PitanE),ISNUMBER(DY56),DY1&gt;PitanE+2,DY56&lt;PitanE),"re-measure TP/b after Pitan; ",""))</f>
        <v/>
      </c>
      <c r="DZ55" s="26">
        <f>IF(DZ1="","",IF(AND(ISNUMBER(DZ38),OR(DZ38&lt;-30,DZ38&gt;20)),"WL out of range; ","")&amp;IF(AND(ISNUMBER(DZ37),DZ38=""),"no TP/b; ","")&amp;IF(AND(ISNUMBER(DZ44),ISNUMBER(DZ45)),IF(DZ45&lt;DZ44,"After&lt;Before; ",""),"")&amp;IF(AND(ISNUMBER(DZ37),ISNUMBER(DZ41)&lt;&gt;ISNUMBER(DZ42)),"irrigation readings missing; ","")&amp;IF(ISNUMBER(DZ48),IF(AND(ABS(DZ48)&gt;50,NOT(N(DZ8)&gt;0)),"WL jump &gt;5 cm; ",""),"")&amp;IF(AND(ISNUMBER(PitanE),ISNUMBER(DZ56),DZ1&gt;PitanE+2,DZ56&lt;PitanE),"re-measure TP/b after Pitan; ",""))</f>
        <v/>
      </c>
      <c r="EA55" s="26">
        <f>IF(EA1="","",IF(AND(ISNUMBER(EA38),OR(EA38&lt;-30,EA38&gt;20)),"WL out of range; ","")&amp;IF(AND(ISNUMBER(EA37),EA38=""),"no TP/b; ","")&amp;IF(AND(ISNUMBER(EA44),ISNUMBER(EA45)),IF(EA45&lt;EA44,"After&lt;Before; ",""),"")&amp;IF(AND(ISNUMBER(EA37),ISNUMBER(EA41)&lt;&gt;ISNUMBER(EA42)),"irrigation readings missing; ","")&amp;IF(ISNUMBER(EA48),IF(AND(ABS(EA48)&gt;50,NOT(N(EA8)&gt;0)),"WL jump &gt;5 cm; ",""),"")&amp;IF(AND(ISNUMBER(PitanE),ISNUMBER(EA56),EA1&gt;PitanE+2,EA56&lt;PitanE),"re-measure TP/b after Pitan; ",""))</f>
        <v/>
      </c>
      <c r="EB55" s="26">
        <f>IF(EB1="","",IF(AND(ISNUMBER(EB38),OR(EB38&lt;-30,EB38&gt;20)),"WL out of range; ","")&amp;IF(AND(ISNUMBER(EB37),EB38=""),"no TP/b; ","")&amp;IF(AND(ISNUMBER(EB44),ISNUMBER(EB45)),IF(EB45&lt;EB44,"After&lt;Before; ",""),"")&amp;IF(AND(ISNUMBER(EB37),ISNUMBER(EB41)&lt;&gt;ISNUMBER(EB42)),"irrigation readings missing; ","")&amp;IF(ISNUMBER(EB48),IF(AND(ABS(EB48)&gt;50,NOT(N(EB8)&gt;0)),"WL jump &gt;5 cm; ",""),"")&amp;IF(AND(ISNUMBER(PitanE),ISNUMBER(EB56),EB1&gt;PitanE+2,EB56&lt;PitanE),"re-measure TP/b after Pitan; ",""))</f>
        <v/>
      </c>
      <c r="EC55" s="26">
        <f>IF(EC1="","",IF(AND(ISNUMBER(EC38),OR(EC38&lt;-30,EC38&gt;20)),"WL out of range; ","")&amp;IF(AND(ISNUMBER(EC37),EC38=""),"no TP/b; ","")&amp;IF(AND(ISNUMBER(EC44),ISNUMBER(EC45)),IF(EC45&lt;EC44,"After&lt;Before; ",""),"")&amp;IF(AND(ISNUMBER(EC37),ISNUMBER(EC41)&lt;&gt;ISNUMBER(EC42)),"irrigation readings missing; ","")&amp;IF(ISNUMBER(EC48),IF(AND(ABS(EC48)&gt;50,NOT(N(EC8)&gt;0)),"WL jump &gt;5 cm; ",""),"")&amp;IF(AND(ISNUMBER(PitanE),ISNUMBER(EC56),EC1&gt;PitanE+2,EC56&lt;PitanE),"re-measure TP/b after Pitan; ",""))</f>
        <v/>
      </c>
      <c r="ED55" s="26">
        <f>IF(ED1="","",IF(AND(ISNUMBER(ED38),OR(ED38&lt;-30,ED38&gt;20)),"WL out of range; ","")&amp;IF(AND(ISNUMBER(ED37),ED38=""),"no TP/b; ","")&amp;IF(AND(ISNUMBER(ED44),ISNUMBER(ED45)),IF(ED45&lt;ED44,"After&lt;Before; ",""),"")&amp;IF(AND(ISNUMBER(ED37),ISNUMBER(ED41)&lt;&gt;ISNUMBER(ED42)),"irrigation readings missing; ","")&amp;IF(ISNUMBER(ED48),IF(AND(ABS(ED48)&gt;50,NOT(N(ED8)&gt;0)),"WL jump &gt;5 cm; ",""),"")&amp;IF(AND(ISNUMBER(PitanE),ISNUMBER(ED56),ED1&gt;PitanE+2,ED56&lt;PitanE),"re-measure TP/b after Pitan; ",""))</f>
        <v/>
      </c>
      <c r="EE55" s="26">
        <f>IF(EE1="","",IF(AND(ISNUMBER(EE38),OR(EE38&lt;-30,EE38&gt;20)),"WL out of range; ","")&amp;IF(AND(ISNUMBER(EE37),EE38=""),"no TP/b; ","")&amp;IF(AND(ISNUMBER(EE44),ISNUMBER(EE45)),IF(EE45&lt;EE44,"After&lt;Before; ",""),"")&amp;IF(AND(ISNUMBER(EE37),ISNUMBER(EE41)&lt;&gt;ISNUMBER(EE42)),"irrigation readings missing; ","")&amp;IF(ISNUMBER(EE48),IF(AND(ABS(EE48)&gt;50,NOT(N(EE8)&gt;0)),"WL jump &gt;5 cm; ",""),"")&amp;IF(AND(ISNUMBER(PitanE),ISNUMBER(EE56),EE1&gt;PitanE+2,EE56&lt;PitanE),"re-measure TP/b after Pitan; ",""))</f>
        <v/>
      </c>
      <c r="EF55" s="26">
        <f>IF(EF1="","",IF(AND(ISNUMBER(EF38),OR(EF38&lt;-30,EF38&gt;20)),"WL out of range; ","")&amp;IF(AND(ISNUMBER(EF37),EF38=""),"no TP/b; ","")&amp;IF(AND(ISNUMBER(EF44),ISNUMBER(EF45)),IF(EF45&lt;EF44,"After&lt;Before; ",""),"")&amp;IF(AND(ISNUMBER(EF37),ISNUMBER(EF41)&lt;&gt;ISNUMBER(EF42)),"irrigation readings missing; ","")&amp;IF(ISNUMBER(EF48),IF(AND(ABS(EF48)&gt;50,NOT(N(EF8)&gt;0)),"WL jump &gt;5 cm; ",""),"")&amp;IF(AND(ISNUMBER(PitanE),ISNUMBER(EF56),EF1&gt;PitanE+2,EF56&lt;PitanE),"re-measure TP/b after Pitan; ",""))</f>
        <v/>
      </c>
      <c r="EG55" s="26">
        <f>IF(EG1="","",IF(AND(ISNUMBER(EG38),OR(EG38&lt;-30,EG38&gt;20)),"WL out of range; ","")&amp;IF(AND(ISNUMBER(EG37),EG38=""),"no TP/b; ","")&amp;IF(AND(ISNUMBER(EG44),ISNUMBER(EG45)),IF(EG45&lt;EG44,"After&lt;Before; ",""),"")&amp;IF(AND(ISNUMBER(EG37),ISNUMBER(EG41)&lt;&gt;ISNUMBER(EG42)),"irrigation readings missing; ","")&amp;IF(ISNUMBER(EG48),IF(AND(ABS(EG48)&gt;50,NOT(N(EG8)&gt;0)),"WL jump &gt;5 cm; ",""),"")&amp;IF(AND(ISNUMBER(PitanE),ISNUMBER(EG56),EG1&gt;PitanE+2,EG56&lt;PitanE),"re-measure TP/b after Pitan; ",""))</f>
        <v/>
      </c>
      <c r="EH55" s="26">
        <f>IF(EH1="","",IF(AND(ISNUMBER(EH38),OR(EH38&lt;-30,EH38&gt;20)),"WL out of range; ","")&amp;IF(AND(ISNUMBER(EH37),EH38=""),"no TP/b; ","")&amp;IF(AND(ISNUMBER(EH44),ISNUMBER(EH45)),IF(EH45&lt;EH44,"After&lt;Before; ",""),"")&amp;IF(AND(ISNUMBER(EH37),ISNUMBER(EH41)&lt;&gt;ISNUMBER(EH42)),"irrigation readings missing; ","")&amp;IF(ISNUMBER(EH48),IF(AND(ABS(EH48)&gt;50,NOT(N(EH8)&gt;0)),"WL jump &gt;5 cm; ",""),"")&amp;IF(AND(ISNUMBER(PitanE),ISNUMBER(EH56),EH1&gt;PitanE+2,EH56&lt;PitanE),"re-measure TP/b after Pitan; ",""))</f>
        <v/>
      </c>
      <c r="EI55" s="26">
        <f>IF(EI1="","",IF(AND(ISNUMBER(EI38),OR(EI38&lt;-30,EI38&gt;20)),"WL out of range; ","")&amp;IF(AND(ISNUMBER(EI37),EI38=""),"no TP/b; ","")&amp;IF(AND(ISNUMBER(EI44),ISNUMBER(EI45)),IF(EI45&lt;EI44,"After&lt;Before; ",""),"")&amp;IF(AND(ISNUMBER(EI37),ISNUMBER(EI41)&lt;&gt;ISNUMBER(EI42)),"irrigation readings missing; ","")&amp;IF(ISNUMBER(EI48),IF(AND(ABS(EI48)&gt;50,NOT(N(EI8)&gt;0)),"WL jump &gt;5 cm; ",""),"")&amp;IF(AND(ISNUMBER(PitanE),ISNUMBER(EI56),EI1&gt;PitanE+2,EI56&lt;PitanE),"re-measure TP/b after Pitan; ",""))</f>
        <v/>
      </c>
      <c r="EJ55" s="26">
        <f>IF(EJ1="","",IF(AND(ISNUMBER(EJ38),OR(EJ38&lt;-30,EJ38&gt;20)),"WL out of range; ","")&amp;IF(AND(ISNUMBER(EJ37),EJ38=""),"no TP/b; ","")&amp;IF(AND(ISNUMBER(EJ44),ISNUMBER(EJ45)),IF(EJ45&lt;EJ44,"After&lt;Before; ",""),"")&amp;IF(AND(ISNUMBER(EJ37),ISNUMBER(EJ41)&lt;&gt;ISNUMBER(EJ42)),"irrigation readings missing; ","")&amp;IF(ISNUMBER(EJ48),IF(AND(ABS(EJ48)&gt;50,NOT(N(EJ8)&gt;0)),"WL jump &gt;5 cm; ",""),"")&amp;IF(AND(ISNUMBER(PitanE),ISNUMBER(EJ56),EJ1&gt;PitanE+2,EJ56&lt;PitanE),"re-measure TP/b after Pitan; ",""))</f>
        <v/>
      </c>
      <c r="EK55" s="26">
        <f>IF(EK1="","",IF(AND(ISNUMBER(EK38),OR(EK38&lt;-30,EK38&gt;20)),"WL out of range; ","")&amp;IF(AND(ISNUMBER(EK37),EK38=""),"no TP/b; ","")&amp;IF(AND(ISNUMBER(EK44),ISNUMBER(EK45)),IF(EK45&lt;EK44,"After&lt;Before; ",""),"")&amp;IF(AND(ISNUMBER(EK37),ISNUMBER(EK41)&lt;&gt;ISNUMBER(EK42)),"irrigation readings missing; ","")&amp;IF(ISNUMBER(EK48),IF(AND(ABS(EK48)&gt;50,NOT(N(EK8)&gt;0)),"WL jump &gt;5 cm; ",""),"")&amp;IF(AND(ISNUMBER(PitanE),ISNUMBER(EK56),EK1&gt;PitanE+2,EK56&lt;PitanE),"re-measure TP/b after Pitan; ",""))</f>
        <v/>
      </c>
      <c r="EL55" s="26">
        <f>IF(EL1="","",IF(AND(ISNUMBER(EL38),OR(EL38&lt;-30,EL38&gt;20)),"WL out of range; ","")&amp;IF(AND(ISNUMBER(EL37),EL38=""),"no TP/b; ","")&amp;IF(AND(ISNUMBER(EL44),ISNUMBER(EL45)),IF(EL45&lt;EL44,"After&lt;Before; ",""),"")&amp;IF(AND(ISNUMBER(EL37),ISNUMBER(EL41)&lt;&gt;ISNUMBER(EL42)),"irrigation readings missing; ","")&amp;IF(ISNUMBER(EL48),IF(AND(ABS(EL48)&gt;50,NOT(N(EL8)&gt;0)),"WL jump &gt;5 cm; ",""),"")&amp;IF(AND(ISNUMBER(PitanE),ISNUMBER(EL56),EL1&gt;PitanE+2,EL56&lt;PitanE),"re-measure TP/b after Pitan; ",""))</f>
        <v/>
      </c>
      <c r="EM55" s="26">
        <f>IF(EM1="","",IF(AND(ISNUMBER(EM38),OR(EM38&lt;-30,EM38&gt;20)),"WL out of range; ","")&amp;IF(AND(ISNUMBER(EM37),EM38=""),"no TP/b; ","")&amp;IF(AND(ISNUMBER(EM44),ISNUMBER(EM45)),IF(EM45&lt;EM44,"After&lt;Before; ",""),"")&amp;IF(AND(ISNUMBER(EM37),ISNUMBER(EM41)&lt;&gt;ISNUMBER(EM42)),"irrigation readings missing; ","")&amp;IF(ISNUMBER(EM48),IF(AND(ABS(EM48)&gt;50,NOT(N(EM8)&gt;0)),"WL jump &gt;5 cm; ",""),"")&amp;IF(AND(ISNUMBER(PitanE),ISNUMBER(EM56),EM1&gt;PitanE+2,EM56&lt;PitanE),"re-measure TP/b after Pitan; ",""))</f>
        <v/>
      </c>
      <c r="EN55" s="26">
        <f>IF(EN1="","",IF(AND(ISNUMBER(EN38),OR(EN38&lt;-30,EN38&gt;20)),"WL out of range; ","")&amp;IF(AND(ISNUMBER(EN37),EN38=""),"no TP/b; ","")&amp;IF(AND(ISNUMBER(EN44),ISNUMBER(EN45)),IF(EN45&lt;EN44,"After&lt;Before; ",""),"")&amp;IF(AND(ISNUMBER(EN37),ISNUMBER(EN41)&lt;&gt;ISNUMBER(EN42)),"irrigation readings missing; ","")&amp;IF(ISNUMBER(EN48),IF(AND(ABS(EN48)&gt;50,NOT(N(EN8)&gt;0)),"WL jump &gt;5 cm; ",""),"")&amp;IF(AND(ISNUMBER(PitanE),ISNUMBER(EN56),EN1&gt;PitanE+2,EN56&lt;PitanE),"re-measure TP/b after Pitan; ",""))</f>
        <v/>
      </c>
      <c r="EO55" s="26">
        <f>IF(EO1="","",IF(AND(ISNUMBER(EO38),OR(EO38&lt;-30,EO38&gt;20)),"WL out of range; ","")&amp;IF(AND(ISNUMBER(EO37),EO38=""),"no TP/b; ","")&amp;IF(AND(ISNUMBER(EO44),ISNUMBER(EO45)),IF(EO45&lt;EO44,"After&lt;Before; ",""),"")&amp;IF(AND(ISNUMBER(EO37),ISNUMBER(EO41)&lt;&gt;ISNUMBER(EO42)),"irrigation readings missing; ","")&amp;IF(ISNUMBER(EO48),IF(AND(ABS(EO48)&gt;50,NOT(N(EO8)&gt;0)),"WL jump &gt;5 cm; ",""),"")&amp;IF(AND(ISNUMBER(PitanE),ISNUMBER(EO56),EO1&gt;PitanE+2,EO56&lt;PitanE),"re-measure TP/b after Pitan; ",""))</f>
        <v/>
      </c>
      <c r="EP55" s="26">
        <f>IF(EP1="","",IF(AND(ISNUMBER(EP38),OR(EP38&lt;-30,EP38&gt;20)),"WL out of range; ","")&amp;IF(AND(ISNUMBER(EP37),EP38=""),"no TP/b; ","")&amp;IF(AND(ISNUMBER(EP44),ISNUMBER(EP45)),IF(EP45&lt;EP44,"After&lt;Before; ",""),"")&amp;IF(AND(ISNUMBER(EP37),ISNUMBER(EP41)&lt;&gt;ISNUMBER(EP42)),"irrigation readings missing; ","")&amp;IF(ISNUMBER(EP48),IF(AND(ABS(EP48)&gt;50,NOT(N(EP8)&gt;0)),"WL jump &gt;5 cm; ",""),"")&amp;IF(AND(ISNUMBER(PitanE),ISNUMBER(EP56),EP1&gt;PitanE+2,EP56&lt;PitanE),"re-measure TP/b after Pitan; ",""))</f>
        <v/>
      </c>
      <c r="EQ55" s="26">
        <f>IF(EQ1="","",IF(AND(ISNUMBER(EQ38),OR(EQ38&lt;-30,EQ38&gt;20)),"WL out of range; ","")&amp;IF(AND(ISNUMBER(EQ37),EQ38=""),"no TP/b; ","")&amp;IF(AND(ISNUMBER(EQ44),ISNUMBER(EQ45)),IF(EQ45&lt;EQ44,"After&lt;Before; ",""),"")&amp;IF(AND(ISNUMBER(EQ37),ISNUMBER(EQ41)&lt;&gt;ISNUMBER(EQ42)),"irrigation readings missing; ","")&amp;IF(ISNUMBER(EQ48),IF(AND(ABS(EQ48)&gt;50,NOT(N(EQ8)&gt;0)),"WL jump &gt;5 cm; ",""),"")&amp;IF(AND(ISNUMBER(PitanE),ISNUMBER(EQ56),EQ1&gt;PitanE+2,EQ56&lt;PitanE),"re-measure TP/b after Pitan; ",""))</f>
        <v/>
      </c>
      <c r="ER55" s="26">
        <f>IF(ER1="","",IF(AND(ISNUMBER(ER38),OR(ER38&lt;-30,ER38&gt;20)),"WL out of range; ","")&amp;IF(AND(ISNUMBER(ER37),ER38=""),"no TP/b; ","")&amp;IF(AND(ISNUMBER(ER44),ISNUMBER(ER45)),IF(ER45&lt;ER44,"After&lt;Before; ",""),"")&amp;IF(AND(ISNUMBER(ER37),ISNUMBER(ER41)&lt;&gt;ISNUMBER(ER42)),"irrigation readings missing; ","")&amp;IF(ISNUMBER(ER48),IF(AND(ABS(ER48)&gt;50,NOT(N(ER8)&gt;0)),"WL jump &gt;5 cm; ",""),"")&amp;IF(AND(ISNUMBER(PitanE),ISNUMBER(ER56),ER1&gt;PitanE+2,ER56&lt;PitanE),"re-measure TP/b after Pitan; ",""))</f>
        <v/>
      </c>
      <c r="ES55" s="26">
        <f>IF(ES1="","",IF(AND(ISNUMBER(ES38),OR(ES38&lt;-30,ES38&gt;20)),"WL out of range; ","")&amp;IF(AND(ISNUMBER(ES37),ES38=""),"no TP/b; ","")&amp;IF(AND(ISNUMBER(ES44),ISNUMBER(ES45)),IF(ES45&lt;ES44,"After&lt;Before; ",""),"")&amp;IF(AND(ISNUMBER(ES37),ISNUMBER(ES41)&lt;&gt;ISNUMBER(ES42)),"irrigation readings missing; ","")&amp;IF(ISNUMBER(ES48),IF(AND(ABS(ES48)&gt;50,NOT(N(ES8)&gt;0)),"WL jump &gt;5 cm; ",""),"")&amp;IF(AND(ISNUMBER(PitanE),ISNUMBER(ES56),ES1&gt;PitanE+2,ES56&lt;PitanE),"re-measure TP/b after Pitan; ",""))</f>
        <v/>
      </c>
      <c r="ET55" s="26">
        <f>IF(ET1="","",IF(AND(ISNUMBER(ET38),OR(ET38&lt;-30,ET38&gt;20)),"WL out of range; ","")&amp;IF(AND(ISNUMBER(ET37),ET38=""),"no TP/b; ","")&amp;IF(AND(ISNUMBER(ET44),ISNUMBER(ET45)),IF(ET45&lt;ET44,"After&lt;Before; ",""),"")&amp;IF(AND(ISNUMBER(ET37),ISNUMBER(ET41)&lt;&gt;ISNUMBER(ET42)),"irrigation readings missing; ","")&amp;IF(ISNUMBER(ET48),IF(AND(ABS(ET48)&gt;50,NOT(N(ET8)&gt;0)),"WL jump &gt;5 cm; ",""),"")&amp;IF(AND(ISNUMBER(PitanE),ISNUMBER(ET56),ET1&gt;PitanE+2,ET56&lt;PitanE),"re-measure TP/b after Pitan; ",""))</f>
        <v/>
      </c>
      <c r="EU55" s="26">
        <f>IF(EU1="","",IF(AND(ISNUMBER(EU38),OR(EU38&lt;-30,EU38&gt;20)),"WL out of range; ","")&amp;IF(AND(ISNUMBER(EU37),EU38=""),"no TP/b; ","")&amp;IF(AND(ISNUMBER(EU44),ISNUMBER(EU45)),IF(EU45&lt;EU44,"After&lt;Before; ",""),"")&amp;IF(AND(ISNUMBER(EU37),ISNUMBER(EU41)&lt;&gt;ISNUMBER(EU42)),"irrigation readings missing; ","")&amp;IF(ISNUMBER(EU48),IF(AND(ABS(EU48)&gt;50,NOT(N(EU8)&gt;0)),"WL jump &gt;5 cm; ",""),"")&amp;IF(AND(ISNUMBER(PitanE),ISNUMBER(EU56),EU1&gt;PitanE+2,EU56&lt;PitanE),"re-measure TP/b after Pitan; ",""))</f>
        <v/>
      </c>
      <c r="EV55" s="26">
        <f>IF(EV1="","",IF(AND(ISNUMBER(EV38),OR(EV38&lt;-30,EV38&gt;20)),"WL out of range; ","")&amp;IF(AND(ISNUMBER(EV37),EV38=""),"no TP/b; ","")&amp;IF(AND(ISNUMBER(EV44),ISNUMBER(EV45)),IF(EV45&lt;EV44,"After&lt;Before; ",""),"")&amp;IF(AND(ISNUMBER(EV37),ISNUMBER(EV41)&lt;&gt;ISNUMBER(EV42)),"irrigation readings missing; ","")&amp;IF(ISNUMBER(EV48),IF(AND(ABS(EV48)&gt;50,NOT(N(EV8)&gt;0)),"WL jump &gt;5 cm; ",""),"")&amp;IF(AND(ISNUMBER(PitanE),ISNUMBER(EV56),EV1&gt;PitanE+2,EV56&lt;PitanE),"re-measure TP/b after Pitan; ",""))</f>
        <v/>
      </c>
      <c r="EW55" s="26">
        <f>IF(EW1="","",IF(AND(ISNUMBER(EW38),OR(EW38&lt;-30,EW38&gt;20)),"WL out of range; ","")&amp;IF(AND(ISNUMBER(EW37),EW38=""),"no TP/b; ","")&amp;IF(AND(ISNUMBER(EW44),ISNUMBER(EW45)),IF(EW45&lt;EW44,"After&lt;Before; ",""),"")&amp;IF(AND(ISNUMBER(EW37),ISNUMBER(EW41)&lt;&gt;ISNUMBER(EW42)),"irrigation readings missing; ","")&amp;IF(ISNUMBER(EW48),IF(AND(ABS(EW48)&gt;50,NOT(N(EW8)&gt;0)),"WL jump &gt;5 cm; ",""),"")&amp;IF(AND(ISNUMBER(PitanE),ISNUMBER(EW56),EW1&gt;PitanE+2,EW56&lt;PitanE),"re-measure TP/b after Pitan; ",""))</f>
        <v/>
      </c>
      <c r="EX55" s="26">
        <f>IF(EX1="","",IF(AND(ISNUMBER(EX38),OR(EX38&lt;-30,EX38&gt;20)),"WL out of range; ","")&amp;IF(AND(ISNUMBER(EX37),EX38=""),"no TP/b; ","")&amp;IF(AND(ISNUMBER(EX44),ISNUMBER(EX45)),IF(EX45&lt;EX44,"After&lt;Before; ",""),"")&amp;IF(AND(ISNUMBER(EX37),ISNUMBER(EX41)&lt;&gt;ISNUMBER(EX42)),"irrigation readings missing; ","")&amp;IF(ISNUMBER(EX48),IF(AND(ABS(EX48)&gt;50,NOT(N(EX8)&gt;0)),"WL jump &gt;5 cm; ",""),"")&amp;IF(AND(ISNUMBER(PitanE),ISNUMBER(EX56),EX1&gt;PitanE+2,EX56&lt;PitanE),"re-measure TP/b after Pitan; ",""))</f>
        <v/>
      </c>
      <c r="EY55" s="26">
        <f>IF(EY1="","",IF(AND(ISNUMBER(EY38),OR(EY38&lt;-30,EY38&gt;20)),"WL out of range; ","")&amp;IF(AND(ISNUMBER(EY37),EY38=""),"no TP/b; ","")&amp;IF(AND(ISNUMBER(EY44),ISNUMBER(EY45)),IF(EY45&lt;EY44,"After&lt;Before; ",""),"")&amp;IF(AND(ISNUMBER(EY37),ISNUMBER(EY41)&lt;&gt;ISNUMBER(EY42)),"irrigation readings missing; ","")&amp;IF(ISNUMBER(EY48),IF(AND(ABS(EY48)&gt;50,NOT(N(EY8)&gt;0)),"WL jump &gt;5 cm; ",""),"")&amp;IF(AND(ISNUMBER(PitanE),ISNUMBER(EY56),EY1&gt;PitanE+2,EY56&lt;PitanE),"re-measure TP/b after Pitan; ",""))</f>
        <v/>
      </c>
      <c r="EZ55" s="26">
        <f>IF(EZ1="","",IF(AND(ISNUMBER(EZ38),OR(EZ38&lt;-30,EZ38&gt;20)),"WL out of range; ","")&amp;IF(AND(ISNUMBER(EZ37),EZ38=""),"no TP/b; ","")&amp;IF(AND(ISNUMBER(EZ44),ISNUMBER(EZ45)),IF(EZ45&lt;EZ44,"After&lt;Before; ",""),"")&amp;IF(AND(ISNUMBER(EZ37),ISNUMBER(EZ41)&lt;&gt;ISNUMBER(EZ42)),"irrigation readings missing; ","")&amp;IF(ISNUMBER(EZ48),IF(AND(ABS(EZ48)&gt;50,NOT(N(EZ8)&gt;0)),"WL jump &gt;5 cm; ",""),"")&amp;IF(AND(ISNUMBER(PitanE),ISNUMBER(EZ56),EZ1&gt;PitanE+2,EZ56&lt;PitanE),"re-measure TP/b after Pitan; ",""))</f>
        <v/>
      </c>
      <c r="FA55" s="26">
        <f>IF(FA1="","",IF(AND(ISNUMBER(FA38),OR(FA38&lt;-30,FA38&gt;20)),"WL out of range; ","")&amp;IF(AND(ISNUMBER(FA37),FA38=""),"no TP/b; ","")&amp;IF(AND(ISNUMBER(FA44),ISNUMBER(FA45)),IF(FA45&lt;FA44,"After&lt;Before; ",""),"")&amp;IF(AND(ISNUMBER(FA37),ISNUMBER(FA41)&lt;&gt;ISNUMBER(FA42)),"irrigation readings missing; ","")&amp;IF(ISNUMBER(FA48),IF(AND(ABS(FA48)&gt;50,NOT(N(FA8)&gt;0)),"WL jump &gt;5 cm; ",""),"")&amp;IF(AND(ISNUMBER(PitanE),ISNUMBER(FA56),FA1&gt;PitanE+2,FA56&lt;PitanE),"re-measure TP/b after Pitan; ",""))</f>
        <v/>
      </c>
      <c r="FB55" s="26">
        <f>IF(FB1="","",IF(AND(ISNUMBER(FB38),OR(FB38&lt;-30,FB38&gt;20)),"WL out of range; ","")&amp;IF(AND(ISNUMBER(FB37),FB38=""),"no TP/b; ","")&amp;IF(AND(ISNUMBER(FB44),ISNUMBER(FB45)),IF(FB45&lt;FB44,"After&lt;Before; ",""),"")&amp;IF(AND(ISNUMBER(FB37),ISNUMBER(FB41)&lt;&gt;ISNUMBER(FB42)),"irrigation readings missing; ","")&amp;IF(ISNUMBER(FB48),IF(AND(ABS(FB48)&gt;50,NOT(N(FB8)&gt;0)),"WL jump &gt;5 cm; ",""),"")&amp;IF(AND(ISNUMBER(PitanE),ISNUMBER(FB56),FB1&gt;PitanE+2,FB56&lt;PitanE),"re-measure TP/b after Pitan; ",""))</f>
        <v/>
      </c>
      <c r="FC55" s="26">
        <f>IF(FC1="","",IF(AND(ISNUMBER(FC38),OR(FC38&lt;-30,FC38&gt;20)),"WL out of range; ","")&amp;IF(AND(ISNUMBER(FC37),FC38=""),"no TP/b; ","")&amp;IF(AND(ISNUMBER(FC44),ISNUMBER(FC45)),IF(FC45&lt;FC44,"After&lt;Before; ",""),"")&amp;IF(AND(ISNUMBER(FC37),ISNUMBER(FC41)&lt;&gt;ISNUMBER(FC42)),"irrigation readings missing; ","")&amp;IF(ISNUMBER(FC48),IF(AND(ABS(FC48)&gt;50,NOT(N(FC8)&gt;0)),"WL jump &gt;5 cm; ",""),"")&amp;IF(AND(ISNUMBER(PitanE),ISNUMBER(FC56),FC1&gt;PitanE+2,FC56&lt;PitanE),"re-measure TP/b after Pitan; ",""))</f>
        <v/>
      </c>
      <c r="FD55" s="26">
        <f>IF(FD1="","",IF(AND(ISNUMBER(FD38),OR(FD38&lt;-30,FD38&gt;20)),"WL out of range; ","")&amp;IF(AND(ISNUMBER(FD37),FD38=""),"no TP/b; ","")&amp;IF(AND(ISNUMBER(FD44),ISNUMBER(FD45)),IF(FD45&lt;FD44,"After&lt;Before; ",""),"")&amp;IF(AND(ISNUMBER(FD37),ISNUMBER(FD41)&lt;&gt;ISNUMBER(FD42)),"irrigation readings missing; ","")&amp;IF(ISNUMBER(FD48),IF(AND(ABS(FD48)&gt;50,NOT(N(FD8)&gt;0)),"WL jump &gt;5 cm; ",""),"")&amp;IF(AND(ISNUMBER(PitanE),ISNUMBER(FD56),FD1&gt;PitanE+2,FD56&lt;PitanE),"re-measure TP/b after Pitan; ",""))</f>
        <v/>
      </c>
      <c r="FE55" s="26">
        <f>IF(FE1="","",IF(AND(ISNUMBER(FE38),OR(FE38&lt;-30,FE38&gt;20)),"WL out of range; ","")&amp;IF(AND(ISNUMBER(FE37),FE38=""),"no TP/b; ","")&amp;IF(AND(ISNUMBER(FE44),ISNUMBER(FE45)),IF(FE45&lt;FE44,"After&lt;Before; ",""),"")&amp;IF(AND(ISNUMBER(FE37),ISNUMBER(FE41)&lt;&gt;ISNUMBER(FE42)),"irrigation readings missing; ","")&amp;IF(ISNUMBER(FE48),IF(AND(ABS(FE48)&gt;50,NOT(N(FE8)&gt;0)),"WL jump &gt;5 cm; ",""),"")&amp;IF(AND(ISNUMBER(PitanE),ISNUMBER(FE56),FE1&gt;PitanE+2,FE56&lt;PitanE),"re-measure TP/b after Pitan; ",""))</f>
        <v/>
      </c>
      <c r="FF55" s="26">
        <f>IF(FF1="","",IF(AND(ISNUMBER(FF38),OR(FF38&lt;-30,FF38&gt;20)),"WL out of range; ","")&amp;IF(AND(ISNUMBER(FF37),FF38=""),"no TP/b; ","")&amp;IF(AND(ISNUMBER(FF44),ISNUMBER(FF45)),IF(FF45&lt;FF44,"After&lt;Before; ",""),"")&amp;IF(AND(ISNUMBER(FF37),ISNUMBER(FF41)&lt;&gt;ISNUMBER(FF42)),"irrigation readings missing; ","")&amp;IF(ISNUMBER(FF48),IF(AND(ABS(FF48)&gt;50,NOT(N(FF8)&gt;0)),"WL jump &gt;5 cm; ",""),"")&amp;IF(AND(ISNUMBER(PitanE),ISNUMBER(FF56),FF1&gt;PitanE+2,FF56&lt;PitanE),"re-measure TP/b after Pitan; ",""))</f>
        <v/>
      </c>
      <c r="FG55" s="26">
        <f>IF(FG1="","",IF(AND(ISNUMBER(FG38),OR(FG38&lt;-30,FG38&gt;20)),"WL out of range; ","")&amp;IF(AND(ISNUMBER(FG37),FG38=""),"no TP/b; ","")&amp;IF(AND(ISNUMBER(FG44),ISNUMBER(FG45)),IF(FG45&lt;FG44,"After&lt;Before; ",""),"")&amp;IF(AND(ISNUMBER(FG37),ISNUMBER(FG41)&lt;&gt;ISNUMBER(FG42)),"irrigation readings missing; ","")&amp;IF(ISNUMBER(FG48),IF(AND(ABS(FG48)&gt;50,NOT(N(FG8)&gt;0)),"WL jump &gt;5 cm; ",""),"")&amp;IF(AND(ISNUMBER(PitanE),ISNUMBER(FG56),FG1&gt;PitanE+2,FG56&lt;PitanE),"re-measure TP/b after Pitan; ",""))</f>
        <v/>
      </c>
      <c r="FH55" s="26">
        <f>IF(FH1="","",IF(AND(ISNUMBER(FH38),OR(FH38&lt;-30,FH38&gt;20)),"WL out of range; ","")&amp;IF(AND(ISNUMBER(FH37),FH38=""),"no TP/b; ","")&amp;IF(AND(ISNUMBER(FH44),ISNUMBER(FH45)),IF(FH45&lt;FH44,"After&lt;Before; ",""),"")&amp;IF(AND(ISNUMBER(FH37),ISNUMBER(FH41)&lt;&gt;ISNUMBER(FH42)),"irrigation readings missing; ","")&amp;IF(ISNUMBER(FH48),IF(AND(ABS(FH48)&gt;50,NOT(N(FH8)&gt;0)),"WL jump &gt;5 cm; ",""),"")&amp;IF(AND(ISNUMBER(PitanE),ISNUMBER(FH56),FH1&gt;PitanE+2,FH56&lt;PitanE),"re-measure TP/b after Pitan; ",""))</f>
        <v/>
      </c>
      <c r="FI55" s="26">
        <f>IF(FI1="","",IF(AND(ISNUMBER(FI38),OR(FI38&lt;-30,FI38&gt;20)),"WL out of range; ","")&amp;IF(AND(ISNUMBER(FI37),FI38=""),"no TP/b; ","")&amp;IF(AND(ISNUMBER(FI44),ISNUMBER(FI45)),IF(FI45&lt;FI44,"After&lt;Before; ",""),"")&amp;IF(AND(ISNUMBER(FI37),ISNUMBER(FI41)&lt;&gt;ISNUMBER(FI42)),"irrigation readings missing; ","")&amp;IF(ISNUMBER(FI48),IF(AND(ABS(FI48)&gt;50,NOT(N(FI8)&gt;0)),"WL jump &gt;5 cm; ",""),"")&amp;IF(AND(ISNUMBER(PitanE),ISNUMBER(FI56),FI1&gt;PitanE+2,FI56&lt;PitanE),"re-measure TP/b after Pitan; ",""))</f>
        <v/>
      </c>
      <c r="FJ55" s="26">
        <f>IF(FJ1="","",IF(AND(ISNUMBER(FJ38),OR(FJ38&lt;-30,FJ38&gt;20)),"WL out of range; ","")&amp;IF(AND(ISNUMBER(FJ37),FJ38=""),"no TP/b; ","")&amp;IF(AND(ISNUMBER(FJ44),ISNUMBER(FJ45)),IF(FJ45&lt;FJ44,"After&lt;Before; ",""),"")&amp;IF(AND(ISNUMBER(FJ37),ISNUMBER(FJ41)&lt;&gt;ISNUMBER(FJ42)),"irrigation readings missing; ","")&amp;IF(ISNUMBER(FJ48),IF(AND(ABS(FJ48)&gt;50,NOT(N(FJ8)&gt;0)),"WL jump &gt;5 cm; ",""),"")&amp;IF(AND(ISNUMBER(PitanE),ISNUMBER(FJ56),FJ1&gt;PitanE+2,FJ56&lt;PitanE),"re-measure TP/b after Pitan; ",""))</f>
        <v/>
      </c>
      <c r="FK55" s="26">
        <f>IF(FK1="","",IF(AND(ISNUMBER(FK38),OR(FK38&lt;-30,FK38&gt;20)),"WL out of range; ","")&amp;IF(AND(ISNUMBER(FK37),FK38=""),"no TP/b; ","")&amp;IF(AND(ISNUMBER(FK44),ISNUMBER(FK45)),IF(FK45&lt;FK44,"After&lt;Before; ",""),"")&amp;IF(AND(ISNUMBER(FK37),ISNUMBER(FK41)&lt;&gt;ISNUMBER(FK42)),"irrigation readings missing; ","")&amp;IF(ISNUMBER(FK48),IF(AND(ABS(FK48)&gt;50,NOT(N(FK8)&gt;0)),"WL jump &gt;5 cm; ",""),"")&amp;IF(AND(ISNUMBER(PitanE),ISNUMBER(FK56),FK1&gt;PitanE+2,FK56&lt;PitanE),"re-measure TP/b after Pitan; ",""))</f>
        <v/>
      </c>
      <c r="FL55" s="26">
        <f>IF(FL1="","",IF(AND(ISNUMBER(FL38),OR(FL38&lt;-30,FL38&gt;20)),"WL out of range; ","")&amp;IF(AND(ISNUMBER(FL37),FL38=""),"no TP/b; ","")&amp;IF(AND(ISNUMBER(FL44),ISNUMBER(FL45)),IF(FL45&lt;FL44,"After&lt;Before; ",""),"")&amp;IF(AND(ISNUMBER(FL37),ISNUMBER(FL41)&lt;&gt;ISNUMBER(FL42)),"irrigation readings missing; ","")&amp;IF(ISNUMBER(FL48),IF(AND(ABS(FL48)&gt;50,NOT(N(FL8)&gt;0)),"WL jump &gt;5 cm; ",""),"")&amp;IF(AND(ISNUMBER(PitanE),ISNUMBER(FL56),FL1&gt;PitanE+2,FL56&lt;PitanE),"re-measure TP/b after Pitan; ",""))</f>
        <v/>
      </c>
      <c r="FM55" s="26">
        <f>IF(FM1="","",IF(AND(ISNUMBER(FM38),OR(FM38&lt;-30,FM38&gt;20)),"WL out of range; ","")&amp;IF(AND(ISNUMBER(FM37),FM38=""),"no TP/b; ","")&amp;IF(AND(ISNUMBER(FM44),ISNUMBER(FM45)),IF(FM45&lt;FM44,"After&lt;Before; ",""),"")&amp;IF(AND(ISNUMBER(FM37),ISNUMBER(FM41)&lt;&gt;ISNUMBER(FM42)),"irrigation readings missing; ","")&amp;IF(ISNUMBER(FM48),IF(AND(ABS(FM48)&gt;50,NOT(N(FM8)&gt;0)),"WL jump &gt;5 cm; ",""),"")&amp;IF(AND(ISNUMBER(PitanE),ISNUMBER(FM56),FM1&gt;PitanE+2,FM56&lt;PitanE),"re-measure TP/b after Pitan; ",""))</f>
        <v/>
      </c>
      <c r="FN55" s="26">
        <f>IF(FN1="","",IF(AND(ISNUMBER(FN38),OR(FN38&lt;-30,FN38&gt;20)),"WL out of range; ","")&amp;IF(AND(ISNUMBER(FN37),FN38=""),"no TP/b; ","")&amp;IF(AND(ISNUMBER(FN44),ISNUMBER(FN45)),IF(FN45&lt;FN44,"After&lt;Before; ",""),"")&amp;IF(AND(ISNUMBER(FN37),ISNUMBER(FN41)&lt;&gt;ISNUMBER(FN42)),"irrigation readings missing; ","")&amp;IF(ISNUMBER(FN48),IF(AND(ABS(FN48)&gt;50,NOT(N(FN8)&gt;0)),"WL jump &gt;5 cm; ",""),"")&amp;IF(AND(ISNUMBER(PitanE),ISNUMBER(FN56),FN1&gt;PitanE+2,FN56&lt;PitanE),"re-measure TP/b after Pitan; ",""))</f>
        <v/>
      </c>
      <c r="FO55" s="26">
        <f>IF(FO1="","",IF(AND(ISNUMBER(FO38),OR(FO38&lt;-30,FO38&gt;20)),"WL out of range; ","")&amp;IF(AND(ISNUMBER(FO37),FO38=""),"no TP/b; ","")&amp;IF(AND(ISNUMBER(FO44),ISNUMBER(FO45)),IF(FO45&lt;FO44,"After&lt;Before; ",""),"")&amp;IF(AND(ISNUMBER(FO37),ISNUMBER(FO41)&lt;&gt;ISNUMBER(FO42)),"irrigation readings missing; ","")&amp;IF(ISNUMBER(FO48),IF(AND(ABS(FO48)&gt;50,NOT(N(FO8)&gt;0)),"WL jump &gt;5 cm; ",""),"")&amp;IF(AND(ISNUMBER(PitanE),ISNUMBER(FO56),FO1&gt;PitanE+2,FO56&lt;PitanE),"re-measure TP/b after Pitan; ",""))</f>
        <v/>
      </c>
      <c r="FP55" s="26">
        <f>IF(FP1="","",IF(AND(ISNUMBER(FP38),OR(FP38&lt;-30,FP38&gt;20)),"WL out of range; ","")&amp;IF(AND(ISNUMBER(FP37),FP38=""),"no TP/b; ","")&amp;IF(AND(ISNUMBER(FP44),ISNUMBER(FP45)),IF(FP45&lt;FP44,"After&lt;Before; ",""),"")&amp;IF(AND(ISNUMBER(FP37),ISNUMBER(FP41)&lt;&gt;ISNUMBER(FP42)),"irrigation readings missing; ","")&amp;IF(ISNUMBER(FP48),IF(AND(ABS(FP48)&gt;50,NOT(N(FP8)&gt;0)),"WL jump &gt;5 cm; ",""),"")&amp;IF(AND(ISNUMBER(PitanE),ISNUMBER(FP56),FP1&gt;PitanE+2,FP56&lt;PitanE),"re-measure TP/b after Pitan; ",""))</f>
        <v/>
      </c>
      <c r="FQ55" s="26">
        <f>IF(FQ1="","",IF(AND(ISNUMBER(FQ38),OR(FQ38&lt;-30,FQ38&gt;20)),"WL out of range; ","")&amp;IF(AND(ISNUMBER(FQ37),FQ38=""),"no TP/b; ","")&amp;IF(AND(ISNUMBER(FQ44),ISNUMBER(FQ45)),IF(FQ45&lt;FQ44,"After&lt;Before; ",""),"")&amp;IF(AND(ISNUMBER(FQ37),ISNUMBER(FQ41)&lt;&gt;ISNUMBER(FQ42)),"irrigation readings missing; ","")&amp;IF(ISNUMBER(FQ48),IF(AND(ABS(FQ48)&gt;50,NOT(N(FQ8)&gt;0)),"WL jump &gt;5 cm; ",""),"")&amp;IF(AND(ISNUMBER(PitanE),ISNUMBER(FQ56),FQ1&gt;PitanE+2,FQ56&lt;PitanE),"re-measure TP/b after Pitan; ",""))</f>
        <v/>
      </c>
    </row>
    <row r="56" hidden="1">
      <c r="A56" s="31" t="inlineStr">
        <is>
          <t>3F4D+MD</t>
        </is>
      </c>
      <c r="B56" s="32" t="inlineStr">
        <is>
          <t>(TP-b date)</t>
        </is>
      </c>
      <c r="D56" s="28">
        <f>IF(D1="","",IF(_xlfn.MAXIFS('TP-b'!$B$3:$B$60,'TP-b'!$A$3:$A$60,"3F4D+MD",'TP-b'!$E$3:$E$60,1,'TP-b'!$B$3:$B$60,"&lt;="&amp;D1)&gt;0,_xlfn.MAXIFS('TP-b'!$B$3:$B$60,'TP-b'!$A$3:$A$60,"3F4D+MD",'TP-b'!$E$3:$E$60,1,'TP-b'!$B$3:$B$60,"&lt;="&amp;D1),IF(_xlfn.MINIFS('TP-b'!$B$3:$B$60,'TP-b'!$A$3:$A$60,"3F4D+MD",'TP-b'!$E$3:$E$60,1)&gt;0,_xlfn.MINIFS('TP-b'!$B$3:$B$60,'TP-b'!$A$3:$A$60,"3F4D+MD",'TP-b'!$E$3:$E$60,1),"")))</f>
        <v/>
      </c>
      <c r="E56" s="28">
        <f>IF(E1="","",IF(_xlfn.MAXIFS('TP-b'!$B$3:$B$60,'TP-b'!$A$3:$A$60,"3F4D+MD",'TP-b'!$E$3:$E$60,1,'TP-b'!$B$3:$B$60,"&lt;="&amp;E1)&gt;0,_xlfn.MAXIFS('TP-b'!$B$3:$B$60,'TP-b'!$A$3:$A$60,"3F4D+MD",'TP-b'!$E$3:$E$60,1,'TP-b'!$B$3:$B$60,"&lt;="&amp;E1),IF(_xlfn.MINIFS('TP-b'!$B$3:$B$60,'TP-b'!$A$3:$A$60,"3F4D+MD",'TP-b'!$E$3:$E$60,1)&gt;0,_xlfn.MINIFS('TP-b'!$B$3:$B$60,'TP-b'!$A$3:$A$60,"3F4D+MD",'TP-b'!$E$3:$E$60,1),"")))</f>
        <v/>
      </c>
      <c r="F56" s="28">
        <f>IF(F1="","",IF(_xlfn.MAXIFS('TP-b'!$B$3:$B$60,'TP-b'!$A$3:$A$60,"3F4D+MD",'TP-b'!$E$3:$E$60,1,'TP-b'!$B$3:$B$60,"&lt;="&amp;F1)&gt;0,_xlfn.MAXIFS('TP-b'!$B$3:$B$60,'TP-b'!$A$3:$A$60,"3F4D+MD",'TP-b'!$E$3:$E$60,1,'TP-b'!$B$3:$B$60,"&lt;="&amp;F1),IF(_xlfn.MINIFS('TP-b'!$B$3:$B$60,'TP-b'!$A$3:$A$60,"3F4D+MD",'TP-b'!$E$3:$E$60,1)&gt;0,_xlfn.MINIFS('TP-b'!$B$3:$B$60,'TP-b'!$A$3:$A$60,"3F4D+MD",'TP-b'!$E$3:$E$60,1),"")))</f>
        <v/>
      </c>
      <c r="G56" s="28">
        <f>IF(G1="","",IF(_xlfn.MAXIFS('TP-b'!$B$3:$B$60,'TP-b'!$A$3:$A$60,"3F4D+MD",'TP-b'!$E$3:$E$60,1,'TP-b'!$B$3:$B$60,"&lt;="&amp;G1)&gt;0,_xlfn.MAXIFS('TP-b'!$B$3:$B$60,'TP-b'!$A$3:$A$60,"3F4D+MD",'TP-b'!$E$3:$E$60,1,'TP-b'!$B$3:$B$60,"&lt;="&amp;G1),IF(_xlfn.MINIFS('TP-b'!$B$3:$B$60,'TP-b'!$A$3:$A$60,"3F4D+MD",'TP-b'!$E$3:$E$60,1)&gt;0,_xlfn.MINIFS('TP-b'!$B$3:$B$60,'TP-b'!$A$3:$A$60,"3F4D+MD",'TP-b'!$E$3:$E$60,1),"")))</f>
        <v/>
      </c>
      <c r="H56" s="28">
        <f>IF(H1="","",IF(_xlfn.MAXIFS('TP-b'!$B$3:$B$60,'TP-b'!$A$3:$A$60,"3F4D+MD",'TP-b'!$E$3:$E$60,1,'TP-b'!$B$3:$B$60,"&lt;="&amp;H1)&gt;0,_xlfn.MAXIFS('TP-b'!$B$3:$B$60,'TP-b'!$A$3:$A$60,"3F4D+MD",'TP-b'!$E$3:$E$60,1,'TP-b'!$B$3:$B$60,"&lt;="&amp;H1),IF(_xlfn.MINIFS('TP-b'!$B$3:$B$60,'TP-b'!$A$3:$A$60,"3F4D+MD",'TP-b'!$E$3:$E$60,1)&gt;0,_xlfn.MINIFS('TP-b'!$B$3:$B$60,'TP-b'!$A$3:$A$60,"3F4D+MD",'TP-b'!$E$3:$E$60,1),"")))</f>
        <v/>
      </c>
      <c r="I56" s="28">
        <f>IF(I1="","",IF(_xlfn.MAXIFS('TP-b'!$B$3:$B$60,'TP-b'!$A$3:$A$60,"3F4D+MD",'TP-b'!$E$3:$E$60,1,'TP-b'!$B$3:$B$60,"&lt;="&amp;I1)&gt;0,_xlfn.MAXIFS('TP-b'!$B$3:$B$60,'TP-b'!$A$3:$A$60,"3F4D+MD",'TP-b'!$E$3:$E$60,1,'TP-b'!$B$3:$B$60,"&lt;="&amp;I1),IF(_xlfn.MINIFS('TP-b'!$B$3:$B$60,'TP-b'!$A$3:$A$60,"3F4D+MD",'TP-b'!$E$3:$E$60,1)&gt;0,_xlfn.MINIFS('TP-b'!$B$3:$B$60,'TP-b'!$A$3:$A$60,"3F4D+MD",'TP-b'!$E$3:$E$60,1),"")))</f>
        <v/>
      </c>
      <c r="J56" s="28">
        <f>IF(J1="","",IF(_xlfn.MAXIFS('TP-b'!$B$3:$B$60,'TP-b'!$A$3:$A$60,"3F4D+MD",'TP-b'!$E$3:$E$60,1,'TP-b'!$B$3:$B$60,"&lt;="&amp;J1)&gt;0,_xlfn.MAXIFS('TP-b'!$B$3:$B$60,'TP-b'!$A$3:$A$60,"3F4D+MD",'TP-b'!$E$3:$E$60,1,'TP-b'!$B$3:$B$60,"&lt;="&amp;J1),IF(_xlfn.MINIFS('TP-b'!$B$3:$B$60,'TP-b'!$A$3:$A$60,"3F4D+MD",'TP-b'!$E$3:$E$60,1)&gt;0,_xlfn.MINIFS('TP-b'!$B$3:$B$60,'TP-b'!$A$3:$A$60,"3F4D+MD",'TP-b'!$E$3:$E$60,1),"")))</f>
        <v/>
      </c>
      <c r="K56" s="28">
        <f>IF(K1="","",IF(_xlfn.MAXIFS('TP-b'!$B$3:$B$60,'TP-b'!$A$3:$A$60,"3F4D+MD",'TP-b'!$E$3:$E$60,1,'TP-b'!$B$3:$B$60,"&lt;="&amp;K1)&gt;0,_xlfn.MAXIFS('TP-b'!$B$3:$B$60,'TP-b'!$A$3:$A$60,"3F4D+MD",'TP-b'!$E$3:$E$60,1,'TP-b'!$B$3:$B$60,"&lt;="&amp;K1),IF(_xlfn.MINIFS('TP-b'!$B$3:$B$60,'TP-b'!$A$3:$A$60,"3F4D+MD",'TP-b'!$E$3:$E$60,1)&gt;0,_xlfn.MINIFS('TP-b'!$B$3:$B$60,'TP-b'!$A$3:$A$60,"3F4D+MD",'TP-b'!$E$3:$E$60,1),"")))</f>
        <v/>
      </c>
      <c r="L56" s="28">
        <f>IF(L1="","",IF(_xlfn.MAXIFS('TP-b'!$B$3:$B$60,'TP-b'!$A$3:$A$60,"3F4D+MD",'TP-b'!$E$3:$E$60,1,'TP-b'!$B$3:$B$60,"&lt;="&amp;L1)&gt;0,_xlfn.MAXIFS('TP-b'!$B$3:$B$60,'TP-b'!$A$3:$A$60,"3F4D+MD",'TP-b'!$E$3:$E$60,1,'TP-b'!$B$3:$B$60,"&lt;="&amp;L1),IF(_xlfn.MINIFS('TP-b'!$B$3:$B$60,'TP-b'!$A$3:$A$60,"3F4D+MD",'TP-b'!$E$3:$E$60,1)&gt;0,_xlfn.MINIFS('TP-b'!$B$3:$B$60,'TP-b'!$A$3:$A$60,"3F4D+MD",'TP-b'!$E$3:$E$60,1),"")))</f>
        <v/>
      </c>
      <c r="M56" s="28">
        <f>IF(M1="","",IF(_xlfn.MAXIFS('TP-b'!$B$3:$B$60,'TP-b'!$A$3:$A$60,"3F4D+MD",'TP-b'!$E$3:$E$60,1,'TP-b'!$B$3:$B$60,"&lt;="&amp;M1)&gt;0,_xlfn.MAXIFS('TP-b'!$B$3:$B$60,'TP-b'!$A$3:$A$60,"3F4D+MD",'TP-b'!$E$3:$E$60,1,'TP-b'!$B$3:$B$60,"&lt;="&amp;M1),IF(_xlfn.MINIFS('TP-b'!$B$3:$B$60,'TP-b'!$A$3:$A$60,"3F4D+MD",'TP-b'!$E$3:$E$60,1)&gt;0,_xlfn.MINIFS('TP-b'!$B$3:$B$60,'TP-b'!$A$3:$A$60,"3F4D+MD",'TP-b'!$E$3:$E$60,1),"")))</f>
        <v/>
      </c>
      <c r="N56" s="28">
        <f>IF(N1="","",IF(_xlfn.MAXIFS('TP-b'!$B$3:$B$60,'TP-b'!$A$3:$A$60,"3F4D+MD",'TP-b'!$E$3:$E$60,1,'TP-b'!$B$3:$B$60,"&lt;="&amp;N1)&gt;0,_xlfn.MAXIFS('TP-b'!$B$3:$B$60,'TP-b'!$A$3:$A$60,"3F4D+MD",'TP-b'!$E$3:$E$60,1,'TP-b'!$B$3:$B$60,"&lt;="&amp;N1),IF(_xlfn.MINIFS('TP-b'!$B$3:$B$60,'TP-b'!$A$3:$A$60,"3F4D+MD",'TP-b'!$E$3:$E$60,1)&gt;0,_xlfn.MINIFS('TP-b'!$B$3:$B$60,'TP-b'!$A$3:$A$60,"3F4D+MD",'TP-b'!$E$3:$E$60,1),"")))</f>
        <v/>
      </c>
      <c r="O56" s="28">
        <f>IF(O1="","",IF(_xlfn.MAXIFS('TP-b'!$B$3:$B$60,'TP-b'!$A$3:$A$60,"3F4D+MD",'TP-b'!$E$3:$E$60,1,'TP-b'!$B$3:$B$60,"&lt;="&amp;O1)&gt;0,_xlfn.MAXIFS('TP-b'!$B$3:$B$60,'TP-b'!$A$3:$A$60,"3F4D+MD",'TP-b'!$E$3:$E$60,1,'TP-b'!$B$3:$B$60,"&lt;="&amp;O1),IF(_xlfn.MINIFS('TP-b'!$B$3:$B$60,'TP-b'!$A$3:$A$60,"3F4D+MD",'TP-b'!$E$3:$E$60,1)&gt;0,_xlfn.MINIFS('TP-b'!$B$3:$B$60,'TP-b'!$A$3:$A$60,"3F4D+MD",'TP-b'!$E$3:$E$60,1),"")))</f>
        <v/>
      </c>
      <c r="P56" s="28">
        <f>IF(P1="","",IF(_xlfn.MAXIFS('TP-b'!$B$3:$B$60,'TP-b'!$A$3:$A$60,"3F4D+MD",'TP-b'!$E$3:$E$60,1,'TP-b'!$B$3:$B$60,"&lt;="&amp;P1)&gt;0,_xlfn.MAXIFS('TP-b'!$B$3:$B$60,'TP-b'!$A$3:$A$60,"3F4D+MD",'TP-b'!$E$3:$E$60,1,'TP-b'!$B$3:$B$60,"&lt;="&amp;P1),IF(_xlfn.MINIFS('TP-b'!$B$3:$B$60,'TP-b'!$A$3:$A$60,"3F4D+MD",'TP-b'!$E$3:$E$60,1)&gt;0,_xlfn.MINIFS('TP-b'!$B$3:$B$60,'TP-b'!$A$3:$A$60,"3F4D+MD",'TP-b'!$E$3:$E$60,1),"")))</f>
        <v/>
      </c>
      <c r="Q56" s="28">
        <f>IF(Q1="","",IF(_xlfn.MAXIFS('TP-b'!$B$3:$B$60,'TP-b'!$A$3:$A$60,"3F4D+MD",'TP-b'!$E$3:$E$60,1,'TP-b'!$B$3:$B$60,"&lt;="&amp;Q1)&gt;0,_xlfn.MAXIFS('TP-b'!$B$3:$B$60,'TP-b'!$A$3:$A$60,"3F4D+MD",'TP-b'!$E$3:$E$60,1,'TP-b'!$B$3:$B$60,"&lt;="&amp;Q1),IF(_xlfn.MINIFS('TP-b'!$B$3:$B$60,'TP-b'!$A$3:$A$60,"3F4D+MD",'TP-b'!$E$3:$E$60,1)&gt;0,_xlfn.MINIFS('TP-b'!$B$3:$B$60,'TP-b'!$A$3:$A$60,"3F4D+MD",'TP-b'!$E$3:$E$60,1),"")))</f>
        <v/>
      </c>
      <c r="R56" s="28">
        <f>IF(R1="","",IF(_xlfn.MAXIFS('TP-b'!$B$3:$B$60,'TP-b'!$A$3:$A$60,"3F4D+MD",'TP-b'!$E$3:$E$60,1,'TP-b'!$B$3:$B$60,"&lt;="&amp;R1)&gt;0,_xlfn.MAXIFS('TP-b'!$B$3:$B$60,'TP-b'!$A$3:$A$60,"3F4D+MD",'TP-b'!$E$3:$E$60,1,'TP-b'!$B$3:$B$60,"&lt;="&amp;R1),IF(_xlfn.MINIFS('TP-b'!$B$3:$B$60,'TP-b'!$A$3:$A$60,"3F4D+MD",'TP-b'!$E$3:$E$60,1)&gt;0,_xlfn.MINIFS('TP-b'!$B$3:$B$60,'TP-b'!$A$3:$A$60,"3F4D+MD",'TP-b'!$E$3:$E$60,1),"")))</f>
        <v/>
      </c>
      <c r="S56" s="28">
        <f>IF(S1="","",IF(_xlfn.MAXIFS('TP-b'!$B$3:$B$60,'TP-b'!$A$3:$A$60,"3F4D+MD",'TP-b'!$E$3:$E$60,1,'TP-b'!$B$3:$B$60,"&lt;="&amp;S1)&gt;0,_xlfn.MAXIFS('TP-b'!$B$3:$B$60,'TP-b'!$A$3:$A$60,"3F4D+MD",'TP-b'!$E$3:$E$60,1,'TP-b'!$B$3:$B$60,"&lt;="&amp;S1),IF(_xlfn.MINIFS('TP-b'!$B$3:$B$60,'TP-b'!$A$3:$A$60,"3F4D+MD",'TP-b'!$E$3:$E$60,1)&gt;0,_xlfn.MINIFS('TP-b'!$B$3:$B$60,'TP-b'!$A$3:$A$60,"3F4D+MD",'TP-b'!$E$3:$E$60,1),"")))</f>
        <v/>
      </c>
      <c r="T56" s="28">
        <f>IF(T1="","",IF(_xlfn.MAXIFS('TP-b'!$B$3:$B$60,'TP-b'!$A$3:$A$60,"3F4D+MD",'TP-b'!$E$3:$E$60,1,'TP-b'!$B$3:$B$60,"&lt;="&amp;T1)&gt;0,_xlfn.MAXIFS('TP-b'!$B$3:$B$60,'TP-b'!$A$3:$A$60,"3F4D+MD",'TP-b'!$E$3:$E$60,1,'TP-b'!$B$3:$B$60,"&lt;="&amp;T1),IF(_xlfn.MINIFS('TP-b'!$B$3:$B$60,'TP-b'!$A$3:$A$60,"3F4D+MD",'TP-b'!$E$3:$E$60,1)&gt;0,_xlfn.MINIFS('TP-b'!$B$3:$B$60,'TP-b'!$A$3:$A$60,"3F4D+MD",'TP-b'!$E$3:$E$60,1),"")))</f>
        <v/>
      </c>
      <c r="U56" s="28">
        <f>IF(U1="","",IF(_xlfn.MAXIFS('TP-b'!$B$3:$B$60,'TP-b'!$A$3:$A$60,"3F4D+MD",'TP-b'!$E$3:$E$60,1,'TP-b'!$B$3:$B$60,"&lt;="&amp;U1)&gt;0,_xlfn.MAXIFS('TP-b'!$B$3:$B$60,'TP-b'!$A$3:$A$60,"3F4D+MD",'TP-b'!$E$3:$E$60,1,'TP-b'!$B$3:$B$60,"&lt;="&amp;U1),IF(_xlfn.MINIFS('TP-b'!$B$3:$B$60,'TP-b'!$A$3:$A$60,"3F4D+MD",'TP-b'!$E$3:$E$60,1)&gt;0,_xlfn.MINIFS('TP-b'!$B$3:$B$60,'TP-b'!$A$3:$A$60,"3F4D+MD",'TP-b'!$E$3:$E$60,1),"")))</f>
        <v/>
      </c>
      <c r="V56" s="28">
        <f>IF(V1="","",IF(_xlfn.MAXIFS('TP-b'!$B$3:$B$60,'TP-b'!$A$3:$A$60,"3F4D+MD",'TP-b'!$E$3:$E$60,1,'TP-b'!$B$3:$B$60,"&lt;="&amp;V1)&gt;0,_xlfn.MAXIFS('TP-b'!$B$3:$B$60,'TP-b'!$A$3:$A$60,"3F4D+MD",'TP-b'!$E$3:$E$60,1,'TP-b'!$B$3:$B$60,"&lt;="&amp;V1),IF(_xlfn.MINIFS('TP-b'!$B$3:$B$60,'TP-b'!$A$3:$A$60,"3F4D+MD",'TP-b'!$E$3:$E$60,1)&gt;0,_xlfn.MINIFS('TP-b'!$B$3:$B$60,'TP-b'!$A$3:$A$60,"3F4D+MD",'TP-b'!$E$3:$E$60,1),"")))</f>
        <v/>
      </c>
      <c r="W56" s="28">
        <f>IF(W1="","",IF(_xlfn.MAXIFS('TP-b'!$B$3:$B$60,'TP-b'!$A$3:$A$60,"3F4D+MD",'TP-b'!$E$3:$E$60,1,'TP-b'!$B$3:$B$60,"&lt;="&amp;W1)&gt;0,_xlfn.MAXIFS('TP-b'!$B$3:$B$60,'TP-b'!$A$3:$A$60,"3F4D+MD",'TP-b'!$E$3:$E$60,1,'TP-b'!$B$3:$B$60,"&lt;="&amp;W1),IF(_xlfn.MINIFS('TP-b'!$B$3:$B$60,'TP-b'!$A$3:$A$60,"3F4D+MD",'TP-b'!$E$3:$E$60,1)&gt;0,_xlfn.MINIFS('TP-b'!$B$3:$B$60,'TP-b'!$A$3:$A$60,"3F4D+MD",'TP-b'!$E$3:$E$60,1),"")))</f>
        <v/>
      </c>
      <c r="X56" s="28">
        <f>IF(X1="","",IF(_xlfn.MAXIFS('TP-b'!$B$3:$B$60,'TP-b'!$A$3:$A$60,"3F4D+MD",'TP-b'!$E$3:$E$60,1,'TP-b'!$B$3:$B$60,"&lt;="&amp;X1)&gt;0,_xlfn.MAXIFS('TP-b'!$B$3:$B$60,'TP-b'!$A$3:$A$60,"3F4D+MD",'TP-b'!$E$3:$E$60,1,'TP-b'!$B$3:$B$60,"&lt;="&amp;X1),IF(_xlfn.MINIFS('TP-b'!$B$3:$B$60,'TP-b'!$A$3:$A$60,"3F4D+MD",'TP-b'!$E$3:$E$60,1)&gt;0,_xlfn.MINIFS('TP-b'!$B$3:$B$60,'TP-b'!$A$3:$A$60,"3F4D+MD",'TP-b'!$E$3:$E$60,1),"")))</f>
        <v/>
      </c>
      <c r="Y56" s="28">
        <f>IF(Y1="","",IF(_xlfn.MAXIFS('TP-b'!$B$3:$B$60,'TP-b'!$A$3:$A$60,"3F4D+MD",'TP-b'!$E$3:$E$60,1,'TP-b'!$B$3:$B$60,"&lt;="&amp;Y1)&gt;0,_xlfn.MAXIFS('TP-b'!$B$3:$B$60,'TP-b'!$A$3:$A$60,"3F4D+MD",'TP-b'!$E$3:$E$60,1,'TP-b'!$B$3:$B$60,"&lt;="&amp;Y1),IF(_xlfn.MINIFS('TP-b'!$B$3:$B$60,'TP-b'!$A$3:$A$60,"3F4D+MD",'TP-b'!$E$3:$E$60,1)&gt;0,_xlfn.MINIFS('TP-b'!$B$3:$B$60,'TP-b'!$A$3:$A$60,"3F4D+MD",'TP-b'!$E$3:$E$60,1),"")))</f>
        <v/>
      </c>
      <c r="Z56" s="28">
        <f>IF(Z1="","",IF(_xlfn.MAXIFS('TP-b'!$B$3:$B$60,'TP-b'!$A$3:$A$60,"3F4D+MD",'TP-b'!$E$3:$E$60,1,'TP-b'!$B$3:$B$60,"&lt;="&amp;Z1)&gt;0,_xlfn.MAXIFS('TP-b'!$B$3:$B$60,'TP-b'!$A$3:$A$60,"3F4D+MD",'TP-b'!$E$3:$E$60,1,'TP-b'!$B$3:$B$60,"&lt;="&amp;Z1),IF(_xlfn.MINIFS('TP-b'!$B$3:$B$60,'TP-b'!$A$3:$A$60,"3F4D+MD",'TP-b'!$E$3:$E$60,1)&gt;0,_xlfn.MINIFS('TP-b'!$B$3:$B$60,'TP-b'!$A$3:$A$60,"3F4D+MD",'TP-b'!$E$3:$E$60,1),"")))</f>
        <v/>
      </c>
      <c r="AA56" s="28">
        <f>IF(AA1="","",IF(_xlfn.MAXIFS('TP-b'!$B$3:$B$60,'TP-b'!$A$3:$A$60,"3F4D+MD",'TP-b'!$E$3:$E$60,1,'TP-b'!$B$3:$B$60,"&lt;="&amp;AA1)&gt;0,_xlfn.MAXIFS('TP-b'!$B$3:$B$60,'TP-b'!$A$3:$A$60,"3F4D+MD",'TP-b'!$E$3:$E$60,1,'TP-b'!$B$3:$B$60,"&lt;="&amp;AA1),IF(_xlfn.MINIFS('TP-b'!$B$3:$B$60,'TP-b'!$A$3:$A$60,"3F4D+MD",'TP-b'!$E$3:$E$60,1)&gt;0,_xlfn.MINIFS('TP-b'!$B$3:$B$60,'TP-b'!$A$3:$A$60,"3F4D+MD",'TP-b'!$E$3:$E$60,1),"")))</f>
        <v/>
      </c>
      <c r="AB56" s="28">
        <f>IF(AB1="","",IF(_xlfn.MAXIFS('TP-b'!$B$3:$B$60,'TP-b'!$A$3:$A$60,"3F4D+MD",'TP-b'!$E$3:$E$60,1,'TP-b'!$B$3:$B$60,"&lt;="&amp;AB1)&gt;0,_xlfn.MAXIFS('TP-b'!$B$3:$B$60,'TP-b'!$A$3:$A$60,"3F4D+MD",'TP-b'!$E$3:$E$60,1,'TP-b'!$B$3:$B$60,"&lt;="&amp;AB1),IF(_xlfn.MINIFS('TP-b'!$B$3:$B$60,'TP-b'!$A$3:$A$60,"3F4D+MD",'TP-b'!$E$3:$E$60,1)&gt;0,_xlfn.MINIFS('TP-b'!$B$3:$B$60,'TP-b'!$A$3:$A$60,"3F4D+MD",'TP-b'!$E$3:$E$60,1),"")))</f>
        <v/>
      </c>
      <c r="AC56" s="28">
        <f>IF(AC1="","",IF(_xlfn.MAXIFS('TP-b'!$B$3:$B$60,'TP-b'!$A$3:$A$60,"3F4D+MD",'TP-b'!$E$3:$E$60,1,'TP-b'!$B$3:$B$60,"&lt;="&amp;AC1)&gt;0,_xlfn.MAXIFS('TP-b'!$B$3:$B$60,'TP-b'!$A$3:$A$60,"3F4D+MD",'TP-b'!$E$3:$E$60,1,'TP-b'!$B$3:$B$60,"&lt;="&amp;AC1),IF(_xlfn.MINIFS('TP-b'!$B$3:$B$60,'TP-b'!$A$3:$A$60,"3F4D+MD",'TP-b'!$E$3:$E$60,1)&gt;0,_xlfn.MINIFS('TP-b'!$B$3:$B$60,'TP-b'!$A$3:$A$60,"3F4D+MD",'TP-b'!$E$3:$E$60,1),"")))</f>
        <v/>
      </c>
      <c r="AD56" s="28">
        <f>IF(AD1="","",IF(_xlfn.MAXIFS('TP-b'!$B$3:$B$60,'TP-b'!$A$3:$A$60,"3F4D+MD",'TP-b'!$E$3:$E$60,1,'TP-b'!$B$3:$B$60,"&lt;="&amp;AD1)&gt;0,_xlfn.MAXIFS('TP-b'!$B$3:$B$60,'TP-b'!$A$3:$A$60,"3F4D+MD",'TP-b'!$E$3:$E$60,1,'TP-b'!$B$3:$B$60,"&lt;="&amp;AD1),IF(_xlfn.MINIFS('TP-b'!$B$3:$B$60,'TP-b'!$A$3:$A$60,"3F4D+MD",'TP-b'!$E$3:$E$60,1)&gt;0,_xlfn.MINIFS('TP-b'!$B$3:$B$60,'TP-b'!$A$3:$A$60,"3F4D+MD",'TP-b'!$E$3:$E$60,1),"")))</f>
        <v/>
      </c>
      <c r="AE56" s="28">
        <f>IF(AE1="","",IF(_xlfn.MAXIFS('TP-b'!$B$3:$B$60,'TP-b'!$A$3:$A$60,"3F4D+MD",'TP-b'!$E$3:$E$60,1,'TP-b'!$B$3:$B$60,"&lt;="&amp;AE1)&gt;0,_xlfn.MAXIFS('TP-b'!$B$3:$B$60,'TP-b'!$A$3:$A$60,"3F4D+MD",'TP-b'!$E$3:$E$60,1,'TP-b'!$B$3:$B$60,"&lt;="&amp;AE1),IF(_xlfn.MINIFS('TP-b'!$B$3:$B$60,'TP-b'!$A$3:$A$60,"3F4D+MD",'TP-b'!$E$3:$E$60,1)&gt;0,_xlfn.MINIFS('TP-b'!$B$3:$B$60,'TP-b'!$A$3:$A$60,"3F4D+MD",'TP-b'!$E$3:$E$60,1),"")))</f>
        <v/>
      </c>
      <c r="AF56" s="28">
        <f>IF(AF1="","",IF(_xlfn.MAXIFS('TP-b'!$B$3:$B$60,'TP-b'!$A$3:$A$60,"3F4D+MD",'TP-b'!$E$3:$E$60,1,'TP-b'!$B$3:$B$60,"&lt;="&amp;AF1)&gt;0,_xlfn.MAXIFS('TP-b'!$B$3:$B$60,'TP-b'!$A$3:$A$60,"3F4D+MD",'TP-b'!$E$3:$E$60,1,'TP-b'!$B$3:$B$60,"&lt;="&amp;AF1),IF(_xlfn.MINIFS('TP-b'!$B$3:$B$60,'TP-b'!$A$3:$A$60,"3F4D+MD",'TP-b'!$E$3:$E$60,1)&gt;0,_xlfn.MINIFS('TP-b'!$B$3:$B$60,'TP-b'!$A$3:$A$60,"3F4D+MD",'TP-b'!$E$3:$E$60,1),"")))</f>
        <v/>
      </c>
      <c r="AG56" s="28">
        <f>IF(AG1="","",IF(_xlfn.MAXIFS('TP-b'!$B$3:$B$60,'TP-b'!$A$3:$A$60,"3F4D+MD",'TP-b'!$E$3:$E$60,1,'TP-b'!$B$3:$B$60,"&lt;="&amp;AG1)&gt;0,_xlfn.MAXIFS('TP-b'!$B$3:$B$60,'TP-b'!$A$3:$A$60,"3F4D+MD",'TP-b'!$E$3:$E$60,1,'TP-b'!$B$3:$B$60,"&lt;="&amp;AG1),IF(_xlfn.MINIFS('TP-b'!$B$3:$B$60,'TP-b'!$A$3:$A$60,"3F4D+MD",'TP-b'!$E$3:$E$60,1)&gt;0,_xlfn.MINIFS('TP-b'!$B$3:$B$60,'TP-b'!$A$3:$A$60,"3F4D+MD",'TP-b'!$E$3:$E$60,1),"")))</f>
        <v/>
      </c>
      <c r="AH56" s="28">
        <f>IF(AH1="","",IF(_xlfn.MAXIFS('TP-b'!$B$3:$B$60,'TP-b'!$A$3:$A$60,"3F4D+MD",'TP-b'!$E$3:$E$60,1,'TP-b'!$B$3:$B$60,"&lt;="&amp;AH1)&gt;0,_xlfn.MAXIFS('TP-b'!$B$3:$B$60,'TP-b'!$A$3:$A$60,"3F4D+MD",'TP-b'!$E$3:$E$60,1,'TP-b'!$B$3:$B$60,"&lt;="&amp;AH1),IF(_xlfn.MINIFS('TP-b'!$B$3:$B$60,'TP-b'!$A$3:$A$60,"3F4D+MD",'TP-b'!$E$3:$E$60,1)&gt;0,_xlfn.MINIFS('TP-b'!$B$3:$B$60,'TP-b'!$A$3:$A$60,"3F4D+MD",'TP-b'!$E$3:$E$60,1),"")))</f>
        <v/>
      </c>
      <c r="AI56" s="28">
        <f>IF(AI1="","",IF(_xlfn.MAXIFS('TP-b'!$B$3:$B$60,'TP-b'!$A$3:$A$60,"3F4D+MD",'TP-b'!$E$3:$E$60,1,'TP-b'!$B$3:$B$60,"&lt;="&amp;AI1)&gt;0,_xlfn.MAXIFS('TP-b'!$B$3:$B$60,'TP-b'!$A$3:$A$60,"3F4D+MD",'TP-b'!$E$3:$E$60,1,'TP-b'!$B$3:$B$60,"&lt;="&amp;AI1),IF(_xlfn.MINIFS('TP-b'!$B$3:$B$60,'TP-b'!$A$3:$A$60,"3F4D+MD",'TP-b'!$E$3:$E$60,1)&gt;0,_xlfn.MINIFS('TP-b'!$B$3:$B$60,'TP-b'!$A$3:$A$60,"3F4D+MD",'TP-b'!$E$3:$E$60,1),"")))</f>
        <v/>
      </c>
      <c r="AJ56" s="28">
        <f>IF(AJ1="","",IF(_xlfn.MAXIFS('TP-b'!$B$3:$B$60,'TP-b'!$A$3:$A$60,"3F4D+MD",'TP-b'!$E$3:$E$60,1,'TP-b'!$B$3:$B$60,"&lt;="&amp;AJ1)&gt;0,_xlfn.MAXIFS('TP-b'!$B$3:$B$60,'TP-b'!$A$3:$A$60,"3F4D+MD",'TP-b'!$E$3:$E$60,1,'TP-b'!$B$3:$B$60,"&lt;="&amp;AJ1),IF(_xlfn.MINIFS('TP-b'!$B$3:$B$60,'TP-b'!$A$3:$A$60,"3F4D+MD",'TP-b'!$E$3:$E$60,1)&gt;0,_xlfn.MINIFS('TP-b'!$B$3:$B$60,'TP-b'!$A$3:$A$60,"3F4D+MD",'TP-b'!$E$3:$E$60,1),"")))</f>
        <v/>
      </c>
      <c r="AK56" s="28">
        <f>IF(AK1="","",IF(_xlfn.MAXIFS('TP-b'!$B$3:$B$60,'TP-b'!$A$3:$A$60,"3F4D+MD",'TP-b'!$E$3:$E$60,1,'TP-b'!$B$3:$B$60,"&lt;="&amp;AK1)&gt;0,_xlfn.MAXIFS('TP-b'!$B$3:$B$60,'TP-b'!$A$3:$A$60,"3F4D+MD",'TP-b'!$E$3:$E$60,1,'TP-b'!$B$3:$B$60,"&lt;="&amp;AK1),IF(_xlfn.MINIFS('TP-b'!$B$3:$B$60,'TP-b'!$A$3:$A$60,"3F4D+MD",'TP-b'!$E$3:$E$60,1)&gt;0,_xlfn.MINIFS('TP-b'!$B$3:$B$60,'TP-b'!$A$3:$A$60,"3F4D+MD",'TP-b'!$E$3:$E$60,1),"")))</f>
        <v/>
      </c>
      <c r="AL56" s="28">
        <f>IF(AL1="","",IF(_xlfn.MAXIFS('TP-b'!$B$3:$B$60,'TP-b'!$A$3:$A$60,"3F4D+MD",'TP-b'!$E$3:$E$60,1,'TP-b'!$B$3:$B$60,"&lt;="&amp;AL1)&gt;0,_xlfn.MAXIFS('TP-b'!$B$3:$B$60,'TP-b'!$A$3:$A$60,"3F4D+MD",'TP-b'!$E$3:$E$60,1,'TP-b'!$B$3:$B$60,"&lt;="&amp;AL1),IF(_xlfn.MINIFS('TP-b'!$B$3:$B$60,'TP-b'!$A$3:$A$60,"3F4D+MD",'TP-b'!$E$3:$E$60,1)&gt;0,_xlfn.MINIFS('TP-b'!$B$3:$B$60,'TP-b'!$A$3:$A$60,"3F4D+MD",'TP-b'!$E$3:$E$60,1),"")))</f>
        <v/>
      </c>
      <c r="AM56" s="28">
        <f>IF(AM1="","",IF(_xlfn.MAXIFS('TP-b'!$B$3:$B$60,'TP-b'!$A$3:$A$60,"3F4D+MD",'TP-b'!$E$3:$E$60,1,'TP-b'!$B$3:$B$60,"&lt;="&amp;AM1)&gt;0,_xlfn.MAXIFS('TP-b'!$B$3:$B$60,'TP-b'!$A$3:$A$60,"3F4D+MD",'TP-b'!$E$3:$E$60,1,'TP-b'!$B$3:$B$60,"&lt;="&amp;AM1),IF(_xlfn.MINIFS('TP-b'!$B$3:$B$60,'TP-b'!$A$3:$A$60,"3F4D+MD",'TP-b'!$E$3:$E$60,1)&gt;0,_xlfn.MINIFS('TP-b'!$B$3:$B$60,'TP-b'!$A$3:$A$60,"3F4D+MD",'TP-b'!$E$3:$E$60,1),"")))</f>
        <v/>
      </c>
      <c r="AN56" s="28">
        <f>IF(AN1="","",IF(_xlfn.MAXIFS('TP-b'!$B$3:$B$60,'TP-b'!$A$3:$A$60,"3F4D+MD",'TP-b'!$E$3:$E$60,1,'TP-b'!$B$3:$B$60,"&lt;="&amp;AN1)&gt;0,_xlfn.MAXIFS('TP-b'!$B$3:$B$60,'TP-b'!$A$3:$A$60,"3F4D+MD",'TP-b'!$E$3:$E$60,1,'TP-b'!$B$3:$B$60,"&lt;="&amp;AN1),IF(_xlfn.MINIFS('TP-b'!$B$3:$B$60,'TP-b'!$A$3:$A$60,"3F4D+MD",'TP-b'!$E$3:$E$60,1)&gt;0,_xlfn.MINIFS('TP-b'!$B$3:$B$60,'TP-b'!$A$3:$A$60,"3F4D+MD",'TP-b'!$E$3:$E$60,1),"")))</f>
        <v/>
      </c>
      <c r="AO56" s="28">
        <f>IF(AO1="","",IF(_xlfn.MAXIFS('TP-b'!$B$3:$B$60,'TP-b'!$A$3:$A$60,"3F4D+MD",'TP-b'!$E$3:$E$60,1,'TP-b'!$B$3:$B$60,"&lt;="&amp;AO1)&gt;0,_xlfn.MAXIFS('TP-b'!$B$3:$B$60,'TP-b'!$A$3:$A$60,"3F4D+MD",'TP-b'!$E$3:$E$60,1,'TP-b'!$B$3:$B$60,"&lt;="&amp;AO1),IF(_xlfn.MINIFS('TP-b'!$B$3:$B$60,'TP-b'!$A$3:$A$60,"3F4D+MD",'TP-b'!$E$3:$E$60,1)&gt;0,_xlfn.MINIFS('TP-b'!$B$3:$B$60,'TP-b'!$A$3:$A$60,"3F4D+MD",'TP-b'!$E$3:$E$60,1),"")))</f>
        <v/>
      </c>
      <c r="AP56" s="28">
        <f>IF(AP1="","",IF(_xlfn.MAXIFS('TP-b'!$B$3:$B$60,'TP-b'!$A$3:$A$60,"3F4D+MD",'TP-b'!$E$3:$E$60,1,'TP-b'!$B$3:$B$60,"&lt;="&amp;AP1)&gt;0,_xlfn.MAXIFS('TP-b'!$B$3:$B$60,'TP-b'!$A$3:$A$60,"3F4D+MD",'TP-b'!$E$3:$E$60,1,'TP-b'!$B$3:$B$60,"&lt;="&amp;AP1),IF(_xlfn.MINIFS('TP-b'!$B$3:$B$60,'TP-b'!$A$3:$A$60,"3F4D+MD",'TP-b'!$E$3:$E$60,1)&gt;0,_xlfn.MINIFS('TP-b'!$B$3:$B$60,'TP-b'!$A$3:$A$60,"3F4D+MD",'TP-b'!$E$3:$E$60,1),"")))</f>
        <v/>
      </c>
      <c r="AQ56" s="28">
        <f>IF(AQ1="","",IF(_xlfn.MAXIFS('TP-b'!$B$3:$B$60,'TP-b'!$A$3:$A$60,"3F4D+MD",'TP-b'!$E$3:$E$60,1,'TP-b'!$B$3:$B$60,"&lt;="&amp;AQ1)&gt;0,_xlfn.MAXIFS('TP-b'!$B$3:$B$60,'TP-b'!$A$3:$A$60,"3F4D+MD",'TP-b'!$E$3:$E$60,1,'TP-b'!$B$3:$B$60,"&lt;="&amp;AQ1),IF(_xlfn.MINIFS('TP-b'!$B$3:$B$60,'TP-b'!$A$3:$A$60,"3F4D+MD",'TP-b'!$E$3:$E$60,1)&gt;0,_xlfn.MINIFS('TP-b'!$B$3:$B$60,'TP-b'!$A$3:$A$60,"3F4D+MD",'TP-b'!$E$3:$E$60,1),"")))</f>
        <v/>
      </c>
      <c r="AR56" s="28">
        <f>IF(AR1="","",IF(_xlfn.MAXIFS('TP-b'!$B$3:$B$60,'TP-b'!$A$3:$A$60,"3F4D+MD",'TP-b'!$E$3:$E$60,1,'TP-b'!$B$3:$B$60,"&lt;="&amp;AR1)&gt;0,_xlfn.MAXIFS('TP-b'!$B$3:$B$60,'TP-b'!$A$3:$A$60,"3F4D+MD",'TP-b'!$E$3:$E$60,1,'TP-b'!$B$3:$B$60,"&lt;="&amp;AR1),IF(_xlfn.MINIFS('TP-b'!$B$3:$B$60,'TP-b'!$A$3:$A$60,"3F4D+MD",'TP-b'!$E$3:$E$60,1)&gt;0,_xlfn.MINIFS('TP-b'!$B$3:$B$60,'TP-b'!$A$3:$A$60,"3F4D+MD",'TP-b'!$E$3:$E$60,1),"")))</f>
        <v/>
      </c>
      <c r="AS56" s="28">
        <f>IF(AS1="","",IF(_xlfn.MAXIFS('TP-b'!$B$3:$B$60,'TP-b'!$A$3:$A$60,"3F4D+MD",'TP-b'!$E$3:$E$60,1,'TP-b'!$B$3:$B$60,"&lt;="&amp;AS1)&gt;0,_xlfn.MAXIFS('TP-b'!$B$3:$B$60,'TP-b'!$A$3:$A$60,"3F4D+MD",'TP-b'!$E$3:$E$60,1,'TP-b'!$B$3:$B$60,"&lt;="&amp;AS1),IF(_xlfn.MINIFS('TP-b'!$B$3:$B$60,'TP-b'!$A$3:$A$60,"3F4D+MD",'TP-b'!$E$3:$E$60,1)&gt;0,_xlfn.MINIFS('TP-b'!$B$3:$B$60,'TP-b'!$A$3:$A$60,"3F4D+MD",'TP-b'!$E$3:$E$60,1),"")))</f>
        <v/>
      </c>
      <c r="AT56" s="28">
        <f>IF(AT1="","",IF(_xlfn.MAXIFS('TP-b'!$B$3:$B$60,'TP-b'!$A$3:$A$60,"3F4D+MD",'TP-b'!$E$3:$E$60,1,'TP-b'!$B$3:$B$60,"&lt;="&amp;AT1)&gt;0,_xlfn.MAXIFS('TP-b'!$B$3:$B$60,'TP-b'!$A$3:$A$60,"3F4D+MD",'TP-b'!$E$3:$E$60,1,'TP-b'!$B$3:$B$60,"&lt;="&amp;AT1),IF(_xlfn.MINIFS('TP-b'!$B$3:$B$60,'TP-b'!$A$3:$A$60,"3F4D+MD",'TP-b'!$E$3:$E$60,1)&gt;0,_xlfn.MINIFS('TP-b'!$B$3:$B$60,'TP-b'!$A$3:$A$60,"3F4D+MD",'TP-b'!$E$3:$E$60,1),"")))</f>
        <v/>
      </c>
      <c r="AU56" s="28">
        <f>IF(AU1="","",IF(_xlfn.MAXIFS('TP-b'!$B$3:$B$60,'TP-b'!$A$3:$A$60,"3F4D+MD",'TP-b'!$E$3:$E$60,1,'TP-b'!$B$3:$B$60,"&lt;="&amp;AU1)&gt;0,_xlfn.MAXIFS('TP-b'!$B$3:$B$60,'TP-b'!$A$3:$A$60,"3F4D+MD",'TP-b'!$E$3:$E$60,1,'TP-b'!$B$3:$B$60,"&lt;="&amp;AU1),IF(_xlfn.MINIFS('TP-b'!$B$3:$B$60,'TP-b'!$A$3:$A$60,"3F4D+MD",'TP-b'!$E$3:$E$60,1)&gt;0,_xlfn.MINIFS('TP-b'!$B$3:$B$60,'TP-b'!$A$3:$A$60,"3F4D+MD",'TP-b'!$E$3:$E$60,1),"")))</f>
        <v/>
      </c>
      <c r="AV56" s="28">
        <f>IF(AV1="","",IF(_xlfn.MAXIFS('TP-b'!$B$3:$B$60,'TP-b'!$A$3:$A$60,"3F4D+MD",'TP-b'!$E$3:$E$60,1,'TP-b'!$B$3:$B$60,"&lt;="&amp;AV1)&gt;0,_xlfn.MAXIFS('TP-b'!$B$3:$B$60,'TP-b'!$A$3:$A$60,"3F4D+MD",'TP-b'!$E$3:$E$60,1,'TP-b'!$B$3:$B$60,"&lt;="&amp;AV1),IF(_xlfn.MINIFS('TP-b'!$B$3:$B$60,'TP-b'!$A$3:$A$60,"3F4D+MD",'TP-b'!$E$3:$E$60,1)&gt;0,_xlfn.MINIFS('TP-b'!$B$3:$B$60,'TP-b'!$A$3:$A$60,"3F4D+MD",'TP-b'!$E$3:$E$60,1),"")))</f>
        <v/>
      </c>
      <c r="AW56" s="28">
        <f>IF(AW1="","",IF(_xlfn.MAXIFS('TP-b'!$B$3:$B$60,'TP-b'!$A$3:$A$60,"3F4D+MD",'TP-b'!$E$3:$E$60,1,'TP-b'!$B$3:$B$60,"&lt;="&amp;AW1)&gt;0,_xlfn.MAXIFS('TP-b'!$B$3:$B$60,'TP-b'!$A$3:$A$60,"3F4D+MD",'TP-b'!$E$3:$E$60,1,'TP-b'!$B$3:$B$60,"&lt;="&amp;AW1),IF(_xlfn.MINIFS('TP-b'!$B$3:$B$60,'TP-b'!$A$3:$A$60,"3F4D+MD",'TP-b'!$E$3:$E$60,1)&gt;0,_xlfn.MINIFS('TP-b'!$B$3:$B$60,'TP-b'!$A$3:$A$60,"3F4D+MD",'TP-b'!$E$3:$E$60,1),"")))</f>
        <v/>
      </c>
      <c r="AX56" s="28">
        <f>IF(AX1="","",IF(_xlfn.MAXIFS('TP-b'!$B$3:$B$60,'TP-b'!$A$3:$A$60,"3F4D+MD",'TP-b'!$E$3:$E$60,1,'TP-b'!$B$3:$B$60,"&lt;="&amp;AX1)&gt;0,_xlfn.MAXIFS('TP-b'!$B$3:$B$60,'TP-b'!$A$3:$A$60,"3F4D+MD",'TP-b'!$E$3:$E$60,1,'TP-b'!$B$3:$B$60,"&lt;="&amp;AX1),IF(_xlfn.MINIFS('TP-b'!$B$3:$B$60,'TP-b'!$A$3:$A$60,"3F4D+MD",'TP-b'!$E$3:$E$60,1)&gt;0,_xlfn.MINIFS('TP-b'!$B$3:$B$60,'TP-b'!$A$3:$A$60,"3F4D+MD",'TP-b'!$E$3:$E$60,1),"")))</f>
        <v/>
      </c>
      <c r="AY56" s="28">
        <f>IF(AY1="","",IF(_xlfn.MAXIFS('TP-b'!$B$3:$B$60,'TP-b'!$A$3:$A$60,"3F4D+MD",'TP-b'!$E$3:$E$60,1,'TP-b'!$B$3:$B$60,"&lt;="&amp;AY1)&gt;0,_xlfn.MAXIFS('TP-b'!$B$3:$B$60,'TP-b'!$A$3:$A$60,"3F4D+MD",'TP-b'!$E$3:$E$60,1,'TP-b'!$B$3:$B$60,"&lt;="&amp;AY1),IF(_xlfn.MINIFS('TP-b'!$B$3:$B$60,'TP-b'!$A$3:$A$60,"3F4D+MD",'TP-b'!$E$3:$E$60,1)&gt;0,_xlfn.MINIFS('TP-b'!$B$3:$B$60,'TP-b'!$A$3:$A$60,"3F4D+MD",'TP-b'!$E$3:$E$60,1),"")))</f>
        <v/>
      </c>
      <c r="AZ56" s="28">
        <f>IF(AZ1="","",IF(_xlfn.MAXIFS('TP-b'!$B$3:$B$60,'TP-b'!$A$3:$A$60,"3F4D+MD",'TP-b'!$E$3:$E$60,1,'TP-b'!$B$3:$B$60,"&lt;="&amp;AZ1)&gt;0,_xlfn.MAXIFS('TP-b'!$B$3:$B$60,'TP-b'!$A$3:$A$60,"3F4D+MD",'TP-b'!$E$3:$E$60,1,'TP-b'!$B$3:$B$60,"&lt;="&amp;AZ1),IF(_xlfn.MINIFS('TP-b'!$B$3:$B$60,'TP-b'!$A$3:$A$60,"3F4D+MD",'TP-b'!$E$3:$E$60,1)&gt;0,_xlfn.MINIFS('TP-b'!$B$3:$B$60,'TP-b'!$A$3:$A$60,"3F4D+MD",'TP-b'!$E$3:$E$60,1),"")))</f>
        <v/>
      </c>
      <c r="BA56" s="28">
        <f>IF(BA1="","",IF(_xlfn.MAXIFS('TP-b'!$B$3:$B$60,'TP-b'!$A$3:$A$60,"3F4D+MD",'TP-b'!$E$3:$E$60,1,'TP-b'!$B$3:$B$60,"&lt;="&amp;BA1)&gt;0,_xlfn.MAXIFS('TP-b'!$B$3:$B$60,'TP-b'!$A$3:$A$60,"3F4D+MD",'TP-b'!$E$3:$E$60,1,'TP-b'!$B$3:$B$60,"&lt;="&amp;BA1),IF(_xlfn.MINIFS('TP-b'!$B$3:$B$60,'TP-b'!$A$3:$A$60,"3F4D+MD",'TP-b'!$E$3:$E$60,1)&gt;0,_xlfn.MINIFS('TP-b'!$B$3:$B$60,'TP-b'!$A$3:$A$60,"3F4D+MD",'TP-b'!$E$3:$E$60,1),"")))</f>
        <v/>
      </c>
      <c r="BB56" s="28">
        <f>IF(BB1="","",IF(_xlfn.MAXIFS('TP-b'!$B$3:$B$60,'TP-b'!$A$3:$A$60,"3F4D+MD",'TP-b'!$E$3:$E$60,1,'TP-b'!$B$3:$B$60,"&lt;="&amp;BB1)&gt;0,_xlfn.MAXIFS('TP-b'!$B$3:$B$60,'TP-b'!$A$3:$A$60,"3F4D+MD",'TP-b'!$E$3:$E$60,1,'TP-b'!$B$3:$B$60,"&lt;="&amp;BB1),IF(_xlfn.MINIFS('TP-b'!$B$3:$B$60,'TP-b'!$A$3:$A$60,"3F4D+MD",'TP-b'!$E$3:$E$60,1)&gt;0,_xlfn.MINIFS('TP-b'!$B$3:$B$60,'TP-b'!$A$3:$A$60,"3F4D+MD",'TP-b'!$E$3:$E$60,1),"")))</f>
        <v/>
      </c>
      <c r="BC56" s="28">
        <f>IF(BC1="","",IF(_xlfn.MAXIFS('TP-b'!$B$3:$B$60,'TP-b'!$A$3:$A$60,"3F4D+MD",'TP-b'!$E$3:$E$60,1,'TP-b'!$B$3:$B$60,"&lt;="&amp;BC1)&gt;0,_xlfn.MAXIFS('TP-b'!$B$3:$B$60,'TP-b'!$A$3:$A$60,"3F4D+MD",'TP-b'!$E$3:$E$60,1,'TP-b'!$B$3:$B$60,"&lt;="&amp;BC1),IF(_xlfn.MINIFS('TP-b'!$B$3:$B$60,'TP-b'!$A$3:$A$60,"3F4D+MD",'TP-b'!$E$3:$E$60,1)&gt;0,_xlfn.MINIFS('TP-b'!$B$3:$B$60,'TP-b'!$A$3:$A$60,"3F4D+MD",'TP-b'!$E$3:$E$60,1),"")))</f>
        <v/>
      </c>
      <c r="BD56" s="28">
        <f>IF(BD1="","",IF(_xlfn.MAXIFS('TP-b'!$B$3:$B$60,'TP-b'!$A$3:$A$60,"3F4D+MD",'TP-b'!$E$3:$E$60,1,'TP-b'!$B$3:$B$60,"&lt;="&amp;BD1)&gt;0,_xlfn.MAXIFS('TP-b'!$B$3:$B$60,'TP-b'!$A$3:$A$60,"3F4D+MD",'TP-b'!$E$3:$E$60,1,'TP-b'!$B$3:$B$60,"&lt;="&amp;BD1),IF(_xlfn.MINIFS('TP-b'!$B$3:$B$60,'TP-b'!$A$3:$A$60,"3F4D+MD",'TP-b'!$E$3:$E$60,1)&gt;0,_xlfn.MINIFS('TP-b'!$B$3:$B$60,'TP-b'!$A$3:$A$60,"3F4D+MD",'TP-b'!$E$3:$E$60,1),"")))</f>
        <v/>
      </c>
      <c r="BE56" s="28">
        <f>IF(BE1="","",IF(_xlfn.MAXIFS('TP-b'!$B$3:$B$60,'TP-b'!$A$3:$A$60,"3F4D+MD",'TP-b'!$E$3:$E$60,1,'TP-b'!$B$3:$B$60,"&lt;="&amp;BE1)&gt;0,_xlfn.MAXIFS('TP-b'!$B$3:$B$60,'TP-b'!$A$3:$A$60,"3F4D+MD",'TP-b'!$E$3:$E$60,1,'TP-b'!$B$3:$B$60,"&lt;="&amp;BE1),IF(_xlfn.MINIFS('TP-b'!$B$3:$B$60,'TP-b'!$A$3:$A$60,"3F4D+MD",'TP-b'!$E$3:$E$60,1)&gt;0,_xlfn.MINIFS('TP-b'!$B$3:$B$60,'TP-b'!$A$3:$A$60,"3F4D+MD",'TP-b'!$E$3:$E$60,1),"")))</f>
        <v/>
      </c>
      <c r="BF56" s="28">
        <f>IF(BF1="","",IF(_xlfn.MAXIFS('TP-b'!$B$3:$B$60,'TP-b'!$A$3:$A$60,"3F4D+MD",'TP-b'!$E$3:$E$60,1,'TP-b'!$B$3:$B$60,"&lt;="&amp;BF1)&gt;0,_xlfn.MAXIFS('TP-b'!$B$3:$B$60,'TP-b'!$A$3:$A$60,"3F4D+MD",'TP-b'!$E$3:$E$60,1,'TP-b'!$B$3:$B$60,"&lt;="&amp;BF1),IF(_xlfn.MINIFS('TP-b'!$B$3:$B$60,'TP-b'!$A$3:$A$60,"3F4D+MD",'TP-b'!$E$3:$E$60,1)&gt;0,_xlfn.MINIFS('TP-b'!$B$3:$B$60,'TP-b'!$A$3:$A$60,"3F4D+MD",'TP-b'!$E$3:$E$60,1),"")))</f>
        <v/>
      </c>
      <c r="BG56" s="28">
        <f>IF(BG1="","",IF(_xlfn.MAXIFS('TP-b'!$B$3:$B$60,'TP-b'!$A$3:$A$60,"3F4D+MD",'TP-b'!$E$3:$E$60,1,'TP-b'!$B$3:$B$60,"&lt;="&amp;BG1)&gt;0,_xlfn.MAXIFS('TP-b'!$B$3:$B$60,'TP-b'!$A$3:$A$60,"3F4D+MD",'TP-b'!$E$3:$E$60,1,'TP-b'!$B$3:$B$60,"&lt;="&amp;BG1),IF(_xlfn.MINIFS('TP-b'!$B$3:$B$60,'TP-b'!$A$3:$A$60,"3F4D+MD",'TP-b'!$E$3:$E$60,1)&gt;0,_xlfn.MINIFS('TP-b'!$B$3:$B$60,'TP-b'!$A$3:$A$60,"3F4D+MD",'TP-b'!$E$3:$E$60,1),"")))</f>
        <v/>
      </c>
      <c r="BH56" s="28">
        <f>IF(BH1="","",IF(_xlfn.MAXIFS('TP-b'!$B$3:$B$60,'TP-b'!$A$3:$A$60,"3F4D+MD",'TP-b'!$E$3:$E$60,1,'TP-b'!$B$3:$B$60,"&lt;="&amp;BH1)&gt;0,_xlfn.MAXIFS('TP-b'!$B$3:$B$60,'TP-b'!$A$3:$A$60,"3F4D+MD",'TP-b'!$E$3:$E$60,1,'TP-b'!$B$3:$B$60,"&lt;="&amp;BH1),IF(_xlfn.MINIFS('TP-b'!$B$3:$B$60,'TP-b'!$A$3:$A$60,"3F4D+MD",'TP-b'!$E$3:$E$60,1)&gt;0,_xlfn.MINIFS('TP-b'!$B$3:$B$60,'TP-b'!$A$3:$A$60,"3F4D+MD",'TP-b'!$E$3:$E$60,1),"")))</f>
        <v/>
      </c>
      <c r="BI56" s="28">
        <f>IF(BI1="","",IF(_xlfn.MAXIFS('TP-b'!$B$3:$B$60,'TP-b'!$A$3:$A$60,"3F4D+MD",'TP-b'!$E$3:$E$60,1,'TP-b'!$B$3:$B$60,"&lt;="&amp;BI1)&gt;0,_xlfn.MAXIFS('TP-b'!$B$3:$B$60,'TP-b'!$A$3:$A$60,"3F4D+MD",'TP-b'!$E$3:$E$60,1,'TP-b'!$B$3:$B$60,"&lt;="&amp;BI1),IF(_xlfn.MINIFS('TP-b'!$B$3:$B$60,'TP-b'!$A$3:$A$60,"3F4D+MD",'TP-b'!$E$3:$E$60,1)&gt;0,_xlfn.MINIFS('TP-b'!$B$3:$B$60,'TP-b'!$A$3:$A$60,"3F4D+MD",'TP-b'!$E$3:$E$60,1),"")))</f>
        <v/>
      </c>
      <c r="BJ56" s="28">
        <f>IF(BJ1="","",IF(_xlfn.MAXIFS('TP-b'!$B$3:$B$60,'TP-b'!$A$3:$A$60,"3F4D+MD",'TP-b'!$E$3:$E$60,1,'TP-b'!$B$3:$B$60,"&lt;="&amp;BJ1)&gt;0,_xlfn.MAXIFS('TP-b'!$B$3:$B$60,'TP-b'!$A$3:$A$60,"3F4D+MD",'TP-b'!$E$3:$E$60,1,'TP-b'!$B$3:$B$60,"&lt;="&amp;BJ1),IF(_xlfn.MINIFS('TP-b'!$B$3:$B$60,'TP-b'!$A$3:$A$60,"3F4D+MD",'TP-b'!$E$3:$E$60,1)&gt;0,_xlfn.MINIFS('TP-b'!$B$3:$B$60,'TP-b'!$A$3:$A$60,"3F4D+MD",'TP-b'!$E$3:$E$60,1),"")))</f>
        <v/>
      </c>
      <c r="BK56" s="28">
        <f>IF(BK1="","",IF(_xlfn.MAXIFS('TP-b'!$B$3:$B$60,'TP-b'!$A$3:$A$60,"3F4D+MD",'TP-b'!$E$3:$E$60,1,'TP-b'!$B$3:$B$60,"&lt;="&amp;BK1)&gt;0,_xlfn.MAXIFS('TP-b'!$B$3:$B$60,'TP-b'!$A$3:$A$60,"3F4D+MD",'TP-b'!$E$3:$E$60,1,'TP-b'!$B$3:$B$60,"&lt;="&amp;BK1),IF(_xlfn.MINIFS('TP-b'!$B$3:$B$60,'TP-b'!$A$3:$A$60,"3F4D+MD",'TP-b'!$E$3:$E$60,1)&gt;0,_xlfn.MINIFS('TP-b'!$B$3:$B$60,'TP-b'!$A$3:$A$60,"3F4D+MD",'TP-b'!$E$3:$E$60,1),"")))</f>
        <v/>
      </c>
      <c r="BL56" s="28">
        <f>IF(BL1="","",IF(_xlfn.MAXIFS('TP-b'!$B$3:$B$60,'TP-b'!$A$3:$A$60,"3F4D+MD",'TP-b'!$E$3:$E$60,1,'TP-b'!$B$3:$B$60,"&lt;="&amp;BL1)&gt;0,_xlfn.MAXIFS('TP-b'!$B$3:$B$60,'TP-b'!$A$3:$A$60,"3F4D+MD",'TP-b'!$E$3:$E$60,1,'TP-b'!$B$3:$B$60,"&lt;="&amp;BL1),IF(_xlfn.MINIFS('TP-b'!$B$3:$B$60,'TP-b'!$A$3:$A$60,"3F4D+MD",'TP-b'!$E$3:$E$60,1)&gt;0,_xlfn.MINIFS('TP-b'!$B$3:$B$60,'TP-b'!$A$3:$A$60,"3F4D+MD",'TP-b'!$E$3:$E$60,1),"")))</f>
        <v/>
      </c>
      <c r="BM56" s="28">
        <f>IF(BM1="","",IF(_xlfn.MAXIFS('TP-b'!$B$3:$B$60,'TP-b'!$A$3:$A$60,"3F4D+MD",'TP-b'!$E$3:$E$60,1,'TP-b'!$B$3:$B$60,"&lt;="&amp;BM1)&gt;0,_xlfn.MAXIFS('TP-b'!$B$3:$B$60,'TP-b'!$A$3:$A$60,"3F4D+MD",'TP-b'!$E$3:$E$60,1,'TP-b'!$B$3:$B$60,"&lt;="&amp;BM1),IF(_xlfn.MINIFS('TP-b'!$B$3:$B$60,'TP-b'!$A$3:$A$60,"3F4D+MD",'TP-b'!$E$3:$E$60,1)&gt;0,_xlfn.MINIFS('TP-b'!$B$3:$B$60,'TP-b'!$A$3:$A$60,"3F4D+MD",'TP-b'!$E$3:$E$60,1),"")))</f>
        <v/>
      </c>
      <c r="BN56" s="28">
        <f>IF(BN1="","",IF(_xlfn.MAXIFS('TP-b'!$B$3:$B$60,'TP-b'!$A$3:$A$60,"3F4D+MD",'TP-b'!$E$3:$E$60,1,'TP-b'!$B$3:$B$60,"&lt;="&amp;BN1)&gt;0,_xlfn.MAXIFS('TP-b'!$B$3:$B$60,'TP-b'!$A$3:$A$60,"3F4D+MD",'TP-b'!$E$3:$E$60,1,'TP-b'!$B$3:$B$60,"&lt;="&amp;BN1),IF(_xlfn.MINIFS('TP-b'!$B$3:$B$60,'TP-b'!$A$3:$A$60,"3F4D+MD",'TP-b'!$E$3:$E$60,1)&gt;0,_xlfn.MINIFS('TP-b'!$B$3:$B$60,'TP-b'!$A$3:$A$60,"3F4D+MD",'TP-b'!$E$3:$E$60,1),"")))</f>
        <v/>
      </c>
      <c r="BO56" s="28">
        <f>IF(BO1="","",IF(_xlfn.MAXIFS('TP-b'!$B$3:$B$60,'TP-b'!$A$3:$A$60,"3F4D+MD",'TP-b'!$E$3:$E$60,1,'TP-b'!$B$3:$B$60,"&lt;="&amp;BO1)&gt;0,_xlfn.MAXIFS('TP-b'!$B$3:$B$60,'TP-b'!$A$3:$A$60,"3F4D+MD",'TP-b'!$E$3:$E$60,1,'TP-b'!$B$3:$B$60,"&lt;="&amp;BO1),IF(_xlfn.MINIFS('TP-b'!$B$3:$B$60,'TP-b'!$A$3:$A$60,"3F4D+MD",'TP-b'!$E$3:$E$60,1)&gt;0,_xlfn.MINIFS('TP-b'!$B$3:$B$60,'TP-b'!$A$3:$A$60,"3F4D+MD",'TP-b'!$E$3:$E$60,1),"")))</f>
        <v/>
      </c>
      <c r="BP56" s="28">
        <f>IF(BP1="","",IF(_xlfn.MAXIFS('TP-b'!$B$3:$B$60,'TP-b'!$A$3:$A$60,"3F4D+MD",'TP-b'!$E$3:$E$60,1,'TP-b'!$B$3:$B$60,"&lt;="&amp;BP1)&gt;0,_xlfn.MAXIFS('TP-b'!$B$3:$B$60,'TP-b'!$A$3:$A$60,"3F4D+MD",'TP-b'!$E$3:$E$60,1,'TP-b'!$B$3:$B$60,"&lt;="&amp;BP1),IF(_xlfn.MINIFS('TP-b'!$B$3:$B$60,'TP-b'!$A$3:$A$60,"3F4D+MD",'TP-b'!$E$3:$E$60,1)&gt;0,_xlfn.MINIFS('TP-b'!$B$3:$B$60,'TP-b'!$A$3:$A$60,"3F4D+MD",'TP-b'!$E$3:$E$60,1),"")))</f>
        <v/>
      </c>
      <c r="BQ56" s="28">
        <f>IF(BQ1="","",IF(_xlfn.MAXIFS('TP-b'!$B$3:$B$60,'TP-b'!$A$3:$A$60,"3F4D+MD",'TP-b'!$E$3:$E$60,1,'TP-b'!$B$3:$B$60,"&lt;="&amp;BQ1)&gt;0,_xlfn.MAXIFS('TP-b'!$B$3:$B$60,'TP-b'!$A$3:$A$60,"3F4D+MD",'TP-b'!$E$3:$E$60,1,'TP-b'!$B$3:$B$60,"&lt;="&amp;BQ1),IF(_xlfn.MINIFS('TP-b'!$B$3:$B$60,'TP-b'!$A$3:$A$60,"3F4D+MD",'TP-b'!$E$3:$E$60,1)&gt;0,_xlfn.MINIFS('TP-b'!$B$3:$B$60,'TP-b'!$A$3:$A$60,"3F4D+MD",'TP-b'!$E$3:$E$60,1),"")))</f>
        <v/>
      </c>
      <c r="BR56" s="28">
        <f>IF(BR1="","",IF(_xlfn.MAXIFS('TP-b'!$B$3:$B$60,'TP-b'!$A$3:$A$60,"3F4D+MD",'TP-b'!$E$3:$E$60,1,'TP-b'!$B$3:$B$60,"&lt;="&amp;BR1)&gt;0,_xlfn.MAXIFS('TP-b'!$B$3:$B$60,'TP-b'!$A$3:$A$60,"3F4D+MD",'TP-b'!$E$3:$E$60,1,'TP-b'!$B$3:$B$60,"&lt;="&amp;BR1),IF(_xlfn.MINIFS('TP-b'!$B$3:$B$60,'TP-b'!$A$3:$A$60,"3F4D+MD",'TP-b'!$E$3:$E$60,1)&gt;0,_xlfn.MINIFS('TP-b'!$B$3:$B$60,'TP-b'!$A$3:$A$60,"3F4D+MD",'TP-b'!$E$3:$E$60,1),"")))</f>
        <v/>
      </c>
      <c r="BS56" s="28">
        <f>IF(BS1="","",IF(_xlfn.MAXIFS('TP-b'!$B$3:$B$60,'TP-b'!$A$3:$A$60,"3F4D+MD",'TP-b'!$E$3:$E$60,1,'TP-b'!$B$3:$B$60,"&lt;="&amp;BS1)&gt;0,_xlfn.MAXIFS('TP-b'!$B$3:$B$60,'TP-b'!$A$3:$A$60,"3F4D+MD",'TP-b'!$E$3:$E$60,1,'TP-b'!$B$3:$B$60,"&lt;="&amp;BS1),IF(_xlfn.MINIFS('TP-b'!$B$3:$B$60,'TP-b'!$A$3:$A$60,"3F4D+MD",'TP-b'!$E$3:$E$60,1)&gt;0,_xlfn.MINIFS('TP-b'!$B$3:$B$60,'TP-b'!$A$3:$A$60,"3F4D+MD",'TP-b'!$E$3:$E$60,1),"")))</f>
        <v/>
      </c>
      <c r="BT56" s="28">
        <f>IF(BT1="","",IF(_xlfn.MAXIFS('TP-b'!$B$3:$B$60,'TP-b'!$A$3:$A$60,"3F4D+MD",'TP-b'!$E$3:$E$60,1,'TP-b'!$B$3:$B$60,"&lt;="&amp;BT1)&gt;0,_xlfn.MAXIFS('TP-b'!$B$3:$B$60,'TP-b'!$A$3:$A$60,"3F4D+MD",'TP-b'!$E$3:$E$60,1,'TP-b'!$B$3:$B$60,"&lt;="&amp;BT1),IF(_xlfn.MINIFS('TP-b'!$B$3:$B$60,'TP-b'!$A$3:$A$60,"3F4D+MD",'TP-b'!$E$3:$E$60,1)&gt;0,_xlfn.MINIFS('TP-b'!$B$3:$B$60,'TP-b'!$A$3:$A$60,"3F4D+MD",'TP-b'!$E$3:$E$60,1),"")))</f>
        <v/>
      </c>
      <c r="BU56" s="28">
        <f>IF(BU1="","",IF(_xlfn.MAXIFS('TP-b'!$B$3:$B$60,'TP-b'!$A$3:$A$60,"3F4D+MD",'TP-b'!$E$3:$E$60,1,'TP-b'!$B$3:$B$60,"&lt;="&amp;BU1)&gt;0,_xlfn.MAXIFS('TP-b'!$B$3:$B$60,'TP-b'!$A$3:$A$60,"3F4D+MD",'TP-b'!$E$3:$E$60,1,'TP-b'!$B$3:$B$60,"&lt;="&amp;BU1),IF(_xlfn.MINIFS('TP-b'!$B$3:$B$60,'TP-b'!$A$3:$A$60,"3F4D+MD",'TP-b'!$E$3:$E$60,1)&gt;0,_xlfn.MINIFS('TP-b'!$B$3:$B$60,'TP-b'!$A$3:$A$60,"3F4D+MD",'TP-b'!$E$3:$E$60,1),"")))</f>
        <v/>
      </c>
      <c r="BV56" s="28">
        <f>IF(BV1="","",IF(_xlfn.MAXIFS('TP-b'!$B$3:$B$60,'TP-b'!$A$3:$A$60,"3F4D+MD",'TP-b'!$E$3:$E$60,1,'TP-b'!$B$3:$B$60,"&lt;="&amp;BV1)&gt;0,_xlfn.MAXIFS('TP-b'!$B$3:$B$60,'TP-b'!$A$3:$A$60,"3F4D+MD",'TP-b'!$E$3:$E$60,1,'TP-b'!$B$3:$B$60,"&lt;="&amp;BV1),IF(_xlfn.MINIFS('TP-b'!$B$3:$B$60,'TP-b'!$A$3:$A$60,"3F4D+MD",'TP-b'!$E$3:$E$60,1)&gt;0,_xlfn.MINIFS('TP-b'!$B$3:$B$60,'TP-b'!$A$3:$A$60,"3F4D+MD",'TP-b'!$E$3:$E$60,1),"")))</f>
        <v/>
      </c>
      <c r="BW56" s="28">
        <f>IF(BW1="","",IF(_xlfn.MAXIFS('TP-b'!$B$3:$B$60,'TP-b'!$A$3:$A$60,"3F4D+MD",'TP-b'!$E$3:$E$60,1,'TP-b'!$B$3:$B$60,"&lt;="&amp;BW1)&gt;0,_xlfn.MAXIFS('TP-b'!$B$3:$B$60,'TP-b'!$A$3:$A$60,"3F4D+MD",'TP-b'!$E$3:$E$60,1,'TP-b'!$B$3:$B$60,"&lt;="&amp;BW1),IF(_xlfn.MINIFS('TP-b'!$B$3:$B$60,'TP-b'!$A$3:$A$60,"3F4D+MD",'TP-b'!$E$3:$E$60,1)&gt;0,_xlfn.MINIFS('TP-b'!$B$3:$B$60,'TP-b'!$A$3:$A$60,"3F4D+MD",'TP-b'!$E$3:$E$60,1),"")))</f>
        <v/>
      </c>
      <c r="BX56" s="28">
        <f>IF(BX1="","",IF(_xlfn.MAXIFS('TP-b'!$B$3:$B$60,'TP-b'!$A$3:$A$60,"3F4D+MD",'TP-b'!$E$3:$E$60,1,'TP-b'!$B$3:$B$60,"&lt;="&amp;BX1)&gt;0,_xlfn.MAXIFS('TP-b'!$B$3:$B$60,'TP-b'!$A$3:$A$60,"3F4D+MD",'TP-b'!$E$3:$E$60,1,'TP-b'!$B$3:$B$60,"&lt;="&amp;BX1),IF(_xlfn.MINIFS('TP-b'!$B$3:$B$60,'TP-b'!$A$3:$A$60,"3F4D+MD",'TP-b'!$E$3:$E$60,1)&gt;0,_xlfn.MINIFS('TP-b'!$B$3:$B$60,'TP-b'!$A$3:$A$60,"3F4D+MD",'TP-b'!$E$3:$E$60,1),"")))</f>
        <v/>
      </c>
      <c r="BY56" s="28">
        <f>IF(BY1="","",IF(_xlfn.MAXIFS('TP-b'!$B$3:$B$60,'TP-b'!$A$3:$A$60,"3F4D+MD",'TP-b'!$E$3:$E$60,1,'TP-b'!$B$3:$B$60,"&lt;="&amp;BY1)&gt;0,_xlfn.MAXIFS('TP-b'!$B$3:$B$60,'TP-b'!$A$3:$A$60,"3F4D+MD",'TP-b'!$E$3:$E$60,1,'TP-b'!$B$3:$B$60,"&lt;="&amp;BY1),IF(_xlfn.MINIFS('TP-b'!$B$3:$B$60,'TP-b'!$A$3:$A$60,"3F4D+MD",'TP-b'!$E$3:$E$60,1)&gt;0,_xlfn.MINIFS('TP-b'!$B$3:$B$60,'TP-b'!$A$3:$A$60,"3F4D+MD",'TP-b'!$E$3:$E$60,1),"")))</f>
        <v/>
      </c>
      <c r="BZ56" s="28">
        <f>IF(BZ1="","",IF(_xlfn.MAXIFS('TP-b'!$B$3:$B$60,'TP-b'!$A$3:$A$60,"3F4D+MD",'TP-b'!$E$3:$E$60,1,'TP-b'!$B$3:$B$60,"&lt;="&amp;BZ1)&gt;0,_xlfn.MAXIFS('TP-b'!$B$3:$B$60,'TP-b'!$A$3:$A$60,"3F4D+MD",'TP-b'!$E$3:$E$60,1,'TP-b'!$B$3:$B$60,"&lt;="&amp;BZ1),IF(_xlfn.MINIFS('TP-b'!$B$3:$B$60,'TP-b'!$A$3:$A$60,"3F4D+MD",'TP-b'!$E$3:$E$60,1)&gt;0,_xlfn.MINIFS('TP-b'!$B$3:$B$60,'TP-b'!$A$3:$A$60,"3F4D+MD",'TP-b'!$E$3:$E$60,1),"")))</f>
        <v/>
      </c>
      <c r="CA56" s="28">
        <f>IF(CA1="","",IF(_xlfn.MAXIFS('TP-b'!$B$3:$B$60,'TP-b'!$A$3:$A$60,"3F4D+MD",'TP-b'!$E$3:$E$60,1,'TP-b'!$B$3:$B$60,"&lt;="&amp;CA1)&gt;0,_xlfn.MAXIFS('TP-b'!$B$3:$B$60,'TP-b'!$A$3:$A$60,"3F4D+MD",'TP-b'!$E$3:$E$60,1,'TP-b'!$B$3:$B$60,"&lt;="&amp;CA1),IF(_xlfn.MINIFS('TP-b'!$B$3:$B$60,'TP-b'!$A$3:$A$60,"3F4D+MD",'TP-b'!$E$3:$E$60,1)&gt;0,_xlfn.MINIFS('TP-b'!$B$3:$B$60,'TP-b'!$A$3:$A$60,"3F4D+MD",'TP-b'!$E$3:$E$60,1),"")))</f>
        <v/>
      </c>
      <c r="CB56" s="28">
        <f>IF(CB1="","",IF(_xlfn.MAXIFS('TP-b'!$B$3:$B$60,'TP-b'!$A$3:$A$60,"3F4D+MD",'TP-b'!$E$3:$E$60,1,'TP-b'!$B$3:$B$60,"&lt;="&amp;CB1)&gt;0,_xlfn.MAXIFS('TP-b'!$B$3:$B$60,'TP-b'!$A$3:$A$60,"3F4D+MD",'TP-b'!$E$3:$E$60,1,'TP-b'!$B$3:$B$60,"&lt;="&amp;CB1),IF(_xlfn.MINIFS('TP-b'!$B$3:$B$60,'TP-b'!$A$3:$A$60,"3F4D+MD",'TP-b'!$E$3:$E$60,1)&gt;0,_xlfn.MINIFS('TP-b'!$B$3:$B$60,'TP-b'!$A$3:$A$60,"3F4D+MD",'TP-b'!$E$3:$E$60,1),"")))</f>
        <v/>
      </c>
      <c r="CC56" s="28">
        <f>IF(CC1="","",IF(_xlfn.MAXIFS('TP-b'!$B$3:$B$60,'TP-b'!$A$3:$A$60,"3F4D+MD",'TP-b'!$E$3:$E$60,1,'TP-b'!$B$3:$B$60,"&lt;="&amp;CC1)&gt;0,_xlfn.MAXIFS('TP-b'!$B$3:$B$60,'TP-b'!$A$3:$A$60,"3F4D+MD",'TP-b'!$E$3:$E$60,1,'TP-b'!$B$3:$B$60,"&lt;="&amp;CC1),IF(_xlfn.MINIFS('TP-b'!$B$3:$B$60,'TP-b'!$A$3:$A$60,"3F4D+MD",'TP-b'!$E$3:$E$60,1)&gt;0,_xlfn.MINIFS('TP-b'!$B$3:$B$60,'TP-b'!$A$3:$A$60,"3F4D+MD",'TP-b'!$E$3:$E$60,1),"")))</f>
        <v/>
      </c>
      <c r="CD56" s="28">
        <f>IF(CD1="","",IF(_xlfn.MAXIFS('TP-b'!$B$3:$B$60,'TP-b'!$A$3:$A$60,"3F4D+MD",'TP-b'!$E$3:$E$60,1,'TP-b'!$B$3:$B$60,"&lt;="&amp;CD1)&gt;0,_xlfn.MAXIFS('TP-b'!$B$3:$B$60,'TP-b'!$A$3:$A$60,"3F4D+MD",'TP-b'!$E$3:$E$60,1,'TP-b'!$B$3:$B$60,"&lt;="&amp;CD1),IF(_xlfn.MINIFS('TP-b'!$B$3:$B$60,'TP-b'!$A$3:$A$60,"3F4D+MD",'TP-b'!$E$3:$E$60,1)&gt;0,_xlfn.MINIFS('TP-b'!$B$3:$B$60,'TP-b'!$A$3:$A$60,"3F4D+MD",'TP-b'!$E$3:$E$60,1),"")))</f>
        <v/>
      </c>
      <c r="CE56" s="28">
        <f>IF(CE1="","",IF(_xlfn.MAXIFS('TP-b'!$B$3:$B$60,'TP-b'!$A$3:$A$60,"3F4D+MD",'TP-b'!$E$3:$E$60,1,'TP-b'!$B$3:$B$60,"&lt;="&amp;CE1)&gt;0,_xlfn.MAXIFS('TP-b'!$B$3:$B$60,'TP-b'!$A$3:$A$60,"3F4D+MD",'TP-b'!$E$3:$E$60,1,'TP-b'!$B$3:$B$60,"&lt;="&amp;CE1),IF(_xlfn.MINIFS('TP-b'!$B$3:$B$60,'TP-b'!$A$3:$A$60,"3F4D+MD",'TP-b'!$E$3:$E$60,1)&gt;0,_xlfn.MINIFS('TP-b'!$B$3:$B$60,'TP-b'!$A$3:$A$60,"3F4D+MD",'TP-b'!$E$3:$E$60,1),"")))</f>
        <v/>
      </c>
      <c r="CF56" s="28">
        <f>IF(CF1="","",IF(_xlfn.MAXIFS('TP-b'!$B$3:$B$60,'TP-b'!$A$3:$A$60,"3F4D+MD",'TP-b'!$E$3:$E$60,1,'TP-b'!$B$3:$B$60,"&lt;="&amp;CF1)&gt;0,_xlfn.MAXIFS('TP-b'!$B$3:$B$60,'TP-b'!$A$3:$A$60,"3F4D+MD",'TP-b'!$E$3:$E$60,1,'TP-b'!$B$3:$B$60,"&lt;="&amp;CF1),IF(_xlfn.MINIFS('TP-b'!$B$3:$B$60,'TP-b'!$A$3:$A$60,"3F4D+MD",'TP-b'!$E$3:$E$60,1)&gt;0,_xlfn.MINIFS('TP-b'!$B$3:$B$60,'TP-b'!$A$3:$A$60,"3F4D+MD",'TP-b'!$E$3:$E$60,1),"")))</f>
        <v/>
      </c>
      <c r="CG56" s="28">
        <f>IF(CG1="","",IF(_xlfn.MAXIFS('TP-b'!$B$3:$B$60,'TP-b'!$A$3:$A$60,"3F4D+MD",'TP-b'!$E$3:$E$60,1,'TP-b'!$B$3:$B$60,"&lt;="&amp;CG1)&gt;0,_xlfn.MAXIFS('TP-b'!$B$3:$B$60,'TP-b'!$A$3:$A$60,"3F4D+MD",'TP-b'!$E$3:$E$60,1,'TP-b'!$B$3:$B$60,"&lt;="&amp;CG1),IF(_xlfn.MINIFS('TP-b'!$B$3:$B$60,'TP-b'!$A$3:$A$60,"3F4D+MD",'TP-b'!$E$3:$E$60,1)&gt;0,_xlfn.MINIFS('TP-b'!$B$3:$B$60,'TP-b'!$A$3:$A$60,"3F4D+MD",'TP-b'!$E$3:$E$60,1),"")))</f>
        <v/>
      </c>
      <c r="CH56" s="28">
        <f>IF(CH1="","",IF(_xlfn.MAXIFS('TP-b'!$B$3:$B$60,'TP-b'!$A$3:$A$60,"3F4D+MD",'TP-b'!$E$3:$E$60,1,'TP-b'!$B$3:$B$60,"&lt;="&amp;CH1)&gt;0,_xlfn.MAXIFS('TP-b'!$B$3:$B$60,'TP-b'!$A$3:$A$60,"3F4D+MD",'TP-b'!$E$3:$E$60,1,'TP-b'!$B$3:$B$60,"&lt;="&amp;CH1),IF(_xlfn.MINIFS('TP-b'!$B$3:$B$60,'TP-b'!$A$3:$A$60,"3F4D+MD",'TP-b'!$E$3:$E$60,1)&gt;0,_xlfn.MINIFS('TP-b'!$B$3:$B$60,'TP-b'!$A$3:$A$60,"3F4D+MD",'TP-b'!$E$3:$E$60,1),"")))</f>
        <v/>
      </c>
      <c r="CI56" s="28">
        <f>IF(CI1="","",IF(_xlfn.MAXIFS('TP-b'!$B$3:$B$60,'TP-b'!$A$3:$A$60,"3F4D+MD",'TP-b'!$E$3:$E$60,1,'TP-b'!$B$3:$B$60,"&lt;="&amp;CI1)&gt;0,_xlfn.MAXIFS('TP-b'!$B$3:$B$60,'TP-b'!$A$3:$A$60,"3F4D+MD",'TP-b'!$E$3:$E$60,1,'TP-b'!$B$3:$B$60,"&lt;="&amp;CI1),IF(_xlfn.MINIFS('TP-b'!$B$3:$B$60,'TP-b'!$A$3:$A$60,"3F4D+MD",'TP-b'!$E$3:$E$60,1)&gt;0,_xlfn.MINIFS('TP-b'!$B$3:$B$60,'TP-b'!$A$3:$A$60,"3F4D+MD",'TP-b'!$E$3:$E$60,1),"")))</f>
        <v/>
      </c>
      <c r="CJ56" s="28">
        <f>IF(CJ1="","",IF(_xlfn.MAXIFS('TP-b'!$B$3:$B$60,'TP-b'!$A$3:$A$60,"3F4D+MD",'TP-b'!$E$3:$E$60,1,'TP-b'!$B$3:$B$60,"&lt;="&amp;CJ1)&gt;0,_xlfn.MAXIFS('TP-b'!$B$3:$B$60,'TP-b'!$A$3:$A$60,"3F4D+MD",'TP-b'!$E$3:$E$60,1,'TP-b'!$B$3:$B$60,"&lt;="&amp;CJ1),IF(_xlfn.MINIFS('TP-b'!$B$3:$B$60,'TP-b'!$A$3:$A$60,"3F4D+MD",'TP-b'!$E$3:$E$60,1)&gt;0,_xlfn.MINIFS('TP-b'!$B$3:$B$60,'TP-b'!$A$3:$A$60,"3F4D+MD",'TP-b'!$E$3:$E$60,1),"")))</f>
        <v/>
      </c>
      <c r="CK56" s="28">
        <f>IF(CK1="","",IF(_xlfn.MAXIFS('TP-b'!$B$3:$B$60,'TP-b'!$A$3:$A$60,"3F4D+MD",'TP-b'!$E$3:$E$60,1,'TP-b'!$B$3:$B$60,"&lt;="&amp;CK1)&gt;0,_xlfn.MAXIFS('TP-b'!$B$3:$B$60,'TP-b'!$A$3:$A$60,"3F4D+MD",'TP-b'!$E$3:$E$60,1,'TP-b'!$B$3:$B$60,"&lt;="&amp;CK1),IF(_xlfn.MINIFS('TP-b'!$B$3:$B$60,'TP-b'!$A$3:$A$60,"3F4D+MD",'TP-b'!$E$3:$E$60,1)&gt;0,_xlfn.MINIFS('TP-b'!$B$3:$B$60,'TP-b'!$A$3:$A$60,"3F4D+MD",'TP-b'!$E$3:$E$60,1),"")))</f>
        <v/>
      </c>
      <c r="CL56" s="28">
        <f>IF(CL1="","",IF(_xlfn.MAXIFS('TP-b'!$B$3:$B$60,'TP-b'!$A$3:$A$60,"3F4D+MD",'TP-b'!$E$3:$E$60,1,'TP-b'!$B$3:$B$60,"&lt;="&amp;CL1)&gt;0,_xlfn.MAXIFS('TP-b'!$B$3:$B$60,'TP-b'!$A$3:$A$60,"3F4D+MD",'TP-b'!$E$3:$E$60,1,'TP-b'!$B$3:$B$60,"&lt;="&amp;CL1),IF(_xlfn.MINIFS('TP-b'!$B$3:$B$60,'TP-b'!$A$3:$A$60,"3F4D+MD",'TP-b'!$E$3:$E$60,1)&gt;0,_xlfn.MINIFS('TP-b'!$B$3:$B$60,'TP-b'!$A$3:$A$60,"3F4D+MD",'TP-b'!$E$3:$E$60,1),"")))</f>
        <v/>
      </c>
      <c r="CM56" s="28">
        <f>IF(CM1="","",IF(_xlfn.MAXIFS('TP-b'!$B$3:$B$60,'TP-b'!$A$3:$A$60,"3F4D+MD",'TP-b'!$E$3:$E$60,1,'TP-b'!$B$3:$B$60,"&lt;="&amp;CM1)&gt;0,_xlfn.MAXIFS('TP-b'!$B$3:$B$60,'TP-b'!$A$3:$A$60,"3F4D+MD",'TP-b'!$E$3:$E$60,1,'TP-b'!$B$3:$B$60,"&lt;="&amp;CM1),IF(_xlfn.MINIFS('TP-b'!$B$3:$B$60,'TP-b'!$A$3:$A$60,"3F4D+MD",'TP-b'!$E$3:$E$60,1)&gt;0,_xlfn.MINIFS('TP-b'!$B$3:$B$60,'TP-b'!$A$3:$A$60,"3F4D+MD",'TP-b'!$E$3:$E$60,1),"")))</f>
        <v/>
      </c>
      <c r="CN56" s="28">
        <f>IF(CN1="","",IF(_xlfn.MAXIFS('TP-b'!$B$3:$B$60,'TP-b'!$A$3:$A$60,"3F4D+MD",'TP-b'!$E$3:$E$60,1,'TP-b'!$B$3:$B$60,"&lt;="&amp;CN1)&gt;0,_xlfn.MAXIFS('TP-b'!$B$3:$B$60,'TP-b'!$A$3:$A$60,"3F4D+MD",'TP-b'!$E$3:$E$60,1,'TP-b'!$B$3:$B$60,"&lt;="&amp;CN1),IF(_xlfn.MINIFS('TP-b'!$B$3:$B$60,'TP-b'!$A$3:$A$60,"3F4D+MD",'TP-b'!$E$3:$E$60,1)&gt;0,_xlfn.MINIFS('TP-b'!$B$3:$B$60,'TP-b'!$A$3:$A$60,"3F4D+MD",'TP-b'!$E$3:$E$60,1),"")))</f>
        <v/>
      </c>
      <c r="CO56" s="28">
        <f>IF(CO1="","",IF(_xlfn.MAXIFS('TP-b'!$B$3:$B$60,'TP-b'!$A$3:$A$60,"3F4D+MD",'TP-b'!$E$3:$E$60,1,'TP-b'!$B$3:$B$60,"&lt;="&amp;CO1)&gt;0,_xlfn.MAXIFS('TP-b'!$B$3:$B$60,'TP-b'!$A$3:$A$60,"3F4D+MD",'TP-b'!$E$3:$E$60,1,'TP-b'!$B$3:$B$60,"&lt;="&amp;CO1),IF(_xlfn.MINIFS('TP-b'!$B$3:$B$60,'TP-b'!$A$3:$A$60,"3F4D+MD",'TP-b'!$E$3:$E$60,1)&gt;0,_xlfn.MINIFS('TP-b'!$B$3:$B$60,'TP-b'!$A$3:$A$60,"3F4D+MD",'TP-b'!$E$3:$E$60,1),"")))</f>
        <v/>
      </c>
      <c r="CP56" s="28">
        <f>IF(CP1="","",IF(_xlfn.MAXIFS('TP-b'!$B$3:$B$60,'TP-b'!$A$3:$A$60,"3F4D+MD",'TP-b'!$E$3:$E$60,1,'TP-b'!$B$3:$B$60,"&lt;="&amp;CP1)&gt;0,_xlfn.MAXIFS('TP-b'!$B$3:$B$60,'TP-b'!$A$3:$A$60,"3F4D+MD",'TP-b'!$E$3:$E$60,1,'TP-b'!$B$3:$B$60,"&lt;="&amp;CP1),IF(_xlfn.MINIFS('TP-b'!$B$3:$B$60,'TP-b'!$A$3:$A$60,"3F4D+MD",'TP-b'!$E$3:$E$60,1)&gt;0,_xlfn.MINIFS('TP-b'!$B$3:$B$60,'TP-b'!$A$3:$A$60,"3F4D+MD",'TP-b'!$E$3:$E$60,1),"")))</f>
        <v/>
      </c>
      <c r="CQ56" s="28">
        <f>IF(CQ1="","",IF(_xlfn.MAXIFS('TP-b'!$B$3:$B$60,'TP-b'!$A$3:$A$60,"3F4D+MD",'TP-b'!$E$3:$E$60,1,'TP-b'!$B$3:$B$60,"&lt;="&amp;CQ1)&gt;0,_xlfn.MAXIFS('TP-b'!$B$3:$B$60,'TP-b'!$A$3:$A$60,"3F4D+MD",'TP-b'!$E$3:$E$60,1,'TP-b'!$B$3:$B$60,"&lt;="&amp;CQ1),IF(_xlfn.MINIFS('TP-b'!$B$3:$B$60,'TP-b'!$A$3:$A$60,"3F4D+MD",'TP-b'!$E$3:$E$60,1)&gt;0,_xlfn.MINIFS('TP-b'!$B$3:$B$60,'TP-b'!$A$3:$A$60,"3F4D+MD",'TP-b'!$E$3:$E$60,1),"")))</f>
        <v/>
      </c>
      <c r="CR56" s="28">
        <f>IF(CR1="","",IF(_xlfn.MAXIFS('TP-b'!$B$3:$B$60,'TP-b'!$A$3:$A$60,"3F4D+MD",'TP-b'!$E$3:$E$60,1,'TP-b'!$B$3:$B$60,"&lt;="&amp;CR1)&gt;0,_xlfn.MAXIFS('TP-b'!$B$3:$B$60,'TP-b'!$A$3:$A$60,"3F4D+MD",'TP-b'!$E$3:$E$60,1,'TP-b'!$B$3:$B$60,"&lt;="&amp;CR1),IF(_xlfn.MINIFS('TP-b'!$B$3:$B$60,'TP-b'!$A$3:$A$60,"3F4D+MD",'TP-b'!$E$3:$E$60,1)&gt;0,_xlfn.MINIFS('TP-b'!$B$3:$B$60,'TP-b'!$A$3:$A$60,"3F4D+MD",'TP-b'!$E$3:$E$60,1),"")))</f>
        <v/>
      </c>
      <c r="CS56" s="28">
        <f>IF(CS1="","",IF(_xlfn.MAXIFS('TP-b'!$B$3:$B$60,'TP-b'!$A$3:$A$60,"3F4D+MD",'TP-b'!$E$3:$E$60,1,'TP-b'!$B$3:$B$60,"&lt;="&amp;CS1)&gt;0,_xlfn.MAXIFS('TP-b'!$B$3:$B$60,'TP-b'!$A$3:$A$60,"3F4D+MD",'TP-b'!$E$3:$E$60,1,'TP-b'!$B$3:$B$60,"&lt;="&amp;CS1),IF(_xlfn.MINIFS('TP-b'!$B$3:$B$60,'TP-b'!$A$3:$A$60,"3F4D+MD",'TP-b'!$E$3:$E$60,1)&gt;0,_xlfn.MINIFS('TP-b'!$B$3:$B$60,'TP-b'!$A$3:$A$60,"3F4D+MD",'TP-b'!$E$3:$E$60,1),"")))</f>
        <v/>
      </c>
      <c r="CT56" s="28">
        <f>IF(CT1="","",IF(_xlfn.MAXIFS('TP-b'!$B$3:$B$60,'TP-b'!$A$3:$A$60,"3F4D+MD",'TP-b'!$E$3:$E$60,1,'TP-b'!$B$3:$B$60,"&lt;="&amp;CT1)&gt;0,_xlfn.MAXIFS('TP-b'!$B$3:$B$60,'TP-b'!$A$3:$A$60,"3F4D+MD",'TP-b'!$E$3:$E$60,1,'TP-b'!$B$3:$B$60,"&lt;="&amp;CT1),IF(_xlfn.MINIFS('TP-b'!$B$3:$B$60,'TP-b'!$A$3:$A$60,"3F4D+MD",'TP-b'!$E$3:$E$60,1)&gt;0,_xlfn.MINIFS('TP-b'!$B$3:$B$60,'TP-b'!$A$3:$A$60,"3F4D+MD",'TP-b'!$E$3:$E$60,1),"")))</f>
        <v/>
      </c>
      <c r="CU56" s="28">
        <f>IF(CU1="","",IF(_xlfn.MAXIFS('TP-b'!$B$3:$B$60,'TP-b'!$A$3:$A$60,"3F4D+MD",'TP-b'!$E$3:$E$60,1,'TP-b'!$B$3:$B$60,"&lt;="&amp;CU1)&gt;0,_xlfn.MAXIFS('TP-b'!$B$3:$B$60,'TP-b'!$A$3:$A$60,"3F4D+MD",'TP-b'!$E$3:$E$60,1,'TP-b'!$B$3:$B$60,"&lt;="&amp;CU1),IF(_xlfn.MINIFS('TP-b'!$B$3:$B$60,'TP-b'!$A$3:$A$60,"3F4D+MD",'TP-b'!$E$3:$E$60,1)&gt;0,_xlfn.MINIFS('TP-b'!$B$3:$B$60,'TP-b'!$A$3:$A$60,"3F4D+MD",'TP-b'!$E$3:$E$60,1),"")))</f>
        <v/>
      </c>
      <c r="CV56" s="28">
        <f>IF(CV1="","",IF(_xlfn.MAXIFS('TP-b'!$B$3:$B$60,'TP-b'!$A$3:$A$60,"3F4D+MD",'TP-b'!$E$3:$E$60,1,'TP-b'!$B$3:$B$60,"&lt;="&amp;CV1)&gt;0,_xlfn.MAXIFS('TP-b'!$B$3:$B$60,'TP-b'!$A$3:$A$60,"3F4D+MD",'TP-b'!$E$3:$E$60,1,'TP-b'!$B$3:$B$60,"&lt;="&amp;CV1),IF(_xlfn.MINIFS('TP-b'!$B$3:$B$60,'TP-b'!$A$3:$A$60,"3F4D+MD",'TP-b'!$E$3:$E$60,1)&gt;0,_xlfn.MINIFS('TP-b'!$B$3:$B$60,'TP-b'!$A$3:$A$60,"3F4D+MD",'TP-b'!$E$3:$E$60,1),"")))</f>
        <v/>
      </c>
      <c r="CW56" s="28">
        <f>IF(CW1="","",IF(_xlfn.MAXIFS('TP-b'!$B$3:$B$60,'TP-b'!$A$3:$A$60,"3F4D+MD",'TP-b'!$E$3:$E$60,1,'TP-b'!$B$3:$B$60,"&lt;="&amp;CW1)&gt;0,_xlfn.MAXIFS('TP-b'!$B$3:$B$60,'TP-b'!$A$3:$A$60,"3F4D+MD",'TP-b'!$E$3:$E$60,1,'TP-b'!$B$3:$B$60,"&lt;="&amp;CW1),IF(_xlfn.MINIFS('TP-b'!$B$3:$B$60,'TP-b'!$A$3:$A$60,"3F4D+MD",'TP-b'!$E$3:$E$60,1)&gt;0,_xlfn.MINIFS('TP-b'!$B$3:$B$60,'TP-b'!$A$3:$A$60,"3F4D+MD",'TP-b'!$E$3:$E$60,1),"")))</f>
        <v/>
      </c>
      <c r="CX56" s="28">
        <f>IF(CX1="","",IF(_xlfn.MAXIFS('TP-b'!$B$3:$B$60,'TP-b'!$A$3:$A$60,"3F4D+MD",'TP-b'!$E$3:$E$60,1,'TP-b'!$B$3:$B$60,"&lt;="&amp;CX1)&gt;0,_xlfn.MAXIFS('TP-b'!$B$3:$B$60,'TP-b'!$A$3:$A$60,"3F4D+MD",'TP-b'!$E$3:$E$60,1,'TP-b'!$B$3:$B$60,"&lt;="&amp;CX1),IF(_xlfn.MINIFS('TP-b'!$B$3:$B$60,'TP-b'!$A$3:$A$60,"3F4D+MD",'TP-b'!$E$3:$E$60,1)&gt;0,_xlfn.MINIFS('TP-b'!$B$3:$B$60,'TP-b'!$A$3:$A$60,"3F4D+MD",'TP-b'!$E$3:$E$60,1),"")))</f>
        <v/>
      </c>
      <c r="CY56" s="28">
        <f>IF(CY1="","",IF(_xlfn.MAXIFS('TP-b'!$B$3:$B$60,'TP-b'!$A$3:$A$60,"3F4D+MD",'TP-b'!$E$3:$E$60,1,'TP-b'!$B$3:$B$60,"&lt;="&amp;CY1)&gt;0,_xlfn.MAXIFS('TP-b'!$B$3:$B$60,'TP-b'!$A$3:$A$60,"3F4D+MD",'TP-b'!$E$3:$E$60,1,'TP-b'!$B$3:$B$60,"&lt;="&amp;CY1),IF(_xlfn.MINIFS('TP-b'!$B$3:$B$60,'TP-b'!$A$3:$A$60,"3F4D+MD",'TP-b'!$E$3:$E$60,1)&gt;0,_xlfn.MINIFS('TP-b'!$B$3:$B$60,'TP-b'!$A$3:$A$60,"3F4D+MD",'TP-b'!$E$3:$E$60,1),"")))</f>
        <v/>
      </c>
      <c r="CZ56" s="28">
        <f>IF(CZ1="","",IF(_xlfn.MAXIFS('TP-b'!$B$3:$B$60,'TP-b'!$A$3:$A$60,"3F4D+MD",'TP-b'!$E$3:$E$60,1,'TP-b'!$B$3:$B$60,"&lt;="&amp;CZ1)&gt;0,_xlfn.MAXIFS('TP-b'!$B$3:$B$60,'TP-b'!$A$3:$A$60,"3F4D+MD",'TP-b'!$E$3:$E$60,1,'TP-b'!$B$3:$B$60,"&lt;="&amp;CZ1),IF(_xlfn.MINIFS('TP-b'!$B$3:$B$60,'TP-b'!$A$3:$A$60,"3F4D+MD",'TP-b'!$E$3:$E$60,1)&gt;0,_xlfn.MINIFS('TP-b'!$B$3:$B$60,'TP-b'!$A$3:$A$60,"3F4D+MD",'TP-b'!$E$3:$E$60,1),"")))</f>
        <v/>
      </c>
      <c r="DA56" s="28">
        <f>IF(DA1="","",IF(_xlfn.MAXIFS('TP-b'!$B$3:$B$60,'TP-b'!$A$3:$A$60,"3F4D+MD",'TP-b'!$E$3:$E$60,1,'TP-b'!$B$3:$B$60,"&lt;="&amp;DA1)&gt;0,_xlfn.MAXIFS('TP-b'!$B$3:$B$60,'TP-b'!$A$3:$A$60,"3F4D+MD",'TP-b'!$E$3:$E$60,1,'TP-b'!$B$3:$B$60,"&lt;="&amp;DA1),IF(_xlfn.MINIFS('TP-b'!$B$3:$B$60,'TP-b'!$A$3:$A$60,"3F4D+MD",'TP-b'!$E$3:$E$60,1)&gt;0,_xlfn.MINIFS('TP-b'!$B$3:$B$60,'TP-b'!$A$3:$A$60,"3F4D+MD",'TP-b'!$E$3:$E$60,1),"")))</f>
        <v/>
      </c>
      <c r="DB56" s="28">
        <f>IF(DB1="","",IF(_xlfn.MAXIFS('TP-b'!$B$3:$B$60,'TP-b'!$A$3:$A$60,"3F4D+MD",'TP-b'!$E$3:$E$60,1,'TP-b'!$B$3:$B$60,"&lt;="&amp;DB1)&gt;0,_xlfn.MAXIFS('TP-b'!$B$3:$B$60,'TP-b'!$A$3:$A$60,"3F4D+MD",'TP-b'!$E$3:$E$60,1,'TP-b'!$B$3:$B$60,"&lt;="&amp;DB1),IF(_xlfn.MINIFS('TP-b'!$B$3:$B$60,'TP-b'!$A$3:$A$60,"3F4D+MD",'TP-b'!$E$3:$E$60,1)&gt;0,_xlfn.MINIFS('TP-b'!$B$3:$B$60,'TP-b'!$A$3:$A$60,"3F4D+MD",'TP-b'!$E$3:$E$60,1),"")))</f>
        <v/>
      </c>
      <c r="DC56" s="28">
        <f>IF(DC1="","",IF(_xlfn.MAXIFS('TP-b'!$B$3:$B$60,'TP-b'!$A$3:$A$60,"3F4D+MD",'TP-b'!$E$3:$E$60,1,'TP-b'!$B$3:$B$60,"&lt;="&amp;DC1)&gt;0,_xlfn.MAXIFS('TP-b'!$B$3:$B$60,'TP-b'!$A$3:$A$60,"3F4D+MD",'TP-b'!$E$3:$E$60,1,'TP-b'!$B$3:$B$60,"&lt;="&amp;DC1),IF(_xlfn.MINIFS('TP-b'!$B$3:$B$60,'TP-b'!$A$3:$A$60,"3F4D+MD",'TP-b'!$E$3:$E$60,1)&gt;0,_xlfn.MINIFS('TP-b'!$B$3:$B$60,'TP-b'!$A$3:$A$60,"3F4D+MD",'TP-b'!$E$3:$E$60,1),"")))</f>
        <v/>
      </c>
      <c r="DD56" s="28">
        <f>IF(DD1="","",IF(_xlfn.MAXIFS('TP-b'!$B$3:$B$60,'TP-b'!$A$3:$A$60,"3F4D+MD",'TP-b'!$E$3:$E$60,1,'TP-b'!$B$3:$B$60,"&lt;="&amp;DD1)&gt;0,_xlfn.MAXIFS('TP-b'!$B$3:$B$60,'TP-b'!$A$3:$A$60,"3F4D+MD",'TP-b'!$E$3:$E$60,1,'TP-b'!$B$3:$B$60,"&lt;="&amp;DD1),IF(_xlfn.MINIFS('TP-b'!$B$3:$B$60,'TP-b'!$A$3:$A$60,"3F4D+MD",'TP-b'!$E$3:$E$60,1)&gt;0,_xlfn.MINIFS('TP-b'!$B$3:$B$60,'TP-b'!$A$3:$A$60,"3F4D+MD",'TP-b'!$E$3:$E$60,1),"")))</f>
        <v/>
      </c>
      <c r="DE56" s="28">
        <f>IF(DE1="","",IF(_xlfn.MAXIFS('TP-b'!$B$3:$B$60,'TP-b'!$A$3:$A$60,"3F4D+MD",'TP-b'!$E$3:$E$60,1,'TP-b'!$B$3:$B$60,"&lt;="&amp;DE1)&gt;0,_xlfn.MAXIFS('TP-b'!$B$3:$B$60,'TP-b'!$A$3:$A$60,"3F4D+MD",'TP-b'!$E$3:$E$60,1,'TP-b'!$B$3:$B$60,"&lt;="&amp;DE1),IF(_xlfn.MINIFS('TP-b'!$B$3:$B$60,'TP-b'!$A$3:$A$60,"3F4D+MD",'TP-b'!$E$3:$E$60,1)&gt;0,_xlfn.MINIFS('TP-b'!$B$3:$B$60,'TP-b'!$A$3:$A$60,"3F4D+MD",'TP-b'!$E$3:$E$60,1),"")))</f>
        <v/>
      </c>
      <c r="DF56" s="28">
        <f>IF(DF1="","",IF(_xlfn.MAXIFS('TP-b'!$B$3:$B$60,'TP-b'!$A$3:$A$60,"3F4D+MD",'TP-b'!$E$3:$E$60,1,'TP-b'!$B$3:$B$60,"&lt;="&amp;DF1)&gt;0,_xlfn.MAXIFS('TP-b'!$B$3:$B$60,'TP-b'!$A$3:$A$60,"3F4D+MD",'TP-b'!$E$3:$E$60,1,'TP-b'!$B$3:$B$60,"&lt;="&amp;DF1),IF(_xlfn.MINIFS('TP-b'!$B$3:$B$60,'TP-b'!$A$3:$A$60,"3F4D+MD",'TP-b'!$E$3:$E$60,1)&gt;0,_xlfn.MINIFS('TP-b'!$B$3:$B$60,'TP-b'!$A$3:$A$60,"3F4D+MD",'TP-b'!$E$3:$E$60,1),"")))</f>
        <v/>
      </c>
      <c r="DG56" s="28">
        <f>IF(DG1="","",IF(_xlfn.MAXIFS('TP-b'!$B$3:$B$60,'TP-b'!$A$3:$A$60,"3F4D+MD",'TP-b'!$E$3:$E$60,1,'TP-b'!$B$3:$B$60,"&lt;="&amp;DG1)&gt;0,_xlfn.MAXIFS('TP-b'!$B$3:$B$60,'TP-b'!$A$3:$A$60,"3F4D+MD",'TP-b'!$E$3:$E$60,1,'TP-b'!$B$3:$B$60,"&lt;="&amp;DG1),IF(_xlfn.MINIFS('TP-b'!$B$3:$B$60,'TP-b'!$A$3:$A$60,"3F4D+MD",'TP-b'!$E$3:$E$60,1)&gt;0,_xlfn.MINIFS('TP-b'!$B$3:$B$60,'TP-b'!$A$3:$A$60,"3F4D+MD",'TP-b'!$E$3:$E$60,1),"")))</f>
        <v/>
      </c>
      <c r="DH56" s="28">
        <f>IF(DH1="","",IF(_xlfn.MAXIFS('TP-b'!$B$3:$B$60,'TP-b'!$A$3:$A$60,"3F4D+MD",'TP-b'!$E$3:$E$60,1,'TP-b'!$B$3:$B$60,"&lt;="&amp;DH1)&gt;0,_xlfn.MAXIFS('TP-b'!$B$3:$B$60,'TP-b'!$A$3:$A$60,"3F4D+MD",'TP-b'!$E$3:$E$60,1,'TP-b'!$B$3:$B$60,"&lt;="&amp;DH1),IF(_xlfn.MINIFS('TP-b'!$B$3:$B$60,'TP-b'!$A$3:$A$60,"3F4D+MD",'TP-b'!$E$3:$E$60,1)&gt;0,_xlfn.MINIFS('TP-b'!$B$3:$B$60,'TP-b'!$A$3:$A$60,"3F4D+MD",'TP-b'!$E$3:$E$60,1),"")))</f>
        <v/>
      </c>
      <c r="DI56" s="28">
        <f>IF(DI1="","",IF(_xlfn.MAXIFS('TP-b'!$B$3:$B$60,'TP-b'!$A$3:$A$60,"3F4D+MD",'TP-b'!$E$3:$E$60,1,'TP-b'!$B$3:$B$60,"&lt;="&amp;DI1)&gt;0,_xlfn.MAXIFS('TP-b'!$B$3:$B$60,'TP-b'!$A$3:$A$60,"3F4D+MD",'TP-b'!$E$3:$E$60,1,'TP-b'!$B$3:$B$60,"&lt;="&amp;DI1),IF(_xlfn.MINIFS('TP-b'!$B$3:$B$60,'TP-b'!$A$3:$A$60,"3F4D+MD",'TP-b'!$E$3:$E$60,1)&gt;0,_xlfn.MINIFS('TP-b'!$B$3:$B$60,'TP-b'!$A$3:$A$60,"3F4D+MD",'TP-b'!$E$3:$E$60,1),"")))</f>
        <v/>
      </c>
      <c r="DJ56" s="28">
        <f>IF(DJ1="","",IF(_xlfn.MAXIFS('TP-b'!$B$3:$B$60,'TP-b'!$A$3:$A$60,"3F4D+MD",'TP-b'!$E$3:$E$60,1,'TP-b'!$B$3:$B$60,"&lt;="&amp;DJ1)&gt;0,_xlfn.MAXIFS('TP-b'!$B$3:$B$60,'TP-b'!$A$3:$A$60,"3F4D+MD",'TP-b'!$E$3:$E$60,1,'TP-b'!$B$3:$B$60,"&lt;="&amp;DJ1),IF(_xlfn.MINIFS('TP-b'!$B$3:$B$60,'TP-b'!$A$3:$A$60,"3F4D+MD",'TP-b'!$E$3:$E$60,1)&gt;0,_xlfn.MINIFS('TP-b'!$B$3:$B$60,'TP-b'!$A$3:$A$60,"3F4D+MD",'TP-b'!$E$3:$E$60,1),"")))</f>
        <v/>
      </c>
      <c r="DK56" s="28">
        <f>IF(DK1="","",IF(_xlfn.MAXIFS('TP-b'!$B$3:$B$60,'TP-b'!$A$3:$A$60,"3F4D+MD",'TP-b'!$E$3:$E$60,1,'TP-b'!$B$3:$B$60,"&lt;="&amp;DK1)&gt;0,_xlfn.MAXIFS('TP-b'!$B$3:$B$60,'TP-b'!$A$3:$A$60,"3F4D+MD",'TP-b'!$E$3:$E$60,1,'TP-b'!$B$3:$B$60,"&lt;="&amp;DK1),IF(_xlfn.MINIFS('TP-b'!$B$3:$B$60,'TP-b'!$A$3:$A$60,"3F4D+MD",'TP-b'!$E$3:$E$60,1)&gt;0,_xlfn.MINIFS('TP-b'!$B$3:$B$60,'TP-b'!$A$3:$A$60,"3F4D+MD",'TP-b'!$E$3:$E$60,1),"")))</f>
        <v/>
      </c>
      <c r="DL56" s="28">
        <f>IF(DL1="","",IF(_xlfn.MAXIFS('TP-b'!$B$3:$B$60,'TP-b'!$A$3:$A$60,"3F4D+MD",'TP-b'!$E$3:$E$60,1,'TP-b'!$B$3:$B$60,"&lt;="&amp;DL1)&gt;0,_xlfn.MAXIFS('TP-b'!$B$3:$B$60,'TP-b'!$A$3:$A$60,"3F4D+MD",'TP-b'!$E$3:$E$60,1,'TP-b'!$B$3:$B$60,"&lt;="&amp;DL1),IF(_xlfn.MINIFS('TP-b'!$B$3:$B$60,'TP-b'!$A$3:$A$60,"3F4D+MD",'TP-b'!$E$3:$E$60,1)&gt;0,_xlfn.MINIFS('TP-b'!$B$3:$B$60,'TP-b'!$A$3:$A$60,"3F4D+MD",'TP-b'!$E$3:$E$60,1),"")))</f>
        <v/>
      </c>
      <c r="DM56" s="28">
        <f>IF(DM1="","",IF(_xlfn.MAXIFS('TP-b'!$B$3:$B$60,'TP-b'!$A$3:$A$60,"3F4D+MD",'TP-b'!$E$3:$E$60,1,'TP-b'!$B$3:$B$60,"&lt;="&amp;DM1)&gt;0,_xlfn.MAXIFS('TP-b'!$B$3:$B$60,'TP-b'!$A$3:$A$60,"3F4D+MD",'TP-b'!$E$3:$E$60,1,'TP-b'!$B$3:$B$60,"&lt;="&amp;DM1),IF(_xlfn.MINIFS('TP-b'!$B$3:$B$60,'TP-b'!$A$3:$A$60,"3F4D+MD",'TP-b'!$E$3:$E$60,1)&gt;0,_xlfn.MINIFS('TP-b'!$B$3:$B$60,'TP-b'!$A$3:$A$60,"3F4D+MD",'TP-b'!$E$3:$E$60,1),"")))</f>
        <v/>
      </c>
      <c r="DN56" s="28">
        <f>IF(DN1="","",IF(_xlfn.MAXIFS('TP-b'!$B$3:$B$60,'TP-b'!$A$3:$A$60,"3F4D+MD",'TP-b'!$E$3:$E$60,1,'TP-b'!$B$3:$B$60,"&lt;="&amp;DN1)&gt;0,_xlfn.MAXIFS('TP-b'!$B$3:$B$60,'TP-b'!$A$3:$A$60,"3F4D+MD",'TP-b'!$E$3:$E$60,1,'TP-b'!$B$3:$B$60,"&lt;="&amp;DN1),IF(_xlfn.MINIFS('TP-b'!$B$3:$B$60,'TP-b'!$A$3:$A$60,"3F4D+MD",'TP-b'!$E$3:$E$60,1)&gt;0,_xlfn.MINIFS('TP-b'!$B$3:$B$60,'TP-b'!$A$3:$A$60,"3F4D+MD",'TP-b'!$E$3:$E$60,1),"")))</f>
        <v/>
      </c>
      <c r="DO56" s="28">
        <f>IF(DO1="","",IF(_xlfn.MAXIFS('TP-b'!$B$3:$B$60,'TP-b'!$A$3:$A$60,"3F4D+MD",'TP-b'!$E$3:$E$60,1,'TP-b'!$B$3:$B$60,"&lt;="&amp;DO1)&gt;0,_xlfn.MAXIFS('TP-b'!$B$3:$B$60,'TP-b'!$A$3:$A$60,"3F4D+MD",'TP-b'!$E$3:$E$60,1,'TP-b'!$B$3:$B$60,"&lt;="&amp;DO1),IF(_xlfn.MINIFS('TP-b'!$B$3:$B$60,'TP-b'!$A$3:$A$60,"3F4D+MD",'TP-b'!$E$3:$E$60,1)&gt;0,_xlfn.MINIFS('TP-b'!$B$3:$B$60,'TP-b'!$A$3:$A$60,"3F4D+MD",'TP-b'!$E$3:$E$60,1),"")))</f>
        <v/>
      </c>
      <c r="DP56" s="28">
        <f>IF(DP1="","",IF(_xlfn.MAXIFS('TP-b'!$B$3:$B$60,'TP-b'!$A$3:$A$60,"3F4D+MD",'TP-b'!$E$3:$E$60,1,'TP-b'!$B$3:$B$60,"&lt;="&amp;DP1)&gt;0,_xlfn.MAXIFS('TP-b'!$B$3:$B$60,'TP-b'!$A$3:$A$60,"3F4D+MD",'TP-b'!$E$3:$E$60,1,'TP-b'!$B$3:$B$60,"&lt;="&amp;DP1),IF(_xlfn.MINIFS('TP-b'!$B$3:$B$60,'TP-b'!$A$3:$A$60,"3F4D+MD",'TP-b'!$E$3:$E$60,1)&gt;0,_xlfn.MINIFS('TP-b'!$B$3:$B$60,'TP-b'!$A$3:$A$60,"3F4D+MD",'TP-b'!$E$3:$E$60,1),"")))</f>
        <v/>
      </c>
      <c r="DQ56" s="28">
        <f>IF(DQ1="","",IF(_xlfn.MAXIFS('TP-b'!$B$3:$B$60,'TP-b'!$A$3:$A$60,"3F4D+MD",'TP-b'!$E$3:$E$60,1,'TP-b'!$B$3:$B$60,"&lt;="&amp;DQ1)&gt;0,_xlfn.MAXIFS('TP-b'!$B$3:$B$60,'TP-b'!$A$3:$A$60,"3F4D+MD",'TP-b'!$E$3:$E$60,1,'TP-b'!$B$3:$B$60,"&lt;="&amp;DQ1),IF(_xlfn.MINIFS('TP-b'!$B$3:$B$60,'TP-b'!$A$3:$A$60,"3F4D+MD",'TP-b'!$E$3:$E$60,1)&gt;0,_xlfn.MINIFS('TP-b'!$B$3:$B$60,'TP-b'!$A$3:$A$60,"3F4D+MD",'TP-b'!$E$3:$E$60,1),"")))</f>
        <v/>
      </c>
      <c r="DR56" s="28">
        <f>IF(DR1="","",IF(_xlfn.MAXIFS('TP-b'!$B$3:$B$60,'TP-b'!$A$3:$A$60,"3F4D+MD",'TP-b'!$E$3:$E$60,1,'TP-b'!$B$3:$B$60,"&lt;="&amp;DR1)&gt;0,_xlfn.MAXIFS('TP-b'!$B$3:$B$60,'TP-b'!$A$3:$A$60,"3F4D+MD",'TP-b'!$E$3:$E$60,1,'TP-b'!$B$3:$B$60,"&lt;="&amp;DR1),IF(_xlfn.MINIFS('TP-b'!$B$3:$B$60,'TP-b'!$A$3:$A$60,"3F4D+MD",'TP-b'!$E$3:$E$60,1)&gt;0,_xlfn.MINIFS('TP-b'!$B$3:$B$60,'TP-b'!$A$3:$A$60,"3F4D+MD",'TP-b'!$E$3:$E$60,1),"")))</f>
        <v/>
      </c>
      <c r="DS56" s="28">
        <f>IF(DS1="","",IF(_xlfn.MAXIFS('TP-b'!$B$3:$B$60,'TP-b'!$A$3:$A$60,"3F4D+MD",'TP-b'!$E$3:$E$60,1,'TP-b'!$B$3:$B$60,"&lt;="&amp;DS1)&gt;0,_xlfn.MAXIFS('TP-b'!$B$3:$B$60,'TP-b'!$A$3:$A$60,"3F4D+MD",'TP-b'!$E$3:$E$60,1,'TP-b'!$B$3:$B$60,"&lt;="&amp;DS1),IF(_xlfn.MINIFS('TP-b'!$B$3:$B$60,'TP-b'!$A$3:$A$60,"3F4D+MD",'TP-b'!$E$3:$E$60,1)&gt;0,_xlfn.MINIFS('TP-b'!$B$3:$B$60,'TP-b'!$A$3:$A$60,"3F4D+MD",'TP-b'!$E$3:$E$60,1),"")))</f>
        <v/>
      </c>
      <c r="DT56" s="28">
        <f>IF(DT1="","",IF(_xlfn.MAXIFS('TP-b'!$B$3:$B$60,'TP-b'!$A$3:$A$60,"3F4D+MD",'TP-b'!$E$3:$E$60,1,'TP-b'!$B$3:$B$60,"&lt;="&amp;DT1)&gt;0,_xlfn.MAXIFS('TP-b'!$B$3:$B$60,'TP-b'!$A$3:$A$60,"3F4D+MD",'TP-b'!$E$3:$E$60,1,'TP-b'!$B$3:$B$60,"&lt;="&amp;DT1),IF(_xlfn.MINIFS('TP-b'!$B$3:$B$60,'TP-b'!$A$3:$A$60,"3F4D+MD",'TP-b'!$E$3:$E$60,1)&gt;0,_xlfn.MINIFS('TP-b'!$B$3:$B$60,'TP-b'!$A$3:$A$60,"3F4D+MD",'TP-b'!$E$3:$E$60,1),"")))</f>
        <v/>
      </c>
      <c r="DU56" s="28">
        <f>IF(DU1="","",IF(_xlfn.MAXIFS('TP-b'!$B$3:$B$60,'TP-b'!$A$3:$A$60,"3F4D+MD",'TP-b'!$E$3:$E$60,1,'TP-b'!$B$3:$B$60,"&lt;="&amp;DU1)&gt;0,_xlfn.MAXIFS('TP-b'!$B$3:$B$60,'TP-b'!$A$3:$A$60,"3F4D+MD",'TP-b'!$E$3:$E$60,1,'TP-b'!$B$3:$B$60,"&lt;="&amp;DU1),IF(_xlfn.MINIFS('TP-b'!$B$3:$B$60,'TP-b'!$A$3:$A$60,"3F4D+MD",'TP-b'!$E$3:$E$60,1)&gt;0,_xlfn.MINIFS('TP-b'!$B$3:$B$60,'TP-b'!$A$3:$A$60,"3F4D+MD",'TP-b'!$E$3:$E$60,1),"")))</f>
        <v/>
      </c>
      <c r="DV56" s="28">
        <f>IF(DV1="","",IF(_xlfn.MAXIFS('TP-b'!$B$3:$B$60,'TP-b'!$A$3:$A$60,"3F4D+MD",'TP-b'!$E$3:$E$60,1,'TP-b'!$B$3:$B$60,"&lt;="&amp;DV1)&gt;0,_xlfn.MAXIFS('TP-b'!$B$3:$B$60,'TP-b'!$A$3:$A$60,"3F4D+MD",'TP-b'!$E$3:$E$60,1,'TP-b'!$B$3:$B$60,"&lt;="&amp;DV1),IF(_xlfn.MINIFS('TP-b'!$B$3:$B$60,'TP-b'!$A$3:$A$60,"3F4D+MD",'TP-b'!$E$3:$E$60,1)&gt;0,_xlfn.MINIFS('TP-b'!$B$3:$B$60,'TP-b'!$A$3:$A$60,"3F4D+MD",'TP-b'!$E$3:$E$60,1),"")))</f>
        <v/>
      </c>
      <c r="DW56" s="28">
        <f>IF(DW1="","",IF(_xlfn.MAXIFS('TP-b'!$B$3:$B$60,'TP-b'!$A$3:$A$60,"3F4D+MD",'TP-b'!$E$3:$E$60,1,'TP-b'!$B$3:$B$60,"&lt;="&amp;DW1)&gt;0,_xlfn.MAXIFS('TP-b'!$B$3:$B$60,'TP-b'!$A$3:$A$60,"3F4D+MD",'TP-b'!$E$3:$E$60,1,'TP-b'!$B$3:$B$60,"&lt;="&amp;DW1),IF(_xlfn.MINIFS('TP-b'!$B$3:$B$60,'TP-b'!$A$3:$A$60,"3F4D+MD",'TP-b'!$E$3:$E$60,1)&gt;0,_xlfn.MINIFS('TP-b'!$B$3:$B$60,'TP-b'!$A$3:$A$60,"3F4D+MD",'TP-b'!$E$3:$E$60,1),"")))</f>
        <v/>
      </c>
      <c r="DX56" s="28">
        <f>IF(DX1="","",IF(_xlfn.MAXIFS('TP-b'!$B$3:$B$60,'TP-b'!$A$3:$A$60,"3F4D+MD",'TP-b'!$E$3:$E$60,1,'TP-b'!$B$3:$B$60,"&lt;="&amp;DX1)&gt;0,_xlfn.MAXIFS('TP-b'!$B$3:$B$60,'TP-b'!$A$3:$A$60,"3F4D+MD",'TP-b'!$E$3:$E$60,1,'TP-b'!$B$3:$B$60,"&lt;="&amp;DX1),IF(_xlfn.MINIFS('TP-b'!$B$3:$B$60,'TP-b'!$A$3:$A$60,"3F4D+MD",'TP-b'!$E$3:$E$60,1)&gt;0,_xlfn.MINIFS('TP-b'!$B$3:$B$60,'TP-b'!$A$3:$A$60,"3F4D+MD",'TP-b'!$E$3:$E$60,1),"")))</f>
        <v/>
      </c>
      <c r="DY56" s="28">
        <f>IF(DY1="","",IF(_xlfn.MAXIFS('TP-b'!$B$3:$B$60,'TP-b'!$A$3:$A$60,"3F4D+MD",'TP-b'!$E$3:$E$60,1,'TP-b'!$B$3:$B$60,"&lt;="&amp;DY1)&gt;0,_xlfn.MAXIFS('TP-b'!$B$3:$B$60,'TP-b'!$A$3:$A$60,"3F4D+MD",'TP-b'!$E$3:$E$60,1,'TP-b'!$B$3:$B$60,"&lt;="&amp;DY1),IF(_xlfn.MINIFS('TP-b'!$B$3:$B$60,'TP-b'!$A$3:$A$60,"3F4D+MD",'TP-b'!$E$3:$E$60,1)&gt;0,_xlfn.MINIFS('TP-b'!$B$3:$B$60,'TP-b'!$A$3:$A$60,"3F4D+MD",'TP-b'!$E$3:$E$60,1),"")))</f>
        <v/>
      </c>
      <c r="DZ56" s="28">
        <f>IF(DZ1="","",IF(_xlfn.MAXIFS('TP-b'!$B$3:$B$60,'TP-b'!$A$3:$A$60,"3F4D+MD",'TP-b'!$E$3:$E$60,1,'TP-b'!$B$3:$B$60,"&lt;="&amp;DZ1)&gt;0,_xlfn.MAXIFS('TP-b'!$B$3:$B$60,'TP-b'!$A$3:$A$60,"3F4D+MD",'TP-b'!$E$3:$E$60,1,'TP-b'!$B$3:$B$60,"&lt;="&amp;DZ1),IF(_xlfn.MINIFS('TP-b'!$B$3:$B$60,'TP-b'!$A$3:$A$60,"3F4D+MD",'TP-b'!$E$3:$E$60,1)&gt;0,_xlfn.MINIFS('TP-b'!$B$3:$B$60,'TP-b'!$A$3:$A$60,"3F4D+MD",'TP-b'!$E$3:$E$60,1),"")))</f>
        <v/>
      </c>
      <c r="EA56" s="28">
        <f>IF(EA1="","",IF(_xlfn.MAXIFS('TP-b'!$B$3:$B$60,'TP-b'!$A$3:$A$60,"3F4D+MD",'TP-b'!$E$3:$E$60,1,'TP-b'!$B$3:$B$60,"&lt;="&amp;EA1)&gt;0,_xlfn.MAXIFS('TP-b'!$B$3:$B$60,'TP-b'!$A$3:$A$60,"3F4D+MD",'TP-b'!$E$3:$E$60,1,'TP-b'!$B$3:$B$60,"&lt;="&amp;EA1),IF(_xlfn.MINIFS('TP-b'!$B$3:$B$60,'TP-b'!$A$3:$A$60,"3F4D+MD",'TP-b'!$E$3:$E$60,1)&gt;0,_xlfn.MINIFS('TP-b'!$B$3:$B$60,'TP-b'!$A$3:$A$60,"3F4D+MD",'TP-b'!$E$3:$E$60,1),"")))</f>
        <v/>
      </c>
      <c r="EB56" s="28">
        <f>IF(EB1="","",IF(_xlfn.MAXIFS('TP-b'!$B$3:$B$60,'TP-b'!$A$3:$A$60,"3F4D+MD",'TP-b'!$E$3:$E$60,1,'TP-b'!$B$3:$B$60,"&lt;="&amp;EB1)&gt;0,_xlfn.MAXIFS('TP-b'!$B$3:$B$60,'TP-b'!$A$3:$A$60,"3F4D+MD",'TP-b'!$E$3:$E$60,1,'TP-b'!$B$3:$B$60,"&lt;="&amp;EB1),IF(_xlfn.MINIFS('TP-b'!$B$3:$B$60,'TP-b'!$A$3:$A$60,"3F4D+MD",'TP-b'!$E$3:$E$60,1)&gt;0,_xlfn.MINIFS('TP-b'!$B$3:$B$60,'TP-b'!$A$3:$A$60,"3F4D+MD",'TP-b'!$E$3:$E$60,1),"")))</f>
        <v/>
      </c>
      <c r="EC56" s="28">
        <f>IF(EC1="","",IF(_xlfn.MAXIFS('TP-b'!$B$3:$B$60,'TP-b'!$A$3:$A$60,"3F4D+MD",'TP-b'!$E$3:$E$60,1,'TP-b'!$B$3:$B$60,"&lt;="&amp;EC1)&gt;0,_xlfn.MAXIFS('TP-b'!$B$3:$B$60,'TP-b'!$A$3:$A$60,"3F4D+MD",'TP-b'!$E$3:$E$60,1,'TP-b'!$B$3:$B$60,"&lt;="&amp;EC1),IF(_xlfn.MINIFS('TP-b'!$B$3:$B$60,'TP-b'!$A$3:$A$60,"3F4D+MD",'TP-b'!$E$3:$E$60,1)&gt;0,_xlfn.MINIFS('TP-b'!$B$3:$B$60,'TP-b'!$A$3:$A$60,"3F4D+MD",'TP-b'!$E$3:$E$60,1),"")))</f>
        <v/>
      </c>
      <c r="ED56" s="28">
        <f>IF(ED1="","",IF(_xlfn.MAXIFS('TP-b'!$B$3:$B$60,'TP-b'!$A$3:$A$60,"3F4D+MD",'TP-b'!$E$3:$E$60,1,'TP-b'!$B$3:$B$60,"&lt;="&amp;ED1)&gt;0,_xlfn.MAXIFS('TP-b'!$B$3:$B$60,'TP-b'!$A$3:$A$60,"3F4D+MD",'TP-b'!$E$3:$E$60,1,'TP-b'!$B$3:$B$60,"&lt;="&amp;ED1),IF(_xlfn.MINIFS('TP-b'!$B$3:$B$60,'TP-b'!$A$3:$A$60,"3F4D+MD",'TP-b'!$E$3:$E$60,1)&gt;0,_xlfn.MINIFS('TP-b'!$B$3:$B$60,'TP-b'!$A$3:$A$60,"3F4D+MD",'TP-b'!$E$3:$E$60,1),"")))</f>
        <v/>
      </c>
      <c r="EE56" s="28">
        <f>IF(EE1="","",IF(_xlfn.MAXIFS('TP-b'!$B$3:$B$60,'TP-b'!$A$3:$A$60,"3F4D+MD",'TP-b'!$E$3:$E$60,1,'TP-b'!$B$3:$B$60,"&lt;="&amp;EE1)&gt;0,_xlfn.MAXIFS('TP-b'!$B$3:$B$60,'TP-b'!$A$3:$A$60,"3F4D+MD",'TP-b'!$E$3:$E$60,1,'TP-b'!$B$3:$B$60,"&lt;="&amp;EE1),IF(_xlfn.MINIFS('TP-b'!$B$3:$B$60,'TP-b'!$A$3:$A$60,"3F4D+MD",'TP-b'!$E$3:$E$60,1)&gt;0,_xlfn.MINIFS('TP-b'!$B$3:$B$60,'TP-b'!$A$3:$A$60,"3F4D+MD",'TP-b'!$E$3:$E$60,1),"")))</f>
        <v/>
      </c>
      <c r="EF56" s="28">
        <f>IF(EF1="","",IF(_xlfn.MAXIFS('TP-b'!$B$3:$B$60,'TP-b'!$A$3:$A$60,"3F4D+MD",'TP-b'!$E$3:$E$60,1,'TP-b'!$B$3:$B$60,"&lt;="&amp;EF1)&gt;0,_xlfn.MAXIFS('TP-b'!$B$3:$B$60,'TP-b'!$A$3:$A$60,"3F4D+MD",'TP-b'!$E$3:$E$60,1,'TP-b'!$B$3:$B$60,"&lt;="&amp;EF1),IF(_xlfn.MINIFS('TP-b'!$B$3:$B$60,'TP-b'!$A$3:$A$60,"3F4D+MD",'TP-b'!$E$3:$E$60,1)&gt;0,_xlfn.MINIFS('TP-b'!$B$3:$B$60,'TP-b'!$A$3:$A$60,"3F4D+MD",'TP-b'!$E$3:$E$60,1),"")))</f>
        <v/>
      </c>
      <c r="EG56" s="28">
        <f>IF(EG1="","",IF(_xlfn.MAXIFS('TP-b'!$B$3:$B$60,'TP-b'!$A$3:$A$60,"3F4D+MD",'TP-b'!$E$3:$E$60,1,'TP-b'!$B$3:$B$60,"&lt;="&amp;EG1)&gt;0,_xlfn.MAXIFS('TP-b'!$B$3:$B$60,'TP-b'!$A$3:$A$60,"3F4D+MD",'TP-b'!$E$3:$E$60,1,'TP-b'!$B$3:$B$60,"&lt;="&amp;EG1),IF(_xlfn.MINIFS('TP-b'!$B$3:$B$60,'TP-b'!$A$3:$A$60,"3F4D+MD",'TP-b'!$E$3:$E$60,1)&gt;0,_xlfn.MINIFS('TP-b'!$B$3:$B$60,'TP-b'!$A$3:$A$60,"3F4D+MD",'TP-b'!$E$3:$E$60,1),"")))</f>
        <v/>
      </c>
      <c r="EH56" s="28">
        <f>IF(EH1="","",IF(_xlfn.MAXIFS('TP-b'!$B$3:$B$60,'TP-b'!$A$3:$A$60,"3F4D+MD",'TP-b'!$E$3:$E$60,1,'TP-b'!$B$3:$B$60,"&lt;="&amp;EH1)&gt;0,_xlfn.MAXIFS('TP-b'!$B$3:$B$60,'TP-b'!$A$3:$A$60,"3F4D+MD",'TP-b'!$E$3:$E$60,1,'TP-b'!$B$3:$B$60,"&lt;="&amp;EH1),IF(_xlfn.MINIFS('TP-b'!$B$3:$B$60,'TP-b'!$A$3:$A$60,"3F4D+MD",'TP-b'!$E$3:$E$60,1)&gt;0,_xlfn.MINIFS('TP-b'!$B$3:$B$60,'TP-b'!$A$3:$A$60,"3F4D+MD",'TP-b'!$E$3:$E$60,1),"")))</f>
        <v/>
      </c>
      <c r="EI56" s="28">
        <f>IF(EI1="","",IF(_xlfn.MAXIFS('TP-b'!$B$3:$B$60,'TP-b'!$A$3:$A$60,"3F4D+MD",'TP-b'!$E$3:$E$60,1,'TP-b'!$B$3:$B$60,"&lt;="&amp;EI1)&gt;0,_xlfn.MAXIFS('TP-b'!$B$3:$B$60,'TP-b'!$A$3:$A$60,"3F4D+MD",'TP-b'!$E$3:$E$60,1,'TP-b'!$B$3:$B$60,"&lt;="&amp;EI1),IF(_xlfn.MINIFS('TP-b'!$B$3:$B$60,'TP-b'!$A$3:$A$60,"3F4D+MD",'TP-b'!$E$3:$E$60,1)&gt;0,_xlfn.MINIFS('TP-b'!$B$3:$B$60,'TP-b'!$A$3:$A$60,"3F4D+MD",'TP-b'!$E$3:$E$60,1),"")))</f>
        <v/>
      </c>
      <c r="EJ56" s="28">
        <f>IF(EJ1="","",IF(_xlfn.MAXIFS('TP-b'!$B$3:$B$60,'TP-b'!$A$3:$A$60,"3F4D+MD",'TP-b'!$E$3:$E$60,1,'TP-b'!$B$3:$B$60,"&lt;="&amp;EJ1)&gt;0,_xlfn.MAXIFS('TP-b'!$B$3:$B$60,'TP-b'!$A$3:$A$60,"3F4D+MD",'TP-b'!$E$3:$E$60,1,'TP-b'!$B$3:$B$60,"&lt;="&amp;EJ1),IF(_xlfn.MINIFS('TP-b'!$B$3:$B$60,'TP-b'!$A$3:$A$60,"3F4D+MD",'TP-b'!$E$3:$E$60,1)&gt;0,_xlfn.MINIFS('TP-b'!$B$3:$B$60,'TP-b'!$A$3:$A$60,"3F4D+MD",'TP-b'!$E$3:$E$60,1),"")))</f>
        <v/>
      </c>
      <c r="EK56" s="28">
        <f>IF(EK1="","",IF(_xlfn.MAXIFS('TP-b'!$B$3:$B$60,'TP-b'!$A$3:$A$60,"3F4D+MD",'TP-b'!$E$3:$E$60,1,'TP-b'!$B$3:$B$60,"&lt;="&amp;EK1)&gt;0,_xlfn.MAXIFS('TP-b'!$B$3:$B$60,'TP-b'!$A$3:$A$60,"3F4D+MD",'TP-b'!$E$3:$E$60,1,'TP-b'!$B$3:$B$60,"&lt;="&amp;EK1),IF(_xlfn.MINIFS('TP-b'!$B$3:$B$60,'TP-b'!$A$3:$A$60,"3F4D+MD",'TP-b'!$E$3:$E$60,1)&gt;0,_xlfn.MINIFS('TP-b'!$B$3:$B$60,'TP-b'!$A$3:$A$60,"3F4D+MD",'TP-b'!$E$3:$E$60,1),"")))</f>
        <v/>
      </c>
      <c r="EL56" s="28">
        <f>IF(EL1="","",IF(_xlfn.MAXIFS('TP-b'!$B$3:$B$60,'TP-b'!$A$3:$A$60,"3F4D+MD",'TP-b'!$E$3:$E$60,1,'TP-b'!$B$3:$B$60,"&lt;="&amp;EL1)&gt;0,_xlfn.MAXIFS('TP-b'!$B$3:$B$60,'TP-b'!$A$3:$A$60,"3F4D+MD",'TP-b'!$E$3:$E$60,1,'TP-b'!$B$3:$B$60,"&lt;="&amp;EL1),IF(_xlfn.MINIFS('TP-b'!$B$3:$B$60,'TP-b'!$A$3:$A$60,"3F4D+MD",'TP-b'!$E$3:$E$60,1)&gt;0,_xlfn.MINIFS('TP-b'!$B$3:$B$60,'TP-b'!$A$3:$A$60,"3F4D+MD",'TP-b'!$E$3:$E$60,1),"")))</f>
        <v/>
      </c>
      <c r="EM56" s="28">
        <f>IF(EM1="","",IF(_xlfn.MAXIFS('TP-b'!$B$3:$B$60,'TP-b'!$A$3:$A$60,"3F4D+MD",'TP-b'!$E$3:$E$60,1,'TP-b'!$B$3:$B$60,"&lt;="&amp;EM1)&gt;0,_xlfn.MAXIFS('TP-b'!$B$3:$B$60,'TP-b'!$A$3:$A$60,"3F4D+MD",'TP-b'!$E$3:$E$60,1,'TP-b'!$B$3:$B$60,"&lt;="&amp;EM1),IF(_xlfn.MINIFS('TP-b'!$B$3:$B$60,'TP-b'!$A$3:$A$60,"3F4D+MD",'TP-b'!$E$3:$E$60,1)&gt;0,_xlfn.MINIFS('TP-b'!$B$3:$B$60,'TP-b'!$A$3:$A$60,"3F4D+MD",'TP-b'!$E$3:$E$60,1),"")))</f>
        <v/>
      </c>
      <c r="EN56" s="28">
        <f>IF(EN1="","",IF(_xlfn.MAXIFS('TP-b'!$B$3:$B$60,'TP-b'!$A$3:$A$60,"3F4D+MD",'TP-b'!$E$3:$E$60,1,'TP-b'!$B$3:$B$60,"&lt;="&amp;EN1)&gt;0,_xlfn.MAXIFS('TP-b'!$B$3:$B$60,'TP-b'!$A$3:$A$60,"3F4D+MD",'TP-b'!$E$3:$E$60,1,'TP-b'!$B$3:$B$60,"&lt;="&amp;EN1),IF(_xlfn.MINIFS('TP-b'!$B$3:$B$60,'TP-b'!$A$3:$A$60,"3F4D+MD",'TP-b'!$E$3:$E$60,1)&gt;0,_xlfn.MINIFS('TP-b'!$B$3:$B$60,'TP-b'!$A$3:$A$60,"3F4D+MD",'TP-b'!$E$3:$E$60,1),"")))</f>
        <v/>
      </c>
      <c r="EO56" s="28">
        <f>IF(EO1="","",IF(_xlfn.MAXIFS('TP-b'!$B$3:$B$60,'TP-b'!$A$3:$A$60,"3F4D+MD",'TP-b'!$E$3:$E$60,1,'TP-b'!$B$3:$B$60,"&lt;="&amp;EO1)&gt;0,_xlfn.MAXIFS('TP-b'!$B$3:$B$60,'TP-b'!$A$3:$A$60,"3F4D+MD",'TP-b'!$E$3:$E$60,1,'TP-b'!$B$3:$B$60,"&lt;="&amp;EO1),IF(_xlfn.MINIFS('TP-b'!$B$3:$B$60,'TP-b'!$A$3:$A$60,"3F4D+MD",'TP-b'!$E$3:$E$60,1)&gt;0,_xlfn.MINIFS('TP-b'!$B$3:$B$60,'TP-b'!$A$3:$A$60,"3F4D+MD",'TP-b'!$E$3:$E$60,1),"")))</f>
        <v/>
      </c>
      <c r="EP56" s="28">
        <f>IF(EP1="","",IF(_xlfn.MAXIFS('TP-b'!$B$3:$B$60,'TP-b'!$A$3:$A$60,"3F4D+MD",'TP-b'!$E$3:$E$60,1,'TP-b'!$B$3:$B$60,"&lt;="&amp;EP1)&gt;0,_xlfn.MAXIFS('TP-b'!$B$3:$B$60,'TP-b'!$A$3:$A$60,"3F4D+MD",'TP-b'!$E$3:$E$60,1,'TP-b'!$B$3:$B$60,"&lt;="&amp;EP1),IF(_xlfn.MINIFS('TP-b'!$B$3:$B$60,'TP-b'!$A$3:$A$60,"3F4D+MD",'TP-b'!$E$3:$E$60,1)&gt;0,_xlfn.MINIFS('TP-b'!$B$3:$B$60,'TP-b'!$A$3:$A$60,"3F4D+MD",'TP-b'!$E$3:$E$60,1),"")))</f>
        <v/>
      </c>
      <c r="EQ56" s="28">
        <f>IF(EQ1="","",IF(_xlfn.MAXIFS('TP-b'!$B$3:$B$60,'TP-b'!$A$3:$A$60,"3F4D+MD",'TP-b'!$E$3:$E$60,1,'TP-b'!$B$3:$B$60,"&lt;="&amp;EQ1)&gt;0,_xlfn.MAXIFS('TP-b'!$B$3:$B$60,'TP-b'!$A$3:$A$60,"3F4D+MD",'TP-b'!$E$3:$E$60,1,'TP-b'!$B$3:$B$60,"&lt;="&amp;EQ1),IF(_xlfn.MINIFS('TP-b'!$B$3:$B$60,'TP-b'!$A$3:$A$60,"3F4D+MD",'TP-b'!$E$3:$E$60,1)&gt;0,_xlfn.MINIFS('TP-b'!$B$3:$B$60,'TP-b'!$A$3:$A$60,"3F4D+MD",'TP-b'!$E$3:$E$60,1),"")))</f>
        <v/>
      </c>
      <c r="ER56" s="28">
        <f>IF(ER1="","",IF(_xlfn.MAXIFS('TP-b'!$B$3:$B$60,'TP-b'!$A$3:$A$60,"3F4D+MD",'TP-b'!$E$3:$E$60,1,'TP-b'!$B$3:$B$60,"&lt;="&amp;ER1)&gt;0,_xlfn.MAXIFS('TP-b'!$B$3:$B$60,'TP-b'!$A$3:$A$60,"3F4D+MD",'TP-b'!$E$3:$E$60,1,'TP-b'!$B$3:$B$60,"&lt;="&amp;ER1),IF(_xlfn.MINIFS('TP-b'!$B$3:$B$60,'TP-b'!$A$3:$A$60,"3F4D+MD",'TP-b'!$E$3:$E$60,1)&gt;0,_xlfn.MINIFS('TP-b'!$B$3:$B$60,'TP-b'!$A$3:$A$60,"3F4D+MD",'TP-b'!$E$3:$E$60,1),"")))</f>
        <v/>
      </c>
      <c r="ES56" s="28">
        <f>IF(ES1="","",IF(_xlfn.MAXIFS('TP-b'!$B$3:$B$60,'TP-b'!$A$3:$A$60,"3F4D+MD",'TP-b'!$E$3:$E$60,1,'TP-b'!$B$3:$B$60,"&lt;="&amp;ES1)&gt;0,_xlfn.MAXIFS('TP-b'!$B$3:$B$60,'TP-b'!$A$3:$A$60,"3F4D+MD",'TP-b'!$E$3:$E$60,1,'TP-b'!$B$3:$B$60,"&lt;="&amp;ES1),IF(_xlfn.MINIFS('TP-b'!$B$3:$B$60,'TP-b'!$A$3:$A$60,"3F4D+MD",'TP-b'!$E$3:$E$60,1)&gt;0,_xlfn.MINIFS('TP-b'!$B$3:$B$60,'TP-b'!$A$3:$A$60,"3F4D+MD",'TP-b'!$E$3:$E$60,1),"")))</f>
        <v/>
      </c>
      <c r="ET56" s="28">
        <f>IF(ET1="","",IF(_xlfn.MAXIFS('TP-b'!$B$3:$B$60,'TP-b'!$A$3:$A$60,"3F4D+MD",'TP-b'!$E$3:$E$60,1,'TP-b'!$B$3:$B$60,"&lt;="&amp;ET1)&gt;0,_xlfn.MAXIFS('TP-b'!$B$3:$B$60,'TP-b'!$A$3:$A$60,"3F4D+MD",'TP-b'!$E$3:$E$60,1,'TP-b'!$B$3:$B$60,"&lt;="&amp;ET1),IF(_xlfn.MINIFS('TP-b'!$B$3:$B$60,'TP-b'!$A$3:$A$60,"3F4D+MD",'TP-b'!$E$3:$E$60,1)&gt;0,_xlfn.MINIFS('TP-b'!$B$3:$B$60,'TP-b'!$A$3:$A$60,"3F4D+MD",'TP-b'!$E$3:$E$60,1),"")))</f>
        <v/>
      </c>
      <c r="EU56" s="28">
        <f>IF(EU1="","",IF(_xlfn.MAXIFS('TP-b'!$B$3:$B$60,'TP-b'!$A$3:$A$60,"3F4D+MD",'TP-b'!$E$3:$E$60,1,'TP-b'!$B$3:$B$60,"&lt;="&amp;EU1)&gt;0,_xlfn.MAXIFS('TP-b'!$B$3:$B$60,'TP-b'!$A$3:$A$60,"3F4D+MD",'TP-b'!$E$3:$E$60,1,'TP-b'!$B$3:$B$60,"&lt;="&amp;EU1),IF(_xlfn.MINIFS('TP-b'!$B$3:$B$60,'TP-b'!$A$3:$A$60,"3F4D+MD",'TP-b'!$E$3:$E$60,1)&gt;0,_xlfn.MINIFS('TP-b'!$B$3:$B$60,'TP-b'!$A$3:$A$60,"3F4D+MD",'TP-b'!$E$3:$E$60,1),"")))</f>
        <v/>
      </c>
      <c r="EV56" s="28">
        <f>IF(EV1="","",IF(_xlfn.MAXIFS('TP-b'!$B$3:$B$60,'TP-b'!$A$3:$A$60,"3F4D+MD",'TP-b'!$E$3:$E$60,1,'TP-b'!$B$3:$B$60,"&lt;="&amp;EV1)&gt;0,_xlfn.MAXIFS('TP-b'!$B$3:$B$60,'TP-b'!$A$3:$A$60,"3F4D+MD",'TP-b'!$E$3:$E$60,1,'TP-b'!$B$3:$B$60,"&lt;="&amp;EV1),IF(_xlfn.MINIFS('TP-b'!$B$3:$B$60,'TP-b'!$A$3:$A$60,"3F4D+MD",'TP-b'!$E$3:$E$60,1)&gt;0,_xlfn.MINIFS('TP-b'!$B$3:$B$60,'TP-b'!$A$3:$A$60,"3F4D+MD",'TP-b'!$E$3:$E$60,1),"")))</f>
        <v/>
      </c>
      <c r="EW56" s="28">
        <f>IF(EW1="","",IF(_xlfn.MAXIFS('TP-b'!$B$3:$B$60,'TP-b'!$A$3:$A$60,"3F4D+MD",'TP-b'!$E$3:$E$60,1,'TP-b'!$B$3:$B$60,"&lt;="&amp;EW1)&gt;0,_xlfn.MAXIFS('TP-b'!$B$3:$B$60,'TP-b'!$A$3:$A$60,"3F4D+MD",'TP-b'!$E$3:$E$60,1,'TP-b'!$B$3:$B$60,"&lt;="&amp;EW1),IF(_xlfn.MINIFS('TP-b'!$B$3:$B$60,'TP-b'!$A$3:$A$60,"3F4D+MD",'TP-b'!$E$3:$E$60,1)&gt;0,_xlfn.MINIFS('TP-b'!$B$3:$B$60,'TP-b'!$A$3:$A$60,"3F4D+MD",'TP-b'!$E$3:$E$60,1),"")))</f>
        <v/>
      </c>
      <c r="EX56" s="28">
        <f>IF(EX1="","",IF(_xlfn.MAXIFS('TP-b'!$B$3:$B$60,'TP-b'!$A$3:$A$60,"3F4D+MD",'TP-b'!$E$3:$E$60,1,'TP-b'!$B$3:$B$60,"&lt;="&amp;EX1)&gt;0,_xlfn.MAXIFS('TP-b'!$B$3:$B$60,'TP-b'!$A$3:$A$60,"3F4D+MD",'TP-b'!$E$3:$E$60,1,'TP-b'!$B$3:$B$60,"&lt;="&amp;EX1),IF(_xlfn.MINIFS('TP-b'!$B$3:$B$60,'TP-b'!$A$3:$A$60,"3F4D+MD",'TP-b'!$E$3:$E$60,1)&gt;0,_xlfn.MINIFS('TP-b'!$B$3:$B$60,'TP-b'!$A$3:$A$60,"3F4D+MD",'TP-b'!$E$3:$E$60,1),"")))</f>
        <v/>
      </c>
      <c r="EY56" s="28">
        <f>IF(EY1="","",IF(_xlfn.MAXIFS('TP-b'!$B$3:$B$60,'TP-b'!$A$3:$A$60,"3F4D+MD",'TP-b'!$E$3:$E$60,1,'TP-b'!$B$3:$B$60,"&lt;="&amp;EY1)&gt;0,_xlfn.MAXIFS('TP-b'!$B$3:$B$60,'TP-b'!$A$3:$A$60,"3F4D+MD",'TP-b'!$E$3:$E$60,1,'TP-b'!$B$3:$B$60,"&lt;="&amp;EY1),IF(_xlfn.MINIFS('TP-b'!$B$3:$B$60,'TP-b'!$A$3:$A$60,"3F4D+MD",'TP-b'!$E$3:$E$60,1)&gt;0,_xlfn.MINIFS('TP-b'!$B$3:$B$60,'TP-b'!$A$3:$A$60,"3F4D+MD",'TP-b'!$E$3:$E$60,1),"")))</f>
        <v/>
      </c>
      <c r="EZ56" s="28">
        <f>IF(EZ1="","",IF(_xlfn.MAXIFS('TP-b'!$B$3:$B$60,'TP-b'!$A$3:$A$60,"3F4D+MD",'TP-b'!$E$3:$E$60,1,'TP-b'!$B$3:$B$60,"&lt;="&amp;EZ1)&gt;0,_xlfn.MAXIFS('TP-b'!$B$3:$B$60,'TP-b'!$A$3:$A$60,"3F4D+MD",'TP-b'!$E$3:$E$60,1,'TP-b'!$B$3:$B$60,"&lt;="&amp;EZ1),IF(_xlfn.MINIFS('TP-b'!$B$3:$B$60,'TP-b'!$A$3:$A$60,"3F4D+MD",'TP-b'!$E$3:$E$60,1)&gt;0,_xlfn.MINIFS('TP-b'!$B$3:$B$60,'TP-b'!$A$3:$A$60,"3F4D+MD",'TP-b'!$E$3:$E$60,1),"")))</f>
        <v/>
      </c>
      <c r="FA56" s="28">
        <f>IF(FA1="","",IF(_xlfn.MAXIFS('TP-b'!$B$3:$B$60,'TP-b'!$A$3:$A$60,"3F4D+MD",'TP-b'!$E$3:$E$60,1,'TP-b'!$B$3:$B$60,"&lt;="&amp;FA1)&gt;0,_xlfn.MAXIFS('TP-b'!$B$3:$B$60,'TP-b'!$A$3:$A$60,"3F4D+MD",'TP-b'!$E$3:$E$60,1,'TP-b'!$B$3:$B$60,"&lt;="&amp;FA1),IF(_xlfn.MINIFS('TP-b'!$B$3:$B$60,'TP-b'!$A$3:$A$60,"3F4D+MD",'TP-b'!$E$3:$E$60,1)&gt;0,_xlfn.MINIFS('TP-b'!$B$3:$B$60,'TP-b'!$A$3:$A$60,"3F4D+MD",'TP-b'!$E$3:$E$60,1),"")))</f>
        <v/>
      </c>
      <c r="FB56" s="28">
        <f>IF(FB1="","",IF(_xlfn.MAXIFS('TP-b'!$B$3:$B$60,'TP-b'!$A$3:$A$60,"3F4D+MD",'TP-b'!$E$3:$E$60,1,'TP-b'!$B$3:$B$60,"&lt;="&amp;FB1)&gt;0,_xlfn.MAXIFS('TP-b'!$B$3:$B$60,'TP-b'!$A$3:$A$60,"3F4D+MD",'TP-b'!$E$3:$E$60,1,'TP-b'!$B$3:$B$60,"&lt;="&amp;FB1),IF(_xlfn.MINIFS('TP-b'!$B$3:$B$60,'TP-b'!$A$3:$A$60,"3F4D+MD",'TP-b'!$E$3:$E$60,1)&gt;0,_xlfn.MINIFS('TP-b'!$B$3:$B$60,'TP-b'!$A$3:$A$60,"3F4D+MD",'TP-b'!$E$3:$E$60,1),"")))</f>
        <v/>
      </c>
      <c r="FC56" s="28">
        <f>IF(FC1="","",IF(_xlfn.MAXIFS('TP-b'!$B$3:$B$60,'TP-b'!$A$3:$A$60,"3F4D+MD",'TP-b'!$E$3:$E$60,1,'TP-b'!$B$3:$B$60,"&lt;="&amp;FC1)&gt;0,_xlfn.MAXIFS('TP-b'!$B$3:$B$60,'TP-b'!$A$3:$A$60,"3F4D+MD",'TP-b'!$E$3:$E$60,1,'TP-b'!$B$3:$B$60,"&lt;="&amp;FC1),IF(_xlfn.MINIFS('TP-b'!$B$3:$B$60,'TP-b'!$A$3:$A$60,"3F4D+MD",'TP-b'!$E$3:$E$60,1)&gt;0,_xlfn.MINIFS('TP-b'!$B$3:$B$60,'TP-b'!$A$3:$A$60,"3F4D+MD",'TP-b'!$E$3:$E$60,1),"")))</f>
        <v/>
      </c>
      <c r="FD56" s="28">
        <f>IF(FD1="","",IF(_xlfn.MAXIFS('TP-b'!$B$3:$B$60,'TP-b'!$A$3:$A$60,"3F4D+MD",'TP-b'!$E$3:$E$60,1,'TP-b'!$B$3:$B$60,"&lt;="&amp;FD1)&gt;0,_xlfn.MAXIFS('TP-b'!$B$3:$B$60,'TP-b'!$A$3:$A$60,"3F4D+MD",'TP-b'!$E$3:$E$60,1,'TP-b'!$B$3:$B$60,"&lt;="&amp;FD1),IF(_xlfn.MINIFS('TP-b'!$B$3:$B$60,'TP-b'!$A$3:$A$60,"3F4D+MD",'TP-b'!$E$3:$E$60,1)&gt;0,_xlfn.MINIFS('TP-b'!$B$3:$B$60,'TP-b'!$A$3:$A$60,"3F4D+MD",'TP-b'!$E$3:$E$60,1),"")))</f>
        <v/>
      </c>
      <c r="FE56" s="28">
        <f>IF(FE1="","",IF(_xlfn.MAXIFS('TP-b'!$B$3:$B$60,'TP-b'!$A$3:$A$60,"3F4D+MD",'TP-b'!$E$3:$E$60,1,'TP-b'!$B$3:$B$60,"&lt;="&amp;FE1)&gt;0,_xlfn.MAXIFS('TP-b'!$B$3:$B$60,'TP-b'!$A$3:$A$60,"3F4D+MD",'TP-b'!$E$3:$E$60,1,'TP-b'!$B$3:$B$60,"&lt;="&amp;FE1),IF(_xlfn.MINIFS('TP-b'!$B$3:$B$60,'TP-b'!$A$3:$A$60,"3F4D+MD",'TP-b'!$E$3:$E$60,1)&gt;0,_xlfn.MINIFS('TP-b'!$B$3:$B$60,'TP-b'!$A$3:$A$60,"3F4D+MD",'TP-b'!$E$3:$E$60,1),"")))</f>
        <v/>
      </c>
      <c r="FF56" s="28">
        <f>IF(FF1="","",IF(_xlfn.MAXIFS('TP-b'!$B$3:$B$60,'TP-b'!$A$3:$A$60,"3F4D+MD",'TP-b'!$E$3:$E$60,1,'TP-b'!$B$3:$B$60,"&lt;="&amp;FF1)&gt;0,_xlfn.MAXIFS('TP-b'!$B$3:$B$60,'TP-b'!$A$3:$A$60,"3F4D+MD",'TP-b'!$E$3:$E$60,1,'TP-b'!$B$3:$B$60,"&lt;="&amp;FF1),IF(_xlfn.MINIFS('TP-b'!$B$3:$B$60,'TP-b'!$A$3:$A$60,"3F4D+MD",'TP-b'!$E$3:$E$60,1)&gt;0,_xlfn.MINIFS('TP-b'!$B$3:$B$60,'TP-b'!$A$3:$A$60,"3F4D+MD",'TP-b'!$E$3:$E$60,1),"")))</f>
        <v/>
      </c>
      <c r="FG56" s="28">
        <f>IF(FG1="","",IF(_xlfn.MAXIFS('TP-b'!$B$3:$B$60,'TP-b'!$A$3:$A$60,"3F4D+MD",'TP-b'!$E$3:$E$60,1,'TP-b'!$B$3:$B$60,"&lt;="&amp;FG1)&gt;0,_xlfn.MAXIFS('TP-b'!$B$3:$B$60,'TP-b'!$A$3:$A$60,"3F4D+MD",'TP-b'!$E$3:$E$60,1,'TP-b'!$B$3:$B$60,"&lt;="&amp;FG1),IF(_xlfn.MINIFS('TP-b'!$B$3:$B$60,'TP-b'!$A$3:$A$60,"3F4D+MD",'TP-b'!$E$3:$E$60,1)&gt;0,_xlfn.MINIFS('TP-b'!$B$3:$B$60,'TP-b'!$A$3:$A$60,"3F4D+MD",'TP-b'!$E$3:$E$60,1),"")))</f>
        <v/>
      </c>
      <c r="FH56" s="28">
        <f>IF(FH1="","",IF(_xlfn.MAXIFS('TP-b'!$B$3:$B$60,'TP-b'!$A$3:$A$60,"3F4D+MD",'TP-b'!$E$3:$E$60,1,'TP-b'!$B$3:$B$60,"&lt;="&amp;FH1)&gt;0,_xlfn.MAXIFS('TP-b'!$B$3:$B$60,'TP-b'!$A$3:$A$60,"3F4D+MD",'TP-b'!$E$3:$E$60,1,'TP-b'!$B$3:$B$60,"&lt;="&amp;FH1),IF(_xlfn.MINIFS('TP-b'!$B$3:$B$60,'TP-b'!$A$3:$A$60,"3F4D+MD",'TP-b'!$E$3:$E$60,1)&gt;0,_xlfn.MINIFS('TP-b'!$B$3:$B$60,'TP-b'!$A$3:$A$60,"3F4D+MD",'TP-b'!$E$3:$E$60,1),"")))</f>
        <v/>
      </c>
      <c r="FI56" s="28">
        <f>IF(FI1="","",IF(_xlfn.MAXIFS('TP-b'!$B$3:$B$60,'TP-b'!$A$3:$A$60,"3F4D+MD",'TP-b'!$E$3:$E$60,1,'TP-b'!$B$3:$B$60,"&lt;="&amp;FI1)&gt;0,_xlfn.MAXIFS('TP-b'!$B$3:$B$60,'TP-b'!$A$3:$A$60,"3F4D+MD",'TP-b'!$E$3:$E$60,1,'TP-b'!$B$3:$B$60,"&lt;="&amp;FI1),IF(_xlfn.MINIFS('TP-b'!$B$3:$B$60,'TP-b'!$A$3:$A$60,"3F4D+MD",'TP-b'!$E$3:$E$60,1)&gt;0,_xlfn.MINIFS('TP-b'!$B$3:$B$60,'TP-b'!$A$3:$A$60,"3F4D+MD",'TP-b'!$E$3:$E$60,1),"")))</f>
        <v/>
      </c>
      <c r="FJ56" s="28">
        <f>IF(FJ1="","",IF(_xlfn.MAXIFS('TP-b'!$B$3:$B$60,'TP-b'!$A$3:$A$60,"3F4D+MD",'TP-b'!$E$3:$E$60,1,'TP-b'!$B$3:$B$60,"&lt;="&amp;FJ1)&gt;0,_xlfn.MAXIFS('TP-b'!$B$3:$B$60,'TP-b'!$A$3:$A$60,"3F4D+MD",'TP-b'!$E$3:$E$60,1,'TP-b'!$B$3:$B$60,"&lt;="&amp;FJ1),IF(_xlfn.MINIFS('TP-b'!$B$3:$B$60,'TP-b'!$A$3:$A$60,"3F4D+MD",'TP-b'!$E$3:$E$60,1)&gt;0,_xlfn.MINIFS('TP-b'!$B$3:$B$60,'TP-b'!$A$3:$A$60,"3F4D+MD",'TP-b'!$E$3:$E$60,1),"")))</f>
        <v/>
      </c>
      <c r="FK56" s="28">
        <f>IF(FK1="","",IF(_xlfn.MAXIFS('TP-b'!$B$3:$B$60,'TP-b'!$A$3:$A$60,"3F4D+MD",'TP-b'!$E$3:$E$60,1,'TP-b'!$B$3:$B$60,"&lt;="&amp;FK1)&gt;0,_xlfn.MAXIFS('TP-b'!$B$3:$B$60,'TP-b'!$A$3:$A$60,"3F4D+MD",'TP-b'!$E$3:$E$60,1,'TP-b'!$B$3:$B$60,"&lt;="&amp;FK1),IF(_xlfn.MINIFS('TP-b'!$B$3:$B$60,'TP-b'!$A$3:$A$60,"3F4D+MD",'TP-b'!$E$3:$E$60,1)&gt;0,_xlfn.MINIFS('TP-b'!$B$3:$B$60,'TP-b'!$A$3:$A$60,"3F4D+MD",'TP-b'!$E$3:$E$60,1),"")))</f>
        <v/>
      </c>
      <c r="FL56" s="28">
        <f>IF(FL1="","",IF(_xlfn.MAXIFS('TP-b'!$B$3:$B$60,'TP-b'!$A$3:$A$60,"3F4D+MD",'TP-b'!$E$3:$E$60,1,'TP-b'!$B$3:$B$60,"&lt;="&amp;FL1)&gt;0,_xlfn.MAXIFS('TP-b'!$B$3:$B$60,'TP-b'!$A$3:$A$60,"3F4D+MD",'TP-b'!$E$3:$E$60,1,'TP-b'!$B$3:$B$60,"&lt;="&amp;FL1),IF(_xlfn.MINIFS('TP-b'!$B$3:$B$60,'TP-b'!$A$3:$A$60,"3F4D+MD",'TP-b'!$E$3:$E$60,1)&gt;0,_xlfn.MINIFS('TP-b'!$B$3:$B$60,'TP-b'!$A$3:$A$60,"3F4D+MD",'TP-b'!$E$3:$E$60,1),"")))</f>
        <v/>
      </c>
      <c r="FM56" s="28">
        <f>IF(FM1="","",IF(_xlfn.MAXIFS('TP-b'!$B$3:$B$60,'TP-b'!$A$3:$A$60,"3F4D+MD",'TP-b'!$E$3:$E$60,1,'TP-b'!$B$3:$B$60,"&lt;="&amp;FM1)&gt;0,_xlfn.MAXIFS('TP-b'!$B$3:$B$60,'TP-b'!$A$3:$A$60,"3F4D+MD",'TP-b'!$E$3:$E$60,1,'TP-b'!$B$3:$B$60,"&lt;="&amp;FM1),IF(_xlfn.MINIFS('TP-b'!$B$3:$B$60,'TP-b'!$A$3:$A$60,"3F4D+MD",'TP-b'!$E$3:$E$60,1)&gt;0,_xlfn.MINIFS('TP-b'!$B$3:$B$60,'TP-b'!$A$3:$A$60,"3F4D+MD",'TP-b'!$E$3:$E$60,1),"")))</f>
        <v/>
      </c>
      <c r="FN56" s="28">
        <f>IF(FN1="","",IF(_xlfn.MAXIFS('TP-b'!$B$3:$B$60,'TP-b'!$A$3:$A$60,"3F4D+MD",'TP-b'!$E$3:$E$60,1,'TP-b'!$B$3:$B$60,"&lt;="&amp;FN1)&gt;0,_xlfn.MAXIFS('TP-b'!$B$3:$B$60,'TP-b'!$A$3:$A$60,"3F4D+MD",'TP-b'!$E$3:$E$60,1,'TP-b'!$B$3:$B$60,"&lt;="&amp;FN1),IF(_xlfn.MINIFS('TP-b'!$B$3:$B$60,'TP-b'!$A$3:$A$60,"3F4D+MD",'TP-b'!$E$3:$E$60,1)&gt;0,_xlfn.MINIFS('TP-b'!$B$3:$B$60,'TP-b'!$A$3:$A$60,"3F4D+MD",'TP-b'!$E$3:$E$60,1),"")))</f>
        <v/>
      </c>
      <c r="FO56" s="28">
        <f>IF(FO1="","",IF(_xlfn.MAXIFS('TP-b'!$B$3:$B$60,'TP-b'!$A$3:$A$60,"3F4D+MD",'TP-b'!$E$3:$E$60,1,'TP-b'!$B$3:$B$60,"&lt;="&amp;FO1)&gt;0,_xlfn.MAXIFS('TP-b'!$B$3:$B$60,'TP-b'!$A$3:$A$60,"3F4D+MD",'TP-b'!$E$3:$E$60,1,'TP-b'!$B$3:$B$60,"&lt;="&amp;FO1),IF(_xlfn.MINIFS('TP-b'!$B$3:$B$60,'TP-b'!$A$3:$A$60,"3F4D+MD",'TP-b'!$E$3:$E$60,1)&gt;0,_xlfn.MINIFS('TP-b'!$B$3:$B$60,'TP-b'!$A$3:$A$60,"3F4D+MD",'TP-b'!$E$3:$E$60,1),"")))</f>
        <v/>
      </c>
      <c r="FP56" s="28">
        <f>IF(FP1="","",IF(_xlfn.MAXIFS('TP-b'!$B$3:$B$60,'TP-b'!$A$3:$A$60,"3F4D+MD",'TP-b'!$E$3:$E$60,1,'TP-b'!$B$3:$B$60,"&lt;="&amp;FP1)&gt;0,_xlfn.MAXIFS('TP-b'!$B$3:$B$60,'TP-b'!$A$3:$A$60,"3F4D+MD",'TP-b'!$E$3:$E$60,1,'TP-b'!$B$3:$B$60,"&lt;="&amp;FP1),IF(_xlfn.MINIFS('TP-b'!$B$3:$B$60,'TP-b'!$A$3:$A$60,"3F4D+MD",'TP-b'!$E$3:$E$60,1)&gt;0,_xlfn.MINIFS('TP-b'!$B$3:$B$60,'TP-b'!$A$3:$A$60,"3F4D+MD",'TP-b'!$E$3:$E$60,1),"")))</f>
        <v/>
      </c>
      <c r="FQ56" s="28">
        <f>IF(FQ1="","",IF(_xlfn.MAXIFS('TP-b'!$B$3:$B$60,'TP-b'!$A$3:$A$60,"3F4D+MD",'TP-b'!$E$3:$E$60,1,'TP-b'!$B$3:$B$60,"&lt;="&amp;FQ1)&gt;0,_xlfn.MAXIFS('TP-b'!$B$3:$B$60,'TP-b'!$A$3:$A$60,"3F4D+MD",'TP-b'!$E$3:$E$60,1,'TP-b'!$B$3:$B$60,"&lt;="&amp;FQ1),IF(_xlfn.MINIFS('TP-b'!$B$3:$B$60,'TP-b'!$A$3:$A$60,"3F4D+MD",'TP-b'!$E$3:$E$60,1)&gt;0,_xlfn.MINIFS('TP-b'!$B$3:$B$60,'TP-b'!$A$3:$A$60,"3F4D+MD",'TP-b'!$E$3:$E$60,1),"")))</f>
        <v/>
      </c>
    </row>
    <row r="57" hidden="1">
      <c r="A57" s="31" t="inlineStr">
        <is>
          <t>3F4D+MD</t>
        </is>
      </c>
      <c r="B57" s="32" t="inlineStr">
        <is>
          <t>(end of day level)</t>
        </is>
      </c>
      <c r="D57" s="18">
        <f>IF(D38="","",IF(ISNUMBER(D45),D45,D38))</f>
        <v/>
      </c>
      <c r="E57" s="18">
        <f>IF(E38="","",IF(ISNUMBER(E45),E45,E38))</f>
        <v/>
      </c>
      <c r="F57" s="18">
        <f>IF(F38="","",IF(ISNUMBER(F45),F45,F38))</f>
        <v/>
      </c>
      <c r="G57" s="18">
        <f>IF(G38="","",IF(ISNUMBER(G45),G45,G38))</f>
        <v/>
      </c>
      <c r="H57" s="18">
        <f>IF(H38="","",IF(ISNUMBER(H45),H45,H38))</f>
        <v/>
      </c>
      <c r="I57" s="18">
        <f>IF(I38="","",IF(ISNUMBER(I45),I45,I38))</f>
        <v/>
      </c>
      <c r="J57" s="18">
        <f>IF(J38="","",IF(ISNUMBER(J45),J45,J38))</f>
        <v/>
      </c>
      <c r="K57" s="18">
        <f>IF(K38="","",IF(ISNUMBER(K45),K45,K38))</f>
        <v/>
      </c>
      <c r="L57" s="18">
        <f>IF(L38="","",IF(ISNUMBER(L45),L45,L38))</f>
        <v/>
      </c>
      <c r="M57" s="18">
        <f>IF(M38="","",IF(ISNUMBER(M45),M45,M38))</f>
        <v/>
      </c>
      <c r="N57" s="18">
        <f>IF(N38="","",IF(ISNUMBER(N45),N45,N38))</f>
        <v/>
      </c>
      <c r="O57" s="18">
        <f>IF(O38="","",IF(ISNUMBER(O45),O45,O38))</f>
        <v/>
      </c>
      <c r="P57" s="18">
        <f>IF(P38="","",IF(ISNUMBER(P45),P45,P38))</f>
        <v/>
      </c>
      <c r="Q57" s="18">
        <f>IF(Q38="","",IF(ISNUMBER(Q45),Q45,Q38))</f>
        <v/>
      </c>
      <c r="R57" s="18">
        <f>IF(R38="","",IF(ISNUMBER(R45),R45,R38))</f>
        <v/>
      </c>
      <c r="S57" s="18">
        <f>IF(S38="","",IF(ISNUMBER(S45),S45,S38))</f>
        <v/>
      </c>
      <c r="T57" s="18">
        <f>IF(T38="","",IF(ISNUMBER(T45),T45,T38))</f>
        <v/>
      </c>
      <c r="U57" s="18">
        <f>IF(U38="","",IF(ISNUMBER(U45),U45,U38))</f>
        <v/>
      </c>
      <c r="V57" s="18">
        <f>IF(V38="","",IF(ISNUMBER(V45),V45,V38))</f>
        <v/>
      </c>
      <c r="W57" s="18">
        <f>IF(W38="","",IF(ISNUMBER(W45),W45,W38))</f>
        <v/>
      </c>
      <c r="X57" s="18">
        <f>IF(X38="","",IF(ISNUMBER(X45),X45,X38))</f>
        <v/>
      </c>
      <c r="Y57" s="18">
        <f>IF(Y38="","",IF(ISNUMBER(Y45),Y45,Y38))</f>
        <v/>
      </c>
      <c r="Z57" s="18">
        <f>IF(Z38="","",IF(ISNUMBER(Z45),Z45,Z38))</f>
        <v/>
      </c>
      <c r="AA57" s="18">
        <f>IF(AA38="","",IF(ISNUMBER(AA45),AA45,AA38))</f>
        <v/>
      </c>
      <c r="AB57" s="18">
        <f>IF(AB38="","",IF(ISNUMBER(AB45),AB45,AB38))</f>
        <v/>
      </c>
      <c r="AC57" s="18">
        <f>IF(AC38="","",IF(ISNUMBER(AC45),AC45,AC38))</f>
        <v/>
      </c>
      <c r="AD57" s="18">
        <f>IF(AD38="","",IF(ISNUMBER(AD45),AD45,AD38))</f>
        <v/>
      </c>
      <c r="AE57" s="18">
        <f>IF(AE38="","",IF(ISNUMBER(AE45),AE45,AE38))</f>
        <v/>
      </c>
      <c r="AF57" s="18">
        <f>IF(AF38="","",IF(ISNUMBER(AF45),AF45,AF38))</f>
        <v/>
      </c>
      <c r="AG57" s="18">
        <f>IF(AG38="","",IF(ISNUMBER(AG45),AG45,AG38))</f>
        <v/>
      </c>
      <c r="AH57" s="18">
        <f>IF(AH38="","",IF(ISNUMBER(AH45),AH45,AH38))</f>
        <v/>
      </c>
      <c r="AI57" s="18">
        <f>IF(AI38="","",IF(ISNUMBER(AI45),AI45,AI38))</f>
        <v/>
      </c>
      <c r="AJ57" s="18">
        <f>IF(AJ38="","",IF(ISNUMBER(AJ45),AJ45,AJ38))</f>
        <v/>
      </c>
      <c r="AK57" s="18">
        <f>IF(AK38="","",IF(ISNUMBER(AK45),AK45,AK38))</f>
        <v/>
      </c>
      <c r="AL57" s="18">
        <f>IF(AL38="","",IF(ISNUMBER(AL45),AL45,AL38))</f>
        <v/>
      </c>
      <c r="AM57" s="18">
        <f>IF(AM38="","",IF(ISNUMBER(AM45),AM45,AM38))</f>
        <v/>
      </c>
      <c r="AN57" s="18">
        <f>IF(AN38="","",IF(ISNUMBER(AN45),AN45,AN38))</f>
        <v/>
      </c>
      <c r="AO57" s="18">
        <f>IF(AO38="","",IF(ISNUMBER(AO45),AO45,AO38))</f>
        <v/>
      </c>
      <c r="AP57" s="18">
        <f>IF(AP38="","",IF(ISNUMBER(AP45),AP45,AP38))</f>
        <v/>
      </c>
      <c r="AQ57" s="18">
        <f>IF(AQ38="","",IF(ISNUMBER(AQ45),AQ45,AQ38))</f>
        <v/>
      </c>
      <c r="AR57" s="18">
        <f>IF(AR38="","",IF(ISNUMBER(AR45),AR45,AR38))</f>
        <v/>
      </c>
      <c r="AS57" s="18">
        <f>IF(AS38="","",IF(ISNUMBER(AS45),AS45,AS38))</f>
        <v/>
      </c>
      <c r="AT57" s="18">
        <f>IF(AT38="","",IF(ISNUMBER(AT45),AT45,AT38))</f>
        <v/>
      </c>
      <c r="AU57" s="18">
        <f>IF(AU38="","",IF(ISNUMBER(AU45),AU45,AU38))</f>
        <v/>
      </c>
      <c r="AV57" s="18">
        <f>IF(AV38="","",IF(ISNUMBER(AV45),AV45,AV38))</f>
        <v/>
      </c>
      <c r="AW57" s="18">
        <f>IF(AW38="","",IF(ISNUMBER(AW45),AW45,AW38))</f>
        <v/>
      </c>
      <c r="AX57" s="18">
        <f>IF(AX38="","",IF(ISNUMBER(AX45),AX45,AX38))</f>
        <v/>
      </c>
      <c r="AY57" s="18">
        <f>IF(AY38="","",IF(ISNUMBER(AY45),AY45,AY38))</f>
        <v/>
      </c>
      <c r="AZ57" s="18">
        <f>IF(AZ38="","",IF(ISNUMBER(AZ45),AZ45,AZ38))</f>
        <v/>
      </c>
      <c r="BA57" s="18">
        <f>IF(BA38="","",IF(ISNUMBER(BA45),BA45,BA38))</f>
        <v/>
      </c>
      <c r="BB57" s="18">
        <f>IF(BB38="","",IF(ISNUMBER(BB45),BB45,BB38))</f>
        <v/>
      </c>
      <c r="BC57" s="18">
        <f>IF(BC38="","",IF(ISNUMBER(BC45),BC45,BC38))</f>
        <v/>
      </c>
      <c r="BD57" s="18">
        <f>IF(BD38="","",IF(ISNUMBER(BD45),BD45,BD38))</f>
        <v/>
      </c>
      <c r="BE57" s="18">
        <f>IF(BE38="","",IF(ISNUMBER(BE45),BE45,BE38))</f>
        <v/>
      </c>
      <c r="BF57" s="18">
        <f>IF(BF38="","",IF(ISNUMBER(BF45),BF45,BF38))</f>
        <v/>
      </c>
      <c r="BG57" s="18">
        <f>IF(BG38="","",IF(ISNUMBER(BG45),BG45,BG38))</f>
        <v/>
      </c>
      <c r="BH57" s="18">
        <f>IF(BH38="","",IF(ISNUMBER(BH45),BH45,BH38))</f>
        <v/>
      </c>
      <c r="BI57" s="18">
        <f>IF(BI38="","",IF(ISNUMBER(BI45),BI45,BI38))</f>
        <v/>
      </c>
      <c r="BJ57" s="18">
        <f>IF(BJ38="","",IF(ISNUMBER(BJ45),BJ45,BJ38))</f>
        <v/>
      </c>
      <c r="BK57" s="18">
        <f>IF(BK38="","",IF(ISNUMBER(BK45),BK45,BK38))</f>
        <v/>
      </c>
      <c r="BL57" s="18">
        <f>IF(BL38="","",IF(ISNUMBER(BL45),BL45,BL38))</f>
        <v/>
      </c>
      <c r="BM57" s="18">
        <f>IF(BM38="","",IF(ISNUMBER(BM45),BM45,BM38))</f>
        <v/>
      </c>
      <c r="BN57" s="18">
        <f>IF(BN38="","",IF(ISNUMBER(BN45),BN45,BN38))</f>
        <v/>
      </c>
      <c r="BO57" s="18">
        <f>IF(BO38="","",IF(ISNUMBER(BO45),BO45,BO38))</f>
        <v/>
      </c>
      <c r="BP57" s="18">
        <f>IF(BP38="","",IF(ISNUMBER(BP45),BP45,BP38))</f>
        <v/>
      </c>
      <c r="BQ57" s="18">
        <f>IF(BQ38="","",IF(ISNUMBER(BQ45),BQ45,BQ38))</f>
        <v/>
      </c>
      <c r="BR57" s="18">
        <f>IF(BR38="","",IF(ISNUMBER(BR45),BR45,BR38))</f>
        <v/>
      </c>
      <c r="BS57" s="18">
        <f>IF(BS38="","",IF(ISNUMBER(BS45),BS45,BS38))</f>
        <v/>
      </c>
      <c r="BT57" s="18">
        <f>IF(BT38="","",IF(ISNUMBER(BT45),BT45,BT38))</f>
        <v/>
      </c>
      <c r="BU57" s="18">
        <f>IF(BU38="","",IF(ISNUMBER(BU45),BU45,BU38))</f>
        <v/>
      </c>
      <c r="BV57" s="18">
        <f>IF(BV38="","",IF(ISNUMBER(BV45),BV45,BV38))</f>
        <v/>
      </c>
      <c r="BW57" s="18">
        <f>IF(BW38="","",IF(ISNUMBER(BW45),BW45,BW38))</f>
        <v/>
      </c>
      <c r="BX57" s="18">
        <f>IF(BX38="","",IF(ISNUMBER(BX45),BX45,BX38))</f>
        <v/>
      </c>
      <c r="BY57" s="18">
        <f>IF(BY38="","",IF(ISNUMBER(BY45),BY45,BY38))</f>
        <v/>
      </c>
      <c r="BZ57" s="18">
        <f>IF(BZ38="","",IF(ISNUMBER(BZ45),BZ45,BZ38))</f>
        <v/>
      </c>
      <c r="CA57" s="18">
        <f>IF(CA38="","",IF(ISNUMBER(CA45),CA45,CA38))</f>
        <v/>
      </c>
      <c r="CB57" s="18">
        <f>IF(CB38="","",IF(ISNUMBER(CB45),CB45,CB38))</f>
        <v/>
      </c>
      <c r="CC57" s="18">
        <f>IF(CC38="","",IF(ISNUMBER(CC45),CC45,CC38))</f>
        <v/>
      </c>
      <c r="CD57" s="18">
        <f>IF(CD38="","",IF(ISNUMBER(CD45),CD45,CD38))</f>
        <v/>
      </c>
      <c r="CE57" s="18">
        <f>IF(CE38="","",IF(ISNUMBER(CE45),CE45,CE38))</f>
        <v/>
      </c>
      <c r="CF57" s="18">
        <f>IF(CF38="","",IF(ISNUMBER(CF45),CF45,CF38))</f>
        <v/>
      </c>
      <c r="CG57" s="18">
        <f>IF(CG38="","",IF(ISNUMBER(CG45),CG45,CG38))</f>
        <v/>
      </c>
      <c r="CH57" s="18">
        <f>IF(CH38="","",IF(ISNUMBER(CH45),CH45,CH38))</f>
        <v/>
      </c>
      <c r="CI57" s="18">
        <f>IF(CI38="","",IF(ISNUMBER(CI45),CI45,CI38))</f>
        <v/>
      </c>
      <c r="CJ57" s="18">
        <f>IF(CJ38="","",IF(ISNUMBER(CJ45),CJ45,CJ38))</f>
        <v/>
      </c>
      <c r="CK57" s="18">
        <f>IF(CK38="","",IF(ISNUMBER(CK45),CK45,CK38))</f>
        <v/>
      </c>
      <c r="CL57" s="18">
        <f>IF(CL38="","",IF(ISNUMBER(CL45),CL45,CL38))</f>
        <v/>
      </c>
      <c r="CM57" s="18">
        <f>IF(CM38="","",IF(ISNUMBER(CM45),CM45,CM38))</f>
        <v/>
      </c>
      <c r="CN57" s="18">
        <f>IF(CN38="","",IF(ISNUMBER(CN45),CN45,CN38))</f>
        <v/>
      </c>
      <c r="CO57" s="18">
        <f>IF(CO38="","",IF(ISNUMBER(CO45),CO45,CO38))</f>
        <v/>
      </c>
      <c r="CP57" s="18">
        <f>IF(CP38="","",IF(ISNUMBER(CP45),CP45,CP38))</f>
        <v/>
      </c>
      <c r="CQ57" s="18">
        <f>IF(CQ38="","",IF(ISNUMBER(CQ45),CQ45,CQ38))</f>
        <v/>
      </c>
      <c r="CR57" s="18">
        <f>IF(CR38="","",IF(ISNUMBER(CR45),CR45,CR38))</f>
        <v/>
      </c>
      <c r="CS57" s="18">
        <f>IF(CS38="","",IF(ISNUMBER(CS45),CS45,CS38))</f>
        <v/>
      </c>
      <c r="CT57" s="18">
        <f>IF(CT38="","",IF(ISNUMBER(CT45),CT45,CT38))</f>
        <v/>
      </c>
      <c r="CU57" s="18">
        <f>IF(CU38="","",IF(ISNUMBER(CU45),CU45,CU38))</f>
        <v/>
      </c>
      <c r="CV57" s="18">
        <f>IF(CV38="","",IF(ISNUMBER(CV45),CV45,CV38))</f>
        <v/>
      </c>
      <c r="CW57" s="18">
        <f>IF(CW38="","",IF(ISNUMBER(CW45),CW45,CW38))</f>
        <v/>
      </c>
      <c r="CX57" s="18">
        <f>IF(CX38="","",IF(ISNUMBER(CX45),CX45,CX38))</f>
        <v/>
      </c>
      <c r="CY57" s="18">
        <f>IF(CY38="","",IF(ISNUMBER(CY45),CY45,CY38))</f>
        <v/>
      </c>
      <c r="CZ57" s="18">
        <f>IF(CZ38="","",IF(ISNUMBER(CZ45),CZ45,CZ38))</f>
        <v/>
      </c>
      <c r="DA57" s="18">
        <f>IF(DA38="","",IF(ISNUMBER(DA45),DA45,DA38))</f>
        <v/>
      </c>
      <c r="DB57" s="18">
        <f>IF(DB38="","",IF(ISNUMBER(DB45),DB45,DB38))</f>
        <v/>
      </c>
      <c r="DC57" s="18">
        <f>IF(DC38="","",IF(ISNUMBER(DC45),DC45,DC38))</f>
        <v/>
      </c>
      <c r="DD57" s="18">
        <f>IF(DD38="","",IF(ISNUMBER(DD45),DD45,DD38))</f>
        <v/>
      </c>
      <c r="DE57" s="18">
        <f>IF(DE38="","",IF(ISNUMBER(DE45),DE45,DE38))</f>
        <v/>
      </c>
      <c r="DF57" s="18">
        <f>IF(DF38="","",IF(ISNUMBER(DF45),DF45,DF38))</f>
        <v/>
      </c>
      <c r="DG57" s="18">
        <f>IF(DG38="","",IF(ISNUMBER(DG45),DG45,DG38))</f>
        <v/>
      </c>
      <c r="DH57" s="18">
        <f>IF(DH38="","",IF(ISNUMBER(DH45),DH45,DH38))</f>
        <v/>
      </c>
      <c r="DI57" s="18">
        <f>IF(DI38="","",IF(ISNUMBER(DI45),DI45,DI38))</f>
        <v/>
      </c>
      <c r="DJ57" s="18">
        <f>IF(DJ38="","",IF(ISNUMBER(DJ45),DJ45,DJ38))</f>
        <v/>
      </c>
      <c r="DK57" s="18">
        <f>IF(DK38="","",IF(ISNUMBER(DK45),DK45,DK38))</f>
        <v/>
      </c>
      <c r="DL57" s="18">
        <f>IF(DL38="","",IF(ISNUMBER(DL45),DL45,DL38))</f>
        <v/>
      </c>
      <c r="DM57" s="18">
        <f>IF(DM38="","",IF(ISNUMBER(DM45),DM45,DM38))</f>
        <v/>
      </c>
      <c r="DN57" s="18">
        <f>IF(DN38="","",IF(ISNUMBER(DN45),DN45,DN38))</f>
        <v/>
      </c>
      <c r="DO57" s="18">
        <f>IF(DO38="","",IF(ISNUMBER(DO45),DO45,DO38))</f>
        <v/>
      </c>
      <c r="DP57" s="18">
        <f>IF(DP38="","",IF(ISNUMBER(DP45),DP45,DP38))</f>
        <v/>
      </c>
      <c r="DQ57" s="18">
        <f>IF(DQ38="","",IF(ISNUMBER(DQ45),DQ45,DQ38))</f>
        <v/>
      </c>
      <c r="DR57" s="18">
        <f>IF(DR38="","",IF(ISNUMBER(DR45),DR45,DR38))</f>
        <v/>
      </c>
      <c r="DS57" s="18">
        <f>IF(DS38="","",IF(ISNUMBER(DS45),DS45,DS38))</f>
        <v/>
      </c>
      <c r="DT57" s="18">
        <f>IF(DT38="","",IF(ISNUMBER(DT45),DT45,DT38))</f>
        <v/>
      </c>
      <c r="DU57" s="18">
        <f>IF(DU38="","",IF(ISNUMBER(DU45),DU45,DU38))</f>
        <v/>
      </c>
      <c r="DV57" s="18">
        <f>IF(DV38="","",IF(ISNUMBER(DV45),DV45,DV38))</f>
        <v/>
      </c>
      <c r="DW57" s="18">
        <f>IF(DW38="","",IF(ISNUMBER(DW45),DW45,DW38))</f>
        <v/>
      </c>
      <c r="DX57" s="18">
        <f>IF(DX38="","",IF(ISNUMBER(DX45),DX45,DX38))</f>
        <v/>
      </c>
      <c r="DY57" s="18">
        <f>IF(DY38="","",IF(ISNUMBER(DY45),DY45,DY38))</f>
        <v/>
      </c>
      <c r="DZ57" s="18">
        <f>IF(DZ38="","",IF(ISNUMBER(DZ45),DZ45,DZ38))</f>
        <v/>
      </c>
      <c r="EA57" s="18">
        <f>IF(EA38="","",IF(ISNUMBER(EA45),EA45,EA38))</f>
        <v/>
      </c>
      <c r="EB57" s="18">
        <f>IF(EB38="","",IF(ISNUMBER(EB45),EB45,EB38))</f>
        <v/>
      </c>
      <c r="EC57" s="18">
        <f>IF(EC38="","",IF(ISNUMBER(EC45),EC45,EC38))</f>
        <v/>
      </c>
      <c r="ED57" s="18">
        <f>IF(ED38="","",IF(ISNUMBER(ED45),ED45,ED38))</f>
        <v/>
      </c>
      <c r="EE57" s="18">
        <f>IF(EE38="","",IF(ISNUMBER(EE45),EE45,EE38))</f>
        <v/>
      </c>
      <c r="EF57" s="18">
        <f>IF(EF38="","",IF(ISNUMBER(EF45),EF45,EF38))</f>
        <v/>
      </c>
      <c r="EG57" s="18">
        <f>IF(EG38="","",IF(ISNUMBER(EG45),EG45,EG38))</f>
        <v/>
      </c>
      <c r="EH57" s="18">
        <f>IF(EH38="","",IF(ISNUMBER(EH45),EH45,EH38))</f>
        <v/>
      </c>
      <c r="EI57" s="18">
        <f>IF(EI38="","",IF(ISNUMBER(EI45),EI45,EI38))</f>
        <v/>
      </c>
      <c r="EJ57" s="18">
        <f>IF(EJ38="","",IF(ISNUMBER(EJ45),EJ45,EJ38))</f>
        <v/>
      </c>
      <c r="EK57" s="18">
        <f>IF(EK38="","",IF(ISNUMBER(EK45),EK45,EK38))</f>
        <v/>
      </c>
      <c r="EL57" s="18">
        <f>IF(EL38="","",IF(ISNUMBER(EL45),EL45,EL38))</f>
        <v/>
      </c>
      <c r="EM57" s="18">
        <f>IF(EM38="","",IF(ISNUMBER(EM45),EM45,EM38))</f>
        <v/>
      </c>
      <c r="EN57" s="18">
        <f>IF(EN38="","",IF(ISNUMBER(EN45),EN45,EN38))</f>
        <v/>
      </c>
      <c r="EO57" s="18">
        <f>IF(EO38="","",IF(ISNUMBER(EO45),EO45,EO38))</f>
        <v/>
      </c>
      <c r="EP57" s="18">
        <f>IF(EP38="","",IF(ISNUMBER(EP45),EP45,EP38))</f>
        <v/>
      </c>
      <c r="EQ57" s="18">
        <f>IF(EQ38="","",IF(ISNUMBER(EQ45),EQ45,EQ38))</f>
        <v/>
      </c>
      <c r="ER57" s="18">
        <f>IF(ER38="","",IF(ISNUMBER(ER45),ER45,ER38))</f>
        <v/>
      </c>
      <c r="ES57" s="18">
        <f>IF(ES38="","",IF(ISNUMBER(ES45),ES45,ES38))</f>
        <v/>
      </c>
      <c r="ET57" s="18">
        <f>IF(ET38="","",IF(ISNUMBER(ET45),ET45,ET38))</f>
        <v/>
      </c>
      <c r="EU57" s="18">
        <f>IF(EU38="","",IF(ISNUMBER(EU45),EU45,EU38))</f>
        <v/>
      </c>
      <c r="EV57" s="18">
        <f>IF(EV38="","",IF(ISNUMBER(EV45),EV45,EV38))</f>
        <v/>
      </c>
      <c r="EW57" s="18">
        <f>IF(EW38="","",IF(ISNUMBER(EW45),EW45,EW38))</f>
        <v/>
      </c>
      <c r="EX57" s="18">
        <f>IF(EX38="","",IF(ISNUMBER(EX45),EX45,EX38))</f>
        <v/>
      </c>
      <c r="EY57" s="18">
        <f>IF(EY38="","",IF(ISNUMBER(EY45),EY45,EY38))</f>
        <v/>
      </c>
      <c r="EZ57" s="18">
        <f>IF(EZ38="","",IF(ISNUMBER(EZ45),EZ45,EZ38))</f>
        <v/>
      </c>
      <c r="FA57" s="18">
        <f>IF(FA38="","",IF(ISNUMBER(FA45),FA45,FA38))</f>
        <v/>
      </c>
      <c r="FB57" s="18">
        <f>IF(FB38="","",IF(ISNUMBER(FB45),FB45,FB38))</f>
        <v/>
      </c>
      <c r="FC57" s="18">
        <f>IF(FC38="","",IF(ISNUMBER(FC45),FC45,FC38))</f>
        <v/>
      </c>
      <c r="FD57" s="18">
        <f>IF(FD38="","",IF(ISNUMBER(FD45),FD45,FD38))</f>
        <v/>
      </c>
      <c r="FE57" s="18">
        <f>IF(FE38="","",IF(ISNUMBER(FE45),FE45,FE38))</f>
        <v/>
      </c>
      <c r="FF57" s="18">
        <f>IF(FF38="","",IF(ISNUMBER(FF45),FF45,FF38))</f>
        <v/>
      </c>
      <c r="FG57" s="18">
        <f>IF(FG38="","",IF(ISNUMBER(FG45),FG45,FG38))</f>
        <v/>
      </c>
      <c r="FH57" s="18">
        <f>IF(FH38="","",IF(ISNUMBER(FH45),FH45,FH38))</f>
        <v/>
      </c>
      <c r="FI57" s="18">
        <f>IF(FI38="","",IF(ISNUMBER(FI45),FI45,FI38))</f>
        <v/>
      </c>
      <c r="FJ57" s="18">
        <f>IF(FJ38="","",IF(ISNUMBER(FJ45),FJ45,FJ38))</f>
        <v/>
      </c>
      <c r="FK57" s="18">
        <f>IF(FK38="","",IF(ISNUMBER(FK45),FK45,FK38))</f>
        <v/>
      </c>
      <c r="FL57" s="18">
        <f>IF(FL38="","",IF(ISNUMBER(FL45),FL45,FL38))</f>
        <v/>
      </c>
      <c r="FM57" s="18">
        <f>IF(FM38="","",IF(ISNUMBER(FM45),FM45,FM38))</f>
        <v/>
      </c>
      <c r="FN57" s="18">
        <f>IF(FN38="","",IF(ISNUMBER(FN45),FN45,FN38))</f>
        <v/>
      </c>
      <c r="FO57" s="18">
        <f>IF(FO38="","",IF(ISNUMBER(FO45),FO45,FO38))</f>
        <v/>
      </c>
      <c r="FP57" s="18">
        <f>IF(FP38="","",IF(ISNUMBER(FP45),FP45,FP38))</f>
        <v/>
      </c>
      <c r="FQ57" s="18">
        <f>IF(FQ38="","",IF(ISNUMBER(FQ45),FQ45,FQ38))</f>
        <v/>
      </c>
    </row>
    <row r="58" hidden="1">
      <c r="A58" s="31" t="inlineStr">
        <is>
          <t>3F4D+MD</t>
        </is>
      </c>
      <c r="B58" s="32" t="inlineStr">
        <is>
          <t>(has level)</t>
        </is>
      </c>
      <c r="D58" s="18">
        <f>IF(ISNUMBER(D38),1,0)</f>
        <v/>
      </c>
      <c r="E58" s="18">
        <f>IF(ISNUMBER(E38),1,0)</f>
        <v/>
      </c>
      <c r="F58" s="18">
        <f>IF(ISNUMBER(F38),1,0)</f>
        <v/>
      </c>
      <c r="G58" s="18">
        <f>IF(ISNUMBER(G38),1,0)</f>
        <v/>
      </c>
      <c r="H58" s="18">
        <f>IF(ISNUMBER(H38),1,0)</f>
        <v/>
      </c>
      <c r="I58" s="18">
        <f>IF(ISNUMBER(I38),1,0)</f>
        <v/>
      </c>
      <c r="J58" s="18">
        <f>IF(ISNUMBER(J38),1,0)</f>
        <v/>
      </c>
      <c r="K58" s="18">
        <f>IF(ISNUMBER(K38),1,0)</f>
        <v/>
      </c>
      <c r="L58" s="18">
        <f>IF(ISNUMBER(L38),1,0)</f>
        <v/>
      </c>
      <c r="M58" s="18">
        <f>IF(ISNUMBER(M38),1,0)</f>
        <v/>
      </c>
      <c r="N58" s="18">
        <f>IF(ISNUMBER(N38),1,0)</f>
        <v/>
      </c>
      <c r="O58" s="18">
        <f>IF(ISNUMBER(O38),1,0)</f>
        <v/>
      </c>
      <c r="P58" s="18">
        <f>IF(ISNUMBER(P38),1,0)</f>
        <v/>
      </c>
      <c r="Q58" s="18">
        <f>IF(ISNUMBER(Q38),1,0)</f>
        <v/>
      </c>
      <c r="R58" s="18">
        <f>IF(ISNUMBER(R38),1,0)</f>
        <v/>
      </c>
      <c r="S58" s="18">
        <f>IF(ISNUMBER(S38),1,0)</f>
        <v/>
      </c>
      <c r="T58" s="18">
        <f>IF(ISNUMBER(T38),1,0)</f>
        <v/>
      </c>
      <c r="U58" s="18">
        <f>IF(ISNUMBER(U38),1,0)</f>
        <v/>
      </c>
      <c r="V58" s="18">
        <f>IF(ISNUMBER(V38),1,0)</f>
        <v/>
      </c>
      <c r="W58" s="18">
        <f>IF(ISNUMBER(W38),1,0)</f>
        <v/>
      </c>
      <c r="X58" s="18">
        <f>IF(ISNUMBER(X38),1,0)</f>
        <v/>
      </c>
      <c r="Y58" s="18">
        <f>IF(ISNUMBER(Y38),1,0)</f>
        <v/>
      </c>
      <c r="Z58" s="18">
        <f>IF(ISNUMBER(Z38),1,0)</f>
        <v/>
      </c>
      <c r="AA58" s="18">
        <f>IF(ISNUMBER(AA38),1,0)</f>
        <v/>
      </c>
      <c r="AB58" s="18">
        <f>IF(ISNUMBER(AB38),1,0)</f>
        <v/>
      </c>
      <c r="AC58" s="18">
        <f>IF(ISNUMBER(AC38),1,0)</f>
        <v/>
      </c>
      <c r="AD58" s="18">
        <f>IF(ISNUMBER(AD38),1,0)</f>
        <v/>
      </c>
      <c r="AE58" s="18">
        <f>IF(ISNUMBER(AE38),1,0)</f>
        <v/>
      </c>
      <c r="AF58" s="18">
        <f>IF(ISNUMBER(AF38),1,0)</f>
        <v/>
      </c>
      <c r="AG58" s="18">
        <f>IF(ISNUMBER(AG38),1,0)</f>
        <v/>
      </c>
      <c r="AH58" s="18">
        <f>IF(ISNUMBER(AH38),1,0)</f>
        <v/>
      </c>
      <c r="AI58" s="18">
        <f>IF(ISNUMBER(AI38),1,0)</f>
        <v/>
      </c>
      <c r="AJ58" s="18">
        <f>IF(ISNUMBER(AJ38),1,0)</f>
        <v/>
      </c>
      <c r="AK58" s="18">
        <f>IF(ISNUMBER(AK38),1,0)</f>
        <v/>
      </c>
      <c r="AL58" s="18">
        <f>IF(ISNUMBER(AL38),1,0)</f>
        <v/>
      </c>
      <c r="AM58" s="18">
        <f>IF(ISNUMBER(AM38),1,0)</f>
        <v/>
      </c>
      <c r="AN58" s="18">
        <f>IF(ISNUMBER(AN38),1,0)</f>
        <v/>
      </c>
      <c r="AO58" s="18">
        <f>IF(ISNUMBER(AO38),1,0)</f>
        <v/>
      </c>
      <c r="AP58" s="18">
        <f>IF(ISNUMBER(AP38),1,0)</f>
        <v/>
      </c>
      <c r="AQ58" s="18">
        <f>IF(ISNUMBER(AQ38),1,0)</f>
        <v/>
      </c>
      <c r="AR58" s="18">
        <f>IF(ISNUMBER(AR38),1,0)</f>
        <v/>
      </c>
      <c r="AS58" s="18">
        <f>IF(ISNUMBER(AS38),1,0)</f>
        <v/>
      </c>
      <c r="AT58" s="18">
        <f>IF(ISNUMBER(AT38),1,0)</f>
        <v/>
      </c>
      <c r="AU58" s="18">
        <f>IF(ISNUMBER(AU38),1,0)</f>
        <v/>
      </c>
      <c r="AV58" s="18">
        <f>IF(ISNUMBER(AV38),1,0)</f>
        <v/>
      </c>
      <c r="AW58" s="18">
        <f>IF(ISNUMBER(AW38),1,0)</f>
        <v/>
      </c>
      <c r="AX58" s="18">
        <f>IF(ISNUMBER(AX38),1,0)</f>
        <v/>
      </c>
      <c r="AY58" s="18">
        <f>IF(ISNUMBER(AY38),1,0)</f>
        <v/>
      </c>
      <c r="AZ58" s="18">
        <f>IF(ISNUMBER(AZ38),1,0)</f>
        <v/>
      </c>
      <c r="BA58" s="18">
        <f>IF(ISNUMBER(BA38),1,0)</f>
        <v/>
      </c>
      <c r="BB58" s="18">
        <f>IF(ISNUMBER(BB38),1,0)</f>
        <v/>
      </c>
      <c r="BC58" s="18">
        <f>IF(ISNUMBER(BC38),1,0)</f>
        <v/>
      </c>
      <c r="BD58" s="18">
        <f>IF(ISNUMBER(BD38),1,0)</f>
        <v/>
      </c>
      <c r="BE58" s="18">
        <f>IF(ISNUMBER(BE38),1,0)</f>
        <v/>
      </c>
      <c r="BF58" s="18">
        <f>IF(ISNUMBER(BF38),1,0)</f>
        <v/>
      </c>
      <c r="BG58" s="18">
        <f>IF(ISNUMBER(BG38),1,0)</f>
        <v/>
      </c>
      <c r="BH58" s="18">
        <f>IF(ISNUMBER(BH38),1,0)</f>
        <v/>
      </c>
      <c r="BI58" s="18">
        <f>IF(ISNUMBER(BI38),1,0)</f>
        <v/>
      </c>
      <c r="BJ58" s="18">
        <f>IF(ISNUMBER(BJ38),1,0)</f>
        <v/>
      </c>
      <c r="BK58" s="18">
        <f>IF(ISNUMBER(BK38),1,0)</f>
        <v/>
      </c>
      <c r="BL58" s="18">
        <f>IF(ISNUMBER(BL38),1,0)</f>
        <v/>
      </c>
      <c r="BM58" s="18">
        <f>IF(ISNUMBER(BM38),1,0)</f>
        <v/>
      </c>
      <c r="BN58" s="18">
        <f>IF(ISNUMBER(BN38),1,0)</f>
        <v/>
      </c>
      <c r="BO58" s="18">
        <f>IF(ISNUMBER(BO38),1,0)</f>
        <v/>
      </c>
      <c r="BP58" s="18">
        <f>IF(ISNUMBER(BP38),1,0)</f>
        <v/>
      </c>
      <c r="BQ58" s="18">
        <f>IF(ISNUMBER(BQ38),1,0)</f>
        <v/>
      </c>
      <c r="BR58" s="18">
        <f>IF(ISNUMBER(BR38),1,0)</f>
        <v/>
      </c>
      <c r="BS58" s="18">
        <f>IF(ISNUMBER(BS38),1,0)</f>
        <v/>
      </c>
      <c r="BT58" s="18">
        <f>IF(ISNUMBER(BT38),1,0)</f>
        <v/>
      </c>
      <c r="BU58" s="18">
        <f>IF(ISNUMBER(BU38),1,0)</f>
        <v/>
      </c>
      <c r="BV58" s="18">
        <f>IF(ISNUMBER(BV38),1,0)</f>
        <v/>
      </c>
      <c r="BW58" s="18">
        <f>IF(ISNUMBER(BW38),1,0)</f>
        <v/>
      </c>
      <c r="BX58" s="18">
        <f>IF(ISNUMBER(BX38),1,0)</f>
        <v/>
      </c>
      <c r="BY58" s="18">
        <f>IF(ISNUMBER(BY38),1,0)</f>
        <v/>
      </c>
      <c r="BZ58" s="18">
        <f>IF(ISNUMBER(BZ38),1,0)</f>
        <v/>
      </c>
      <c r="CA58" s="18">
        <f>IF(ISNUMBER(CA38),1,0)</f>
        <v/>
      </c>
      <c r="CB58" s="18">
        <f>IF(ISNUMBER(CB38),1,0)</f>
        <v/>
      </c>
      <c r="CC58" s="18">
        <f>IF(ISNUMBER(CC38),1,0)</f>
        <v/>
      </c>
      <c r="CD58" s="18">
        <f>IF(ISNUMBER(CD38),1,0)</f>
        <v/>
      </c>
      <c r="CE58" s="18">
        <f>IF(ISNUMBER(CE38),1,0)</f>
        <v/>
      </c>
      <c r="CF58" s="18">
        <f>IF(ISNUMBER(CF38),1,0)</f>
        <v/>
      </c>
      <c r="CG58" s="18">
        <f>IF(ISNUMBER(CG38),1,0)</f>
        <v/>
      </c>
      <c r="CH58" s="18">
        <f>IF(ISNUMBER(CH38),1,0)</f>
        <v/>
      </c>
      <c r="CI58" s="18">
        <f>IF(ISNUMBER(CI38),1,0)</f>
        <v/>
      </c>
      <c r="CJ58" s="18">
        <f>IF(ISNUMBER(CJ38),1,0)</f>
        <v/>
      </c>
      <c r="CK58" s="18">
        <f>IF(ISNUMBER(CK38),1,0)</f>
        <v/>
      </c>
      <c r="CL58" s="18">
        <f>IF(ISNUMBER(CL38),1,0)</f>
        <v/>
      </c>
      <c r="CM58" s="18">
        <f>IF(ISNUMBER(CM38),1,0)</f>
        <v/>
      </c>
      <c r="CN58" s="18">
        <f>IF(ISNUMBER(CN38),1,0)</f>
        <v/>
      </c>
      <c r="CO58" s="18">
        <f>IF(ISNUMBER(CO38),1,0)</f>
        <v/>
      </c>
      <c r="CP58" s="18">
        <f>IF(ISNUMBER(CP38),1,0)</f>
        <v/>
      </c>
      <c r="CQ58" s="18">
        <f>IF(ISNUMBER(CQ38),1,0)</f>
        <v/>
      </c>
      <c r="CR58" s="18">
        <f>IF(ISNUMBER(CR38),1,0)</f>
        <v/>
      </c>
      <c r="CS58" s="18">
        <f>IF(ISNUMBER(CS38),1,0)</f>
        <v/>
      </c>
      <c r="CT58" s="18">
        <f>IF(ISNUMBER(CT38),1,0)</f>
        <v/>
      </c>
      <c r="CU58" s="18">
        <f>IF(ISNUMBER(CU38),1,0)</f>
        <v/>
      </c>
      <c r="CV58" s="18">
        <f>IF(ISNUMBER(CV38),1,0)</f>
        <v/>
      </c>
      <c r="CW58" s="18">
        <f>IF(ISNUMBER(CW38),1,0)</f>
        <v/>
      </c>
      <c r="CX58" s="18">
        <f>IF(ISNUMBER(CX38),1,0)</f>
        <v/>
      </c>
      <c r="CY58" s="18">
        <f>IF(ISNUMBER(CY38),1,0)</f>
        <v/>
      </c>
      <c r="CZ58" s="18">
        <f>IF(ISNUMBER(CZ38),1,0)</f>
        <v/>
      </c>
      <c r="DA58" s="18">
        <f>IF(ISNUMBER(DA38),1,0)</f>
        <v/>
      </c>
      <c r="DB58" s="18">
        <f>IF(ISNUMBER(DB38),1,0)</f>
        <v/>
      </c>
      <c r="DC58" s="18">
        <f>IF(ISNUMBER(DC38),1,0)</f>
        <v/>
      </c>
      <c r="DD58" s="18">
        <f>IF(ISNUMBER(DD38),1,0)</f>
        <v/>
      </c>
      <c r="DE58" s="18">
        <f>IF(ISNUMBER(DE38),1,0)</f>
        <v/>
      </c>
      <c r="DF58" s="18">
        <f>IF(ISNUMBER(DF38),1,0)</f>
        <v/>
      </c>
      <c r="DG58" s="18">
        <f>IF(ISNUMBER(DG38),1,0)</f>
        <v/>
      </c>
      <c r="DH58" s="18">
        <f>IF(ISNUMBER(DH38),1,0)</f>
        <v/>
      </c>
      <c r="DI58" s="18">
        <f>IF(ISNUMBER(DI38),1,0)</f>
        <v/>
      </c>
      <c r="DJ58" s="18">
        <f>IF(ISNUMBER(DJ38),1,0)</f>
        <v/>
      </c>
      <c r="DK58" s="18">
        <f>IF(ISNUMBER(DK38),1,0)</f>
        <v/>
      </c>
      <c r="DL58" s="18">
        <f>IF(ISNUMBER(DL38),1,0)</f>
        <v/>
      </c>
      <c r="DM58" s="18">
        <f>IF(ISNUMBER(DM38),1,0)</f>
        <v/>
      </c>
      <c r="DN58" s="18">
        <f>IF(ISNUMBER(DN38),1,0)</f>
        <v/>
      </c>
      <c r="DO58" s="18">
        <f>IF(ISNUMBER(DO38),1,0)</f>
        <v/>
      </c>
      <c r="DP58" s="18">
        <f>IF(ISNUMBER(DP38),1,0)</f>
        <v/>
      </c>
      <c r="DQ58" s="18">
        <f>IF(ISNUMBER(DQ38),1,0)</f>
        <v/>
      </c>
      <c r="DR58" s="18">
        <f>IF(ISNUMBER(DR38),1,0)</f>
        <v/>
      </c>
      <c r="DS58" s="18">
        <f>IF(ISNUMBER(DS38),1,0)</f>
        <v/>
      </c>
      <c r="DT58" s="18">
        <f>IF(ISNUMBER(DT38),1,0)</f>
        <v/>
      </c>
      <c r="DU58" s="18">
        <f>IF(ISNUMBER(DU38),1,0)</f>
        <v/>
      </c>
      <c r="DV58" s="18">
        <f>IF(ISNUMBER(DV38),1,0)</f>
        <v/>
      </c>
      <c r="DW58" s="18">
        <f>IF(ISNUMBER(DW38),1,0)</f>
        <v/>
      </c>
      <c r="DX58" s="18">
        <f>IF(ISNUMBER(DX38),1,0)</f>
        <v/>
      </c>
      <c r="DY58" s="18">
        <f>IF(ISNUMBER(DY38),1,0)</f>
        <v/>
      </c>
      <c r="DZ58" s="18">
        <f>IF(ISNUMBER(DZ38),1,0)</f>
        <v/>
      </c>
      <c r="EA58" s="18">
        <f>IF(ISNUMBER(EA38),1,0)</f>
        <v/>
      </c>
      <c r="EB58" s="18">
        <f>IF(ISNUMBER(EB38),1,0)</f>
        <v/>
      </c>
      <c r="EC58" s="18">
        <f>IF(ISNUMBER(EC38),1,0)</f>
        <v/>
      </c>
      <c r="ED58" s="18">
        <f>IF(ISNUMBER(ED38),1,0)</f>
        <v/>
      </c>
      <c r="EE58" s="18">
        <f>IF(ISNUMBER(EE38),1,0)</f>
        <v/>
      </c>
      <c r="EF58" s="18">
        <f>IF(ISNUMBER(EF38),1,0)</f>
        <v/>
      </c>
      <c r="EG58" s="18">
        <f>IF(ISNUMBER(EG38),1,0)</f>
        <v/>
      </c>
      <c r="EH58" s="18">
        <f>IF(ISNUMBER(EH38),1,0)</f>
        <v/>
      </c>
      <c r="EI58" s="18">
        <f>IF(ISNUMBER(EI38),1,0)</f>
        <v/>
      </c>
      <c r="EJ58" s="18">
        <f>IF(ISNUMBER(EJ38),1,0)</f>
        <v/>
      </c>
      <c r="EK58" s="18">
        <f>IF(ISNUMBER(EK38),1,0)</f>
        <v/>
      </c>
      <c r="EL58" s="18">
        <f>IF(ISNUMBER(EL38),1,0)</f>
        <v/>
      </c>
      <c r="EM58" s="18">
        <f>IF(ISNUMBER(EM38),1,0)</f>
        <v/>
      </c>
      <c r="EN58" s="18">
        <f>IF(ISNUMBER(EN38),1,0)</f>
        <v/>
      </c>
      <c r="EO58" s="18">
        <f>IF(ISNUMBER(EO38),1,0)</f>
        <v/>
      </c>
      <c r="EP58" s="18">
        <f>IF(ISNUMBER(EP38),1,0)</f>
        <v/>
      </c>
      <c r="EQ58" s="18">
        <f>IF(ISNUMBER(EQ38),1,0)</f>
        <v/>
      </c>
      <c r="ER58" s="18">
        <f>IF(ISNUMBER(ER38),1,0)</f>
        <v/>
      </c>
      <c r="ES58" s="18">
        <f>IF(ISNUMBER(ES38),1,0)</f>
        <v/>
      </c>
      <c r="ET58" s="18">
        <f>IF(ISNUMBER(ET38),1,0)</f>
        <v/>
      </c>
      <c r="EU58" s="18">
        <f>IF(ISNUMBER(EU38),1,0)</f>
        <v/>
      </c>
      <c r="EV58" s="18">
        <f>IF(ISNUMBER(EV38),1,0)</f>
        <v/>
      </c>
      <c r="EW58" s="18">
        <f>IF(ISNUMBER(EW38),1,0)</f>
        <v/>
      </c>
      <c r="EX58" s="18">
        <f>IF(ISNUMBER(EX38),1,0)</f>
        <v/>
      </c>
      <c r="EY58" s="18">
        <f>IF(ISNUMBER(EY38),1,0)</f>
        <v/>
      </c>
      <c r="EZ58" s="18">
        <f>IF(ISNUMBER(EZ38),1,0)</f>
        <v/>
      </c>
      <c r="FA58" s="18">
        <f>IF(ISNUMBER(FA38),1,0)</f>
        <v/>
      </c>
      <c r="FB58" s="18">
        <f>IF(ISNUMBER(FB38),1,0)</f>
        <v/>
      </c>
      <c r="FC58" s="18">
        <f>IF(ISNUMBER(FC38),1,0)</f>
        <v/>
      </c>
      <c r="FD58" s="18">
        <f>IF(ISNUMBER(FD38),1,0)</f>
        <v/>
      </c>
      <c r="FE58" s="18">
        <f>IF(ISNUMBER(FE38),1,0)</f>
        <v/>
      </c>
      <c r="FF58" s="18">
        <f>IF(ISNUMBER(FF38),1,0)</f>
        <v/>
      </c>
      <c r="FG58" s="18">
        <f>IF(ISNUMBER(FG38),1,0)</f>
        <v/>
      </c>
      <c r="FH58" s="18">
        <f>IF(ISNUMBER(FH38),1,0)</f>
        <v/>
      </c>
      <c r="FI58" s="18">
        <f>IF(ISNUMBER(FI38),1,0)</f>
        <v/>
      </c>
      <c r="FJ58" s="18">
        <f>IF(ISNUMBER(FJ38),1,0)</f>
        <v/>
      </c>
      <c r="FK58" s="18">
        <f>IF(ISNUMBER(FK38),1,0)</f>
        <v/>
      </c>
      <c r="FL58" s="18">
        <f>IF(ISNUMBER(FL38),1,0)</f>
        <v/>
      </c>
      <c r="FM58" s="18">
        <f>IF(ISNUMBER(FM38),1,0)</f>
        <v/>
      </c>
      <c r="FN58" s="18">
        <f>IF(ISNUMBER(FN38),1,0)</f>
        <v/>
      </c>
      <c r="FO58" s="18">
        <f>IF(ISNUMBER(FO38),1,0)</f>
        <v/>
      </c>
      <c r="FP58" s="18">
        <f>IF(ISNUMBER(FP38),1,0)</f>
        <v/>
      </c>
      <c r="FQ58" s="18">
        <f>IF(ISNUMBER(FQ38),1,0)</f>
        <v/>
      </c>
    </row>
    <row r="60">
      <c r="A60" s="23" t="inlineStr">
        <is>
          <t>FP</t>
        </is>
      </c>
      <c r="B60" s="24" t="inlineStr">
        <is>
          <t>Tiller number (count 5 hills) / কুশি</t>
        </is>
      </c>
    </row>
    <row r="61">
      <c r="A61" s="25" t="inlineStr">
        <is>
          <t>FP</t>
        </is>
      </c>
      <c r="B61" s="25" t="inlineStr">
        <is>
          <t>Hill 1</t>
        </is>
      </c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 t="n"/>
      <c r="EG61" s="22" t="n"/>
      <c r="EH61" s="22" t="n"/>
      <c r="EI61" s="22" t="n"/>
      <c r="EJ61" s="22" t="n"/>
      <c r="EK61" s="22" t="n"/>
      <c r="EL61" s="22" t="n"/>
      <c r="EM61" s="22" t="n"/>
      <c r="EN61" s="22" t="n"/>
      <c r="EO61" s="22" t="n"/>
      <c r="EP61" s="22" t="n"/>
      <c r="EQ61" s="22" t="n"/>
      <c r="ER61" s="22" t="n"/>
      <c r="ES61" s="22" t="n"/>
      <c r="ET61" s="22" t="n"/>
      <c r="EU61" s="22" t="n"/>
      <c r="EV61" s="22" t="n"/>
      <c r="EW61" s="22" t="n"/>
      <c r="EX61" s="22" t="n"/>
      <c r="EY61" s="22" t="n"/>
      <c r="EZ61" s="22" t="n"/>
      <c r="FA61" s="22" t="n"/>
      <c r="FB61" s="22" t="n"/>
      <c r="FC61" s="22" t="n"/>
      <c r="FD61" s="22" t="n"/>
      <c r="FE61" s="22" t="n"/>
      <c r="FF61" s="22" t="n"/>
      <c r="FG61" s="22" t="n"/>
      <c r="FH61" s="22" t="n"/>
      <c r="FI61" s="22" t="n"/>
      <c r="FJ61" s="22" t="n"/>
      <c r="FK61" s="22" t="n"/>
      <c r="FL61" s="22" t="n"/>
      <c r="FM61" s="22" t="n"/>
      <c r="FN61" s="22" t="n"/>
      <c r="FO61" s="22" t="n"/>
      <c r="FP61" s="22" t="n"/>
      <c r="FQ61" s="22" t="n"/>
    </row>
    <row r="62">
      <c r="A62" s="25" t="inlineStr">
        <is>
          <t>FP</t>
        </is>
      </c>
      <c r="B62" s="25" t="inlineStr">
        <is>
          <t>Hill 2</t>
        </is>
      </c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 t="n"/>
      <c r="EG62" s="22" t="n"/>
      <c r="EH62" s="22" t="n"/>
      <c r="EI62" s="22" t="n"/>
      <c r="EJ62" s="22" t="n"/>
      <c r="EK62" s="22" t="n"/>
      <c r="EL62" s="22" t="n"/>
      <c r="EM62" s="22" t="n"/>
      <c r="EN62" s="22" t="n"/>
      <c r="EO62" s="22" t="n"/>
      <c r="EP62" s="22" t="n"/>
      <c r="EQ62" s="22" t="n"/>
      <c r="ER62" s="22" t="n"/>
      <c r="ES62" s="22" t="n"/>
      <c r="ET62" s="22" t="n"/>
      <c r="EU62" s="22" t="n"/>
      <c r="EV62" s="22" t="n"/>
      <c r="EW62" s="22" t="n"/>
      <c r="EX62" s="22" t="n"/>
      <c r="EY62" s="22" t="n"/>
      <c r="EZ62" s="22" t="n"/>
      <c r="FA62" s="22" t="n"/>
      <c r="FB62" s="22" t="n"/>
      <c r="FC62" s="22" t="n"/>
      <c r="FD62" s="22" t="n"/>
      <c r="FE62" s="22" t="n"/>
      <c r="FF62" s="22" t="n"/>
      <c r="FG62" s="22" t="n"/>
      <c r="FH62" s="22" t="n"/>
      <c r="FI62" s="22" t="n"/>
      <c r="FJ62" s="22" t="n"/>
      <c r="FK62" s="22" t="n"/>
      <c r="FL62" s="22" t="n"/>
      <c r="FM62" s="22" t="n"/>
      <c r="FN62" s="22" t="n"/>
      <c r="FO62" s="22" t="n"/>
      <c r="FP62" s="22" t="n"/>
      <c r="FQ62" s="22" t="n"/>
    </row>
    <row r="63">
      <c r="A63" s="25" t="inlineStr">
        <is>
          <t>FP</t>
        </is>
      </c>
      <c r="B63" s="25" t="inlineStr">
        <is>
          <t>Hill 3</t>
        </is>
      </c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 t="n"/>
      <c r="EG63" s="22" t="n"/>
      <c r="EH63" s="22" t="n"/>
      <c r="EI63" s="22" t="n"/>
      <c r="EJ63" s="22" t="n"/>
      <c r="EK63" s="22" t="n"/>
      <c r="EL63" s="22" t="n"/>
      <c r="EM63" s="22" t="n"/>
      <c r="EN63" s="22" t="n"/>
      <c r="EO63" s="22" t="n"/>
      <c r="EP63" s="22" t="n"/>
      <c r="EQ63" s="22" t="n"/>
      <c r="ER63" s="22" t="n"/>
      <c r="ES63" s="22" t="n"/>
      <c r="ET63" s="22" t="n"/>
      <c r="EU63" s="22" t="n"/>
      <c r="EV63" s="22" t="n"/>
      <c r="EW63" s="22" t="n"/>
      <c r="EX63" s="22" t="n"/>
      <c r="EY63" s="22" t="n"/>
      <c r="EZ63" s="22" t="n"/>
      <c r="FA63" s="22" t="n"/>
      <c r="FB63" s="22" t="n"/>
      <c r="FC63" s="22" t="n"/>
      <c r="FD63" s="22" t="n"/>
      <c r="FE63" s="22" t="n"/>
      <c r="FF63" s="22" t="n"/>
      <c r="FG63" s="22" t="n"/>
      <c r="FH63" s="22" t="n"/>
      <c r="FI63" s="22" t="n"/>
      <c r="FJ63" s="22" t="n"/>
      <c r="FK63" s="22" t="n"/>
      <c r="FL63" s="22" t="n"/>
      <c r="FM63" s="22" t="n"/>
      <c r="FN63" s="22" t="n"/>
      <c r="FO63" s="22" t="n"/>
      <c r="FP63" s="22" t="n"/>
      <c r="FQ63" s="22" t="n"/>
    </row>
    <row r="64">
      <c r="A64" s="25" t="inlineStr">
        <is>
          <t>FP</t>
        </is>
      </c>
      <c r="B64" s="25" t="inlineStr">
        <is>
          <t>Hill 4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 t="n"/>
      <c r="EG64" s="22" t="n"/>
      <c r="EH64" s="22" t="n"/>
      <c r="EI64" s="22" t="n"/>
      <c r="EJ64" s="22" t="n"/>
      <c r="EK64" s="22" t="n"/>
      <c r="EL64" s="22" t="n"/>
      <c r="EM64" s="22" t="n"/>
      <c r="EN64" s="22" t="n"/>
      <c r="EO64" s="22" t="n"/>
      <c r="EP64" s="22" t="n"/>
      <c r="EQ64" s="22" t="n"/>
      <c r="ER64" s="22" t="n"/>
      <c r="ES64" s="22" t="n"/>
      <c r="ET64" s="22" t="n"/>
      <c r="EU64" s="22" t="n"/>
      <c r="EV64" s="22" t="n"/>
      <c r="EW64" s="22" t="n"/>
      <c r="EX64" s="22" t="n"/>
      <c r="EY64" s="22" t="n"/>
      <c r="EZ64" s="22" t="n"/>
      <c r="FA64" s="22" t="n"/>
      <c r="FB64" s="22" t="n"/>
      <c r="FC64" s="22" t="n"/>
      <c r="FD64" s="22" t="n"/>
      <c r="FE64" s="22" t="n"/>
      <c r="FF64" s="22" t="n"/>
      <c r="FG64" s="22" t="n"/>
      <c r="FH64" s="22" t="n"/>
      <c r="FI64" s="22" t="n"/>
      <c r="FJ64" s="22" t="n"/>
      <c r="FK64" s="22" t="n"/>
      <c r="FL64" s="22" t="n"/>
      <c r="FM64" s="22" t="n"/>
      <c r="FN64" s="22" t="n"/>
      <c r="FO64" s="22" t="n"/>
      <c r="FP64" s="22" t="n"/>
      <c r="FQ64" s="22" t="n"/>
    </row>
    <row r="65">
      <c r="A65" s="25" t="inlineStr">
        <is>
          <t>FP</t>
        </is>
      </c>
      <c r="B65" s="25" t="inlineStr">
        <is>
          <t>Hill 5</t>
        </is>
      </c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 t="n"/>
      <c r="EG65" s="22" t="n"/>
      <c r="EH65" s="22" t="n"/>
      <c r="EI65" s="22" t="n"/>
      <c r="EJ65" s="22" t="n"/>
      <c r="EK65" s="22" t="n"/>
      <c r="EL65" s="22" t="n"/>
      <c r="EM65" s="22" t="n"/>
      <c r="EN65" s="22" t="n"/>
      <c r="EO65" s="22" t="n"/>
      <c r="EP65" s="22" t="n"/>
      <c r="EQ65" s="22" t="n"/>
      <c r="ER65" s="22" t="n"/>
      <c r="ES65" s="22" t="n"/>
      <c r="ET65" s="22" t="n"/>
      <c r="EU65" s="22" t="n"/>
      <c r="EV65" s="22" t="n"/>
      <c r="EW65" s="22" t="n"/>
      <c r="EX65" s="22" t="n"/>
      <c r="EY65" s="22" t="n"/>
      <c r="EZ65" s="22" t="n"/>
      <c r="FA65" s="22" t="n"/>
      <c r="FB65" s="22" t="n"/>
      <c r="FC65" s="22" t="n"/>
      <c r="FD65" s="22" t="n"/>
      <c r="FE65" s="22" t="n"/>
      <c r="FF65" s="22" t="n"/>
      <c r="FG65" s="22" t="n"/>
      <c r="FH65" s="22" t="n"/>
      <c r="FI65" s="22" t="n"/>
      <c r="FJ65" s="22" t="n"/>
      <c r="FK65" s="22" t="n"/>
      <c r="FL65" s="22" t="n"/>
      <c r="FM65" s="22" t="n"/>
      <c r="FN65" s="22" t="n"/>
      <c r="FO65" s="22" t="n"/>
      <c r="FP65" s="22" t="n"/>
      <c r="FQ65" s="22" t="n"/>
    </row>
    <row r="66">
      <c r="A66" s="25" t="inlineStr">
        <is>
          <t>FP</t>
        </is>
      </c>
      <c r="B66" s="24" t="inlineStr">
        <is>
          <t>Tillers per hill (mean of 2nd-4th largest)</t>
        </is>
      </c>
      <c r="D66" s="4">
        <f>IF(COUNT(D61:D65)=5,ROUND((LARGE(D61:D65,2)+LARGE(D61:D65,3)+LARGE(D61:D65,4))/3,1),"")</f>
        <v/>
      </c>
      <c r="E66" s="4">
        <f>IF(COUNT(E61:E65)=5,ROUND((LARGE(E61:E65,2)+LARGE(E61:E65,3)+LARGE(E61:E65,4))/3,1),"")</f>
        <v/>
      </c>
      <c r="F66" s="4">
        <f>IF(COUNT(F61:F65)=5,ROUND((LARGE(F61:F65,2)+LARGE(F61:F65,3)+LARGE(F61:F65,4))/3,1),"")</f>
        <v/>
      </c>
      <c r="G66" s="4">
        <f>IF(COUNT(G61:G65)=5,ROUND((LARGE(G61:G65,2)+LARGE(G61:G65,3)+LARGE(G61:G65,4))/3,1),"")</f>
        <v/>
      </c>
      <c r="H66" s="4">
        <f>IF(COUNT(H61:H65)=5,ROUND((LARGE(H61:H65,2)+LARGE(H61:H65,3)+LARGE(H61:H65,4))/3,1),"")</f>
        <v/>
      </c>
      <c r="I66" s="4">
        <f>IF(COUNT(I61:I65)=5,ROUND((LARGE(I61:I65,2)+LARGE(I61:I65,3)+LARGE(I61:I65,4))/3,1),"")</f>
        <v/>
      </c>
      <c r="J66" s="4">
        <f>IF(COUNT(J61:J65)=5,ROUND((LARGE(J61:J65,2)+LARGE(J61:J65,3)+LARGE(J61:J65,4))/3,1),"")</f>
        <v/>
      </c>
      <c r="K66" s="4">
        <f>IF(COUNT(K61:K65)=5,ROUND((LARGE(K61:K65,2)+LARGE(K61:K65,3)+LARGE(K61:K65,4))/3,1),"")</f>
        <v/>
      </c>
      <c r="L66" s="4">
        <f>IF(COUNT(L61:L65)=5,ROUND((LARGE(L61:L65,2)+LARGE(L61:L65,3)+LARGE(L61:L65,4))/3,1),"")</f>
        <v/>
      </c>
      <c r="M66" s="4">
        <f>IF(COUNT(M61:M65)=5,ROUND((LARGE(M61:M65,2)+LARGE(M61:M65,3)+LARGE(M61:M65,4))/3,1),"")</f>
        <v/>
      </c>
      <c r="N66" s="4">
        <f>IF(COUNT(N61:N65)=5,ROUND((LARGE(N61:N65,2)+LARGE(N61:N65,3)+LARGE(N61:N65,4))/3,1),"")</f>
        <v/>
      </c>
      <c r="O66" s="4">
        <f>IF(COUNT(O61:O65)=5,ROUND((LARGE(O61:O65,2)+LARGE(O61:O65,3)+LARGE(O61:O65,4))/3,1),"")</f>
        <v/>
      </c>
      <c r="P66" s="4">
        <f>IF(COUNT(P61:P65)=5,ROUND((LARGE(P61:P65,2)+LARGE(P61:P65,3)+LARGE(P61:P65,4))/3,1),"")</f>
        <v/>
      </c>
      <c r="Q66" s="4">
        <f>IF(COUNT(Q61:Q65)=5,ROUND((LARGE(Q61:Q65,2)+LARGE(Q61:Q65,3)+LARGE(Q61:Q65,4))/3,1),"")</f>
        <v/>
      </c>
      <c r="R66" s="4">
        <f>IF(COUNT(R61:R65)=5,ROUND((LARGE(R61:R65,2)+LARGE(R61:R65,3)+LARGE(R61:R65,4))/3,1),"")</f>
        <v/>
      </c>
      <c r="S66" s="4">
        <f>IF(COUNT(S61:S65)=5,ROUND((LARGE(S61:S65,2)+LARGE(S61:S65,3)+LARGE(S61:S65,4))/3,1),"")</f>
        <v/>
      </c>
      <c r="T66" s="4">
        <f>IF(COUNT(T61:T65)=5,ROUND((LARGE(T61:T65,2)+LARGE(T61:T65,3)+LARGE(T61:T65,4))/3,1),"")</f>
        <v/>
      </c>
      <c r="U66" s="4">
        <f>IF(COUNT(U61:U65)=5,ROUND((LARGE(U61:U65,2)+LARGE(U61:U65,3)+LARGE(U61:U65,4))/3,1),"")</f>
        <v/>
      </c>
      <c r="V66" s="4">
        <f>IF(COUNT(V61:V65)=5,ROUND((LARGE(V61:V65,2)+LARGE(V61:V65,3)+LARGE(V61:V65,4))/3,1),"")</f>
        <v/>
      </c>
      <c r="W66" s="4">
        <f>IF(COUNT(W61:W65)=5,ROUND((LARGE(W61:W65,2)+LARGE(W61:W65,3)+LARGE(W61:W65,4))/3,1),"")</f>
        <v/>
      </c>
      <c r="X66" s="4">
        <f>IF(COUNT(X61:X65)=5,ROUND((LARGE(X61:X65,2)+LARGE(X61:X65,3)+LARGE(X61:X65,4))/3,1),"")</f>
        <v/>
      </c>
      <c r="Y66" s="4">
        <f>IF(COUNT(Y61:Y65)=5,ROUND((LARGE(Y61:Y65,2)+LARGE(Y61:Y65,3)+LARGE(Y61:Y65,4))/3,1),"")</f>
        <v/>
      </c>
      <c r="Z66" s="4">
        <f>IF(COUNT(Z61:Z65)=5,ROUND((LARGE(Z61:Z65,2)+LARGE(Z61:Z65,3)+LARGE(Z61:Z65,4))/3,1),"")</f>
        <v/>
      </c>
      <c r="AA66" s="4">
        <f>IF(COUNT(AA61:AA65)=5,ROUND((LARGE(AA61:AA65,2)+LARGE(AA61:AA65,3)+LARGE(AA61:AA65,4))/3,1),"")</f>
        <v/>
      </c>
      <c r="AB66" s="4">
        <f>IF(COUNT(AB61:AB65)=5,ROUND((LARGE(AB61:AB65,2)+LARGE(AB61:AB65,3)+LARGE(AB61:AB65,4))/3,1),"")</f>
        <v/>
      </c>
      <c r="AC66" s="4">
        <f>IF(COUNT(AC61:AC65)=5,ROUND((LARGE(AC61:AC65,2)+LARGE(AC61:AC65,3)+LARGE(AC61:AC65,4))/3,1),"")</f>
        <v/>
      </c>
      <c r="AD66" s="4">
        <f>IF(COUNT(AD61:AD65)=5,ROUND((LARGE(AD61:AD65,2)+LARGE(AD61:AD65,3)+LARGE(AD61:AD65,4))/3,1),"")</f>
        <v/>
      </c>
      <c r="AE66" s="4">
        <f>IF(COUNT(AE61:AE65)=5,ROUND((LARGE(AE61:AE65,2)+LARGE(AE61:AE65,3)+LARGE(AE61:AE65,4))/3,1),"")</f>
        <v/>
      </c>
      <c r="AF66" s="4">
        <f>IF(COUNT(AF61:AF65)=5,ROUND((LARGE(AF61:AF65,2)+LARGE(AF61:AF65,3)+LARGE(AF61:AF65,4))/3,1),"")</f>
        <v/>
      </c>
      <c r="AG66" s="4">
        <f>IF(COUNT(AG61:AG65)=5,ROUND((LARGE(AG61:AG65,2)+LARGE(AG61:AG65,3)+LARGE(AG61:AG65,4))/3,1),"")</f>
        <v/>
      </c>
      <c r="AH66" s="4">
        <f>IF(COUNT(AH61:AH65)=5,ROUND((LARGE(AH61:AH65,2)+LARGE(AH61:AH65,3)+LARGE(AH61:AH65,4))/3,1),"")</f>
        <v/>
      </c>
      <c r="AI66" s="4">
        <f>IF(COUNT(AI61:AI65)=5,ROUND((LARGE(AI61:AI65,2)+LARGE(AI61:AI65,3)+LARGE(AI61:AI65,4))/3,1),"")</f>
        <v/>
      </c>
      <c r="AJ66" s="4">
        <f>IF(COUNT(AJ61:AJ65)=5,ROUND((LARGE(AJ61:AJ65,2)+LARGE(AJ61:AJ65,3)+LARGE(AJ61:AJ65,4))/3,1),"")</f>
        <v/>
      </c>
      <c r="AK66" s="4">
        <f>IF(COUNT(AK61:AK65)=5,ROUND((LARGE(AK61:AK65,2)+LARGE(AK61:AK65,3)+LARGE(AK61:AK65,4))/3,1),"")</f>
        <v/>
      </c>
      <c r="AL66" s="4">
        <f>IF(COUNT(AL61:AL65)=5,ROUND((LARGE(AL61:AL65,2)+LARGE(AL61:AL65,3)+LARGE(AL61:AL65,4))/3,1),"")</f>
        <v/>
      </c>
      <c r="AM66" s="4">
        <f>IF(COUNT(AM61:AM65)=5,ROUND((LARGE(AM61:AM65,2)+LARGE(AM61:AM65,3)+LARGE(AM61:AM65,4))/3,1),"")</f>
        <v/>
      </c>
      <c r="AN66" s="4">
        <f>IF(COUNT(AN61:AN65)=5,ROUND((LARGE(AN61:AN65,2)+LARGE(AN61:AN65,3)+LARGE(AN61:AN65,4))/3,1),"")</f>
        <v/>
      </c>
      <c r="AO66" s="4">
        <f>IF(COUNT(AO61:AO65)=5,ROUND((LARGE(AO61:AO65,2)+LARGE(AO61:AO65,3)+LARGE(AO61:AO65,4))/3,1),"")</f>
        <v/>
      </c>
      <c r="AP66" s="4">
        <f>IF(COUNT(AP61:AP65)=5,ROUND((LARGE(AP61:AP65,2)+LARGE(AP61:AP65,3)+LARGE(AP61:AP65,4))/3,1),"")</f>
        <v/>
      </c>
      <c r="AQ66" s="4">
        <f>IF(COUNT(AQ61:AQ65)=5,ROUND((LARGE(AQ61:AQ65,2)+LARGE(AQ61:AQ65,3)+LARGE(AQ61:AQ65,4))/3,1),"")</f>
        <v/>
      </c>
      <c r="AR66" s="4">
        <f>IF(COUNT(AR61:AR65)=5,ROUND((LARGE(AR61:AR65,2)+LARGE(AR61:AR65,3)+LARGE(AR61:AR65,4))/3,1),"")</f>
        <v/>
      </c>
      <c r="AS66" s="4">
        <f>IF(COUNT(AS61:AS65)=5,ROUND((LARGE(AS61:AS65,2)+LARGE(AS61:AS65,3)+LARGE(AS61:AS65,4))/3,1),"")</f>
        <v/>
      </c>
      <c r="AT66" s="4">
        <f>IF(COUNT(AT61:AT65)=5,ROUND((LARGE(AT61:AT65,2)+LARGE(AT61:AT65,3)+LARGE(AT61:AT65,4))/3,1),"")</f>
        <v/>
      </c>
      <c r="AU66" s="4">
        <f>IF(COUNT(AU61:AU65)=5,ROUND((LARGE(AU61:AU65,2)+LARGE(AU61:AU65,3)+LARGE(AU61:AU65,4))/3,1),"")</f>
        <v/>
      </c>
      <c r="AV66" s="4">
        <f>IF(COUNT(AV61:AV65)=5,ROUND((LARGE(AV61:AV65,2)+LARGE(AV61:AV65,3)+LARGE(AV61:AV65,4))/3,1),"")</f>
        <v/>
      </c>
      <c r="AW66" s="4">
        <f>IF(COUNT(AW61:AW65)=5,ROUND((LARGE(AW61:AW65,2)+LARGE(AW61:AW65,3)+LARGE(AW61:AW65,4))/3,1),"")</f>
        <v/>
      </c>
      <c r="AX66" s="4">
        <f>IF(COUNT(AX61:AX65)=5,ROUND((LARGE(AX61:AX65,2)+LARGE(AX61:AX65,3)+LARGE(AX61:AX65,4))/3,1),"")</f>
        <v/>
      </c>
      <c r="AY66" s="4">
        <f>IF(COUNT(AY61:AY65)=5,ROUND((LARGE(AY61:AY65,2)+LARGE(AY61:AY65,3)+LARGE(AY61:AY65,4))/3,1),"")</f>
        <v/>
      </c>
      <c r="AZ66" s="4">
        <f>IF(COUNT(AZ61:AZ65)=5,ROUND((LARGE(AZ61:AZ65,2)+LARGE(AZ61:AZ65,3)+LARGE(AZ61:AZ65,4))/3,1),"")</f>
        <v/>
      </c>
      <c r="BA66" s="4">
        <f>IF(COUNT(BA61:BA65)=5,ROUND((LARGE(BA61:BA65,2)+LARGE(BA61:BA65,3)+LARGE(BA61:BA65,4))/3,1),"")</f>
        <v/>
      </c>
      <c r="BB66" s="4">
        <f>IF(COUNT(BB61:BB65)=5,ROUND((LARGE(BB61:BB65,2)+LARGE(BB61:BB65,3)+LARGE(BB61:BB65,4))/3,1),"")</f>
        <v/>
      </c>
      <c r="BC66" s="4">
        <f>IF(COUNT(BC61:BC65)=5,ROUND((LARGE(BC61:BC65,2)+LARGE(BC61:BC65,3)+LARGE(BC61:BC65,4))/3,1),"")</f>
        <v/>
      </c>
      <c r="BD66" s="4">
        <f>IF(COUNT(BD61:BD65)=5,ROUND((LARGE(BD61:BD65,2)+LARGE(BD61:BD65,3)+LARGE(BD61:BD65,4))/3,1),"")</f>
        <v/>
      </c>
      <c r="BE66" s="4">
        <f>IF(COUNT(BE61:BE65)=5,ROUND((LARGE(BE61:BE65,2)+LARGE(BE61:BE65,3)+LARGE(BE61:BE65,4))/3,1),"")</f>
        <v/>
      </c>
      <c r="BF66" s="4">
        <f>IF(COUNT(BF61:BF65)=5,ROUND((LARGE(BF61:BF65,2)+LARGE(BF61:BF65,3)+LARGE(BF61:BF65,4))/3,1),"")</f>
        <v/>
      </c>
      <c r="BG66" s="4">
        <f>IF(COUNT(BG61:BG65)=5,ROUND((LARGE(BG61:BG65,2)+LARGE(BG61:BG65,3)+LARGE(BG61:BG65,4))/3,1),"")</f>
        <v/>
      </c>
      <c r="BH66" s="4">
        <f>IF(COUNT(BH61:BH65)=5,ROUND((LARGE(BH61:BH65,2)+LARGE(BH61:BH65,3)+LARGE(BH61:BH65,4))/3,1),"")</f>
        <v/>
      </c>
      <c r="BI66" s="4">
        <f>IF(COUNT(BI61:BI65)=5,ROUND((LARGE(BI61:BI65,2)+LARGE(BI61:BI65,3)+LARGE(BI61:BI65,4))/3,1),"")</f>
        <v/>
      </c>
      <c r="BJ66" s="4">
        <f>IF(COUNT(BJ61:BJ65)=5,ROUND((LARGE(BJ61:BJ65,2)+LARGE(BJ61:BJ65,3)+LARGE(BJ61:BJ65,4))/3,1),"")</f>
        <v/>
      </c>
      <c r="BK66" s="4">
        <f>IF(COUNT(BK61:BK65)=5,ROUND((LARGE(BK61:BK65,2)+LARGE(BK61:BK65,3)+LARGE(BK61:BK65,4))/3,1),"")</f>
        <v/>
      </c>
      <c r="BL66" s="4">
        <f>IF(COUNT(BL61:BL65)=5,ROUND((LARGE(BL61:BL65,2)+LARGE(BL61:BL65,3)+LARGE(BL61:BL65,4))/3,1),"")</f>
        <v/>
      </c>
      <c r="BM66" s="4">
        <f>IF(COUNT(BM61:BM65)=5,ROUND((LARGE(BM61:BM65,2)+LARGE(BM61:BM65,3)+LARGE(BM61:BM65,4))/3,1),"")</f>
        <v/>
      </c>
      <c r="BN66" s="4">
        <f>IF(COUNT(BN61:BN65)=5,ROUND((LARGE(BN61:BN65,2)+LARGE(BN61:BN65,3)+LARGE(BN61:BN65,4))/3,1),"")</f>
        <v/>
      </c>
      <c r="BO66" s="4">
        <f>IF(COUNT(BO61:BO65)=5,ROUND((LARGE(BO61:BO65,2)+LARGE(BO61:BO65,3)+LARGE(BO61:BO65,4))/3,1),"")</f>
        <v/>
      </c>
      <c r="BP66" s="4">
        <f>IF(COUNT(BP61:BP65)=5,ROUND((LARGE(BP61:BP65,2)+LARGE(BP61:BP65,3)+LARGE(BP61:BP65,4))/3,1),"")</f>
        <v/>
      </c>
      <c r="BQ66" s="4">
        <f>IF(COUNT(BQ61:BQ65)=5,ROUND((LARGE(BQ61:BQ65,2)+LARGE(BQ61:BQ65,3)+LARGE(BQ61:BQ65,4))/3,1),"")</f>
        <v/>
      </c>
      <c r="BR66" s="4">
        <f>IF(COUNT(BR61:BR65)=5,ROUND((LARGE(BR61:BR65,2)+LARGE(BR61:BR65,3)+LARGE(BR61:BR65,4))/3,1),"")</f>
        <v/>
      </c>
      <c r="BS66" s="4">
        <f>IF(COUNT(BS61:BS65)=5,ROUND((LARGE(BS61:BS65,2)+LARGE(BS61:BS65,3)+LARGE(BS61:BS65,4))/3,1),"")</f>
        <v/>
      </c>
      <c r="BT66" s="4">
        <f>IF(COUNT(BT61:BT65)=5,ROUND((LARGE(BT61:BT65,2)+LARGE(BT61:BT65,3)+LARGE(BT61:BT65,4))/3,1),"")</f>
        <v/>
      </c>
      <c r="BU66" s="4">
        <f>IF(COUNT(BU61:BU65)=5,ROUND((LARGE(BU61:BU65,2)+LARGE(BU61:BU65,3)+LARGE(BU61:BU65,4))/3,1),"")</f>
        <v/>
      </c>
      <c r="BV66" s="4">
        <f>IF(COUNT(BV61:BV65)=5,ROUND((LARGE(BV61:BV65,2)+LARGE(BV61:BV65,3)+LARGE(BV61:BV65,4))/3,1),"")</f>
        <v/>
      </c>
      <c r="BW66" s="4">
        <f>IF(COUNT(BW61:BW65)=5,ROUND((LARGE(BW61:BW65,2)+LARGE(BW61:BW65,3)+LARGE(BW61:BW65,4))/3,1),"")</f>
        <v/>
      </c>
      <c r="BX66" s="4">
        <f>IF(COUNT(BX61:BX65)=5,ROUND((LARGE(BX61:BX65,2)+LARGE(BX61:BX65,3)+LARGE(BX61:BX65,4))/3,1),"")</f>
        <v/>
      </c>
      <c r="BY66" s="4">
        <f>IF(COUNT(BY61:BY65)=5,ROUND((LARGE(BY61:BY65,2)+LARGE(BY61:BY65,3)+LARGE(BY61:BY65,4))/3,1),"")</f>
        <v/>
      </c>
      <c r="BZ66" s="4">
        <f>IF(COUNT(BZ61:BZ65)=5,ROUND((LARGE(BZ61:BZ65,2)+LARGE(BZ61:BZ65,3)+LARGE(BZ61:BZ65,4))/3,1),"")</f>
        <v/>
      </c>
      <c r="CA66" s="4">
        <f>IF(COUNT(CA61:CA65)=5,ROUND((LARGE(CA61:CA65,2)+LARGE(CA61:CA65,3)+LARGE(CA61:CA65,4))/3,1),"")</f>
        <v/>
      </c>
      <c r="CB66" s="4">
        <f>IF(COUNT(CB61:CB65)=5,ROUND((LARGE(CB61:CB65,2)+LARGE(CB61:CB65,3)+LARGE(CB61:CB65,4))/3,1),"")</f>
        <v/>
      </c>
      <c r="CC66" s="4">
        <f>IF(COUNT(CC61:CC65)=5,ROUND((LARGE(CC61:CC65,2)+LARGE(CC61:CC65,3)+LARGE(CC61:CC65,4))/3,1),"")</f>
        <v/>
      </c>
      <c r="CD66" s="4">
        <f>IF(COUNT(CD61:CD65)=5,ROUND((LARGE(CD61:CD65,2)+LARGE(CD61:CD65,3)+LARGE(CD61:CD65,4))/3,1),"")</f>
        <v/>
      </c>
      <c r="CE66" s="4">
        <f>IF(COUNT(CE61:CE65)=5,ROUND((LARGE(CE61:CE65,2)+LARGE(CE61:CE65,3)+LARGE(CE61:CE65,4))/3,1),"")</f>
        <v/>
      </c>
      <c r="CF66" s="4">
        <f>IF(COUNT(CF61:CF65)=5,ROUND((LARGE(CF61:CF65,2)+LARGE(CF61:CF65,3)+LARGE(CF61:CF65,4))/3,1),"")</f>
        <v/>
      </c>
      <c r="CG66" s="4">
        <f>IF(COUNT(CG61:CG65)=5,ROUND((LARGE(CG61:CG65,2)+LARGE(CG61:CG65,3)+LARGE(CG61:CG65,4))/3,1),"")</f>
        <v/>
      </c>
      <c r="CH66" s="4">
        <f>IF(COUNT(CH61:CH65)=5,ROUND((LARGE(CH61:CH65,2)+LARGE(CH61:CH65,3)+LARGE(CH61:CH65,4))/3,1),"")</f>
        <v/>
      </c>
      <c r="CI66" s="4">
        <f>IF(COUNT(CI61:CI65)=5,ROUND((LARGE(CI61:CI65,2)+LARGE(CI61:CI65,3)+LARGE(CI61:CI65,4))/3,1),"")</f>
        <v/>
      </c>
      <c r="CJ66" s="4">
        <f>IF(COUNT(CJ61:CJ65)=5,ROUND((LARGE(CJ61:CJ65,2)+LARGE(CJ61:CJ65,3)+LARGE(CJ61:CJ65,4))/3,1),"")</f>
        <v/>
      </c>
      <c r="CK66" s="4">
        <f>IF(COUNT(CK61:CK65)=5,ROUND((LARGE(CK61:CK65,2)+LARGE(CK61:CK65,3)+LARGE(CK61:CK65,4))/3,1),"")</f>
        <v/>
      </c>
      <c r="CL66" s="4">
        <f>IF(COUNT(CL61:CL65)=5,ROUND((LARGE(CL61:CL65,2)+LARGE(CL61:CL65,3)+LARGE(CL61:CL65,4))/3,1),"")</f>
        <v/>
      </c>
      <c r="CM66" s="4">
        <f>IF(COUNT(CM61:CM65)=5,ROUND((LARGE(CM61:CM65,2)+LARGE(CM61:CM65,3)+LARGE(CM61:CM65,4))/3,1),"")</f>
        <v/>
      </c>
      <c r="CN66" s="4">
        <f>IF(COUNT(CN61:CN65)=5,ROUND((LARGE(CN61:CN65,2)+LARGE(CN61:CN65,3)+LARGE(CN61:CN65,4))/3,1),"")</f>
        <v/>
      </c>
      <c r="CO66" s="4">
        <f>IF(COUNT(CO61:CO65)=5,ROUND((LARGE(CO61:CO65,2)+LARGE(CO61:CO65,3)+LARGE(CO61:CO65,4))/3,1),"")</f>
        <v/>
      </c>
      <c r="CP66" s="4">
        <f>IF(COUNT(CP61:CP65)=5,ROUND((LARGE(CP61:CP65,2)+LARGE(CP61:CP65,3)+LARGE(CP61:CP65,4))/3,1),"")</f>
        <v/>
      </c>
      <c r="CQ66" s="4">
        <f>IF(COUNT(CQ61:CQ65)=5,ROUND((LARGE(CQ61:CQ65,2)+LARGE(CQ61:CQ65,3)+LARGE(CQ61:CQ65,4))/3,1),"")</f>
        <v/>
      </c>
      <c r="CR66" s="4">
        <f>IF(COUNT(CR61:CR65)=5,ROUND((LARGE(CR61:CR65,2)+LARGE(CR61:CR65,3)+LARGE(CR61:CR65,4))/3,1),"")</f>
        <v/>
      </c>
      <c r="CS66" s="4">
        <f>IF(COUNT(CS61:CS65)=5,ROUND((LARGE(CS61:CS65,2)+LARGE(CS61:CS65,3)+LARGE(CS61:CS65,4))/3,1),"")</f>
        <v/>
      </c>
      <c r="CT66" s="4">
        <f>IF(COUNT(CT61:CT65)=5,ROUND((LARGE(CT61:CT65,2)+LARGE(CT61:CT65,3)+LARGE(CT61:CT65,4))/3,1),"")</f>
        <v/>
      </c>
      <c r="CU66" s="4">
        <f>IF(COUNT(CU61:CU65)=5,ROUND((LARGE(CU61:CU65,2)+LARGE(CU61:CU65,3)+LARGE(CU61:CU65,4))/3,1),"")</f>
        <v/>
      </c>
      <c r="CV66" s="4">
        <f>IF(COUNT(CV61:CV65)=5,ROUND((LARGE(CV61:CV65,2)+LARGE(CV61:CV65,3)+LARGE(CV61:CV65,4))/3,1),"")</f>
        <v/>
      </c>
      <c r="CW66" s="4">
        <f>IF(COUNT(CW61:CW65)=5,ROUND((LARGE(CW61:CW65,2)+LARGE(CW61:CW65,3)+LARGE(CW61:CW65,4))/3,1),"")</f>
        <v/>
      </c>
      <c r="CX66" s="4">
        <f>IF(COUNT(CX61:CX65)=5,ROUND((LARGE(CX61:CX65,2)+LARGE(CX61:CX65,3)+LARGE(CX61:CX65,4))/3,1),"")</f>
        <v/>
      </c>
      <c r="CY66" s="4">
        <f>IF(COUNT(CY61:CY65)=5,ROUND((LARGE(CY61:CY65,2)+LARGE(CY61:CY65,3)+LARGE(CY61:CY65,4))/3,1),"")</f>
        <v/>
      </c>
      <c r="CZ66" s="4">
        <f>IF(COUNT(CZ61:CZ65)=5,ROUND((LARGE(CZ61:CZ65,2)+LARGE(CZ61:CZ65,3)+LARGE(CZ61:CZ65,4))/3,1),"")</f>
        <v/>
      </c>
      <c r="DA66" s="4">
        <f>IF(COUNT(DA61:DA65)=5,ROUND((LARGE(DA61:DA65,2)+LARGE(DA61:DA65,3)+LARGE(DA61:DA65,4))/3,1),"")</f>
        <v/>
      </c>
      <c r="DB66" s="4">
        <f>IF(COUNT(DB61:DB65)=5,ROUND((LARGE(DB61:DB65,2)+LARGE(DB61:DB65,3)+LARGE(DB61:DB65,4))/3,1),"")</f>
        <v/>
      </c>
      <c r="DC66" s="4">
        <f>IF(COUNT(DC61:DC65)=5,ROUND((LARGE(DC61:DC65,2)+LARGE(DC61:DC65,3)+LARGE(DC61:DC65,4))/3,1),"")</f>
        <v/>
      </c>
      <c r="DD66" s="4">
        <f>IF(COUNT(DD61:DD65)=5,ROUND((LARGE(DD61:DD65,2)+LARGE(DD61:DD65,3)+LARGE(DD61:DD65,4))/3,1),"")</f>
        <v/>
      </c>
      <c r="DE66" s="4">
        <f>IF(COUNT(DE61:DE65)=5,ROUND((LARGE(DE61:DE65,2)+LARGE(DE61:DE65,3)+LARGE(DE61:DE65,4))/3,1),"")</f>
        <v/>
      </c>
      <c r="DF66" s="4">
        <f>IF(COUNT(DF61:DF65)=5,ROUND((LARGE(DF61:DF65,2)+LARGE(DF61:DF65,3)+LARGE(DF61:DF65,4))/3,1),"")</f>
        <v/>
      </c>
      <c r="DG66" s="4">
        <f>IF(COUNT(DG61:DG65)=5,ROUND((LARGE(DG61:DG65,2)+LARGE(DG61:DG65,3)+LARGE(DG61:DG65,4))/3,1),"")</f>
        <v/>
      </c>
      <c r="DH66" s="4">
        <f>IF(COUNT(DH61:DH65)=5,ROUND((LARGE(DH61:DH65,2)+LARGE(DH61:DH65,3)+LARGE(DH61:DH65,4))/3,1),"")</f>
        <v/>
      </c>
      <c r="DI66" s="4">
        <f>IF(COUNT(DI61:DI65)=5,ROUND((LARGE(DI61:DI65,2)+LARGE(DI61:DI65,3)+LARGE(DI61:DI65,4))/3,1),"")</f>
        <v/>
      </c>
      <c r="DJ66" s="4">
        <f>IF(COUNT(DJ61:DJ65)=5,ROUND((LARGE(DJ61:DJ65,2)+LARGE(DJ61:DJ65,3)+LARGE(DJ61:DJ65,4))/3,1),"")</f>
        <v/>
      </c>
      <c r="DK66" s="4">
        <f>IF(COUNT(DK61:DK65)=5,ROUND((LARGE(DK61:DK65,2)+LARGE(DK61:DK65,3)+LARGE(DK61:DK65,4))/3,1),"")</f>
        <v/>
      </c>
      <c r="DL66" s="4">
        <f>IF(COUNT(DL61:DL65)=5,ROUND((LARGE(DL61:DL65,2)+LARGE(DL61:DL65,3)+LARGE(DL61:DL65,4))/3,1),"")</f>
        <v/>
      </c>
      <c r="DM66" s="4">
        <f>IF(COUNT(DM61:DM65)=5,ROUND((LARGE(DM61:DM65,2)+LARGE(DM61:DM65,3)+LARGE(DM61:DM65,4))/3,1),"")</f>
        <v/>
      </c>
      <c r="DN66" s="4">
        <f>IF(COUNT(DN61:DN65)=5,ROUND((LARGE(DN61:DN65,2)+LARGE(DN61:DN65,3)+LARGE(DN61:DN65,4))/3,1),"")</f>
        <v/>
      </c>
      <c r="DO66" s="4">
        <f>IF(COUNT(DO61:DO65)=5,ROUND((LARGE(DO61:DO65,2)+LARGE(DO61:DO65,3)+LARGE(DO61:DO65,4))/3,1),"")</f>
        <v/>
      </c>
      <c r="DP66" s="4">
        <f>IF(COUNT(DP61:DP65)=5,ROUND((LARGE(DP61:DP65,2)+LARGE(DP61:DP65,3)+LARGE(DP61:DP65,4))/3,1),"")</f>
        <v/>
      </c>
      <c r="DQ66" s="4">
        <f>IF(COUNT(DQ61:DQ65)=5,ROUND((LARGE(DQ61:DQ65,2)+LARGE(DQ61:DQ65,3)+LARGE(DQ61:DQ65,4))/3,1),"")</f>
        <v/>
      </c>
      <c r="DR66" s="4">
        <f>IF(COUNT(DR61:DR65)=5,ROUND((LARGE(DR61:DR65,2)+LARGE(DR61:DR65,3)+LARGE(DR61:DR65,4))/3,1),"")</f>
        <v/>
      </c>
      <c r="DS66" s="4">
        <f>IF(COUNT(DS61:DS65)=5,ROUND((LARGE(DS61:DS65,2)+LARGE(DS61:DS65,3)+LARGE(DS61:DS65,4))/3,1),"")</f>
        <v/>
      </c>
      <c r="DT66" s="4">
        <f>IF(COUNT(DT61:DT65)=5,ROUND((LARGE(DT61:DT65,2)+LARGE(DT61:DT65,3)+LARGE(DT61:DT65,4))/3,1),"")</f>
        <v/>
      </c>
      <c r="DU66" s="4">
        <f>IF(COUNT(DU61:DU65)=5,ROUND((LARGE(DU61:DU65,2)+LARGE(DU61:DU65,3)+LARGE(DU61:DU65,4))/3,1),"")</f>
        <v/>
      </c>
      <c r="DV66" s="4">
        <f>IF(COUNT(DV61:DV65)=5,ROUND((LARGE(DV61:DV65,2)+LARGE(DV61:DV65,3)+LARGE(DV61:DV65,4))/3,1),"")</f>
        <v/>
      </c>
      <c r="DW66" s="4">
        <f>IF(COUNT(DW61:DW65)=5,ROUND((LARGE(DW61:DW65,2)+LARGE(DW61:DW65,3)+LARGE(DW61:DW65,4))/3,1),"")</f>
        <v/>
      </c>
      <c r="DX66" s="4">
        <f>IF(COUNT(DX61:DX65)=5,ROUND((LARGE(DX61:DX65,2)+LARGE(DX61:DX65,3)+LARGE(DX61:DX65,4))/3,1),"")</f>
        <v/>
      </c>
      <c r="DY66" s="4">
        <f>IF(COUNT(DY61:DY65)=5,ROUND((LARGE(DY61:DY65,2)+LARGE(DY61:DY65,3)+LARGE(DY61:DY65,4))/3,1),"")</f>
        <v/>
      </c>
      <c r="DZ66" s="4">
        <f>IF(COUNT(DZ61:DZ65)=5,ROUND((LARGE(DZ61:DZ65,2)+LARGE(DZ61:DZ65,3)+LARGE(DZ61:DZ65,4))/3,1),"")</f>
        <v/>
      </c>
      <c r="EA66" s="4">
        <f>IF(COUNT(EA61:EA65)=5,ROUND((LARGE(EA61:EA65,2)+LARGE(EA61:EA65,3)+LARGE(EA61:EA65,4))/3,1),"")</f>
        <v/>
      </c>
      <c r="EB66" s="4">
        <f>IF(COUNT(EB61:EB65)=5,ROUND((LARGE(EB61:EB65,2)+LARGE(EB61:EB65,3)+LARGE(EB61:EB65,4))/3,1),"")</f>
        <v/>
      </c>
      <c r="EC66" s="4">
        <f>IF(COUNT(EC61:EC65)=5,ROUND((LARGE(EC61:EC65,2)+LARGE(EC61:EC65,3)+LARGE(EC61:EC65,4))/3,1),"")</f>
        <v/>
      </c>
      <c r="ED66" s="4">
        <f>IF(COUNT(ED61:ED65)=5,ROUND((LARGE(ED61:ED65,2)+LARGE(ED61:ED65,3)+LARGE(ED61:ED65,4))/3,1),"")</f>
        <v/>
      </c>
      <c r="EE66" s="4">
        <f>IF(COUNT(EE61:EE65)=5,ROUND((LARGE(EE61:EE65,2)+LARGE(EE61:EE65,3)+LARGE(EE61:EE65,4))/3,1),"")</f>
        <v/>
      </c>
      <c r="EF66" s="4">
        <f>IF(COUNT(EF61:EF65)=5,ROUND((LARGE(EF61:EF65,2)+LARGE(EF61:EF65,3)+LARGE(EF61:EF65,4))/3,1),"")</f>
        <v/>
      </c>
      <c r="EG66" s="4">
        <f>IF(COUNT(EG61:EG65)=5,ROUND((LARGE(EG61:EG65,2)+LARGE(EG61:EG65,3)+LARGE(EG61:EG65,4))/3,1),"")</f>
        <v/>
      </c>
      <c r="EH66" s="4">
        <f>IF(COUNT(EH61:EH65)=5,ROUND((LARGE(EH61:EH65,2)+LARGE(EH61:EH65,3)+LARGE(EH61:EH65,4))/3,1),"")</f>
        <v/>
      </c>
      <c r="EI66" s="4">
        <f>IF(COUNT(EI61:EI65)=5,ROUND((LARGE(EI61:EI65,2)+LARGE(EI61:EI65,3)+LARGE(EI61:EI65,4))/3,1),"")</f>
        <v/>
      </c>
      <c r="EJ66" s="4">
        <f>IF(COUNT(EJ61:EJ65)=5,ROUND((LARGE(EJ61:EJ65,2)+LARGE(EJ61:EJ65,3)+LARGE(EJ61:EJ65,4))/3,1),"")</f>
        <v/>
      </c>
      <c r="EK66" s="4">
        <f>IF(COUNT(EK61:EK65)=5,ROUND((LARGE(EK61:EK65,2)+LARGE(EK61:EK65,3)+LARGE(EK61:EK65,4))/3,1),"")</f>
        <v/>
      </c>
      <c r="EL66" s="4">
        <f>IF(COUNT(EL61:EL65)=5,ROUND((LARGE(EL61:EL65,2)+LARGE(EL61:EL65,3)+LARGE(EL61:EL65,4))/3,1),"")</f>
        <v/>
      </c>
      <c r="EM66" s="4">
        <f>IF(COUNT(EM61:EM65)=5,ROUND((LARGE(EM61:EM65,2)+LARGE(EM61:EM65,3)+LARGE(EM61:EM65,4))/3,1),"")</f>
        <v/>
      </c>
      <c r="EN66" s="4">
        <f>IF(COUNT(EN61:EN65)=5,ROUND((LARGE(EN61:EN65,2)+LARGE(EN61:EN65,3)+LARGE(EN61:EN65,4))/3,1),"")</f>
        <v/>
      </c>
      <c r="EO66" s="4">
        <f>IF(COUNT(EO61:EO65)=5,ROUND((LARGE(EO61:EO65,2)+LARGE(EO61:EO65,3)+LARGE(EO61:EO65,4))/3,1),"")</f>
        <v/>
      </c>
      <c r="EP66" s="4">
        <f>IF(COUNT(EP61:EP65)=5,ROUND((LARGE(EP61:EP65,2)+LARGE(EP61:EP65,3)+LARGE(EP61:EP65,4))/3,1),"")</f>
        <v/>
      </c>
      <c r="EQ66" s="4">
        <f>IF(COUNT(EQ61:EQ65)=5,ROUND((LARGE(EQ61:EQ65,2)+LARGE(EQ61:EQ65,3)+LARGE(EQ61:EQ65,4))/3,1),"")</f>
        <v/>
      </c>
      <c r="ER66" s="4">
        <f>IF(COUNT(ER61:ER65)=5,ROUND((LARGE(ER61:ER65,2)+LARGE(ER61:ER65,3)+LARGE(ER61:ER65,4))/3,1),"")</f>
        <v/>
      </c>
      <c r="ES66" s="4">
        <f>IF(COUNT(ES61:ES65)=5,ROUND((LARGE(ES61:ES65,2)+LARGE(ES61:ES65,3)+LARGE(ES61:ES65,4))/3,1),"")</f>
        <v/>
      </c>
      <c r="ET66" s="4">
        <f>IF(COUNT(ET61:ET65)=5,ROUND((LARGE(ET61:ET65,2)+LARGE(ET61:ET65,3)+LARGE(ET61:ET65,4))/3,1),"")</f>
        <v/>
      </c>
      <c r="EU66" s="4">
        <f>IF(COUNT(EU61:EU65)=5,ROUND((LARGE(EU61:EU65,2)+LARGE(EU61:EU65,3)+LARGE(EU61:EU65,4))/3,1),"")</f>
        <v/>
      </c>
      <c r="EV66" s="4">
        <f>IF(COUNT(EV61:EV65)=5,ROUND((LARGE(EV61:EV65,2)+LARGE(EV61:EV65,3)+LARGE(EV61:EV65,4))/3,1),"")</f>
        <v/>
      </c>
      <c r="EW66" s="4">
        <f>IF(COUNT(EW61:EW65)=5,ROUND((LARGE(EW61:EW65,2)+LARGE(EW61:EW65,3)+LARGE(EW61:EW65,4))/3,1),"")</f>
        <v/>
      </c>
      <c r="EX66" s="4">
        <f>IF(COUNT(EX61:EX65)=5,ROUND((LARGE(EX61:EX65,2)+LARGE(EX61:EX65,3)+LARGE(EX61:EX65,4))/3,1),"")</f>
        <v/>
      </c>
      <c r="EY66" s="4">
        <f>IF(COUNT(EY61:EY65)=5,ROUND((LARGE(EY61:EY65,2)+LARGE(EY61:EY65,3)+LARGE(EY61:EY65,4))/3,1),"")</f>
        <v/>
      </c>
      <c r="EZ66" s="4">
        <f>IF(COUNT(EZ61:EZ65)=5,ROUND((LARGE(EZ61:EZ65,2)+LARGE(EZ61:EZ65,3)+LARGE(EZ61:EZ65,4))/3,1),"")</f>
        <v/>
      </c>
      <c r="FA66" s="4">
        <f>IF(COUNT(FA61:FA65)=5,ROUND((LARGE(FA61:FA65,2)+LARGE(FA61:FA65,3)+LARGE(FA61:FA65,4))/3,1),"")</f>
        <v/>
      </c>
      <c r="FB66" s="4">
        <f>IF(COUNT(FB61:FB65)=5,ROUND((LARGE(FB61:FB65,2)+LARGE(FB61:FB65,3)+LARGE(FB61:FB65,4))/3,1),"")</f>
        <v/>
      </c>
      <c r="FC66" s="4">
        <f>IF(COUNT(FC61:FC65)=5,ROUND((LARGE(FC61:FC65,2)+LARGE(FC61:FC65,3)+LARGE(FC61:FC65,4))/3,1),"")</f>
        <v/>
      </c>
      <c r="FD66" s="4">
        <f>IF(COUNT(FD61:FD65)=5,ROUND((LARGE(FD61:FD65,2)+LARGE(FD61:FD65,3)+LARGE(FD61:FD65,4))/3,1),"")</f>
        <v/>
      </c>
      <c r="FE66" s="4">
        <f>IF(COUNT(FE61:FE65)=5,ROUND((LARGE(FE61:FE65,2)+LARGE(FE61:FE65,3)+LARGE(FE61:FE65,4))/3,1),"")</f>
        <v/>
      </c>
      <c r="FF66" s="4">
        <f>IF(COUNT(FF61:FF65)=5,ROUND((LARGE(FF61:FF65,2)+LARGE(FF61:FF65,3)+LARGE(FF61:FF65,4))/3,1),"")</f>
        <v/>
      </c>
      <c r="FG66" s="4">
        <f>IF(COUNT(FG61:FG65)=5,ROUND((LARGE(FG61:FG65,2)+LARGE(FG61:FG65,3)+LARGE(FG61:FG65,4))/3,1),"")</f>
        <v/>
      </c>
      <c r="FH66" s="4">
        <f>IF(COUNT(FH61:FH65)=5,ROUND((LARGE(FH61:FH65,2)+LARGE(FH61:FH65,3)+LARGE(FH61:FH65,4))/3,1),"")</f>
        <v/>
      </c>
      <c r="FI66" s="4">
        <f>IF(COUNT(FI61:FI65)=5,ROUND((LARGE(FI61:FI65,2)+LARGE(FI61:FI65,3)+LARGE(FI61:FI65,4))/3,1),"")</f>
        <v/>
      </c>
      <c r="FJ66" s="4">
        <f>IF(COUNT(FJ61:FJ65)=5,ROUND((LARGE(FJ61:FJ65,2)+LARGE(FJ61:FJ65,3)+LARGE(FJ61:FJ65,4))/3,1),"")</f>
        <v/>
      </c>
      <c r="FK66" s="4">
        <f>IF(COUNT(FK61:FK65)=5,ROUND((LARGE(FK61:FK65,2)+LARGE(FK61:FK65,3)+LARGE(FK61:FK65,4))/3,1),"")</f>
        <v/>
      </c>
      <c r="FL66" s="4">
        <f>IF(COUNT(FL61:FL65)=5,ROUND((LARGE(FL61:FL65,2)+LARGE(FL61:FL65,3)+LARGE(FL61:FL65,4))/3,1),"")</f>
        <v/>
      </c>
      <c r="FM66" s="4">
        <f>IF(COUNT(FM61:FM65)=5,ROUND((LARGE(FM61:FM65,2)+LARGE(FM61:FM65,3)+LARGE(FM61:FM65,4))/3,1),"")</f>
        <v/>
      </c>
      <c r="FN66" s="4">
        <f>IF(COUNT(FN61:FN65)=5,ROUND((LARGE(FN61:FN65,2)+LARGE(FN61:FN65,3)+LARGE(FN61:FN65,4))/3,1),"")</f>
        <v/>
      </c>
      <c r="FO66" s="4">
        <f>IF(COUNT(FO61:FO65)=5,ROUND((LARGE(FO61:FO65,2)+LARGE(FO61:FO65,3)+LARGE(FO61:FO65,4))/3,1),"")</f>
        <v/>
      </c>
      <c r="FP66" s="4">
        <f>IF(COUNT(FP61:FP65)=5,ROUND((LARGE(FP61:FP65,2)+LARGE(FP61:FP65,3)+LARGE(FP61:FP65,4))/3,1),"")</f>
        <v/>
      </c>
      <c r="FQ66" s="4">
        <f>IF(COUNT(FQ61:FQ65)=5,ROUND((LARGE(FQ61:FQ65,2)+LARGE(FQ61:FQ65,3)+LARGE(FQ61:FQ65,4))/3,1),"")</f>
        <v/>
      </c>
    </row>
    <row r="67">
      <c r="A67" s="29" t="inlineStr">
        <is>
          <t>3F4D+MD</t>
        </is>
      </c>
      <c r="B67" s="30" t="inlineStr">
        <is>
          <t>Tiller number (count 5 hills) / কুশি</t>
        </is>
      </c>
    </row>
    <row r="68">
      <c r="A68" s="31" t="inlineStr">
        <is>
          <t>3F4D+MD</t>
        </is>
      </c>
      <c r="B68" s="31" t="inlineStr">
        <is>
          <t>Hill 1</t>
        </is>
      </c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 t="n"/>
      <c r="EG68" s="22" t="n"/>
      <c r="EH68" s="22" t="n"/>
      <c r="EI68" s="22" t="n"/>
      <c r="EJ68" s="22" t="n"/>
      <c r="EK68" s="22" t="n"/>
      <c r="EL68" s="22" t="n"/>
      <c r="EM68" s="22" t="n"/>
      <c r="EN68" s="22" t="n"/>
      <c r="EO68" s="22" t="n"/>
      <c r="EP68" s="22" t="n"/>
      <c r="EQ68" s="22" t="n"/>
      <c r="ER68" s="22" t="n"/>
      <c r="ES68" s="22" t="n"/>
      <c r="ET68" s="22" t="n"/>
      <c r="EU68" s="22" t="n"/>
      <c r="EV68" s="22" t="n"/>
      <c r="EW68" s="22" t="n"/>
      <c r="EX68" s="22" t="n"/>
      <c r="EY68" s="22" t="n"/>
      <c r="EZ68" s="22" t="n"/>
      <c r="FA68" s="22" t="n"/>
      <c r="FB68" s="22" t="n"/>
      <c r="FC68" s="22" t="n"/>
      <c r="FD68" s="22" t="n"/>
      <c r="FE68" s="22" t="n"/>
      <c r="FF68" s="22" t="n"/>
      <c r="FG68" s="22" t="n"/>
      <c r="FH68" s="22" t="n"/>
      <c r="FI68" s="22" t="n"/>
      <c r="FJ68" s="22" t="n"/>
      <c r="FK68" s="22" t="n"/>
      <c r="FL68" s="22" t="n"/>
      <c r="FM68" s="22" t="n"/>
      <c r="FN68" s="22" t="n"/>
      <c r="FO68" s="22" t="n"/>
      <c r="FP68" s="22" t="n"/>
      <c r="FQ68" s="22" t="n"/>
    </row>
    <row r="69">
      <c r="A69" s="31" t="inlineStr">
        <is>
          <t>3F4D+MD</t>
        </is>
      </c>
      <c r="B69" s="31" t="inlineStr">
        <is>
          <t>Hill 2</t>
        </is>
      </c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 t="n"/>
      <c r="EG69" s="22" t="n"/>
      <c r="EH69" s="22" t="n"/>
      <c r="EI69" s="22" t="n"/>
      <c r="EJ69" s="22" t="n"/>
      <c r="EK69" s="22" t="n"/>
      <c r="EL69" s="22" t="n"/>
      <c r="EM69" s="22" t="n"/>
      <c r="EN69" s="22" t="n"/>
      <c r="EO69" s="22" t="n"/>
      <c r="EP69" s="22" t="n"/>
      <c r="EQ69" s="22" t="n"/>
      <c r="ER69" s="22" t="n"/>
      <c r="ES69" s="22" t="n"/>
      <c r="ET69" s="22" t="n"/>
      <c r="EU69" s="22" t="n"/>
      <c r="EV69" s="22" t="n"/>
      <c r="EW69" s="22" t="n"/>
      <c r="EX69" s="22" t="n"/>
      <c r="EY69" s="22" t="n"/>
      <c r="EZ69" s="22" t="n"/>
      <c r="FA69" s="22" t="n"/>
      <c r="FB69" s="22" t="n"/>
      <c r="FC69" s="22" t="n"/>
      <c r="FD69" s="22" t="n"/>
      <c r="FE69" s="22" t="n"/>
      <c r="FF69" s="22" t="n"/>
      <c r="FG69" s="22" t="n"/>
      <c r="FH69" s="22" t="n"/>
      <c r="FI69" s="22" t="n"/>
      <c r="FJ69" s="22" t="n"/>
      <c r="FK69" s="22" t="n"/>
      <c r="FL69" s="22" t="n"/>
      <c r="FM69" s="22" t="n"/>
      <c r="FN69" s="22" t="n"/>
      <c r="FO69" s="22" t="n"/>
      <c r="FP69" s="22" t="n"/>
      <c r="FQ69" s="22" t="n"/>
    </row>
    <row r="70">
      <c r="A70" s="31" t="inlineStr">
        <is>
          <t>3F4D+MD</t>
        </is>
      </c>
      <c r="B70" s="31" t="inlineStr">
        <is>
          <t>Hill 3</t>
        </is>
      </c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 t="n"/>
      <c r="EG70" s="22" t="n"/>
      <c r="EH70" s="22" t="n"/>
      <c r="EI70" s="22" t="n"/>
      <c r="EJ70" s="22" t="n"/>
      <c r="EK70" s="22" t="n"/>
      <c r="EL70" s="22" t="n"/>
      <c r="EM70" s="22" t="n"/>
      <c r="EN70" s="22" t="n"/>
      <c r="EO70" s="22" t="n"/>
      <c r="EP70" s="22" t="n"/>
      <c r="EQ70" s="22" t="n"/>
      <c r="ER70" s="22" t="n"/>
      <c r="ES70" s="22" t="n"/>
      <c r="ET70" s="22" t="n"/>
      <c r="EU70" s="22" t="n"/>
      <c r="EV70" s="22" t="n"/>
      <c r="EW70" s="22" t="n"/>
      <c r="EX70" s="22" t="n"/>
      <c r="EY70" s="22" t="n"/>
      <c r="EZ70" s="22" t="n"/>
      <c r="FA70" s="22" t="n"/>
      <c r="FB70" s="22" t="n"/>
      <c r="FC70" s="22" t="n"/>
      <c r="FD70" s="22" t="n"/>
      <c r="FE70" s="22" t="n"/>
      <c r="FF70" s="22" t="n"/>
      <c r="FG70" s="22" t="n"/>
      <c r="FH70" s="22" t="n"/>
      <c r="FI70" s="22" t="n"/>
      <c r="FJ70" s="22" t="n"/>
      <c r="FK70" s="22" t="n"/>
      <c r="FL70" s="22" t="n"/>
      <c r="FM70" s="22" t="n"/>
      <c r="FN70" s="22" t="n"/>
      <c r="FO70" s="22" t="n"/>
      <c r="FP70" s="22" t="n"/>
      <c r="FQ70" s="22" t="n"/>
    </row>
    <row r="71">
      <c r="A71" s="31" t="inlineStr">
        <is>
          <t>3F4D+MD</t>
        </is>
      </c>
      <c r="B71" s="31" t="inlineStr">
        <is>
          <t>Hill 4</t>
        </is>
      </c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 t="n"/>
      <c r="EG71" s="22" t="n"/>
      <c r="EH71" s="22" t="n"/>
      <c r="EI71" s="22" t="n"/>
      <c r="EJ71" s="22" t="n"/>
      <c r="EK71" s="22" t="n"/>
      <c r="EL71" s="22" t="n"/>
      <c r="EM71" s="22" t="n"/>
      <c r="EN71" s="22" t="n"/>
      <c r="EO71" s="22" t="n"/>
      <c r="EP71" s="22" t="n"/>
      <c r="EQ71" s="22" t="n"/>
      <c r="ER71" s="22" t="n"/>
      <c r="ES71" s="22" t="n"/>
      <c r="ET71" s="22" t="n"/>
      <c r="EU71" s="22" t="n"/>
      <c r="EV71" s="22" t="n"/>
      <c r="EW71" s="22" t="n"/>
      <c r="EX71" s="22" t="n"/>
      <c r="EY71" s="22" t="n"/>
      <c r="EZ71" s="22" t="n"/>
      <c r="FA71" s="22" t="n"/>
      <c r="FB71" s="22" t="n"/>
      <c r="FC71" s="22" t="n"/>
      <c r="FD71" s="22" t="n"/>
      <c r="FE71" s="22" t="n"/>
      <c r="FF71" s="22" t="n"/>
      <c r="FG71" s="22" t="n"/>
      <c r="FH71" s="22" t="n"/>
      <c r="FI71" s="22" t="n"/>
      <c r="FJ71" s="22" t="n"/>
      <c r="FK71" s="22" t="n"/>
      <c r="FL71" s="22" t="n"/>
      <c r="FM71" s="22" t="n"/>
      <c r="FN71" s="22" t="n"/>
      <c r="FO71" s="22" t="n"/>
      <c r="FP71" s="22" t="n"/>
      <c r="FQ71" s="22" t="n"/>
    </row>
    <row r="72">
      <c r="A72" s="31" t="inlineStr">
        <is>
          <t>3F4D+MD</t>
        </is>
      </c>
      <c r="B72" s="31" t="inlineStr">
        <is>
          <t>Hill 5</t>
        </is>
      </c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 t="n"/>
      <c r="EG72" s="22" t="n"/>
      <c r="EH72" s="22" t="n"/>
      <c r="EI72" s="22" t="n"/>
      <c r="EJ72" s="22" t="n"/>
      <c r="EK72" s="22" t="n"/>
      <c r="EL72" s="22" t="n"/>
      <c r="EM72" s="22" t="n"/>
      <c r="EN72" s="22" t="n"/>
      <c r="EO72" s="22" t="n"/>
      <c r="EP72" s="22" t="n"/>
      <c r="EQ72" s="22" t="n"/>
      <c r="ER72" s="22" t="n"/>
      <c r="ES72" s="22" t="n"/>
      <c r="ET72" s="22" t="n"/>
      <c r="EU72" s="22" t="n"/>
      <c r="EV72" s="22" t="n"/>
      <c r="EW72" s="22" t="n"/>
      <c r="EX72" s="22" t="n"/>
      <c r="EY72" s="22" t="n"/>
      <c r="EZ72" s="22" t="n"/>
      <c r="FA72" s="22" t="n"/>
      <c r="FB72" s="22" t="n"/>
      <c r="FC72" s="22" t="n"/>
      <c r="FD72" s="22" t="n"/>
      <c r="FE72" s="22" t="n"/>
      <c r="FF72" s="22" t="n"/>
      <c r="FG72" s="22" t="n"/>
      <c r="FH72" s="22" t="n"/>
      <c r="FI72" s="22" t="n"/>
      <c r="FJ72" s="22" t="n"/>
      <c r="FK72" s="22" t="n"/>
      <c r="FL72" s="22" t="n"/>
      <c r="FM72" s="22" t="n"/>
      <c r="FN72" s="22" t="n"/>
      <c r="FO72" s="22" t="n"/>
      <c r="FP72" s="22" t="n"/>
      <c r="FQ72" s="22" t="n"/>
    </row>
    <row r="73">
      <c r="A73" s="31" t="inlineStr">
        <is>
          <t>3F4D+MD</t>
        </is>
      </c>
      <c r="B73" s="30" t="inlineStr">
        <is>
          <t>Tillers per hill (mean of 2nd-4th largest)</t>
        </is>
      </c>
      <c r="D73" s="4">
        <f>IF(COUNT(D68:D72)=5,ROUND((LARGE(D68:D72,2)+LARGE(D68:D72,3)+LARGE(D68:D72,4))/3,1),"")</f>
        <v/>
      </c>
      <c r="E73" s="4">
        <f>IF(COUNT(E68:E72)=5,ROUND((LARGE(E68:E72,2)+LARGE(E68:E72,3)+LARGE(E68:E72,4))/3,1),"")</f>
        <v/>
      </c>
      <c r="F73" s="4">
        <f>IF(COUNT(F68:F72)=5,ROUND((LARGE(F68:F72,2)+LARGE(F68:F72,3)+LARGE(F68:F72,4))/3,1),"")</f>
        <v/>
      </c>
      <c r="G73" s="4">
        <f>IF(COUNT(G68:G72)=5,ROUND((LARGE(G68:G72,2)+LARGE(G68:G72,3)+LARGE(G68:G72,4))/3,1),"")</f>
        <v/>
      </c>
      <c r="H73" s="4">
        <f>IF(COUNT(H68:H72)=5,ROUND((LARGE(H68:H72,2)+LARGE(H68:H72,3)+LARGE(H68:H72,4))/3,1),"")</f>
        <v/>
      </c>
      <c r="I73" s="4">
        <f>IF(COUNT(I68:I72)=5,ROUND((LARGE(I68:I72,2)+LARGE(I68:I72,3)+LARGE(I68:I72,4))/3,1),"")</f>
        <v/>
      </c>
      <c r="J73" s="4">
        <f>IF(COUNT(J68:J72)=5,ROUND((LARGE(J68:J72,2)+LARGE(J68:J72,3)+LARGE(J68:J72,4))/3,1),"")</f>
        <v/>
      </c>
      <c r="K73" s="4">
        <f>IF(COUNT(K68:K72)=5,ROUND((LARGE(K68:K72,2)+LARGE(K68:K72,3)+LARGE(K68:K72,4))/3,1),"")</f>
        <v/>
      </c>
      <c r="L73" s="4">
        <f>IF(COUNT(L68:L72)=5,ROUND((LARGE(L68:L72,2)+LARGE(L68:L72,3)+LARGE(L68:L72,4))/3,1),"")</f>
        <v/>
      </c>
      <c r="M73" s="4">
        <f>IF(COUNT(M68:M72)=5,ROUND((LARGE(M68:M72,2)+LARGE(M68:M72,3)+LARGE(M68:M72,4))/3,1),"")</f>
        <v/>
      </c>
      <c r="N73" s="4">
        <f>IF(COUNT(N68:N72)=5,ROUND((LARGE(N68:N72,2)+LARGE(N68:N72,3)+LARGE(N68:N72,4))/3,1),"")</f>
        <v/>
      </c>
      <c r="O73" s="4">
        <f>IF(COUNT(O68:O72)=5,ROUND((LARGE(O68:O72,2)+LARGE(O68:O72,3)+LARGE(O68:O72,4))/3,1),"")</f>
        <v/>
      </c>
      <c r="P73" s="4">
        <f>IF(COUNT(P68:P72)=5,ROUND((LARGE(P68:P72,2)+LARGE(P68:P72,3)+LARGE(P68:P72,4))/3,1),"")</f>
        <v/>
      </c>
      <c r="Q73" s="4">
        <f>IF(COUNT(Q68:Q72)=5,ROUND((LARGE(Q68:Q72,2)+LARGE(Q68:Q72,3)+LARGE(Q68:Q72,4))/3,1),"")</f>
        <v/>
      </c>
      <c r="R73" s="4">
        <f>IF(COUNT(R68:R72)=5,ROUND((LARGE(R68:R72,2)+LARGE(R68:R72,3)+LARGE(R68:R72,4))/3,1),"")</f>
        <v/>
      </c>
      <c r="S73" s="4">
        <f>IF(COUNT(S68:S72)=5,ROUND((LARGE(S68:S72,2)+LARGE(S68:S72,3)+LARGE(S68:S72,4))/3,1),"")</f>
        <v/>
      </c>
      <c r="T73" s="4">
        <f>IF(COUNT(T68:T72)=5,ROUND((LARGE(T68:T72,2)+LARGE(T68:T72,3)+LARGE(T68:T72,4))/3,1),"")</f>
        <v/>
      </c>
      <c r="U73" s="4">
        <f>IF(COUNT(U68:U72)=5,ROUND((LARGE(U68:U72,2)+LARGE(U68:U72,3)+LARGE(U68:U72,4))/3,1),"")</f>
        <v/>
      </c>
      <c r="V73" s="4">
        <f>IF(COUNT(V68:V72)=5,ROUND((LARGE(V68:V72,2)+LARGE(V68:V72,3)+LARGE(V68:V72,4))/3,1),"")</f>
        <v/>
      </c>
      <c r="W73" s="4">
        <f>IF(COUNT(W68:W72)=5,ROUND((LARGE(W68:W72,2)+LARGE(W68:W72,3)+LARGE(W68:W72,4))/3,1),"")</f>
        <v/>
      </c>
      <c r="X73" s="4">
        <f>IF(COUNT(X68:X72)=5,ROUND((LARGE(X68:X72,2)+LARGE(X68:X72,3)+LARGE(X68:X72,4))/3,1),"")</f>
        <v/>
      </c>
      <c r="Y73" s="4">
        <f>IF(COUNT(Y68:Y72)=5,ROUND((LARGE(Y68:Y72,2)+LARGE(Y68:Y72,3)+LARGE(Y68:Y72,4))/3,1),"")</f>
        <v/>
      </c>
      <c r="Z73" s="4">
        <f>IF(COUNT(Z68:Z72)=5,ROUND((LARGE(Z68:Z72,2)+LARGE(Z68:Z72,3)+LARGE(Z68:Z72,4))/3,1),"")</f>
        <v/>
      </c>
      <c r="AA73" s="4">
        <f>IF(COUNT(AA68:AA72)=5,ROUND((LARGE(AA68:AA72,2)+LARGE(AA68:AA72,3)+LARGE(AA68:AA72,4))/3,1),"")</f>
        <v/>
      </c>
      <c r="AB73" s="4">
        <f>IF(COUNT(AB68:AB72)=5,ROUND((LARGE(AB68:AB72,2)+LARGE(AB68:AB72,3)+LARGE(AB68:AB72,4))/3,1),"")</f>
        <v/>
      </c>
      <c r="AC73" s="4">
        <f>IF(COUNT(AC68:AC72)=5,ROUND((LARGE(AC68:AC72,2)+LARGE(AC68:AC72,3)+LARGE(AC68:AC72,4))/3,1),"")</f>
        <v/>
      </c>
      <c r="AD73" s="4">
        <f>IF(COUNT(AD68:AD72)=5,ROUND((LARGE(AD68:AD72,2)+LARGE(AD68:AD72,3)+LARGE(AD68:AD72,4))/3,1),"")</f>
        <v/>
      </c>
      <c r="AE73" s="4">
        <f>IF(COUNT(AE68:AE72)=5,ROUND((LARGE(AE68:AE72,2)+LARGE(AE68:AE72,3)+LARGE(AE68:AE72,4))/3,1),"")</f>
        <v/>
      </c>
      <c r="AF73" s="4">
        <f>IF(COUNT(AF68:AF72)=5,ROUND((LARGE(AF68:AF72,2)+LARGE(AF68:AF72,3)+LARGE(AF68:AF72,4))/3,1),"")</f>
        <v/>
      </c>
      <c r="AG73" s="4">
        <f>IF(COUNT(AG68:AG72)=5,ROUND((LARGE(AG68:AG72,2)+LARGE(AG68:AG72,3)+LARGE(AG68:AG72,4))/3,1),"")</f>
        <v/>
      </c>
      <c r="AH73" s="4">
        <f>IF(COUNT(AH68:AH72)=5,ROUND((LARGE(AH68:AH72,2)+LARGE(AH68:AH72,3)+LARGE(AH68:AH72,4))/3,1),"")</f>
        <v/>
      </c>
      <c r="AI73" s="4">
        <f>IF(COUNT(AI68:AI72)=5,ROUND((LARGE(AI68:AI72,2)+LARGE(AI68:AI72,3)+LARGE(AI68:AI72,4))/3,1),"")</f>
        <v/>
      </c>
      <c r="AJ73" s="4">
        <f>IF(COUNT(AJ68:AJ72)=5,ROUND((LARGE(AJ68:AJ72,2)+LARGE(AJ68:AJ72,3)+LARGE(AJ68:AJ72,4))/3,1),"")</f>
        <v/>
      </c>
      <c r="AK73" s="4">
        <f>IF(COUNT(AK68:AK72)=5,ROUND((LARGE(AK68:AK72,2)+LARGE(AK68:AK72,3)+LARGE(AK68:AK72,4))/3,1),"")</f>
        <v/>
      </c>
      <c r="AL73" s="4">
        <f>IF(COUNT(AL68:AL72)=5,ROUND((LARGE(AL68:AL72,2)+LARGE(AL68:AL72,3)+LARGE(AL68:AL72,4))/3,1),"")</f>
        <v/>
      </c>
      <c r="AM73" s="4">
        <f>IF(COUNT(AM68:AM72)=5,ROUND((LARGE(AM68:AM72,2)+LARGE(AM68:AM72,3)+LARGE(AM68:AM72,4))/3,1),"")</f>
        <v/>
      </c>
      <c r="AN73" s="4">
        <f>IF(COUNT(AN68:AN72)=5,ROUND((LARGE(AN68:AN72,2)+LARGE(AN68:AN72,3)+LARGE(AN68:AN72,4))/3,1),"")</f>
        <v/>
      </c>
      <c r="AO73" s="4">
        <f>IF(COUNT(AO68:AO72)=5,ROUND((LARGE(AO68:AO72,2)+LARGE(AO68:AO72,3)+LARGE(AO68:AO72,4))/3,1),"")</f>
        <v/>
      </c>
      <c r="AP73" s="4">
        <f>IF(COUNT(AP68:AP72)=5,ROUND((LARGE(AP68:AP72,2)+LARGE(AP68:AP72,3)+LARGE(AP68:AP72,4))/3,1),"")</f>
        <v/>
      </c>
      <c r="AQ73" s="4">
        <f>IF(COUNT(AQ68:AQ72)=5,ROUND((LARGE(AQ68:AQ72,2)+LARGE(AQ68:AQ72,3)+LARGE(AQ68:AQ72,4))/3,1),"")</f>
        <v/>
      </c>
      <c r="AR73" s="4">
        <f>IF(COUNT(AR68:AR72)=5,ROUND((LARGE(AR68:AR72,2)+LARGE(AR68:AR72,3)+LARGE(AR68:AR72,4))/3,1),"")</f>
        <v/>
      </c>
      <c r="AS73" s="4">
        <f>IF(COUNT(AS68:AS72)=5,ROUND((LARGE(AS68:AS72,2)+LARGE(AS68:AS72,3)+LARGE(AS68:AS72,4))/3,1),"")</f>
        <v/>
      </c>
      <c r="AT73" s="4">
        <f>IF(COUNT(AT68:AT72)=5,ROUND((LARGE(AT68:AT72,2)+LARGE(AT68:AT72,3)+LARGE(AT68:AT72,4))/3,1),"")</f>
        <v/>
      </c>
      <c r="AU73" s="4">
        <f>IF(COUNT(AU68:AU72)=5,ROUND((LARGE(AU68:AU72,2)+LARGE(AU68:AU72,3)+LARGE(AU68:AU72,4))/3,1),"")</f>
        <v/>
      </c>
      <c r="AV73" s="4">
        <f>IF(COUNT(AV68:AV72)=5,ROUND((LARGE(AV68:AV72,2)+LARGE(AV68:AV72,3)+LARGE(AV68:AV72,4))/3,1),"")</f>
        <v/>
      </c>
      <c r="AW73" s="4">
        <f>IF(COUNT(AW68:AW72)=5,ROUND((LARGE(AW68:AW72,2)+LARGE(AW68:AW72,3)+LARGE(AW68:AW72,4))/3,1),"")</f>
        <v/>
      </c>
      <c r="AX73" s="4">
        <f>IF(COUNT(AX68:AX72)=5,ROUND((LARGE(AX68:AX72,2)+LARGE(AX68:AX72,3)+LARGE(AX68:AX72,4))/3,1),"")</f>
        <v/>
      </c>
      <c r="AY73" s="4">
        <f>IF(COUNT(AY68:AY72)=5,ROUND((LARGE(AY68:AY72,2)+LARGE(AY68:AY72,3)+LARGE(AY68:AY72,4))/3,1),"")</f>
        <v/>
      </c>
      <c r="AZ73" s="4">
        <f>IF(COUNT(AZ68:AZ72)=5,ROUND((LARGE(AZ68:AZ72,2)+LARGE(AZ68:AZ72,3)+LARGE(AZ68:AZ72,4))/3,1),"")</f>
        <v/>
      </c>
      <c r="BA73" s="4">
        <f>IF(COUNT(BA68:BA72)=5,ROUND((LARGE(BA68:BA72,2)+LARGE(BA68:BA72,3)+LARGE(BA68:BA72,4))/3,1),"")</f>
        <v/>
      </c>
      <c r="BB73" s="4">
        <f>IF(COUNT(BB68:BB72)=5,ROUND((LARGE(BB68:BB72,2)+LARGE(BB68:BB72,3)+LARGE(BB68:BB72,4))/3,1),"")</f>
        <v/>
      </c>
      <c r="BC73" s="4">
        <f>IF(COUNT(BC68:BC72)=5,ROUND((LARGE(BC68:BC72,2)+LARGE(BC68:BC72,3)+LARGE(BC68:BC72,4))/3,1),"")</f>
        <v/>
      </c>
      <c r="BD73" s="4">
        <f>IF(COUNT(BD68:BD72)=5,ROUND((LARGE(BD68:BD72,2)+LARGE(BD68:BD72,3)+LARGE(BD68:BD72,4))/3,1),"")</f>
        <v/>
      </c>
      <c r="BE73" s="4">
        <f>IF(COUNT(BE68:BE72)=5,ROUND((LARGE(BE68:BE72,2)+LARGE(BE68:BE72,3)+LARGE(BE68:BE72,4))/3,1),"")</f>
        <v/>
      </c>
      <c r="BF73" s="4">
        <f>IF(COUNT(BF68:BF72)=5,ROUND((LARGE(BF68:BF72,2)+LARGE(BF68:BF72,3)+LARGE(BF68:BF72,4))/3,1),"")</f>
        <v/>
      </c>
      <c r="BG73" s="4">
        <f>IF(COUNT(BG68:BG72)=5,ROUND((LARGE(BG68:BG72,2)+LARGE(BG68:BG72,3)+LARGE(BG68:BG72,4))/3,1),"")</f>
        <v/>
      </c>
      <c r="BH73" s="4">
        <f>IF(COUNT(BH68:BH72)=5,ROUND((LARGE(BH68:BH72,2)+LARGE(BH68:BH72,3)+LARGE(BH68:BH72,4))/3,1),"")</f>
        <v/>
      </c>
      <c r="BI73" s="4">
        <f>IF(COUNT(BI68:BI72)=5,ROUND((LARGE(BI68:BI72,2)+LARGE(BI68:BI72,3)+LARGE(BI68:BI72,4))/3,1),"")</f>
        <v/>
      </c>
      <c r="BJ73" s="4">
        <f>IF(COUNT(BJ68:BJ72)=5,ROUND((LARGE(BJ68:BJ72,2)+LARGE(BJ68:BJ72,3)+LARGE(BJ68:BJ72,4))/3,1),"")</f>
        <v/>
      </c>
      <c r="BK73" s="4">
        <f>IF(COUNT(BK68:BK72)=5,ROUND((LARGE(BK68:BK72,2)+LARGE(BK68:BK72,3)+LARGE(BK68:BK72,4))/3,1),"")</f>
        <v/>
      </c>
      <c r="BL73" s="4">
        <f>IF(COUNT(BL68:BL72)=5,ROUND((LARGE(BL68:BL72,2)+LARGE(BL68:BL72,3)+LARGE(BL68:BL72,4))/3,1),"")</f>
        <v/>
      </c>
      <c r="BM73" s="4">
        <f>IF(COUNT(BM68:BM72)=5,ROUND((LARGE(BM68:BM72,2)+LARGE(BM68:BM72,3)+LARGE(BM68:BM72,4))/3,1),"")</f>
        <v/>
      </c>
      <c r="BN73" s="4">
        <f>IF(COUNT(BN68:BN72)=5,ROUND((LARGE(BN68:BN72,2)+LARGE(BN68:BN72,3)+LARGE(BN68:BN72,4))/3,1),"")</f>
        <v/>
      </c>
      <c r="BO73" s="4">
        <f>IF(COUNT(BO68:BO72)=5,ROUND((LARGE(BO68:BO72,2)+LARGE(BO68:BO72,3)+LARGE(BO68:BO72,4))/3,1),"")</f>
        <v/>
      </c>
      <c r="BP73" s="4">
        <f>IF(COUNT(BP68:BP72)=5,ROUND((LARGE(BP68:BP72,2)+LARGE(BP68:BP72,3)+LARGE(BP68:BP72,4))/3,1),"")</f>
        <v/>
      </c>
      <c r="BQ73" s="4">
        <f>IF(COUNT(BQ68:BQ72)=5,ROUND((LARGE(BQ68:BQ72,2)+LARGE(BQ68:BQ72,3)+LARGE(BQ68:BQ72,4))/3,1),"")</f>
        <v/>
      </c>
      <c r="BR73" s="4">
        <f>IF(COUNT(BR68:BR72)=5,ROUND((LARGE(BR68:BR72,2)+LARGE(BR68:BR72,3)+LARGE(BR68:BR72,4))/3,1),"")</f>
        <v/>
      </c>
      <c r="BS73" s="4">
        <f>IF(COUNT(BS68:BS72)=5,ROUND((LARGE(BS68:BS72,2)+LARGE(BS68:BS72,3)+LARGE(BS68:BS72,4))/3,1),"")</f>
        <v/>
      </c>
      <c r="BT73" s="4">
        <f>IF(COUNT(BT68:BT72)=5,ROUND((LARGE(BT68:BT72,2)+LARGE(BT68:BT72,3)+LARGE(BT68:BT72,4))/3,1),"")</f>
        <v/>
      </c>
      <c r="BU73" s="4">
        <f>IF(COUNT(BU68:BU72)=5,ROUND((LARGE(BU68:BU72,2)+LARGE(BU68:BU72,3)+LARGE(BU68:BU72,4))/3,1),"")</f>
        <v/>
      </c>
      <c r="BV73" s="4">
        <f>IF(COUNT(BV68:BV72)=5,ROUND((LARGE(BV68:BV72,2)+LARGE(BV68:BV72,3)+LARGE(BV68:BV72,4))/3,1),"")</f>
        <v/>
      </c>
      <c r="BW73" s="4">
        <f>IF(COUNT(BW68:BW72)=5,ROUND((LARGE(BW68:BW72,2)+LARGE(BW68:BW72,3)+LARGE(BW68:BW72,4))/3,1),"")</f>
        <v/>
      </c>
      <c r="BX73" s="4">
        <f>IF(COUNT(BX68:BX72)=5,ROUND((LARGE(BX68:BX72,2)+LARGE(BX68:BX72,3)+LARGE(BX68:BX72,4))/3,1),"")</f>
        <v/>
      </c>
      <c r="BY73" s="4">
        <f>IF(COUNT(BY68:BY72)=5,ROUND((LARGE(BY68:BY72,2)+LARGE(BY68:BY72,3)+LARGE(BY68:BY72,4))/3,1),"")</f>
        <v/>
      </c>
      <c r="BZ73" s="4">
        <f>IF(COUNT(BZ68:BZ72)=5,ROUND((LARGE(BZ68:BZ72,2)+LARGE(BZ68:BZ72,3)+LARGE(BZ68:BZ72,4))/3,1),"")</f>
        <v/>
      </c>
      <c r="CA73" s="4">
        <f>IF(COUNT(CA68:CA72)=5,ROUND((LARGE(CA68:CA72,2)+LARGE(CA68:CA72,3)+LARGE(CA68:CA72,4))/3,1),"")</f>
        <v/>
      </c>
      <c r="CB73" s="4">
        <f>IF(COUNT(CB68:CB72)=5,ROUND((LARGE(CB68:CB72,2)+LARGE(CB68:CB72,3)+LARGE(CB68:CB72,4))/3,1),"")</f>
        <v/>
      </c>
      <c r="CC73" s="4">
        <f>IF(COUNT(CC68:CC72)=5,ROUND((LARGE(CC68:CC72,2)+LARGE(CC68:CC72,3)+LARGE(CC68:CC72,4))/3,1),"")</f>
        <v/>
      </c>
      <c r="CD73" s="4">
        <f>IF(COUNT(CD68:CD72)=5,ROUND((LARGE(CD68:CD72,2)+LARGE(CD68:CD72,3)+LARGE(CD68:CD72,4))/3,1),"")</f>
        <v/>
      </c>
      <c r="CE73" s="4">
        <f>IF(COUNT(CE68:CE72)=5,ROUND((LARGE(CE68:CE72,2)+LARGE(CE68:CE72,3)+LARGE(CE68:CE72,4))/3,1),"")</f>
        <v/>
      </c>
      <c r="CF73" s="4">
        <f>IF(COUNT(CF68:CF72)=5,ROUND((LARGE(CF68:CF72,2)+LARGE(CF68:CF72,3)+LARGE(CF68:CF72,4))/3,1),"")</f>
        <v/>
      </c>
      <c r="CG73" s="4">
        <f>IF(COUNT(CG68:CG72)=5,ROUND((LARGE(CG68:CG72,2)+LARGE(CG68:CG72,3)+LARGE(CG68:CG72,4))/3,1),"")</f>
        <v/>
      </c>
      <c r="CH73" s="4">
        <f>IF(COUNT(CH68:CH72)=5,ROUND((LARGE(CH68:CH72,2)+LARGE(CH68:CH72,3)+LARGE(CH68:CH72,4))/3,1),"")</f>
        <v/>
      </c>
      <c r="CI73" s="4">
        <f>IF(COUNT(CI68:CI72)=5,ROUND((LARGE(CI68:CI72,2)+LARGE(CI68:CI72,3)+LARGE(CI68:CI72,4))/3,1),"")</f>
        <v/>
      </c>
      <c r="CJ73" s="4">
        <f>IF(COUNT(CJ68:CJ72)=5,ROUND((LARGE(CJ68:CJ72,2)+LARGE(CJ68:CJ72,3)+LARGE(CJ68:CJ72,4))/3,1),"")</f>
        <v/>
      </c>
      <c r="CK73" s="4">
        <f>IF(COUNT(CK68:CK72)=5,ROUND((LARGE(CK68:CK72,2)+LARGE(CK68:CK72,3)+LARGE(CK68:CK72,4))/3,1),"")</f>
        <v/>
      </c>
      <c r="CL73" s="4">
        <f>IF(COUNT(CL68:CL72)=5,ROUND((LARGE(CL68:CL72,2)+LARGE(CL68:CL72,3)+LARGE(CL68:CL72,4))/3,1),"")</f>
        <v/>
      </c>
      <c r="CM73" s="4">
        <f>IF(COUNT(CM68:CM72)=5,ROUND((LARGE(CM68:CM72,2)+LARGE(CM68:CM72,3)+LARGE(CM68:CM72,4))/3,1),"")</f>
        <v/>
      </c>
      <c r="CN73" s="4">
        <f>IF(COUNT(CN68:CN72)=5,ROUND((LARGE(CN68:CN72,2)+LARGE(CN68:CN72,3)+LARGE(CN68:CN72,4))/3,1),"")</f>
        <v/>
      </c>
      <c r="CO73" s="4">
        <f>IF(COUNT(CO68:CO72)=5,ROUND((LARGE(CO68:CO72,2)+LARGE(CO68:CO72,3)+LARGE(CO68:CO72,4))/3,1),"")</f>
        <v/>
      </c>
      <c r="CP73" s="4">
        <f>IF(COUNT(CP68:CP72)=5,ROUND((LARGE(CP68:CP72,2)+LARGE(CP68:CP72,3)+LARGE(CP68:CP72,4))/3,1),"")</f>
        <v/>
      </c>
      <c r="CQ73" s="4">
        <f>IF(COUNT(CQ68:CQ72)=5,ROUND((LARGE(CQ68:CQ72,2)+LARGE(CQ68:CQ72,3)+LARGE(CQ68:CQ72,4))/3,1),"")</f>
        <v/>
      </c>
      <c r="CR73" s="4">
        <f>IF(COUNT(CR68:CR72)=5,ROUND((LARGE(CR68:CR72,2)+LARGE(CR68:CR72,3)+LARGE(CR68:CR72,4))/3,1),"")</f>
        <v/>
      </c>
      <c r="CS73" s="4">
        <f>IF(COUNT(CS68:CS72)=5,ROUND((LARGE(CS68:CS72,2)+LARGE(CS68:CS72,3)+LARGE(CS68:CS72,4))/3,1),"")</f>
        <v/>
      </c>
      <c r="CT73" s="4">
        <f>IF(COUNT(CT68:CT72)=5,ROUND((LARGE(CT68:CT72,2)+LARGE(CT68:CT72,3)+LARGE(CT68:CT72,4))/3,1),"")</f>
        <v/>
      </c>
      <c r="CU73" s="4">
        <f>IF(COUNT(CU68:CU72)=5,ROUND((LARGE(CU68:CU72,2)+LARGE(CU68:CU72,3)+LARGE(CU68:CU72,4))/3,1),"")</f>
        <v/>
      </c>
      <c r="CV73" s="4">
        <f>IF(COUNT(CV68:CV72)=5,ROUND((LARGE(CV68:CV72,2)+LARGE(CV68:CV72,3)+LARGE(CV68:CV72,4))/3,1),"")</f>
        <v/>
      </c>
      <c r="CW73" s="4">
        <f>IF(COUNT(CW68:CW72)=5,ROUND((LARGE(CW68:CW72,2)+LARGE(CW68:CW72,3)+LARGE(CW68:CW72,4))/3,1),"")</f>
        <v/>
      </c>
      <c r="CX73" s="4">
        <f>IF(COUNT(CX68:CX72)=5,ROUND((LARGE(CX68:CX72,2)+LARGE(CX68:CX72,3)+LARGE(CX68:CX72,4))/3,1),"")</f>
        <v/>
      </c>
      <c r="CY73" s="4">
        <f>IF(COUNT(CY68:CY72)=5,ROUND((LARGE(CY68:CY72,2)+LARGE(CY68:CY72,3)+LARGE(CY68:CY72,4))/3,1),"")</f>
        <v/>
      </c>
      <c r="CZ73" s="4">
        <f>IF(COUNT(CZ68:CZ72)=5,ROUND((LARGE(CZ68:CZ72,2)+LARGE(CZ68:CZ72,3)+LARGE(CZ68:CZ72,4))/3,1),"")</f>
        <v/>
      </c>
      <c r="DA73" s="4">
        <f>IF(COUNT(DA68:DA72)=5,ROUND((LARGE(DA68:DA72,2)+LARGE(DA68:DA72,3)+LARGE(DA68:DA72,4))/3,1),"")</f>
        <v/>
      </c>
      <c r="DB73" s="4">
        <f>IF(COUNT(DB68:DB72)=5,ROUND((LARGE(DB68:DB72,2)+LARGE(DB68:DB72,3)+LARGE(DB68:DB72,4))/3,1),"")</f>
        <v/>
      </c>
      <c r="DC73" s="4">
        <f>IF(COUNT(DC68:DC72)=5,ROUND((LARGE(DC68:DC72,2)+LARGE(DC68:DC72,3)+LARGE(DC68:DC72,4))/3,1),"")</f>
        <v/>
      </c>
      <c r="DD73" s="4">
        <f>IF(COUNT(DD68:DD72)=5,ROUND((LARGE(DD68:DD72,2)+LARGE(DD68:DD72,3)+LARGE(DD68:DD72,4))/3,1),"")</f>
        <v/>
      </c>
      <c r="DE73" s="4">
        <f>IF(COUNT(DE68:DE72)=5,ROUND((LARGE(DE68:DE72,2)+LARGE(DE68:DE72,3)+LARGE(DE68:DE72,4))/3,1),"")</f>
        <v/>
      </c>
      <c r="DF73" s="4">
        <f>IF(COUNT(DF68:DF72)=5,ROUND((LARGE(DF68:DF72,2)+LARGE(DF68:DF72,3)+LARGE(DF68:DF72,4))/3,1),"")</f>
        <v/>
      </c>
      <c r="DG73" s="4">
        <f>IF(COUNT(DG68:DG72)=5,ROUND((LARGE(DG68:DG72,2)+LARGE(DG68:DG72,3)+LARGE(DG68:DG72,4))/3,1),"")</f>
        <v/>
      </c>
      <c r="DH73" s="4">
        <f>IF(COUNT(DH68:DH72)=5,ROUND((LARGE(DH68:DH72,2)+LARGE(DH68:DH72,3)+LARGE(DH68:DH72,4))/3,1),"")</f>
        <v/>
      </c>
      <c r="DI73" s="4">
        <f>IF(COUNT(DI68:DI72)=5,ROUND((LARGE(DI68:DI72,2)+LARGE(DI68:DI72,3)+LARGE(DI68:DI72,4))/3,1),"")</f>
        <v/>
      </c>
      <c r="DJ73" s="4">
        <f>IF(COUNT(DJ68:DJ72)=5,ROUND((LARGE(DJ68:DJ72,2)+LARGE(DJ68:DJ72,3)+LARGE(DJ68:DJ72,4))/3,1),"")</f>
        <v/>
      </c>
      <c r="DK73" s="4">
        <f>IF(COUNT(DK68:DK72)=5,ROUND((LARGE(DK68:DK72,2)+LARGE(DK68:DK72,3)+LARGE(DK68:DK72,4))/3,1),"")</f>
        <v/>
      </c>
      <c r="DL73" s="4">
        <f>IF(COUNT(DL68:DL72)=5,ROUND((LARGE(DL68:DL72,2)+LARGE(DL68:DL72,3)+LARGE(DL68:DL72,4))/3,1),"")</f>
        <v/>
      </c>
      <c r="DM73" s="4">
        <f>IF(COUNT(DM68:DM72)=5,ROUND((LARGE(DM68:DM72,2)+LARGE(DM68:DM72,3)+LARGE(DM68:DM72,4))/3,1),"")</f>
        <v/>
      </c>
      <c r="DN73" s="4">
        <f>IF(COUNT(DN68:DN72)=5,ROUND((LARGE(DN68:DN72,2)+LARGE(DN68:DN72,3)+LARGE(DN68:DN72,4))/3,1),"")</f>
        <v/>
      </c>
      <c r="DO73" s="4">
        <f>IF(COUNT(DO68:DO72)=5,ROUND((LARGE(DO68:DO72,2)+LARGE(DO68:DO72,3)+LARGE(DO68:DO72,4))/3,1),"")</f>
        <v/>
      </c>
      <c r="DP73" s="4">
        <f>IF(COUNT(DP68:DP72)=5,ROUND((LARGE(DP68:DP72,2)+LARGE(DP68:DP72,3)+LARGE(DP68:DP72,4))/3,1),"")</f>
        <v/>
      </c>
      <c r="DQ73" s="4">
        <f>IF(COUNT(DQ68:DQ72)=5,ROUND((LARGE(DQ68:DQ72,2)+LARGE(DQ68:DQ72,3)+LARGE(DQ68:DQ72,4))/3,1),"")</f>
        <v/>
      </c>
      <c r="DR73" s="4">
        <f>IF(COUNT(DR68:DR72)=5,ROUND((LARGE(DR68:DR72,2)+LARGE(DR68:DR72,3)+LARGE(DR68:DR72,4))/3,1),"")</f>
        <v/>
      </c>
      <c r="DS73" s="4">
        <f>IF(COUNT(DS68:DS72)=5,ROUND((LARGE(DS68:DS72,2)+LARGE(DS68:DS72,3)+LARGE(DS68:DS72,4))/3,1),"")</f>
        <v/>
      </c>
      <c r="DT73" s="4">
        <f>IF(COUNT(DT68:DT72)=5,ROUND((LARGE(DT68:DT72,2)+LARGE(DT68:DT72,3)+LARGE(DT68:DT72,4))/3,1),"")</f>
        <v/>
      </c>
      <c r="DU73" s="4">
        <f>IF(COUNT(DU68:DU72)=5,ROUND((LARGE(DU68:DU72,2)+LARGE(DU68:DU72,3)+LARGE(DU68:DU72,4))/3,1),"")</f>
        <v/>
      </c>
      <c r="DV73" s="4">
        <f>IF(COUNT(DV68:DV72)=5,ROUND((LARGE(DV68:DV72,2)+LARGE(DV68:DV72,3)+LARGE(DV68:DV72,4))/3,1),"")</f>
        <v/>
      </c>
      <c r="DW73" s="4">
        <f>IF(COUNT(DW68:DW72)=5,ROUND((LARGE(DW68:DW72,2)+LARGE(DW68:DW72,3)+LARGE(DW68:DW72,4))/3,1),"")</f>
        <v/>
      </c>
      <c r="DX73" s="4">
        <f>IF(COUNT(DX68:DX72)=5,ROUND((LARGE(DX68:DX72,2)+LARGE(DX68:DX72,3)+LARGE(DX68:DX72,4))/3,1),"")</f>
        <v/>
      </c>
      <c r="DY73" s="4">
        <f>IF(COUNT(DY68:DY72)=5,ROUND((LARGE(DY68:DY72,2)+LARGE(DY68:DY72,3)+LARGE(DY68:DY72,4))/3,1),"")</f>
        <v/>
      </c>
      <c r="DZ73" s="4">
        <f>IF(COUNT(DZ68:DZ72)=5,ROUND((LARGE(DZ68:DZ72,2)+LARGE(DZ68:DZ72,3)+LARGE(DZ68:DZ72,4))/3,1),"")</f>
        <v/>
      </c>
      <c r="EA73" s="4">
        <f>IF(COUNT(EA68:EA72)=5,ROUND((LARGE(EA68:EA72,2)+LARGE(EA68:EA72,3)+LARGE(EA68:EA72,4))/3,1),"")</f>
        <v/>
      </c>
      <c r="EB73" s="4">
        <f>IF(COUNT(EB68:EB72)=5,ROUND((LARGE(EB68:EB72,2)+LARGE(EB68:EB72,3)+LARGE(EB68:EB72,4))/3,1),"")</f>
        <v/>
      </c>
      <c r="EC73" s="4">
        <f>IF(COUNT(EC68:EC72)=5,ROUND((LARGE(EC68:EC72,2)+LARGE(EC68:EC72,3)+LARGE(EC68:EC72,4))/3,1),"")</f>
        <v/>
      </c>
      <c r="ED73" s="4">
        <f>IF(COUNT(ED68:ED72)=5,ROUND((LARGE(ED68:ED72,2)+LARGE(ED68:ED72,3)+LARGE(ED68:ED72,4))/3,1),"")</f>
        <v/>
      </c>
      <c r="EE73" s="4">
        <f>IF(COUNT(EE68:EE72)=5,ROUND((LARGE(EE68:EE72,2)+LARGE(EE68:EE72,3)+LARGE(EE68:EE72,4))/3,1),"")</f>
        <v/>
      </c>
      <c r="EF73" s="4">
        <f>IF(COUNT(EF68:EF72)=5,ROUND((LARGE(EF68:EF72,2)+LARGE(EF68:EF72,3)+LARGE(EF68:EF72,4))/3,1),"")</f>
        <v/>
      </c>
      <c r="EG73" s="4">
        <f>IF(COUNT(EG68:EG72)=5,ROUND((LARGE(EG68:EG72,2)+LARGE(EG68:EG72,3)+LARGE(EG68:EG72,4))/3,1),"")</f>
        <v/>
      </c>
      <c r="EH73" s="4">
        <f>IF(COUNT(EH68:EH72)=5,ROUND((LARGE(EH68:EH72,2)+LARGE(EH68:EH72,3)+LARGE(EH68:EH72,4))/3,1),"")</f>
        <v/>
      </c>
      <c r="EI73" s="4">
        <f>IF(COUNT(EI68:EI72)=5,ROUND((LARGE(EI68:EI72,2)+LARGE(EI68:EI72,3)+LARGE(EI68:EI72,4))/3,1),"")</f>
        <v/>
      </c>
      <c r="EJ73" s="4">
        <f>IF(COUNT(EJ68:EJ72)=5,ROUND((LARGE(EJ68:EJ72,2)+LARGE(EJ68:EJ72,3)+LARGE(EJ68:EJ72,4))/3,1),"")</f>
        <v/>
      </c>
      <c r="EK73" s="4">
        <f>IF(COUNT(EK68:EK72)=5,ROUND((LARGE(EK68:EK72,2)+LARGE(EK68:EK72,3)+LARGE(EK68:EK72,4))/3,1),"")</f>
        <v/>
      </c>
      <c r="EL73" s="4">
        <f>IF(COUNT(EL68:EL72)=5,ROUND((LARGE(EL68:EL72,2)+LARGE(EL68:EL72,3)+LARGE(EL68:EL72,4))/3,1),"")</f>
        <v/>
      </c>
      <c r="EM73" s="4">
        <f>IF(COUNT(EM68:EM72)=5,ROUND((LARGE(EM68:EM72,2)+LARGE(EM68:EM72,3)+LARGE(EM68:EM72,4))/3,1),"")</f>
        <v/>
      </c>
      <c r="EN73" s="4">
        <f>IF(COUNT(EN68:EN72)=5,ROUND((LARGE(EN68:EN72,2)+LARGE(EN68:EN72,3)+LARGE(EN68:EN72,4))/3,1),"")</f>
        <v/>
      </c>
      <c r="EO73" s="4">
        <f>IF(COUNT(EO68:EO72)=5,ROUND((LARGE(EO68:EO72,2)+LARGE(EO68:EO72,3)+LARGE(EO68:EO72,4))/3,1),"")</f>
        <v/>
      </c>
      <c r="EP73" s="4">
        <f>IF(COUNT(EP68:EP72)=5,ROUND((LARGE(EP68:EP72,2)+LARGE(EP68:EP72,3)+LARGE(EP68:EP72,4))/3,1),"")</f>
        <v/>
      </c>
      <c r="EQ73" s="4">
        <f>IF(COUNT(EQ68:EQ72)=5,ROUND((LARGE(EQ68:EQ72,2)+LARGE(EQ68:EQ72,3)+LARGE(EQ68:EQ72,4))/3,1),"")</f>
        <v/>
      </c>
      <c r="ER73" s="4">
        <f>IF(COUNT(ER68:ER72)=5,ROUND((LARGE(ER68:ER72,2)+LARGE(ER68:ER72,3)+LARGE(ER68:ER72,4))/3,1),"")</f>
        <v/>
      </c>
      <c r="ES73" s="4">
        <f>IF(COUNT(ES68:ES72)=5,ROUND((LARGE(ES68:ES72,2)+LARGE(ES68:ES72,3)+LARGE(ES68:ES72,4))/3,1),"")</f>
        <v/>
      </c>
      <c r="ET73" s="4">
        <f>IF(COUNT(ET68:ET72)=5,ROUND((LARGE(ET68:ET72,2)+LARGE(ET68:ET72,3)+LARGE(ET68:ET72,4))/3,1),"")</f>
        <v/>
      </c>
      <c r="EU73" s="4">
        <f>IF(COUNT(EU68:EU72)=5,ROUND((LARGE(EU68:EU72,2)+LARGE(EU68:EU72,3)+LARGE(EU68:EU72,4))/3,1),"")</f>
        <v/>
      </c>
      <c r="EV73" s="4">
        <f>IF(COUNT(EV68:EV72)=5,ROUND((LARGE(EV68:EV72,2)+LARGE(EV68:EV72,3)+LARGE(EV68:EV72,4))/3,1),"")</f>
        <v/>
      </c>
      <c r="EW73" s="4">
        <f>IF(COUNT(EW68:EW72)=5,ROUND((LARGE(EW68:EW72,2)+LARGE(EW68:EW72,3)+LARGE(EW68:EW72,4))/3,1),"")</f>
        <v/>
      </c>
      <c r="EX73" s="4">
        <f>IF(COUNT(EX68:EX72)=5,ROUND((LARGE(EX68:EX72,2)+LARGE(EX68:EX72,3)+LARGE(EX68:EX72,4))/3,1),"")</f>
        <v/>
      </c>
      <c r="EY73" s="4">
        <f>IF(COUNT(EY68:EY72)=5,ROUND((LARGE(EY68:EY72,2)+LARGE(EY68:EY72,3)+LARGE(EY68:EY72,4))/3,1),"")</f>
        <v/>
      </c>
      <c r="EZ73" s="4">
        <f>IF(COUNT(EZ68:EZ72)=5,ROUND((LARGE(EZ68:EZ72,2)+LARGE(EZ68:EZ72,3)+LARGE(EZ68:EZ72,4))/3,1),"")</f>
        <v/>
      </c>
      <c r="FA73" s="4">
        <f>IF(COUNT(FA68:FA72)=5,ROUND((LARGE(FA68:FA72,2)+LARGE(FA68:FA72,3)+LARGE(FA68:FA72,4))/3,1),"")</f>
        <v/>
      </c>
      <c r="FB73" s="4">
        <f>IF(COUNT(FB68:FB72)=5,ROUND((LARGE(FB68:FB72,2)+LARGE(FB68:FB72,3)+LARGE(FB68:FB72,4))/3,1),"")</f>
        <v/>
      </c>
      <c r="FC73" s="4">
        <f>IF(COUNT(FC68:FC72)=5,ROUND((LARGE(FC68:FC72,2)+LARGE(FC68:FC72,3)+LARGE(FC68:FC72,4))/3,1),"")</f>
        <v/>
      </c>
      <c r="FD73" s="4">
        <f>IF(COUNT(FD68:FD72)=5,ROUND((LARGE(FD68:FD72,2)+LARGE(FD68:FD72,3)+LARGE(FD68:FD72,4))/3,1),"")</f>
        <v/>
      </c>
      <c r="FE73" s="4">
        <f>IF(COUNT(FE68:FE72)=5,ROUND((LARGE(FE68:FE72,2)+LARGE(FE68:FE72,3)+LARGE(FE68:FE72,4))/3,1),"")</f>
        <v/>
      </c>
      <c r="FF73" s="4">
        <f>IF(COUNT(FF68:FF72)=5,ROUND((LARGE(FF68:FF72,2)+LARGE(FF68:FF72,3)+LARGE(FF68:FF72,4))/3,1),"")</f>
        <v/>
      </c>
      <c r="FG73" s="4">
        <f>IF(COUNT(FG68:FG72)=5,ROUND((LARGE(FG68:FG72,2)+LARGE(FG68:FG72,3)+LARGE(FG68:FG72,4))/3,1),"")</f>
        <v/>
      </c>
      <c r="FH73" s="4">
        <f>IF(COUNT(FH68:FH72)=5,ROUND((LARGE(FH68:FH72,2)+LARGE(FH68:FH72,3)+LARGE(FH68:FH72,4))/3,1),"")</f>
        <v/>
      </c>
      <c r="FI73" s="4">
        <f>IF(COUNT(FI68:FI72)=5,ROUND((LARGE(FI68:FI72,2)+LARGE(FI68:FI72,3)+LARGE(FI68:FI72,4))/3,1),"")</f>
        <v/>
      </c>
      <c r="FJ73" s="4">
        <f>IF(COUNT(FJ68:FJ72)=5,ROUND((LARGE(FJ68:FJ72,2)+LARGE(FJ68:FJ72,3)+LARGE(FJ68:FJ72,4))/3,1),"")</f>
        <v/>
      </c>
      <c r="FK73" s="4">
        <f>IF(COUNT(FK68:FK72)=5,ROUND((LARGE(FK68:FK72,2)+LARGE(FK68:FK72,3)+LARGE(FK68:FK72,4))/3,1),"")</f>
        <v/>
      </c>
      <c r="FL73" s="4">
        <f>IF(COUNT(FL68:FL72)=5,ROUND((LARGE(FL68:FL72,2)+LARGE(FL68:FL72,3)+LARGE(FL68:FL72,4))/3,1),"")</f>
        <v/>
      </c>
      <c r="FM73" s="4">
        <f>IF(COUNT(FM68:FM72)=5,ROUND((LARGE(FM68:FM72,2)+LARGE(FM68:FM72,3)+LARGE(FM68:FM72,4))/3,1),"")</f>
        <v/>
      </c>
      <c r="FN73" s="4">
        <f>IF(COUNT(FN68:FN72)=5,ROUND((LARGE(FN68:FN72,2)+LARGE(FN68:FN72,3)+LARGE(FN68:FN72,4))/3,1),"")</f>
        <v/>
      </c>
      <c r="FO73" s="4">
        <f>IF(COUNT(FO68:FO72)=5,ROUND((LARGE(FO68:FO72,2)+LARGE(FO68:FO72,3)+LARGE(FO68:FO72,4))/3,1),"")</f>
        <v/>
      </c>
      <c r="FP73" s="4">
        <f>IF(COUNT(FP68:FP72)=5,ROUND((LARGE(FP68:FP72,2)+LARGE(FP68:FP72,3)+LARGE(FP68:FP72,4))/3,1),"")</f>
        <v/>
      </c>
      <c r="FQ73" s="4">
        <f>IF(COUNT(FQ68:FQ72)=5,ROUND((LARGE(FQ68:FQ72,2)+LARGE(FQ68:FQ72,3)+LARGE(FQ68:FQ72,4))/3,1),"")</f>
        <v/>
      </c>
    </row>
    <row r="74">
      <c r="A74" s="33" t="inlineStr">
        <is>
          <t>Both</t>
        </is>
      </c>
      <c r="B74" s="20" t="inlineStr">
        <is>
          <t>Others / অন্যান্য</t>
        </is>
      </c>
    </row>
    <row r="75">
      <c r="A75" s="21" t="inlineStr">
        <is>
          <t>Both</t>
        </is>
      </c>
      <c r="B75" s="20" t="inlineStr">
        <is>
          <t>Weather condition</t>
        </is>
      </c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 t="n"/>
      <c r="EG75" s="22" t="n"/>
      <c r="EH75" s="22" t="n"/>
      <c r="EI75" s="22" t="n"/>
      <c r="EJ75" s="22" t="n"/>
      <c r="EK75" s="22" t="n"/>
      <c r="EL75" s="22" t="n"/>
      <c r="EM75" s="22" t="n"/>
      <c r="EN75" s="22" t="n"/>
      <c r="EO75" s="22" t="n"/>
      <c r="EP75" s="22" t="n"/>
      <c r="EQ75" s="22" t="n"/>
      <c r="ER75" s="22" t="n"/>
      <c r="ES75" s="22" t="n"/>
      <c r="ET75" s="22" t="n"/>
      <c r="EU75" s="22" t="n"/>
      <c r="EV75" s="22" t="n"/>
      <c r="EW75" s="22" t="n"/>
      <c r="EX75" s="22" t="n"/>
      <c r="EY75" s="22" t="n"/>
      <c r="EZ75" s="22" t="n"/>
      <c r="FA75" s="22" t="n"/>
      <c r="FB75" s="22" t="n"/>
      <c r="FC75" s="22" t="n"/>
      <c r="FD75" s="22" t="n"/>
      <c r="FE75" s="22" t="n"/>
      <c r="FF75" s="22" t="n"/>
      <c r="FG75" s="22" t="n"/>
      <c r="FH75" s="22" t="n"/>
      <c r="FI75" s="22" t="n"/>
      <c r="FJ75" s="22" t="n"/>
      <c r="FK75" s="22" t="n"/>
      <c r="FL75" s="22" t="n"/>
      <c r="FM75" s="22" t="n"/>
      <c r="FN75" s="22" t="n"/>
      <c r="FO75" s="22" t="n"/>
      <c r="FP75" s="22" t="n"/>
      <c r="FQ75" s="22" t="n"/>
    </row>
    <row r="76">
      <c r="A76" s="21" t="inlineStr">
        <is>
          <t>Both</t>
        </is>
      </c>
      <c r="B76" s="20" t="inlineStr">
        <is>
          <t>Pump and others</t>
        </is>
      </c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 t="n"/>
      <c r="EG76" s="22" t="n"/>
      <c r="EH76" s="22" t="n"/>
      <c r="EI76" s="22" t="n"/>
      <c r="EJ76" s="22" t="n"/>
      <c r="EK76" s="22" t="n"/>
      <c r="EL76" s="22" t="n"/>
      <c r="EM76" s="22" t="n"/>
      <c r="EN76" s="22" t="n"/>
      <c r="EO76" s="22" t="n"/>
      <c r="EP76" s="22" t="n"/>
      <c r="EQ76" s="22" t="n"/>
      <c r="ER76" s="22" t="n"/>
      <c r="ES76" s="22" t="n"/>
      <c r="ET76" s="22" t="n"/>
      <c r="EU76" s="22" t="n"/>
      <c r="EV76" s="22" t="n"/>
      <c r="EW76" s="22" t="n"/>
      <c r="EX76" s="22" t="n"/>
      <c r="EY76" s="22" t="n"/>
      <c r="EZ76" s="22" t="n"/>
      <c r="FA76" s="22" t="n"/>
      <c r="FB76" s="22" t="n"/>
      <c r="FC76" s="22" t="n"/>
      <c r="FD76" s="22" t="n"/>
      <c r="FE76" s="22" t="n"/>
      <c r="FF76" s="22" t="n"/>
      <c r="FG76" s="22" t="n"/>
      <c r="FH76" s="22" t="n"/>
      <c r="FI76" s="22" t="n"/>
      <c r="FJ76" s="22" t="n"/>
      <c r="FK76" s="22" t="n"/>
      <c r="FL76" s="22" t="n"/>
      <c r="FM76" s="22" t="n"/>
      <c r="FN76" s="22" t="n"/>
      <c r="FO76" s="22" t="n"/>
      <c r="FP76" s="22" t="n"/>
      <c r="FQ76" s="22" t="n"/>
    </row>
    <row r="77">
      <c r="A77" s="21" t="inlineStr">
        <is>
          <t>Both</t>
        </is>
      </c>
      <c r="B77" s="20" t="inlineStr">
        <is>
          <t>Note (any comments)</t>
        </is>
      </c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 t="n"/>
      <c r="EG77" s="22" t="n"/>
      <c r="EH77" s="22" t="n"/>
      <c r="EI77" s="22" t="n"/>
      <c r="EJ77" s="22" t="n"/>
      <c r="EK77" s="22" t="n"/>
      <c r="EL77" s="22" t="n"/>
      <c r="EM77" s="22" t="n"/>
      <c r="EN77" s="22" t="n"/>
      <c r="EO77" s="22" t="n"/>
      <c r="EP77" s="22" t="n"/>
      <c r="EQ77" s="22" t="n"/>
      <c r="ER77" s="22" t="n"/>
      <c r="ES77" s="22" t="n"/>
      <c r="ET77" s="22" t="n"/>
      <c r="EU77" s="22" t="n"/>
      <c r="EV77" s="22" t="n"/>
      <c r="EW77" s="22" t="n"/>
      <c r="EX77" s="22" t="n"/>
      <c r="EY77" s="22" t="n"/>
      <c r="EZ77" s="22" t="n"/>
      <c r="FA77" s="22" t="n"/>
      <c r="FB77" s="22" t="n"/>
      <c r="FC77" s="22" t="n"/>
      <c r="FD77" s="22" t="n"/>
      <c r="FE77" s="22" t="n"/>
      <c r="FF77" s="22" t="n"/>
      <c r="FG77" s="22" t="n"/>
      <c r="FH77" s="22" t="n"/>
      <c r="FI77" s="22" t="n"/>
      <c r="FJ77" s="22" t="n"/>
      <c r="FK77" s="22" t="n"/>
      <c r="FL77" s="22" t="n"/>
      <c r="FM77" s="22" t="n"/>
      <c r="FN77" s="22" t="n"/>
      <c r="FO77" s="22" t="n"/>
      <c r="FP77" s="22" t="n"/>
      <c r="FQ77" s="22" t="n"/>
    </row>
    <row r="78">
      <c r="A78" s="21" t="inlineStr">
        <is>
          <t>Both</t>
        </is>
      </c>
      <c r="B78" s="20" t="inlineStr">
        <is>
          <t>Check (weather)</t>
        </is>
      </c>
      <c r="D78" s="26">
        <f>IF(D1="","",IF(AND(ISNUMBER(D8),OR(D8&lt;0,D8&gt;300)),"rain out of range; ","")&amp;IF(AND(ISNUMBER(D9),OR(D9&lt;0,D9&gt;45)),"temp out of range; ","")&amp;IF(AND(ISNUMBER(D10),OR(D10&lt;0,D10&gt;100)),"RH out of range; ",""))</f>
        <v/>
      </c>
      <c r="E78" s="26">
        <f>IF(E1="","",IF(AND(ISNUMBER(E8),OR(E8&lt;0,E8&gt;300)),"rain out of range; ","")&amp;IF(AND(ISNUMBER(E9),OR(E9&lt;0,E9&gt;45)),"temp out of range; ","")&amp;IF(AND(ISNUMBER(E10),OR(E10&lt;0,E10&gt;100)),"RH out of range; ",""))</f>
        <v/>
      </c>
      <c r="F78" s="26">
        <f>IF(F1="","",IF(AND(ISNUMBER(F8),OR(F8&lt;0,F8&gt;300)),"rain out of range; ","")&amp;IF(AND(ISNUMBER(F9),OR(F9&lt;0,F9&gt;45)),"temp out of range; ","")&amp;IF(AND(ISNUMBER(F10),OR(F10&lt;0,F10&gt;100)),"RH out of range; ",""))</f>
        <v/>
      </c>
      <c r="G78" s="26">
        <f>IF(G1="","",IF(AND(ISNUMBER(G8),OR(G8&lt;0,G8&gt;300)),"rain out of range; ","")&amp;IF(AND(ISNUMBER(G9),OR(G9&lt;0,G9&gt;45)),"temp out of range; ","")&amp;IF(AND(ISNUMBER(G10),OR(G10&lt;0,G10&gt;100)),"RH out of range; ",""))</f>
        <v/>
      </c>
      <c r="H78" s="26">
        <f>IF(H1="","",IF(AND(ISNUMBER(H8),OR(H8&lt;0,H8&gt;300)),"rain out of range; ","")&amp;IF(AND(ISNUMBER(H9),OR(H9&lt;0,H9&gt;45)),"temp out of range; ","")&amp;IF(AND(ISNUMBER(H10),OR(H10&lt;0,H10&gt;100)),"RH out of range; ",""))</f>
        <v/>
      </c>
      <c r="I78" s="26">
        <f>IF(I1="","",IF(AND(ISNUMBER(I8),OR(I8&lt;0,I8&gt;300)),"rain out of range; ","")&amp;IF(AND(ISNUMBER(I9),OR(I9&lt;0,I9&gt;45)),"temp out of range; ","")&amp;IF(AND(ISNUMBER(I10),OR(I10&lt;0,I10&gt;100)),"RH out of range; ",""))</f>
        <v/>
      </c>
      <c r="J78" s="26">
        <f>IF(J1="","",IF(AND(ISNUMBER(J8),OR(J8&lt;0,J8&gt;300)),"rain out of range; ","")&amp;IF(AND(ISNUMBER(J9),OR(J9&lt;0,J9&gt;45)),"temp out of range; ","")&amp;IF(AND(ISNUMBER(J10),OR(J10&lt;0,J10&gt;100)),"RH out of range; ",""))</f>
        <v/>
      </c>
      <c r="K78" s="26">
        <f>IF(K1="","",IF(AND(ISNUMBER(K8),OR(K8&lt;0,K8&gt;300)),"rain out of range; ","")&amp;IF(AND(ISNUMBER(K9),OR(K9&lt;0,K9&gt;45)),"temp out of range; ","")&amp;IF(AND(ISNUMBER(K10),OR(K10&lt;0,K10&gt;100)),"RH out of range; ",""))</f>
        <v/>
      </c>
      <c r="L78" s="26">
        <f>IF(L1="","",IF(AND(ISNUMBER(L8),OR(L8&lt;0,L8&gt;300)),"rain out of range; ","")&amp;IF(AND(ISNUMBER(L9),OR(L9&lt;0,L9&gt;45)),"temp out of range; ","")&amp;IF(AND(ISNUMBER(L10),OR(L10&lt;0,L10&gt;100)),"RH out of range; ",""))</f>
        <v/>
      </c>
      <c r="M78" s="26">
        <f>IF(M1="","",IF(AND(ISNUMBER(M8),OR(M8&lt;0,M8&gt;300)),"rain out of range; ","")&amp;IF(AND(ISNUMBER(M9),OR(M9&lt;0,M9&gt;45)),"temp out of range; ","")&amp;IF(AND(ISNUMBER(M10),OR(M10&lt;0,M10&gt;100)),"RH out of range; ",""))</f>
        <v/>
      </c>
      <c r="N78" s="26">
        <f>IF(N1="","",IF(AND(ISNUMBER(N8),OR(N8&lt;0,N8&gt;300)),"rain out of range; ","")&amp;IF(AND(ISNUMBER(N9),OR(N9&lt;0,N9&gt;45)),"temp out of range; ","")&amp;IF(AND(ISNUMBER(N10),OR(N10&lt;0,N10&gt;100)),"RH out of range; ",""))</f>
        <v/>
      </c>
      <c r="O78" s="26">
        <f>IF(O1="","",IF(AND(ISNUMBER(O8),OR(O8&lt;0,O8&gt;300)),"rain out of range; ","")&amp;IF(AND(ISNUMBER(O9),OR(O9&lt;0,O9&gt;45)),"temp out of range; ","")&amp;IF(AND(ISNUMBER(O10),OR(O10&lt;0,O10&gt;100)),"RH out of range; ",""))</f>
        <v/>
      </c>
      <c r="P78" s="26">
        <f>IF(P1="","",IF(AND(ISNUMBER(P8),OR(P8&lt;0,P8&gt;300)),"rain out of range; ","")&amp;IF(AND(ISNUMBER(P9),OR(P9&lt;0,P9&gt;45)),"temp out of range; ","")&amp;IF(AND(ISNUMBER(P10),OR(P10&lt;0,P10&gt;100)),"RH out of range; ",""))</f>
        <v/>
      </c>
      <c r="Q78" s="26">
        <f>IF(Q1="","",IF(AND(ISNUMBER(Q8),OR(Q8&lt;0,Q8&gt;300)),"rain out of range; ","")&amp;IF(AND(ISNUMBER(Q9),OR(Q9&lt;0,Q9&gt;45)),"temp out of range; ","")&amp;IF(AND(ISNUMBER(Q10),OR(Q10&lt;0,Q10&gt;100)),"RH out of range; ",""))</f>
        <v/>
      </c>
      <c r="R78" s="26">
        <f>IF(R1="","",IF(AND(ISNUMBER(R8),OR(R8&lt;0,R8&gt;300)),"rain out of range; ","")&amp;IF(AND(ISNUMBER(R9),OR(R9&lt;0,R9&gt;45)),"temp out of range; ","")&amp;IF(AND(ISNUMBER(R10),OR(R10&lt;0,R10&gt;100)),"RH out of range; ",""))</f>
        <v/>
      </c>
      <c r="S78" s="26">
        <f>IF(S1="","",IF(AND(ISNUMBER(S8),OR(S8&lt;0,S8&gt;300)),"rain out of range; ","")&amp;IF(AND(ISNUMBER(S9),OR(S9&lt;0,S9&gt;45)),"temp out of range; ","")&amp;IF(AND(ISNUMBER(S10),OR(S10&lt;0,S10&gt;100)),"RH out of range; ",""))</f>
        <v/>
      </c>
      <c r="T78" s="26">
        <f>IF(T1="","",IF(AND(ISNUMBER(T8),OR(T8&lt;0,T8&gt;300)),"rain out of range; ","")&amp;IF(AND(ISNUMBER(T9),OR(T9&lt;0,T9&gt;45)),"temp out of range; ","")&amp;IF(AND(ISNUMBER(T10),OR(T10&lt;0,T10&gt;100)),"RH out of range; ",""))</f>
        <v/>
      </c>
      <c r="U78" s="26">
        <f>IF(U1="","",IF(AND(ISNUMBER(U8),OR(U8&lt;0,U8&gt;300)),"rain out of range; ","")&amp;IF(AND(ISNUMBER(U9),OR(U9&lt;0,U9&gt;45)),"temp out of range; ","")&amp;IF(AND(ISNUMBER(U10),OR(U10&lt;0,U10&gt;100)),"RH out of range; ",""))</f>
        <v/>
      </c>
      <c r="V78" s="26">
        <f>IF(V1="","",IF(AND(ISNUMBER(V8),OR(V8&lt;0,V8&gt;300)),"rain out of range; ","")&amp;IF(AND(ISNUMBER(V9),OR(V9&lt;0,V9&gt;45)),"temp out of range; ","")&amp;IF(AND(ISNUMBER(V10),OR(V10&lt;0,V10&gt;100)),"RH out of range; ",""))</f>
        <v/>
      </c>
      <c r="W78" s="26">
        <f>IF(W1="","",IF(AND(ISNUMBER(W8),OR(W8&lt;0,W8&gt;300)),"rain out of range; ","")&amp;IF(AND(ISNUMBER(W9),OR(W9&lt;0,W9&gt;45)),"temp out of range; ","")&amp;IF(AND(ISNUMBER(W10),OR(W10&lt;0,W10&gt;100)),"RH out of range; ",""))</f>
        <v/>
      </c>
      <c r="X78" s="26">
        <f>IF(X1="","",IF(AND(ISNUMBER(X8),OR(X8&lt;0,X8&gt;300)),"rain out of range; ","")&amp;IF(AND(ISNUMBER(X9),OR(X9&lt;0,X9&gt;45)),"temp out of range; ","")&amp;IF(AND(ISNUMBER(X10),OR(X10&lt;0,X10&gt;100)),"RH out of range; ",""))</f>
        <v/>
      </c>
      <c r="Y78" s="26">
        <f>IF(Y1="","",IF(AND(ISNUMBER(Y8),OR(Y8&lt;0,Y8&gt;300)),"rain out of range; ","")&amp;IF(AND(ISNUMBER(Y9),OR(Y9&lt;0,Y9&gt;45)),"temp out of range; ","")&amp;IF(AND(ISNUMBER(Y10),OR(Y10&lt;0,Y10&gt;100)),"RH out of range; ",""))</f>
        <v/>
      </c>
      <c r="Z78" s="26">
        <f>IF(Z1="","",IF(AND(ISNUMBER(Z8),OR(Z8&lt;0,Z8&gt;300)),"rain out of range; ","")&amp;IF(AND(ISNUMBER(Z9),OR(Z9&lt;0,Z9&gt;45)),"temp out of range; ","")&amp;IF(AND(ISNUMBER(Z10),OR(Z10&lt;0,Z10&gt;100)),"RH out of range; ",""))</f>
        <v/>
      </c>
      <c r="AA78" s="26">
        <f>IF(AA1="","",IF(AND(ISNUMBER(AA8),OR(AA8&lt;0,AA8&gt;300)),"rain out of range; ","")&amp;IF(AND(ISNUMBER(AA9),OR(AA9&lt;0,AA9&gt;45)),"temp out of range; ","")&amp;IF(AND(ISNUMBER(AA10),OR(AA10&lt;0,AA10&gt;100)),"RH out of range; ",""))</f>
        <v/>
      </c>
      <c r="AB78" s="26">
        <f>IF(AB1="","",IF(AND(ISNUMBER(AB8),OR(AB8&lt;0,AB8&gt;300)),"rain out of range; ","")&amp;IF(AND(ISNUMBER(AB9),OR(AB9&lt;0,AB9&gt;45)),"temp out of range; ","")&amp;IF(AND(ISNUMBER(AB10),OR(AB10&lt;0,AB10&gt;100)),"RH out of range; ",""))</f>
        <v/>
      </c>
      <c r="AC78" s="26">
        <f>IF(AC1="","",IF(AND(ISNUMBER(AC8),OR(AC8&lt;0,AC8&gt;300)),"rain out of range; ","")&amp;IF(AND(ISNUMBER(AC9),OR(AC9&lt;0,AC9&gt;45)),"temp out of range; ","")&amp;IF(AND(ISNUMBER(AC10),OR(AC10&lt;0,AC10&gt;100)),"RH out of range; ",""))</f>
        <v/>
      </c>
      <c r="AD78" s="26">
        <f>IF(AD1="","",IF(AND(ISNUMBER(AD8),OR(AD8&lt;0,AD8&gt;300)),"rain out of range; ","")&amp;IF(AND(ISNUMBER(AD9),OR(AD9&lt;0,AD9&gt;45)),"temp out of range; ","")&amp;IF(AND(ISNUMBER(AD10),OR(AD10&lt;0,AD10&gt;100)),"RH out of range; ",""))</f>
        <v/>
      </c>
      <c r="AE78" s="26">
        <f>IF(AE1="","",IF(AND(ISNUMBER(AE8),OR(AE8&lt;0,AE8&gt;300)),"rain out of range; ","")&amp;IF(AND(ISNUMBER(AE9),OR(AE9&lt;0,AE9&gt;45)),"temp out of range; ","")&amp;IF(AND(ISNUMBER(AE10),OR(AE10&lt;0,AE10&gt;100)),"RH out of range; ",""))</f>
        <v/>
      </c>
      <c r="AF78" s="26">
        <f>IF(AF1="","",IF(AND(ISNUMBER(AF8),OR(AF8&lt;0,AF8&gt;300)),"rain out of range; ","")&amp;IF(AND(ISNUMBER(AF9),OR(AF9&lt;0,AF9&gt;45)),"temp out of range; ","")&amp;IF(AND(ISNUMBER(AF10),OR(AF10&lt;0,AF10&gt;100)),"RH out of range; ",""))</f>
        <v/>
      </c>
      <c r="AG78" s="26">
        <f>IF(AG1="","",IF(AND(ISNUMBER(AG8),OR(AG8&lt;0,AG8&gt;300)),"rain out of range; ","")&amp;IF(AND(ISNUMBER(AG9),OR(AG9&lt;0,AG9&gt;45)),"temp out of range; ","")&amp;IF(AND(ISNUMBER(AG10),OR(AG10&lt;0,AG10&gt;100)),"RH out of range; ",""))</f>
        <v/>
      </c>
      <c r="AH78" s="26">
        <f>IF(AH1="","",IF(AND(ISNUMBER(AH8),OR(AH8&lt;0,AH8&gt;300)),"rain out of range; ","")&amp;IF(AND(ISNUMBER(AH9),OR(AH9&lt;0,AH9&gt;45)),"temp out of range; ","")&amp;IF(AND(ISNUMBER(AH10),OR(AH10&lt;0,AH10&gt;100)),"RH out of range; ",""))</f>
        <v/>
      </c>
      <c r="AI78" s="26">
        <f>IF(AI1="","",IF(AND(ISNUMBER(AI8),OR(AI8&lt;0,AI8&gt;300)),"rain out of range; ","")&amp;IF(AND(ISNUMBER(AI9),OR(AI9&lt;0,AI9&gt;45)),"temp out of range; ","")&amp;IF(AND(ISNUMBER(AI10),OR(AI10&lt;0,AI10&gt;100)),"RH out of range; ",""))</f>
        <v/>
      </c>
      <c r="AJ78" s="26">
        <f>IF(AJ1="","",IF(AND(ISNUMBER(AJ8),OR(AJ8&lt;0,AJ8&gt;300)),"rain out of range; ","")&amp;IF(AND(ISNUMBER(AJ9),OR(AJ9&lt;0,AJ9&gt;45)),"temp out of range; ","")&amp;IF(AND(ISNUMBER(AJ10),OR(AJ10&lt;0,AJ10&gt;100)),"RH out of range; ",""))</f>
        <v/>
      </c>
      <c r="AK78" s="26">
        <f>IF(AK1="","",IF(AND(ISNUMBER(AK8),OR(AK8&lt;0,AK8&gt;300)),"rain out of range; ","")&amp;IF(AND(ISNUMBER(AK9),OR(AK9&lt;0,AK9&gt;45)),"temp out of range; ","")&amp;IF(AND(ISNUMBER(AK10),OR(AK10&lt;0,AK10&gt;100)),"RH out of range; ",""))</f>
        <v/>
      </c>
      <c r="AL78" s="26">
        <f>IF(AL1="","",IF(AND(ISNUMBER(AL8),OR(AL8&lt;0,AL8&gt;300)),"rain out of range; ","")&amp;IF(AND(ISNUMBER(AL9),OR(AL9&lt;0,AL9&gt;45)),"temp out of range; ","")&amp;IF(AND(ISNUMBER(AL10),OR(AL10&lt;0,AL10&gt;100)),"RH out of range; ",""))</f>
        <v/>
      </c>
      <c r="AM78" s="26">
        <f>IF(AM1="","",IF(AND(ISNUMBER(AM8),OR(AM8&lt;0,AM8&gt;300)),"rain out of range; ","")&amp;IF(AND(ISNUMBER(AM9),OR(AM9&lt;0,AM9&gt;45)),"temp out of range; ","")&amp;IF(AND(ISNUMBER(AM10),OR(AM10&lt;0,AM10&gt;100)),"RH out of range; ",""))</f>
        <v/>
      </c>
      <c r="AN78" s="26">
        <f>IF(AN1="","",IF(AND(ISNUMBER(AN8),OR(AN8&lt;0,AN8&gt;300)),"rain out of range; ","")&amp;IF(AND(ISNUMBER(AN9),OR(AN9&lt;0,AN9&gt;45)),"temp out of range; ","")&amp;IF(AND(ISNUMBER(AN10),OR(AN10&lt;0,AN10&gt;100)),"RH out of range; ",""))</f>
        <v/>
      </c>
      <c r="AO78" s="26">
        <f>IF(AO1="","",IF(AND(ISNUMBER(AO8),OR(AO8&lt;0,AO8&gt;300)),"rain out of range; ","")&amp;IF(AND(ISNUMBER(AO9),OR(AO9&lt;0,AO9&gt;45)),"temp out of range; ","")&amp;IF(AND(ISNUMBER(AO10),OR(AO10&lt;0,AO10&gt;100)),"RH out of range; ",""))</f>
        <v/>
      </c>
      <c r="AP78" s="26">
        <f>IF(AP1="","",IF(AND(ISNUMBER(AP8),OR(AP8&lt;0,AP8&gt;300)),"rain out of range; ","")&amp;IF(AND(ISNUMBER(AP9),OR(AP9&lt;0,AP9&gt;45)),"temp out of range; ","")&amp;IF(AND(ISNUMBER(AP10),OR(AP10&lt;0,AP10&gt;100)),"RH out of range; ",""))</f>
        <v/>
      </c>
      <c r="AQ78" s="26">
        <f>IF(AQ1="","",IF(AND(ISNUMBER(AQ8),OR(AQ8&lt;0,AQ8&gt;300)),"rain out of range; ","")&amp;IF(AND(ISNUMBER(AQ9),OR(AQ9&lt;0,AQ9&gt;45)),"temp out of range; ","")&amp;IF(AND(ISNUMBER(AQ10),OR(AQ10&lt;0,AQ10&gt;100)),"RH out of range; ",""))</f>
        <v/>
      </c>
      <c r="AR78" s="26">
        <f>IF(AR1="","",IF(AND(ISNUMBER(AR8),OR(AR8&lt;0,AR8&gt;300)),"rain out of range; ","")&amp;IF(AND(ISNUMBER(AR9),OR(AR9&lt;0,AR9&gt;45)),"temp out of range; ","")&amp;IF(AND(ISNUMBER(AR10),OR(AR10&lt;0,AR10&gt;100)),"RH out of range; ",""))</f>
        <v/>
      </c>
      <c r="AS78" s="26">
        <f>IF(AS1="","",IF(AND(ISNUMBER(AS8),OR(AS8&lt;0,AS8&gt;300)),"rain out of range; ","")&amp;IF(AND(ISNUMBER(AS9),OR(AS9&lt;0,AS9&gt;45)),"temp out of range; ","")&amp;IF(AND(ISNUMBER(AS10),OR(AS10&lt;0,AS10&gt;100)),"RH out of range; ",""))</f>
        <v/>
      </c>
      <c r="AT78" s="26">
        <f>IF(AT1="","",IF(AND(ISNUMBER(AT8),OR(AT8&lt;0,AT8&gt;300)),"rain out of range; ","")&amp;IF(AND(ISNUMBER(AT9),OR(AT9&lt;0,AT9&gt;45)),"temp out of range; ","")&amp;IF(AND(ISNUMBER(AT10),OR(AT10&lt;0,AT10&gt;100)),"RH out of range; ",""))</f>
        <v/>
      </c>
      <c r="AU78" s="26">
        <f>IF(AU1="","",IF(AND(ISNUMBER(AU8),OR(AU8&lt;0,AU8&gt;300)),"rain out of range; ","")&amp;IF(AND(ISNUMBER(AU9),OR(AU9&lt;0,AU9&gt;45)),"temp out of range; ","")&amp;IF(AND(ISNUMBER(AU10),OR(AU10&lt;0,AU10&gt;100)),"RH out of range; ",""))</f>
        <v/>
      </c>
      <c r="AV78" s="26">
        <f>IF(AV1="","",IF(AND(ISNUMBER(AV8),OR(AV8&lt;0,AV8&gt;300)),"rain out of range; ","")&amp;IF(AND(ISNUMBER(AV9),OR(AV9&lt;0,AV9&gt;45)),"temp out of range; ","")&amp;IF(AND(ISNUMBER(AV10),OR(AV10&lt;0,AV10&gt;100)),"RH out of range; ",""))</f>
        <v/>
      </c>
      <c r="AW78" s="26">
        <f>IF(AW1="","",IF(AND(ISNUMBER(AW8),OR(AW8&lt;0,AW8&gt;300)),"rain out of range; ","")&amp;IF(AND(ISNUMBER(AW9),OR(AW9&lt;0,AW9&gt;45)),"temp out of range; ","")&amp;IF(AND(ISNUMBER(AW10),OR(AW10&lt;0,AW10&gt;100)),"RH out of range; ",""))</f>
        <v/>
      </c>
      <c r="AX78" s="26">
        <f>IF(AX1="","",IF(AND(ISNUMBER(AX8),OR(AX8&lt;0,AX8&gt;300)),"rain out of range; ","")&amp;IF(AND(ISNUMBER(AX9),OR(AX9&lt;0,AX9&gt;45)),"temp out of range; ","")&amp;IF(AND(ISNUMBER(AX10),OR(AX10&lt;0,AX10&gt;100)),"RH out of range; ",""))</f>
        <v/>
      </c>
      <c r="AY78" s="26">
        <f>IF(AY1="","",IF(AND(ISNUMBER(AY8),OR(AY8&lt;0,AY8&gt;300)),"rain out of range; ","")&amp;IF(AND(ISNUMBER(AY9),OR(AY9&lt;0,AY9&gt;45)),"temp out of range; ","")&amp;IF(AND(ISNUMBER(AY10),OR(AY10&lt;0,AY10&gt;100)),"RH out of range; ",""))</f>
        <v/>
      </c>
      <c r="AZ78" s="26">
        <f>IF(AZ1="","",IF(AND(ISNUMBER(AZ8),OR(AZ8&lt;0,AZ8&gt;300)),"rain out of range; ","")&amp;IF(AND(ISNUMBER(AZ9),OR(AZ9&lt;0,AZ9&gt;45)),"temp out of range; ","")&amp;IF(AND(ISNUMBER(AZ10),OR(AZ10&lt;0,AZ10&gt;100)),"RH out of range; ",""))</f>
        <v/>
      </c>
      <c r="BA78" s="26">
        <f>IF(BA1="","",IF(AND(ISNUMBER(BA8),OR(BA8&lt;0,BA8&gt;300)),"rain out of range; ","")&amp;IF(AND(ISNUMBER(BA9),OR(BA9&lt;0,BA9&gt;45)),"temp out of range; ","")&amp;IF(AND(ISNUMBER(BA10),OR(BA10&lt;0,BA10&gt;100)),"RH out of range; ",""))</f>
        <v/>
      </c>
      <c r="BB78" s="26">
        <f>IF(BB1="","",IF(AND(ISNUMBER(BB8),OR(BB8&lt;0,BB8&gt;300)),"rain out of range; ","")&amp;IF(AND(ISNUMBER(BB9),OR(BB9&lt;0,BB9&gt;45)),"temp out of range; ","")&amp;IF(AND(ISNUMBER(BB10),OR(BB10&lt;0,BB10&gt;100)),"RH out of range; ",""))</f>
        <v/>
      </c>
      <c r="BC78" s="26">
        <f>IF(BC1="","",IF(AND(ISNUMBER(BC8),OR(BC8&lt;0,BC8&gt;300)),"rain out of range; ","")&amp;IF(AND(ISNUMBER(BC9),OR(BC9&lt;0,BC9&gt;45)),"temp out of range; ","")&amp;IF(AND(ISNUMBER(BC10),OR(BC10&lt;0,BC10&gt;100)),"RH out of range; ",""))</f>
        <v/>
      </c>
      <c r="BD78" s="26">
        <f>IF(BD1="","",IF(AND(ISNUMBER(BD8),OR(BD8&lt;0,BD8&gt;300)),"rain out of range; ","")&amp;IF(AND(ISNUMBER(BD9),OR(BD9&lt;0,BD9&gt;45)),"temp out of range; ","")&amp;IF(AND(ISNUMBER(BD10),OR(BD10&lt;0,BD10&gt;100)),"RH out of range; ",""))</f>
        <v/>
      </c>
      <c r="BE78" s="26">
        <f>IF(BE1="","",IF(AND(ISNUMBER(BE8),OR(BE8&lt;0,BE8&gt;300)),"rain out of range; ","")&amp;IF(AND(ISNUMBER(BE9),OR(BE9&lt;0,BE9&gt;45)),"temp out of range; ","")&amp;IF(AND(ISNUMBER(BE10),OR(BE10&lt;0,BE10&gt;100)),"RH out of range; ",""))</f>
        <v/>
      </c>
      <c r="BF78" s="26">
        <f>IF(BF1="","",IF(AND(ISNUMBER(BF8),OR(BF8&lt;0,BF8&gt;300)),"rain out of range; ","")&amp;IF(AND(ISNUMBER(BF9),OR(BF9&lt;0,BF9&gt;45)),"temp out of range; ","")&amp;IF(AND(ISNUMBER(BF10),OR(BF10&lt;0,BF10&gt;100)),"RH out of range; ",""))</f>
        <v/>
      </c>
      <c r="BG78" s="26">
        <f>IF(BG1="","",IF(AND(ISNUMBER(BG8),OR(BG8&lt;0,BG8&gt;300)),"rain out of range; ","")&amp;IF(AND(ISNUMBER(BG9),OR(BG9&lt;0,BG9&gt;45)),"temp out of range; ","")&amp;IF(AND(ISNUMBER(BG10),OR(BG10&lt;0,BG10&gt;100)),"RH out of range; ",""))</f>
        <v/>
      </c>
      <c r="BH78" s="26">
        <f>IF(BH1="","",IF(AND(ISNUMBER(BH8),OR(BH8&lt;0,BH8&gt;300)),"rain out of range; ","")&amp;IF(AND(ISNUMBER(BH9),OR(BH9&lt;0,BH9&gt;45)),"temp out of range; ","")&amp;IF(AND(ISNUMBER(BH10),OR(BH10&lt;0,BH10&gt;100)),"RH out of range; ",""))</f>
        <v/>
      </c>
      <c r="BI78" s="26">
        <f>IF(BI1="","",IF(AND(ISNUMBER(BI8),OR(BI8&lt;0,BI8&gt;300)),"rain out of range; ","")&amp;IF(AND(ISNUMBER(BI9),OR(BI9&lt;0,BI9&gt;45)),"temp out of range; ","")&amp;IF(AND(ISNUMBER(BI10),OR(BI10&lt;0,BI10&gt;100)),"RH out of range; ",""))</f>
        <v/>
      </c>
      <c r="BJ78" s="26">
        <f>IF(BJ1="","",IF(AND(ISNUMBER(BJ8),OR(BJ8&lt;0,BJ8&gt;300)),"rain out of range; ","")&amp;IF(AND(ISNUMBER(BJ9),OR(BJ9&lt;0,BJ9&gt;45)),"temp out of range; ","")&amp;IF(AND(ISNUMBER(BJ10),OR(BJ10&lt;0,BJ10&gt;100)),"RH out of range; ",""))</f>
        <v/>
      </c>
      <c r="BK78" s="26">
        <f>IF(BK1="","",IF(AND(ISNUMBER(BK8),OR(BK8&lt;0,BK8&gt;300)),"rain out of range; ","")&amp;IF(AND(ISNUMBER(BK9),OR(BK9&lt;0,BK9&gt;45)),"temp out of range; ","")&amp;IF(AND(ISNUMBER(BK10),OR(BK10&lt;0,BK10&gt;100)),"RH out of range; ",""))</f>
        <v/>
      </c>
      <c r="BL78" s="26">
        <f>IF(BL1="","",IF(AND(ISNUMBER(BL8),OR(BL8&lt;0,BL8&gt;300)),"rain out of range; ","")&amp;IF(AND(ISNUMBER(BL9),OR(BL9&lt;0,BL9&gt;45)),"temp out of range; ","")&amp;IF(AND(ISNUMBER(BL10),OR(BL10&lt;0,BL10&gt;100)),"RH out of range; ",""))</f>
        <v/>
      </c>
      <c r="BM78" s="26">
        <f>IF(BM1="","",IF(AND(ISNUMBER(BM8),OR(BM8&lt;0,BM8&gt;300)),"rain out of range; ","")&amp;IF(AND(ISNUMBER(BM9),OR(BM9&lt;0,BM9&gt;45)),"temp out of range; ","")&amp;IF(AND(ISNUMBER(BM10),OR(BM10&lt;0,BM10&gt;100)),"RH out of range; ",""))</f>
        <v/>
      </c>
      <c r="BN78" s="26">
        <f>IF(BN1="","",IF(AND(ISNUMBER(BN8),OR(BN8&lt;0,BN8&gt;300)),"rain out of range; ","")&amp;IF(AND(ISNUMBER(BN9),OR(BN9&lt;0,BN9&gt;45)),"temp out of range; ","")&amp;IF(AND(ISNUMBER(BN10),OR(BN10&lt;0,BN10&gt;100)),"RH out of range; ",""))</f>
        <v/>
      </c>
      <c r="BO78" s="26">
        <f>IF(BO1="","",IF(AND(ISNUMBER(BO8),OR(BO8&lt;0,BO8&gt;300)),"rain out of range; ","")&amp;IF(AND(ISNUMBER(BO9),OR(BO9&lt;0,BO9&gt;45)),"temp out of range; ","")&amp;IF(AND(ISNUMBER(BO10),OR(BO10&lt;0,BO10&gt;100)),"RH out of range; ",""))</f>
        <v/>
      </c>
      <c r="BP78" s="26">
        <f>IF(BP1="","",IF(AND(ISNUMBER(BP8),OR(BP8&lt;0,BP8&gt;300)),"rain out of range; ","")&amp;IF(AND(ISNUMBER(BP9),OR(BP9&lt;0,BP9&gt;45)),"temp out of range; ","")&amp;IF(AND(ISNUMBER(BP10),OR(BP10&lt;0,BP10&gt;100)),"RH out of range; ",""))</f>
        <v/>
      </c>
      <c r="BQ78" s="26">
        <f>IF(BQ1="","",IF(AND(ISNUMBER(BQ8),OR(BQ8&lt;0,BQ8&gt;300)),"rain out of range; ","")&amp;IF(AND(ISNUMBER(BQ9),OR(BQ9&lt;0,BQ9&gt;45)),"temp out of range; ","")&amp;IF(AND(ISNUMBER(BQ10),OR(BQ10&lt;0,BQ10&gt;100)),"RH out of range; ",""))</f>
        <v/>
      </c>
      <c r="BR78" s="26">
        <f>IF(BR1="","",IF(AND(ISNUMBER(BR8),OR(BR8&lt;0,BR8&gt;300)),"rain out of range; ","")&amp;IF(AND(ISNUMBER(BR9),OR(BR9&lt;0,BR9&gt;45)),"temp out of range; ","")&amp;IF(AND(ISNUMBER(BR10),OR(BR10&lt;0,BR10&gt;100)),"RH out of range; ",""))</f>
        <v/>
      </c>
      <c r="BS78" s="26">
        <f>IF(BS1="","",IF(AND(ISNUMBER(BS8),OR(BS8&lt;0,BS8&gt;300)),"rain out of range; ","")&amp;IF(AND(ISNUMBER(BS9),OR(BS9&lt;0,BS9&gt;45)),"temp out of range; ","")&amp;IF(AND(ISNUMBER(BS10),OR(BS10&lt;0,BS10&gt;100)),"RH out of range; ",""))</f>
        <v/>
      </c>
      <c r="BT78" s="26">
        <f>IF(BT1="","",IF(AND(ISNUMBER(BT8),OR(BT8&lt;0,BT8&gt;300)),"rain out of range; ","")&amp;IF(AND(ISNUMBER(BT9),OR(BT9&lt;0,BT9&gt;45)),"temp out of range; ","")&amp;IF(AND(ISNUMBER(BT10),OR(BT10&lt;0,BT10&gt;100)),"RH out of range; ",""))</f>
        <v/>
      </c>
      <c r="BU78" s="26">
        <f>IF(BU1="","",IF(AND(ISNUMBER(BU8),OR(BU8&lt;0,BU8&gt;300)),"rain out of range; ","")&amp;IF(AND(ISNUMBER(BU9),OR(BU9&lt;0,BU9&gt;45)),"temp out of range; ","")&amp;IF(AND(ISNUMBER(BU10),OR(BU10&lt;0,BU10&gt;100)),"RH out of range; ",""))</f>
        <v/>
      </c>
      <c r="BV78" s="26">
        <f>IF(BV1="","",IF(AND(ISNUMBER(BV8),OR(BV8&lt;0,BV8&gt;300)),"rain out of range; ","")&amp;IF(AND(ISNUMBER(BV9),OR(BV9&lt;0,BV9&gt;45)),"temp out of range; ","")&amp;IF(AND(ISNUMBER(BV10),OR(BV10&lt;0,BV10&gt;100)),"RH out of range; ",""))</f>
        <v/>
      </c>
      <c r="BW78" s="26">
        <f>IF(BW1="","",IF(AND(ISNUMBER(BW8),OR(BW8&lt;0,BW8&gt;300)),"rain out of range; ","")&amp;IF(AND(ISNUMBER(BW9),OR(BW9&lt;0,BW9&gt;45)),"temp out of range; ","")&amp;IF(AND(ISNUMBER(BW10),OR(BW10&lt;0,BW10&gt;100)),"RH out of range; ",""))</f>
        <v/>
      </c>
      <c r="BX78" s="26">
        <f>IF(BX1="","",IF(AND(ISNUMBER(BX8),OR(BX8&lt;0,BX8&gt;300)),"rain out of range; ","")&amp;IF(AND(ISNUMBER(BX9),OR(BX9&lt;0,BX9&gt;45)),"temp out of range; ","")&amp;IF(AND(ISNUMBER(BX10),OR(BX10&lt;0,BX10&gt;100)),"RH out of range; ",""))</f>
        <v/>
      </c>
      <c r="BY78" s="26">
        <f>IF(BY1="","",IF(AND(ISNUMBER(BY8),OR(BY8&lt;0,BY8&gt;300)),"rain out of range; ","")&amp;IF(AND(ISNUMBER(BY9),OR(BY9&lt;0,BY9&gt;45)),"temp out of range; ","")&amp;IF(AND(ISNUMBER(BY10),OR(BY10&lt;0,BY10&gt;100)),"RH out of range; ",""))</f>
        <v/>
      </c>
      <c r="BZ78" s="26">
        <f>IF(BZ1="","",IF(AND(ISNUMBER(BZ8),OR(BZ8&lt;0,BZ8&gt;300)),"rain out of range; ","")&amp;IF(AND(ISNUMBER(BZ9),OR(BZ9&lt;0,BZ9&gt;45)),"temp out of range; ","")&amp;IF(AND(ISNUMBER(BZ10),OR(BZ10&lt;0,BZ10&gt;100)),"RH out of range; ",""))</f>
        <v/>
      </c>
      <c r="CA78" s="26">
        <f>IF(CA1="","",IF(AND(ISNUMBER(CA8),OR(CA8&lt;0,CA8&gt;300)),"rain out of range; ","")&amp;IF(AND(ISNUMBER(CA9),OR(CA9&lt;0,CA9&gt;45)),"temp out of range; ","")&amp;IF(AND(ISNUMBER(CA10),OR(CA10&lt;0,CA10&gt;100)),"RH out of range; ",""))</f>
        <v/>
      </c>
      <c r="CB78" s="26">
        <f>IF(CB1="","",IF(AND(ISNUMBER(CB8),OR(CB8&lt;0,CB8&gt;300)),"rain out of range; ","")&amp;IF(AND(ISNUMBER(CB9),OR(CB9&lt;0,CB9&gt;45)),"temp out of range; ","")&amp;IF(AND(ISNUMBER(CB10),OR(CB10&lt;0,CB10&gt;100)),"RH out of range; ",""))</f>
        <v/>
      </c>
      <c r="CC78" s="26">
        <f>IF(CC1="","",IF(AND(ISNUMBER(CC8),OR(CC8&lt;0,CC8&gt;300)),"rain out of range; ","")&amp;IF(AND(ISNUMBER(CC9),OR(CC9&lt;0,CC9&gt;45)),"temp out of range; ","")&amp;IF(AND(ISNUMBER(CC10),OR(CC10&lt;0,CC10&gt;100)),"RH out of range; ",""))</f>
        <v/>
      </c>
      <c r="CD78" s="26">
        <f>IF(CD1="","",IF(AND(ISNUMBER(CD8),OR(CD8&lt;0,CD8&gt;300)),"rain out of range; ","")&amp;IF(AND(ISNUMBER(CD9),OR(CD9&lt;0,CD9&gt;45)),"temp out of range; ","")&amp;IF(AND(ISNUMBER(CD10),OR(CD10&lt;0,CD10&gt;100)),"RH out of range; ",""))</f>
        <v/>
      </c>
      <c r="CE78" s="26">
        <f>IF(CE1="","",IF(AND(ISNUMBER(CE8),OR(CE8&lt;0,CE8&gt;300)),"rain out of range; ","")&amp;IF(AND(ISNUMBER(CE9),OR(CE9&lt;0,CE9&gt;45)),"temp out of range; ","")&amp;IF(AND(ISNUMBER(CE10),OR(CE10&lt;0,CE10&gt;100)),"RH out of range; ",""))</f>
        <v/>
      </c>
      <c r="CF78" s="26">
        <f>IF(CF1="","",IF(AND(ISNUMBER(CF8),OR(CF8&lt;0,CF8&gt;300)),"rain out of range; ","")&amp;IF(AND(ISNUMBER(CF9),OR(CF9&lt;0,CF9&gt;45)),"temp out of range; ","")&amp;IF(AND(ISNUMBER(CF10),OR(CF10&lt;0,CF10&gt;100)),"RH out of range; ",""))</f>
        <v/>
      </c>
      <c r="CG78" s="26">
        <f>IF(CG1="","",IF(AND(ISNUMBER(CG8),OR(CG8&lt;0,CG8&gt;300)),"rain out of range; ","")&amp;IF(AND(ISNUMBER(CG9),OR(CG9&lt;0,CG9&gt;45)),"temp out of range; ","")&amp;IF(AND(ISNUMBER(CG10),OR(CG10&lt;0,CG10&gt;100)),"RH out of range; ",""))</f>
        <v/>
      </c>
      <c r="CH78" s="26">
        <f>IF(CH1="","",IF(AND(ISNUMBER(CH8),OR(CH8&lt;0,CH8&gt;300)),"rain out of range; ","")&amp;IF(AND(ISNUMBER(CH9),OR(CH9&lt;0,CH9&gt;45)),"temp out of range; ","")&amp;IF(AND(ISNUMBER(CH10),OR(CH10&lt;0,CH10&gt;100)),"RH out of range; ",""))</f>
        <v/>
      </c>
      <c r="CI78" s="26">
        <f>IF(CI1="","",IF(AND(ISNUMBER(CI8),OR(CI8&lt;0,CI8&gt;300)),"rain out of range; ","")&amp;IF(AND(ISNUMBER(CI9),OR(CI9&lt;0,CI9&gt;45)),"temp out of range; ","")&amp;IF(AND(ISNUMBER(CI10),OR(CI10&lt;0,CI10&gt;100)),"RH out of range; ",""))</f>
        <v/>
      </c>
      <c r="CJ78" s="26">
        <f>IF(CJ1="","",IF(AND(ISNUMBER(CJ8),OR(CJ8&lt;0,CJ8&gt;300)),"rain out of range; ","")&amp;IF(AND(ISNUMBER(CJ9),OR(CJ9&lt;0,CJ9&gt;45)),"temp out of range; ","")&amp;IF(AND(ISNUMBER(CJ10),OR(CJ10&lt;0,CJ10&gt;100)),"RH out of range; ",""))</f>
        <v/>
      </c>
      <c r="CK78" s="26">
        <f>IF(CK1="","",IF(AND(ISNUMBER(CK8),OR(CK8&lt;0,CK8&gt;300)),"rain out of range; ","")&amp;IF(AND(ISNUMBER(CK9),OR(CK9&lt;0,CK9&gt;45)),"temp out of range; ","")&amp;IF(AND(ISNUMBER(CK10),OR(CK10&lt;0,CK10&gt;100)),"RH out of range; ",""))</f>
        <v/>
      </c>
      <c r="CL78" s="26">
        <f>IF(CL1="","",IF(AND(ISNUMBER(CL8),OR(CL8&lt;0,CL8&gt;300)),"rain out of range; ","")&amp;IF(AND(ISNUMBER(CL9),OR(CL9&lt;0,CL9&gt;45)),"temp out of range; ","")&amp;IF(AND(ISNUMBER(CL10),OR(CL10&lt;0,CL10&gt;100)),"RH out of range; ",""))</f>
        <v/>
      </c>
      <c r="CM78" s="26">
        <f>IF(CM1="","",IF(AND(ISNUMBER(CM8),OR(CM8&lt;0,CM8&gt;300)),"rain out of range; ","")&amp;IF(AND(ISNUMBER(CM9),OR(CM9&lt;0,CM9&gt;45)),"temp out of range; ","")&amp;IF(AND(ISNUMBER(CM10),OR(CM10&lt;0,CM10&gt;100)),"RH out of range; ",""))</f>
        <v/>
      </c>
      <c r="CN78" s="26">
        <f>IF(CN1="","",IF(AND(ISNUMBER(CN8),OR(CN8&lt;0,CN8&gt;300)),"rain out of range; ","")&amp;IF(AND(ISNUMBER(CN9),OR(CN9&lt;0,CN9&gt;45)),"temp out of range; ","")&amp;IF(AND(ISNUMBER(CN10),OR(CN10&lt;0,CN10&gt;100)),"RH out of range; ",""))</f>
        <v/>
      </c>
      <c r="CO78" s="26">
        <f>IF(CO1="","",IF(AND(ISNUMBER(CO8),OR(CO8&lt;0,CO8&gt;300)),"rain out of range; ","")&amp;IF(AND(ISNUMBER(CO9),OR(CO9&lt;0,CO9&gt;45)),"temp out of range; ","")&amp;IF(AND(ISNUMBER(CO10),OR(CO10&lt;0,CO10&gt;100)),"RH out of range; ",""))</f>
        <v/>
      </c>
      <c r="CP78" s="26">
        <f>IF(CP1="","",IF(AND(ISNUMBER(CP8),OR(CP8&lt;0,CP8&gt;300)),"rain out of range; ","")&amp;IF(AND(ISNUMBER(CP9),OR(CP9&lt;0,CP9&gt;45)),"temp out of range; ","")&amp;IF(AND(ISNUMBER(CP10),OR(CP10&lt;0,CP10&gt;100)),"RH out of range; ",""))</f>
        <v/>
      </c>
      <c r="CQ78" s="26">
        <f>IF(CQ1="","",IF(AND(ISNUMBER(CQ8),OR(CQ8&lt;0,CQ8&gt;300)),"rain out of range; ","")&amp;IF(AND(ISNUMBER(CQ9),OR(CQ9&lt;0,CQ9&gt;45)),"temp out of range; ","")&amp;IF(AND(ISNUMBER(CQ10),OR(CQ10&lt;0,CQ10&gt;100)),"RH out of range; ",""))</f>
        <v/>
      </c>
      <c r="CR78" s="26">
        <f>IF(CR1="","",IF(AND(ISNUMBER(CR8),OR(CR8&lt;0,CR8&gt;300)),"rain out of range; ","")&amp;IF(AND(ISNUMBER(CR9),OR(CR9&lt;0,CR9&gt;45)),"temp out of range; ","")&amp;IF(AND(ISNUMBER(CR10),OR(CR10&lt;0,CR10&gt;100)),"RH out of range; ",""))</f>
        <v/>
      </c>
      <c r="CS78" s="26">
        <f>IF(CS1="","",IF(AND(ISNUMBER(CS8),OR(CS8&lt;0,CS8&gt;300)),"rain out of range; ","")&amp;IF(AND(ISNUMBER(CS9),OR(CS9&lt;0,CS9&gt;45)),"temp out of range; ","")&amp;IF(AND(ISNUMBER(CS10),OR(CS10&lt;0,CS10&gt;100)),"RH out of range; ",""))</f>
        <v/>
      </c>
      <c r="CT78" s="26">
        <f>IF(CT1="","",IF(AND(ISNUMBER(CT8),OR(CT8&lt;0,CT8&gt;300)),"rain out of range; ","")&amp;IF(AND(ISNUMBER(CT9),OR(CT9&lt;0,CT9&gt;45)),"temp out of range; ","")&amp;IF(AND(ISNUMBER(CT10),OR(CT10&lt;0,CT10&gt;100)),"RH out of range; ",""))</f>
        <v/>
      </c>
      <c r="CU78" s="26">
        <f>IF(CU1="","",IF(AND(ISNUMBER(CU8),OR(CU8&lt;0,CU8&gt;300)),"rain out of range; ","")&amp;IF(AND(ISNUMBER(CU9),OR(CU9&lt;0,CU9&gt;45)),"temp out of range; ","")&amp;IF(AND(ISNUMBER(CU10),OR(CU10&lt;0,CU10&gt;100)),"RH out of range; ",""))</f>
        <v/>
      </c>
      <c r="CV78" s="26">
        <f>IF(CV1="","",IF(AND(ISNUMBER(CV8),OR(CV8&lt;0,CV8&gt;300)),"rain out of range; ","")&amp;IF(AND(ISNUMBER(CV9),OR(CV9&lt;0,CV9&gt;45)),"temp out of range; ","")&amp;IF(AND(ISNUMBER(CV10),OR(CV10&lt;0,CV10&gt;100)),"RH out of range; ",""))</f>
        <v/>
      </c>
      <c r="CW78" s="26">
        <f>IF(CW1="","",IF(AND(ISNUMBER(CW8),OR(CW8&lt;0,CW8&gt;300)),"rain out of range; ","")&amp;IF(AND(ISNUMBER(CW9),OR(CW9&lt;0,CW9&gt;45)),"temp out of range; ","")&amp;IF(AND(ISNUMBER(CW10),OR(CW10&lt;0,CW10&gt;100)),"RH out of range; ",""))</f>
        <v/>
      </c>
      <c r="CX78" s="26">
        <f>IF(CX1="","",IF(AND(ISNUMBER(CX8),OR(CX8&lt;0,CX8&gt;300)),"rain out of range; ","")&amp;IF(AND(ISNUMBER(CX9),OR(CX9&lt;0,CX9&gt;45)),"temp out of range; ","")&amp;IF(AND(ISNUMBER(CX10),OR(CX10&lt;0,CX10&gt;100)),"RH out of range; ",""))</f>
        <v/>
      </c>
      <c r="CY78" s="26">
        <f>IF(CY1="","",IF(AND(ISNUMBER(CY8),OR(CY8&lt;0,CY8&gt;300)),"rain out of range; ","")&amp;IF(AND(ISNUMBER(CY9),OR(CY9&lt;0,CY9&gt;45)),"temp out of range; ","")&amp;IF(AND(ISNUMBER(CY10),OR(CY10&lt;0,CY10&gt;100)),"RH out of range; ",""))</f>
        <v/>
      </c>
      <c r="CZ78" s="26">
        <f>IF(CZ1="","",IF(AND(ISNUMBER(CZ8),OR(CZ8&lt;0,CZ8&gt;300)),"rain out of range; ","")&amp;IF(AND(ISNUMBER(CZ9),OR(CZ9&lt;0,CZ9&gt;45)),"temp out of range; ","")&amp;IF(AND(ISNUMBER(CZ10),OR(CZ10&lt;0,CZ10&gt;100)),"RH out of range; ",""))</f>
        <v/>
      </c>
      <c r="DA78" s="26">
        <f>IF(DA1="","",IF(AND(ISNUMBER(DA8),OR(DA8&lt;0,DA8&gt;300)),"rain out of range; ","")&amp;IF(AND(ISNUMBER(DA9),OR(DA9&lt;0,DA9&gt;45)),"temp out of range; ","")&amp;IF(AND(ISNUMBER(DA10),OR(DA10&lt;0,DA10&gt;100)),"RH out of range; ",""))</f>
        <v/>
      </c>
      <c r="DB78" s="26">
        <f>IF(DB1="","",IF(AND(ISNUMBER(DB8),OR(DB8&lt;0,DB8&gt;300)),"rain out of range; ","")&amp;IF(AND(ISNUMBER(DB9),OR(DB9&lt;0,DB9&gt;45)),"temp out of range; ","")&amp;IF(AND(ISNUMBER(DB10),OR(DB10&lt;0,DB10&gt;100)),"RH out of range; ",""))</f>
        <v/>
      </c>
      <c r="DC78" s="26">
        <f>IF(DC1="","",IF(AND(ISNUMBER(DC8),OR(DC8&lt;0,DC8&gt;300)),"rain out of range; ","")&amp;IF(AND(ISNUMBER(DC9),OR(DC9&lt;0,DC9&gt;45)),"temp out of range; ","")&amp;IF(AND(ISNUMBER(DC10),OR(DC10&lt;0,DC10&gt;100)),"RH out of range; ",""))</f>
        <v/>
      </c>
      <c r="DD78" s="26">
        <f>IF(DD1="","",IF(AND(ISNUMBER(DD8),OR(DD8&lt;0,DD8&gt;300)),"rain out of range; ","")&amp;IF(AND(ISNUMBER(DD9),OR(DD9&lt;0,DD9&gt;45)),"temp out of range; ","")&amp;IF(AND(ISNUMBER(DD10),OR(DD10&lt;0,DD10&gt;100)),"RH out of range; ",""))</f>
        <v/>
      </c>
      <c r="DE78" s="26">
        <f>IF(DE1="","",IF(AND(ISNUMBER(DE8),OR(DE8&lt;0,DE8&gt;300)),"rain out of range; ","")&amp;IF(AND(ISNUMBER(DE9),OR(DE9&lt;0,DE9&gt;45)),"temp out of range; ","")&amp;IF(AND(ISNUMBER(DE10),OR(DE10&lt;0,DE10&gt;100)),"RH out of range; ",""))</f>
        <v/>
      </c>
      <c r="DF78" s="26">
        <f>IF(DF1="","",IF(AND(ISNUMBER(DF8),OR(DF8&lt;0,DF8&gt;300)),"rain out of range; ","")&amp;IF(AND(ISNUMBER(DF9),OR(DF9&lt;0,DF9&gt;45)),"temp out of range; ","")&amp;IF(AND(ISNUMBER(DF10),OR(DF10&lt;0,DF10&gt;100)),"RH out of range; ",""))</f>
        <v/>
      </c>
      <c r="DG78" s="26">
        <f>IF(DG1="","",IF(AND(ISNUMBER(DG8),OR(DG8&lt;0,DG8&gt;300)),"rain out of range; ","")&amp;IF(AND(ISNUMBER(DG9),OR(DG9&lt;0,DG9&gt;45)),"temp out of range; ","")&amp;IF(AND(ISNUMBER(DG10),OR(DG10&lt;0,DG10&gt;100)),"RH out of range; ",""))</f>
        <v/>
      </c>
      <c r="DH78" s="26">
        <f>IF(DH1="","",IF(AND(ISNUMBER(DH8),OR(DH8&lt;0,DH8&gt;300)),"rain out of range; ","")&amp;IF(AND(ISNUMBER(DH9),OR(DH9&lt;0,DH9&gt;45)),"temp out of range; ","")&amp;IF(AND(ISNUMBER(DH10),OR(DH10&lt;0,DH10&gt;100)),"RH out of range; ",""))</f>
        <v/>
      </c>
      <c r="DI78" s="26">
        <f>IF(DI1="","",IF(AND(ISNUMBER(DI8),OR(DI8&lt;0,DI8&gt;300)),"rain out of range; ","")&amp;IF(AND(ISNUMBER(DI9),OR(DI9&lt;0,DI9&gt;45)),"temp out of range; ","")&amp;IF(AND(ISNUMBER(DI10),OR(DI10&lt;0,DI10&gt;100)),"RH out of range; ",""))</f>
        <v/>
      </c>
      <c r="DJ78" s="26">
        <f>IF(DJ1="","",IF(AND(ISNUMBER(DJ8),OR(DJ8&lt;0,DJ8&gt;300)),"rain out of range; ","")&amp;IF(AND(ISNUMBER(DJ9),OR(DJ9&lt;0,DJ9&gt;45)),"temp out of range; ","")&amp;IF(AND(ISNUMBER(DJ10),OR(DJ10&lt;0,DJ10&gt;100)),"RH out of range; ",""))</f>
        <v/>
      </c>
      <c r="DK78" s="26">
        <f>IF(DK1="","",IF(AND(ISNUMBER(DK8),OR(DK8&lt;0,DK8&gt;300)),"rain out of range; ","")&amp;IF(AND(ISNUMBER(DK9),OR(DK9&lt;0,DK9&gt;45)),"temp out of range; ","")&amp;IF(AND(ISNUMBER(DK10),OR(DK10&lt;0,DK10&gt;100)),"RH out of range; ",""))</f>
        <v/>
      </c>
      <c r="DL78" s="26">
        <f>IF(DL1="","",IF(AND(ISNUMBER(DL8),OR(DL8&lt;0,DL8&gt;300)),"rain out of range; ","")&amp;IF(AND(ISNUMBER(DL9),OR(DL9&lt;0,DL9&gt;45)),"temp out of range; ","")&amp;IF(AND(ISNUMBER(DL10),OR(DL10&lt;0,DL10&gt;100)),"RH out of range; ",""))</f>
        <v/>
      </c>
      <c r="DM78" s="26">
        <f>IF(DM1="","",IF(AND(ISNUMBER(DM8),OR(DM8&lt;0,DM8&gt;300)),"rain out of range; ","")&amp;IF(AND(ISNUMBER(DM9),OR(DM9&lt;0,DM9&gt;45)),"temp out of range; ","")&amp;IF(AND(ISNUMBER(DM10),OR(DM10&lt;0,DM10&gt;100)),"RH out of range; ",""))</f>
        <v/>
      </c>
      <c r="DN78" s="26">
        <f>IF(DN1="","",IF(AND(ISNUMBER(DN8),OR(DN8&lt;0,DN8&gt;300)),"rain out of range; ","")&amp;IF(AND(ISNUMBER(DN9),OR(DN9&lt;0,DN9&gt;45)),"temp out of range; ","")&amp;IF(AND(ISNUMBER(DN10),OR(DN10&lt;0,DN10&gt;100)),"RH out of range; ",""))</f>
        <v/>
      </c>
      <c r="DO78" s="26">
        <f>IF(DO1="","",IF(AND(ISNUMBER(DO8),OR(DO8&lt;0,DO8&gt;300)),"rain out of range; ","")&amp;IF(AND(ISNUMBER(DO9),OR(DO9&lt;0,DO9&gt;45)),"temp out of range; ","")&amp;IF(AND(ISNUMBER(DO10),OR(DO10&lt;0,DO10&gt;100)),"RH out of range; ",""))</f>
        <v/>
      </c>
      <c r="DP78" s="26">
        <f>IF(DP1="","",IF(AND(ISNUMBER(DP8),OR(DP8&lt;0,DP8&gt;300)),"rain out of range; ","")&amp;IF(AND(ISNUMBER(DP9),OR(DP9&lt;0,DP9&gt;45)),"temp out of range; ","")&amp;IF(AND(ISNUMBER(DP10),OR(DP10&lt;0,DP10&gt;100)),"RH out of range; ",""))</f>
        <v/>
      </c>
      <c r="DQ78" s="26">
        <f>IF(DQ1="","",IF(AND(ISNUMBER(DQ8),OR(DQ8&lt;0,DQ8&gt;300)),"rain out of range; ","")&amp;IF(AND(ISNUMBER(DQ9),OR(DQ9&lt;0,DQ9&gt;45)),"temp out of range; ","")&amp;IF(AND(ISNUMBER(DQ10),OR(DQ10&lt;0,DQ10&gt;100)),"RH out of range; ",""))</f>
        <v/>
      </c>
      <c r="DR78" s="26">
        <f>IF(DR1="","",IF(AND(ISNUMBER(DR8),OR(DR8&lt;0,DR8&gt;300)),"rain out of range; ","")&amp;IF(AND(ISNUMBER(DR9),OR(DR9&lt;0,DR9&gt;45)),"temp out of range; ","")&amp;IF(AND(ISNUMBER(DR10),OR(DR10&lt;0,DR10&gt;100)),"RH out of range; ",""))</f>
        <v/>
      </c>
      <c r="DS78" s="26">
        <f>IF(DS1="","",IF(AND(ISNUMBER(DS8),OR(DS8&lt;0,DS8&gt;300)),"rain out of range; ","")&amp;IF(AND(ISNUMBER(DS9),OR(DS9&lt;0,DS9&gt;45)),"temp out of range; ","")&amp;IF(AND(ISNUMBER(DS10),OR(DS10&lt;0,DS10&gt;100)),"RH out of range; ",""))</f>
        <v/>
      </c>
      <c r="DT78" s="26">
        <f>IF(DT1="","",IF(AND(ISNUMBER(DT8),OR(DT8&lt;0,DT8&gt;300)),"rain out of range; ","")&amp;IF(AND(ISNUMBER(DT9),OR(DT9&lt;0,DT9&gt;45)),"temp out of range; ","")&amp;IF(AND(ISNUMBER(DT10),OR(DT10&lt;0,DT10&gt;100)),"RH out of range; ",""))</f>
        <v/>
      </c>
      <c r="DU78" s="26">
        <f>IF(DU1="","",IF(AND(ISNUMBER(DU8),OR(DU8&lt;0,DU8&gt;300)),"rain out of range; ","")&amp;IF(AND(ISNUMBER(DU9),OR(DU9&lt;0,DU9&gt;45)),"temp out of range; ","")&amp;IF(AND(ISNUMBER(DU10),OR(DU10&lt;0,DU10&gt;100)),"RH out of range; ",""))</f>
        <v/>
      </c>
      <c r="DV78" s="26">
        <f>IF(DV1="","",IF(AND(ISNUMBER(DV8),OR(DV8&lt;0,DV8&gt;300)),"rain out of range; ","")&amp;IF(AND(ISNUMBER(DV9),OR(DV9&lt;0,DV9&gt;45)),"temp out of range; ","")&amp;IF(AND(ISNUMBER(DV10),OR(DV10&lt;0,DV10&gt;100)),"RH out of range; ",""))</f>
        <v/>
      </c>
      <c r="DW78" s="26">
        <f>IF(DW1="","",IF(AND(ISNUMBER(DW8),OR(DW8&lt;0,DW8&gt;300)),"rain out of range; ","")&amp;IF(AND(ISNUMBER(DW9),OR(DW9&lt;0,DW9&gt;45)),"temp out of range; ","")&amp;IF(AND(ISNUMBER(DW10),OR(DW10&lt;0,DW10&gt;100)),"RH out of range; ",""))</f>
        <v/>
      </c>
      <c r="DX78" s="26">
        <f>IF(DX1="","",IF(AND(ISNUMBER(DX8),OR(DX8&lt;0,DX8&gt;300)),"rain out of range; ","")&amp;IF(AND(ISNUMBER(DX9),OR(DX9&lt;0,DX9&gt;45)),"temp out of range; ","")&amp;IF(AND(ISNUMBER(DX10),OR(DX10&lt;0,DX10&gt;100)),"RH out of range; ",""))</f>
        <v/>
      </c>
      <c r="DY78" s="26">
        <f>IF(DY1="","",IF(AND(ISNUMBER(DY8),OR(DY8&lt;0,DY8&gt;300)),"rain out of range; ","")&amp;IF(AND(ISNUMBER(DY9),OR(DY9&lt;0,DY9&gt;45)),"temp out of range; ","")&amp;IF(AND(ISNUMBER(DY10),OR(DY10&lt;0,DY10&gt;100)),"RH out of range; ",""))</f>
        <v/>
      </c>
      <c r="DZ78" s="26">
        <f>IF(DZ1="","",IF(AND(ISNUMBER(DZ8),OR(DZ8&lt;0,DZ8&gt;300)),"rain out of range; ","")&amp;IF(AND(ISNUMBER(DZ9),OR(DZ9&lt;0,DZ9&gt;45)),"temp out of range; ","")&amp;IF(AND(ISNUMBER(DZ10),OR(DZ10&lt;0,DZ10&gt;100)),"RH out of range; ",""))</f>
        <v/>
      </c>
      <c r="EA78" s="26">
        <f>IF(EA1="","",IF(AND(ISNUMBER(EA8),OR(EA8&lt;0,EA8&gt;300)),"rain out of range; ","")&amp;IF(AND(ISNUMBER(EA9),OR(EA9&lt;0,EA9&gt;45)),"temp out of range; ","")&amp;IF(AND(ISNUMBER(EA10),OR(EA10&lt;0,EA10&gt;100)),"RH out of range; ",""))</f>
        <v/>
      </c>
      <c r="EB78" s="26">
        <f>IF(EB1="","",IF(AND(ISNUMBER(EB8),OR(EB8&lt;0,EB8&gt;300)),"rain out of range; ","")&amp;IF(AND(ISNUMBER(EB9),OR(EB9&lt;0,EB9&gt;45)),"temp out of range; ","")&amp;IF(AND(ISNUMBER(EB10),OR(EB10&lt;0,EB10&gt;100)),"RH out of range; ",""))</f>
        <v/>
      </c>
      <c r="EC78" s="26">
        <f>IF(EC1="","",IF(AND(ISNUMBER(EC8),OR(EC8&lt;0,EC8&gt;300)),"rain out of range; ","")&amp;IF(AND(ISNUMBER(EC9),OR(EC9&lt;0,EC9&gt;45)),"temp out of range; ","")&amp;IF(AND(ISNUMBER(EC10),OR(EC10&lt;0,EC10&gt;100)),"RH out of range; ",""))</f>
        <v/>
      </c>
      <c r="ED78" s="26">
        <f>IF(ED1="","",IF(AND(ISNUMBER(ED8),OR(ED8&lt;0,ED8&gt;300)),"rain out of range; ","")&amp;IF(AND(ISNUMBER(ED9),OR(ED9&lt;0,ED9&gt;45)),"temp out of range; ","")&amp;IF(AND(ISNUMBER(ED10),OR(ED10&lt;0,ED10&gt;100)),"RH out of range; ",""))</f>
        <v/>
      </c>
      <c r="EE78" s="26">
        <f>IF(EE1="","",IF(AND(ISNUMBER(EE8),OR(EE8&lt;0,EE8&gt;300)),"rain out of range; ","")&amp;IF(AND(ISNUMBER(EE9),OR(EE9&lt;0,EE9&gt;45)),"temp out of range; ","")&amp;IF(AND(ISNUMBER(EE10),OR(EE10&lt;0,EE10&gt;100)),"RH out of range; ",""))</f>
        <v/>
      </c>
      <c r="EF78" s="26">
        <f>IF(EF1="","",IF(AND(ISNUMBER(EF8),OR(EF8&lt;0,EF8&gt;300)),"rain out of range; ","")&amp;IF(AND(ISNUMBER(EF9),OR(EF9&lt;0,EF9&gt;45)),"temp out of range; ","")&amp;IF(AND(ISNUMBER(EF10),OR(EF10&lt;0,EF10&gt;100)),"RH out of range; ",""))</f>
        <v/>
      </c>
      <c r="EG78" s="26">
        <f>IF(EG1="","",IF(AND(ISNUMBER(EG8),OR(EG8&lt;0,EG8&gt;300)),"rain out of range; ","")&amp;IF(AND(ISNUMBER(EG9),OR(EG9&lt;0,EG9&gt;45)),"temp out of range; ","")&amp;IF(AND(ISNUMBER(EG10),OR(EG10&lt;0,EG10&gt;100)),"RH out of range; ",""))</f>
        <v/>
      </c>
      <c r="EH78" s="26">
        <f>IF(EH1="","",IF(AND(ISNUMBER(EH8),OR(EH8&lt;0,EH8&gt;300)),"rain out of range; ","")&amp;IF(AND(ISNUMBER(EH9),OR(EH9&lt;0,EH9&gt;45)),"temp out of range; ","")&amp;IF(AND(ISNUMBER(EH10),OR(EH10&lt;0,EH10&gt;100)),"RH out of range; ",""))</f>
        <v/>
      </c>
      <c r="EI78" s="26">
        <f>IF(EI1="","",IF(AND(ISNUMBER(EI8),OR(EI8&lt;0,EI8&gt;300)),"rain out of range; ","")&amp;IF(AND(ISNUMBER(EI9),OR(EI9&lt;0,EI9&gt;45)),"temp out of range; ","")&amp;IF(AND(ISNUMBER(EI10),OR(EI10&lt;0,EI10&gt;100)),"RH out of range; ",""))</f>
        <v/>
      </c>
      <c r="EJ78" s="26">
        <f>IF(EJ1="","",IF(AND(ISNUMBER(EJ8),OR(EJ8&lt;0,EJ8&gt;300)),"rain out of range; ","")&amp;IF(AND(ISNUMBER(EJ9),OR(EJ9&lt;0,EJ9&gt;45)),"temp out of range; ","")&amp;IF(AND(ISNUMBER(EJ10),OR(EJ10&lt;0,EJ10&gt;100)),"RH out of range; ",""))</f>
        <v/>
      </c>
      <c r="EK78" s="26">
        <f>IF(EK1="","",IF(AND(ISNUMBER(EK8),OR(EK8&lt;0,EK8&gt;300)),"rain out of range; ","")&amp;IF(AND(ISNUMBER(EK9),OR(EK9&lt;0,EK9&gt;45)),"temp out of range; ","")&amp;IF(AND(ISNUMBER(EK10),OR(EK10&lt;0,EK10&gt;100)),"RH out of range; ",""))</f>
        <v/>
      </c>
      <c r="EL78" s="26">
        <f>IF(EL1="","",IF(AND(ISNUMBER(EL8),OR(EL8&lt;0,EL8&gt;300)),"rain out of range; ","")&amp;IF(AND(ISNUMBER(EL9),OR(EL9&lt;0,EL9&gt;45)),"temp out of range; ","")&amp;IF(AND(ISNUMBER(EL10),OR(EL10&lt;0,EL10&gt;100)),"RH out of range; ",""))</f>
        <v/>
      </c>
      <c r="EM78" s="26">
        <f>IF(EM1="","",IF(AND(ISNUMBER(EM8),OR(EM8&lt;0,EM8&gt;300)),"rain out of range; ","")&amp;IF(AND(ISNUMBER(EM9),OR(EM9&lt;0,EM9&gt;45)),"temp out of range; ","")&amp;IF(AND(ISNUMBER(EM10),OR(EM10&lt;0,EM10&gt;100)),"RH out of range; ",""))</f>
        <v/>
      </c>
      <c r="EN78" s="26">
        <f>IF(EN1="","",IF(AND(ISNUMBER(EN8),OR(EN8&lt;0,EN8&gt;300)),"rain out of range; ","")&amp;IF(AND(ISNUMBER(EN9),OR(EN9&lt;0,EN9&gt;45)),"temp out of range; ","")&amp;IF(AND(ISNUMBER(EN10),OR(EN10&lt;0,EN10&gt;100)),"RH out of range; ",""))</f>
        <v/>
      </c>
      <c r="EO78" s="26">
        <f>IF(EO1="","",IF(AND(ISNUMBER(EO8),OR(EO8&lt;0,EO8&gt;300)),"rain out of range; ","")&amp;IF(AND(ISNUMBER(EO9),OR(EO9&lt;0,EO9&gt;45)),"temp out of range; ","")&amp;IF(AND(ISNUMBER(EO10),OR(EO10&lt;0,EO10&gt;100)),"RH out of range; ",""))</f>
        <v/>
      </c>
      <c r="EP78" s="26">
        <f>IF(EP1="","",IF(AND(ISNUMBER(EP8),OR(EP8&lt;0,EP8&gt;300)),"rain out of range; ","")&amp;IF(AND(ISNUMBER(EP9),OR(EP9&lt;0,EP9&gt;45)),"temp out of range; ","")&amp;IF(AND(ISNUMBER(EP10),OR(EP10&lt;0,EP10&gt;100)),"RH out of range; ",""))</f>
        <v/>
      </c>
      <c r="EQ78" s="26">
        <f>IF(EQ1="","",IF(AND(ISNUMBER(EQ8),OR(EQ8&lt;0,EQ8&gt;300)),"rain out of range; ","")&amp;IF(AND(ISNUMBER(EQ9),OR(EQ9&lt;0,EQ9&gt;45)),"temp out of range; ","")&amp;IF(AND(ISNUMBER(EQ10),OR(EQ10&lt;0,EQ10&gt;100)),"RH out of range; ",""))</f>
        <v/>
      </c>
      <c r="ER78" s="26">
        <f>IF(ER1="","",IF(AND(ISNUMBER(ER8),OR(ER8&lt;0,ER8&gt;300)),"rain out of range; ","")&amp;IF(AND(ISNUMBER(ER9),OR(ER9&lt;0,ER9&gt;45)),"temp out of range; ","")&amp;IF(AND(ISNUMBER(ER10),OR(ER10&lt;0,ER10&gt;100)),"RH out of range; ",""))</f>
        <v/>
      </c>
      <c r="ES78" s="26">
        <f>IF(ES1="","",IF(AND(ISNUMBER(ES8),OR(ES8&lt;0,ES8&gt;300)),"rain out of range; ","")&amp;IF(AND(ISNUMBER(ES9),OR(ES9&lt;0,ES9&gt;45)),"temp out of range; ","")&amp;IF(AND(ISNUMBER(ES10),OR(ES10&lt;0,ES10&gt;100)),"RH out of range; ",""))</f>
        <v/>
      </c>
      <c r="ET78" s="26">
        <f>IF(ET1="","",IF(AND(ISNUMBER(ET8),OR(ET8&lt;0,ET8&gt;300)),"rain out of range; ","")&amp;IF(AND(ISNUMBER(ET9),OR(ET9&lt;0,ET9&gt;45)),"temp out of range; ","")&amp;IF(AND(ISNUMBER(ET10),OR(ET10&lt;0,ET10&gt;100)),"RH out of range; ",""))</f>
        <v/>
      </c>
      <c r="EU78" s="26">
        <f>IF(EU1="","",IF(AND(ISNUMBER(EU8),OR(EU8&lt;0,EU8&gt;300)),"rain out of range; ","")&amp;IF(AND(ISNUMBER(EU9),OR(EU9&lt;0,EU9&gt;45)),"temp out of range; ","")&amp;IF(AND(ISNUMBER(EU10),OR(EU10&lt;0,EU10&gt;100)),"RH out of range; ",""))</f>
        <v/>
      </c>
      <c r="EV78" s="26">
        <f>IF(EV1="","",IF(AND(ISNUMBER(EV8),OR(EV8&lt;0,EV8&gt;300)),"rain out of range; ","")&amp;IF(AND(ISNUMBER(EV9),OR(EV9&lt;0,EV9&gt;45)),"temp out of range; ","")&amp;IF(AND(ISNUMBER(EV10),OR(EV10&lt;0,EV10&gt;100)),"RH out of range; ",""))</f>
        <v/>
      </c>
      <c r="EW78" s="26">
        <f>IF(EW1="","",IF(AND(ISNUMBER(EW8),OR(EW8&lt;0,EW8&gt;300)),"rain out of range; ","")&amp;IF(AND(ISNUMBER(EW9),OR(EW9&lt;0,EW9&gt;45)),"temp out of range; ","")&amp;IF(AND(ISNUMBER(EW10),OR(EW10&lt;0,EW10&gt;100)),"RH out of range; ",""))</f>
        <v/>
      </c>
      <c r="EX78" s="26">
        <f>IF(EX1="","",IF(AND(ISNUMBER(EX8),OR(EX8&lt;0,EX8&gt;300)),"rain out of range; ","")&amp;IF(AND(ISNUMBER(EX9),OR(EX9&lt;0,EX9&gt;45)),"temp out of range; ","")&amp;IF(AND(ISNUMBER(EX10),OR(EX10&lt;0,EX10&gt;100)),"RH out of range; ",""))</f>
        <v/>
      </c>
      <c r="EY78" s="26">
        <f>IF(EY1="","",IF(AND(ISNUMBER(EY8),OR(EY8&lt;0,EY8&gt;300)),"rain out of range; ","")&amp;IF(AND(ISNUMBER(EY9),OR(EY9&lt;0,EY9&gt;45)),"temp out of range; ","")&amp;IF(AND(ISNUMBER(EY10),OR(EY10&lt;0,EY10&gt;100)),"RH out of range; ",""))</f>
        <v/>
      </c>
      <c r="EZ78" s="26">
        <f>IF(EZ1="","",IF(AND(ISNUMBER(EZ8),OR(EZ8&lt;0,EZ8&gt;300)),"rain out of range; ","")&amp;IF(AND(ISNUMBER(EZ9),OR(EZ9&lt;0,EZ9&gt;45)),"temp out of range; ","")&amp;IF(AND(ISNUMBER(EZ10),OR(EZ10&lt;0,EZ10&gt;100)),"RH out of range; ",""))</f>
        <v/>
      </c>
      <c r="FA78" s="26">
        <f>IF(FA1="","",IF(AND(ISNUMBER(FA8),OR(FA8&lt;0,FA8&gt;300)),"rain out of range; ","")&amp;IF(AND(ISNUMBER(FA9),OR(FA9&lt;0,FA9&gt;45)),"temp out of range; ","")&amp;IF(AND(ISNUMBER(FA10),OR(FA10&lt;0,FA10&gt;100)),"RH out of range; ",""))</f>
        <v/>
      </c>
      <c r="FB78" s="26">
        <f>IF(FB1="","",IF(AND(ISNUMBER(FB8),OR(FB8&lt;0,FB8&gt;300)),"rain out of range; ","")&amp;IF(AND(ISNUMBER(FB9),OR(FB9&lt;0,FB9&gt;45)),"temp out of range; ","")&amp;IF(AND(ISNUMBER(FB10),OR(FB10&lt;0,FB10&gt;100)),"RH out of range; ",""))</f>
        <v/>
      </c>
      <c r="FC78" s="26">
        <f>IF(FC1="","",IF(AND(ISNUMBER(FC8),OR(FC8&lt;0,FC8&gt;300)),"rain out of range; ","")&amp;IF(AND(ISNUMBER(FC9),OR(FC9&lt;0,FC9&gt;45)),"temp out of range; ","")&amp;IF(AND(ISNUMBER(FC10),OR(FC10&lt;0,FC10&gt;100)),"RH out of range; ",""))</f>
        <v/>
      </c>
      <c r="FD78" s="26">
        <f>IF(FD1="","",IF(AND(ISNUMBER(FD8),OR(FD8&lt;0,FD8&gt;300)),"rain out of range; ","")&amp;IF(AND(ISNUMBER(FD9),OR(FD9&lt;0,FD9&gt;45)),"temp out of range; ","")&amp;IF(AND(ISNUMBER(FD10),OR(FD10&lt;0,FD10&gt;100)),"RH out of range; ",""))</f>
        <v/>
      </c>
      <c r="FE78" s="26">
        <f>IF(FE1="","",IF(AND(ISNUMBER(FE8),OR(FE8&lt;0,FE8&gt;300)),"rain out of range; ","")&amp;IF(AND(ISNUMBER(FE9),OR(FE9&lt;0,FE9&gt;45)),"temp out of range; ","")&amp;IF(AND(ISNUMBER(FE10),OR(FE10&lt;0,FE10&gt;100)),"RH out of range; ",""))</f>
        <v/>
      </c>
      <c r="FF78" s="26">
        <f>IF(FF1="","",IF(AND(ISNUMBER(FF8),OR(FF8&lt;0,FF8&gt;300)),"rain out of range; ","")&amp;IF(AND(ISNUMBER(FF9),OR(FF9&lt;0,FF9&gt;45)),"temp out of range; ","")&amp;IF(AND(ISNUMBER(FF10),OR(FF10&lt;0,FF10&gt;100)),"RH out of range; ",""))</f>
        <v/>
      </c>
      <c r="FG78" s="26">
        <f>IF(FG1="","",IF(AND(ISNUMBER(FG8),OR(FG8&lt;0,FG8&gt;300)),"rain out of range; ","")&amp;IF(AND(ISNUMBER(FG9),OR(FG9&lt;0,FG9&gt;45)),"temp out of range; ","")&amp;IF(AND(ISNUMBER(FG10),OR(FG10&lt;0,FG10&gt;100)),"RH out of range; ",""))</f>
        <v/>
      </c>
      <c r="FH78" s="26">
        <f>IF(FH1="","",IF(AND(ISNUMBER(FH8),OR(FH8&lt;0,FH8&gt;300)),"rain out of range; ","")&amp;IF(AND(ISNUMBER(FH9),OR(FH9&lt;0,FH9&gt;45)),"temp out of range; ","")&amp;IF(AND(ISNUMBER(FH10),OR(FH10&lt;0,FH10&gt;100)),"RH out of range; ",""))</f>
        <v/>
      </c>
      <c r="FI78" s="26">
        <f>IF(FI1="","",IF(AND(ISNUMBER(FI8),OR(FI8&lt;0,FI8&gt;300)),"rain out of range; ","")&amp;IF(AND(ISNUMBER(FI9),OR(FI9&lt;0,FI9&gt;45)),"temp out of range; ","")&amp;IF(AND(ISNUMBER(FI10),OR(FI10&lt;0,FI10&gt;100)),"RH out of range; ",""))</f>
        <v/>
      </c>
      <c r="FJ78" s="26">
        <f>IF(FJ1="","",IF(AND(ISNUMBER(FJ8),OR(FJ8&lt;0,FJ8&gt;300)),"rain out of range; ","")&amp;IF(AND(ISNUMBER(FJ9),OR(FJ9&lt;0,FJ9&gt;45)),"temp out of range; ","")&amp;IF(AND(ISNUMBER(FJ10),OR(FJ10&lt;0,FJ10&gt;100)),"RH out of range; ",""))</f>
        <v/>
      </c>
      <c r="FK78" s="26">
        <f>IF(FK1="","",IF(AND(ISNUMBER(FK8),OR(FK8&lt;0,FK8&gt;300)),"rain out of range; ","")&amp;IF(AND(ISNUMBER(FK9),OR(FK9&lt;0,FK9&gt;45)),"temp out of range; ","")&amp;IF(AND(ISNUMBER(FK10),OR(FK10&lt;0,FK10&gt;100)),"RH out of range; ",""))</f>
        <v/>
      </c>
      <c r="FL78" s="26">
        <f>IF(FL1="","",IF(AND(ISNUMBER(FL8),OR(FL8&lt;0,FL8&gt;300)),"rain out of range; ","")&amp;IF(AND(ISNUMBER(FL9),OR(FL9&lt;0,FL9&gt;45)),"temp out of range; ","")&amp;IF(AND(ISNUMBER(FL10),OR(FL10&lt;0,FL10&gt;100)),"RH out of range; ",""))</f>
        <v/>
      </c>
      <c r="FM78" s="26">
        <f>IF(FM1="","",IF(AND(ISNUMBER(FM8),OR(FM8&lt;0,FM8&gt;300)),"rain out of range; ","")&amp;IF(AND(ISNUMBER(FM9),OR(FM9&lt;0,FM9&gt;45)),"temp out of range; ","")&amp;IF(AND(ISNUMBER(FM10),OR(FM10&lt;0,FM10&gt;100)),"RH out of range; ",""))</f>
        <v/>
      </c>
      <c r="FN78" s="26">
        <f>IF(FN1="","",IF(AND(ISNUMBER(FN8),OR(FN8&lt;0,FN8&gt;300)),"rain out of range; ","")&amp;IF(AND(ISNUMBER(FN9),OR(FN9&lt;0,FN9&gt;45)),"temp out of range; ","")&amp;IF(AND(ISNUMBER(FN10),OR(FN10&lt;0,FN10&gt;100)),"RH out of range; ",""))</f>
        <v/>
      </c>
      <c r="FO78" s="26">
        <f>IF(FO1="","",IF(AND(ISNUMBER(FO8),OR(FO8&lt;0,FO8&gt;300)),"rain out of range; ","")&amp;IF(AND(ISNUMBER(FO9),OR(FO9&lt;0,FO9&gt;45)),"temp out of range; ","")&amp;IF(AND(ISNUMBER(FO10),OR(FO10&lt;0,FO10&gt;100)),"RH out of range; ",""))</f>
        <v/>
      </c>
      <c r="FP78" s="26">
        <f>IF(FP1="","",IF(AND(ISNUMBER(FP8),OR(FP8&lt;0,FP8&gt;300)),"rain out of range; ","")&amp;IF(AND(ISNUMBER(FP9),OR(FP9&lt;0,FP9&gt;45)),"temp out of range; ","")&amp;IF(AND(ISNUMBER(FP10),OR(FP10&lt;0,FP10&gt;100)),"RH out of range; ",""))</f>
        <v/>
      </c>
      <c r="FQ78" s="26">
        <f>IF(FQ1="","",IF(AND(ISNUMBER(FQ8),OR(FQ8&lt;0,FQ8&gt;300)),"rain out of range; ","")&amp;IF(AND(ISNUMBER(FQ9),OR(FQ9&lt;0,FQ9&gt;45)),"temp out of range; ","")&amp;IF(AND(ISNUMBER(FQ10),OR(FQ10&lt;0,FQ10&gt;100)),"RH out of range; ",""))</f>
        <v/>
      </c>
    </row>
    <row r="80" hidden="1">
      <c r="B80" s="14" t="inlineStr">
        <is>
          <t>(graph helper rows)</t>
        </is>
      </c>
    </row>
    <row r="81" hidden="1">
      <c r="B81" s="11" t="inlineStr">
        <is>
          <t>MD period</t>
        </is>
      </c>
      <c r="D81" s="14">
        <f>IF(AND(D1&lt;&gt;"",ISNUMBER(MDS),ISNUMBER(MDE)),IF(AND(D1&gt;=MDS,D1&lt;=MDE),24,""),"")</f>
        <v/>
      </c>
      <c r="E81" s="14">
        <f>IF(AND(E1&lt;&gt;"",ISNUMBER(MDS),ISNUMBER(MDE)),IF(AND(E1&gt;=MDS,E1&lt;=MDE),24,""),"")</f>
        <v/>
      </c>
      <c r="F81" s="14">
        <f>IF(AND(F1&lt;&gt;"",ISNUMBER(MDS),ISNUMBER(MDE)),IF(AND(F1&gt;=MDS,F1&lt;=MDE),24,""),"")</f>
        <v/>
      </c>
      <c r="G81" s="14">
        <f>IF(AND(G1&lt;&gt;"",ISNUMBER(MDS),ISNUMBER(MDE)),IF(AND(G1&gt;=MDS,G1&lt;=MDE),24,""),"")</f>
        <v/>
      </c>
      <c r="H81" s="14">
        <f>IF(AND(H1&lt;&gt;"",ISNUMBER(MDS),ISNUMBER(MDE)),IF(AND(H1&gt;=MDS,H1&lt;=MDE),24,""),"")</f>
        <v/>
      </c>
      <c r="I81" s="14">
        <f>IF(AND(I1&lt;&gt;"",ISNUMBER(MDS),ISNUMBER(MDE)),IF(AND(I1&gt;=MDS,I1&lt;=MDE),24,""),"")</f>
        <v/>
      </c>
      <c r="J81" s="14">
        <f>IF(AND(J1&lt;&gt;"",ISNUMBER(MDS),ISNUMBER(MDE)),IF(AND(J1&gt;=MDS,J1&lt;=MDE),24,""),"")</f>
        <v/>
      </c>
      <c r="K81" s="14">
        <f>IF(AND(K1&lt;&gt;"",ISNUMBER(MDS),ISNUMBER(MDE)),IF(AND(K1&gt;=MDS,K1&lt;=MDE),24,""),"")</f>
        <v/>
      </c>
      <c r="L81" s="14">
        <f>IF(AND(L1&lt;&gt;"",ISNUMBER(MDS),ISNUMBER(MDE)),IF(AND(L1&gt;=MDS,L1&lt;=MDE),24,""),"")</f>
        <v/>
      </c>
      <c r="M81" s="14">
        <f>IF(AND(M1&lt;&gt;"",ISNUMBER(MDS),ISNUMBER(MDE)),IF(AND(M1&gt;=MDS,M1&lt;=MDE),24,""),"")</f>
        <v/>
      </c>
      <c r="N81" s="14">
        <f>IF(AND(N1&lt;&gt;"",ISNUMBER(MDS),ISNUMBER(MDE)),IF(AND(N1&gt;=MDS,N1&lt;=MDE),24,""),"")</f>
        <v/>
      </c>
      <c r="O81" s="14">
        <f>IF(AND(O1&lt;&gt;"",ISNUMBER(MDS),ISNUMBER(MDE)),IF(AND(O1&gt;=MDS,O1&lt;=MDE),24,""),"")</f>
        <v/>
      </c>
      <c r="P81" s="14">
        <f>IF(AND(P1&lt;&gt;"",ISNUMBER(MDS),ISNUMBER(MDE)),IF(AND(P1&gt;=MDS,P1&lt;=MDE),24,""),"")</f>
        <v/>
      </c>
      <c r="Q81" s="14">
        <f>IF(AND(Q1&lt;&gt;"",ISNUMBER(MDS),ISNUMBER(MDE)),IF(AND(Q1&gt;=MDS,Q1&lt;=MDE),24,""),"")</f>
        <v/>
      </c>
      <c r="R81" s="14">
        <f>IF(AND(R1&lt;&gt;"",ISNUMBER(MDS),ISNUMBER(MDE)),IF(AND(R1&gt;=MDS,R1&lt;=MDE),24,""),"")</f>
        <v/>
      </c>
      <c r="S81" s="14">
        <f>IF(AND(S1&lt;&gt;"",ISNUMBER(MDS),ISNUMBER(MDE)),IF(AND(S1&gt;=MDS,S1&lt;=MDE),24,""),"")</f>
        <v/>
      </c>
      <c r="T81" s="14">
        <f>IF(AND(T1&lt;&gt;"",ISNUMBER(MDS),ISNUMBER(MDE)),IF(AND(T1&gt;=MDS,T1&lt;=MDE),24,""),"")</f>
        <v/>
      </c>
      <c r="U81" s="14">
        <f>IF(AND(U1&lt;&gt;"",ISNUMBER(MDS),ISNUMBER(MDE)),IF(AND(U1&gt;=MDS,U1&lt;=MDE),24,""),"")</f>
        <v/>
      </c>
      <c r="V81" s="14">
        <f>IF(AND(V1&lt;&gt;"",ISNUMBER(MDS),ISNUMBER(MDE)),IF(AND(V1&gt;=MDS,V1&lt;=MDE),24,""),"")</f>
        <v/>
      </c>
      <c r="W81" s="14">
        <f>IF(AND(W1&lt;&gt;"",ISNUMBER(MDS),ISNUMBER(MDE)),IF(AND(W1&gt;=MDS,W1&lt;=MDE),24,""),"")</f>
        <v/>
      </c>
      <c r="X81" s="14">
        <f>IF(AND(X1&lt;&gt;"",ISNUMBER(MDS),ISNUMBER(MDE)),IF(AND(X1&gt;=MDS,X1&lt;=MDE),24,""),"")</f>
        <v/>
      </c>
      <c r="Y81" s="14">
        <f>IF(AND(Y1&lt;&gt;"",ISNUMBER(MDS),ISNUMBER(MDE)),IF(AND(Y1&gt;=MDS,Y1&lt;=MDE),24,""),"")</f>
        <v/>
      </c>
      <c r="Z81" s="14">
        <f>IF(AND(Z1&lt;&gt;"",ISNUMBER(MDS),ISNUMBER(MDE)),IF(AND(Z1&gt;=MDS,Z1&lt;=MDE),24,""),"")</f>
        <v/>
      </c>
      <c r="AA81" s="14">
        <f>IF(AND(AA1&lt;&gt;"",ISNUMBER(MDS),ISNUMBER(MDE)),IF(AND(AA1&gt;=MDS,AA1&lt;=MDE),24,""),"")</f>
        <v/>
      </c>
      <c r="AB81" s="14">
        <f>IF(AND(AB1&lt;&gt;"",ISNUMBER(MDS),ISNUMBER(MDE)),IF(AND(AB1&gt;=MDS,AB1&lt;=MDE),24,""),"")</f>
        <v/>
      </c>
      <c r="AC81" s="14">
        <f>IF(AND(AC1&lt;&gt;"",ISNUMBER(MDS),ISNUMBER(MDE)),IF(AND(AC1&gt;=MDS,AC1&lt;=MDE),24,""),"")</f>
        <v/>
      </c>
      <c r="AD81" s="14">
        <f>IF(AND(AD1&lt;&gt;"",ISNUMBER(MDS),ISNUMBER(MDE)),IF(AND(AD1&gt;=MDS,AD1&lt;=MDE),24,""),"")</f>
        <v/>
      </c>
      <c r="AE81" s="14">
        <f>IF(AND(AE1&lt;&gt;"",ISNUMBER(MDS),ISNUMBER(MDE)),IF(AND(AE1&gt;=MDS,AE1&lt;=MDE),24,""),"")</f>
        <v/>
      </c>
      <c r="AF81" s="14">
        <f>IF(AND(AF1&lt;&gt;"",ISNUMBER(MDS),ISNUMBER(MDE)),IF(AND(AF1&gt;=MDS,AF1&lt;=MDE),24,""),"")</f>
        <v/>
      </c>
      <c r="AG81" s="14">
        <f>IF(AND(AG1&lt;&gt;"",ISNUMBER(MDS),ISNUMBER(MDE)),IF(AND(AG1&gt;=MDS,AG1&lt;=MDE),24,""),"")</f>
        <v/>
      </c>
      <c r="AH81" s="14">
        <f>IF(AND(AH1&lt;&gt;"",ISNUMBER(MDS),ISNUMBER(MDE)),IF(AND(AH1&gt;=MDS,AH1&lt;=MDE),24,""),"")</f>
        <v/>
      </c>
      <c r="AI81" s="14">
        <f>IF(AND(AI1&lt;&gt;"",ISNUMBER(MDS),ISNUMBER(MDE)),IF(AND(AI1&gt;=MDS,AI1&lt;=MDE),24,""),"")</f>
        <v/>
      </c>
      <c r="AJ81" s="14">
        <f>IF(AND(AJ1&lt;&gt;"",ISNUMBER(MDS),ISNUMBER(MDE)),IF(AND(AJ1&gt;=MDS,AJ1&lt;=MDE),24,""),"")</f>
        <v/>
      </c>
      <c r="AK81" s="14">
        <f>IF(AND(AK1&lt;&gt;"",ISNUMBER(MDS),ISNUMBER(MDE)),IF(AND(AK1&gt;=MDS,AK1&lt;=MDE),24,""),"")</f>
        <v/>
      </c>
      <c r="AL81" s="14">
        <f>IF(AND(AL1&lt;&gt;"",ISNUMBER(MDS),ISNUMBER(MDE)),IF(AND(AL1&gt;=MDS,AL1&lt;=MDE),24,""),"")</f>
        <v/>
      </c>
      <c r="AM81" s="14">
        <f>IF(AND(AM1&lt;&gt;"",ISNUMBER(MDS),ISNUMBER(MDE)),IF(AND(AM1&gt;=MDS,AM1&lt;=MDE),24,""),"")</f>
        <v/>
      </c>
      <c r="AN81" s="14">
        <f>IF(AND(AN1&lt;&gt;"",ISNUMBER(MDS),ISNUMBER(MDE)),IF(AND(AN1&gt;=MDS,AN1&lt;=MDE),24,""),"")</f>
        <v/>
      </c>
      <c r="AO81" s="14">
        <f>IF(AND(AO1&lt;&gt;"",ISNUMBER(MDS),ISNUMBER(MDE)),IF(AND(AO1&gt;=MDS,AO1&lt;=MDE),24,""),"")</f>
        <v/>
      </c>
      <c r="AP81" s="14">
        <f>IF(AND(AP1&lt;&gt;"",ISNUMBER(MDS),ISNUMBER(MDE)),IF(AND(AP1&gt;=MDS,AP1&lt;=MDE),24,""),"")</f>
        <v/>
      </c>
      <c r="AQ81" s="14">
        <f>IF(AND(AQ1&lt;&gt;"",ISNUMBER(MDS),ISNUMBER(MDE)),IF(AND(AQ1&gt;=MDS,AQ1&lt;=MDE),24,""),"")</f>
        <v/>
      </c>
      <c r="AR81" s="14">
        <f>IF(AND(AR1&lt;&gt;"",ISNUMBER(MDS),ISNUMBER(MDE)),IF(AND(AR1&gt;=MDS,AR1&lt;=MDE),24,""),"")</f>
        <v/>
      </c>
      <c r="AS81" s="14">
        <f>IF(AND(AS1&lt;&gt;"",ISNUMBER(MDS),ISNUMBER(MDE)),IF(AND(AS1&gt;=MDS,AS1&lt;=MDE),24,""),"")</f>
        <v/>
      </c>
      <c r="AT81" s="14">
        <f>IF(AND(AT1&lt;&gt;"",ISNUMBER(MDS),ISNUMBER(MDE)),IF(AND(AT1&gt;=MDS,AT1&lt;=MDE),24,""),"")</f>
        <v/>
      </c>
      <c r="AU81" s="14">
        <f>IF(AND(AU1&lt;&gt;"",ISNUMBER(MDS),ISNUMBER(MDE)),IF(AND(AU1&gt;=MDS,AU1&lt;=MDE),24,""),"")</f>
        <v/>
      </c>
      <c r="AV81" s="14">
        <f>IF(AND(AV1&lt;&gt;"",ISNUMBER(MDS),ISNUMBER(MDE)),IF(AND(AV1&gt;=MDS,AV1&lt;=MDE),24,""),"")</f>
        <v/>
      </c>
      <c r="AW81" s="14">
        <f>IF(AND(AW1&lt;&gt;"",ISNUMBER(MDS),ISNUMBER(MDE)),IF(AND(AW1&gt;=MDS,AW1&lt;=MDE),24,""),"")</f>
        <v/>
      </c>
      <c r="AX81" s="14">
        <f>IF(AND(AX1&lt;&gt;"",ISNUMBER(MDS),ISNUMBER(MDE)),IF(AND(AX1&gt;=MDS,AX1&lt;=MDE),24,""),"")</f>
        <v/>
      </c>
      <c r="AY81" s="14">
        <f>IF(AND(AY1&lt;&gt;"",ISNUMBER(MDS),ISNUMBER(MDE)),IF(AND(AY1&gt;=MDS,AY1&lt;=MDE),24,""),"")</f>
        <v/>
      </c>
      <c r="AZ81" s="14">
        <f>IF(AND(AZ1&lt;&gt;"",ISNUMBER(MDS),ISNUMBER(MDE)),IF(AND(AZ1&gt;=MDS,AZ1&lt;=MDE),24,""),"")</f>
        <v/>
      </c>
      <c r="BA81" s="14">
        <f>IF(AND(BA1&lt;&gt;"",ISNUMBER(MDS),ISNUMBER(MDE)),IF(AND(BA1&gt;=MDS,BA1&lt;=MDE),24,""),"")</f>
        <v/>
      </c>
      <c r="BB81" s="14">
        <f>IF(AND(BB1&lt;&gt;"",ISNUMBER(MDS),ISNUMBER(MDE)),IF(AND(BB1&gt;=MDS,BB1&lt;=MDE),24,""),"")</f>
        <v/>
      </c>
      <c r="BC81" s="14">
        <f>IF(AND(BC1&lt;&gt;"",ISNUMBER(MDS),ISNUMBER(MDE)),IF(AND(BC1&gt;=MDS,BC1&lt;=MDE),24,""),"")</f>
        <v/>
      </c>
      <c r="BD81" s="14">
        <f>IF(AND(BD1&lt;&gt;"",ISNUMBER(MDS),ISNUMBER(MDE)),IF(AND(BD1&gt;=MDS,BD1&lt;=MDE),24,""),"")</f>
        <v/>
      </c>
      <c r="BE81" s="14">
        <f>IF(AND(BE1&lt;&gt;"",ISNUMBER(MDS),ISNUMBER(MDE)),IF(AND(BE1&gt;=MDS,BE1&lt;=MDE),24,""),"")</f>
        <v/>
      </c>
      <c r="BF81" s="14">
        <f>IF(AND(BF1&lt;&gt;"",ISNUMBER(MDS),ISNUMBER(MDE)),IF(AND(BF1&gt;=MDS,BF1&lt;=MDE),24,""),"")</f>
        <v/>
      </c>
      <c r="BG81" s="14">
        <f>IF(AND(BG1&lt;&gt;"",ISNUMBER(MDS),ISNUMBER(MDE)),IF(AND(BG1&gt;=MDS,BG1&lt;=MDE),24,""),"")</f>
        <v/>
      </c>
      <c r="BH81" s="14">
        <f>IF(AND(BH1&lt;&gt;"",ISNUMBER(MDS),ISNUMBER(MDE)),IF(AND(BH1&gt;=MDS,BH1&lt;=MDE),24,""),"")</f>
        <v/>
      </c>
      <c r="BI81" s="14">
        <f>IF(AND(BI1&lt;&gt;"",ISNUMBER(MDS),ISNUMBER(MDE)),IF(AND(BI1&gt;=MDS,BI1&lt;=MDE),24,""),"")</f>
        <v/>
      </c>
      <c r="BJ81" s="14">
        <f>IF(AND(BJ1&lt;&gt;"",ISNUMBER(MDS),ISNUMBER(MDE)),IF(AND(BJ1&gt;=MDS,BJ1&lt;=MDE),24,""),"")</f>
        <v/>
      </c>
      <c r="BK81" s="14">
        <f>IF(AND(BK1&lt;&gt;"",ISNUMBER(MDS),ISNUMBER(MDE)),IF(AND(BK1&gt;=MDS,BK1&lt;=MDE),24,""),"")</f>
        <v/>
      </c>
      <c r="BL81" s="14">
        <f>IF(AND(BL1&lt;&gt;"",ISNUMBER(MDS),ISNUMBER(MDE)),IF(AND(BL1&gt;=MDS,BL1&lt;=MDE),24,""),"")</f>
        <v/>
      </c>
      <c r="BM81" s="14">
        <f>IF(AND(BM1&lt;&gt;"",ISNUMBER(MDS),ISNUMBER(MDE)),IF(AND(BM1&gt;=MDS,BM1&lt;=MDE),24,""),"")</f>
        <v/>
      </c>
      <c r="BN81" s="14">
        <f>IF(AND(BN1&lt;&gt;"",ISNUMBER(MDS),ISNUMBER(MDE)),IF(AND(BN1&gt;=MDS,BN1&lt;=MDE),24,""),"")</f>
        <v/>
      </c>
      <c r="BO81" s="14">
        <f>IF(AND(BO1&lt;&gt;"",ISNUMBER(MDS),ISNUMBER(MDE)),IF(AND(BO1&gt;=MDS,BO1&lt;=MDE),24,""),"")</f>
        <v/>
      </c>
      <c r="BP81" s="14">
        <f>IF(AND(BP1&lt;&gt;"",ISNUMBER(MDS),ISNUMBER(MDE)),IF(AND(BP1&gt;=MDS,BP1&lt;=MDE),24,""),"")</f>
        <v/>
      </c>
      <c r="BQ81" s="14">
        <f>IF(AND(BQ1&lt;&gt;"",ISNUMBER(MDS),ISNUMBER(MDE)),IF(AND(BQ1&gt;=MDS,BQ1&lt;=MDE),24,""),"")</f>
        <v/>
      </c>
      <c r="BR81" s="14">
        <f>IF(AND(BR1&lt;&gt;"",ISNUMBER(MDS),ISNUMBER(MDE)),IF(AND(BR1&gt;=MDS,BR1&lt;=MDE),24,""),"")</f>
        <v/>
      </c>
      <c r="BS81" s="14">
        <f>IF(AND(BS1&lt;&gt;"",ISNUMBER(MDS),ISNUMBER(MDE)),IF(AND(BS1&gt;=MDS,BS1&lt;=MDE),24,""),"")</f>
        <v/>
      </c>
      <c r="BT81" s="14">
        <f>IF(AND(BT1&lt;&gt;"",ISNUMBER(MDS),ISNUMBER(MDE)),IF(AND(BT1&gt;=MDS,BT1&lt;=MDE),24,""),"")</f>
        <v/>
      </c>
      <c r="BU81" s="14">
        <f>IF(AND(BU1&lt;&gt;"",ISNUMBER(MDS),ISNUMBER(MDE)),IF(AND(BU1&gt;=MDS,BU1&lt;=MDE),24,""),"")</f>
        <v/>
      </c>
      <c r="BV81" s="14">
        <f>IF(AND(BV1&lt;&gt;"",ISNUMBER(MDS),ISNUMBER(MDE)),IF(AND(BV1&gt;=MDS,BV1&lt;=MDE),24,""),"")</f>
        <v/>
      </c>
      <c r="BW81" s="14">
        <f>IF(AND(BW1&lt;&gt;"",ISNUMBER(MDS),ISNUMBER(MDE)),IF(AND(BW1&gt;=MDS,BW1&lt;=MDE),24,""),"")</f>
        <v/>
      </c>
      <c r="BX81" s="14">
        <f>IF(AND(BX1&lt;&gt;"",ISNUMBER(MDS),ISNUMBER(MDE)),IF(AND(BX1&gt;=MDS,BX1&lt;=MDE),24,""),"")</f>
        <v/>
      </c>
      <c r="BY81" s="14">
        <f>IF(AND(BY1&lt;&gt;"",ISNUMBER(MDS),ISNUMBER(MDE)),IF(AND(BY1&gt;=MDS,BY1&lt;=MDE),24,""),"")</f>
        <v/>
      </c>
      <c r="BZ81" s="14">
        <f>IF(AND(BZ1&lt;&gt;"",ISNUMBER(MDS),ISNUMBER(MDE)),IF(AND(BZ1&gt;=MDS,BZ1&lt;=MDE),24,""),"")</f>
        <v/>
      </c>
      <c r="CA81" s="14">
        <f>IF(AND(CA1&lt;&gt;"",ISNUMBER(MDS),ISNUMBER(MDE)),IF(AND(CA1&gt;=MDS,CA1&lt;=MDE),24,""),"")</f>
        <v/>
      </c>
      <c r="CB81" s="14">
        <f>IF(AND(CB1&lt;&gt;"",ISNUMBER(MDS),ISNUMBER(MDE)),IF(AND(CB1&gt;=MDS,CB1&lt;=MDE),24,""),"")</f>
        <v/>
      </c>
      <c r="CC81" s="14">
        <f>IF(AND(CC1&lt;&gt;"",ISNUMBER(MDS),ISNUMBER(MDE)),IF(AND(CC1&gt;=MDS,CC1&lt;=MDE),24,""),"")</f>
        <v/>
      </c>
      <c r="CD81" s="14">
        <f>IF(AND(CD1&lt;&gt;"",ISNUMBER(MDS),ISNUMBER(MDE)),IF(AND(CD1&gt;=MDS,CD1&lt;=MDE),24,""),"")</f>
        <v/>
      </c>
      <c r="CE81" s="14">
        <f>IF(AND(CE1&lt;&gt;"",ISNUMBER(MDS),ISNUMBER(MDE)),IF(AND(CE1&gt;=MDS,CE1&lt;=MDE),24,""),"")</f>
        <v/>
      </c>
      <c r="CF81" s="14">
        <f>IF(AND(CF1&lt;&gt;"",ISNUMBER(MDS),ISNUMBER(MDE)),IF(AND(CF1&gt;=MDS,CF1&lt;=MDE),24,""),"")</f>
        <v/>
      </c>
      <c r="CG81" s="14">
        <f>IF(AND(CG1&lt;&gt;"",ISNUMBER(MDS),ISNUMBER(MDE)),IF(AND(CG1&gt;=MDS,CG1&lt;=MDE),24,""),"")</f>
        <v/>
      </c>
      <c r="CH81" s="14">
        <f>IF(AND(CH1&lt;&gt;"",ISNUMBER(MDS),ISNUMBER(MDE)),IF(AND(CH1&gt;=MDS,CH1&lt;=MDE),24,""),"")</f>
        <v/>
      </c>
      <c r="CI81" s="14">
        <f>IF(AND(CI1&lt;&gt;"",ISNUMBER(MDS),ISNUMBER(MDE)),IF(AND(CI1&gt;=MDS,CI1&lt;=MDE),24,""),"")</f>
        <v/>
      </c>
      <c r="CJ81" s="14">
        <f>IF(AND(CJ1&lt;&gt;"",ISNUMBER(MDS),ISNUMBER(MDE)),IF(AND(CJ1&gt;=MDS,CJ1&lt;=MDE),24,""),"")</f>
        <v/>
      </c>
      <c r="CK81" s="14">
        <f>IF(AND(CK1&lt;&gt;"",ISNUMBER(MDS),ISNUMBER(MDE)),IF(AND(CK1&gt;=MDS,CK1&lt;=MDE),24,""),"")</f>
        <v/>
      </c>
      <c r="CL81" s="14">
        <f>IF(AND(CL1&lt;&gt;"",ISNUMBER(MDS),ISNUMBER(MDE)),IF(AND(CL1&gt;=MDS,CL1&lt;=MDE),24,""),"")</f>
        <v/>
      </c>
      <c r="CM81" s="14">
        <f>IF(AND(CM1&lt;&gt;"",ISNUMBER(MDS),ISNUMBER(MDE)),IF(AND(CM1&gt;=MDS,CM1&lt;=MDE),24,""),"")</f>
        <v/>
      </c>
      <c r="CN81" s="14">
        <f>IF(AND(CN1&lt;&gt;"",ISNUMBER(MDS),ISNUMBER(MDE)),IF(AND(CN1&gt;=MDS,CN1&lt;=MDE),24,""),"")</f>
        <v/>
      </c>
      <c r="CO81" s="14">
        <f>IF(AND(CO1&lt;&gt;"",ISNUMBER(MDS),ISNUMBER(MDE)),IF(AND(CO1&gt;=MDS,CO1&lt;=MDE),24,""),"")</f>
        <v/>
      </c>
      <c r="CP81" s="14">
        <f>IF(AND(CP1&lt;&gt;"",ISNUMBER(MDS),ISNUMBER(MDE)),IF(AND(CP1&gt;=MDS,CP1&lt;=MDE),24,""),"")</f>
        <v/>
      </c>
      <c r="CQ81" s="14">
        <f>IF(AND(CQ1&lt;&gt;"",ISNUMBER(MDS),ISNUMBER(MDE)),IF(AND(CQ1&gt;=MDS,CQ1&lt;=MDE),24,""),"")</f>
        <v/>
      </c>
      <c r="CR81" s="14">
        <f>IF(AND(CR1&lt;&gt;"",ISNUMBER(MDS),ISNUMBER(MDE)),IF(AND(CR1&gt;=MDS,CR1&lt;=MDE),24,""),"")</f>
        <v/>
      </c>
      <c r="CS81" s="14">
        <f>IF(AND(CS1&lt;&gt;"",ISNUMBER(MDS),ISNUMBER(MDE)),IF(AND(CS1&gt;=MDS,CS1&lt;=MDE),24,""),"")</f>
        <v/>
      </c>
      <c r="CT81" s="14">
        <f>IF(AND(CT1&lt;&gt;"",ISNUMBER(MDS),ISNUMBER(MDE)),IF(AND(CT1&gt;=MDS,CT1&lt;=MDE),24,""),"")</f>
        <v/>
      </c>
      <c r="CU81" s="14">
        <f>IF(AND(CU1&lt;&gt;"",ISNUMBER(MDS),ISNUMBER(MDE)),IF(AND(CU1&gt;=MDS,CU1&lt;=MDE),24,""),"")</f>
        <v/>
      </c>
      <c r="CV81" s="14">
        <f>IF(AND(CV1&lt;&gt;"",ISNUMBER(MDS),ISNUMBER(MDE)),IF(AND(CV1&gt;=MDS,CV1&lt;=MDE),24,""),"")</f>
        <v/>
      </c>
      <c r="CW81" s="14">
        <f>IF(AND(CW1&lt;&gt;"",ISNUMBER(MDS),ISNUMBER(MDE)),IF(AND(CW1&gt;=MDS,CW1&lt;=MDE),24,""),"")</f>
        <v/>
      </c>
      <c r="CX81" s="14">
        <f>IF(AND(CX1&lt;&gt;"",ISNUMBER(MDS),ISNUMBER(MDE)),IF(AND(CX1&gt;=MDS,CX1&lt;=MDE),24,""),"")</f>
        <v/>
      </c>
      <c r="CY81" s="14">
        <f>IF(AND(CY1&lt;&gt;"",ISNUMBER(MDS),ISNUMBER(MDE)),IF(AND(CY1&gt;=MDS,CY1&lt;=MDE),24,""),"")</f>
        <v/>
      </c>
      <c r="CZ81" s="14">
        <f>IF(AND(CZ1&lt;&gt;"",ISNUMBER(MDS),ISNUMBER(MDE)),IF(AND(CZ1&gt;=MDS,CZ1&lt;=MDE),24,""),"")</f>
        <v/>
      </c>
      <c r="DA81" s="14">
        <f>IF(AND(DA1&lt;&gt;"",ISNUMBER(MDS),ISNUMBER(MDE)),IF(AND(DA1&gt;=MDS,DA1&lt;=MDE),24,""),"")</f>
        <v/>
      </c>
      <c r="DB81" s="14">
        <f>IF(AND(DB1&lt;&gt;"",ISNUMBER(MDS),ISNUMBER(MDE)),IF(AND(DB1&gt;=MDS,DB1&lt;=MDE),24,""),"")</f>
        <v/>
      </c>
      <c r="DC81" s="14">
        <f>IF(AND(DC1&lt;&gt;"",ISNUMBER(MDS),ISNUMBER(MDE)),IF(AND(DC1&gt;=MDS,DC1&lt;=MDE),24,""),"")</f>
        <v/>
      </c>
      <c r="DD81" s="14">
        <f>IF(AND(DD1&lt;&gt;"",ISNUMBER(MDS),ISNUMBER(MDE)),IF(AND(DD1&gt;=MDS,DD1&lt;=MDE),24,""),"")</f>
        <v/>
      </c>
      <c r="DE81" s="14">
        <f>IF(AND(DE1&lt;&gt;"",ISNUMBER(MDS),ISNUMBER(MDE)),IF(AND(DE1&gt;=MDS,DE1&lt;=MDE),24,""),"")</f>
        <v/>
      </c>
      <c r="DF81" s="14">
        <f>IF(AND(DF1&lt;&gt;"",ISNUMBER(MDS),ISNUMBER(MDE)),IF(AND(DF1&gt;=MDS,DF1&lt;=MDE),24,""),"")</f>
        <v/>
      </c>
      <c r="DG81" s="14">
        <f>IF(AND(DG1&lt;&gt;"",ISNUMBER(MDS),ISNUMBER(MDE)),IF(AND(DG1&gt;=MDS,DG1&lt;=MDE),24,""),"")</f>
        <v/>
      </c>
      <c r="DH81" s="14">
        <f>IF(AND(DH1&lt;&gt;"",ISNUMBER(MDS),ISNUMBER(MDE)),IF(AND(DH1&gt;=MDS,DH1&lt;=MDE),24,""),"")</f>
        <v/>
      </c>
      <c r="DI81" s="14">
        <f>IF(AND(DI1&lt;&gt;"",ISNUMBER(MDS),ISNUMBER(MDE)),IF(AND(DI1&gt;=MDS,DI1&lt;=MDE),24,""),"")</f>
        <v/>
      </c>
      <c r="DJ81" s="14">
        <f>IF(AND(DJ1&lt;&gt;"",ISNUMBER(MDS),ISNUMBER(MDE)),IF(AND(DJ1&gt;=MDS,DJ1&lt;=MDE),24,""),"")</f>
        <v/>
      </c>
      <c r="DK81" s="14">
        <f>IF(AND(DK1&lt;&gt;"",ISNUMBER(MDS),ISNUMBER(MDE)),IF(AND(DK1&gt;=MDS,DK1&lt;=MDE),24,""),"")</f>
        <v/>
      </c>
      <c r="DL81" s="14">
        <f>IF(AND(DL1&lt;&gt;"",ISNUMBER(MDS),ISNUMBER(MDE)),IF(AND(DL1&gt;=MDS,DL1&lt;=MDE),24,""),"")</f>
        <v/>
      </c>
      <c r="DM81" s="14">
        <f>IF(AND(DM1&lt;&gt;"",ISNUMBER(MDS),ISNUMBER(MDE)),IF(AND(DM1&gt;=MDS,DM1&lt;=MDE),24,""),"")</f>
        <v/>
      </c>
      <c r="DN81" s="14">
        <f>IF(AND(DN1&lt;&gt;"",ISNUMBER(MDS),ISNUMBER(MDE)),IF(AND(DN1&gt;=MDS,DN1&lt;=MDE),24,""),"")</f>
        <v/>
      </c>
      <c r="DO81" s="14">
        <f>IF(AND(DO1&lt;&gt;"",ISNUMBER(MDS),ISNUMBER(MDE)),IF(AND(DO1&gt;=MDS,DO1&lt;=MDE),24,""),"")</f>
        <v/>
      </c>
      <c r="DP81" s="14">
        <f>IF(AND(DP1&lt;&gt;"",ISNUMBER(MDS),ISNUMBER(MDE)),IF(AND(DP1&gt;=MDS,DP1&lt;=MDE),24,""),"")</f>
        <v/>
      </c>
      <c r="DQ81" s="14">
        <f>IF(AND(DQ1&lt;&gt;"",ISNUMBER(MDS),ISNUMBER(MDE)),IF(AND(DQ1&gt;=MDS,DQ1&lt;=MDE),24,""),"")</f>
        <v/>
      </c>
      <c r="DR81" s="14">
        <f>IF(AND(DR1&lt;&gt;"",ISNUMBER(MDS),ISNUMBER(MDE)),IF(AND(DR1&gt;=MDS,DR1&lt;=MDE),24,""),"")</f>
        <v/>
      </c>
      <c r="DS81" s="14">
        <f>IF(AND(DS1&lt;&gt;"",ISNUMBER(MDS),ISNUMBER(MDE)),IF(AND(DS1&gt;=MDS,DS1&lt;=MDE),24,""),"")</f>
        <v/>
      </c>
      <c r="DT81" s="14">
        <f>IF(AND(DT1&lt;&gt;"",ISNUMBER(MDS),ISNUMBER(MDE)),IF(AND(DT1&gt;=MDS,DT1&lt;=MDE),24,""),"")</f>
        <v/>
      </c>
      <c r="DU81" s="14">
        <f>IF(AND(DU1&lt;&gt;"",ISNUMBER(MDS),ISNUMBER(MDE)),IF(AND(DU1&gt;=MDS,DU1&lt;=MDE),24,""),"")</f>
        <v/>
      </c>
      <c r="DV81" s="14">
        <f>IF(AND(DV1&lt;&gt;"",ISNUMBER(MDS),ISNUMBER(MDE)),IF(AND(DV1&gt;=MDS,DV1&lt;=MDE),24,""),"")</f>
        <v/>
      </c>
      <c r="DW81" s="14">
        <f>IF(AND(DW1&lt;&gt;"",ISNUMBER(MDS),ISNUMBER(MDE)),IF(AND(DW1&gt;=MDS,DW1&lt;=MDE),24,""),"")</f>
        <v/>
      </c>
      <c r="DX81" s="14">
        <f>IF(AND(DX1&lt;&gt;"",ISNUMBER(MDS),ISNUMBER(MDE)),IF(AND(DX1&gt;=MDS,DX1&lt;=MDE),24,""),"")</f>
        <v/>
      </c>
      <c r="DY81" s="14">
        <f>IF(AND(DY1&lt;&gt;"",ISNUMBER(MDS),ISNUMBER(MDE)),IF(AND(DY1&gt;=MDS,DY1&lt;=MDE),24,""),"")</f>
        <v/>
      </c>
      <c r="DZ81" s="14">
        <f>IF(AND(DZ1&lt;&gt;"",ISNUMBER(MDS),ISNUMBER(MDE)),IF(AND(DZ1&gt;=MDS,DZ1&lt;=MDE),24,""),"")</f>
        <v/>
      </c>
      <c r="EA81" s="14">
        <f>IF(AND(EA1&lt;&gt;"",ISNUMBER(MDS),ISNUMBER(MDE)),IF(AND(EA1&gt;=MDS,EA1&lt;=MDE),24,""),"")</f>
        <v/>
      </c>
      <c r="EB81" s="14">
        <f>IF(AND(EB1&lt;&gt;"",ISNUMBER(MDS),ISNUMBER(MDE)),IF(AND(EB1&gt;=MDS,EB1&lt;=MDE),24,""),"")</f>
        <v/>
      </c>
      <c r="EC81" s="14">
        <f>IF(AND(EC1&lt;&gt;"",ISNUMBER(MDS),ISNUMBER(MDE)),IF(AND(EC1&gt;=MDS,EC1&lt;=MDE),24,""),"")</f>
        <v/>
      </c>
      <c r="ED81" s="14">
        <f>IF(AND(ED1&lt;&gt;"",ISNUMBER(MDS),ISNUMBER(MDE)),IF(AND(ED1&gt;=MDS,ED1&lt;=MDE),24,""),"")</f>
        <v/>
      </c>
      <c r="EE81" s="14">
        <f>IF(AND(EE1&lt;&gt;"",ISNUMBER(MDS),ISNUMBER(MDE)),IF(AND(EE1&gt;=MDS,EE1&lt;=MDE),24,""),"")</f>
        <v/>
      </c>
      <c r="EF81" s="14">
        <f>IF(AND(EF1&lt;&gt;"",ISNUMBER(MDS),ISNUMBER(MDE)),IF(AND(EF1&gt;=MDS,EF1&lt;=MDE),24,""),"")</f>
        <v/>
      </c>
      <c r="EG81" s="14">
        <f>IF(AND(EG1&lt;&gt;"",ISNUMBER(MDS),ISNUMBER(MDE)),IF(AND(EG1&gt;=MDS,EG1&lt;=MDE),24,""),"")</f>
        <v/>
      </c>
      <c r="EH81" s="14">
        <f>IF(AND(EH1&lt;&gt;"",ISNUMBER(MDS),ISNUMBER(MDE)),IF(AND(EH1&gt;=MDS,EH1&lt;=MDE),24,""),"")</f>
        <v/>
      </c>
      <c r="EI81" s="14">
        <f>IF(AND(EI1&lt;&gt;"",ISNUMBER(MDS),ISNUMBER(MDE)),IF(AND(EI1&gt;=MDS,EI1&lt;=MDE),24,""),"")</f>
        <v/>
      </c>
      <c r="EJ81" s="14">
        <f>IF(AND(EJ1&lt;&gt;"",ISNUMBER(MDS),ISNUMBER(MDE)),IF(AND(EJ1&gt;=MDS,EJ1&lt;=MDE),24,""),"")</f>
        <v/>
      </c>
      <c r="EK81" s="14">
        <f>IF(AND(EK1&lt;&gt;"",ISNUMBER(MDS),ISNUMBER(MDE)),IF(AND(EK1&gt;=MDS,EK1&lt;=MDE),24,""),"")</f>
        <v/>
      </c>
      <c r="EL81" s="14">
        <f>IF(AND(EL1&lt;&gt;"",ISNUMBER(MDS),ISNUMBER(MDE)),IF(AND(EL1&gt;=MDS,EL1&lt;=MDE),24,""),"")</f>
        <v/>
      </c>
      <c r="EM81" s="14">
        <f>IF(AND(EM1&lt;&gt;"",ISNUMBER(MDS),ISNUMBER(MDE)),IF(AND(EM1&gt;=MDS,EM1&lt;=MDE),24,""),"")</f>
        <v/>
      </c>
      <c r="EN81" s="14">
        <f>IF(AND(EN1&lt;&gt;"",ISNUMBER(MDS),ISNUMBER(MDE)),IF(AND(EN1&gt;=MDS,EN1&lt;=MDE),24,""),"")</f>
        <v/>
      </c>
      <c r="EO81" s="14">
        <f>IF(AND(EO1&lt;&gt;"",ISNUMBER(MDS),ISNUMBER(MDE)),IF(AND(EO1&gt;=MDS,EO1&lt;=MDE),24,""),"")</f>
        <v/>
      </c>
      <c r="EP81" s="14">
        <f>IF(AND(EP1&lt;&gt;"",ISNUMBER(MDS),ISNUMBER(MDE)),IF(AND(EP1&gt;=MDS,EP1&lt;=MDE),24,""),"")</f>
        <v/>
      </c>
      <c r="EQ81" s="14">
        <f>IF(AND(EQ1&lt;&gt;"",ISNUMBER(MDS),ISNUMBER(MDE)),IF(AND(EQ1&gt;=MDS,EQ1&lt;=MDE),24,""),"")</f>
        <v/>
      </c>
      <c r="ER81" s="14">
        <f>IF(AND(ER1&lt;&gt;"",ISNUMBER(MDS),ISNUMBER(MDE)),IF(AND(ER1&gt;=MDS,ER1&lt;=MDE),24,""),"")</f>
        <v/>
      </c>
      <c r="ES81" s="14">
        <f>IF(AND(ES1&lt;&gt;"",ISNUMBER(MDS),ISNUMBER(MDE)),IF(AND(ES1&gt;=MDS,ES1&lt;=MDE),24,""),"")</f>
        <v/>
      </c>
      <c r="ET81" s="14">
        <f>IF(AND(ET1&lt;&gt;"",ISNUMBER(MDS),ISNUMBER(MDE)),IF(AND(ET1&gt;=MDS,ET1&lt;=MDE),24,""),"")</f>
        <v/>
      </c>
      <c r="EU81" s="14">
        <f>IF(AND(EU1&lt;&gt;"",ISNUMBER(MDS),ISNUMBER(MDE)),IF(AND(EU1&gt;=MDS,EU1&lt;=MDE),24,""),"")</f>
        <v/>
      </c>
      <c r="EV81" s="14">
        <f>IF(AND(EV1&lt;&gt;"",ISNUMBER(MDS),ISNUMBER(MDE)),IF(AND(EV1&gt;=MDS,EV1&lt;=MDE),24,""),"")</f>
        <v/>
      </c>
      <c r="EW81" s="14">
        <f>IF(AND(EW1&lt;&gt;"",ISNUMBER(MDS),ISNUMBER(MDE)),IF(AND(EW1&gt;=MDS,EW1&lt;=MDE),24,""),"")</f>
        <v/>
      </c>
      <c r="EX81" s="14">
        <f>IF(AND(EX1&lt;&gt;"",ISNUMBER(MDS),ISNUMBER(MDE)),IF(AND(EX1&gt;=MDS,EX1&lt;=MDE),24,""),"")</f>
        <v/>
      </c>
      <c r="EY81" s="14">
        <f>IF(AND(EY1&lt;&gt;"",ISNUMBER(MDS),ISNUMBER(MDE)),IF(AND(EY1&gt;=MDS,EY1&lt;=MDE),24,""),"")</f>
        <v/>
      </c>
      <c r="EZ81" s="14">
        <f>IF(AND(EZ1&lt;&gt;"",ISNUMBER(MDS),ISNUMBER(MDE)),IF(AND(EZ1&gt;=MDS,EZ1&lt;=MDE),24,""),"")</f>
        <v/>
      </c>
      <c r="FA81" s="14">
        <f>IF(AND(FA1&lt;&gt;"",ISNUMBER(MDS),ISNUMBER(MDE)),IF(AND(FA1&gt;=MDS,FA1&lt;=MDE),24,""),"")</f>
        <v/>
      </c>
      <c r="FB81" s="14">
        <f>IF(AND(FB1&lt;&gt;"",ISNUMBER(MDS),ISNUMBER(MDE)),IF(AND(FB1&gt;=MDS,FB1&lt;=MDE),24,""),"")</f>
        <v/>
      </c>
      <c r="FC81" s="14">
        <f>IF(AND(FC1&lt;&gt;"",ISNUMBER(MDS),ISNUMBER(MDE)),IF(AND(FC1&gt;=MDS,FC1&lt;=MDE),24,""),"")</f>
        <v/>
      </c>
      <c r="FD81" s="14">
        <f>IF(AND(FD1&lt;&gt;"",ISNUMBER(MDS),ISNUMBER(MDE)),IF(AND(FD1&gt;=MDS,FD1&lt;=MDE),24,""),"")</f>
        <v/>
      </c>
      <c r="FE81" s="14">
        <f>IF(AND(FE1&lt;&gt;"",ISNUMBER(MDS),ISNUMBER(MDE)),IF(AND(FE1&gt;=MDS,FE1&lt;=MDE),24,""),"")</f>
        <v/>
      </c>
      <c r="FF81" s="14">
        <f>IF(AND(FF1&lt;&gt;"",ISNUMBER(MDS),ISNUMBER(MDE)),IF(AND(FF1&gt;=MDS,FF1&lt;=MDE),24,""),"")</f>
        <v/>
      </c>
      <c r="FG81" s="14">
        <f>IF(AND(FG1&lt;&gt;"",ISNUMBER(MDS),ISNUMBER(MDE)),IF(AND(FG1&gt;=MDS,FG1&lt;=MDE),24,""),"")</f>
        <v/>
      </c>
      <c r="FH81" s="14">
        <f>IF(AND(FH1&lt;&gt;"",ISNUMBER(MDS),ISNUMBER(MDE)),IF(AND(FH1&gt;=MDS,FH1&lt;=MDE),24,""),"")</f>
        <v/>
      </c>
      <c r="FI81" s="14">
        <f>IF(AND(FI1&lt;&gt;"",ISNUMBER(MDS),ISNUMBER(MDE)),IF(AND(FI1&gt;=MDS,FI1&lt;=MDE),24,""),"")</f>
        <v/>
      </c>
      <c r="FJ81" s="14">
        <f>IF(AND(FJ1&lt;&gt;"",ISNUMBER(MDS),ISNUMBER(MDE)),IF(AND(FJ1&gt;=MDS,FJ1&lt;=MDE),24,""),"")</f>
        <v/>
      </c>
      <c r="FK81" s="14">
        <f>IF(AND(FK1&lt;&gt;"",ISNUMBER(MDS),ISNUMBER(MDE)),IF(AND(FK1&gt;=MDS,FK1&lt;=MDE),24,""),"")</f>
        <v/>
      </c>
      <c r="FL81" s="14">
        <f>IF(AND(FL1&lt;&gt;"",ISNUMBER(MDS),ISNUMBER(MDE)),IF(AND(FL1&gt;=MDS,FL1&lt;=MDE),24,""),"")</f>
        <v/>
      </c>
      <c r="FM81" s="14">
        <f>IF(AND(FM1&lt;&gt;"",ISNUMBER(MDS),ISNUMBER(MDE)),IF(AND(FM1&gt;=MDS,FM1&lt;=MDE),24,""),"")</f>
        <v/>
      </c>
      <c r="FN81" s="14">
        <f>IF(AND(FN1&lt;&gt;"",ISNUMBER(MDS),ISNUMBER(MDE)),IF(AND(FN1&gt;=MDS,FN1&lt;=MDE),24,""),"")</f>
        <v/>
      </c>
      <c r="FO81" s="14">
        <f>IF(AND(FO1&lt;&gt;"",ISNUMBER(MDS),ISNUMBER(MDE)),IF(AND(FO1&gt;=MDS,FO1&lt;=MDE),24,""),"")</f>
        <v/>
      </c>
      <c r="FP81" s="14">
        <f>IF(AND(FP1&lt;&gt;"",ISNUMBER(MDS),ISNUMBER(MDE)),IF(AND(FP1&gt;=MDS,FP1&lt;=MDE),24,""),"")</f>
        <v/>
      </c>
      <c r="FQ81" s="14">
        <f>IF(AND(FQ1&lt;&gt;"",ISNUMBER(MDS),ISNUMBER(MDE)),IF(AND(FQ1&gt;=MDS,FQ1&lt;=MDE),24,""),"")</f>
        <v/>
      </c>
    </row>
    <row r="82" hidden="1">
      <c r="B82" s="11" t="inlineStr">
        <is>
          <t>Pitan period</t>
        </is>
      </c>
      <c r="D82" s="14">
        <f>IF(AND(D1&lt;&gt;"",ISNUMBER(PitanS),ISNUMBER(PitanE)),IF(AND(D1&gt;=PitanS,D1&lt;=PitanE),26,""),"")</f>
        <v/>
      </c>
      <c r="E82" s="14">
        <f>IF(AND(E1&lt;&gt;"",ISNUMBER(PitanS),ISNUMBER(PitanE)),IF(AND(E1&gt;=PitanS,E1&lt;=PitanE),26,""),"")</f>
        <v/>
      </c>
      <c r="F82" s="14">
        <f>IF(AND(F1&lt;&gt;"",ISNUMBER(PitanS),ISNUMBER(PitanE)),IF(AND(F1&gt;=PitanS,F1&lt;=PitanE),26,""),"")</f>
        <v/>
      </c>
      <c r="G82" s="14">
        <f>IF(AND(G1&lt;&gt;"",ISNUMBER(PitanS),ISNUMBER(PitanE)),IF(AND(G1&gt;=PitanS,G1&lt;=PitanE),26,""),"")</f>
        <v/>
      </c>
      <c r="H82" s="14">
        <f>IF(AND(H1&lt;&gt;"",ISNUMBER(PitanS),ISNUMBER(PitanE)),IF(AND(H1&gt;=PitanS,H1&lt;=PitanE),26,""),"")</f>
        <v/>
      </c>
      <c r="I82" s="14">
        <f>IF(AND(I1&lt;&gt;"",ISNUMBER(PitanS),ISNUMBER(PitanE)),IF(AND(I1&gt;=PitanS,I1&lt;=PitanE),26,""),"")</f>
        <v/>
      </c>
      <c r="J82" s="14">
        <f>IF(AND(J1&lt;&gt;"",ISNUMBER(PitanS),ISNUMBER(PitanE)),IF(AND(J1&gt;=PitanS,J1&lt;=PitanE),26,""),"")</f>
        <v/>
      </c>
      <c r="K82" s="14">
        <f>IF(AND(K1&lt;&gt;"",ISNUMBER(PitanS),ISNUMBER(PitanE)),IF(AND(K1&gt;=PitanS,K1&lt;=PitanE),26,""),"")</f>
        <v/>
      </c>
      <c r="L82" s="14">
        <f>IF(AND(L1&lt;&gt;"",ISNUMBER(PitanS),ISNUMBER(PitanE)),IF(AND(L1&gt;=PitanS,L1&lt;=PitanE),26,""),"")</f>
        <v/>
      </c>
      <c r="M82" s="14">
        <f>IF(AND(M1&lt;&gt;"",ISNUMBER(PitanS),ISNUMBER(PitanE)),IF(AND(M1&gt;=PitanS,M1&lt;=PitanE),26,""),"")</f>
        <v/>
      </c>
      <c r="N82" s="14">
        <f>IF(AND(N1&lt;&gt;"",ISNUMBER(PitanS),ISNUMBER(PitanE)),IF(AND(N1&gt;=PitanS,N1&lt;=PitanE),26,""),"")</f>
        <v/>
      </c>
      <c r="O82" s="14">
        <f>IF(AND(O1&lt;&gt;"",ISNUMBER(PitanS),ISNUMBER(PitanE)),IF(AND(O1&gt;=PitanS,O1&lt;=PitanE),26,""),"")</f>
        <v/>
      </c>
      <c r="P82" s="14">
        <f>IF(AND(P1&lt;&gt;"",ISNUMBER(PitanS),ISNUMBER(PitanE)),IF(AND(P1&gt;=PitanS,P1&lt;=PitanE),26,""),"")</f>
        <v/>
      </c>
      <c r="Q82" s="14">
        <f>IF(AND(Q1&lt;&gt;"",ISNUMBER(PitanS),ISNUMBER(PitanE)),IF(AND(Q1&gt;=PitanS,Q1&lt;=PitanE),26,""),"")</f>
        <v/>
      </c>
      <c r="R82" s="14">
        <f>IF(AND(R1&lt;&gt;"",ISNUMBER(PitanS),ISNUMBER(PitanE)),IF(AND(R1&gt;=PitanS,R1&lt;=PitanE),26,""),"")</f>
        <v/>
      </c>
      <c r="S82" s="14">
        <f>IF(AND(S1&lt;&gt;"",ISNUMBER(PitanS),ISNUMBER(PitanE)),IF(AND(S1&gt;=PitanS,S1&lt;=PitanE),26,""),"")</f>
        <v/>
      </c>
      <c r="T82" s="14">
        <f>IF(AND(T1&lt;&gt;"",ISNUMBER(PitanS),ISNUMBER(PitanE)),IF(AND(T1&gt;=PitanS,T1&lt;=PitanE),26,""),"")</f>
        <v/>
      </c>
      <c r="U82" s="14">
        <f>IF(AND(U1&lt;&gt;"",ISNUMBER(PitanS),ISNUMBER(PitanE)),IF(AND(U1&gt;=PitanS,U1&lt;=PitanE),26,""),"")</f>
        <v/>
      </c>
      <c r="V82" s="14">
        <f>IF(AND(V1&lt;&gt;"",ISNUMBER(PitanS),ISNUMBER(PitanE)),IF(AND(V1&gt;=PitanS,V1&lt;=PitanE),26,""),"")</f>
        <v/>
      </c>
      <c r="W82" s="14">
        <f>IF(AND(W1&lt;&gt;"",ISNUMBER(PitanS),ISNUMBER(PitanE)),IF(AND(W1&gt;=PitanS,W1&lt;=PitanE),26,""),"")</f>
        <v/>
      </c>
      <c r="X82" s="14">
        <f>IF(AND(X1&lt;&gt;"",ISNUMBER(PitanS),ISNUMBER(PitanE)),IF(AND(X1&gt;=PitanS,X1&lt;=PitanE),26,""),"")</f>
        <v/>
      </c>
      <c r="Y82" s="14">
        <f>IF(AND(Y1&lt;&gt;"",ISNUMBER(PitanS),ISNUMBER(PitanE)),IF(AND(Y1&gt;=PitanS,Y1&lt;=PitanE),26,""),"")</f>
        <v/>
      </c>
      <c r="Z82" s="14">
        <f>IF(AND(Z1&lt;&gt;"",ISNUMBER(PitanS),ISNUMBER(PitanE)),IF(AND(Z1&gt;=PitanS,Z1&lt;=PitanE),26,""),"")</f>
        <v/>
      </c>
      <c r="AA82" s="14">
        <f>IF(AND(AA1&lt;&gt;"",ISNUMBER(PitanS),ISNUMBER(PitanE)),IF(AND(AA1&gt;=PitanS,AA1&lt;=PitanE),26,""),"")</f>
        <v/>
      </c>
      <c r="AB82" s="14">
        <f>IF(AND(AB1&lt;&gt;"",ISNUMBER(PitanS),ISNUMBER(PitanE)),IF(AND(AB1&gt;=PitanS,AB1&lt;=PitanE),26,""),"")</f>
        <v/>
      </c>
      <c r="AC82" s="14">
        <f>IF(AND(AC1&lt;&gt;"",ISNUMBER(PitanS),ISNUMBER(PitanE)),IF(AND(AC1&gt;=PitanS,AC1&lt;=PitanE),26,""),"")</f>
        <v/>
      </c>
      <c r="AD82" s="14">
        <f>IF(AND(AD1&lt;&gt;"",ISNUMBER(PitanS),ISNUMBER(PitanE)),IF(AND(AD1&gt;=PitanS,AD1&lt;=PitanE),26,""),"")</f>
        <v/>
      </c>
      <c r="AE82" s="14">
        <f>IF(AND(AE1&lt;&gt;"",ISNUMBER(PitanS),ISNUMBER(PitanE)),IF(AND(AE1&gt;=PitanS,AE1&lt;=PitanE),26,""),"")</f>
        <v/>
      </c>
      <c r="AF82" s="14">
        <f>IF(AND(AF1&lt;&gt;"",ISNUMBER(PitanS),ISNUMBER(PitanE)),IF(AND(AF1&gt;=PitanS,AF1&lt;=PitanE),26,""),"")</f>
        <v/>
      </c>
      <c r="AG82" s="14">
        <f>IF(AND(AG1&lt;&gt;"",ISNUMBER(PitanS),ISNUMBER(PitanE)),IF(AND(AG1&gt;=PitanS,AG1&lt;=PitanE),26,""),"")</f>
        <v/>
      </c>
      <c r="AH82" s="14">
        <f>IF(AND(AH1&lt;&gt;"",ISNUMBER(PitanS),ISNUMBER(PitanE)),IF(AND(AH1&gt;=PitanS,AH1&lt;=PitanE),26,""),"")</f>
        <v/>
      </c>
      <c r="AI82" s="14">
        <f>IF(AND(AI1&lt;&gt;"",ISNUMBER(PitanS),ISNUMBER(PitanE)),IF(AND(AI1&gt;=PitanS,AI1&lt;=PitanE),26,""),"")</f>
        <v/>
      </c>
      <c r="AJ82" s="14">
        <f>IF(AND(AJ1&lt;&gt;"",ISNUMBER(PitanS),ISNUMBER(PitanE)),IF(AND(AJ1&gt;=PitanS,AJ1&lt;=PitanE),26,""),"")</f>
        <v/>
      </c>
      <c r="AK82" s="14">
        <f>IF(AND(AK1&lt;&gt;"",ISNUMBER(PitanS),ISNUMBER(PitanE)),IF(AND(AK1&gt;=PitanS,AK1&lt;=PitanE),26,""),"")</f>
        <v/>
      </c>
      <c r="AL82" s="14">
        <f>IF(AND(AL1&lt;&gt;"",ISNUMBER(PitanS),ISNUMBER(PitanE)),IF(AND(AL1&gt;=PitanS,AL1&lt;=PitanE),26,""),"")</f>
        <v/>
      </c>
      <c r="AM82" s="14">
        <f>IF(AND(AM1&lt;&gt;"",ISNUMBER(PitanS),ISNUMBER(PitanE)),IF(AND(AM1&gt;=PitanS,AM1&lt;=PitanE),26,""),"")</f>
        <v/>
      </c>
      <c r="AN82" s="14">
        <f>IF(AND(AN1&lt;&gt;"",ISNUMBER(PitanS),ISNUMBER(PitanE)),IF(AND(AN1&gt;=PitanS,AN1&lt;=PitanE),26,""),"")</f>
        <v/>
      </c>
      <c r="AO82" s="14">
        <f>IF(AND(AO1&lt;&gt;"",ISNUMBER(PitanS),ISNUMBER(PitanE)),IF(AND(AO1&gt;=PitanS,AO1&lt;=PitanE),26,""),"")</f>
        <v/>
      </c>
      <c r="AP82" s="14">
        <f>IF(AND(AP1&lt;&gt;"",ISNUMBER(PitanS),ISNUMBER(PitanE)),IF(AND(AP1&gt;=PitanS,AP1&lt;=PitanE),26,""),"")</f>
        <v/>
      </c>
      <c r="AQ82" s="14">
        <f>IF(AND(AQ1&lt;&gt;"",ISNUMBER(PitanS),ISNUMBER(PitanE)),IF(AND(AQ1&gt;=PitanS,AQ1&lt;=PitanE),26,""),"")</f>
        <v/>
      </c>
      <c r="AR82" s="14">
        <f>IF(AND(AR1&lt;&gt;"",ISNUMBER(PitanS),ISNUMBER(PitanE)),IF(AND(AR1&gt;=PitanS,AR1&lt;=PitanE),26,""),"")</f>
        <v/>
      </c>
      <c r="AS82" s="14">
        <f>IF(AND(AS1&lt;&gt;"",ISNUMBER(PitanS),ISNUMBER(PitanE)),IF(AND(AS1&gt;=PitanS,AS1&lt;=PitanE),26,""),"")</f>
        <v/>
      </c>
      <c r="AT82" s="14">
        <f>IF(AND(AT1&lt;&gt;"",ISNUMBER(PitanS),ISNUMBER(PitanE)),IF(AND(AT1&gt;=PitanS,AT1&lt;=PitanE),26,""),"")</f>
        <v/>
      </c>
      <c r="AU82" s="14">
        <f>IF(AND(AU1&lt;&gt;"",ISNUMBER(PitanS),ISNUMBER(PitanE)),IF(AND(AU1&gt;=PitanS,AU1&lt;=PitanE),26,""),"")</f>
        <v/>
      </c>
      <c r="AV82" s="14">
        <f>IF(AND(AV1&lt;&gt;"",ISNUMBER(PitanS),ISNUMBER(PitanE)),IF(AND(AV1&gt;=PitanS,AV1&lt;=PitanE),26,""),"")</f>
        <v/>
      </c>
      <c r="AW82" s="14">
        <f>IF(AND(AW1&lt;&gt;"",ISNUMBER(PitanS),ISNUMBER(PitanE)),IF(AND(AW1&gt;=PitanS,AW1&lt;=PitanE),26,""),"")</f>
        <v/>
      </c>
      <c r="AX82" s="14">
        <f>IF(AND(AX1&lt;&gt;"",ISNUMBER(PitanS),ISNUMBER(PitanE)),IF(AND(AX1&gt;=PitanS,AX1&lt;=PitanE),26,""),"")</f>
        <v/>
      </c>
      <c r="AY82" s="14">
        <f>IF(AND(AY1&lt;&gt;"",ISNUMBER(PitanS),ISNUMBER(PitanE)),IF(AND(AY1&gt;=PitanS,AY1&lt;=PitanE),26,""),"")</f>
        <v/>
      </c>
      <c r="AZ82" s="14">
        <f>IF(AND(AZ1&lt;&gt;"",ISNUMBER(PitanS),ISNUMBER(PitanE)),IF(AND(AZ1&gt;=PitanS,AZ1&lt;=PitanE),26,""),"")</f>
        <v/>
      </c>
      <c r="BA82" s="14">
        <f>IF(AND(BA1&lt;&gt;"",ISNUMBER(PitanS),ISNUMBER(PitanE)),IF(AND(BA1&gt;=PitanS,BA1&lt;=PitanE),26,""),"")</f>
        <v/>
      </c>
      <c r="BB82" s="14">
        <f>IF(AND(BB1&lt;&gt;"",ISNUMBER(PitanS),ISNUMBER(PitanE)),IF(AND(BB1&gt;=PitanS,BB1&lt;=PitanE),26,""),"")</f>
        <v/>
      </c>
      <c r="BC82" s="14">
        <f>IF(AND(BC1&lt;&gt;"",ISNUMBER(PitanS),ISNUMBER(PitanE)),IF(AND(BC1&gt;=PitanS,BC1&lt;=PitanE),26,""),"")</f>
        <v/>
      </c>
      <c r="BD82" s="14">
        <f>IF(AND(BD1&lt;&gt;"",ISNUMBER(PitanS),ISNUMBER(PitanE)),IF(AND(BD1&gt;=PitanS,BD1&lt;=PitanE),26,""),"")</f>
        <v/>
      </c>
      <c r="BE82" s="14">
        <f>IF(AND(BE1&lt;&gt;"",ISNUMBER(PitanS),ISNUMBER(PitanE)),IF(AND(BE1&gt;=PitanS,BE1&lt;=PitanE),26,""),"")</f>
        <v/>
      </c>
      <c r="BF82" s="14">
        <f>IF(AND(BF1&lt;&gt;"",ISNUMBER(PitanS),ISNUMBER(PitanE)),IF(AND(BF1&gt;=PitanS,BF1&lt;=PitanE),26,""),"")</f>
        <v/>
      </c>
      <c r="BG82" s="14">
        <f>IF(AND(BG1&lt;&gt;"",ISNUMBER(PitanS),ISNUMBER(PitanE)),IF(AND(BG1&gt;=PitanS,BG1&lt;=PitanE),26,""),"")</f>
        <v/>
      </c>
      <c r="BH82" s="14">
        <f>IF(AND(BH1&lt;&gt;"",ISNUMBER(PitanS),ISNUMBER(PitanE)),IF(AND(BH1&gt;=PitanS,BH1&lt;=PitanE),26,""),"")</f>
        <v/>
      </c>
      <c r="BI82" s="14">
        <f>IF(AND(BI1&lt;&gt;"",ISNUMBER(PitanS),ISNUMBER(PitanE)),IF(AND(BI1&gt;=PitanS,BI1&lt;=PitanE),26,""),"")</f>
        <v/>
      </c>
      <c r="BJ82" s="14">
        <f>IF(AND(BJ1&lt;&gt;"",ISNUMBER(PitanS),ISNUMBER(PitanE)),IF(AND(BJ1&gt;=PitanS,BJ1&lt;=PitanE),26,""),"")</f>
        <v/>
      </c>
      <c r="BK82" s="14">
        <f>IF(AND(BK1&lt;&gt;"",ISNUMBER(PitanS),ISNUMBER(PitanE)),IF(AND(BK1&gt;=PitanS,BK1&lt;=PitanE),26,""),"")</f>
        <v/>
      </c>
      <c r="BL82" s="14">
        <f>IF(AND(BL1&lt;&gt;"",ISNUMBER(PitanS),ISNUMBER(PitanE)),IF(AND(BL1&gt;=PitanS,BL1&lt;=PitanE),26,""),"")</f>
        <v/>
      </c>
      <c r="BM82" s="14">
        <f>IF(AND(BM1&lt;&gt;"",ISNUMBER(PitanS),ISNUMBER(PitanE)),IF(AND(BM1&gt;=PitanS,BM1&lt;=PitanE),26,""),"")</f>
        <v/>
      </c>
      <c r="BN82" s="14">
        <f>IF(AND(BN1&lt;&gt;"",ISNUMBER(PitanS),ISNUMBER(PitanE)),IF(AND(BN1&gt;=PitanS,BN1&lt;=PitanE),26,""),"")</f>
        <v/>
      </c>
      <c r="BO82" s="14">
        <f>IF(AND(BO1&lt;&gt;"",ISNUMBER(PitanS),ISNUMBER(PitanE)),IF(AND(BO1&gt;=PitanS,BO1&lt;=PitanE),26,""),"")</f>
        <v/>
      </c>
      <c r="BP82" s="14">
        <f>IF(AND(BP1&lt;&gt;"",ISNUMBER(PitanS),ISNUMBER(PitanE)),IF(AND(BP1&gt;=PitanS,BP1&lt;=PitanE),26,""),"")</f>
        <v/>
      </c>
      <c r="BQ82" s="14">
        <f>IF(AND(BQ1&lt;&gt;"",ISNUMBER(PitanS),ISNUMBER(PitanE)),IF(AND(BQ1&gt;=PitanS,BQ1&lt;=PitanE),26,""),"")</f>
        <v/>
      </c>
      <c r="BR82" s="14">
        <f>IF(AND(BR1&lt;&gt;"",ISNUMBER(PitanS),ISNUMBER(PitanE)),IF(AND(BR1&gt;=PitanS,BR1&lt;=PitanE),26,""),"")</f>
        <v/>
      </c>
      <c r="BS82" s="14">
        <f>IF(AND(BS1&lt;&gt;"",ISNUMBER(PitanS),ISNUMBER(PitanE)),IF(AND(BS1&gt;=PitanS,BS1&lt;=PitanE),26,""),"")</f>
        <v/>
      </c>
      <c r="BT82" s="14">
        <f>IF(AND(BT1&lt;&gt;"",ISNUMBER(PitanS),ISNUMBER(PitanE)),IF(AND(BT1&gt;=PitanS,BT1&lt;=PitanE),26,""),"")</f>
        <v/>
      </c>
      <c r="BU82" s="14">
        <f>IF(AND(BU1&lt;&gt;"",ISNUMBER(PitanS),ISNUMBER(PitanE)),IF(AND(BU1&gt;=PitanS,BU1&lt;=PitanE),26,""),"")</f>
        <v/>
      </c>
      <c r="BV82" s="14">
        <f>IF(AND(BV1&lt;&gt;"",ISNUMBER(PitanS),ISNUMBER(PitanE)),IF(AND(BV1&gt;=PitanS,BV1&lt;=PitanE),26,""),"")</f>
        <v/>
      </c>
      <c r="BW82" s="14">
        <f>IF(AND(BW1&lt;&gt;"",ISNUMBER(PitanS),ISNUMBER(PitanE)),IF(AND(BW1&gt;=PitanS,BW1&lt;=PitanE),26,""),"")</f>
        <v/>
      </c>
      <c r="BX82" s="14">
        <f>IF(AND(BX1&lt;&gt;"",ISNUMBER(PitanS),ISNUMBER(PitanE)),IF(AND(BX1&gt;=PitanS,BX1&lt;=PitanE),26,""),"")</f>
        <v/>
      </c>
      <c r="BY82" s="14">
        <f>IF(AND(BY1&lt;&gt;"",ISNUMBER(PitanS),ISNUMBER(PitanE)),IF(AND(BY1&gt;=PitanS,BY1&lt;=PitanE),26,""),"")</f>
        <v/>
      </c>
      <c r="BZ82" s="14">
        <f>IF(AND(BZ1&lt;&gt;"",ISNUMBER(PitanS),ISNUMBER(PitanE)),IF(AND(BZ1&gt;=PitanS,BZ1&lt;=PitanE),26,""),"")</f>
        <v/>
      </c>
      <c r="CA82" s="14">
        <f>IF(AND(CA1&lt;&gt;"",ISNUMBER(PitanS),ISNUMBER(PitanE)),IF(AND(CA1&gt;=PitanS,CA1&lt;=PitanE),26,""),"")</f>
        <v/>
      </c>
      <c r="CB82" s="14">
        <f>IF(AND(CB1&lt;&gt;"",ISNUMBER(PitanS),ISNUMBER(PitanE)),IF(AND(CB1&gt;=PitanS,CB1&lt;=PitanE),26,""),"")</f>
        <v/>
      </c>
      <c r="CC82" s="14">
        <f>IF(AND(CC1&lt;&gt;"",ISNUMBER(PitanS),ISNUMBER(PitanE)),IF(AND(CC1&gt;=PitanS,CC1&lt;=PitanE),26,""),"")</f>
        <v/>
      </c>
      <c r="CD82" s="14">
        <f>IF(AND(CD1&lt;&gt;"",ISNUMBER(PitanS),ISNUMBER(PitanE)),IF(AND(CD1&gt;=PitanS,CD1&lt;=PitanE),26,""),"")</f>
        <v/>
      </c>
      <c r="CE82" s="14">
        <f>IF(AND(CE1&lt;&gt;"",ISNUMBER(PitanS),ISNUMBER(PitanE)),IF(AND(CE1&gt;=PitanS,CE1&lt;=PitanE),26,""),"")</f>
        <v/>
      </c>
      <c r="CF82" s="14">
        <f>IF(AND(CF1&lt;&gt;"",ISNUMBER(PitanS),ISNUMBER(PitanE)),IF(AND(CF1&gt;=PitanS,CF1&lt;=PitanE),26,""),"")</f>
        <v/>
      </c>
      <c r="CG82" s="14">
        <f>IF(AND(CG1&lt;&gt;"",ISNUMBER(PitanS),ISNUMBER(PitanE)),IF(AND(CG1&gt;=PitanS,CG1&lt;=PitanE),26,""),"")</f>
        <v/>
      </c>
      <c r="CH82" s="14">
        <f>IF(AND(CH1&lt;&gt;"",ISNUMBER(PitanS),ISNUMBER(PitanE)),IF(AND(CH1&gt;=PitanS,CH1&lt;=PitanE),26,""),"")</f>
        <v/>
      </c>
      <c r="CI82" s="14">
        <f>IF(AND(CI1&lt;&gt;"",ISNUMBER(PitanS),ISNUMBER(PitanE)),IF(AND(CI1&gt;=PitanS,CI1&lt;=PitanE),26,""),"")</f>
        <v/>
      </c>
      <c r="CJ82" s="14">
        <f>IF(AND(CJ1&lt;&gt;"",ISNUMBER(PitanS),ISNUMBER(PitanE)),IF(AND(CJ1&gt;=PitanS,CJ1&lt;=PitanE),26,""),"")</f>
        <v/>
      </c>
      <c r="CK82" s="14">
        <f>IF(AND(CK1&lt;&gt;"",ISNUMBER(PitanS),ISNUMBER(PitanE)),IF(AND(CK1&gt;=PitanS,CK1&lt;=PitanE),26,""),"")</f>
        <v/>
      </c>
      <c r="CL82" s="14">
        <f>IF(AND(CL1&lt;&gt;"",ISNUMBER(PitanS),ISNUMBER(PitanE)),IF(AND(CL1&gt;=PitanS,CL1&lt;=PitanE),26,""),"")</f>
        <v/>
      </c>
      <c r="CM82" s="14">
        <f>IF(AND(CM1&lt;&gt;"",ISNUMBER(PitanS),ISNUMBER(PitanE)),IF(AND(CM1&gt;=PitanS,CM1&lt;=PitanE),26,""),"")</f>
        <v/>
      </c>
      <c r="CN82" s="14">
        <f>IF(AND(CN1&lt;&gt;"",ISNUMBER(PitanS),ISNUMBER(PitanE)),IF(AND(CN1&gt;=PitanS,CN1&lt;=PitanE),26,""),"")</f>
        <v/>
      </c>
      <c r="CO82" s="14">
        <f>IF(AND(CO1&lt;&gt;"",ISNUMBER(PitanS),ISNUMBER(PitanE)),IF(AND(CO1&gt;=PitanS,CO1&lt;=PitanE),26,""),"")</f>
        <v/>
      </c>
      <c r="CP82" s="14">
        <f>IF(AND(CP1&lt;&gt;"",ISNUMBER(PitanS),ISNUMBER(PitanE)),IF(AND(CP1&gt;=PitanS,CP1&lt;=PitanE),26,""),"")</f>
        <v/>
      </c>
      <c r="CQ82" s="14">
        <f>IF(AND(CQ1&lt;&gt;"",ISNUMBER(PitanS),ISNUMBER(PitanE)),IF(AND(CQ1&gt;=PitanS,CQ1&lt;=PitanE),26,""),"")</f>
        <v/>
      </c>
      <c r="CR82" s="14">
        <f>IF(AND(CR1&lt;&gt;"",ISNUMBER(PitanS),ISNUMBER(PitanE)),IF(AND(CR1&gt;=PitanS,CR1&lt;=PitanE),26,""),"")</f>
        <v/>
      </c>
      <c r="CS82" s="14">
        <f>IF(AND(CS1&lt;&gt;"",ISNUMBER(PitanS),ISNUMBER(PitanE)),IF(AND(CS1&gt;=PitanS,CS1&lt;=PitanE),26,""),"")</f>
        <v/>
      </c>
      <c r="CT82" s="14">
        <f>IF(AND(CT1&lt;&gt;"",ISNUMBER(PitanS),ISNUMBER(PitanE)),IF(AND(CT1&gt;=PitanS,CT1&lt;=PitanE),26,""),"")</f>
        <v/>
      </c>
      <c r="CU82" s="14">
        <f>IF(AND(CU1&lt;&gt;"",ISNUMBER(PitanS),ISNUMBER(PitanE)),IF(AND(CU1&gt;=PitanS,CU1&lt;=PitanE),26,""),"")</f>
        <v/>
      </c>
      <c r="CV82" s="14">
        <f>IF(AND(CV1&lt;&gt;"",ISNUMBER(PitanS),ISNUMBER(PitanE)),IF(AND(CV1&gt;=PitanS,CV1&lt;=PitanE),26,""),"")</f>
        <v/>
      </c>
      <c r="CW82" s="14">
        <f>IF(AND(CW1&lt;&gt;"",ISNUMBER(PitanS),ISNUMBER(PitanE)),IF(AND(CW1&gt;=PitanS,CW1&lt;=PitanE),26,""),"")</f>
        <v/>
      </c>
      <c r="CX82" s="14">
        <f>IF(AND(CX1&lt;&gt;"",ISNUMBER(PitanS),ISNUMBER(PitanE)),IF(AND(CX1&gt;=PitanS,CX1&lt;=PitanE),26,""),"")</f>
        <v/>
      </c>
      <c r="CY82" s="14">
        <f>IF(AND(CY1&lt;&gt;"",ISNUMBER(PitanS),ISNUMBER(PitanE)),IF(AND(CY1&gt;=PitanS,CY1&lt;=PitanE),26,""),"")</f>
        <v/>
      </c>
      <c r="CZ82" s="14">
        <f>IF(AND(CZ1&lt;&gt;"",ISNUMBER(PitanS),ISNUMBER(PitanE)),IF(AND(CZ1&gt;=PitanS,CZ1&lt;=PitanE),26,""),"")</f>
        <v/>
      </c>
      <c r="DA82" s="14">
        <f>IF(AND(DA1&lt;&gt;"",ISNUMBER(PitanS),ISNUMBER(PitanE)),IF(AND(DA1&gt;=PitanS,DA1&lt;=PitanE),26,""),"")</f>
        <v/>
      </c>
      <c r="DB82" s="14">
        <f>IF(AND(DB1&lt;&gt;"",ISNUMBER(PitanS),ISNUMBER(PitanE)),IF(AND(DB1&gt;=PitanS,DB1&lt;=PitanE),26,""),"")</f>
        <v/>
      </c>
      <c r="DC82" s="14">
        <f>IF(AND(DC1&lt;&gt;"",ISNUMBER(PitanS),ISNUMBER(PitanE)),IF(AND(DC1&gt;=PitanS,DC1&lt;=PitanE),26,""),"")</f>
        <v/>
      </c>
      <c r="DD82" s="14">
        <f>IF(AND(DD1&lt;&gt;"",ISNUMBER(PitanS),ISNUMBER(PitanE)),IF(AND(DD1&gt;=PitanS,DD1&lt;=PitanE),26,""),"")</f>
        <v/>
      </c>
      <c r="DE82" s="14">
        <f>IF(AND(DE1&lt;&gt;"",ISNUMBER(PitanS),ISNUMBER(PitanE)),IF(AND(DE1&gt;=PitanS,DE1&lt;=PitanE),26,""),"")</f>
        <v/>
      </c>
      <c r="DF82" s="14">
        <f>IF(AND(DF1&lt;&gt;"",ISNUMBER(PitanS),ISNUMBER(PitanE)),IF(AND(DF1&gt;=PitanS,DF1&lt;=PitanE),26,""),"")</f>
        <v/>
      </c>
      <c r="DG82" s="14">
        <f>IF(AND(DG1&lt;&gt;"",ISNUMBER(PitanS),ISNUMBER(PitanE)),IF(AND(DG1&gt;=PitanS,DG1&lt;=PitanE),26,""),"")</f>
        <v/>
      </c>
      <c r="DH82" s="14">
        <f>IF(AND(DH1&lt;&gt;"",ISNUMBER(PitanS),ISNUMBER(PitanE)),IF(AND(DH1&gt;=PitanS,DH1&lt;=PitanE),26,""),"")</f>
        <v/>
      </c>
      <c r="DI82" s="14">
        <f>IF(AND(DI1&lt;&gt;"",ISNUMBER(PitanS),ISNUMBER(PitanE)),IF(AND(DI1&gt;=PitanS,DI1&lt;=PitanE),26,""),"")</f>
        <v/>
      </c>
      <c r="DJ82" s="14">
        <f>IF(AND(DJ1&lt;&gt;"",ISNUMBER(PitanS),ISNUMBER(PitanE)),IF(AND(DJ1&gt;=PitanS,DJ1&lt;=PitanE),26,""),"")</f>
        <v/>
      </c>
      <c r="DK82" s="14">
        <f>IF(AND(DK1&lt;&gt;"",ISNUMBER(PitanS),ISNUMBER(PitanE)),IF(AND(DK1&gt;=PitanS,DK1&lt;=PitanE),26,""),"")</f>
        <v/>
      </c>
      <c r="DL82" s="14">
        <f>IF(AND(DL1&lt;&gt;"",ISNUMBER(PitanS),ISNUMBER(PitanE)),IF(AND(DL1&gt;=PitanS,DL1&lt;=PitanE),26,""),"")</f>
        <v/>
      </c>
      <c r="DM82" s="14">
        <f>IF(AND(DM1&lt;&gt;"",ISNUMBER(PitanS),ISNUMBER(PitanE)),IF(AND(DM1&gt;=PitanS,DM1&lt;=PitanE),26,""),"")</f>
        <v/>
      </c>
      <c r="DN82" s="14">
        <f>IF(AND(DN1&lt;&gt;"",ISNUMBER(PitanS),ISNUMBER(PitanE)),IF(AND(DN1&gt;=PitanS,DN1&lt;=PitanE),26,""),"")</f>
        <v/>
      </c>
      <c r="DO82" s="14">
        <f>IF(AND(DO1&lt;&gt;"",ISNUMBER(PitanS),ISNUMBER(PitanE)),IF(AND(DO1&gt;=PitanS,DO1&lt;=PitanE),26,""),"")</f>
        <v/>
      </c>
      <c r="DP82" s="14">
        <f>IF(AND(DP1&lt;&gt;"",ISNUMBER(PitanS),ISNUMBER(PitanE)),IF(AND(DP1&gt;=PitanS,DP1&lt;=PitanE),26,""),"")</f>
        <v/>
      </c>
      <c r="DQ82" s="14">
        <f>IF(AND(DQ1&lt;&gt;"",ISNUMBER(PitanS),ISNUMBER(PitanE)),IF(AND(DQ1&gt;=PitanS,DQ1&lt;=PitanE),26,""),"")</f>
        <v/>
      </c>
      <c r="DR82" s="14">
        <f>IF(AND(DR1&lt;&gt;"",ISNUMBER(PitanS),ISNUMBER(PitanE)),IF(AND(DR1&gt;=PitanS,DR1&lt;=PitanE),26,""),"")</f>
        <v/>
      </c>
      <c r="DS82" s="14">
        <f>IF(AND(DS1&lt;&gt;"",ISNUMBER(PitanS),ISNUMBER(PitanE)),IF(AND(DS1&gt;=PitanS,DS1&lt;=PitanE),26,""),"")</f>
        <v/>
      </c>
      <c r="DT82" s="14">
        <f>IF(AND(DT1&lt;&gt;"",ISNUMBER(PitanS),ISNUMBER(PitanE)),IF(AND(DT1&gt;=PitanS,DT1&lt;=PitanE),26,""),"")</f>
        <v/>
      </c>
      <c r="DU82" s="14">
        <f>IF(AND(DU1&lt;&gt;"",ISNUMBER(PitanS),ISNUMBER(PitanE)),IF(AND(DU1&gt;=PitanS,DU1&lt;=PitanE),26,""),"")</f>
        <v/>
      </c>
      <c r="DV82" s="14">
        <f>IF(AND(DV1&lt;&gt;"",ISNUMBER(PitanS),ISNUMBER(PitanE)),IF(AND(DV1&gt;=PitanS,DV1&lt;=PitanE),26,""),"")</f>
        <v/>
      </c>
      <c r="DW82" s="14">
        <f>IF(AND(DW1&lt;&gt;"",ISNUMBER(PitanS),ISNUMBER(PitanE)),IF(AND(DW1&gt;=PitanS,DW1&lt;=PitanE),26,""),"")</f>
        <v/>
      </c>
      <c r="DX82" s="14">
        <f>IF(AND(DX1&lt;&gt;"",ISNUMBER(PitanS),ISNUMBER(PitanE)),IF(AND(DX1&gt;=PitanS,DX1&lt;=PitanE),26,""),"")</f>
        <v/>
      </c>
      <c r="DY82" s="14">
        <f>IF(AND(DY1&lt;&gt;"",ISNUMBER(PitanS),ISNUMBER(PitanE)),IF(AND(DY1&gt;=PitanS,DY1&lt;=PitanE),26,""),"")</f>
        <v/>
      </c>
      <c r="DZ82" s="14">
        <f>IF(AND(DZ1&lt;&gt;"",ISNUMBER(PitanS),ISNUMBER(PitanE)),IF(AND(DZ1&gt;=PitanS,DZ1&lt;=PitanE),26,""),"")</f>
        <v/>
      </c>
      <c r="EA82" s="14">
        <f>IF(AND(EA1&lt;&gt;"",ISNUMBER(PitanS),ISNUMBER(PitanE)),IF(AND(EA1&gt;=PitanS,EA1&lt;=PitanE),26,""),"")</f>
        <v/>
      </c>
      <c r="EB82" s="14">
        <f>IF(AND(EB1&lt;&gt;"",ISNUMBER(PitanS),ISNUMBER(PitanE)),IF(AND(EB1&gt;=PitanS,EB1&lt;=PitanE),26,""),"")</f>
        <v/>
      </c>
      <c r="EC82" s="14">
        <f>IF(AND(EC1&lt;&gt;"",ISNUMBER(PitanS),ISNUMBER(PitanE)),IF(AND(EC1&gt;=PitanS,EC1&lt;=PitanE),26,""),"")</f>
        <v/>
      </c>
      <c r="ED82" s="14">
        <f>IF(AND(ED1&lt;&gt;"",ISNUMBER(PitanS),ISNUMBER(PitanE)),IF(AND(ED1&gt;=PitanS,ED1&lt;=PitanE),26,""),"")</f>
        <v/>
      </c>
      <c r="EE82" s="14">
        <f>IF(AND(EE1&lt;&gt;"",ISNUMBER(PitanS),ISNUMBER(PitanE)),IF(AND(EE1&gt;=PitanS,EE1&lt;=PitanE),26,""),"")</f>
        <v/>
      </c>
      <c r="EF82" s="14">
        <f>IF(AND(EF1&lt;&gt;"",ISNUMBER(PitanS),ISNUMBER(PitanE)),IF(AND(EF1&gt;=PitanS,EF1&lt;=PitanE),26,""),"")</f>
        <v/>
      </c>
      <c r="EG82" s="14">
        <f>IF(AND(EG1&lt;&gt;"",ISNUMBER(PitanS),ISNUMBER(PitanE)),IF(AND(EG1&gt;=PitanS,EG1&lt;=PitanE),26,""),"")</f>
        <v/>
      </c>
      <c r="EH82" s="14">
        <f>IF(AND(EH1&lt;&gt;"",ISNUMBER(PitanS),ISNUMBER(PitanE)),IF(AND(EH1&gt;=PitanS,EH1&lt;=PitanE),26,""),"")</f>
        <v/>
      </c>
      <c r="EI82" s="14">
        <f>IF(AND(EI1&lt;&gt;"",ISNUMBER(PitanS),ISNUMBER(PitanE)),IF(AND(EI1&gt;=PitanS,EI1&lt;=PitanE),26,""),"")</f>
        <v/>
      </c>
      <c r="EJ82" s="14">
        <f>IF(AND(EJ1&lt;&gt;"",ISNUMBER(PitanS),ISNUMBER(PitanE)),IF(AND(EJ1&gt;=PitanS,EJ1&lt;=PitanE),26,""),"")</f>
        <v/>
      </c>
      <c r="EK82" s="14">
        <f>IF(AND(EK1&lt;&gt;"",ISNUMBER(PitanS),ISNUMBER(PitanE)),IF(AND(EK1&gt;=PitanS,EK1&lt;=PitanE),26,""),"")</f>
        <v/>
      </c>
      <c r="EL82" s="14">
        <f>IF(AND(EL1&lt;&gt;"",ISNUMBER(PitanS),ISNUMBER(PitanE)),IF(AND(EL1&gt;=PitanS,EL1&lt;=PitanE),26,""),"")</f>
        <v/>
      </c>
      <c r="EM82" s="14">
        <f>IF(AND(EM1&lt;&gt;"",ISNUMBER(PitanS),ISNUMBER(PitanE)),IF(AND(EM1&gt;=PitanS,EM1&lt;=PitanE),26,""),"")</f>
        <v/>
      </c>
      <c r="EN82" s="14">
        <f>IF(AND(EN1&lt;&gt;"",ISNUMBER(PitanS),ISNUMBER(PitanE)),IF(AND(EN1&gt;=PitanS,EN1&lt;=PitanE),26,""),"")</f>
        <v/>
      </c>
      <c r="EO82" s="14">
        <f>IF(AND(EO1&lt;&gt;"",ISNUMBER(PitanS),ISNUMBER(PitanE)),IF(AND(EO1&gt;=PitanS,EO1&lt;=PitanE),26,""),"")</f>
        <v/>
      </c>
      <c r="EP82" s="14">
        <f>IF(AND(EP1&lt;&gt;"",ISNUMBER(PitanS),ISNUMBER(PitanE)),IF(AND(EP1&gt;=PitanS,EP1&lt;=PitanE),26,""),"")</f>
        <v/>
      </c>
      <c r="EQ82" s="14">
        <f>IF(AND(EQ1&lt;&gt;"",ISNUMBER(PitanS),ISNUMBER(PitanE)),IF(AND(EQ1&gt;=PitanS,EQ1&lt;=PitanE),26,""),"")</f>
        <v/>
      </c>
      <c r="ER82" s="14">
        <f>IF(AND(ER1&lt;&gt;"",ISNUMBER(PitanS),ISNUMBER(PitanE)),IF(AND(ER1&gt;=PitanS,ER1&lt;=PitanE),26,""),"")</f>
        <v/>
      </c>
      <c r="ES82" s="14">
        <f>IF(AND(ES1&lt;&gt;"",ISNUMBER(PitanS),ISNUMBER(PitanE)),IF(AND(ES1&gt;=PitanS,ES1&lt;=PitanE),26,""),"")</f>
        <v/>
      </c>
      <c r="ET82" s="14">
        <f>IF(AND(ET1&lt;&gt;"",ISNUMBER(PitanS),ISNUMBER(PitanE)),IF(AND(ET1&gt;=PitanS,ET1&lt;=PitanE),26,""),"")</f>
        <v/>
      </c>
      <c r="EU82" s="14">
        <f>IF(AND(EU1&lt;&gt;"",ISNUMBER(PitanS),ISNUMBER(PitanE)),IF(AND(EU1&gt;=PitanS,EU1&lt;=PitanE),26,""),"")</f>
        <v/>
      </c>
      <c r="EV82" s="14">
        <f>IF(AND(EV1&lt;&gt;"",ISNUMBER(PitanS),ISNUMBER(PitanE)),IF(AND(EV1&gt;=PitanS,EV1&lt;=PitanE),26,""),"")</f>
        <v/>
      </c>
      <c r="EW82" s="14">
        <f>IF(AND(EW1&lt;&gt;"",ISNUMBER(PitanS),ISNUMBER(PitanE)),IF(AND(EW1&gt;=PitanS,EW1&lt;=PitanE),26,""),"")</f>
        <v/>
      </c>
      <c r="EX82" s="14">
        <f>IF(AND(EX1&lt;&gt;"",ISNUMBER(PitanS),ISNUMBER(PitanE)),IF(AND(EX1&gt;=PitanS,EX1&lt;=PitanE),26,""),"")</f>
        <v/>
      </c>
      <c r="EY82" s="14">
        <f>IF(AND(EY1&lt;&gt;"",ISNUMBER(PitanS),ISNUMBER(PitanE)),IF(AND(EY1&gt;=PitanS,EY1&lt;=PitanE),26,""),"")</f>
        <v/>
      </c>
      <c r="EZ82" s="14">
        <f>IF(AND(EZ1&lt;&gt;"",ISNUMBER(PitanS),ISNUMBER(PitanE)),IF(AND(EZ1&gt;=PitanS,EZ1&lt;=PitanE),26,""),"")</f>
        <v/>
      </c>
      <c r="FA82" s="14">
        <f>IF(AND(FA1&lt;&gt;"",ISNUMBER(PitanS),ISNUMBER(PitanE)),IF(AND(FA1&gt;=PitanS,FA1&lt;=PitanE),26,""),"")</f>
        <v/>
      </c>
      <c r="FB82" s="14">
        <f>IF(AND(FB1&lt;&gt;"",ISNUMBER(PitanS),ISNUMBER(PitanE)),IF(AND(FB1&gt;=PitanS,FB1&lt;=PitanE),26,""),"")</f>
        <v/>
      </c>
      <c r="FC82" s="14">
        <f>IF(AND(FC1&lt;&gt;"",ISNUMBER(PitanS),ISNUMBER(PitanE)),IF(AND(FC1&gt;=PitanS,FC1&lt;=PitanE),26,""),"")</f>
        <v/>
      </c>
      <c r="FD82" s="14">
        <f>IF(AND(FD1&lt;&gt;"",ISNUMBER(PitanS),ISNUMBER(PitanE)),IF(AND(FD1&gt;=PitanS,FD1&lt;=PitanE),26,""),"")</f>
        <v/>
      </c>
      <c r="FE82" s="14">
        <f>IF(AND(FE1&lt;&gt;"",ISNUMBER(PitanS),ISNUMBER(PitanE)),IF(AND(FE1&gt;=PitanS,FE1&lt;=PitanE),26,""),"")</f>
        <v/>
      </c>
      <c r="FF82" s="14">
        <f>IF(AND(FF1&lt;&gt;"",ISNUMBER(PitanS),ISNUMBER(PitanE)),IF(AND(FF1&gt;=PitanS,FF1&lt;=PitanE),26,""),"")</f>
        <v/>
      </c>
      <c r="FG82" s="14">
        <f>IF(AND(FG1&lt;&gt;"",ISNUMBER(PitanS),ISNUMBER(PitanE)),IF(AND(FG1&gt;=PitanS,FG1&lt;=PitanE),26,""),"")</f>
        <v/>
      </c>
      <c r="FH82" s="14">
        <f>IF(AND(FH1&lt;&gt;"",ISNUMBER(PitanS),ISNUMBER(PitanE)),IF(AND(FH1&gt;=PitanS,FH1&lt;=PitanE),26,""),"")</f>
        <v/>
      </c>
      <c r="FI82" s="14">
        <f>IF(AND(FI1&lt;&gt;"",ISNUMBER(PitanS),ISNUMBER(PitanE)),IF(AND(FI1&gt;=PitanS,FI1&lt;=PitanE),26,""),"")</f>
        <v/>
      </c>
      <c r="FJ82" s="14">
        <f>IF(AND(FJ1&lt;&gt;"",ISNUMBER(PitanS),ISNUMBER(PitanE)),IF(AND(FJ1&gt;=PitanS,FJ1&lt;=PitanE),26,""),"")</f>
        <v/>
      </c>
      <c r="FK82" s="14">
        <f>IF(AND(FK1&lt;&gt;"",ISNUMBER(PitanS),ISNUMBER(PitanE)),IF(AND(FK1&gt;=PitanS,FK1&lt;=PitanE),26,""),"")</f>
        <v/>
      </c>
      <c r="FL82" s="14">
        <f>IF(AND(FL1&lt;&gt;"",ISNUMBER(PitanS),ISNUMBER(PitanE)),IF(AND(FL1&gt;=PitanS,FL1&lt;=PitanE),26,""),"")</f>
        <v/>
      </c>
      <c r="FM82" s="14">
        <f>IF(AND(FM1&lt;&gt;"",ISNUMBER(PitanS),ISNUMBER(PitanE)),IF(AND(FM1&gt;=PitanS,FM1&lt;=PitanE),26,""),"")</f>
        <v/>
      </c>
      <c r="FN82" s="14">
        <f>IF(AND(FN1&lt;&gt;"",ISNUMBER(PitanS),ISNUMBER(PitanE)),IF(AND(FN1&gt;=PitanS,FN1&lt;=PitanE),26,""),"")</f>
        <v/>
      </c>
      <c r="FO82" s="14">
        <f>IF(AND(FO1&lt;&gt;"",ISNUMBER(PitanS),ISNUMBER(PitanE)),IF(AND(FO1&gt;=PitanS,FO1&lt;=PitanE),26,""),"")</f>
        <v/>
      </c>
      <c r="FP82" s="14">
        <f>IF(AND(FP1&lt;&gt;"",ISNUMBER(PitanS),ISNUMBER(PitanE)),IF(AND(FP1&gt;=PitanS,FP1&lt;=PitanE),26,""),"")</f>
        <v/>
      </c>
      <c r="FQ82" s="14">
        <f>IF(AND(FQ1&lt;&gt;"",ISNUMBER(PitanS),ISNUMBER(PitanE)),IF(AND(FQ1&gt;=PitanS,FQ1&lt;=PitanE),26,""),"")</f>
        <v/>
      </c>
    </row>
    <row r="83" hidden="1">
      <c r="B83" s="11" t="inlineStr">
        <is>
          <t>3F4D period</t>
        </is>
      </c>
      <c r="D83" s="14">
        <f>IF(AND(D1&lt;&gt;"",ISNUMBER(C1S),ISNUMBER(C3E)),IF(AND(D1&gt;=C1S,D1&lt;=C3E),22,""),"")</f>
        <v/>
      </c>
      <c r="E83" s="14">
        <f>IF(AND(E1&lt;&gt;"",ISNUMBER(C1S),ISNUMBER(C3E)),IF(AND(E1&gt;=C1S,E1&lt;=C3E),22,""),"")</f>
        <v/>
      </c>
      <c r="F83" s="14">
        <f>IF(AND(F1&lt;&gt;"",ISNUMBER(C1S),ISNUMBER(C3E)),IF(AND(F1&gt;=C1S,F1&lt;=C3E),22,""),"")</f>
        <v/>
      </c>
      <c r="G83" s="14">
        <f>IF(AND(G1&lt;&gt;"",ISNUMBER(C1S),ISNUMBER(C3E)),IF(AND(G1&gt;=C1S,G1&lt;=C3E),22,""),"")</f>
        <v/>
      </c>
      <c r="H83" s="14">
        <f>IF(AND(H1&lt;&gt;"",ISNUMBER(C1S),ISNUMBER(C3E)),IF(AND(H1&gt;=C1S,H1&lt;=C3E),22,""),"")</f>
        <v/>
      </c>
      <c r="I83" s="14">
        <f>IF(AND(I1&lt;&gt;"",ISNUMBER(C1S),ISNUMBER(C3E)),IF(AND(I1&gt;=C1S,I1&lt;=C3E),22,""),"")</f>
        <v/>
      </c>
      <c r="J83" s="14">
        <f>IF(AND(J1&lt;&gt;"",ISNUMBER(C1S),ISNUMBER(C3E)),IF(AND(J1&gt;=C1S,J1&lt;=C3E),22,""),"")</f>
        <v/>
      </c>
      <c r="K83" s="14">
        <f>IF(AND(K1&lt;&gt;"",ISNUMBER(C1S),ISNUMBER(C3E)),IF(AND(K1&gt;=C1S,K1&lt;=C3E),22,""),"")</f>
        <v/>
      </c>
      <c r="L83" s="14">
        <f>IF(AND(L1&lt;&gt;"",ISNUMBER(C1S),ISNUMBER(C3E)),IF(AND(L1&gt;=C1S,L1&lt;=C3E),22,""),"")</f>
        <v/>
      </c>
      <c r="M83" s="14">
        <f>IF(AND(M1&lt;&gt;"",ISNUMBER(C1S),ISNUMBER(C3E)),IF(AND(M1&gt;=C1S,M1&lt;=C3E),22,""),"")</f>
        <v/>
      </c>
      <c r="N83" s="14">
        <f>IF(AND(N1&lt;&gt;"",ISNUMBER(C1S),ISNUMBER(C3E)),IF(AND(N1&gt;=C1S,N1&lt;=C3E),22,""),"")</f>
        <v/>
      </c>
      <c r="O83" s="14">
        <f>IF(AND(O1&lt;&gt;"",ISNUMBER(C1S),ISNUMBER(C3E)),IF(AND(O1&gt;=C1S,O1&lt;=C3E),22,""),"")</f>
        <v/>
      </c>
      <c r="P83" s="14">
        <f>IF(AND(P1&lt;&gt;"",ISNUMBER(C1S),ISNUMBER(C3E)),IF(AND(P1&gt;=C1S,P1&lt;=C3E),22,""),"")</f>
        <v/>
      </c>
      <c r="Q83" s="14">
        <f>IF(AND(Q1&lt;&gt;"",ISNUMBER(C1S),ISNUMBER(C3E)),IF(AND(Q1&gt;=C1S,Q1&lt;=C3E),22,""),"")</f>
        <v/>
      </c>
      <c r="R83" s="14">
        <f>IF(AND(R1&lt;&gt;"",ISNUMBER(C1S),ISNUMBER(C3E)),IF(AND(R1&gt;=C1S,R1&lt;=C3E),22,""),"")</f>
        <v/>
      </c>
      <c r="S83" s="14">
        <f>IF(AND(S1&lt;&gt;"",ISNUMBER(C1S),ISNUMBER(C3E)),IF(AND(S1&gt;=C1S,S1&lt;=C3E),22,""),"")</f>
        <v/>
      </c>
      <c r="T83" s="14">
        <f>IF(AND(T1&lt;&gt;"",ISNUMBER(C1S),ISNUMBER(C3E)),IF(AND(T1&gt;=C1S,T1&lt;=C3E),22,""),"")</f>
        <v/>
      </c>
      <c r="U83" s="14">
        <f>IF(AND(U1&lt;&gt;"",ISNUMBER(C1S),ISNUMBER(C3E)),IF(AND(U1&gt;=C1S,U1&lt;=C3E),22,""),"")</f>
        <v/>
      </c>
      <c r="V83" s="14">
        <f>IF(AND(V1&lt;&gt;"",ISNUMBER(C1S),ISNUMBER(C3E)),IF(AND(V1&gt;=C1S,V1&lt;=C3E),22,""),"")</f>
        <v/>
      </c>
      <c r="W83" s="14">
        <f>IF(AND(W1&lt;&gt;"",ISNUMBER(C1S),ISNUMBER(C3E)),IF(AND(W1&gt;=C1S,W1&lt;=C3E),22,""),"")</f>
        <v/>
      </c>
      <c r="X83" s="14">
        <f>IF(AND(X1&lt;&gt;"",ISNUMBER(C1S),ISNUMBER(C3E)),IF(AND(X1&gt;=C1S,X1&lt;=C3E),22,""),"")</f>
        <v/>
      </c>
      <c r="Y83" s="14">
        <f>IF(AND(Y1&lt;&gt;"",ISNUMBER(C1S),ISNUMBER(C3E)),IF(AND(Y1&gt;=C1S,Y1&lt;=C3E),22,""),"")</f>
        <v/>
      </c>
      <c r="Z83" s="14">
        <f>IF(AND(Z1&lt;&gt;"",ISNUMBER(C1S),ISNUMBER(C3E)),IF(AND(Z1&gt;=C1S,Z1&lt;=C3E),22,""),"")</f>
        <v/>
      </c>
      <c r="AA83" s="14">
        <f>IF(AND(AA1&lt;&gt;"",ISNUMBER(C1S),ISNUMBER(C3E)),IF(AND(AA1&gt;=C1S,AA1&lt;=C3E),22,""),"")</f>
        <v/>
      </c>
      <c r="AB83" s="14">
        <f>IF(AND(AB1&lt;&gt;"",ISNUMBER(C1S),ISNUMBER(C3E)),IF(AND(AB1&gt;=C1S,AB1&lt;=C3E),22,""),"")</f>
        <v/>
      </c>
      <c r="AC83" s="14">
        <f>IF(AND(AC1&lt;&gt;"",ISNUMBER(C1S),ISNUMBER(C3E)),IF(AND(AC1&gt;=C1S,AC1&lt;=C3E),22,""),"")</f>
        <v/>
      </c>
      <c r="AD83" s="14">
        <f>IF(AND(AD1&lt;&gt;"",ISNUMBER(C1S),ISNUMBER(C3E)),IF(AND(AD1&gt;=C1S,AD1&lt;=C3E),22,""),"")</f>
        <v/>
      </c>
      <c r="AE83" s="14">
        <f>IF(AND(AE1&lt;&gt;"",ISNUMBER(C1S),ISNUMBER(C3E)),IF(AND(AE1&gt;=C1S,AE1&lt;=C3E),22,""),"")</f>
        <v/>
      </c>
      <c r="AF83" s="14">
        <f>IF(AND(AF1&lt;&gt;"",ISNUMBER(C1S),ISNUMBER(C3E)),IF(AND(AF1&gt;=C1S,AF1&lt;=C3E),22,""),"")</f>
        <v/>
      </c>
      <c r="AG83" s="14">
        <f>IF(AND(AG1&lt;&gt;"",ISNUMBER(C1S),ISNUMBER(C3E)),IF(AND(AG1&gt;=C1S,AG1&lt;=C3E),22,""),"")</f>
        <v/>
      </c>
      <c r="AH83" s="14">
        <f>IF(AND(AH1&lt;&gt;"",ISNUMBER(C1S),ISNUMBER(C3E)),IF(AND(AH1&gt;=C1S,AH1&lt;=C3E),22,""),"")</f>
        <v/>
      </c>
      <c r="AI83" s="14">
        <f>IF(AND(AI1&lt;&gt;"",ISNUMBER(C1S),ISNUMBER(C3E)),IF(AND(AI1&gt;=C1S,AI1&lt;=C3E),22,""),"")</f>
        <v/>
      </c>
      <c r="AJ83" s="14">
        <f>IF(AND(AJ1&lt;&gt;"",ISNUMBER(C1S),ISNUMBER(C3E)),IF(AND(AJ1&gt;=C1S,AJ1&lt;=C3E),22,""),"")</f>
        <v/>
      </c>
      <c r="AK83" s="14">
        <f>IF(AND(AK1&lt;&gt;"",ISNUMBER(C1S),ISNUMBER(C3E)),IF(AND(AK1&gt;=C1S,AK1&lt;=C3E),22,""),"")</f>
        <v/>
      </c>
      <c r="AL83" s="14">
        <f>IF(AND(AL1&lt;&gt;"",ISNUMBER(C1S),ISNUMBER(C3E)),IF(AND(AL1&gt;=C1S,AL1&lt;=C3E),22,""),"")</f>
        <v/>
      </c>
      <c r="AM83" s="14">
        <f>IF(AND(AM1&lt;&gt;"",ISNUMBER(C1S),ISNUMBER(C3E)),IF(AND(AM1&gt;=C1S,AM1&lt;=C3E),22,""),"")</f>
        <v/>
      </c>
      <c r="AN83" s="14">
        <f>IF(AND(AN1&lt;&gt;"",ISNUMBER(C1S),ISNUMBER(C3E)),IF(AND(AN1&gt;=C1S,AN1&lt;=C3E),22,""),"")</f>
        <v/>
      </c>
      <c r="AO83" s="14">
        <f>IF(AND(AO1&lt;&gt;"",ISNUMBER(C1S),ISNUMBER(C3E)),IF(AND(AO1&gt;=C1S,AO1&lt;=C3E),22,""),"")</f>
        <v/>
      </c>
      <c r="AP83" s="14">
        <f>IF(AND(AP1&lt;&gt;"",ISNUMBER(C1S),ISNUMBER(C3E)),IF(AND(AP1&gt;=C1S,AP1&lt;=C3E),22,""),"")</f>
        <v/>
      </c>
      <c r="AQ83" s="14">
        <f>IF(AND(AQ1&lt;&gt;"",ISNUMBER(C1S),ISNUMBER(C3E)),IF(AND(AQ1&gt;=C1S,AQ1&lt;=C3E),22,""),"")</f>
        <v/>
      </c>
      <c r="AR83" s="14">
        <f>IF(AND(AR1&lt;&gt;"",ISNUMBER(C1S),ISNUMBER(C3E)),IF(AND(AR1&gt;=C1S,AR1&lt;=C3E),22,""),"")</f>
        <v/>
      </c>
      <c r="AS83" s="14">
        <f>IF(AND(AS1&lt;&gt;"",ISNUMBER(C1S),ISNUMBER(C3E)),IF(AND(AS1&gt;=C1S,AS1&lt;=C3E),22,""),"")</f>
        <v/>
      </c>
      <c r="AT83" s="14">
        <f>IF(AND(AT1&lt;&gt;"",ISNUMBER(C1S),ISNUMBER(C3E)),IF(AND(AT1&gt;=C1S,AT1&lt;=C3E),22,""),"")</f>
        <v/>
      </c>
      <c r="AU83" s="14">
        <f>IF(AND(AU1&lt;&gt;"",ISNUMBER(C1S),ISNUMBER(C3E)),IF(AND(AU1&gt;=C1S,AU1&lt;=C3E),22,""),"")</f>
        <v/>
      </c>
      <c r="AV83" s="14">
        <f>IF(AND(AV1&lt;&gt;"",ISNUMBER(C1S),ISNUMBER(C3E)),IF(AND(AV1&gt;=C1S,AV1&lt;=C3E),22,""),"")</f>
        <v/>
      </c>
      <c r="AW83" s="14">
        <f>IF(AND(AW1&lt;&gt;"",ISNUMBER(C1S),ISNUMBER(C3E)),IF(AND(AW1&gt;=C1S,AW1&lt;=C3E),22,""),"")</f>
        <v/>
      </c>
      <c r="AX83" s="14">
        <f>IF(AND(AX1&lt;&gt;"",ISNUMBER(C1S),ISNUMBER(C3E)),IF(AND(AX1&gt;=C1S,AX1&lt;=C3E),22,""),"")</f>
        <v/>
      </c>
      <c r="AY83" s="14">
        <f>IF(AND(AY1&lt;&gt;"",ISNUMBER(C1S),ISNUMBER(C3E)),IF(AND(AY1&gt;=C1S,AY1&lt;=C3E),22,""),"")</f>
        <v/>
      </c>
      <c r="AZ83" s="14">
        <f>IF(AND(AZ1&lt;&gt;"",ISNUMBER(C1S),ISNUMBER(C3E)),IF(AND(AZ1&gt;=C1S,AZ1&lt;=C3E),22,""),"")</f>
        <v/>
      </c>
      <c r="BA83" s="14">
        <f>IF(AND(BA1&lt;&gt;"",ISNUMBER(C1S),ISNUMBER(C3E)),IF(AND(BA1&gt;=C1S,BA1&lt;=C3E),22,""),"")</f>
        <v/>
      </c>
      <c r="BB83" s="14">
        <f>IF(AND(BB1&lt;&gt;"",ISNUMBER(C1S),ISNUMBER(C3E)),IF(AND(BB1&gt;=C1S,BB1&lt;=C3E),22,""),"")</f>
        <v/>
      </c>
      <c r="BC83" s="14">
        <f>IF(AND(BC1&lt;&gt;"",ISNUMBER(C1S),ISNUMBER(C3E)),IF(AND(BC1&gt;=C1S,BC1&lt;=C3E),22,""),"")</f>
        <v/>
      </c>
      <c r="BD83" s="14">
        <f>IF(AND(BD1&lt;&gt;"",ISNUMBER(C1S),ISNUMBER(C3E)),IF(AND(BD1&gt;=C1S,BD1&lt;=C3E),22,""),"")</f>
        <v/>
      </c>
      <c r="BE83" s="14">
        <f>IF(AND(BE1&lt;&gt;"",ISNUMBER(C1S),ISNUMBER(C3E)),IF(AND(BE1&gt;=C1S,BE1&lt;=C3E),22,""),"")</f>
        <v/>
      </c>
      <c r="BF83" s="14">
        <f>IF(AND(BF1&lt;&gt;"",ISNUMBER(C1S),ISNUMBER(C3E)),IF(AND(BF1&gt;=C1S,BF1&lt;=C3E),22,""),"")</f>
        <v/>
      </c>
      <c r="BG83" s="14">
        <f>IF(AND(BG1&lt;&gt;"",ISNUMBER(C1S),ISNUMBER(C3E)),IF(AND(BG1&gt;=C1S,BG1&lt;=C3E),22,""),"")</f>
        <v/>
      </c>
      <c r="BH83" s="14">
        <f>IF(AND(BH1&lt;&gt;"",ISNUMBER(C1S),ISNUMBER(C3E)),IF(AND(BH1&gt;=C1S,BH1&lt;=C3E),22,""),"")</f>
        <v/>
      </c>
      <c r="BI83" s="14">
        <f>IF(AND(BI1&lt;&gt;"",ISNUMBER(C1S),ISNUMBER(C3E)),IF(AND(BI1&gt;=C1S,BI1&lt;=C3E),22,""),"")</f>
        <v/>
      </c>
      <c r="BJ83" s="14">
        <f>IF(AND(BJ1&lt;&gt;"",ISNUMBER(C1S),ISNUMBER(C3E)),IF(AND(BJ1&gt;=C1S,BJ1&lt;=C3E),22,""),"")</f>
        <v/>
      </c>
      <c r="BK83" s="14">
        <f>IF(AND(BK1&lt;&gt;"",ISNUMBER(C1S),ISNUMBER(C3E)),IF(AND(BK1&gt;=C1S,BK1&lt;=C3E),22,""),"")</f>
        <v/>
      </c>
      <c r="BL83" s="14">
        <f>IF(AND(BL1&lt;&gt;"",ISNUMBER(C1S),ISNUMBER(C3E)),IF(AND(BL1&gt;=C1S,BL1&lt;=C3E),22,""),"")</f>
        <v/>
      </c>
      <c r="BM83" s="14">
        <f>IF(AND(BM1&lt;&gt;"",ISNUMBER(C1S),ISNUMBER(C3E)),IF(AND(BM1&gt;=C1S,BM1&lt;=C3E),22,""),"")</f>
        <v/>
      </c>
      <c r="BN83" s="14">
        <f>IF(AND(BN1&lt;&gt;"",ISNUMBER(C1S),ISNUMBER(C3E)),IF(AND(BN1&gt;=C1S,BN1&lt;=C3E),22,""),"")</f>
        <v/>
      </c>
      <c r="BO83" s="14">
        <f>IF(AND(BO1&lt;&gt;"",ISNUMBER(C1S),ISNUMBER(C3E)),IF(AND(BO1&gt;=C1S,BO1&lt;=C3E),22,""),"")</f>
        <v/>
      </c>
      <c r="BP83" s="14">
        <f>IF(AND(BP1&lt;&gt;"",ISNUMBER(C1S),ISNUMBER(C3E)),IF(AND(BP1&gt;=C1S,BP1&lt;=C3E),22,""),"")</f>
        <v/>
      </c>
      <c r="BQ83" s="14">
        <f>IF(AND(BQ1&lt;&gt;"",ISNUMBER(C1S),ISNUMBER(C3E)),IF(AND(BQ1&gt;=C1S,BQ1&lt;=C3E),22,""),"")</f>
        <v/>
      </c>
      <c r="BR83" s="14">
        <f>IF(AND(BR1&lt;&gt;"",ISNUMBER(C1S),ISNUMBER(C3E)),IF(AND(BR1&gt;=C1S,BR1&lt;=C3E),22,""),"")</f>
        <v/>
      </c>
      <c r="BS83" s="14">
        <f>IF(AND(BS1&lt;&gt;"",ISNUMBER(C1S),ISNUMBER(C3E)),IF(AND(BS1&gt;=C1S,BS1&lt;=C3E),22,""),"")</f>
        <v/>
      </c>
      <c r="BT83" s="14">
        <f>IF(AND(BT1&lt;&gt;"",ISNUMBER(C1S),ISNUMBER(C3E)),IF(AND(BT1&gt;=C1S,BT1&lt;=C3E),22,""),"")</f>
        <v/>
      </c>
      <c r="BU83" s="14">
        <f>IF(AND(BU1&lt;&gt;"",ISNUMBER(C1S),ISNUMBER(C3E)),IF(AND(BU1&gt;=C1S,BU1&lt;=C3E),22,""),"")</f>
        <v/>
      </c>
      <c r="BV83" s="14">
        <f>IF(AND(BV1&lt;&gt;"",ISNUMBER(C1S),ISNUMBER(C3E)),IF(AND(BV1&gt;=C1S,BV1&lt;=C3E),22,""),"")</f>
        <v/>
      </c>
      <c r="BW83" s="14">
        <f>IF(AND(BW1&lt;&gt;"",ISNUMBER(C1S),ISNUMBER(C3E)),IF(AND(BW1&gt;=C1S,BW1&lt;=C3E),22,""),"")</f>
        <v/>
      </c>
      <c r="BX83" s="14">
        <f>IF(AND(BX1&lt;&gt;"",ISNUMBER(C1S),ISNUMBER(C3E)),IF(AND(BX1&gt;=C1S,BX1&lt;=C3E),22,""),"")</f>
        <v/>
      </c>
      <c r="BY83" s="14">
        <f>IF(AND(BY1&lt;&gt;"",ISNUMBER(C1S),ISNUMBER(C3E)),IF(AND(BY1&gt;=C1S,BY1&lt;=C3E),22,""),"")</f>
        <v/>
      </c>
      <c r="BZ83" s="14">
        <f>IF(AND(BZ1&lt;&gt;"",ISNUMBER(C1S),ISNUMBER(C3E)),IF(AND(BZ1&gt;=C1S,BZ1&lt;=C3E),22,""),"")</f>
        <v/>
      </c>
      <c r="CA83" s="14">
        <f>IF(AND(CA1&lt;&gt;"",ISNUMBER(C1S),ISNUMBER(C3E)),IF(AND(CA1&gt;=C1S,CA1&lt;=C3E),22,""),"")</f>
        <v/>
      </c>
      <c r="CB83" s="14">
        <f>IF(AND(CB1&lt;&gt;"",ISNUMBER(C1S),ISNUMBER(C3E)),IF(AND(CB1&gt;=C1S,CB1&lt;=C3E),22,""),"")</f>
        <v/>
      </c>
      <c r="CC83" s="14">
        <f>IF(AND(CC1&lt;&gt;"",ISNUMBER(C1S),ISNUMBER(C3E)),IF(AND(CC1&gt;=C1S,CC1&lt;=C3E),22,""),"")</f>
        <v/>
      </c>
      <c r="CD83" s="14">
        <f>IF(AND(CD1&lt;&gt;"",ISNUMBER(C1S),ISNUMBER(C3E)),IF(AND(CD1&gt;=C1S,CD1&lt;=C3E),22,""),"")</f>
        <v/>
      </c>
      <c r="CE83" s="14">
        <f>IF(AND(CE1&lt;&gt;"",ISNUMBER(C1S),ISNUMBER(C3E)),IF(AND(CE1&gt;=C1S,CE1&lt;=C3E),22,""),"")</f>
        <v/>
      </c>
      <c r="CF83" s="14">
        <f>IF(AND(CF1&lt;&gt;"",ISNUMBER(C1S),ISNUMBER(C3E)),IF(AND(CF1&gt;=C1S,CF1&lt;=C3E),22,""),"")</f>
        <v/>
      </c>
      <c r="CG83" s="14">
        <f>IF(AND(CG1&lt;&gt;"",ISNUMBER(C1S),ISNUMBER(C3E)),IF(AND(CG1&gt;=C1S,CG1&lt;=C3E),22,""),"")</f>
        <v/>
      </c>
      <c r="CH83" s="14">
        <f>IF(AND(CH1&lt;&gt;"",ISNUMBER(C1S),ISNUMBER(C3E)),IF(AND(CH1&gt;=C1S,CH1&lt;=C3E),22,""),"")</f>
        <v/>
      </c>
      <c r="CI83" s="14">
        <f>IF(AND(CI1&lt;&gt;"",ISNUMBER(C1S),ISNUMBER(C3E)),IF(AND(CI1&gt;=C1S,CI1&lt;=C3E),22,""),"")</f>
        <v/>
      </c>
      <c r="CJ83" s="14">
        <f>IF(AND(CJ1&lt;&gt;"",ISNUMBER(C1S),ISNUMBER(C3E)),IF(AND(CJ1&gt;=C1S,CJ1&lt;=C3E),22,""),"")</f>
        <v/>
      </c>
      <c r="CK83" s="14">
        <f>IF(AND(CK1&lt;&gt;"",ISNUMBER(C1S),ISNUMBER(C3E)),IF(AND(CK1&gt;=C1S,CK1&lt;=C3E),22,""),"")</f>
        <v/>
      </c>
      <c r="CL83" s="14">
        <f>IF(AND(CL1&lt;&gt;"",ISNUMBER(C1S),ISNUMBER(C3E)),IF(AND(CL1&gt;=C1S,CL1&lt;=C3E),22,""),"")</f>
        <v/>
      </c>
      <c r="CM83" s="14">
        <f>IF(AND(CM1&lt;&gt;"",ISNUMBER(C1S),ISNUMBER(C3E)),IF(AND(CM1&gt;=C1S,CM1&lt;=C3E),22,""),"")</f>
        <v/>
      </c>
      <c r="CN83" s="14">
        <f>IF(AND(CN1&lt;&gt;"",ISNUMBER(C1S),ISNUMBER(C3E)),IF(AND(CN1&gt;=C1S,CN1&lt;=C3E),22,""),"")</f>
        <v/>
      </c>
      <c r="CO83" s="14">
        <f>IF(AND(CO1&lt;&gt;"",ISNUMBER(C1S),ISNUMBER(C3E)),IF(AND(CO1&gt;=C1S,CO1&lt;=C3E),22,""),"")</f>
        <v/>
      </c>
      <c r="CP83" s="14">
        <f>IF(AND(CP1&lt;&gt;"",ISNUMBER(C1S),ISNUMBER(C3E)),IF(AND(CP1&gt;=C1S,CP1&lt;=C3E),22,""),"")</f>
        <v/>
      </c>
      <c r="CQ83" s="14">
        <f>IF(AND(CQ1&lt;&gt;"",ISNUMBER(C1S),ISNUMBER(C3E)),IF(AND(CQ1&gt;=C1S,CQ1&lt;=C3E),22,""),"")</f>
        <v/>
      </c>
      <c r="CR83" s="14">
        <f>IF(AND(CR1&lt;&gt;"",ISNUMBER(C1S),ISNUMBER(C3E)),IF(AND(CR1&gt;=C1S,CR1&lt;=C3E),22,""),"")</f>
        <v/>
      </c>
      <c r="CS83" s="14">
        <f>IF(AND(CS1&lt;&gt;"",ISNUMBER(C1S),ISNUMBER(C3E)),IF(AND(CS1&gt;=C1S,CS1&lt;=C3E),22,""),"")</f>
        <v/>
      </c>
      <c r="CT83" s="14">
        <f>IF(AND(CT1&lt;&gt;"",ISNUMBER(C1S),ISNUMBER(C3E)),IF(AND(CT1&gt;=C1S,CT1&lt;=C3E),22,""),"")</f>
        <v/>
      </c>
      <c r="CU83" s="14">
        <f>IF(AND(CU1&lt;&gt;"",ISNUMBER(C1S),ISNUMBER(C3E)),IF(AND(CU1&gt;=C1S,CU1&lt;=C3E),22,""),"")</f>
        <v/>
      </c>
      <c r="CV83" s="14">
        <f>IF(AND(CV1&lt;&gt;"",ISNUMBER(C1S),ISNUMBER(C3E)),IF(AND(CV1&gt;=C1S,CV1&lt;=C3E),22,""),"")</f>
        <v/>
      </c>
      <c r="CW83" s="14">
        <f>IF(AND(CW1&lt;&gt;"",ISNUMBER(C1S),ISNUMBER(C3E)),IF(AND(CW1&gt;=C1S,CW1&lt;=C3E),22,""),"")</f>
        <v/>
      </c>
      <c r="CX83" s="14">
        <f>IF(AND(CX1&lt;&gt;"",ISNUMBER(C1S),ISNUMBER(C3E)),IF(AND(CX1&gt;=C1S,CX1&lt;=C3E),22,""),"")</f>
        <v/>
      </c>
      <c r="CY83" s="14">
        <f>IF(AND(CY1&lt;&gt;"",ISNUMBER(C1S),ISNUMBER(C3E)),IF(AND(CY1&gt;=C1S,CY1&lt;=C3E),22,""),"")</f>
        <v/>
      </c>
      <c r="CZ83" s="14">
        <f>IF(AND(CZ1&lt;&gt;"",ISNUMBER(C1S),ISNUMBER(C3E)),IF(AND(CZ1&gt;=C1S,CZ1&lt;=C3E),22,""),"")</f>
        <v/>
      </c>
      <c r="DA83" s="14">
        <f>IF(AND(DA1&lt;&gt;"",ISNUMBER(C1S),ISNUMBER(C3E)),IF(AND(DA1&gt;=C1S,DA1&lt;=C3E),22,""),"")</f>
        <v/>
      </c>
      <c r="DB83" s="14">
        <f>IF(AND(DB1&lt;&gt;"",ISNUMBER(C1S),ISNUMBER(C3E)),IF(AND(DB1&gt;=C1S,DB1&lt;=C3E),22,""),"")</f>
        <v/>
      </c>
      <c r="DC83" s="14">
        <f>IF(AND(DC1&lt;&gt;"",ISNUMBER(C1S),ISNUMBER(C3E)),IF(AND(DC1&gt;=C1S,DC1&lt;=C3E),22,""),"")</f>
        <v/>
      </c>
      <c r="DD83" s="14">
        <f>IF(AND(DD1&lt;&gt;"",ISNUMBER(C1S),ISNUMBER(C3E)),IF(AND(DD1&gt;=C1S,DD1&lt;=C3E),22,""),"")</f>
        <v/>
      </c>
      <c r="DE83" s="14">
        <f>IF(AND(DE1&lt;&gt;"",ISNUMBER(C1S),ISNUMBER(C3E)),IF(AND(DE1&gt;=C1S,DE1&lt;=C3E),22,""),"")</f>
        <v/>
      </c>
      <c r="DF83" s="14">
        <f>IF(AND(DF1&lt;&gt;"",ISNUMBER(C1S),ISNUMBER(C3E)),IF(AND(DF1&gt;=C1S,DF1&lt;=C3E),22,""),"")</f>
        <v/>
      </c>
      <c r="DG83" s="14">
        <f>IF(AND(DG1&lt;&gt;"",ISNUMBER(C1S),ISNUMBER(C3E)),IF(AND(DG1&gt;=C1S,DG1&lt;=C3E),22,""),"")</f>
        <v/>
      </c>
      <c r="DH83" s="14">
        <f>IF(AND(DH1&lt;&gt;"",ISNUMBER(C1S),ISNUMBER(C3E)),IF(AND(DH1&gt;=C1S,DH1&lt;=C3E),22,""),"")</f>
        <v/>
      </c>
      <c r="DI83" s="14">
        <f>IF(AND(DI1&lt;&gt;"",ISNUMBER(C1S),ISNUMBER(C3E)),IF(AND(DI1&gt;=C1S,DI1&lt;=C3E),22,""),"")</f>
        <v/>
      </c>
      <c r="DJ83" s="14">
        <f>IF(AND(DJ1&lt;&gt;"",ISNUMBER(C1S),ISNUMBER(C3E)),IF(AND(DJ1&gt;=C1S,DJ1&lt;=C3E),22,""),"")</f>
        <v/>
      </c>
      <c r="DK83" s="14">
        <f>IF(AND(DK1&lt;&gt;"",ISNUMBER(C1S),ISNUMBER(C3E)),IF(AND(DK1&gt;=C1S,DK1&lt;=C3E),22,""),"")</f>
        <v/>
      </c>
      <c r="DL83" s="14">
        <f>IF(AND(DL1&lt;&gt;"",ISNUMBER(C1S),ISNUMBER(C3E)),IF(AND(DL1&gt;=C1S,DL1&lt;=C3E),22,""),"")</f>
        <v/>
      </c>
      <c r="DM83" s="14">
        <f>IF(AND(DM1&lt;&gt;"",ISNUMBER(C1S),ISNUMBER(C3E)),IF(AND(DM1&gt;=C1S,DM1&lt;=C3E),22,""),"")</f>
        <v/>
      </c>
      <c r="DN83" s="14">
        <f>IF(AND(DN1&lt;&gt;"",ISNUMBER(C1S),ISNUMBER(C3E)),IF(AND(DN1&gt;=C1S,DN1&lt;=C3E),22,""),"")</f>
        <v/>
      </c>
      <c r="DO83" s="14">
        <f>IF(AND(DO1&lt;&gt;"",ISNUMBER(C1S),ISNUMBER(C3E)),IF(AND(DO1&gt;=C1S,DO1&lt;=C3E),22,""),"")</f>
        <v/>
      </c>
      <c r="DP83" s="14">
        <f>IF(AND(DP1&lt;&gt;"",ISNUMBER(C1S),ISNUMBER(C3E)),IF(AND(DP1&gt;=C1S,DP1&lt;=C3E),22,""),"")</f>
        <v/>
      </c>
      <c r="DQ83" s="14">
        <f>IF(AND(DQ1&lt;&gt;"",ISNUMBER(C1S),ISNUMBER(C3E)),IF(AND(DQ1&gt;=C1S,DQ1&lt;=C3E),22,""),"")</f>
        <v/>
      </c>
      <c r="DR83" s="14">
        <f>IF(AND(DR1&lt;&gt;"",ISNUMBER(C1S),ISNUMBER(C3E)),IF(AND(DR1&gt;=C1S,DR1&lt;=C3E),22,""),"")</f>
        <v/>
      </c>
      <c r="DS83" s="14">
        <f>IF(AND(DS1&lt;&gt;"",ISNUMBER(C1S),ISNUMBER(C3E)),IF(AND(DS1&gt;=C1S,DS1&lt;=C3E),22,""),"")</f>
        <v/>
      </c>
      <c r="DT83" s="14">
        <f>IF(AND(DT1&lt;&gt;"",ISNUMBER(C1S),ISNUMBER(C3E)),IF(AND(DT1&gt;=C1S,DT1&lt;=C3E),22,""),"")</f>
        <v/>
      </c>
      <c r="DU83" s="14">
        <f>IF(AND(DU1&lt;&gt;"",ISNUMBER(C1S),ISNUMBER(C3E)),IF(AND(DU1&gt;=C1S,DU1&lt;=C3E),22,""),"")</f>
        <v/>
      </c>
      <c r="DV83" s="14">
        <f>IF(AND(DV1&lt;&gt;"",ISNUMBER(C1S),ISNUMBER(C3E)),IF(AND(DV1&gt;=C1S,DV1&lt;=C3E),22,""),"")</f>
        <v/>
      </c>
      <c r="DW83" s="14">
        <f>IF(AND(DW1&lt;&gt;"",ISNUMBER(C1S),ISNUMBER(C3E)),IF(AND(DW1&gt;=C1S,DW1&lt;=C3E),22,""),"")</f>
        <v/>
      </c>
      <c r="DX83" s="14">
        <f>IF(AND(DX1&lt;&gt;"",ISNUMBER(C1S),ISNUMBER(C3E)),IF(AND(DX1&gt;=C1S,DX1&lt;=C3E),22,""),"")</f>
        <v/>
      </c>
      <c r="DY83" s="14">
        <f>IF(AND(DY1&lt;&gt;"",ISNUMBER(C1S),ISNUMBER(C3E)),IF(AND(DY1&gt;=C1S,DY1&lt;=C3E),22,""),"")</f>
        <v/>
      </c>
      <c r="DZ83" s="14">
        <f>IF(AND(DZ1&lt;&gt;"",ISNUMBER(C1S),ISNUMBER(C3E)),IF(AND(DZ1&gt;=C1S,DZ1&lt;=C3E),22,""),"")</f>
        <v/>
      </c>
      <c r="EA83" s="14">
        <f>IF(AND(EA1&lt;&gt;"",ISNUMBER(C1S),ISNUMBER(C3E)),IF(AND(EA1&gt;=C1S,EA1&lt;=C3E),22,""),"")</f>
        <v/>
      </c>
      <c r="EB83" s="14">
        <f>IF(AND(EB1&lt;&gt;"",ISNUMBER(C1S),ISNUMBER(C3E)),IF(AND(EB1&gt;=C1S,EB1&lt;=C3E),22,""),"")</f>
        <v/>
      </c>
      <c r="EC83" s="14">
        <f>IF(AND(EC1&lt;&gt;"",ISNUMBER(C1S),ISNUMBER(C3E)),IF(AND(EC1&gt;=C1S,EC1&lt;=C3E),22,""),"")</f>
        <v/>
      </c>
      <c r="ED83" s="14">
        <f>IF(AND(ED1&lt;&gt;"",ISNUMBER(C1S),ISNUMBER(C3E)),IF(AND(ED1&gt;=C1S,ED1&lt;=C3E),22,""),"")</f>
        <v/>
      </c>
      <c r="EE83" s="14">
        <f>IF(AND(EE1&lt;&gt;"",ISNUMBER(C1S),ISNUMBER(C3E)),IF(AND(EE1&gt;=C1S,EE1&lt;=C3E),22,""),"")</f>
        <v/>
      </c>
      <c r="EF83" s="14">
        <f>IF(AND(EF1&lt;&gt;"",ISNUMBER(C1S),ISNUMBER(C3E)),IF(AND(EF1&gt;=C1S,EF1&lt;=C3E),22,""),"")</f>
        <v/>
      </c>
      <c r="EG83" s="14">
        <f>IF(AND(EG1&lt;&gt;"",ISNUMBER(C1S),ISNUMBER(C3E)),IF(AND(EG1&gt;=C1S,EG1&lt;=C3E),22,""),"")</f>
        <v/>
      </c>
      <c r="EH83" s="14">
        <f>IF(AND(EH1&lt;&gt;"",ISNUMBER(C1S),ISNUMBER(C3E)),IF(AND(EH1&gt;=C1S,EH1&lt;=C3E),22,""),"")</f>
        <v/>
      </c>
      <c r="EI83" s="14">
        <f>IF(AND(EI1&lt;&gt;"",ISNUMBER(C1S),ISNUMBER(C3E)),IF(AND(EI1&gt;=C1S,EI1&lt;=C3E),22,""),"")</f>
        <v/>
      </c>
      <c r="EJ83" s="14">
        <f>IF(AND(EJ1&lt;&gt;"",ISNUMBER(C1S),ISNUMBER(C3E)),IF(AND(EJ1&gt;=C1S,EJ1&lt;=C3E),22,""),"")</f>
        <v/>
      </c>
      <c r="EK83" s="14">
        <f>IF(AND(EK1&lt;&gt;"",ISNUMBER(C1S),ISNUMBER(C3E)),IF(AND(EK1&gt;=C1S,EK1&lt;=C3E),22,""),"")</f>
        <v/>
      </c>
      <c r="EL83" s="14">
        <f>IF(AND(EL1&lt;&gt;"",ISNUMBER(C1S),ISNUMBER(C3E)),IF(AND(EL1&gt;=C1S,EL1&lt;=C3E),22,""),"")</f>
        <v/>
      </c>
      <c r="EM83" s="14">
        <f>IF(AND(EM1&lt;&gt;"",ISNUMBER(C1S),ISNUMBER(C3E)),IF(AND(EM1&gt;=C1S,EM1&lt;=C3E),22,""),"")</f>
        <v/>
      </c>
      <c r="EN83" s="14">
        <f>IF(AND(EN1&lt;&gt;"",ISNUMBER(C1S),ISNUMBER(C3E)),IF(AND(EN1&gt;=C1S,EN1&lt;=C3E),22,""),"")</f>
        <v/>
      </c>
      <c r="EO83" s="14">
        <f>IF(AND(EO1&lt;&gt;"",ISNUMBER(C1S),ISNUMBER(C3E)),IF(AND(EO1&gt;=C1S,EO1&lt;=C3E),22,""),"")</f>
        <v/>
      </c>
      <c r="EP83" s="14">
        <f>IF(AND(EP1&lt;&gt;"",ISNUMBER(C1S),ISNUMBER(C3E)),IF(AND(EP1&gt;=C1S,EP1&lt;=C3E),22,""),"")</f>
        <v/>
      </c>
      <c r="EQ83" s="14">
        <f>IF(AND(EQ1&lt;&gt;"",ISNUMBER(C1S),ISNUMBER(C3E)),IF(AND(EQ1&gt;=C1S,EQ1&lt;=C3E),22,""),"")</f>
        <v/>
      </c>
      <c r="ER83" s="14">
        <f>IF(AND(ER1&lt;&gt;"",ISNUMBER(C1S),ISNUMBER(C3E)),IF(AND(ER1&gt;=C1S,ER1&lt;=C3E),22,""),"")</f>
        <v/>
      </c>
      <c r="ES83" s="14">
        <f>IF(AND(ES1&lt;&gt;"",ISNUMBER(C1S),ISNUMBER(C3E)),IF(AND(ES1&gt;=C1S,ES1&lt;=C3E),22,""),"")</f>
        <v/>
      </c>
      <c r="ET83" s="14">
        <f>IF(AND(ET1&lt;&gt;"",ISNUMBER(C1S),ISNUMBER(C3E)),IF(AND(ET1&gt;=C1S,ET1&lt;=C3E),22,""),"")</f>
        <v/>
      </c>
      <c r="EU83" s="14">
        <f>IF(AND(EU1&lt;&gt;"",ISNUMBER(C1S),ISNUMBER(C3E)),IF(AND(EU1&gt;=C1S,EU1&lt;=C3E),22,""),"")</f>
        <v/>
      </c>
      <c r="EV83" s="14">
        <f>IF(AND(EV1&lt;&gt;"",ISNUMBER(C1S),ISNUMBER(C3E)),IF(AND(EV1&gt;=C1S,EV1&lt;=C3E),22,""),"")</f>
        <v/>
      </c>
      <c r="EW83" s="14">
        <f>IF(AND(EW1&lt;&gt;"",ISNUMBER(C1S),ISNUMBER(C3E)),IF(AND(EW1&gt;=C1S,EW1&lt;=C3E),22,""),"")</f>
        <v/>
      </c>
      <c r="EX83" s="14">
        <f>IF(AND(EX1&lt;&gt;"",ISNUMBER(C1S),ISNUMBER(C3E)),IF(AND(EX1&gt;=C1S,EX1&lt;=C3E),22,""),"")</f>
        <v/>
      </c>
      <c r="EY83" s="14">
        <f>IF(AND(EY1&lt;&gt;"",ISNUMBER(C1S),ISNUMBER(C3E)),IF(AND(EY1&gt;=C1S,EY1&lt;=C3E),22,""),"")</f>
        <v/>
      </c>
      <c r="EZ83" s="14">
        <f>IF(AND(EZ1&lt;&gt;"",ISNUMBER(C1S),ISNUMBER(C3E)),IF(AND(EZ1&gt;=C1S,EZ1&lt;=C3E),22,""),"")</f>
        <v/>
      </c>
      <c r="FA83" s="14">
        <f>IF(AND(FA1&lt;&gt;"",ISNUMBER(C1S),ISNUMBER(C3E)),IF(AND(FA1&gt;=C1S,FA1&lt;=C3E),22,""),"")</f>
        <v/>
      </c>
      <c r="FB83" s="14">
        <f>IF(AND(FB1&lt;&gt;"",ISNUMBER(C1S),ISNUMBER(C3E)),IF(AND(FB1&gt;=C1S,FB1&lt;=C3E),22,""),"")</f>
        <v/>
      </c>
      <c r="FC83" s="14">
        <f>IF(AND(FC1&lt;&gt;"",ISNUMBER(C1S),ISNUMBER(C3E)),IF(AND(FC1&gt;=C1S,FC1&lt;=C3E),22,""),"")</f>
        <v/>
      </c>
      <c r="FD83" s="14">
        <f>IF(AND(FD1&lt;&gt;"",ISNUMBER(C1S),ISNUMBER(C3E)),IF(AND(FD1&gt;=C1S,FD1&lt;=C3E),22,""),"")</f>
        <v/>
      </c>
      <c r="FE83" s="14">
        <f>IF(AND(FE1&lt;&gt;"",ISNUMBER(C1S),ISNUMBER(C3E)),IF(AND(FE1&gt;=C1S,FE1&lt;=C3E),22,""),"")</f>
        <v/>
      </c>
      <c r="FF83" s="14">
        <f>IF(AND(FF1&lt;&gt;"",ISNUMBER(C1S),ISNUMBER(C3E)),IF(AND(FF1&gt;=C1S,FF1&lt;=C3E),22,""),"")</f>
        <v/>
      </c>
      <c r="FG83" s="14">
        <f>IF(AND(FG1&lt;&gt;"",ISNUMBER(C1S),ISNUMBER(C3E)),IF(AND(FG1&gt;=C1S,FG1&lt;=C3E),22,""),"")</f>
        <v/>
      </c>
      <c r="FH83" s="14">
        <f>IF(AND(FH1&lt;&gt;"",ISNUMBER(C1S),ISNUMBER(C3E)),IF(AND(FH1&gt;=C1S,FH1&lt;=C3E),22,""),"")</f>
        <v/>
      </c>
      <c r="FI83" s="14">
        <f>IF(AND(FI1&lt;&gt;"",ISNUMBER(C1S),ISNUMBER(C3E)),IF(AND(FI1&gt;=C1S,FI1&lt;=C3E),22,""),"")</f>
        <v/>
      </c>
      <c r="FJ83" s="14">
        <f>IF(AND(FJ1&lt;&gt;"",ISNUMBER(C1S),ISNUMBER(C3E)),IF(AND(FJ1&gt;=C1S,FJ1&lt;=C3E),22,""),"")</f>
        <v/>
      </c>
      <c r="FK83" s="14">
        <f>IF(AND(FK1&lt;&gt;"",ISNUMBER(C1S),ISNUMBER(C3E)),IF(AND(FK1&gt;=C1S,FK1&lt;=C3E),22,""),"")</f>
        <v/>
      </c>
      <c r="FL83" s="14">
        <f>IF(AND(FL1&lt;&gt;"",ISNUMBER(C1S),ISNUMBER(C3E)),IF(AND(FL1&gt;=C1S,FL1&lt;=C3E),22,""),"")</f>
        <v/>
      </c>
      <c r="FM83" s="14">
        <f>IF(AND(FM1&lt;&gt;"",ISNUMBER(C1S),ISNUMBER(C3E)),IF(AND(FM1&gt;=C1S,FM1&lt;=C3E),22,""),"")</f>
        <v/>
      </c>
      <c r="FN83" s="14">
        <f>IF(AND(FN1&lt;&gt;"",ISNUMBER(C1S),ISNUMBER(C3E)),IF(AND(FN1&gt;=C1S,FN1&lt;=C3E),22,""),"")</f>
        <v/>
      </c>
      <c r="FO83" s="14">
        <f>IF(AND(FO1&lt;&gt;"",ISNUMBER(C1S),ISNUMBER(C3E)),IF(AND(FO1&gt;=C1S,FO1&lt;=C3E),22,""),"")</f>
        <v/>
      </c>
      <c r="FP83" s="14">
        <f>IF(AND(FP1&lt;&gt;"",ISNUMBER(C1S),ISNUMBER(C3E)),IF(AND(FP1&gt;=C1S,FP1&lt;=C3E),22,""),"")</f>
        <v/>
      </c>
      <c r="FQ83" s="14">
        <f>IF(AND(FQ1&lt;&gt;"",ISNUMBER(C1S),ISNUMBER(C3E)),IF(AND(FQ1&gt;=C1S,FQ1&lt;=C3E),22,""),"")</f>
        <v/>
      </c>
    </row>
  </sheetData>
  <conditionalFormatting sqref="D12:FQ12">
    <cfRule type="expression" priority="1" dxfId="3">
      <formula>AND(D12="",OR(ISNUMBER(D37),ISNUMBER(D16),ISNUMBER(D17),COUNT(D$8:D$10)&gt;0))</formula>
    </cfRule>
  </conditionalFormatting>
  <conditionalFormatting sqref="D16:FQ16">
    <cfRule type="expression" priority="2" dxfId="3">
      <formula>AND(D16="",ISNUMBER(D17))</formula>
    </cfRule>
  </conditionalFormatting>
  <conditionalFormatting sqref="D17:FQ17">
    <cfRule type="expression" priority="3" dxfId="3">
      <formula>AND(D17="",ISNUMBER(D16))</formula>
    </cfRule>
  </conditionalFormatting>
  <conditionalFormatting sqref="D13:FQ13">
    <cfRule type="expression" priority="4" dxfId="4">
      <formula>AND(ISNUMBER(D13),D13&gt;0)</formula>
    </cfRule>
    <cfRule type="expression" priority="5" dxfId="5">
      <formula>AND(ISNUMBER(D13),D13&lt;0)</formula>
    </cfRule>
  </conditionalFormatting>
  <conditionalFormatting sqref="D37:FQ37">
    <cfRule type="expression" priority="6" dxfId="3">
      <formula>AND(D37="",OR(ISNUMBER(D12),ISNUMBER(D41),ISNUMBER(D42),COUNT(D$8:D$10)&gt;0))</formula>
    </cfRule>
  </conditionalFormatting>
  <conditionalFormatting sqref="D41:FQ41">
    <cfRule type="expression" priority="7" dxfId="3">
      <formula>AND(D41="",ISNUMBER(D42))</formula>
    </cfRule>
  </conditionalFormatting>
  <conditionalFormatting sqref="D42:FQ42">
    <cfRule type="expression" priority="8" dxfId="3">
      <formula>AND(D42="",ISNUMBER(D41))</formula>
    </cfRule>
  </conditionalFormatting>
  <conditionalFormatting sqref="D38:FQ38">
    <cfRule type="expression" priority="9" dxfId="4">
      <formula>AND(ISNUMBER(D38),D38&gt;0)</formula>
    </cfRule>
    <cfRule type="expression" priority="10" dxfId="5">
      <formula>AND(ISNUMBER(D38),D38&lt;0)</formula>
    </cfRule>
  </conditionalFormatting>
  <conditionalFormatting sqref="D1:FQ78">
    <cfRule type="expression" priority="11" dxfId="6">
      <formula>D$1=TODAY()</formula>
    </cfRule>
  </conditionalFormatting>
  <dataValidations count="17">
    <dataValidation sqref="D24:FQ24" showDropDown="0" showInputMessage="0" showErrorMessage="0" allowBlank="1" type="list">
      <formula1>'pull-down list'!$B$3:$B$27</formula1>
    </dataValidation>
    <dataValidation sqref="D25:FQ25" showDropDown="0" showInputMessage="0" showErrorMessage="0" allowBlank="1" type="list">
      <formula1>'pull-down list'!$D$3:$D$27</formula1>
    </dataValidation>
    <dataValidation sqref="D27:FQ27" showDropDown="0" showInputMessage="0" showErrorMessage="0" allowBlank="1" type="list">
      <formula1>'pull-down list'!$E$3:$E$27</formula1>
    </dataValidation>
    <dataValidation sqref="D29:FQ29" showDropDown="0" showInputMessage="0" showErrorMessage="0" allowBlank="1" type="list">
      <formula1>'pull-down list'!$E$3:$E$27</formula1>
    </dataValidation>
    <dataValidation sqref="D12:FQ12 D16:FQ16 D17:FQ17" showDropDown="0" showInputMessage="0" showErrorMessage="1" allowBlank="0" error="Enter a number (cm)." type="decimal" operator="between">
      <formula1>-500</formula1>
      <formula2>2000</formula2>
    </dataValidation>
    <dataValidation sqref="D61:FQ65" showDropDown="0" showInputMessage="0" showErrorMessage="1" allowBlank="0" error="Whole number 0-200." type="whole" operator="between">
      <formula1>0</formula1>
      <formula2>200</formula2>
    </dataValidation>
    <dataValidation sqref="D49:FQ49" showDropDown="0" showInputMessage="0" showErrorMessage="0" allowBlank="1" type="list">
      <formula1>'pull-down list'!$B$3:$B$27</formula1>
    </dataValidation>
    <dataValidation sqref="D50:FQ50" showDropDown="0" showInputMessage="0" showErrorMessage="0" allowBlank="1" type="list">
      <formula1>'pull-down list'!$D$3:$D$27</formula1>
    </dataValidation>
    <dataValidation sqref="D52:FQ52" showDropDown="0" showInputMessage="0" showErrorMessage="0" allowBlank="1" type="list">
      <formula1>'pull-down list'!$E$3:$E$27</formula1>
    </dataValidation>
    <dataValidation sqref="D54:FQ54" showDropDown="0" showInputMessage="0" showErrorMessage="0" allowBlank="1" type="list">
      <formula1>'pull-down list'!$E$3:$E$27</formula1>
    </dataValidation>
    <dataValidation sqref="D37:FQ37 D41:FQ41 D42:FQ42" showDropDown="0" showInputMessage="0" showErrorMessage="1" allowBlank="0" error="Enter a number (cm)." type="decimal" operator="between">
      <formula1>-500</formula1>
      <formula2>2000</formula2>
    </dataValidation>
    <dataValidation sqref="D68:FQ72" showDropDown="0" showInputMessage="0" showErrorMessage="1" allowBlank="0" error="Whole number 0-200." type="whole" operator="between">
      <formula1>0</formula1>
      <formula2>200</formula2>
    </dataValidation>
    <dataValidation sqref="D75:FQ75" showDropDown="0" showInputMessage="0" showErrorMessage="0" allowBlank="1" type="list">
      <formula1>'pull-down list'!$A$3:$A$27</formula1>
    </dataValidation>
    <dataValidation sqref="D76:FQ76" showDropDown="0" showInputMessage="0" showErrorMessage="0" allowBlank="1" type="list">
      <formula1>'pull-down list'!$C$3:$C$27</formula1>
    </dataValidation>
    <dataValidation sqref="D8:FQ8" showDropDown="0" showInputMessage="0" showErrorMessage="1" allowBlank="0" error="Value out of range (0-300)." type="decimal" errorStyle="warning" operator="between">
      <formula1>0</formula1>
      <formula2>300</formula2>
    </dataValidation>
    <dataValidation sqref="D9:FQ9" showDropDown="0" showInputMessage="0" showErrorMessage="1" allowBlank="0" error="Value out of range (0-45)." type="decimal" errorStyle="warning" operator="between">
      <formula1>0</formula1>
      <formula2>45</formula2>
    </dataValidation>
    <dataValidation sqref="D10:FQ10" showDropDown="0" showInputMessage="0" showErrorMessage="1" allowBlank="0" error="Value out of range (0-100)." type="decimal" errorStyle="warning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E40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7" customWidth="1" min="9" max="9"/>
    <col width="11" customWidth="1" min="10" max="10"/>
    <col width="11" customWidth="1" min="11" max="11"/>
    <col hidden="1" width="4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</cols>
  <sheetData>
    <row r="1">
      <c r="A1" s="8" t="inlineStr">
        <is>
          <t>Schedule / সময়সূচি  (planned dates are calculated; enter the actual dates)</t>
        </is>
      </c>
    </row>
    <row r="2">
      <c r="M2" s="34">
        <f>IF(ISNUMBER(SowDate),SowDate-3+0,"")</f>
        <v/>
      </c>
      <c r="N2" s="34">
        <f>IF(ISNUMBER(SowDate),SowDate-3+1,"")</f>
        <v/>
      </c>
      <c r="O2" s="34">
        <f>IF(ISNUMBER(SowDate),SowDate-3+2,"")</f>
        <v/>
      </c>
      <c r="P2" s="34">
        <f>IF(ISNUMBER(SowDate),SowDate-3+3,"")</f>
        <v/>
      </c>
      <c r="Q2" s="34">
        <f>IF(ISNUMBER(SowDate),SowDate-3+4,"")</f>
        <v/>
      </c>
      <c r="R2" s="34">
        <f>IF(ISNUMBER(SowDate),SowDate-3+5,"")</f>
        <v/>
      </c>
      <c r="S2" s="34">
        <f>IF(ISNUMBER(SowDate),SowDate-3+6,"")</f>
        <v/>
      </c>
      <c r="T2" s="34">
        <f>IF(ISNUMBER(SowDate),SowDate-3+7,"")</f>
        <v/>
      </c>
      <c r="U2" s="34">
        <f>IF(ISNUMBER(SowDate),SowDate-3+8,"")</f>
        <v/>
      </c>
      <c r="V2" s="34">
        <f>IF(ISNUMBER(SowDate),SowDate-3+9,"")</f>
        <v/>
      </c>
      <c r="W2" s="34">
        <f>IF(ISNUMBER(SowDate),SowDate-3+10,"")</f>
        <v/>
      </c>
      <c r="X2" s="34">
        <f>IF(ISNUMBER(SowDate),SowDate-3+11,"")</f>
        <v/>
      </c>
      <c r="Y2" s="34">
        <f>IF(ISNUMBER(SowDate),SowDate-3+12,"")</f>
        <v/>
      </c>
      <c r="Z2" s="34">
        <f>IF(ISNUMBER(SowDate),SowDate-3+13,"")</f>
        <v/>
      </c>
      <c r="AA2" s="34">
        <f>IF(ISNUMBER(SowDate),SowDate-3+14,"")</f>
        <v/>
      </c>
      <c r="AB2" s="34">
        <f>IF(ISNUMBER(SowDate),SowDate-3+15,"")</f>
        <v/>
      </c>
      <c r="AC2" s="34">
        <f>IF(ISNUMBER(SowDate),SowDate-3+16,"")</f>
        <v/>
      </c>
      <c r="AD2" s="34">
        <f>IF(ISNUMBER(SowDate),SowDate-3+17,"")</f>
        <v/>
      </c>
      <c r="AE2" s="34">
        <f>IF(ISNUMBER(SowDate),SowDate-3+18,"")</f>
        <v/>
      </c>
      <c r="AF2" s="34">
        <f>IF(ISNUMBER(SowDate),SowDate-3+19,"")</f>
        <v/>
      </c>
      <c r="AG2" s="34">
        <f>IF(ISNUMBER(SowDate),SowDate-3+20,"")</f>
        <v/>
      </c>
      <c r="AH2" s="34">
        <f>IF(ISNUMBER(SowDate),SowDate-3+21,"")</f>
        <v/>
      </c>
      <c r="AI2" s="34">
        <f>IF(ISNUMBER(SowDate),SowDate-3+22,"")</f>
        <v/>
      </c>
      <c r="AJ2" s="34">
        <f>IF(ISNUMBER(SowDate),SowDate-3+23,"")</f>
        <v/>
      </c>
      <c r="AK2" s="34">
        <f>IF(ISNUMBER(SowDate),SowDate-3+24,"")</f>
        <v/>
      </c>
      <c r="AL2" s="34">
        <f>IF(ISNUMBER(SowDate),SowDate-3+25,"")</f>
        <v/>
      </c>
      <c r="AM2" s="34">
        <f>IF(ISNUMBER(SowDate),SowDate-3+26,"")</f>
        <v/>
      </c>
      <c r="AN2" s="34">
        <f>IF(ISNUMBER(SowDate),SowDate-3+27,"")</f>
        <v/>
      </c>
      <c r="AO2" s="34">
        <f>IF(ISNUMBER(SowDate),SowDate-3+28,"")</f>
        <v/>
      </c>
      <c r="AP2" s="34">
        <f>IF(ISNUMBER(SowDate),SowDate-3+29,"")</f>
        <v/>
      </c>
      <c r="AQ2" s="34">
        <f>IF(ISNUMBER(SowDate),SowDate-3+30,"")</f>
        <v/>
      </c>
      <c r="AR2" s="34">
        <f>IF(ISNUMBER(SowDate),SowDate-3+31,"")</f>
        <v/>
      </c>
      <c r="AS2" s="34">
        <f>IF(ISNUMBER(SowDate),SowDate-3+32,"")</f>
        <v/>
      </c>
      <c r="AT2" s="34">
        <f>IF(ISNUMBER(SowDate),SowDate-3+33,"")</f>
        <v/>
      </c>
      <c r="AU2" s="34">
        <f>IF(ISNUMBER(SowDate),SowDate-3+34,"")</f>
        <v/>
      </c>
      <c r="AV2" s="34">
        <f>IF(ISNUMBER(SowDate),SowDate-3+35,"")</f>
        <v/>
      </c>
      <c r="AW2" s="34">
        <f>IF(ISNUMBER(SowDate),SowDate-3+36,"")</f>
        <v/>
      </c>
      <c r="AX2" s="34">
        <f>IF(ISNUMBER(SowDate),SowDate-3+37,"")</f>
        <v/>
      </c>
      <c r="AY2" s="34">
        <f>IF(ISNUMBER(SowDate),SowDate-3+38,"")</f>
        <v/>
      </c>
      <c r="AZ2" s="34">
        <f>IF(ISNUMBER(SowDate),SowDate-3+39,"")</f>
        <v/>
      </c>
      <c r="BA2" s="34">
        <f>IF(ISNUMBER(SowDate),SowDate-3+40,"")</f>
        <v/>
      </c>
      <c r="BB2" s="34">
        <f>IF(ISNUMBER(SowDate),SowDate-3+41,"")</f>
        <v/>
      </c>
      <c r="BC2" s="34">
        <f>IF(ISNUMBER(SowDate),SowDate-3+42,"")</f>
        <v/>
      </c>
      <c r="BD2" s="34">
        <f>IF(ISNUMBER(SowDate),SowDate-3+43,"")</f>
        <v/>
      </c>
      <c r="BE2" s="34">
        <f>IF(ISNUMBER(SowDate),SowDate-3+44,"")</f>
        <v/>
      </c>
      <c r="BF2" s="34">
        <f>IF(ISNUMBER(SowDate),SowDate-3+45,"")</f>
        <v/>
      </c>
      <c r="BG2" s="34">
        <f>IF(ISNUMBER(SowDate),SowDate-3+46,"")</f>
        <v/>
      </c>
      <c r="BH2" s="34">
        <f>IF(ISNUMBER(SowDate),SowDate-3+47,"")</f>
        <v/>
      </c>
      <c r="BI2" s="34">
        <f>IF(ISNUMBER(SowDate),SowDate-3+48,"")</f>
        <v/>
      </c>
      <c r="BJ2" s="34">
        <f>IF(ISNUMBER(SowDate),SowDate-3+49,"")</f>
        <v/>
      </c>
      <c r="BK2" s="34">
        <f>IF(ISNUMBER(SowDate),SowDate-3+50,"")</f>
        <v/>
      </c>
      <c r="BL2" s="34">
        <f>IF(ISNUMBER(SowDate),SowDate-3+51,"")</f>
        <v/>
      </c>
      <c r="BM2" s="34">
        <f>IF(ISNUMBER(SowDate),SowDate-3+52,"")</f>
        <v/>
      </c>
      <c r="BN2" s="34">
        <f>IF(ISNUMBER(SowDate),SowDate-3+53,"")</f>
        <v/>
      </c>
      <c r="BO2" s="34">
        <f>IF(ISNUMBER(SowDate),SowDate-3+54,"")</f>
        <v/>
      </c>
      <c r="BP2" s="34">
        <f>IF(ISNUMBER(SowDate),SowDate-3+55,"")</f>
        <v/>
      </c>
      <c r="BQ2" s="34">
        <f>IF(ISNUMBER(SowDate),SowDate-3+56,"")</f>
        <v/>
      </c>
      <c r="BR2" s="34">
        <f>IF(ISNUMBER(SowDate),SowDate-3+57,"")</f>
        <v/>
      </c>
      <c r="BS2" s="34">
        <f>IF(ISNUMBER(SowDate),SowDate-3+58,"")</f>
        <v/>
      </c>
      <c r="BT2" s="34">
        <f>IF(ISNUMBER(SowDate),SowDate-3+59,"")</f>
        <v/>
      </c>
      <c r="BU2" s="34">
        <f>IF(ISNUMBER(SowDate),SowDate-3+60,"")</f>
        <v/>
      </c>
      <c r="BV2" s="34">
        <f>IF(ISNUMBER(SowDate),SowDate-3+61,"")</f>
        <v/>
      </c>
      <c r="BW2" s="34">
        <f>IF(ISNUMBER(SowDate),SowDate-3+62,"")</f>
        <v/>
      </c>
      <c r="BX2" s="34">
        <f>IF(ISNUMBER(SowDate),SowDate-3+63,"")</f>
        <v/>
      </c>
      <c r="BY2" s="34">
        <f>IF(ISNUMBER(SowDate),SowDate-3+64,"")</f>
        <v/>
      </c>
      <c r="BZ2" s="34">
        <f>IF(ISNUMBER(SowDate),SowDate-3+65,"")</f>
        <v/>
      </c>
      <c r="CA2" s="34">
        <f>IF(ISNUMBER(SowDate),SowDate-3+66,"")</f>
        <v/>
      </c>
      <c r="CB2" s="34">
        <f>IF(ISNUMBER(SowDate),SowDate-3+67,"")</f>
        <v/>
      </c>
      <c r="CC2" s="34">
        <f>IF(ISNUMBER(SowDate),SowDate-3+68,"")</f>
        <v/>
      </c>
      <c r="CD2" s="34">
        <f>IF(ISNUMBER(SowDate),SowDate-3+69,"")</f>
        <v/>
      </c>
      <c r="CE2" s="34">
        <f>IF(ISNUMBER(SowDate),SowDate-3+70,"")</f>
        <v/>
      </c>
      <c r="CF2" s="34">
        <f>IF(ISNUMBER(SowDate),SowDate-3+71,"")</f>
        <v/>
      </c>
      <c r="CG2" s="34">
        <f>IF(ISNUMBER(SowDate),SowDate-3+72,"")</f>
        <v/>
      </c>
      <c r="CH2" s="34">
        <f>IF(ISNUMBER(SowDate),SowDate-3+73,"")</f>
        <v/>
      </c>
      <c r="CI2" s="34">
        <f>IF(ISNUMBER(SowDate),SowDate-3+74,"")</f>
        <v/>
      </c>
      <c r="CJ2" s="34">
        <f>IF(ISNUMBER(SowDate),SowDate-3+75,"")</f>
        <v/>
      </c>
      <c r="CK2" s="34">
        <f>IF(ISNUMBER(SowDate),SowDate-3+76,"")</f>
        <v/>
      </c>
      <c r="CL2" s="34">
        <f>IF(ISNUMBER(SowDate),SowDate-3+77,"")</f>
        <v/>
      </c>
      <c r="CM2" s="34">
        <f>IF(ISNUMBER(SowDate),SowDate-3+78,"")</f>
        <v/>
      </c>
      <c r="CN2" s="34">
        <f>IF(ISNUMBER(SowDate),SowDate-3+79,"")</f>
        <v/>
      </c>
      <c r="CO2" s="34">
        <f>IF(ISNUMBER(SowDate),SowDate-3+80,"")</f>
        <v/>
      </c>
      <c r="CP2" s="34">
        <f>IF(ISNUMBER(SowDate),SowDate-3+81,"")</f>
        <v/>
      </c>
      <c r="CQ2" s="34">
        <f>IF(ISNUMBER(SowDate),SowDate-3+82,"")</f>
        <v/>
      </c>
      <c r="CR2" s="34">
        <f>IF(ISNUMBER(SowDate),SowDate-3+83,"")</f>
        <v/>
      </c>
      <c r="CS2" s="34">
        <f>IF(ISNUMBER(SowDate),SowDate-3+84,"")</f>
        <v/>
      </c>
      <c r="CT2" s="34">
        <f>IF(ISNUMBER(SowDate),SowDate-3+85,"")</f>
        <v/>
      </c>
      <c r="CU2" s="34">
        <f>IF(ISNUMBER(SowDate),SowDate-3+86,"")</f>
        <v/>
      </c>
      <c r="CV2" s="34">
        <f>IF(ISNUMBER(SowDate),SowDate-3+87,"")</f>
        <v/>
      </c>
      <c r="CW2" s="34">
        <f>IF(ISNUMBER(SowDate),SowDate-3+88,"")</f>
        <v/>
      </c>
      <c r="CX2" s="34">
        <f>IF(ISNUMBER(SowDate),SowDate-3+89,"")</f>
        <v/>
      </c>
      <c r="CY2" s="34">
        <f>IF(ISNUMBER(SowDate),SowDate-3+90,"")</f>
        <v/>
      </c>
      <c r="CZ2" s="34">
        <f>IF(ISNUMBER(SowDate),SowDate-3+91,"")</f>
        <v/>
      </c>
      <c r="DA2" s="34">
        <f>IF(ISNUMBER(SowDate),SowDate-3+92,"")</f>
        <v/>
      </c>
      <c r="DB2" s="34">
        <f>IF(ISNUMBER(SowDate),SowDate-3+93,"")</f>
        <v/>
      </c>
      <c r="DC2" s="34">
        <f>IF(ISNUMBER(SowDate),SowDate-3+94,"")</f>
        <v/>
      </c>
      <c r="DD2" s="34">
        <f>IF(ISNUMBER(SowDate),SowDate-3+95,"")</f>
        <v/>
      </c>
      <c r="DE2" s="34">
        <f>IF(ISNUMBER(SowDate),SowDate-3+96,"")</f>
        <v/>
      </c>
      <c r="DF2" s="34">
        <f>IF(ISNUMBER(SowDate),SowDate-3+97,"")</f>
        <v/>
      </c>
      <c r="DG2" s="34">
        <f>IF(ISNUMBER(SowDate),SowDate-3+98,"")</f>
        <v/>
      </c>
      <c r="DH2" s="34">
        <f>IF(ISNUMBER(SowDate),SowDate-3+99,"")</f>
        <v/>
      </c>
      <c r="DI2" s="34">
        <f>IF(ISNUMBER(SowDate),SowDate-3+100,"")</f>
        <v/>
      </c>
      <c r="DJ2" s="34">
        <f>IF(ISNUMBER(SowDate),SowDate-3+101,"")</f>
        <v/>
      </c>
      <c r="DK2" s="34">
        <f>IF(ISNUMBER(SowDate),SowDate-3+102,"")</f>
        <v/>
      </c>
      <c r="DL2" s="34">
        <f>IF(ISNUMBER(SowDate),SowDate-3+103,"")</f>
        <v/>
      </c>
      <c r="DM2" s="34">
        <f>IF(ISNUMBER(SowDate),SowDate-3+104,"")</f>
        <v/>
      </c>
      <c r="DN2" s="34">
        <f>IF(ISNUMBER(SowDate),SowDate-3+105,"")</f>
        <v/>
      </c>
      <c r="DO2" s="34">
        <f>IF(ISNUMBER(SowDate),SowDate-3+106,"")</f>
        <v/>
      </c>
      <c r="DP2" s="34">
        <f>IF(ISNUMBER(SowDate),SowDate-3+107,"")</f>
        <v/>
      </c>
      <c r="DQ2" s="34">
        <f>IF(ISNUMBER(SowDate),SowDate-3+108,"")</f>
        <v/>
      </c>
      <c r="DR2" s="34">
        <f>IF(ISNUMBER(SowDate),SowDate-3+109,"")</f>
        <v/>
      </c>
      <c r="DS2" s="34">
        <f>IF(ISNUMBER(SowDate),SowDate-3+110,"")</f>
        <v/>
      </c>
      <c r="DT2" s="34">
        <f>IF(ISNUMBER(SowDate),SowDate-3+111,"")</f>
        <v/>
      </c>
      <c r="DU2" s="34">
        <f>IF(ISNUMBER(SowDate),SowDate-3+112,"")</f>
        <v/>
      </c>
      <c r="DV2" s="34">
        <f>IF(ISNUMBER(SowDate),SowDate-3+113,"")</f>
        <v/>
      </c>
      <c r="DW2" s="34">
        <f>IF(ISNUMBER(SowDate),SowDate-3+114,"")</f>
        <v/>
      </c>
      <c r="DX2" s="34">
        <f>IF(ISNUMBER(SowDate),SowDate-3+115,"")</f>
        <v/>
      </c>
      <c r="DY2" s="34">
        <f>IF(ISNUMBER(SowDate),SowDate-3+116,"")</f>
        <v/>
      </c>
      <c r="DZ2" s="34">
        <f>IF(ISNUMBER(SowDate),SowDate-3+117,"")</f>
        <v/>
      </c>
      <c r="EA2" s="34">
        <f>IF(ISNUMBER(SowDate),SowDate-3+118,"")</f>
        <v/>
      </c>
      <c r="EB2" s="34">
        <f>IF(ISNUMBER(SowDate),SowDate-3+119,"")</f>
        <v/>
      </c>
      <c r="EC2" s="34">
        <f>IF(ISNUMBER(SowDate),SowDate-3+120,"")</f>
        <v/>
      </c>
      <c r="ED2" s="34">
        <f>IF(ISNUMBER(SowDate),SowDate-3+121,"")</f>
        <v/>
      </c>
      <c r="EE2" s="34">
        <f>IF(ISNUMBER(SowDate),SowDate-3+122,"")</f>
        <v/>
      </c>
      <c r="EF2" s="34">
        <f>IF(ISNUMBER(SowDate),SowDate-3+123,"")</f>
        <v/>
      </c>
      <c r="EG2" s="34">
        <f>IF(ISNUMBER(SowDate),SowDate-3+124,"")</f>
        <v/>
      </c>
      <c r="EH2" s="34">
        <f>IF(ISNUMBER(SowDate),SowDate-3+125,"")</f>
        <v/>
      </c>
      <c r="EI2" s="34">
        <f>IF(ISNUMBER(SowDate),SowDate-3+126,"")</f>
        <v/>
      </c>
      <c r="EJ2" s="34">
        <f>IF(ISNUMBER(SowDate),SowDate-3+127,"")</f>
        <v/>
      </c>
      <c r="EK2" s="34">
        <f>IF(ISNUMBER(SowDate),SowDate-3+128,"")</f>
        <v/>
      </c>
      <c r="EL2" s="34">
        <f>IF(ISNUMBER(SowDate),SowDate-3+129,"")</f>
        <v/>
      </c>
      <c r="EM2" s="34">
        <f>IF(ISNUMBER(SowDate),SowDate-3+130,"")</f>
        <v/>
      </c>
      <c r="EN2" s="34">
        <f>IF(ISNUMBER(SowDate),SowDate-3+131,"")</f>
        <v/>
      </c>
      <c r="EO2" s="34">
        <f>IF(ISNUMBER(SowDate),SowDate-3+132,"")</f>
        <v/>
      </c>
      <c r="EP2" s="34">
        <f>IF(ISNUMBER(SowDate),SowDate-3+133,"")</f>
        <v/>
      </c>
      <c r="EQ2" s="34">
        <f>IF(ISNUMBER(SowDate),SowDate-3+134,"")</f>
        <v/>
      </c>
      <c r="ER2" s="34">
        <f>IF(ISNUMBER(SowDate),SowDate-3+135,"")</f>
        <v/>
      </c>
      <c r="ES2" s="34">
        <f>IF(ISNUMBER(SowDate),SowDate-3+136,"")</f>
        <v/>
      </c>
      <c r="ET2" s="34">
        <f>IF(ISNUMBER(SowDate),SowDate-3+137,"")</f>
        <v/>
      </c>
      <c r="EU2" s="34">
        <f>IF(ISNUMBER(SowDate),SowDate-3+138,"")</f>
        <v/>
      </c>
      <c r="EV2" s="34">
        <f>IF(ISNUMBER(SowDate),SowDate-3+139,"")</f>
        <v/>
      </c>
      <c r="EW2" s="34">
        <f>IF(ISNUMBER(SowDate),SowDate-3+140,"")</f>
        <v/>
      </c>
      <c r="EX2" s="34">
        <f>IF(ISNUMBER(SowDate),SowDate-3+141,"")</f>
        <v/>
      </c>
      <c r="EY2" s="34">
        <f>IF(ISNUMBER(SowDate),SowDate-3+142,"")</f>
        <v/>
      </c>
      <c r="EZ2" s="34">
        <f>IF(ISNUMBER(SowDate),SowDate-3+143,"")</f>
        <v/>
      </c>
      <c r="FA2" s="34">
        <f>IF(ISNUMBER(SowDate),SowDate-3+144,"")</f>
        <v/>
      </c>
      <c r="FB2" s="34">
        <f>IF(ISNUMBER(SowDate),SowDate-3+145,"")</f>
        <v/>
      </c>
      <c r="FC2" s="34">
        <f>IF(ISNUMBER(SowDate),SowDate-3+146,"")</f>
        <v/>
      </c>
      <c r="FD2" s="34">
        <f>IF(ISNUMBER(SowDate),SowDate-3+147,"")</f>
        <v/>
      </c>
      <c r="FE2" s="34">
        <f>IF(ISNUMBER(SowDate),SowDate-3+148,"")</f>
        <v/>
      </c>
      <c r="FF2" s="34">
        <f>IF(ISNUMBER(SowDate),SowDate-3+149,"")</f>
        <v/>
      </c>
      <c r="FG2" s="34">
        <f>IF(ISNUMBER(SowDate),SowDate-3+150,"")</f>
        <v/>
      </c>
      <c r="FH2" s="34">
        <f>IF(ISNUMBER(SowDate),SowDate-3+151,"")</f>
        <v/>
      </c>
      <c r="FI2" s="34">
        <f>IF(ISNUMBER(SowDate),SowDate-3+152,"")</f>
        <v/>
      </c>
      <c r="FJ2" s="34">
        <f>IF(ISNUMBER(SowDate),SowDate-3+153,"")</f>
        <v/>
      </c>
      <c r="FK2" s="34">
        <f>IF(ISNUMBER(SowDate),SowDate-3+154,"")</f>
        <v/>
      </c>
      <c r="FL2" s="34">
        <f>IF(ISNUMBER(SowDate),SowDate-3+155,"")</f>
        <v/>
      </c>
      <c r="FM2" s="34">
        <f>IF(ISNUMBER(SowDate),SowDate-3+156,"")</f>
        <v/>
      </c>
      <c r="FN2" s="34">
        <f>IF(ISNUMBER(SowDate),SowDate-3+157,"")</f>
        <v/>
      </c>
      <c r="FO2" s="34">
        <f>IF(ISNUMBER(SowDate),SowDate-3+158,"")</f>
        <v/>
      </c>
      <c r="FP2" s="34">
        <f>IF(ISNUMBER(SowDate),SowDate-3+159,"")</f>
        <v/>
      </c>
      <c r="FQ2" s="34">
        <f>IF(ISNUMBER(SowDate),SowDate-3+160,"")</f>
        <v/>
      </c>
      <c r="FR2" s="34">
        <f>IF(ISNUMBER(SowDate),SowDate-3+161,"")</f>
        <v/>
      </c>
      <c r="FS2" s="34">
        <f>IF(ISNUMBER(SowDate),SowDate-3+162,"")</f>
        <v/>
      </c>
      <c r="FT2" s="34">
        <f>IF(ISNUMBER(SowDate),SowDate-3+163,"")</f>
        <v/>
      </c>
      <c r="FU2" s="34">
        <f>IF(ISNUMBER(SowDate),SowDate-3+164,"")</f>
        <v/>
      </c>
      <c r="FV2" s="34">
        <f>IF(ISNUMBER(SowDate),SowDate-3+165,"")</f>
        <v/>
      </c>
      <c r="FW2" s="34">
        <f>IF(ISNUMBER(SowDate),SowDate-3+166,"")</f>
        <v/>
      </c>
      <c r="FX2" s="34">
        <f>IF(ISNUMBER(SowDate),SowDate-3+167,"")</f>
        <v/>
      </c>
      <c r="FY2" s="34">
        <f>IF(ISNUMBER(SowDate),SowDate-3+168,"")</f>
        <v/>
      </c>
      <c r="FZ2" s="34">
        <f>IF(ISNUMBER(SowDate),SowDate-3+169,"")</f>
        <v/>
      </c>
      <c r="GA2" s="34">
        <f>IF(ISNUMBER(SowDate),SowDate-3+170,"")</f>
        <v/>
      </c>
      <c r="GB2" s="34">
        <f>IF(ISNUMBER(SowDate),SowDate-3+171,"")</f>
        <v/>
      </c>
      <c r="GC2" s="34">
        <f>IF(ISNUMBER(SowDate),SowDate-3+172,"")</f>
        <v/>
      </c>
      <c r="GD2" s="34">
        <f>IF(ISNUMBER(SowDate),SowDate-3+173,"")</f>
        <v/>
      </c>
      <c r="GE2" s="34">
        <f>IF(ISNUMBER(SowDate),SowDate-3+174,"")</f>
        <v/>
      </c>
    </row>
    <row r="3">
      <c r="A3" s="5" t="inlineStr">
        <is>
          <t>Event</t>
        </is>
      </c>
      <c r="B3" s="5" t="inlineStr">
        <is>
          <t>ঘটনা</t>
        </is>
      </c>
      <c r="C3" s="5" t="inlineStr">
        <is>
          <t>Plot</t>
        </is>
      </c>
      <c r="D3" s="5" t="inlineStr">
        <is>
          <t>Planned start</t>
        </is>
      </c>
      <c r="E3" s="5" t="inlineStr">
        <is>
          <t>Planned end</t>
        </is>
      </c>
      <c r="F3" s="5" t="inlineStr">
        <is>
          <t>Actual start</t>
        </is>
      </c>
      <c r="G3" s="5" t="inlineStr">
        <is>
          <t>Actual end</t>
        </is>
      </c>
      <c r="H3" s="5" t="inlineStr">
        <is>
          <t>Status</t>
        </is>
      </c>
      <c r="I3" s="5" t="inlineStr">
        <is>
          <t>Delay (days)</t>
        </is>
      </c>
      <c r="J3" s="5" t="inlineStr">
        <is>
          <t>Used start</t>
        </is>
      </c>
      <c r="K3" s="5" t="inlineStr">
        <is>
          <t>Used end</t>
        </is>
      </c>
      <c r="L3" s="5" t="inlineStr">
        <is>
          <t>next</t>
        </is>
      </c>
      <c r="M3" s="35">
        <f>IF(M2="","",TEXT(M2,"mmm"))</f>
        <v/>
      </c>
      <c r="N3" s="35">
        <f>IF(N2="","",TEXT(N2,"mmm"))</f>
        <v/>
      </c>
      <c r="O3" s="35">
        <f>IF(O2="","",TEXT(O2,"mmm"))</f>
        <v/>
      </c>
      <c r="P3" s="35">
        <f>IF(P2="","",TEXT(P2,"mmm"))</f>
        <v/>
      </c>
      <c r="Q3" s="35">
        <f>IF(Q2="","",TEXT(Q2,"mmm"))</f>
        <v/>
      </c>
      <c r="R3" s="35">
        <f>IF(R2="","",TEXT(R2,"mmm"))</f>
        <v/>
      </c>
      <c r="S3" s="35">
        <f>IF(S2="","",TEXT(S2,"mmm"))</f>
        <v/>
      </c>
      <c r="T3" s="35">
        <f>IF(T2="","",TEXT(T2,"mmm"))</f>
        <v/>
      </c>
      <c r="U3" s="35">
        <f>IF(U2="","",TEXT(U2,"mmm"))</f>
        <v/>
      </c>
      <c r="V3" s="35">
        <f>IF(V2="","",TEXT(V2,"mmm"))</f>
        <v/>
      </c>
      <c r="W3" s="35">
        <f>IF(W2="","",TEXT(W2,"mmm"))</f>
        <v/>
      </c>
      <c r="X3" s="35">
        <f>IF(X2="","",TEXT(X2,"mmm"))</f>
        <v/>
      </c>
      <c r="Y3" s="35">
        <f>IF(Y2="","",TEXT(Y2,"mmm"))</f>
        <v/>
      </c>
      <c r="Z3" s="35">
        <f>IF(Z2="","",TEXT(Z2,"mmm"))</f>
        <v/>
      </c>
      <c r="AA3" s="35">
        <f>IF(AA2="","",TEXT(AA2,"mmm"))</f>
        <v/>
      </c>
      <c r="AB3" s="35">
        <f>IF(AB2="","",TEXT(AB2,"mmm"))</f>
        <v/>
      </c>
      <c r="AC3" s="35">
        <f>IF(AC2="","",TEXT(AC2,"mmm"))</f>
        <v/>
      </c>
      <c r="AD3" s="35">
        <f>IF(AD2="","",TEXT(AD2,"mmm"))</f>
        <v/>
      </c>
      <c r="AE3" s="35">
        <f>IF(AE2="","",TEXT(AE2,"mmm"))</f>
        <v/>
      </c>
      <c r="AF3" s="35">
        <f>IF(AF2="","",TEXT(AF2,"mmm"))</f>
        <v/>
      </c>
      <c r="AG3" s="35">
        <f>IF(AG2="","",TEXT(AG2,"mmm"))</f>
        <v/>
      </c>
      <c r="AH3" s="35">
        <f>IF(AH2="","",TEXT(AH2,"mmm"))</f>
        <v/>
      </c>
      <c r="AI3" s="35">
        <f>IF(AI2="","",TEXT(AI2,"mmm"))</f>
        <v/>
      </c>
      <c r="AJ3" s="35">
        <f>IF(AJ2="","",TEXT(AJ2,"mmm"))</f>
        <v/>
      </c>
      <c r="AK3" s="35">
        <f>IF(AK2="","",TEXT(AK2,"mmm"))</f>
        <v/>
      </c>
      <c r="AL3" s="35">
        <f>IF(AL2="","",TEXT(AL2,"mmm"))</f>
        <v/>
      </c>
      <c r="AM3" s="35">
        <f>IF(AM2="","",TEXT(AM2,"mmm"))</f>
        <v/>
      </c>
      <c r="AN3" s="35">
        <f>IF(AN2="","",TEXT(AN2,"mmm"))</f>
        <v/>
      </c>
      <c r="AO3" s="35">
        <f>IF(AO2="","",TEXT(AO2,"mmm"))</f>
        <v/>
      </c>
      <c r="AP3" s="35">
        <f>IF(AP2="","",TEXT(AP2,"mmm"))</f>
        <v/>
      </c>
      <c r="AQ3" s="35">
        <f>IF(AQ2="","",TEXT(AQ2,"mmm"))</f>
        <v/>
      </c>
      <c r="AR3" s="35">
        <f>IF(AR2="","",TEXT(AR2,"mmm"))</f>
        <v/>
      </c>
      <c r="AS3" s="35">
        <f>IF(AS2="","",TEXT(AS2,"mmm"))</f>
        <v/>
      </c>
      <c r="AT3" s="35">
        <f>IF(AT2="","",TEXT(AT2,"mmm"))</f>
        <v/>
      </c>
      <c r="AU3" s="35">
        <f>IF(AU2="","",TEXT(AU2,"mmm"))</f>
        <v/>
      </c>
      <c r="AV3" s="35">
        <f>IF(AV2="","",TEXT(AV2,"mmm"))</f>
        <v/>
      </c>
      <c r="AW3" s="35">
        <f>IF(AW2="","",TEXT(AW2,"mmm"))</f>
        <v/>
      </c>
      <c r="AX3" s="35">
        <f>IF(AX2="","",TEXT(AX2,"mmm"))</f>
        <v/>
      </c>
      <c r="AY3" s="35">
        <f>IF(AY2="","",TEXT(AY2,"mmm"))</f>
        <v/>
      </c>
      <c r="AZ3" s="35">
        <f>IF(AZ2="","",TEXT(AZ2,"mmm"))</f>
        <v/>
      </c>
      <c r="BA3" s="35">
        <f>IF(BA2="","",TEXT(BA2,"mmm"))</f>
        <v/>
      </c>
      <c r="BB3" s="35">
        <f>IF(BB2="","",TEXT(BB2,"mmm"))</f>
        <v/>
      </c>
      <c r="BC3" s="35">
        <f>IF(BC2="","",TEXT(BC2,"mmm"))</f>
        <v/>
      </c>
      <c r="BD3" s="35">
        <f>IF(BD2="","",TEXT(BD2,"mmm"))</f>
        <v/>
      </c>
      <c r="BE3" s="35">
        <f>IF(BE2="","",TEXT(BE2,"mmm"))</f>
        <v/>
      </c>
      <c r="BF3" s="35">
        <f>IF(BF2="","",TEXT(BF2,"mmm"))</f>
        <v/>
      </c>
      <c r="BG3" s="35">
        <f>IF(BG2="","",TEXT(BG2,"mmm"))</f>
        <v/>
      </c>
      <c r="BH3" s="35">
        <f>IF(BH2="","",TEXT(BH2,"mmm"))</f>
        <v/>
      </c>
      <c r="BI3" s="35">
        <f>IF(BI2="","",TEXT(BI2,"mmm"))</f>
        <v/>
      </c>
      <c r="BJ3" s="35">
        <f>IF(BJ2="","",TEXT(BJ2,"mmm"))</f>
        <v/>
      </c>
      <c r="BK3" s="35">
        <f>IF(BK2="","",TEXT(BK2,"mmm"))</f>
        <v/>
      </c>
      <c r="BL3" s="35">
        <f>IF(BL2="","",TEXT(BL2,"mmm"))</f>
        <v/>
      </c>
      <c r="BM3" s="35">
        <f>IF(BM2="","",TEXT(BM2,"mmm"))</f>
        <v/>
      </c>
      <c r="BN3" s="35">
        <f>IF(BN2="","",TEXT(BN2,"mmm"))</f>
        <v/>
      </c>
      <c r="BO3" s="35">
        <f>IF(BO2="","",TEXT(BO2,"mmm"))</f>
        <v/>
      </c>
      <c r="BP3" s="35">
        <f>IF(BP2="","",TEXT(BP2,"mmm"))</f>
        <v/>
      </c>
      <c r="BQ3" s="35">
        <f>IF(BQ2="","",TEXT(BQ2,"mmm"))</f>
        <v/>
      </c>
      <c r="BR3" s="35">
        <f>IF(BR2="","",TEXT(BR2,"mmm"))</f>
        <v/>
      </c>
      <c r="BS3" s="35">
        <f>IF(BS2="","",TEXT(BS2,"mmm"))</f>
        <v/>
      </c>
      <c r="BT3" s="35">
        <f>IF(BT2="","",TEXT(BT2,"mmm"))</f>
        <v/>
      </c>
      <c r="BU3" s="35">
        <f>IF(BU2="","",TEXT(BU2,"mmm"))</f>
        <v/>
      </c>
      <c r="BV3" s="35">
        <f>IF(BV2="","",TEXT(BV2,"mmm"))</f>
        <v/>
      </c>
      <c r="BW3" s="35">
        <f>IF(BW2="","",TEXT(BW2,"mmm"))</f>
        <v/>
      </c>
      <c r="BX3" s="35">
        <f>IF(BX2="","",TEXT(BX2,"mmm"))</f>
        <v/>
      </c>
      <c r="BY3" s="35">
        <f>IF(BY2="","",TEXT(BY2,"mmm"))</f>
        <v/>
      </c>
      <c r="BZ3" s="35">
        <f>IF(BZ2="","",TEXT(BZ2,"mmm"))</f>
        <v/>
      </c>
      <c r="CA3" s="35">
        <f>IF(CA2="","",TEXT(CA2,"mmm"))</f>
        <v/>
      </c>
      <c r="CB3" s="35">
        <f>IF(CB2="","",TEXT(CB2,"mmm"))</f>
        <v/>
      </c>
      <c r="CC3" s="35">
        <f>IF(CC2="","",TEXT(CC2,"mmm"))</f>
        <v/>
      </c>
      <c r="CD3" s="35">
        <f>IF(CD2="","",TEXT(CD2,"mmm"))</f>
        <v/>
      </c>
      <c r="CE3" s="35">
        <f>IF(CE2="","",TEXT(CE2,"mmm"))</f>
        <v/>
      </c>
      <c r="CF3" s="35">
        <f>IF(CF2="","",TEXT(CF2,"mmm"))</f>
        <v/>
      </c>
      <c r="CG3" s="35">
        <f>IF(CG2="","",TEXT(CG2,"mmm"))</f>
        <v/>
      </c>
      <c r="CH3" s="35">
        <f>IF(CH2="","",TEXT(CH2,"mmm"))</f>
        <v/>
      </c>
      <c r="CI3" s="35">
        <f>IF(CI2="","",TEXT(CI2,"mmm"))</f>
        <v/>
      </c>
      <c r="CJ3" s="35">
        <f>IF(CJ2="","",TEXT(CJ2,"mmm"))</f>
        <v/>
      </c>
      <c r="CK3" s="35">
        <f>IF(CK2="","",TEXT(CK2,"mmm"))</f>
        <v/>
      </c>
      <c r="CL3" s="35">
        <f>IF(CL2="","",TEXT(CL2,"mmm"))</f>
        <v/>
      </c>
      <c r="CM3" s="35">
        <f>IF(CM2="","",TEXT(CM2,"mmm"))</f>
        <v/>
      </c>
      <c r="CN3" s="35">
        <f>IF(CN2="","",TEXT(CN2,"mmm"))</f>
        <v/>
      </c>
      <c r="CO3" s="35">
        <f>IF(CO2="","",TEXT(CO2,"mmm"))</f>
        <v/>
      </c>
      <c r="CP3" s="35">
        <f>IF(CP2="","",TEXT(CP2,"mmm"))</f>
        <v/>
      </c>
      <c r="CQ3" s="35">
        <f>IF(CQ2="","",TEXT(CQ2,"mmm"))</f>
        <v/>
      </c>
      <c r="CR3" s="35">
        <f>IF(CR2="","",TEXT(CR2,"mmm"))</f>
        <v/>
      </c>
      <c r="CS3" s="35">
        <f>IF(CS2="","",TEXT(CS2,"mmm"))</f>
        <v/>
      </c>
      <c r="CT3" s="35">
        <f>IF(CT2="","",TEXT(CT2,"mmm"))</f>
        <v/>
      </c>
      <c r="CU3" s="35">
        <f>IF(CU2="","",TEXT(CU2,"mmm"))</f>
        <v/>
      </c>
      <c r="CV3" s="35">
        <f>IF(CV2="","",TEXT(CV2,"mmm"))</f>
        <v/>
      </c>
      <c r="CW3" s="35">
        <f>IF(CW2="","",TEXT(CW2,"mmm"))</f>
        <v/>
      </c>
      <c r="CX3" s="35">
        <f>IF(CX2="","",TEXT(CX2,"mmm"))</f>
        <v/>
      </c>
      <c r="CY3" s="35">
        <f>IF(CY2="","",TEXT(CY2,"mmm"))</f>
        <v/>
      </c>
      <c r="CZ3" s="35">
        <f>IF(CZ2="","",TEXT(CZ2,"mmm"))</f>
        <v/>
      </c>
      <c r="DA3" s="35">
        <f>IF(DA2="","",TEXT(DA2,"mmm"))</f>
        <v/>
      </c>
      <c r="DB3" s="35">
        <f>IF(DB2="","",TEXT(DB2,"mmm"))</f>
        <v/>
      </c>
      <c r="DC3" s="35">
        <f>IF(DC2="","",TEXT(DC2,"mmm"))</f>
        <v/>
      </c>
      <c r="DD3" s="35">
        <f>IF(DD2="","",TEXT(DD2,"mmm"))</f>
        <v/>
      </c>
      <c r="DE3" s="35">
        <f>IF(DE2="","",TEXT(DE2,"mmm"))</f>
        <v/>
      </c>
      <c r="DF3" s="35">
        <f>IF(DF2="","",TEXT(DF2,"mmm"))</f>
        <v/>
      </c>
      <c r="DG3" s="35">
        <f>IF(DG2="","",TEXT(DG2,"mmm"))</f>
        <v/>
      </c>
      <c r="DH3" s="35">
        <f>IF(DH2="","",TEXT(DH2,"mmm"))</f>
        <v/>
      </c>
      <c r="DI3" s="35">
        <f>IF(DI2="","",TEXT(DI2,"mmm"))</f>
        <v/>
      </c>
      <c r="DJ3" s="35">
        <f>IF(DJ2="","",TEXT(DJ2,"mmm"))</f>
        <v/>
      </c>
      <c r="DK3" s="35">
        <f>IF(DK2="","",TEXT(DK2,"mmm"))</f>
        <v/>
      </c>
      <c r="DL3" s="35">
        <f>IF(DL2="","",TEXT(DL2,"mmm"))</f>
        <v/>
      </c>
      <c r="DM3" s="35">
        <f>IF(DM2="","",TEXT(DM2,"mmm"))</f>
        <v/>
      </c>
      <c r="DN3" s="35">
        <f>IF(DN2="","",TEXT(DN2,"mmm"))</f>
        <v/>
      </c>
      <c r="DO3" s="35">
        <f>IF(DO2="","",TEXT(DO2,"mmm"))</f>
        <v/>
      </c>
      <c r="DP3" s="35">
        <f>IF(DP2="","",TEXT(DP2,"mmm"))</f>
        <v/>
      </c>
      <c r="DQ3" s="35">
        <f>IF(DQ2="","",TEXT(DQ2,"mmm"))</f>
        <v/>
      </c>
      <c r="DR3" s="35">
        <f>IF(DR2="","",TEXT(DR2,"mmm"))</f>
        <v/>
      </c>
      <c r="DS3" s="35">
        <f>IF(DS2="","",TEXT(DS2,"mmm"))</f>
        <v/>
      </c>
      <c r="DT3" s="35">
        <f>IF(DT2="","",TEXT(DT2,"mmm"))</f>
        <v/>
      </c>
      <c r="DU3" s="35">
        <f>IF(DU2="","",TEXT(DU2,"mmm"))</f>
        <v/>
      </c>
      <c r="DV3" s="35">
        <f>IF(DV2="","",TEXT(DV2,"mmm"))</f>
        <v/>
      </c>
      <c r="DW3" s="35">
        <f>IF(DW2="","",TEXT(DW2,"mmm"))</f>
        <v/>
      </c>
      <c r="DX3" s="35">
        <f>IF(DX2="","",TEXT(DX2,"mmm"))</f>
        <v/>
      </c>
      <c r="DY3" s="35">
        <f>IF(DY2="","",TEXT(DY2,"mmm"))</f>
        <v/>
      </c>
      <c r="DZ3" s="35">
        <f>IF(DZ2="","",TEXT(DZ2,"mmm"))</f>
        <v/>
      </c>
      <c r="EA3" s="35">
        <f>IF(EA2="","",TEXT(EA2,"mmm"))</f>
        <v/>
      </c>
      <c r="EB3" s="35">
        <f>IF(EB2="","",TEXT(EB2,"mmm"))</f>
        <v/>
      </c>
      <c r="EC3" s="35">
        <f>IF(EC2="","",TEXT(EC2,"mmm"))</f>
        <v/>
      </c>
      <c r="ED3" s="35">
        <f>IF(ED2="","",TEXT(ED2,"mmm"))</f>
        <v/>
      </c>
      <c r="EE3" s="35">
        <f>IF(EE2="","",TEXT(EE2,"mmm"))</f>
        <v/>
      </c>
      <c r="EF3" s="35">
        <f>IF(EF2="","",TEXT(EF2,"mmm"))</f>
        <v/>
      </c>
      <c r="EG3" s="35">
        <f>IF(EG2="","",TEXT(EG2,"mmm"))</f>
        <v/>
      </c>
      <c r="EH3" s="35">
        <f>IF(EH2="","",TEXT(EH2,"mmm"))</f>
        <v/>
      </c>
      <c r="EI3" s="35">
        <f>IF(EI2="","",TEXT(EI2,"mmm"))</f>
        <v/>
      </c>
      <c r="EJ3" s="35">
        <f>IF(EJ2="","",TEXT(EJ2,"mmm"))</f>
        <v/>
      </c>
      <c r="EK3" s="35">
        <f>IF(EK2="","",TEXT(EK2,"mmm"))</f>
        <v/>
      </c>
      <c r="EL3" s="35">
        <f>IF(EL2="","",TEXT(EL2,"mmm"))</f>
        <v/>
      </c>
      <c r="EM3" s="35">
        <f>IF(EM2="","",TEXT(EM2,"mmm"))</f>
        <v/>
      </c>
      <c r="EN3" s="35">
        <f>IF(EN2="","",TEXT(EN2,"mmm"))</f>
        <v/>
      </c>
      <c r="EO3" s="35">
        <f>IF(EO2="","",TEXT(EO2,"mmm"))</f>
        <v/>
      </c>
      <c r="EP3" s="35">
        <f>IF(EP2="","",TEXT(EP2,"mmm"))</f>
        <v/>
      </c>
      <c r="EQ3" s="35">
        <f>IF(EQ2="","",TEXT(EQ2,"mmm"))</f>
        <v/>
      </c>
      <c r="ER3" s="35">
        <f>IF(ER2="","",TEXT(ER2,"mmm"))</f>
        <v/>
      </c>
      <c r="ES3" s="35">
        <f>IF(ES2="","",TEXT(ES2,"mmm"))</f>
        <v/>
      </c>
      <c r="ET3" s="35">
        <f>IF(ET2="","",TEXT(ET2,"mmm"))</f>
        <v/>
      </c>
      <c r="EU3" s="35">
        <f>IF(EU2="","",TEXT(EU2,"mmm"))</f>
        <v/>
      </c>
      <c r="EV3" s="35">
        <f>IF(EV2="","",TEXT(EV2,"mmm"))</f>
        <v/>
      </c>
      <c r="EW3" s="35">
        <f>IF(EW2="","",TEXT(EW2,"mmm"))</f>
        <v/>
      </c>
      <c r="EX3" s="35">
        <f>IF(EX2="","",TEXT(EX2,"mmm"))</f>
        <v/>
      </c>
      <c r="EY3" s="35">
        <f>IF(EY2="","",TEXT(EY2,"mmm"))</f>
        <v/>
      </c>
      <c r="EZ3" s="35">
        <f>IF(EZ2="","",TEXT(EZ2,"mmm"))</f>
        <v/>
      </c>
      <c r="FA3" s="35">
        <f>IF(FA2="","",TEXT(FA2,"mmm"))</f>
        <v/>
      </c>
      <c r="FB3" s="35">
        <f>IF(FB2="","",TEXT(FB2,"mmm"))</f>
        <v/>
      </c>
      <c r="FC3" s="35">
        <f>IF(FC2="","",TEXT(FC2,"mmm"))</f>
        <v/>
      </c>
      <c r="FD3" s="35">
        <f>IF(FD2="","",TEXT(FD2,"mmm"))</f>
        <v/>
      </c>
      <c r="FE3" s="35">
        <f>IF(FE2="","",TEXT(FE2,"mmm"))</f>
        <v/>
      </c>
      <c r="FF3" s="35">
        <f>IF(FF2="","",TEXT(FF2,"mmm"))</f>
        <v/>
      </c>
      <c r="FG3" s="35">
        <f>IF(FG2="","",TEXT(FG2,"mmm"))</f>
        <v/>
      </c>
      <c r="FH3" s="35">
        <f>IF(FH2="","",TEXT(FH2,"mmm"))</f>
        <v/>
      </c>
      <c r="FI3" s="35">
        <f>IF(FI2="","",TEXT(FI2,"mmm"))</f>
        <v/>
      </c>
      <c r="FJ3" s="35">
        <f>IF(FJ2="","",TEXT(FJ2,"mmm"))</f>
        <v/>
      </c>
      <c r="FK3" s="35">
        <f>IF(FK2="","",TEXT(FK2,"mmm"))</f>
        <v/>
      </c>
      <c r="FL3" s="35">
        <f>IF(FL2="","",TEXT(FL2,"mmm"))</f>
        <v/>
      </c>
      <c r="FM3" s="35">
        <f>IF(FM2="","",TEXT(FM2,"mmm"))</f>
        <v/>
      </c>
      <c r="FN3" s="35">
        <f>IF(FN2="","",TEXT(FN2,"mmm"))</f>
        <v/>
      </c>
      <c r="FO3" s="35">
        <f>IF(FO2="","",TEXT(FO2,"mmm"))</f>
        <v/>
      </c>
      <c r="FP3" s="35">
        <f>IF(FP2="","",TEXT(FP2,"mmm"))</f>
        <v/>
      </c>
      <c r="FQ3" s="35">
        <f>IF(FQ2="","",TEXT(FQ2,"mmm"))</f>
        <v/>
      </c>
      <c r="FR3" s="35">
        <f>IF(FR2="","",TEXT(FR2,"mmm"))</f>
        <v/>
      </c>
      <c r="FS3" s="35">
        <f>IF(FS2="","",TEXT(FS2,"mmm"))</f>
        <v/>
      </c>
      <c r="FT3" s="35">
        <f>IF(FT2="","",TEXT(FT2,"mmm"))</f>
        <v/>
      </c>
      <c r="FU3" s="35">
        <f>IF(FU2="","",TEXT(FU2,"mmm"))</f>
        <v/>
      </c>
      <c r="FV3" s="35">
        <f>IF(FV2="","",TEXT(FV2,"mmm"))</f>
        <v/>
      </c>
      <c r="FW3" s="35">
        <f>IF(FW2="","",TEXT(FW2,"mmm"))</f>
        <v/>
      </c>
      <c r="FX3" s="35">
        <f>IF(FX2="","",TEXT(FX2,"mmm"))</f>
        <v/>
      </c>
      <c r="FY3" s="35">
        <f>IF(FY2="","",TEXT(FY2,"mmm"))</f>
        <v/>
      </c>
      <c r="FZ3" s="35">
        <f>IF(FZ2="","",TEXT(FZ2,"mmm"))</f>
        <v/>
      </c>
      <c r="GA3" s="35">
        <f>IF(GA2="","",TEXT(GA2,"mmm"))</f>
        <v/>
      </c>
      <c r="GB3" s="35">
        <f>IF(GB2="","",TEXT(GB2,"mmm"))</f>
        <v/>
      </c>
      <c r="GC3" s="35">
        <f>IF(GC2="","",TEXT(GC2,"mmm"))</f>
        <v/>
      </c>
      <c r="GD3" s="35">
        <f>IF(GD2="","",TEXT(GD2,"mmm"))</f>
        <v/>
      </c>
      <c r="GE3" s="35">
        <f>IF(GE2="","",TEXT(GE2,"mmm"))</f>
        <v/>
      </c>
    </row>
    <row r="4">
      <c r="A4" s="15" t="inlineStr">
        <is>
          <t>3F4D+MD plot</t>
        </is>
      </c>
    </row>
    <row r="5">
      <c r="A5" s="36" t="inlineStr">
        <is>
          <t>Seed wetting</t>
        </is>
      </c>
      <c r="B5" s="12" t="inlineStr">
        <is>
          <t>বীজ ভেজানো</t>
        </is>
      </c>
      <c r="C5" s="12" t="inlineStr">
        <is>
          <t>3F4D+MD</t>
        </is>
      </c>
      <c r="D5" s="37" t="n"/>
      <c r="E5" s="7">
        <f>IF(D5="","",D5)</f>
        <v/>
      </c>
      <c r="F5" s="37" t="n"/>
      <c r="G5" s="7" t="n"/>
      <c r="H5" s="6">
        <f>IF(D5="","no plan",IF(F5&lt;&gt;"",IF(F5-D5&gt;=2,"LATE","OK"),IF(TODAY()&gt;D5+2,"OVERDUE","upcoming")))</f>
        <v/>
      </c>
      <c r="I5" s="6">
        <f>IF(AND(D5&lt;&gt;"",F5&lt;&gt;""),F5-D5,"")</f>
        <v/>
      </c>
      <c r="J5" s="7">
        <f>IF(F5&lt;&gt;"",F5,D5)</f>
        <v/>
      </c>
      <c r="K5" s="7">
        <f>IF(G5&lt;&gt;"",G5,IF(AND(F5&lt;&gt;"",E5=D5),F5,E5))</f>
        <v/>
      </c>
      <c r="L5" s="6">
        <f>IF(AND(D5&lt;&gt;"",F5="",D5&gt;=TODAY()),D5+ROW()/1000,"")</f>
        <v/>
      </c>
      <c r="M5" s="38">
        <f>IF(OR(M$2="",$D5=""),"",IF(AND(ISNUMBER($F5),M$2&gt;=$F5,M$2&lt;=IF(ISNUMBER($G5),$G5,$F5+$E5-$D5)),2,IF(AND(M$2&gt;=$D5,M$2&lt;=$E5),1,"")))</f>
        <v/>
      </c>
      <c r="N5" s="38">
        <f>IF(OR(N$2="",$D5=""),"",IF(AND(ISNUMBER($F5),N$2&gt;=$F5,N$2&lt;=IF(ISNUMBER($G5),$G5,$F5+$E5-$D5)),2,IF(AND(N$2&gt;=$D5,N$2&lt;=$E5),1,"")))</f>
        <v/>
      </c>
      <c r="O5" s="38">
        <f>IF(OR(O$2="",$D5=""),"",IF(AND(ISNUMBER($F5),O$2&gt;=$F5,O$2&lt;=IF(ISNUMBER($G5),$G5,$F5+$E5-$D5)),2,IF(AND(O$2&gt;=$D5,O$2&lt;=$E5),1,"")))</f>
        <v/>
      </c>
      <c r="P5" s="38">
        <f>IF(OR(P$2="",$D5=""),"",IF(AND(ISNUMBER($F5),P$2&gt;=$F5,P$2&lt;=IF(ISNUMBER($G5),$G5,$F5+$E5-$D5)),2,IF(AND(P$2&gt;=$D5,P$2&lt;=$E5),1,"")))</f>
        <v/>
      </c>
      <c r="Q5" s="38">
        <f>IF(OR(Q$2="",$D5=""),"",IF(AND(ISNUMBER($F5),Q$2&gt;=$F5,Q$2&lt;=IF(ISNUMBER($G5),$G5,$F5+$E5-$D5)),2,IF(AND(Q$2&gt;=$D5,Q$2&lt;=$E5),1,"")))</f>
        <v/>
      </c>
      <c r="R5" s="38">
        <f>IF(OR(R$2="",$D5=""),"",IF(AND(ISNUMBER($F5),R$2&gt;=$F5,R$2&lt;=IF(ISNUMBER($G5),$G5,$F5+$E5-$D5)),2,IF(AND(R$2&gt;=$D5,R$2&lt;=$E5),1,"")))</f>
        <v/>
      </c>
      <c r="S5" s="38">
        <f>IF(OR(S$2="",$D5=""),"",IF(AND(ISNUMBER($F5),S$2&gt;=$F5,S$2&lt;=IF(ISNUMBER($G5),$G5,$F5+$E5-$D5)),2,IF(AND(S$2&gt;=$D5,S$2&lt;=$E5),1,"")))</f>
        <v/>
      </c>
      <c r="T5" s="38">
        <f>IF(OR(T$2="",$D5=""),"",IF(AND(ISNUMBER($F5),T$2&gt;=$F5,T$2&lt;=IF(ISNUMBER($G5),$G5,$F5+$E5-$D5)),2,IF(AND(T$2&gt;=$D5,T$2&lt;=$E5),1,"")))</f>
        <v/>
      </c>
      <c r="U5" s="38">
        <f>IF(OR(U$2="",$D5=""),"",IF(AND(ISNUMBER($F5),U$2&gt;=$F5,U$2&lt;=IF(ISNUMBER($G5),$G5,$F5+$E5-$D5)),2,IF(AND(U$2&gt;=$D5,U$2&lt;=$E5),1,"")))</f>
        <v/>
      </c>
      <c r="V5" s="38">
        <f>IF(OR(V$2="",$D5=""),"",IF(AND(ISNUMBER($F5),V$2&gt;=$F5,V$2&lt;=IF(ISNUMBER($G5),$G5,$F5+$E5-$D5)),2,IF(AND(V$2&gt;=$D5,V$2&lt;=$E5),1,"")))</f>
        <v/>
      </c>
      <c r="W5" s="38">
        <f>IF(OR(W$2="",$D5=""),"",IF(AND(ISNUMBER($F5),W$2&gt;=$F5,W$2&lt;=IF(ISNUMBER($G5),$G5,$F5+$E5-$D5)),2,IF(AND(W$2&gt;=$D5,W$2&lt;=$E5),1,"")))</f>
        <v/>
      </c>
      <c r="X5" s="38">
        <f>IF(OR(X$2="",$D5=""),"",IF(AND(ISNUMBER($F5),X$2&gt;=$F5,X$2&lt;=IF(ISNUMBER($G5),$G5,$F5+$E5-$D5)),2,IF(AND(X$2&gt;=$D5,X$2&lt;=$E5),1,"")))</f>
        <v/>
      </c>
      <c r="Y5" s="38">
        <f>IF(OR(Y$2="",$D5=""),"",IF(AND(ISNUMBER($F5),Y$2&gt;=$F5,Y$2&lt;=IF(ISNUMBER($G5),$G5,$F5+$E5-$D5)),2,IF(AND(Y$2&gt;=$D5,Y$2&lt;=$E5),1,"")))</f>
        <v/>
      </c>
      <c r="Z5" s="38">
        <f>IF(OR(Z$2="",$D5=""),"",IF(AND(ISNUMBER($F5),Z$2&gt;=$F5,Z$2&lt;=IF(ISNUMBER($G5),$G5,$F5+$E5-$D5)),2,IF(AND(Z$2&gt;=$D5,Z$2&lt;=$E5),1,"")))</f>
        <v/>
      </c>
      <c r="AA5" s="38">
        <f>IF(OR(AA$2="",$D5=""),"",IF(AND(ISNUMBER($F5),AA$2&gt;=$F5,AA$2&lt;=IF(ISNUMBER($G5),$G5,$F5+$E5-$D5)),2,IF(AND(AA$2&gt;=$D5,AA$2&lt;=$E5),1,"")))</f>
        <v/>
      </c>
      <c r="AB5" s="38">
        <f>IF(OR(AB$2="",$D5=""),"",IF(AND(ISNUMBER($F5),AB$2&gt;=$F5,AB$2&lt;=IF(ISNUMBER($G5),$G5,$F5+$E5-$D5)),2,IF(AND(AB$2&gt;=$D5,AB$2&lt;=$E5),1,"")))</f>
        <v/>
      </c>
      <c r="AC5" s="38">
        <f>IF(OR(AC$2="",$D5=""),"",IF(AND(ISNUMBER($F5),AC$2&gt;=$F5,AC$2&lt;=IF(ISNUMBER($G5),$G5,$F5+$E5-$D5)),2,IF(AND(AC$2&gt;=$D5,AC$2&lt;=$E5),1,"")))</f>
        <v/>
      </c>
      <c r="AD5" s="38">
        <f>IF(OR(AD$2="",$D5=""),"",IF(AND(ISNUMBER($F5),AD$2&gt;=$F5,AD$2&lt;=IF(ISNUMBER($G5),$G5,$F5+$E5-$D5)),2,IF(AND(AD$2&gt;=$D5,AD$2&lt;=$E5),1,"")))</f>
        <v/>
      </c>
      <c r="AE5" s="38">
        <f>IF(OR(AE$2="",$D5=""),"",IF(AND(ISNUMBER($F5),AE$2&gt;=$F5,AE$2&lt;=IF(ISNUMBER($G5),$G5,$F5+$E5-$D5)),2,IF(AND(AE$2&gt;=$D5,AE$2&lt;=$E5),1,"")))</f>
        <v/>
      </c>
      <c r="AF5" s="38">
        <f>IF(OR(AF$2="",$D5=""),"",IF(AND(ISNUMBER($F5),AF$2&gt;=$F5,AF$2&lt;=IF(ISNUMBER($G5),$G5,$F5+$E5-$D5)),2,IF(AND(AF$2&gt;=$D5,AF$2&lt;=$E5),1,"")))</f>
        <v/>
      </c>
      <c r="AG5" s="38">
        <f>IF(OR(AG$2="",$D5=""),"",IF(AND(ISNUMBER($F5),AG$2&gt;=$F5,AG$2&lt;=IF(ISNUMBER($G5),$G5,$F5+$E5-$D5)),2,IF(AND(AG$2&gt;=$D5,AG$2&lt;=$E5),1,"")))</f>
        <v/>
      </c>
      <c r="AH5" s="38">
        <f>IF(OR(AH$2="",$D5=""),"",IF(AND(ISNUMBER($F5),AH$2&gt;=$F5,AH$2&lt;=IF(ISNUMBER($G5),$G5,$F5+$E5-$D5)),2,IF(AND(AH$2&gt;=$D5,AH$2&lt;=$E5),1,"")))</f>
        <v/>
      </c>
      <c r="AI5" s="38">
        <f>IF(OR(AI$2="",$D5=""),"",IF(AND(ISNUMBER($F5),AI$2&gt;=$F5,AI$2&lt;=IF(ISNUMBER($G5),$G5,$F5+$E5-$D5)),2,IF(AND(AI$2&gt;=$D5,AI$2&lt;=$E5),1,"")))</f>
        <v/>
      </c>
      <c r="AJ5" s="38">
        <f>IF(OR(AJ$2="",$D5=""),"",IF(AND(ISNUMBER($F5),AJ$2&gt;=$F5,AJ$2&lt;=IF(ISNUMBER($G5),$G5,$F5+$E5-$D5)),2,IF(AND(AJ$2&gt;=$D5,AJ$2&lt;=$E5),1,"")))</f>
        <v/>
      </c>
      <c r="AK5" s="38">
        <f>IF(OR(AK$2="",$D5=""),"",IF(AND(ISNUMBER($F5),AK$2&gt;=$F5,AK$2&lt;=IF(ISNUMBER($G5),$G5,$F5+$E5-$D5)),2,IF(AND(AK$2&gt;=$D5,AK$2&lt;=$E5),1,"")))</f>
        <v/>
      </c>
      <c r="AL5" s="38">
        <f>IF(OR(AL$2="",$D5=""),"",IF(AND(ISNUMBER($F5),AL$2&gt;=$F5,AL$2&lt;=IF(ISNUMBER($G5),$G5,$F5+$E5-$D5)),2,IF(AND(AL$2&gt;=$D5,AL$2&lt;=$E5),1,"")))</f>
        <v/>
      </c>
      <c r="AM5" s="38">
        <f>IF(OR(AM$2="",$D5=""),"",IF(AND(ISNUMBER($F5),AM$2&gt;=$F5,AM$2&lt;=IF(ISNUMBER($G5),$G5,$F5+$E5-$D5)),2,IF(AND(AM$2&gt;=$D5,AM$2&lt;=$E5),1,"")))</f>
        <v/>
      </c>
      <c r="AN5" s="38">
        <f>IF(OR(AN$2="",$D5=""),"",IF(AND(ISNUMBER($F5),AN$2&gt;=$F5,AN$2&lt;=IF(ISNUMBER($G5),$G5,$F5+$E5-$D5)),2,IF(AND(AN$2&gt;=$D5,AN$2&lt;=$E5),1,"")))</f>
        <v/>
      </c>
      <c r="AO5" s="38">
        <f>IF(OR(AO$2="",$D5=""),"",IF(AND(ISNUMBER($F5),AO$2&gt;=$F5,AO$2&lt;=IF(ISNUMBER($G5),$G5,$F5+$E5-$D5)),2,IF(AND(AO$2&gt;=$D5,AO$2&lt;=$E5),1,"")))</f>
        <v/>
      </c>
      <c r="AP5" s="38">
        <f>IF(OR(AP$2="",$D5=""),"",IF(AND(ISNUMBER($F5),AP$2&gt;=$F5,AP$2&lt;=IF(ISNUMBER($G5),$G5,$F5+$E5-$D5)),2,IF(AND(AP$2&gt;=$D5,AP$2&lt;=$E5),1,"")))</f>
        <v/>
      </c>
      <c r="AQ5" s="38">
        <f>IF(OR(AQ$2="",$D5=""),"",IF(AND(ISNUMBER($F5),AQ$2&gt;=$F5,AQ$2&lt;=IF(ISNUMBER($G5),$G5,$F5+$E5-$D5)),2,IF(AND(AQ$2&gt;=$D5,AQ$2&lt;=$E5),1,"")))</f>
        <v/>
      </c>
      <c r="AR5" s="38">
        <f>IF(OR(AR$2="",$D5=""),"",IF(AND(ISNUMBER($F5),AR$2&gt;=$F5,AR$2&lt;=IF(ISNUMBER($G5),$G5,$F5+$E5-$D5)),2,IF(AND(AR$2&gt;=$D5,AR$2&lt;=$E5),1,"")))</f>
        <v/>
      </c>
      <c r="AS5" s="38">
        <f>IF(OR(AS$2="",$D5=""),"",IF(AND(ISNUMBER($F5),AS$2&gt;=$F5,AS$2&lt;=IF(ISNUMBER($G5),$G5,$F5+$E5-$D5)),2,IF(AND(AS$2&gt;=$D5,AS$2&lt;=$E5),1,"")))</f>
        <v/>
      </c>
      <c r="AT5" s="38">
        <f>IF(OR(AT$2="",$D5=""),"",IF(AND(ISNUMBER($F5),AT$2&gt;=$F5,AT$2&lt;=IF(ISNUMBER($G5),$G5,$F5+$E5-$D5)),2,IF(AND(AT$2&gt;=$D5,AT$2&lt;=$E5),1,"")))</f>
        <v/>
      </c>
      <c r="AU5" s="38">
        <f>IF(OR(AU$2="",$D5=""),"",IF(AND(ISNUMBER($F5),AU$2&gt;=$F5,AU$2&lt;=IF(ISNUMBER($G5),$G5,$F5+$E5-$D5)),2,IF(AND(AU$2&gt;=$D5,AU$2&lt;=$E5),1,"")))</f>
        <v/>
      </c>
      <c r="AV5" s="38">
        <f>IF(OR(AV$2="",$D5=""),"",IF(AND(ISNUMBER($F5),AV$2&gt;=$F5,AV$2&lt;=IF(ISNUMBER($G5),$G5,$F5+$E5-$D5)),2,IF(AND(AV$2&gt;=$D5,AV$2&lt;=$E5),1,"")))</f>
        <v/>
      </c>
      <c r="AW5" s="38">
        <f>IF(OR(AW$2="",$D5=""),"",IF(AND(ISNUMBER($F5),AW$2&gt;=$F5,AW$2&lt;=IF(ISNUMBER($G5),$G5,$F5+$E5-$D5)),2,IF(AND(AW$2&gt;=$D5,AW$2&lt;=$E5),1,"")))</f>
        <v/>
      </c>
      <c r="AX5" s="38">
        <f>IF(OR(AX$2="",$D5=""),"",IF(AND(ISNUMBER($F5),AX$2&gt;=$F5,AX$2&lt;=IF(ISNUMBER($G5),$G5,$F5+$E5-$D5)),2,IF(AND(AX$2&gt;=$D5,AX$2&lt;=$E5),1,"")))</f>
        <v/>
      </c>
      <c r="AY5" s="38">
        <f>IF(OR(AY$2="",$D5=""),"",IF(AND(ISNUMBER($F5),AY$2&gt;=$F5,AY$2&lt;=IF(ISNUMBER($G5),$G5,$F5+$E5-$D5)),2,IF(AND(AY$2&gt;=$D5,AY$2&lt;=$E5),1,"")))</f>
        <v/>
      </c>
      <c r="AZ5" s="38">
        <f>IF(OR(AZ$2="",$D5=""),"",IF(AND(ISNUMBER($F5),AZ$2&gt;=$F5,AZ$2&lt;=IF(ISNUMBER($G5),$G5,$F5+$E5-$D5)),2,IF(AND(AZ$2&gt;=$D5,AZ$2&lt;=$E5),1,"")))</f>
        <v/>
      </c>
      <c r="BA5" s="38">
        <f>IF(OR(BA$2="",$D5=""),"",IF(AND(ISNUMBER($F5),BA$2&gt;=$F5,BA$2&lt;=IF(ISNUMBER($G5),$G5,$F5+$E5-$D5)),2,IF(AND(BA$2&gt;=$D5,BA$2&lt;=$E5),1,"")))</f>
        <v/>
      </c>
      <c r="BB5" s="38">
        <f>IF(OR(BB$2="",$D5=""),"",IF(AND(ISNUMBER($F5),BB$2&gt;=$F5,BB$2&lt;=IF(ISNUMBER($G5),$G5,$F5+$E5-$D5)),2,IF(AND(BB$2&gt;=$D5,BB$2&lt;=$E5),1,"")))</f>
        <v/>
      </c>
      <c r="BC5" s="38">
        <f>IF(OR(BC$2="",$D5=""),"",IF(AND(ISNUMBER($F5),BC$2&gt;=$F5,BC$2&lt;=IF(ISNUMBER($G5),$G5,$F5+$E5-$D5)),2,IF(AND(BC$2&gt;=$D5,BC$2&lt;=$E5),1,"")))</f>
        <v/>
      </c>
      <c r="BD5" s="38">
        <f>IF(OR(BD$2="",$D5=""),"",IF(AND(ISNUMBER($F5),BD$2&gt;=$F5,BD$2&lt;=IF(ISNUMBER($G5),$G5,$F5+$E5-$D5)),2,IF(AND(BD$2&gt;=$D5,BD$2&lt;=$E5),1,"")))</f>
        <v/>
      </c>
      <c r="BE5" s="38">
        <f>IF(OR(BE$2="",$D5=""),"",IF(AND(ISNUMBER($F5),BE$2&gt;=$F5,BE$2&lt;=IF(ISNUMBER($G5),$G5,$F5+$E5-$D5)),2,IF(AND(BE$2&gt;=$D5,BE$2&lt;=$E5),1,"")))</f>
        <v/>
      </c>
      <c r="BF5" s="38">
        <f>IF(OR(BF$2="",$D5=""),"",IF(AND(ISNUMBER($F5),BF$2&gt;=$F5,BF$2&lt;=IF(ISNUMBER($G5),$G5,$F5+$E5-$D5)),2,IF(AND(BF$2&gt;=$D5,BF$2&lt;=$E5),1,"")))</f>
        <v/>
      </c>
      <c r="BG5" s="38">
        <f>IF(OR(BG$2="",$D5=""),"",IF(AND(ISNUMBER($F5),BG$2&gt;=$F5,BG$2&lt;=IF(ISNUMBER($G5),$G5,$F5+$E5-$D5)),2,IF(AND(BG$2&gt;=$D5,BG$2&lt;=$E5),1,"")))</f>
        <v/>
      </c>
      <c r="BH5" s="38">
        <f>IF(OR(BH$2="",$D5=""),"",IF(AND(ISNUMBER($F5),BH$2&gt;=$F5,BH$2&lt;=IF(ISNUMBER($G5),$G5,$F5+$E5-$D5)),2,IF(AND(BH$2&gt;=$D5,BH$2&lt;=$E5),1,"")))</f>
        <v/>
      </c>
      <c r="BI5" s="38">
        <f>IF(OR(BI$2="",$D5=""),"",IF(AND(ISNUMBER($F5),BI$2&gt;=$F5,BI$2&lt;=IF(ISNUMBER($G5),$G5,$F5+$E5-$D5)),2,IF(AND(BI$2&gt;=$D5,BI$2&lt;=$E5),1,"")))</f>
        <v/>
      </c>
      <c r="BJ5" s="38">
        <f>IF(OR(BJ$2="",$D5=""),"",IF(AND(ISNUMBER($F5),BJ$2&gt;=$F5,BJ$2&lt;=IF(ISNUMBER($G5),$G5,$F5+$E5-$D5)),2,IF(AND(BJ$2&gt;=$D5,BJ$2&lt;=$E5),1,"")))</f>
        <v/>
      </c>
      <c r="BK5" s="38">
        <f>IF(OR(BK$2="",$D5=""),"",IF(AND(ISNUMBER($F5),BK$2&gt;=$F5,BK$2&lt;=IF(ISNUMBER($G5),$G5,$F5+$E5-$D5)),2,IF(AND(BK$2&gt;=$D5,BK$2&lt;=$E5),1,"")))</f>
        <v/>
      </c>
      <c r="BL5" s="38">
        <f>IF(OR(BL$2="",$D5=""),"",IF(AND(ISNUMBER($F5),BL$2&gt;=$F5,BL$2&lt;=IF(ISNUMBER($G5),$G5,$F5+$E5-$D5)),2,IF(AND(BL$2&gt;=$D5,BL$2&lt;=$E5),1,"")))</f>
        <v/>
      </c>
      <c r="BM5" s="38">
        <f>IF(OR(BM$2="",$D5=""),"",IF(AND(ISNUMBER($F5),BM$2&gt;=$F5,BM$2&lt;=IF(ISNUMBER($G5),$G5,$F5+$E5-$D5)),2,IF(AND(BM$2&gt;=$D5,BM$2&lt;=$E5),1,"")))</f>
        <v/>
      </c>
      <c r="BN5" s="38">
        <f>IF(OR(BN$2="",$D5=""),"",IF(AND(ISNUMBER($F5),BN$2&gt;=$F5,BN$2&lt;=IF(ISNUMBER($G5),$G5,$F5+$E5-$D5)),2,IF(AND(BN$2&gt;=$D5,BN$2&lt;=$E5),1,"")))</f>
        <v/>
      </c>
      <c r="BO5" s="38">
        <f>IF(OR(BO$2="",$D5=""),"",IF(AND(ISNUMBER($F5),BO$2&gt;=$F5,BO$2&lt;=IF(ISNUMBER($G5),$G5,$F5+$E5-$D5)),2,IF(AND(BO$2&gt;=$D5,BO$2&lt;=$E5),1,"")))</f>
        <v/>
      </c>
      <c r="BP5" s="38">
        <f>IF(OR(BP$2="",$D5=""),"",IF(AND(ISNUMBER($F5),BP$2&gt;=$F5,BP$2&lt;=IF(ISNUMBER($G5),$G5,$F5+$E5-$D5)),2,IF(AND(BP$2&gt;=$D5,BP$2&lt;=$E5),1,"")))</f>
        <v/>
      </c>
      <c r="BQ5" s="38">
        <f>IF(OR(BQ$2="",$D5=""),"",IF(AND(ISNUMBER($F5),BQ$2&gt;=$F5,BQ$2&lt;=IF(ISNUMBER($G5),$G5,$F5+$E5-$D5)),2,IF(AND(BQ$2&gt;=$D5,BQ$2&lt;=$E5),1,"")))</f>
        <v/>
      </c>
      <c r="BR5" s="38">
        <f>IF(OR(BR$2="",$D5=""),"",IF(AND(ISNUMBER($F5),BR$2&gt;=$F5,BR$2&lt;=IF(ISNUMBER($G5),$G5,$F5+$E5-$D5)),2,IF(AND(BR$2&gt;=$D5,BR$2&lt;=$E5),1,"")))</f>
        <v/>
      </c>
      <c r="BS5" s="38">
        <f>IF(OR(BS$2="",$D5=""),"",IF(AND(ISNUMBER($F5),BS$2&gt;=$F5,BS$2&lt;=IF(ISNUMBER($G5),$G5,$F5+$E5-$D5)),2,IF(AND(BS$2&gt;=$D5,BS$2&lt;=$E5),1,"")))</f>
        <v/>
      </c>
      <c r="BT5" s="38">
        <f>IF(OR(BT$2="",$D5=""),"",IF(AND(ISNUMBER($F5),BT$2&gt;=$F5,BT$2&lt;=IF(ISNUMBER($G5),$G5,$F5+$E5-$D5)),2,IF(AND(BT$2&gt;=$D5,BT$2&lt;=$E5),1,"")))</f>
        <v/>
      </c>
      <c r="BU5" s="38">
        <f>IF(OR(BU$2="",$D5=""),"",IF(AND(ISNUMBER($F5),BU$2&gt;=$F5,BU$2&lt;=IF(ISNUMBER($G5),$G5,$F5+$E5-$D5)),2,IF(AND(BU$2&gt;=$D5,BU$2&lt;=$E5),1,"")))</f>
        <v/>
      </c>
      <c r="BV5" s="38">
        <f>IF(OR(BV$2="",$D5=""),"",IF(AND(ISNUMBER($F5),BV$2&gt;=$F5,BV$2&lt;=IF(ISNUMBER($G5),$G5,$F5+$E5-$D5)),2,IF(AND(BV$2&gt;=$D5,BV$2&lt;=$E5),1,"")))</f>
        <v/>
      </c>
      <c r="BW5" s="38">
        <f>IF(OR(BW$2="",$D5=""),"",IF(AND(ISNUMBER($F5),BW$2&gt;=$F5,BW$2&lt;=IF(ISNUMBER($G5),$G5,$F5+$E5-$D5)),2,IF(AND(BW$2&gt;=$D5,BW$2&lt;=$E5),1,"")))</f>
        <v/>
      </c>
      <c r="BX5" s="38">
        <f>IF(OR(BX$2="",$D5=""),"",IF(AND(ISNUMBER($F5),BX$2&gt;=$F5,BX$2&lt;=IF(ISNUMBER($G5),$G5,$F5+$E5-$D5)),2,IF(AND(BX$2&gt;=$D5,BX$2&lt;=$E5),1,"")))</f>
        <v/>
      </c>
      <c r="BY5" s="38">
        <f>IF(OR(BY$2="",$D5=""),"",IF(AND(ISNUMBER($F5),BY$2&gt;=$F5,BY$2&lt;=IF(ISNUMBER($G5),$G5,$F5+$E5-$D5)),2,IF(AND(BY$2&gt;=$D5,BY$2&lt;=$E5),1,"")))</f>
        <v/>
      </c>
      <c r="BZ5" s="38">
        <f>IF(OR(BZ$2="",$D5=""),"",IF(AND(ISNUMBER($F5),BZ$2&gt;=$F5,BZ$2&lt;=IF(ISNUMBER($G5),$G5,$F5+$E5-$D5)),2,IF(AND(BZ$2&gt;=$D5,BZ$2&lt;=$E5),1,"")))</f>
        <v/>
      </c>
      <c r="CA5" s="38">
        <f>IF(OR(CA$2="",$D5=""),"",IF(AND(ISNUMBER($F5),CA$2&gt;=$F5,CA$2&lt;=IF(ISNUMBER($G5),$G5,$F5+$E5-$D5)),2,IF(AND(CA$2&gt;=$D5,CA$2&lt;=$E5),1,"")))</f>
        <v/>
      </c>
      <c r="CB5" s="38">
        <f>IF(OR(CB$2="",$D5=""),"",IF(AND(ISNUMBER($F5),CB$2&gt;=$F5,CB$2&lt;=IF(ISNUMBER($G5),$G5,$F5+$E5-$D5)),2,IF(AND(CB$2&gt;=$D5,CB$2&lt;=$E5),1,"")))</f>
        <v/>
      </c>
      <c r="CC5" s="38">
        <f>IF(OR(CC$2="",$D5=""),"",IF(AND(ISNUMBER($F5),CC$2&gt;=$F5,CC$2&lt;=IF(ISNUMBER($G5),$G5,$F5+$E5-$D5)),2,IF(AND(CC$2&gt;=$D5,CC$2&lt;=$E5),1,"")))</f>
        <v/>
      </c>
      <c r="CD5" s="38">
        <f>IF(OR(CD$2="",$D5=""),"",IF(AND(ISNUMBER($F5),CD$2&gt;=$F5,CD$2&lt;=IF(ISNUMBER($G5),$G5,$F5+$E5-$D5)),2,IF(AND(CD$2&gt;=$D5,CD$2&lt;=$E5),1,"")))</f>
        <v/>
      </c>
      <c r="CE5" s="38">
        <f>IF(OR(CE$2="",$D5=""),"",IF(AND(ISNUMBER($F5),CE$2&gt;=$F5,CE$2&lt;=IF(ISNUMBER($G5),$G5,$F5+$E5-$D5)),2,IF(AND(CE$2&gt;=$D5,CE$2&lt;=$E5),1,"")))</f>
        <v/>
      </c>
      <c r="CF5" s="38">
        <f>IF(OR(CF$2="",$D5=""),"",IF(AND(ISNUMBER($F5),CF$2&gt;=$F5,CF$2&lt;=IF(ISNUMBER($G5),$G5,$F5+$E5-$D5)),2,IF(AND(CF$2&gt;=$D5,CF$2&lt;=$E5),1,"")))</f>
        <v/>
      </c>
      <c r="CG5" s="38">
        <f>IF(OR(CG$2="",$D5=""),"",IF(AND(ISNUMBER($F5),CG$2&gt;=$F5,CG$2&lt;=IF(ISNUMBER($G5),$G5,$F5+$E5-$D5)),2,IF(AND(CG$2&gt;=$D5,CG$2&lt;=$E5),1,"")))</f>
        <v/>
      </c>
      <c r="CH5" s="38">
        <f>IF(OR(CH$2="",$D5=""),"",IF(AND(ISNUMBER($F5),CH$2&gt;=$F5,CH$2&lt;=IF(ISNUMBER($G5),$G5,$F5+$E5-$D5)),2,IF(AND(CH$2&gt;=$D5,CH$2&lt;=$E5),1,"")))</f>
        <v/>
      </c>
      <c r="CI5" s="38">
        <f>IF(OR(CI$2="",$D5=""),"",IF(AND(ISNUMBER($F5),CI$2&gt;=$F5,CI$2&lt;=IF(ISNUMBER($G5),$G5,$F5+$E5-$D5)),2,IF(AND(CI$2&gt;=$D5,CI$2&lt;=$E5),1,"")))</f>
        <v/>
      </c>
      <c r="CJ5" s="38">
        <f>IF(OR(CJ$2="",$D5=""),"",IF(AND(ISNUMBER($F5),CJ$2&gt;=$F5,CJ$2&lt;=IF(ISNUMBER($G5),$G5,$F5+$E5-$D5)),2,IF(AND(CJ$2&gt;=$D5,CJ$2&lt;=$E5),1,"")))</f>
        <v/>
      </c>
      <c r="CK5" s="38">
        <f>IF(OR(CK$2="",$D5=""),"",IF(AND(ISNUMBER($F5),CK$2&gt;=$F5,CK$2&lt;=IF(ISNUMBER($G5),$G5,$F5+$E5-$D5)),2,IF(AND(CK$2&gt;=$D5,CK$2&lt;=$E5),1,"")))</f>
        <v/>
      </c>
      <c r="CL5" s="38">
        <f>IF(OR(CL$2="",$D5=""),"",IF(AND(ISNUMBER($F5),CL$2&gt;=$F5,CL$2&lt;=IF(ISNUMBER($G5),$G5,$F5+$E5-$D5)),2,IF(AND(CL$2&gt;=$D5,CL$2&lt;=$E5),1,"")))</f>
        <v/>
      </c>
      <c r="CM5" s="38">
        <f>IF(OR(CM$2="",$D5=""),"",IF(AND(ISNUMBER($F5),CM$2&gt;=$F5,CM$2&lt;=IF(ISNUMBER($G5),$G5,$F5+$E5-$D5)),2,IF(AND(CM$2&gt;=$D5,CM$2&lt;=$E5),1,"")))</f>
        <v/>
      </c>
      <c r="CN5" s="38">
        <f>IF(OR(CN$2="",$D5=""),"",IF(AND(ISNUMBER($F5),CN$2&gt;=$F5,CN$2&lt;=IF(ISNUMBER($G5),$G5,$F5+$E5-$D5)),2,IF(AND(CN$2&gt;=$D5,CN$2&lt;=$E5),1,"")))</f>
        <v/>
      </c>
      <c r="CO5" s="38">
        <f>IF(OR(CO$2="",$D5=""),"",IF(AND(ISNUMBER($F5),CO$2&gt;=$F5,CO$2&lt;=IF(ISNUMBER($G5),$G5,$F5+$E5-$D5)),2,IF(AND(CO$2&gt;=$D5,CO$2&lt;=$E5),1,"")))</f>
        <v/>
      </c>
      <c r="CP5" s="38">
        <f>IF(OR(CP$2="",$D5=""),"",IF(AND(ISNUMBER($F5),CP$2&gt;=$F5,CP$2&lt;=IF(ISNUMBER($G5),$G5,$F5+$E5-$D5)),2,IF(AND(CP$2&gt;=$D5,CP$2&lt;=$E5),1,"")))</f>
        <v/>
      </c>
      <c r="CQ5" s="38">
        <f>IF(OR(CQ$2="",$D5=""),"",IF(AND(ISNUMBER($F5),CQ$2&gt;=$F5,CQ$2&lt;=IF(ISNUMBER($G5),$G5,$F5+$E5-$D5)),2,IF(AND(CQ$2&gt;=$D5,CQ$2&lt;=$E5),1,"")))</f>
        <v/>
      </c>
      <c r="CR5" s="38">
        <f>IF(OR(CR$2="",$D5=""),"",IF(AND(ISNUMBER($F5),CR$2&gt;=$F5,CR$2&lt;=IF(ISNUMBER($G5),$G5,$F5+$E5-$D5)),2,IF(AND(CR$2&gt;=$D5,CR$2&lt;=$E5),1,"")))</f>
        <v/>
      </c>
      <c r="CS5" s="38">
        <f>IF(OR(CS$2="",$D5=""),"",IF(AND(ISNUMBER($F5),CS$2&gt;=$F5,CS$2&lt;=IF(ISNUMBER($G5),$G5,$F5+$E5-$D5)),2,IF(AND(CS$2&gt;=$D5,CS$2&lt;=$E5),1,"")))</f>
        <v/>
      </c>
      <c r="CT5" s="38">
        <f>IF(OR(CT$2="",$D5=""),"",IF(AND(ISNUMBER($F5),CT$2&gt;=$F5,CT$2&lt;=IF(ISNUMBER($G5),$G5,$F5+$E5-$D5)),2,IF(AND(CT$2&gt;=$D5,CT$2&lt;=$E5),1,"")))</f>
        <v/>
      </c>
      <c r="CU5" s="38">
        <f>IF(OR(CU$2="",$D5=""),"",IF(AND(ISNUMBER($F5),CU$2&gt;=$F5,CU$2&lt;=IF(ISNUMBER($G5),$G5,$F5+$E5-$D5)),2,IF(AND(CU$2&gt;=$D5,CU$2&lt;=$E5),1,"")))</f>
        <v/>
      </c>
      <c r="CV5" s="38">
        <f>IF(OR(CV$2="",$D5=""),"",IF(AND(ISNUMBER($F5),CV$2&gt;=$F5,CV$2&lt;=IF(ISNUMBER($G5),$G5,$F5+$E5-$D5)),2,IF(AND(CV$2&gt;=$D5,CV$2&lt;=$E5),1,"")))</f>
        <v/>
      </c>
      <c r="CW5" s="38">
        <f>IF(OR(CW$2="",$D5=""),"",IF(AND(ISNUMBER($F5),CW$2&gt;=$F5,CW$2&lt;=IF(ISNUMBER($G5),$G5,$F5+$E5-$D5)),2,IF(AND(CW$2&gt;=$D5,CW$2&lt;=$E5),1,"")))</f>
        <v/>
      </c>
      <c r="CX5" s="38">
        <f>IF(OR(CX$2="",$D5=""),"",IF(AND(ISNUMBER($F5),CX$2&gt;=$F5,CX$2&lt;=IF(ISNUMBER($G5),$G5,$F5+$E5-$D5)),2,IF(AND(CX$2&gt;=$D5,CX$2&lt;=$E5),1,"")))</f>
        <v/>
      </c>
      <c r="CY5" s="38">
        <f>IF(OR(CY$2="",$D5=""),"",IF(AND(ISNUMBER($F5),CY$2&gt;=$F5,CY$2&lt;=IF(ISNUMBER($G5),$G5,$F5+$E5-$D5)),2,IF(AND(CY$2&gt;=$D5,CY$2&lt;=$E5),1,"")))</f>
        <v/>
      </c>
      <c r="CZ5" s="38">
        <f>IF(OR(CZ$2="",$D5=""),"",IF(AND(ISNUMBER($F5),CZ$2&gt;=$F5,CZ$2&lt;=IF(ISNUMBER($G5),$G5,$F5+$E5-$D5)),2,IF(AND(CZ$2&gt;=$D5,CZ$2&lt;=$E5),1,"")))</f>
        <v/>
      </c>
      <c r="DA5" s="38">
        <f>IF(OR(DA$2="",$D5=""),"",IF(AND(ISNUMBER($F5),DA$2&gt;=$F5,DA$2&lt;=IF(ISNUMBER($G5),$G5,$F5+$E5-$D5)),2,IF(AND(DA$2&gt;=$D5,DA$2&lt;=$E5),1,"")))</f>
        <v/>
      </c>
      <c r="DB5" s="38">
        <f>IF(OR(DB$2="",$D5=""),"",IF(AND(ISNUMBER($F5),DB$2&gt;=$F5,DB$2&lt;=IF(ISNUMBER($G5),$G5,$F5+$E5-$D5)),2,IF(AND(DB$2&gt;=$D5,DB$2&lt;=$E5),1,"")))</f>
        <v/>
      </c>
      <c r="DC5" s="38">
        <f>IF(OR(DC$2="",$D5=""),"",IF(AND(ISNUMBER($F5),DC$2&gt;=$F5,DC$2&lt;=IF(ISNUMBER($G5),$G5,$F5+$E5-$D5)),2,IF(AND(DC$2&gt;=$D5,DC$2&lt;=$E5),1,"")))</f>
        <v/>
      </c>
      <c r="DD5" s="38">
        <f>IF(OR(DD$2="",$D5=""),"",IF(AND(ISNUMBER($F5),DD$2&gt;=$F5,DD$2&lt;=IF(ISNUMBER($G5),$G5,$F5+$E5-$D5)),2,IF(AND(DD$2&gt;=$D5,DD$2&lt;=$E5),1,"")))</f>
        <v/>
      </c>
      <c r="DE5" s="38">
        <f>IF(OR(DE$2="",$D5=""),"",IF(AND(ISNUMBER($F5),DE$2&gt;=$F5,DE$2&lt;=IF(ISNUMBER($G5),$G5,$F5+$E5-$D5)),2,IF(AND(DE$2&gt;=$D5,DE$2&lt;=$E5),1,"")))</f>
        <v/>
      </c>
      <c r="DF5" s="38">
        <f>IF(OR(DF$2="",$D5=""),"",IF(AND(ISNUMBER($F5),DF$2&gt;=$F5,DF$2&lt;=IF(ISNUMBER($G5),$G5,$F5+$E5-$D5)),2,IF(AND(DF$2&gt;=$D5,DF$2&lt;=$E5),1,"")))</f>
        <v/>
      </c>
      <c r="DG5" s="38">
        <f>IF(OR(DG$2="",$D5=""),"",IF(AND(ISNUMBER($F5),DG$2&gt;=$F5,DG$2&lt;=IF(ISNUMBER($G5),$G5,$F5+$E5-$D5)),2,IF(AND(DG$2&gt;=$D5,DG$2&lt;=$E5),1,"")))</f>
        <v/>
      </c>
      <c r="DH5" s="38">
        <f>IF(OR(DH$2="",$D5=""),"",IF(AND(ISNUMBER($F5),DH$2&gt;=$F5,DH$2&lt;=IF(ISNUMBER($G5),$G5,$F5+$E5-$D5)),2,IF(AND(DH$2&gt;=$D5,DH$2&lt;=$E5),1,"")))</f>
        <v/>
      </c>
      <c r="DI5" s="38">
        <f>IF(OR(DI$2="",$D5=""),"",IF(AND(ISNUMBER($F5),DI$2&gt;=$F5,DI$2&lt;=IF(ISNUMBER($G5),$G5,$F5+$E5-$D5)),2,IF(AND(DI$2&gt;=$D5,DI$2&lt;=$E5),1,"")))</f>
        <v/>
      </c>
      <c r="DJ5" s="38">
        <f>IF(OR(DJ$2="",$D5=""),"",IF(AND(ISNUMBER($F5),DJ$2&gt;=$F5,DJ$2&lt;=IF(ISNUMBER($G5),$G5,$F5+$E5-$D5)),2,IF(AND(DJ$2&gt;=$D5,DJ$2&lt;=$E5),1,"")))</f>
        <v/>
      </c>
      <c r="DK5" s="38">
        <f>IF(OR(DK$2="",$D5=""),"",IF(AND(ISNUMBER($F5),DK$2&gt;=$F5,DK$2&lt;=IF(ISNUMBER($G5),$G5,$F5+$E5-$D5)),2,IF(AND(DK$2&gt;=$D5,DK$2&lt;=$E5),1,"")))</f>
        <v/>
      </c>
      <c r="DL5" s="38">
        <f>IF(OR(DL$2="",$D5=""),"",IF(AND(ISNUMBER($F5),DL$2&gt;=$F5,DL$2&lt;=IF(ISNUMBER($G5),$G5,$F5+$E5-$D5)),2,IF(AND(DL$2&gt;=$D5,DL$2&lt;=$E5),1,"")))</f>
        <v/>
      </c>
      <c r="DM5" s="38">
        <f>IF(OR(DM$2="",$D5=""),"",IF(AND(ISNUMBER($F5),DM$2&gt;=$F5,DM$2&lt;=IF(ISNUMBER($G5),$G5,$F5+$E5-$D5)),2,IF(AND(DM$2&gt;=$D5,DM$2&lt;=$E5),1,"")))</f>
        <v/>
      </c>
      <c r="DN5" s="38">
        <f>IF(OR(DN$2="",$D5=""),"",IF(AND(ISNUMBER($F5),DN$2&gt;=$F5,DN$2&lt;=IF(ISNUMBER($G5),$G5,$F5+$E5-$D5)),2,IF(AND(DN$2&gt;=$D5,DN$2&lt;=$E5),1,"")))</f>
        <v/>
      </c>
      <c r="DO5" s="38">
        <f>IF(OR(DO$2="",$D5=""),"",IF(AND(ISNUMBER($F5),DO$2&gt;=$F5,DO$2&lt;=IF(ISNUMBER($G5),$G5,$F5+$E5-$D5)),2,IF(AND(DO$2&gt;=$D5,DO$2&lt;=$E5),1,"")))</f>
        <v/>
      </c>
      <c r="DP5" s="38">
        <f>IF(OR(DP$2="",$D5=""),"",IF(AND(ISNUMBER($F5),DP$2&gt;=$F5,DP$2&lt;=IF(ISNUMBER($G5),$G5,$F5+$E5-$D5)),2,IF(AND(DP$2&gt;=$D5,DP$2&lt;=$E5),1,"")))</f>
        <v/>
      </c>
      <c r="DQ5" s="38">
        <f>IF(OR(DQ$2="",$D5=""),"",IF(AND(ISNUMBER($F5),DQ$2&gt;=$F5,DQ$2&lt;=IF(ISNUMBER($G5),$G5,$F5+$E5-$D5)),2,IF(AND(DQ$2&gt;=$D5,DQ$2&lt;=$E5),1,"")))</f>
        <v/>
      </c>
      <c r="DR5" s="38">
        <f>IF(OR(DR$2="",$D5=""),"",IF(AND(ISNUMBER($F5),DR$2&gt;=$F5,DR$2&lt;=IF(ISNUMBER($G5),$G5,$F5+$E5-$D5)),2,IF(AND(DR$2&gt;=$D5,DR$2&lt;=$E5),1,"")))</f>
        <v/>
      </c>
      <c r="DS5" s="38">
        <f>IF(OR(DS$2="",$D5=""),"",IF(AND(ISNUMBER($F5),DS$2&gt;=$F5,DS$2&lt;=IF(ISNUMBER($G5),$G5,$F5+$E5-$D5)),2,IF(AND(DS$2&gt;=$D5,DS$2&lt;=$E5),1,"")))</f>
        <v/>
      </c>
      <c r="DT5" s="38">
        <f>IF(OR(DT$2="",$D5=""),"",IF(AND(ISNUMBER($F5),DT$2&gt;=$F5,DT$2&lt;=IF(ISNUMBER($G5),$G5,$F5+$E5-$D5)),2,IF(AND(DT$2&gt;=$D5,DT$2&lt;=$E5),1,"")))</f>
        <v/>
      </c>
      <c r="DU5" s="38">
        <f>IF(OR(DU$2="",$D5=""),"",IF(AND(ISNUMBER($F5),DU$2&gt;=$F5,DU$2&lt;=IF(ISNUMBER($G5),$G5,$F5+$E5-$D5)),2,IF(AND(DU$2&gt;=$D5,DU$2&lt;=$E5),1,"")))</f>
        <v/>
      </c>
      <c r="DV5" s="38">
        <f>IF(OR(DV$2="",$D5=""),"",IF(AND(ISNUMBER($F5),DV$2&gt;=$F5,DV$2&lt;=IF(ISNUMBER($G5),$G5,$F5+$E5-$D5)),2,IF(AND(DV$2&gt;=$D5,DV$2&lt;=$E5),1,"")))</f>
        <v/>
      </c>
      <c r="DW5" s="38">
        <f>IF(OR(DW$2="",$D5=""),"",IF(AND(ISNUMBER($F5),DW$2&gt;=$F5,DW$2&lt;=IF(ISNUMBER($G5),$G5,$F5+$E5-$D5)),2,IF(AND(DW$2&gt;=$D5,DW$2&lt;=$E5),1,"")))</f>
        <v/>
      </c>
      <c r="DX5" s="38">
        <f>IF(OR(DX$2="",$D5=""),"",IF(AND(ISNUMBER($F5),DX$2&gt;=$F5,DX$2&lt;=IF(ISNUMBER($G5),$G5,$F5+$E5-$D5)),2,IF(AND(DX$2&gt;=$D5,DX$2&lt;=$E5),1,"")))</f>
        <v/>
      </c>
      <c r="DY5" s="38">
        <f>IF(OR(DY$2="",$D5=""),"",IF(AND(ISNUMBER($F5),DY$2&gt;=$F5,DY$2&lt;=IF(ISNUMBER($G5),$G5,$F5+$E5-$D5)),2,IF(AND(DY$2&gt;=$D5,DY$2&lt;=$E5),1,"")))</f>
        <v/>
      </c>
      <c r="DZ5" s="38">
        <f>IF(OR(DZ$2="",$D5=""),"",IF(AND(ISNUMBER($F5),DZ$2&gt;=$F5,DZ$2&lt;=IF(ISNUMBER($G5),$G5,$F5+$E5-$D5)),2,IF(AND(DZ$2&gt;=$D5,DZ$2&lt;=$E5),1,"")))</f>
        <v/>
      </c>
      <c r="EA5" s="38">
        <f>IF(OR(EA$2="",$D5=""),"",IF(AND(ISNUMBER($F5),EA$2&gt;=$F5,EA$2&lt;=IF(ISNUMBER($G5),$G5,$F5+$E5-$D5)),2,IF(AND(EA$2&gt;=$D5,EA$2&lt;=$E5),1,"")))</f>
        <v/>
      </c>
      <c r="EB5" s="38">
        <f>IF(OR(EB$2="",$D5=""),"",IF(AND(ISNUMBER($F5),EB$2&gt;=$F5,EB$2&lt;=IF(ISNUMBER($G5),$G5,$F5+$E5-$D5)),2,IF(AND(EB$2&gt;=$D5,EB$2&lt;=$E5),1,"")))</f>
        <v/>
      </c>
      <c r="EC5" s="38">
        <f>IF(OR(EC$2="",$D5=""),"",IF(AND(ISNUMBER($F5),EC$2&gt;=$F5,EC$2&lt;=IF(ISNUMBER($G5),$G5,$F5+$E5-$D5)),2,IF(AND(EC$2&gt;=$D5,EC$2&lt;=$E5),1,"")))</f>
        <v/>
      </c>
      <c r="ED5" s="38">
        <f>IF(OR(ED$2="",$D5=""),"",IF(AND(ISNUMBER($F5),ED$2&gt;=$F5,ED$2&lt;=IF(ISNUMBER($G5),$G5,$F5+$E5-$D5)),2,IF(AND(ED$2&gt;=$D5,ED$2&lt;=$E5),1,"")))</f>
        <v/>
      </c>
      <c r="EE5" s="38">
        <f>IF(OR(EE$2="",$D5=""),"",IF(AND(ISNUMBER($F5),EE$2&gt;=$F5,EE$2&lt;=IF(ISNUMBER($G5),$G5,$F5+$E5-$D5)),2,IF(AND(EE$2&gt;=$D5,EE$2&lt;=$E5),1,"")))</f>
        <v/>
      </c>
      <c r="EF5" s="38">
        <f>IF(OR(EF$2="",$D5=""),"",IF(AND(ISNUMBER($F5),EF$2&gt;=$F5,EF$2&lt;=IF(ISNUMBER($G5),$G5,$F5+$E5-$D5)),2,IF(AND(EF$2&gt;=$D5,EF$2&lt;=$E5),1,"")))</f>
        <v/>
      </c>
      <c r="EG5" s="38">
        <f>IF(OR(EG$2="",$D5=""),"",IF(AND(ISNUMBER($F5),EG$2&gt;=$F5,EG$2&lt;=IF(ISNUMBER($G5),$G5,$F5+$E5-$D5)),2,IF(AND(EG$2&gt;=$D5,EG$2&lt;=$E5),1,"")))</f>
        <v/>
      </c>
      <c r="EH5" s="38">
        <f>IF(OR(EH$2="",$D5=""),"",IF(AND(ISNUMBER($F5),EH$2&gt;=$F5,EH$2&lt;=IF(ISNUMBER($G5),$G5,$F5+$E5-$D5)),2,IF(AND(EH$2&gt;=$D5,EH$2&lt;=$E5),1,"")))</f>
        <v/>
      </c>
      <c r="EI5" s="38">
        <f>IF(OR(EI$2="",$D5=""),"",IF(AND(ISNUMBER($F5),EI$2&gt;=$F5,EI$2&lt;=IF(ISNUMBER($G5),$G5,$F5+$E5-$D5)),2,IF(AND(EI$2&gt;=$D5,EI$2&lt;=$E5),1,"")))</f>
        <v/>
      </c>
      <c r="EJ5" s="38">
        <f>IF(OR(EJ$2="",$D5=""),"",IF(AND(ISNUMBER($F5),EJ$2&gt;=$F5,EJ$2&lt;=IF(ISNUMBER($G5),$G5,$F5+$E5-$D5)),2,IF(AND(EJ$2&gt;=$D5,EJ$2&lt;=$E5),1,"")))</f>
        <v/>
      </c>
      <c r="EK5" s="38">
        <f>IF(OR(EK$2="",$D5=""),"",IF(AND(ISNUMBER($F5),EK$2&gt;=$F5,EK$2&lt;=IF(ISNUMBER($G5),$G5,$F5+$E5-$D5)),2,IF(AND(EK$2&gt;=$D5,EK$2&lt;=$E5),1,"")))</f>
        <v/>
      </c>
      <c r="EL5" s="38">
        <f>IF(OR(EL$2="",$D5=""),"",IF(AND(ISNUMBER($F5),EL$2&gt;=$F5,EL$2&lt;=IF(ISNUMBER($G5),$G5,$F5+$E5-$D5)),2,IF(AND(EL$2&gt;=$D5,EL$2&lt;=$E5),1,"")))</f>
        <v/>
      </c>
      <c r="EM5" s="38">
        <f>IF(OR(EM$2="",$D5=""),"",IF(AND(ISNUMBER($F5),EM$2&gt;=$F5,EM$2&lt;=IF(ISNUMBER($G5),$G5,$F5+$E5-$D5)),2,IF(AND(EM$2&gt;=$D5,EM$2&lt;=$E5),1,"")))</f>
        <v/>
      </c>
      <c r="EN5" s="38">
        <f>IF(OR(EN$2="",$D5=""),"",IF(AND(ISNUMBER($F5),EN$2&gt;=$F5,EN$2&lt;=IF(ISNUMBER($G5),$G5,$F5+$E5-$D5)),2,IF(AND(EN$2&gt;=$D5,EN$2&lt;=$E5),1,"")))</f>
        <v/>
      </c>
      <c r="EO5" s="38">
        <f>IF(OR(EO$2="",$D5=""),"",IF(AND(ISNUMBER($F5),EO$2&gt;=$F5,EO$2&lt;=IF(ISNUMBER($G5),$G5,$F5+$E5-$D5)),2,IF(AND(EO$2&gt;=$D5,EO$2&lt;=$E5),1,"")))</f>
        <v/>
      </c>
      <c r="EP5" s="38">
        <f>IF(OR(EP$2="",$D5=""),"",IF(AND(ISNUMBER($F5),EP$2&gt;=$F5,EP$2&lt;=IF(ISNUMBER($G5),$G5,$F5+$E5-$D5)),2,IF(AND(EP$2&gt;=$D5,EP$2&lt;=$E5),1,"")))</f>
        <v/>
      </c>
      <c r="EQ5" s="38">
        <f>IF(OR(EQ$2="",$D5=""),"",IF(AND(ISNUMBER($F5),EQ$2&gt;=$F5,EQ$2&lt;=IF(ISNUMBER($G5),$G5,$F5+$E5-$D5)),2,IF(AND(EQ$2&gt;=$D5,EQ$2&lt;=$E5),1,"")))</f>
        <v/>
      </c>
      <c r="ER5" s="38">
        <f>IF(OR(ER$2="",$D5=""),"",IF(AND(ISNUMBER($F5),ER$2&gt;=$F5,ER$2&lt;=IF(ISNUMBER($G5),$G5,$F5+$E5-$D5)),2,IF(AND(ER$2&gt;=$D5,ER$2&lt;=$E5),1,"")))</f>
        <v/>
      </c>
      <c r="ES5" s="38">
        <f>IF(OR(ES$2="",$D5=""),"",IF(AND(ISNUMBER($F5),ES$2&gt;=$F5,ES$2&lt;=IF(ISNUMBER($G5),$G5,$F5+$E5-$D5)),2,IF(AND(ES$2&gt;=$D5,ES$2&lt;=$E5),1,"")))</f>
        <v/>
      </c>
      <c r="ET5" s="38">
        <f>IF(OR(ET$2="",$D5=""),"",IF(AND(ISNUMBER($F5),ET$2&gt;=$F5,ET$2&lt;=IF(ISNUMBER($G5),$G5,$F5+$E5-$D5)),2,IF(AND(ET$2&gt;=$D5,ET$2&lt;=$E5),1,"")))</f>
        <v/>
      </c>
      <c r="EU5" s="38">
        <f>IF(OR(EU$2="",$D5=""),"",IF(AND(ISNUMBER($F5),EU$2&gt;=$F5,EU$2&lt;=IF(ISNUMBER($G5),$G5,$F5+$E5-$D5)),2,IF(AND(EU$2&gt;=$D5,EU$2&lt;=$E5),1,"")))</f>
        <v/>
      </c>
      <c r="EV5" s="38">
        <f>IF(OR(EV$2="",$D5=""),"",IF(AND(ISNUMBER($F5),EV$2&gt;=$F5,EV$2&lt;=IF(ISNUMBER($G5),$G5,$F5+$E5-$D5)),2,IF(AND(EV$2&gt;=$D5,EV$2&lt;=$E5),1,"")))</f>
        <v/>
      </c>
      <c r="EW5" s="38">
        <f>IF(OR(EW$2="",$D5=""),"",IF(AND(ISNUMBER($F5),EW$2&gt;=$F5,EW$2&lt;=IF(ISNUMBER($G5),$G5,$F5+$E5-$D5)),2,IF(AND(EW$2&gt;=$D5,EW$2&lt;=$E5),1,"")))</f>
        <v/>
      </c>
      <c r="EX5" s="38">
        <f>IF(OR(EX$2="",$D5=""),"",IF(AND(ISNUMBER($F5),EX$2&gt;=$F5,EX$2&lt;=IF(ISNUMBER($G5),$G5,$F5+$E5-$D5)),2,IF(AND(EX$2&gt;=$D5,EX$2&lt;=$E5),1,"")))</f>
        <v/>
      </c>
      <c r="EY5" s="38">
        <f>IF(OR(EY$2="",$D5=""),"",IF(AND(ISNUMBER($F5),EY$2&gt;=$F5,EY$2&lt;=IF(ISNUMBER($G5),$G5,$F5+$E5-$D5)),2,IF(AND(EY$2&gt;=$D5,EY$2&lt;=$E5),1,"")))</f>
        <v/>
      </c>
      <c r="EZ5" s="38">
        <f>IF(OR(EZ$2="",$D5=""),"",IF(AND(ISNUMBER($F5),EZ$2&gt;=$F5,EZ$2&lt;=IF(ISNUMBER($G5),$G5,$F5+$E5-$D5)),2,IF(AND(EZ$2&gt;=$D5,EZ$2&lt;=$E5),1,"")))</f>
        <v/>
      </c>
      <c r="FA5" s="38">
        <f>IF(OR(FA$2="",$D5=""),"",IF(AND(ISNUMBER($F5),FA$2&gt;=$F5,FA$2&lt;=IF(ISNUMBER($G5),$G5,$F5+$E5-$D5)),2,IF(AND(FA$2&gt;=$D5,FA$2&lt;=$E5),1,"")))</f>
        <v/>
      </c>
      <c r="FB5" s="38">
        <f>IF(OR(FB$2="",$D5=""),"",IF(AND(ISNUMBER($F5),FB$2&gt;=$F5,FB$2&lt;=IF(ISNUMBER($G5),$G5,$F5+$E5-$D5)),2,IF(AND(FB$2&gt;=$D5,FB$2&lt;=$E5),1,"")))</f>
        <v/>
      </c>
      <c r="FC5" s="38">
        <f>IF(OR(FC$2="",$D5=""),"",IF(AND(ISNUMBER($F5),FC$2&gt;=$F5,FC$2&lt;=IF(ISNUMBER($G5),$G5,$F5+$E5-$D5)),2,IF(AND(FC$2&gt;=$D5,FC$2&lt;=$E5),1,"")))</f>
        <v/>
      </c>
      <c r="FD5" s="38">
        <f>IF(OR(FD$2="",$D5=""),"",IF(AND(ISNUMBER($F5),FD$2&gt;=$F5,FD$2&lt;=IF(ISNUMBER($G5),$G5,$F5+$E5-$D5)),2,IF(AND(FD$2&gt;=$D5,FD$2&lt;=$E5),1,"")))</f>
        <v/>
      </c>
      <c r="FE5" s="38">
        <f>IF(OR(FE$2="",$D5=""),"",IF(AND(ISNUMBER($F5),FE$2&gt;=$F5,FE$2&lt;=IF(ISNUMBER($G5),$G5,$F5+$E5-$D5)),2,IF(AND(FE$2&gt;=$D5,FE$2&lt;=$E5),1,"")))</f>
        <v/>
      </c>
      <c r="FF5" s="38">
        <f>IF(OR(FF$2="",$D5=""),"",IF(AND(ISNUMBER($F5),FF$2&gt;=$F5,FF$2&lt;=IF(ISNUMBER($G5),$G5,$F5+$E5-$D5)),2,IF(AND(FF$2&gt;=$D5,FF$2&lt;=$E5),1,"")))</f>
        <v/>
      </c>
      <c r="FG5" s="38">
        <f>IF(OR(FG$2="",$D5=""),"",IF(AND(ISNUMBER($F5),FG$2&gt;=$F5,FG$2&lt;=IF(ISNUMBER($G5),$G5,$F5+$E5-$D5)),2,IF(AND(FG$2&gt;=$D5,FG$2&lt;=$E5),1,"")))</f>
        <v/>
      </c>
      <c r="FH5" s="38">
        <f>IF(OR(FH$2="",$D5=""),"",IF(AND(ISNUMBER($F5),FH$2&gt;=$F5,FH$2&lt;=IF(ISNUMBER($G5),$G5,$F5+$E5-$D5)),2,IF(AND(FH$2&gt;=$D5,FH$2&lt;=$E5),1,"")))</f>
        <v/>
      </c>
      <c r="FI5" s="38">
        <f>IF(OR(FI$2="",$D5=""),"",IF(AND(ISNUMBER($F5),FI$2&gt;=$F5,FI$2&lt;=IF(ISNUMBER($G5),$G5,$F5+$E5-$D5)),2,IF(AND(FI$2&gt;=$D5,FI$2&lt;=$E5),1,"")))</f>
        <v/>
      </c>
      <c r="FJ5" s="38">
        <f>IF(OR(FJ$2="",$D5=""),"",IF(AND(ISNUMBER($F5),FJ$2&gt;=$F5,FJ$2&lt;=IF(ISNUMBER($G5),$G5,$F5+$E5-$D5)),2,IF(AND(FJ$2&gt;=$D5,FJ$2&lt;=$E5),1,"")))</f>
        <v/>
      </c>
      <c r="FK5" s="38">
        <f>IF(OR(FK$2="",$D5=""),"",IF(AND(ISNUMBER($F5),FK$2&gt;=$F5,FK$2&lt;=IF(ISNUMBER($G5),$G5,$F5+$E5-$D5)),2,IF(AND(FK$2&gt;=$D5,FK$2&lt;=$E5),1,"")))</f>
        <v/>
      </c>
      <c r="FL5" s="38">
        <f>IF(OR(FL$2="",$D5=""),"",IF(AND(ISNUMBER($F5),FL$2&gt;=$F5,FL$2&lt;=IF(ISNUMBER($G5),$G5,$F5+$E5-$D5)),2,IF(AND(FL$2&gt;=$D5,FL$2&lt;=$E5),1,"")))</f>
        <v/>
      </c>
      <c r="FM5" s="38">
        <f>IF(OR(FM$2="",$D5=""),"",IF(AND(ISNUMBER($F5),FM$2&gt;=$F5,FM$2&lt;=IF(ISNUMBER($G5),$G5,$F5+$E5-$D5)),2,IF(AND(FM$2&gt;=$D5,FM$2&lt;=$E5),1,"")))</f>
        <v/>
      </c>
      <c r="FN5" s="38">
        <f>IF(OR(FN$2="",$D5=""),"",IF(AND(ISNUMBER($F5),FN$2&gt;=$F5,FN$2&lt;=IF(ISNUMBER($G5),$G5,$F5+$E5-$D5)),2,IF(AND(FN$2&gt;=$D5,FN$2&lt;=$E5),1,"")))</f>
        <v/>
      </c>
      <c r="FO5" s="38">
        <f>IF(OR(FO$2="",$D5=""),"",IF(AND(ISNUMBER($F5),FO$2&gt;=$F5,FO$2&lt;=IF(ISNUMBER($G5),$G5,$F5+$E5-$D5)),2,IF(AND(FO$2&gt;=$D5,FO$2&lt;=$E5),1,"")))</f>
        <v/>
      </c>
      <c r="FP5" s="38">
        <f>IF(OR(FP$2="",$D5=""),"",IF(AND(ISNUMBER($F5),FP$2&gt;=$F5,FP$2&lt;=IF(ISNUMBER($G5),$G5,$F5+$E5-$D5)),2,IF(AND(FP$2&gt;=$D5,FP$2&lt;=$E5),1,"")))</f>
        <v/>
      </c>
      <c r="FQ5" s="38">
        <f>IF(OR(FQ$2="",$D5=""),"",IF(AND(ISNUMBER($F5),FQ$2&gt;=$F5,FQ$2&lt;=IF(ISNUMBER($G5),$G5,$F5+$E5-$D5)),2,IF(AND(FQ$2&gt;=$D5,FQ$2&lt;=$E5),1,"")))</f>
        <v/>
      </c>
      <c r="FR5" s="38">
        <f>IF(OR(FR$2="",$D5=""),"",IF(AND(ISNUMBER($F5),FR$2&gt;=$F5,FR$2&lt;=IF(ISNUMBER($G5),$G5,$F5+$E5-$D5)),2,IF(AND(FR$2&gt;=$D5,FR$2&lt;=$E5),1,"")))</f>
        <v/>
      </c>
      <c r="FS5" s="38">
        <f>IF(OR(FS$2="",$D5=""),"",IF(AND(ISNUMBER($F5),FS$2&gt;=$F5,FS$2&lt;=IF(ISNUMBER($G5),$G5,$F5+$E5-$D5)),2,IF(AND(FS$2&gt;=$D5,FS$2&lt;=$E5),1,"")))</f>
        <v/>
      </c>
      <c r="FT5" s="38">
        <f>IF(OR(FT$2="",$D5=""),"",IF(AND(ISNUMBER($F5),FT$2&gt;=$F5,FT$2&lt;=IF(ISNUMBER($G5),$G5,$F5+$E5-$D5)),2,IF(AND(FT$2&gt;=$D5,FT$2&lt;=$E5),1,"")))</f>
        <v/>
      </c>
      <c r="FU5" s="38">
        <f>IF(OR(FU$2="",$D5=""),"",IF(AND(ISNUMBER($F5),FU$2&gt;=$F5,FU$2&lt;=IF(ISNUMBER($G5),$G5,$F5+$E5-$D5)),2,IF(AND(FU$2&gt;=$D5,FU$2&lt;=$E5),1,"")))</f>
        <v/>
      </c>
      <c r="FV5" s="38">
        <f>IF(OR(FV$2="",$D5=""),"",IF(AND(ISNUMBER($F5),FV$2&gt;=$F5,FV$2&lt;=IF(ISNUMBER($G5),$G5,$F5+$E5-$D5)),2,IF(AND(FV$2&gt;=$D5,FV$2&lt;=$E5),1,"")))</f>
        <v/>
      </c>
      <c r="FW5" s="38">
        <f>IF(OR(FW$2="",$D5=""),"",IF(AND(ISNUMBER($F5),FW$2&gt;=$F5,FW$2&lt;=IF(ISNUMBER($G5),$G5,$F5+$E5-$D5)),2,IF(AND(FW$2&gt;=$D5,FW$2&lt;=$E5),1,"")))</f>
        <v/>
      </c>
      <c r="FX5" s="38">
        <f>IF(OR(FX$2="",$D5=""),"",IF(AND(ISNUMBER($F5),FX$2&gt;=$F5,FX$2&lt;=IF(ISNUMBER($G5),$G5,$F5+$E5-$D5)),2,IF(AND(FX$2&gt;=$D5,FX$2&lt;=$E5),1,"")))</f>
        <v/>
      </c>
      <c r="FY5" s="38">
        <f>IF(OR(FY$2="",$D5=""),"",IF(AND(ISNUMBER($F5),FY$2&gt;=$F5,FY$2&lt;=IF(ISNUMBER($G5),$G5,$F5+$E5-$D5)),2,IF(AND(FY$2&gt;=$D5,FY$2&lt;=$E5),1,"")))</f>
        <v/>
      </c>
      <c r="FZ5" s="38">
        <f>IF(OR(FZ$2="",$D5=""),"",IF(AND(ISNUMBER($F5),FZ$2&gt;=$F5,FZ$2&lt;=IF(ISNUMBER($G5),$G5,$F5+$E5-$D5)),2,IF(AND(FZ$2&gt;=$D5,FZ$2&lt;=$E5),1,"")))</f>
        <v/>
      </c>
      <c r="GA5" s="38">
        <f>IF(OR(GA$2="",$D5=""),"",IF(AND(ISNUMBER($F5),GA$2&gt;=$F5,GA$2&lt;=IF(ISNUMBER($G5),$G5,$F5+$E5-$D5)),2,IF(AND(GA$2&gt;=$D5,GA$2&lt;=$E5),1,"")))</f>
        <v/>
      </c>
      <c r="GB5" s="38">
        <f>IF(OR(GB$2="",$D5=""),"",IF(AND(ISNUMBER($F5),GB$2&gt;=$F5,GB$2&lt;=IF(ISNUMBER($G5),$G5,$F5+$E5-$D5)),2,IF(AND(GB$2&gt;=$D5,GB$2&lt;=$E5),1,"")))</f>
        <v/>
      </c>
      <c r="GC5" s="38">
        <f>IF(OR(GC$2="",$D5=""),"",IF(AND(ISNUMBER($F5),GC$2&gt;=$F5,GC$2&lt;=IF(ISNUMBER($G5),$G5,$F5+$E5-$D5)),2,IF(AND(GC$2&gt;=$D5,GC$2&lt;=$E5),1,"")))</f>
        <v/>
      </c>
      <c r="GD5" s="38">
        <f>IF(OR(GD$2="",$D5=""),"",IF(AND(ISNUMBER($F5),GD$2&gt;=$F5,GD$2&lt;=IF(ISNUMBER($G5),$G5,$F5+$E5-$D5)),2,IF(AND(GD$2&gt;=$D5,GD$2&lt;=$E5),1,"")))</f>
        <v/>
      </c>
      <c r="GE5" s="38">
        <f>IF(OR(GE$2="",$D5=""),"",IF(AND(ISNUMBER($F5),GE$2&gt;=$F5,GE$2&lt;=IF(ISNUMBER($G5),$G5,$F5+$E5-$D5)),2,IF(AND(GE$2&gt;=$D5,GE$2&lt;=$E5),1,"")))</f>
        <v/>
      </c>
    </row>
    <row r="6">
      <c r="A6" s="36" t="inlineStr">
        <is>
          <t>Sowing</t>
        </is>
      </c>
      <c r="B6" s="12" t="inlineStr">
        <is>
          <t>বপন</t>
        </is>
      </c>
      <c r="C6" s="12" t="inlineStr">
        <is>
          <t>3F4D+MD</t>
        </is>
      </c>
      <c r="D6" s="7">
        <f>IF(ISNUMBER(SowDate),SowDate,"")</f>
        <v/>
      </c>
      <c r="E6" s="7">
        <f>IF(D6="","",D6)</f>
        <v/>
      </c>
      <c r="F6" s="37" t="n"/>
      <c r="G6" s="7" t="n"/>
      <c r="H6" s="6">
        <f>IF(D6="","no plan",IF(F6&lt;&gt;"",IF(F6-D6&gt;=2,"LATE","OK"),IF(TODAY()&gt;D6+2,"OVERDUE","upcoming")))</f>
        <v/>
      </c>
      <c r="I6" s="6">
        <f>IF(AND(D6&lt;&gt;"",F6&lt;&gt;""),F6-D6,"")</f>
        <v/>
      </c>
      <c r="J6" s="7">
        <f>IF(F6&lt;&gt;"",F6,D6)</f>
        <v/>
      </c>
      <c r="K6" s="7">
        <f>IF(G6&lt;&gt;"",G6,IF(AND(F6&lt;&gt;"",E6=D6),F6,E6))</f>
        <v/>
      </c>
      <c r="L6" s="6">
        <f>IF(AND(D6&lt;&gt;"",F6="",D6&gt;=TODAY()),D6+ROW()/1000,"")</f>
        <v/>
      </c>
      <c r="M6" s="38">
        <f>IF(OR(M$2="",$D6=""),"",IF(AND(ISNUMBER($F6),M$2&gt;=$F6,M$2&lt;=IF(ISNUMBER($G6),$G6,$F6+$E6-$D6)),2,IF(AND(M$2&gt;=$D6,M$2&lt;=$E6),1,"")))</f>
        <v/>
      </c>
      <c r="N6" s="38">
        <f>IF(OR(N$2="",$D6=""),"",IF(AND(ISNUMBER($F6),N$2&gt;=$F6,N$2&lt;=IF(ISNUMBER($G6),$G6,$F6+$E6-$D6)),2,IF(AND(N$2&gt;=$D6,N$2&lt;=$E6),1,"")))</f>
        <v/>
      </c>
      <c r="O6" s="38">
        <f>IF(OR(O$2="",$D6=""),"",IF(AND(ISNUMBER($F6),O$2&gt;=$F6,O$2&lt;=IF(ISNUMBER($G6),$G6,$F6+$E6-$D6)),2,IF(AND(O$2&gt;=$D6,O$2&lt;=$E6),1,"")))</f>
        <v/>
      </c>
      <c r="P6" s="38">
        <f>IF(OR(P$2="",$D6=""),"",IF(AND(ISNUMBER($F6),P$2&gt;=$F6,P$2&lt;=IF(ISNUMBER($G6),$G6,$F6+$E6-$D6)),2,IF(AND(P$2&gt;=$D6,P$2&lt;=$E6),1,"")))</f>
        <v/>
      </c>
      <c r="Q6" s="38">
        <f>IF(OR(Q$2="",$D6=""),"",IF(AND(ISNUMBER($F6),Q$2&gt;=$F6,Q$2&lt;=IF(ISNUMBER($G6),$G6,$F6+$E6-$D6)),2,IF(AND(Q$2&gt;=$D6,Q$2&lt;=$E6),1,"")))</f>
        <v/>
      </c>
      <c r="R6" s="38">
        <f>IF(OR(R$2="",$D6=""),"",IF(AND(ISNUMBER($F6),R$2&gt;=$F6,R$2&lt;=IF(ISNUMBER($G6),$G6,$F6+$E6-$D6)),2,IF(AND(R$2&gt;=$D6,R$2&lt;=$E6),1,"")))</f>
        <v/>
      </c>
      <c r="S6" s="38">
        <f>IF(OR(S$2="",$D6=""),"",IF(AND(ISNUMBER($F6),S$2&gt;=$F6,S$2&lt;=IF(ISNUMBER($G6),$G6,$F6+$E6-$D6)),2,IF(AND(S$2&gt;=$D6,S$2&lt;=$E6),1,"")))</f>
        <v/>
      </c>
      <c r="T6" s="38">
        <f>IF(OR(T$2="",$D6=""),"",IF(AND(ISNUMBER($F6),T$2&gt;=$F6,T$2&lt;=IF(ISNUMBER($G6),$G6,$F6+$E6-$D6)),2,IF(AND(T$2&gt;=$D6,T$2&lt;=$E6),1,"")))</f>
        <v/>
      </c>
      <c r="U6" s="38">
        <f>IF(OR(U$2="",$D6=""),"",IF(AND(ISNUMBER($F6),U$2&gt;=$F6,U$2&lt;=IF(ISNUMBER($G6),$G6,$F6+$E6-$D6)),2,IF(AND(U$2&gt;=$D6,U$2&lt;=$E6),1,"")))</f>
        <v/>
      </c>
      <c r="V6" s="38">
        <f>IF(OR(V$2="",$D6=""),"",IF(AND(ISNUMBER($F6),V$2&gt;=$F6,V$2&lt;=IF(ISNUMBER($G6),$G6,$F6+$E6-$D6)),2,IF(AND(V$2&gt;=$D6,V$2&lt;=$E6),1,"")))</f>
        <v/>
      </c>
      <c r="W6" s="38">
        <f>IF(OR(W$2="",$D6=""),"",IF(AND(ISNUMBER($F6),W$2&gt;=$F6,W$2&lt;=IF(ISNUMBER($G6),$G6,$F6+$E6-$D6)),2,IF(AND(W$2&gt;=$D6,W$2&lt;=$E6),1,"")))</f>
        <v/>
      </c>
      <c r="X6" s="38">
        <f>IF(OR(X$2="",$D6=""),"",IF(AND(ISNUMBER($F6),X$2&gt;=$F6,X$2&lt;=IF(ISNUMBER($G6),$G6,$F6+$E6-$D6)),2,IF(AND(X$2&gt;=$D6,X$2&lt;=$E6),1,"")))</f>
        <v/>
      </c>
      <c r="Y6" s="38">
        <f>IF(OR(Y$2="",$D6=""),"",IF(AND(ISNUMBER($F6),Y$2&gt;=$F6,Y$2&lt;=IF(ISNUMBER($G6),$G6,$F6+$E6-$D6)),2,IF(AND(Y$2&gt;=$D6,Y$2&lt;=$E6),1,"")))</f>
        <v/>
      </c>
      <c r="Z6" s="38">
        <f>IF(OR(Z$2="",$D6=""),"",IF(AND(ISNUMBER($F6),Z$2&gt;=$F6,Z$2&lt;=IF(ISNUMBER($G6),$G6,$F6+$E6-$D6)),2,IF(AND(Z$2&gt;=$D6,Z$2&lt;=$E6),1,"")))</f>
        <v/>
      </c>
      <c r="AA6" s="38">
        <f>IF(OR(AA$2="",$D6=""),"",IF(AND(ISNUMBER($F6),AA$2&gt;=$F6,AA$2&lt;=IF(ISNUMBER($G6),$G6,$F6+$E6-$D6)),2,IF(AND(AA$2&gt;=$D6,AA$2&lt;=$E6),1,"")))</f>
        <v/>
      </c>
      <c r="AB6" s="38">
        <f>IF(OR(AB$2="",$D6=""),"",IF(AND(ISNUMBER($F6),AB$2&gt;=$F6,AB$2&lt;=IF(ISNUMBER($G6),$G6,$F6+$E6-$D6)),2,IF(AND(AB$2&gt;=$D6,AB$2&lt;=$E6),1,"")))</f>
        <v/>
      </c>
      <c r="AC6" s="38">
        <f>IF(OR(AC$2="",$D6=""),"",IF(AND(ISNUMBER($F6),AC$2&gt;=$F6,AC$2&lt;=IF(ISNUMBER($G6),$G6,$F6+$E6-$D6)),2,IF(AND(AC$2&gt;=$D6,AC$2&lt;=$E6),1,"")))</f>
        <v/>
      </c>
      <c r="AD6" s="38">
        <f>IF(OR(AD$2="",$D6=""),"",IF(AND(ISNUMBER($F6),AD$2&gt;=$F6,AD$2&lt;=IF(ISNUMBER($G6),$G6,$F6+$E6-$D6)),2,IF(AND(AD$2&gt;=$D6,AD$2&lt;=$E6),1,"")))</f>
        <v/>
      </c>
      <c r="AE6" s="38">
        <f>IF(OR(AE$2="",$D6=""),"",IF(AND(ISNUMBER($F6),AE$2&gt;=$F6,AE$2&lt;=IF(ISNUMBER($G6),$G6,$F6+$E6-$D6)),2,IF(AND(AE$2&gt;=$D6,AE$2&lt;=$E6),1,"")))</f>
        <v/>
      </c>
      <c r="AF6" s="38">
        <f>IF(OR(AF$2="",$D6=""),"",IF(AND(ISNUMBER($F6),AF$2&gt;=$F6,AF$2&lt;=IF(ISNUMBER($G6),$G6,$F6+$E6-$D6)),2,IF(AND(AF$2&gt;=$D6,AF$2&lt;=$E6),1,"")))</f>
        <v/>
      </c>
      <c r="AG6" s="38">
        <f>IF(OR(AG$2="",$D6=""),"",IF(AND(ISNUMBER($F6),AG$2&gt;=$F6,AG$2&lt;=IF(ISNUMBER($G6),$G6,$F6+$E6-$D6)),2,IF(AND(AG$2&gt;=$D6,AG$2&lt;=$E6),1,"")))</f>
        <v/>
      </c>
      <c r="AH6" s="38">
        <f>IF(OR(AH$2="",$D6=""),"",IF(AND(ISNUMBER($F6),AH$2&gt;=$F6,AH$2&lt;=IF(ISNUMBER($G6),$G6,$F6+$E6-$D6)),2,IF(AND(AH$2&gt;=$D6,AH$2&lt;=$E6),1,"")))</f>
        <v/>
      </c>
      <c r="AI6" s="38">
        <f>IF(OR(AI$2="",$D6=""),"",IF(AND(ISNUMBER($F6),AI$2&gt;=$F6,AI$2&lt;=IF(ISNUMBER($G6),$G6,$F6+$E6-$D6)),2,IF(AND(AI$2&gt;=$D6,AI$2&lt;=$E6),1,"")))</f>
        <v/>
      </c>
      <c r="AJ6" s="38">
        <f>IF(OR(AJ$2="",$D6=""),"",IF(AND(ISNUMBER($F6),AJ$2&gt;=$F6,AJ$2&lt;=IF(ISNUMBER($G6),$G6,$F6+$E6-$D6)),2,IF(AND(AJ$2&gt;=$D6,AJ$2&lt;=$E6),1,"")))</f>
        <v/>
      </c>
      <c r="AK6" s="38">
        <f>IF(OR(AK$2="",$D6=""),"",IF(AND(ISNUMBER($F6),AK$2&gt;=$F6,AK$2&lt;=IF(ISNUMBER($G6),$G6,$F6+$E6-$D6)),2,IF(AND(AK$2&gt;=$D6,AK$2&lt;=$E6),1,"")))</f>
        <v/>
      </c>
      <c r="AL6" s="38">
        <f>IF(OR(AL$2="",$D6=""),"",IF(AND(ISNUMBER($F6),AL$2&gt;=$F6,AL$2&lt;=IF(ISNUMBER($G6),$G6,$F6+$E6-$D6)),2,IF(AND(AL$2&gt;=$D6,AL$2&lt;=$E6),1,"")))</f>
        <v/>
      </c>
      <c r="AM6" s="38">
        <f>IF(OR(AM$2="",$D6=""),"",IF(AND(ISNUMBER($F6),AM$2&gt;=$F6,AM$2&lt;=IF(ISNUMBER($G6),$G6,$F6+$E6-$D6)),2,IF(AND(AM$2&gt;=$D6,AM$2&lt;=$E6),1,"")))</f>
        <v/>
      </c>
      <c r="AN6" s="38">
        <f>IF(OR(AN$2="",$D6=""),"",IF(AND(ISNUMBER($F6),AN$2&gt;=$F6,AN$2&lt;=IF(ISNUMBER($G6),$G6,$F6+$E6-$D6)),2,IF(AND(AN$2&gt;=$D6,AN$2&lt;=$E6),1,"")))</f>
        <v/>
      </c>
      <c r="AO6" s="38">
        <f>IF(OR(AO$2="",$D6=""),"",IF(AND(ISNUMBER($F6),AO$2&gt;=$F6,AO$2&lt;=IF(ISNUMBER($G6),$G6,$F6+$E6-$D6)),2,IF(AND(AO$2&gt;=$D6,AO$2&lt;=$E6),1,"")))</f>
        <v/>
      </c>
      <c r="AP6" s="38">
        <f>IF(OR(AP$2="",$D6=""),"",IF(AND(ISNUMBER($F6),AP$2&gt;=$F6,AP$2&lt;=IF(ISNUMBER($G6),$G6,$F6+$E6-$D6)),2,IF(AND(AP$2&gt;=$D6,AP$2&lt;=$E6),1,"")))</f>
        <v/>
      </c>
      <c r="AQ6" s="38">
        <f>IF(OR(AQ$2="",$D6=""),"",IF(AND(ISNUMBER($F6),AQ$2&gt;=$F6,AQ$2&lt;=IF(ISNUMBER($G6),$G6,$F6+$E6-$D6)),2,IF(AND(AQ$2&gt;=$D6,AQ$2&lt;=$E6),1,"")))</f>
        <v/>
      </c>
      <c r="AR6" s="38">
        <f>IF(OR(AR$2="",$D6=""),"",IF(AND(ISNUMBER($F6),AR$2&gt;=$F6,AR$2&lt;=IF(ISNUMBER($G6),$G6,$F6+$E6-$D6)),2,IF(AND(AR$2&gt;=$D6,AR$2&lt;=$E6),1,"")))</f>
        <v/>
      </c>
      <c r="AS6" s="38">
        <f>IF(OR(AS$2="",$D6=""),"",IF(AND(ISNUMBER($F6),AS$2&gt;=$F6,AS$2&lt;=IF(ISNUMBER($G6),$G6,$F6+$E6-$D6)),2,IF(AND(AS$2&gt;=$D6,AS$2&lt;=$E6),1,"")))</f>
        <v/>
      </c>
      <c r="AT6" s="38">
        <f>IF(OR(AT$2="",$D6=""),"",IF(AND(ISNUMBER($F6),AT$2&gt;=$F6,AT$2&lt;=IF(ISNUMBER($G6),$G6,$F6+$E6-$D6)),2,IF(AND(AT$2&gt;=$D6,AT$2&lt;=$E6),1,"")))</f>
        <v/>
      </c>
      <c r="AU6" s="38">
        <f>IF(OR(AU$2="",$D6=""),"",IF(AND(ISNUMBER($F6),AU$2&gt;=$F6,AU$2&lt;=IF(ISNUMBER($G6),$G6,$F6+$E6-$D6)),2,IF(AND(AU$2&gt;=$D6,AU$2&lt;=$E6),1,"")))</f>
        <v/>
      </c>
      <c r="AV6" s="38">
        <f>IF(OR(AV$2="",$D6=""),"",IF(AND(ISNUMBER($F6),AV$2&gt;=$F6,AV$2&lt;=IF(ISNUMBER($G6),$G6,$F6+$E6-$D6)),2,IF(AND(AV$2&gt;=$D6,AV$2&lt;=$E6),1,"")))</f>
        <v/>
      </c>
      <c r="AW6" s="38">
        <f>IF(OR(AW$2="",$D6=""),"",IF(AND(ISNUMBER($F6),AW$2&gt;=$F6,AW$2&lt;=IF(ISNUMBER($G6),$G6,$F6+$E6-$D6)),2,IF(AND(AW$2&gt;=$D6,AW$2&lt;=$E6),1,"")))</f>
        <v/>
      </c>
      <c r="AX6" s="38">
        <f>IF(OR(AX$2="",$D6=""),"",IF(AND(ISNUMBER($F6),AX$2&gt;=$F6,AX$2&lt;=IF(ISNUMBER($G6),$G6,$F6+$E6-$D6)),2,IF(AND(AX$2&gt;=$D6,AX$2&lt;=$E6),1,"")))</f>
        <v/>
      </c>
      <c r="AY6" s="38">
        <f>IF(OR(AY$2="",$D6=""),"",IF(AND(ISNUMBER($F6),AY$2&gt;=$F6,AY$2&lt;=IF(ISNUMBER($G6),$G6,$F6+$E6-$D6)),2,IF(AND(AY$2&gt;=$D6,AY$2&lt;=$E6),1,"")))</f>
        <v/>
      </c>
      <c r="AZ6" s="38">
        <f>IF(OR(AZ$2="",$D6=""),"",IF(AND(ISNUMBER($F6),AZ$2&gt;=$F6,AZ$2&lt;=IF(ISNUMBER($G6),$G6,$F6+$E6-$D6)),2,IF(AND(AZ$2&gt;=$D6,AZ$2&lt;=$E6),1,"")))</f>
        <v/>
      </c>
      <c r="BA6" s="38">
        <f>IF(OR(BA$2="",$D6=""),"",IF(AND(ISNUMBER($F6),BA$2&gt;=$F6,BA$2&lt;=IF(ISNUMBER($G6),$G6,$F6+$E6-$D6)),2,IF(AND(BA$2&gt;=$D6,BA$2&lt;=$E6),1,"")))</f>
        <v/>
      </c>
      <c r="BB6" s="38">
        <f>IF(OR(BB$2="",$D6=""),"",IF(AND(ISNUMBER($F6),BB$2&gt;=$F6,BB$2&lt;=IF(ISNUMBER($G6),$G6,$F6+$E6-$D6)),2,IF(AND(BB$2&gt;=$D6,BB$2&lt;=$E6),1,"")))</f>
        <v/>
      </c>
      <c r="BC6" s="38">
        <f>IF(OR(BC$2="",$D6=""),"",IF(AND(ISNUMBER($F6),BC$2&gt;=$F6,BC$2&lt;=IF(ISNUMBER($G6),$G6,$F6+$E6-$D6)),2,IF(AND(BC$2&gt;=$D6,BC$2&lt;=$E6),1,"")))</f>
        <v/>
      </c>
      <c r="BD6" s="38">
        <f>IF(OR(BD$2="",$D6=""),"",IF(AND(ISNUMBER($F6),BD$2&gt;=$F6,BD$2&lt;=IF(ISNUMBER($G6),$G6,$F6+$E6-$D6)),2,IF(AND(BD$2&gt;=$D6,BD$2&lt;=$E6),1,"")))</f>
        <v/>
      </c>
      <c r="BE6" s="38">
        <f>IF(OR(BE$2="",$D6=""),"",IF(AND(ISNUMBER($F6),BE$2&gt;=$F6,BE$2&lt;=IF(ISNUMBER($G6),$G6,$F6+$E6-$D6)),2,IF(AND(BE$2&gt;=$D6,BE$2&lt;=$E6),1,"")))</f>
        <v/>
      </c>
      <c r="BF6" s="38">
        <f>IF(OR(BF$2="",$D6=""),"",IF(AND(ISNUMBER($F6),BF$2&gt;=$F6,BF$2&lt;=IF(ISNUMBER($G6),$G6,$F6+$E6-$D6)),2,IF(AND(BF$2&gt;=$D6,BF$2&lt;=$E6),1,"")))</f>
        <v/>
      </c>
      <c r="BG6" s="38">
        <f>IF(OR(BG$2="",$D6=""),"",IF(AND(ISNUMBER($F6),BG$2&gt;=$F6,BG$2&lt;=IF(ISNUMBER($G6),$G6,$F6+$E6-$D6)),2,IF(AND(BG$2&gt;=$D6,BG$2&lt;=$E6),1,"")))</f>
        <v/>
      </c>
      <c r="BH6" s="38">
        <f>IF(OR(BH$2="",$D6=""),"",IF(AND(ISNUMBER($F6),BH$2&gt;=$F6,BH$2&lt;=IF(ISNUMBER($G6),$G6,$F6+$E6-$D6)),2,IF(AND(BH$2&gt;=$D6,BH$2&lt;=$E6),1,"")))</f>
        <v/>
      </c>
      <c r="BI6" s="38">
        <f>IF(OR(BI$2="",$D6=""),"",IF(AND(ISNUMBER($F6),BI$2&gt;=$F6,BI$2&lt;=IF(ISNUMBER($G6),$G6,$F6+$E6-$D6)),2,IF(AND(BI$2&gt;=$D6,BI$2&lt;=$E6),1,"")))</f>
        <v/>
      </c>
      <c r="BJ6" s="38">
        <f>IF(OR(BJ$2="",$D6=""),"",IF(AND(ISNUMBER($F6),BJ$2&gt;=$F6,BJ$2&lt;=IF(ISNUMBER($G6),$G6,$F6+$E6-$D6)),2,IF(AND(BJ$2&gt;=$D6,BJ$2&lt;=$E6),1,"")))</f>
        <v/>
      </c>
      <c r="BK6" s="38">
        <f>IF(OR(BK$2="",$D6=""),"",IF(AND(ISNUMBER($F6),BK$2&gt;=$F6,BK$2&lt;=IF(ISNUMBER($G6),$G6,$F6+$E6-$D6)),2,IF(AND(BK$2&gt;=$D6,BK$2&lt;=$E6),1,"")))</f>
        <v/>
      </c>
      <c r="BL6" s="38">
        <f>IF(OR(BL$2="",$D6=""),"",IF(AND(ISNUMBER($F6),BL$2&gt;=$F6,BL$2&lt;=IF(ISNUMBER($G6),$G6,$F6+$E6-$D6)),2,IF(AND(BL$2&gt;=$D6,BL$2&lt;=$E6),1,"")))</f>
        <v/>
      </c>
      <c r="BM6" s="38">
        <f>IF(OR(BM$2="",$D6=""),"",IF(AND(ISNUMBER($F6),BM$2&gt;=$F6,BM$2&lt;=IF(ISNUMBER($G6),$G6,$F6+$E6-$D6)),2,IF(AND(BM$2&gt;=$D6,BM$2&lt;=$E6),1,"")))</f>
        <v/>
      </c>
      <c r="BN6" s="38">
        <f>IF(OR(BN$2="",$D6=""),"",IF(AND(ISNUMBER($F6),BN$2&gt;=$F6,BN$2&lt;=IF(ISNUMBER($G6),$G6,$F6+$E6-$D6)),2,IF(AND(BN$2&gt;=$D6,BN$2&lt;=$E6),1,"")))</f>
        <v/>
      </c>
      <c r="BO6" s="38">
        <f>IF(OR(BO$2="",$D6=""),"",IF(AND(ISNUMBER($F6),BO$2&gt;=$F6,BO$2&lt;=IF(ISNUMBER($G6),$G6,$F6+$E6-$D6)),2,IF(AND(BO$2&gt;=$D6,BO$2&lt;=$E6),1,"")))</f>
        <v/>
      </c>
      <c r="BP6" s="38">
        <f>IF(OR(BP$2="",$D6=""),"",IF(AND(ISNUMBER($F6),BP$2&gt;=$F6,BP$2&lt;=IF(ISNUMBER($G6),$G6,$F6+$E6-$D6)),2,IF(AND(BP$2&gt;=$D6,BP$2&lt;=$E6),1,"")))</f>
        <v/>
      </c>
      <c r="BQ6" s="38">
        <f>IF(OR(BQ$2="",$D6=""),"",IF(AND(ISNUMBER($F6),BQ$2&gt;=$F6,BQ$2&lt;=IF(ISNUMBER($G6),$G6,$F6+$E6-$D6)),2,IF(AND(BQ$2&gt;=$D6,BQ$2&lt;=$E6),1,"")))</f>
        <v/>
      </c>
      <c r="BR6" s="38">
        <f>IF(OR(BR$2="",$D6=""),"",IF(AND(ISNUMBER($F6),BR$2&gt;=$F6,BR$2&lt;=IF(ISNUMBER($G6),$G6,$F6+$E6-$D6)),2,IF(AND(BR$2&gt;=$D6,BR$2&lt;=$E6),1,"")))</f>
        <v/>
      </c>
      <c r="BS6" s="38">
        <f>IF(OR(BS$2="",$D6=""),"",IF(AND(ISNUMBER($F6),BS$2&gt;=$F6,BS$2&lt;=IF(ISNUMBER($G6),$G6,$F6+$E6-$D6)),2,IF(AND(BS$2&gt;=$D6,BS$2&lt;=$E6),1,"")))</f>
        <v/>
      </c>
      <c r="BT6" s="38">
        <f>IF(OR(BT$2="",$D6=""),"",IF(AND(ISNUMBER($F6),BT$2&gt;=$F6,BT$2&lt;=IF(ISNUMBER($G6),$G6,$F6+$E6-$D6)),2,IF(AND(BT$2&gt;=$D6,BT$2&lt;=$E6),1,"")))</f>
        <v/>
      </c>
      <c r="BU6" s="38">
        <f>IF(OR(BU$2="",$D6=""),"",IF(AND(ISNUMBER($F6),BU$2&gt;=$F6,BU$2&lt;=IF(ISNUMBER($G6),$G6,$F6+$E6-$D6)),2,IF(AND(BU$2&gt;=$D6,BU$2&lt;=$E6),1,"")))</f>
        <v/>
      </c>
      <c r="BV6" s="38">
        <f>IF(OR(BV$2="",$D6=""),"",IF(AND(ISNUMBER($F6),BV$2&gt;=$F6,BV$2&lt;=IF(ISNUMBER($G6),$G6,$F6+$E6-$D6)),2,IF(AND(BV$2&gt;=$D6,BV$2&lt;=$E6),1,"")))</f>
        <v/>
      </c>
      <c r="BW6" s="38">
        <f>IF(OR(BW$2="",$D6=""),"",IF(AND(ISNUMBER($F6),BW$2&gt;=$F6,BW$2&lt;=IF(ISNUMBER($G6),$G6,$F6+$E6-$D6)),2,IF(AND(BW$2&gt;=$D6,BW$2&lt;=$E6),1,"")))</f>
        <v/>
      </c>
      <c r="BX6" s="38">
        <f>IF(OR(BX$2="",$D6=""),"",IF(AND(ISNUMBER($F6),BX$2&gt;=$F6,BX$2&lt;=IF(ISNUMBER($G6),$G6,$F6+$E6-$D6)),2,IF(AND(BX$2&gt;=$D6,BX$2&lt;=$E6),1,"")))</f>
        <v/>
      </c>
      <c r="BY6" s="38">
        <f>IF(OR(BY$2="",$D6=""),"",IF(AND(ISNUMBER($F6),BY$2&gt;=$F6,BY$2&lt;=IF(ISNUMBER($G6),$G6,$F6+$E6-$D6)),2,IF(AND(BY$2&gt;=$D6,BY$2&lt;=$E6),1,"")))</f>
        <v/>
      </c>
      <c r="BZ6" s="38">
        <f>IF(OR(BZ$2="",$D6=""),"",IF(AND(ISNUMBER($F6),BZ$2&gt;=$F6,BZ$2&lt;=IF(ISNUMBER($G6),$G6,$F6+$E6-$D6)),2,IF(AND(BZ$2&gt;=$D6,BZ$2&lt;=$E6),1,"")))</f>
        <v/>
      </c>
      <c r="CA6" s="38">
        <f>IF(OR(CA$2="",$D6=""),"",IF(AND(ISNUMBER($F6),CA$2&gt;=$F6,CA$2&lt;=IF(ISNUMBER($G6),$G6,$F6+$E6-$D6)),2,IF(AND(CA$2&gt;=$D6,CA$2&lt;=$E6),1,"")))</f>
        <v/>
      </c>
      <c r="CB6" s="38">
        <f>IF(OR(CB$2="",$D6=""),"",IF(AND(ISNUMBER($F6),CB$2&gt;=$F6,CB$2&lt;=IF(ISNUMBER($G6),$G6,$F6+$E6-$D6)),2,IF(AND(CB$2&gt;=$D6,CB$2&lt;=$E6),1,"")))</f>
        <v/>
      </c>
      <c r="CC6" s="38">
        <f>IF(OR(CC$2="",$D6=""),"",IF(AND(ISNUMBER($F6),CC$2&gt;=$F6,CC$2&lt;=IF(ISNUMBER($G6),$G6,$F6+$E6-$D6)),2,IF(AND(CC$2&gt;=$D6,CC$2&lt;=$E6),1,"")))</f>
        <v/>
      </c>
      <c r="CD6" s="38">
        <f>IF(OR(CD$2="",$D6=""),"",IF(AND(ISNUMBER($F6),CD$2&gt;=$F6,CD$2&lt;=IF(ISNUMBER($G6),$G6,$F6+$E6-$D6)),2,IF(AND(CD$2&gt;=$D6,CD$2&lt;=$E6),1,"")))</f>
        <v/>
      </c>
      <c r="CE6" s="38">
        <f>IF(OR(CE$2="",$D6=""),"",IF(AND(ISNUMBER($F6),CE$2&gt;=$F6,CE$2&lt;=IF(ISNUMBER($G6),$G6,$F6+$E6-$D6)),2,IF(AND(CE$2&gt;=$D6,CE$2&lt;=$E6),1,"")))</f>
        <v/>
      </c>
      <c r="CF6" s="38">
        <f>IF(OR(CF$2="",$D6=""),"",IF(AND(ISNUMBER($F6),CF$2&gt;=$F6,CF$2&lt;=IF(ISNUMBER($G6),$G6,$F6+$E6-$D6)),2,IF(AND(CF$2&gt;=$D6,CF$2&lt;=$E6),1,"")))</f>
        <v/>
      </c>
      <c r="CG6" s="38">
        <f>IF(OR(CG$2="",$D6=""),"",IF(AND(ISNUMBER($F6),CG$2&gt;=$F6,CG$2&lt;=IF(ISNUMBER($G6),$G6,$F6+$E6-$D6)),2,IF(AND(CG$2&gt;=$D6,CG$2&lt;=$E6),1,"")))</f>
        <v/>
      </c>
      <c r="CH6" s="38">
        <f>IF(OR(CH$2="",$D6=""),"",IF(AND(ISNUMBER($F6),CH$2&gt;=$F6,CH$2&lt;=IF(ISNUMBER($G6),$G6,$F6+$E6-$D6)),2,IF(AND(CH$2&gt;=$D6,CH$2&lt;=$E6),1,"")))</f>
        <v/>
      </c>
      <c r="CI6" s="38">
        <f>IF(OR(CI$2="",$D6=""),"",IF(AND(ISNUMBER($F6),CI$2&gt;=$F6,CI$2&lt;=IF(ISNUMBER($G6),$G6,$F6+$E6-$D6)),2,IF(AND(CI$2&gt;=$D6,CI$2&lt;=$E6),1,"")))</f>
        <v/>
      </c>
      <c r="CJ6" s="38">
        <f>IF(OR(CJ$2="",$D6=""),"",IF(AND(ISNUMBER($F6),CJ$2&gt;=$F6,CJ$2&lt;=IF(ISNUMBER($G6),$G6,$F6+$E6-$D6)),2,IF(AND(CJ$2&gt;=$D6,CJ$2&lt;=$E6),1,"")))</f>
        <v/>
      </c>
      <c r="CK6" s="38">
        <f>IF(OR(CK$2="",$D6=""),"",IF(AND(ISNUMBER($F6),CK$2&gt;=$F6,CK$2&lt;=IF(ISNUMBER($G6),$G6,$F6+$E6-$D6)),2,IF(AND(CK$2&gt;=$D6,CK$2&lt;=$E6),1,"")))</f>
        <v/>
      </c>
      <c r="CL6" s="38">
        <f>IF(OR(CL$2="",$D6=""),"",IF(AND(ISNUMBER($F6),CL$2&gt;=$F6,CL$2&lt;=IF(ISNUMBER($G6),$G6,$F6+$E6-$D6)),2,IF(AND(CL$2&gt;=$D6,CL$2&lt;=$E6),1,"")))</f>
        <v/>
      </c>
      <c r="CM6" s="38">
        <f>IF(OR(CM$2="",$D6=""),"",IF(AND(ISNUMBER($F6),CM$2&gt;=$F6,CM$2&lt;=IF(ISNUMBER($G6),$G6,$F6+$E6-$D6)),2,IF(AND(CM$2&gt;=$D6,CM$2&lt;=$E6),1,"")))</f>
        <v/>
      </c>
      <c r="CN6" s="38">
        <f>IF(OR(CN$2="",$D6=""),"",IF(AND(ISNUMBER($F6),CN$2&gt;=$F6,CN$2&lt;=IF(ISNUMBER($G6),$G6,$F6+$E6-$D6)),2,IF(AND(CN$2&gt;=$D6,CN$2&lt;=$E6),1,"")))</f>
        <v/>
      </c>
      <c r="CO6" s="38">
        <f>IF(OR(CO$2="",$D6=""),"",IF(AND(ISNUMBER($F6),CO$2&gt;=$F6,CO$2&lt;=IF(ISNUMBER($G6),$G6,$F6+$E6-$D6)),2,IF(AND(CO$2&gt;=$D6,CO$2&lt;=$E6),1,"")))</f>
        <v/>
      </c>
      <c r="CP6" s="38">
        <f>IF(OR(CP$2="",$D6=""),"",IF(AND(ISNUMBER($F6),CP$2&gt;=$F6,CP$2&lt;=IF(ISNUMBER($G6),$G6,$F6+$E6-$D6)),2,IF(AND(CP$2&gt;=$D6,CP$2&lt;=$E6),1,"")))</f>
        <v/>
      </c>
      <c r="CQ6" s="38">
        <f>IF(OR(CQ$2="",$D6=""),"",IF(AND(ISNUMBER($F6),CQ$2&gt;=$F6,CQ$2&lt;=IF(ISNUMBER($G6),$G6,$F6+$E6-$D6)),2,IF(AND(CQ$2&gt;=$D6,CQ$2&lt;=$E6),1,"")))</f>
        <v/>
      </c>
      <c r="CR6" s="38">
        <f>IF(OR(CR$2="",$D6=""),"",IF(AND(ISNUMBER($F6),CR$2&gt;=$F6,CR$2&lt;=IF(ISNUMBER($G6),$G6,$F6+$E6-$D6)),2,IF(AND(CR$2&gt;=$D6,CR$2&lt;=$E6),1,"")))</f>
        <v/>
      </c>
      <c r="CS6" s="38">
        <f>IF(OR(CS$2="",$D6=""),"",IF(AND(ISNUMBER($F6),CS$2&gt;=$F6,CS$2&lt;=IF(ISNUMBER($G6),$G6,$F6+$E6-$D6)),2,IF(AND(CS$2&gt;=$D6,CS$2&lt;=$E6),1,"")))</f>
        <v/>
      </c>
      <c r="CT6" s="38">
        <f>IF(OR(CT$2="",$D6=""),"",IF(AND(ISNUMBER($F6),CT$2&gt;=$F6,CT$2&lt;=IF(ISNUMBER($G6),$G6,$F6+$E6-$D6)),2,IF(AND(CT$2&gt;=$D6,CT$2&lt;=$E6),1,"")))</f>
        <v/>
      </c>
      <c r="CU6" s="38">
        <f>IF(OR(CU$2="",$D6=""),"",IF(AND(ISNUMBER($F6),CU$2&gt;=$F6,CU$2&lt;=IF(ISNUMBER($G6),$G6,$F6+$E6-$D6)),2,IF(AND(CU$2&gt;=$D6,CU$2&lt;=$E6),1,"")))</f>
        <v/>
      </c>
      <c r="CV6" s="38">
        <f>IF(OR(CV$2="",$D6=""),"",IF(AND(ISNUMBER($F6),CV$2&gt;=$F6,CV$2&lt;=IF(ISNUMBER($G6),$G6,$F6+$E6-$D6)),2,IF(AND(CV$2&gt;=$D6,CV$2&lt;=$E6),1,"")))</f>
        <v/>
      </c>
      <c r="CW6" s="38">
        <f>IF(OR(CW$2="",$D6=""),"",IF(AND(ISNUMBER($F6),CW$2&gt;=$F6,CW$2&lt;=IF(ISNUMBER($G6),$G6,$F6+$E6-$D6)),2,IF(AND(CW$2&gt;=$D6,CW$2&lt;=$E6),1,"")))</f>
        <v/>
      </c>
      <c r="CX6" s="38">
        <f>IF(OR(CX$2="",$D6=""),"",IF(AND(ISNUMBER($F6),CX$2&gt;=$F6,CX$2&lt;=IF(ISNUMBER($G6),$G6,$F6+$E6-$D6)),2,IF(AND(CX$2&gt;=$D6,CX$2&lt;=$E6),1,"")))</f>
        <v/>
      </c>
      <c r="CY6" s="38">
        <f>IF(OR(CY$2="",$D6=""),"",IF(AND(ISNUMBER($F6),CY$2&gt;=$F6,CY$2&lt;=IF(ISNUMBER($G6),$G6,$F6+$E6-$D6)),2,IF(AND(CY$2&gt;=$D6,CY$2&lt;=$E6),1,"")))</f>
        <v/>
      </c>
      <c r="CZ6" s="38">
        <f>IF(OR(CZ$2="",$D6=""),"",IF(AND(ISNUMBER($F6),CZ$2&gt;=$F6,CZ$2&lt;=IF(ISNUMBER($G6),$G6,$F6+$E6-$D6)),2,IF(AND(CZ$2&gt;=$D6,CZ$2&lt;=$E6),1,"")))</f>
        <v/>
      </c>
      <c r="DA6" s="38">
        <f>IF(OR(DA$2="",$D6=""),"",IF(AND(ISNUMBER($F6),DA$2&gt;=$F6,DA$2&lt;=IF(ISNUMBER($G6),$G6,$F6+$E6-$D6)),2,IF(AND(DA$2&gt;=$D6,DA$2&lt;=$E6),1,"")))</f>
        <v/>
      </c>
      <c r="DB6" s="38">
        <f>IF(OR(DB$2="",$D6=""),"",IF(AND(ISNUMBER($F6),DB$2&gt;=$F6,DB$2&lt;=IF(ISNUMBER($G6),$G6,$F6+$E6-$D6)),2,IF(AND(DB$2&gt;=$D6,DB$2&lt;=$E6),1,"")))</f>
        <v/>
      </c>
      <c r="DC6" s="38">
        <f>IF(OR(DC$2="",$D6=""),"",IF(AND(ISNUMBER($F6),DC$2&gt;=$F6,DC$2&lt;=IF(ISNUMBER($G6),$G6,$F6+$E6-$D6)),2,IF(AND(DC$2&gt;=$D6,DC$2&lt;=$E6),1,"")))</f>
        <v/>
      </c>
      <c r="DD6" s="38">
        <f>IF(OR(DD$2="",$D6=""),"",IF(AND(ISNUMBER($F6),DD$2&gt;=$F6,DD$2&lt;=IF(ISNUMBER($G6),$G6,$F6+$E6-$D6)),2,IF(AND(DD$2&gt;=$D6,DD$2&lt;=$E6),1,"")))</f>
        <v/>
      </c>
      <c r="DE6" s="38">
        <f>IF(OR(DE$2="",$D6=""),"",IF(AND(ISNUMBER($F6),DE$2&gt;=$F6,DE$2&lt;=IF(ISNUMBER($G6),$G6,$F6+$E6-$D6)),2,IF(AND(DE$2&gt;=$D6,DE$2&lt;=$E6),1,"")))</f>
        <v/>
      </c>
      <c r="DF6" s="38">
        <f>IF(OR(DF$2="",$D6=""),"",IF(AND(ISNUMBER($F6),DF$2&gt;=$F6,DF$2&lt;=IF(ISNUMBER($G6),$G6,$F6+$E6-$D6)),2,IF(AND(DF$2&gt;=$D6,DF$2&lt;=$E6),1,"")))</f>
        <v/>
      </c>
      <c r="DG6" s="38">
        <f>IF(OR(DG$2="",$D6=""),"",IF(AND(ISNUMBER($F6),DG$2&gt;=$F6,DG$2&lt;=IF(ISNUMBER($G6),$G6,$F6+$E6-$D6)),2,IF(AND(DG$2&gt;=$D6,DG$2&lt;=$E6),1,"")))</f>
        <v/>
      </c>
      <c r="DH6" s="38">
        <f>IF(OR(DH$2="",$D6=""),"",IF(AND(ISNUMBER($F6),DH$2&gt;=$F6,DH$2&lt;=IF(ISNUMBER($G6),$G6,$F6+$E6-$D6)),2,IF(AND(DH$2&gt;=$D6,DH$2&lt;=$E6),1,"")))</f>
        <v/>
      </c>
      <c r="DI6" s="38">
        <f>IF(OR(DI$2="",$D6=""),"",IF(AND(ISNUMBER($F6),DI$2&gt;=$F6,DI$2&lt;=IF(ISNUMBER($G6),$G6,$F6+$E6-$D6)),2,IF(AND(DI$2&gt;=$D6,DI$2&lt;=$E6),1,"")))</f>
        <v/>
      </c>
      <c r="DJ6" s="38">
        <f>IF(OR(DJ$2="",$D6=""),"",IF(AND(ISNUMBER($F6),DJ$2&gt;=$F6,DJ$2&lt;=IF(ISNUMBER($G6),$G6,$F6+$E6-$D6)),2,IF(AND(DJ$2&gt;=$D6,DJ$2&lt;=$E6),1,"")))</f>
        <v/>
      </c>
      <c r="DK6" s="38">
        <f>IF(OR(DK$2="",$D6=""),"",IF(AND(ISNUMBER($F6),DK$2&gt;=$F6,DK$2&lt;=IF(ISNUMBER($G6),$G6,$F6+$E6-$D6)),2,IF(AND(DK$2&gt;=$D6,DK$2&lt;=$E6),1,"")))</f>
        <v/>
      </c>
      <c r="DL6" s="38">
        <f>IF(OR(DL$2="",$D6=""),"",IF(AND(ISNUMBER($F6),DL$2&gt;=$F6,DL$2&lt;=IF(ISNUMBER($G6),$G6,$F6+$E6-$D6)),2,IF(AND(DL$2&gt;=$D6,DL$2&lt;=$E6),1,"")))</f>
        <v/>
      </c>
      <c r="DM6" s="38">
        <f>IF(OR(DM$2="",$D6=""),"",IF(AND(ISNUMBER($F6),DM$2&gt;=$F6,DM$2&lt;=IF(ISNUMBER($G6),$G6,$F6+$E6-$D6)),2,IF(AND(DM$2&gt;=$D6,DM$2&lt;=$E6),1,"")))</f>
        <v/>
      </c>
      <c r="DN6" s="38">
        <f>IF(OR(DN$2="",$D6=""),"",IF(AND(ISNUMBER($F6),DN$2&gt;=$F6,DN$2&lt;=IF(ISNUMBER($G6),$G6,$F6+$E6-$D6)),2,IF(AND(DN$2&gt;=$D6,DN$2&lt;=$E6),1,"")))</f>
        <v/>
      </c>
      <c r="DO6" s="38">
        <f>IF(OR(DO$2="",$D6=""),"",IF(AND(ISNUMBER($F6),DO$2&gt;=$F6,DO$2&lt;=IF(ISNUMBER($G6),$G6,$F6+$E6-$D6)),2,IF(AND(DO$2&gt;=$D6,DO$2&lt;=$E6),1,"")))</f>
        <v/>
      </c>
      <c r="DP6" s="38">
        <f>IF(OR(DP$2="",$D6=""),"",IF(AND(ISNUMBER($F6),DP$2&gt;=$F6,DP$2&lt;=IF(ISNUMBER($G6),$G6,$F6+$E6-$D6)),2,IF(AND(DP$2&gt;=$D6,DP$2&lt;=$E6),1,"")))</f>
        <v/>
      </c>
      <c r="DQ6" s="38">
        <f>IF(OR(DQ$2="",$D6=""),"",IF(AND(ISNUMBER($F6),DQ$2&gt;=$F6,DQ$2&lt;=IF(ISNUMBER($G6),$G6,$F6+$E6-$D6)),2,IF(AND(DQ$2&gt;=$D6,DQ$2&lt;=$E6),1,"")))</f>
        <v/>
      </c>
      <c r="DR6" s="38">
        <f>IF(OR(DR$2="",$D6=""),"",IF(AND(ISNUMBER($F6),DR$2&gt;=$F6,DR$2&lt;=IF(ISNUMBER($G6),$G6,$F6+$E6-$D6)),2,IF(AND(DR$2&gt;=$D6,DR$2&lt;=$E6),1,"")))</f>
        <v/>
      </c>
      <c r="DS6" s="38">
        <f>IF(OR(DS$2="",$D6=""),"",IF(AND(ISNUMBER($F6),DS$2&gt;=$F6,DS$2&lt;=IF(ISNUMBER($G6),$G6,$F6+$E6-$D6)),2,IF(AND(DS$2&gt;=$D6,DS$2&lt;=$E6),1,"")))</f>
        <v/>
      </c>
      <c r="DT6" s="38">
        <f>IF(OR(DT$2="",$D6=""),"",IF(AND(ISNUMBER($F6),DT$2&gt;=$F6,DT$2&lt;=IF(ISNUMBER($G6),$G6,$F6+$E6-$D6)),2,IF(AND(DT$2&gt;=$D6,DT$2&lt;=$E6),1,"")))</f>
        <v/>
      </c>
      <c r="DU6" s="38">
        <f>IF(OR(DU$2="",$D6=""),"",IF(AND(ISNUMBER($F6),DU$2&gt;=$F6,DU$2&lt;=IF(ISNUMBER($G6),$G6,$F6+$E6-$D6)),2,IF(AND(DU$2&gt;=$D6,DU$2&lt;=$E6),1,"")))</f>
        <v/>
      </c>
      <c r="DV6" s="38">
        <f>IF(OR(DV$2="",$D6=""),"",IF(AND(ISNUMBER($F6),DV$2&gt;=$F6,DV$2&lt;=IF(ISNUMBER($G6),$G6,$F6+$E6-$D6)),2,IF(AND(DV$2&gt;=$D6,DV$2&lt;=$E6),1,"")))</f>
        <v/>
      </c>
      <c r="DW6" s="38">
        <f>IF(OR(DW$2="",$D6=""),"",IF(AND(ISNUMBER($F6),DW$2&gt;=$F6,DW$2&lt;=IF(ISNUMBER($G6),$G6,$F6+$E6-$D6)),2,IF(AND(DW$2&gt;=$D6,DW$2&lt;=$E6),1,"")))</f>
        <v/>
      </c>
      <c r="DX6" s="38">
        <f>IF(OR(DX$2="",$D6=""),"",IF(AND(ISNUMBER($F6),DX$2&gt;=$F6,DX$2&lt;=IF(ISNUMBER($G6),$G6,$F6+$E6-$D6)),2,IF(AND(DX$2&gt;=$D6,DX$2&lt;=$E6),1,"")))</f>
        <v/>
      </c>
      <c r="DY6" s="38">
        <f>IF(OR(DY$2="",$D6=""),"",IF(AND(ISNUMBER($F6),DY$2&gt;=$F6,DY$2&lt;=IF(ISNUMBER($G6),$G6,$F6+$E6-$D6)),2,IF(AND(DY$2&gt;=$D6,DY$2&lt;=$E6),1,"")))</f>
        <v/>
      </c>
      <c r="DZ6" s="38">
        <f>IF(OR(DZ$2="",$D6=""),"",IF(AND(ISNUMBER($F6),DZ$2&gt;=$F6,DZ$2&lt;=IF(ISNUMBER($G6),$G6,$F6+$E6-$D6)),2,IF(AND(DZ$2&gt;=$D6,DZ$2&lt;=$E6),1,"")))</f>
        <v/>
      </c>
      <c r="EA6" s="38">
        <f>IF(OR(EA$2="",$D6=""),"",IF(AND(ISNUMBER($F6),EA$2&gt;=$F6,EA$2&lt;=IF(ISNUMBER($G6),$G6,$F6+$E6-$D6)),2,IF(AND(EA$2&gt;=$D6,EA$2&lt;=$E6),1,"")))</f>
        <v/>
      </c>
      <c r="EB6" s="38">
        <f>IF(OR(EB$2="",$D6=""),"",IF(AND(ISNUMBER($F6),EB$2&gt;=$F6,EB$2&lt;=IF(ISNUMBER($G6),$G6,$F6+$E6-$D6)),2,IF(AND(EB$2&gt;=$D6,EB$2&lt;=$E6),1,"")))</f>
        <v/>
      </c>
      <c r="EC6" s="38">
        <f>IF(OR(EC$2="",$D6=""),"",IF(AND(ISNUMBER($F6),EC$2&gt;=$F6,EC$2&lt;=IF(ISNUMBER($G6),$G6,$F6+$E6-$D6)),2,IF(AND(EC$2&gt;=$D6,EC$2&lt;=$E6),1,"")))</f>
        <v/>
      </c>
      <c r="ED6" s="38">
        <f>IF(OR(ED$2="",$D6=""),"",IF(AND(ISNUMBER($F6),ED$2&gt;=$F6,ED$2&lt;=IF(ISNUMBER($G6),$G6,$F6+$E6-$D6)),2,IF(AND(ED$2&gt;=$D6,ED$2&lt;=$E6),1,"")))</f>
        <v/>
      </c>
      <c r="EE6" s="38">
        <f>IF(OR(EE$2="",$D6=""),"",IF(AND(ISNUMBER($F6),EE$2&gt;=$F6,EE$2&lt;=IF(ISNUMBER($G6),$G6,$F6+$E6-$D6)),2,IF(AND(EE$2&gt;=$D6,EE$2&lt;=$E6),1,"")))</f>
        <v/>
      </c>
      <c r="EF6" s="38">
        <f>IF(OR(EF$2="",$D6=""),"",IF(AND(ISNUMBER($F6),EF$2&gt;=$F6,EF$2&lt;=IF(ISNUMBER($G6),$G6,$F6+$E6-$D6)),2,IF(AND(EF$2&gt;=$D6,EF$2&lt;=$E6),1,"")))</f>
        <v/>
      </c>
      <c r="EG6" s="38">
        <f>IF(OR(EG$2="",$D6=""),"",IF(AND(ISNUMBER($F6),EG$2&gt;=$F6,EG$2&lt;=IF(ISNUMBER($G6),$G6,$F6+$E6-$D6)),2,IF(AND(EG$2&gt;=$D6,EG$2&lt;=$E6),1,"")))</f>
        <v/>
      </c>
      <c r="EH6" s="38">
        <f>IF(OR(EH$2="",$D6=""),"",IF(AND(ISNUMBER($F6),EH$2&gt;=$F6,EH$2&lt;=IF(ISNUMBER($G6),$G6,$F6+$E6-$D6)),2,IF(AND(EH$2&gt;=$D6,EH$2&lt;=$E6),1,"")))</f>
        <v/>
      </c>
      <c r="EI6" s="38">
        <f>IF(OR(EI$2="",$D6=""),"",IF(AND(ISNUMBER($F6),EI$2&gt;=$F6,EI$2&lt;=IF(ISNUMBER($G6),$G6,$F6+$E6-$D6)),2,IF(AND(EI$2&gt;=$D6,EI$2&lt;=$E6),1,"")))</f>
        <v/>
      </c>
      <c r="EJ6" s="38">
        <f>IF(OR(EJ$2="",$D6=""),"",IF(AND(ISNUMBER($F6),EJ$2&gt;=$F6,EJ$2&lt;=IF(ISNUMBER($G6),$G6,$F6+$E6-$D6)),2,IF(AND(EJ$2&gt;=$D6,EJ$2&lt;=$E6),1,"")))</f>
        <v/>
      </c>
      <c r="EK6" s="38">
        <f>IF(OR(EK$2="",$D6=""),"",IF(AND(ISNUMBER($F6),EK$2&gt;=$F6,EK$2&lt;=IF(ISNUMBER($G6),$G6,$F6+$E6-$D6)),2,IF(AND(EK$2&gt;=$D6,EK$2&lt;=$E6),1,"")))</f>
        <v/>
      </c>
      <c r="EL6" s="38">
        <f>IF(OR(EL$2="",$D6=""),"",IF(AND(ISNUMBER($F6),EL$2&gt;=$F6,EL$2&lt;=IF(ISNUMBER($G6),$G6,$F6+$E6-$D6)),2,IF(AND(EL$2&gt;=$D6,EL$2&lt;=$E6),1,"")))</f>
        <v/>
      </c>
      <c r="EM6" s="38">
        <f>IF(OR(EM$2="",$D6=""),"",IF(AND(ISNUMBER($F6),EM$2&gt;=$F6,EM$2&lt;=IF(ISNUMBER($G6),$G6,$F6+$E6-$D6)),2,IF(AND(EM$2&gt;=$D6,EM$2&lt;=$E6),1,"")))</f>
        <v/>
      </c>
      <c r="EN6" s="38">
        <f>IF(OR(EN$2="",$D6=""),"",IF(AND(ISNUMBER($F6),EN$2&gt;=$F6,EN$2&lt;=IF(ISNUMBER($G6),$G6,$F6+$E6-$D6)),2,IF(AND(EN$2&gt;=$D6,EN$2&lt;=$E6),1,"")))</f>
        <v/>
      </c>
      <c r="EO6" s="38">
        <f>IF(OR(EO$2="",$D6=""),"",IF(AND(ISNUMBER($F6),EO$2&gt;=$F6,EO$2&lt;=IF(ISNUMBER($G6),$G6,$F6+$E6-$D6)),2,IF(AND(EO$2&gt;=$D6,EO$2&lt;=$E6),1,"")))</f>
        <v/>
      </c>
      <c r="EP6" s="38">
        <f>IF(OR(EP$2="",$D6=""),"",IF(AND(ISNUMBER($F6),EP$2&gt;=$F6,EP$2&lt;=IF(ISNUMBER($G6),$G6,$F6+$E6-$D6)),2,IF(AND(EP$2&gt;=$D6,EP$2&lt;=$E6),1,"")))</f>
        <v/>
      </c>
      <c r="EQ6" s="38">
        <f>IF(OR(EQ$2="",$D6=""),"",IF(AND(ISNUMBER($F6),EQ$2&gt;=$F6,EQ$2&lt;=IF(ISNUMBER($G6),$G6,$F6+$E6-$D6)),2,IF(AND(EQ$2&gt;=$D6,EQ$2&lt;=$E6),1,"")))</f>
        <v/>
      </c>
      <c r="ER6" s="38">
        <f>IF(OR(ER$2="",$D6=""),"",IF(AND(ISNUMBER($F6),ER$2&gt;=$F6,ER$2&lt;=IF(ISNUMBER($G6),$G6,$F6+$E6-$D6)),2,IF(AND(ER$2&gt;=$D6,ER$2&lt;=$E6),1,"")))</f>
        <v/>
      </c>
      <c r="ES6" s="38">
        <f>IF(OR(ES$2="",$D6=""),"",IF(AND(ISNUMBER($F6),ES$2&gt;=$F6,ES$2&lt;=IF(ISNUMBER($G6),$G6,$F6+$E6-$D6)),2,IF(AND(ES$2&gt;=$D6,ES$2&lt;=$E6),1,"")))</f>
        <v/>
      </c>
      <c r="ET6" s="38">
        <f>IF(OR(ET$2="",$D6=""),"",IF(AND(ISNUMBER($F6),ET$2&gt;=$F6,ET$2&lt;=IF(ISNUMBER($G6),$G6,$F6+$E6-$D6)),2,IF(AND(ET$2&gt;=$D6,ET$2&lt;=$E6),1,"")))</f>
        <v/>
      </c>
      <c r="EU6" s="38">
        <f>IF(OR(EU$2="",$D6=""),"",IF(AND(ISNUMBER($F6),EU$2&gt;=$F6,EU$2&lt;=IF(ISNUMBER($G6),$G6,$F6+$E6-$D6)),2,IF(AND(EU$2&gt;=$D6,EU$2&lt;=$E6),1,"")))</f>
        <v/>
      </c>
      <c r="EV6" s="38">
        <f>IF(OR(EV$2="",$D6=""),"",IF(AND(ISNUMBER($F6),EV$2&gt;=$F6,EV$2&lt;=IF(ISNUMBER($G6),$G6,$F6+$E6-$D6)),2,IF(AND(EV$2&gt;=$D6,EV$2&lt;=$E6),1,"")))</f>
        <v/>
      </c>
      <c r="EW6" s="38">
        <f>IF(OR(EW$2="",$D6=""),"",IF(AND(ISNUMBER($F6),EW$2&gt;=$F6,EW$2&lt;=IF(ISNUMBER($G6),$G6,$F6+$E6-$D6)),2,IF(AND(EW$2&gt;=$D6,EW$2&lt;=$E6),1,"")))</f>
        <v/>
      </c>
      <c r="EX6" s="38">
        <f>IF(OR(EX$2="",$D6=""),"",IF(AND(ISNUMBER($F6),EX$2&gt;=$F6,EX$2&lt;=IF(ISNUMBER($G6),$G6,$F6+$E6-$D6)),2,IF(AND(EX$2&gt;=$D6,EX$2&lt;=$E6),1,"")))</f>
        <v/>
      </c>
      <c r="EY6" s="38">
        <f>IF(OR(EY$2="",$D6=""),"",IF(AND(ISNUMBER($F6),EY$2&gt;=$F6,EY$2&lt;=IF(ISNUMBER($G6),$G6,$F6+$E6-$D6)),2,IF(AND(EY$2&gt;=$D6,EY$2&lt;=$E6),1,"")))</f>
        <v/>
      </c>
      <c r="EZ6" s="38">
        <f>IF(OR(EZ$2="",$D6=""),"",IF(AND(ISNUMBER($F6),EZ$2&gt;=$F6,EZ$2&lt;=IF(ISNUMBER($G6),$G6,$F6+$E6-$D6)),2,IF(AND(EZ$2&gt;=$D6,EZ$2&lt;=$E6),1,"")))</f>
        <v/>
      </c>
      <c r="FA6" s="38">
        <f>IF(OR(FA$2="",$D6=""),"",IF(AND(ISNUMBER($F6),FA$2&gt;=$F6,FA$2&lt;=IF(ISNUMBER($G6),$G6,$F6+$E6-$D6)),2,IF(AND(FA$2&gt;=$D6,FA$2&lt;=$E6),1,"")))</f>
        <v/>
      </c>
      <c r="FB6" s="38">
        <f>IF(OR(FB$2="",$D6=""),"",IF(AND(ISNUMBER($F6),FB$2&gt;=$F6,FB$2&lt;=IF(ISNUMBER($G6),$G6,$F6+$E6-$D6)),2,IF(AND(FB$2&gt;=$D6,FB$2&lt;=$E6),1,"")))</f>
        <v/>
      </c>
      <c r="FC6" s="38">
        <f>IF(OR(FC$2="",$D6=""),"",IF(AND(ISNUMBER($F6),FC$2&gt;=$F6,FC$2&lt;=IF(ISNUMBER($G6),$G6,$F6+$E6-$D6)),2,IF(AND(FC$2&gt;=$D6,FC$2&lt;=$E6),1,"")))</f>
        <v/>
      </c>
      <c r="FD6" s="38">
        <f>IF(OR(FD$2="",$D6=""),"",IF(AND(ISNUMBER($F6),FD$2&gt;=$F6,FD$2&lt;=IF(ISNUMBER($G6),$G6,$F6+$E6-$D6)),2,IF(AND(FD$2&gt;=$D6,FD$2&lt;=$E6),1,"")))</f>
        <v/>
      </c>
      <c r="FE6" s="38">
        <f>IF(OR(FE$2="",$D6=""),"",IF(AND(ISNUMBER($F6),FE$2&gt;=$F6,FE$2&lt;=IF(ISNUMBER($G6),$G6,$F6+$E6-$D6)),2,IF(AND(FE$2&gt;=$D6,FE$2&lt;=$E6),1,"")))</f>
        <v/>
      </c>
      <c r="FF6" s="38">
        <f>IF(OR(FF$2="",$D6=""),"",IF(AND(ISNUMBER($F6),FF$2&gt;=$F6,FF$2&lt;=IF(ISNUMBER($G6),$G6,$F6+$E6-$D6)),2,IF(AND(FF$2&gt;=$D6,FF$2&lt;=$E6),1,"")))</f>
        <v/>
      </c>
      <c r="FG6" s="38">
        <f>IF(OR(FG$2="",$D6=""),"",IF(AND(ISNUMBER($F6),FG$2&gt;=$F6,FG$2&lt;=IF(ISNUMBER($G6),$G6,$F6+$E6-$D6)),2,IF(AND(FG$2&gt;=$D6,FG$2&lt;=$E6),1,"")))</f>
        <v/>
      </c>
      <c r="FH6" s="38">
        <f>IF(OR(FH$2="",$D6=""),"",IF(AND(ISNUMBER($F6),FH$2&gt;=$F6,FH$2&lt;=IF(ISNUMBER($G6),$G6,$F6+$E6-$D6)),2,IF(AND(FH$2&gt;=$D6,FH$2&lt;=$E6),1,"")))</f>
        <v/>
      </c>
      <c r="FI6" s="38">
        <f>IF(OR(FI$2="",$D6=""),"",IF(AND(ISNUMBER($F6),FI$2&gt;=$F6,FI$2&lt;=IF(ISNUMBER($G6),$G6,$F6+$E6-$D6)),2,IF(AND(FI$2&gt;=$D6,FI$2&lt;=$E6),1,"")))</f>
        <v/>
      </c>
      <c r="FJ6" s="38">
        <f>IF(OR(FJ$2="",$D6=""),"",IF(AND(ISNUMBER($F6),FJ$2&gt;=$F6,FJ$2&lt;=IF(ISNUMBER($G6),$G6,$F6+$E6-$D6)),2,IF(AND(FJ$2&gt;=$D6,FJ$2&lt;=$E6),1,"")))</f>
        <v/>
      </c>
      <c r="FK6" s="38">
        <f>IF(OR(FK$2="",$D6=""),"",IF(AND(ISNUMBER($F6),FK$2&gt;=$F6,FK$2&lt;=IF(ISNUMBER($G6),$G6,$F6+$E6-$D6)),2,IF(AND(FK$2&gt;=$D6,FK$2&lt;=$E6),1,"")))</f>
        <v/>
      </c>
      <c r="FL6" s="38">
        <f>IF(OR(FL$2="",$D6=""),"",IF(AND(ISNUMBER($F6),FL$2&gt;=$F6,FL$2&lt;=IF(ISNUMBER($G6),$G6,$F6+$E6-$D6)),2,IF(AND(FL$2&gt;=$D6,FL$2&lt;=$E6),1,"")))</f>
        <v/>
      </c>
      <c r="FM6" s="38">
        <f>IF(OR(FM$2="",$D6=""),"",IF(AND(ISNUMBER($F6),FM$2&gt;=$F6,FM$2&lt;=IF(ISNUMBER($G6),$G6,$F6+$E6-$D6)),2,IF(AND(FM$2&gt;=$D6,FM$2&lt;=$E6),1,"")))</f>
        <v/>
      </c>
      <c r="FN6" s="38">
        <f>IF(OR(FN$2="",$D6=""),"",IF(AND(ISNUMBER($F6),FN$2&gt;=$F6,FN$2&lt;=IF(ISNUMBER($G6),$G6,$F6+$E6-$D6)),2,IF(AND(FN$2&gt;=$D6,FN$2&lt;=$E6),1,"")))</f>
        <v/>
      </c>
      <c r="FO6" s="38">
        <f>IF(OR(FO$2="",$D6=""),"",IF(AND(ISNUMBER($F6),FO$2&gt;=$F6,FO$2&lt;=IF(ISNUMBER($G6),$G6,$F6+$E6-$D6)),2,IF(AND(FO$2&gt;=$D6,FO$2&lt;=$E6),1,"")))</f>
        <v/>
      </c>
      <c r="FP6" s="38">
        <f>IF(OR(FP$2="",$D6=""),"",IF(AND(ISNUMBER($F6),FP$2&gt;=$F6,FP$2&lt;=IF(ISNUMBER($G6),$G6,$F6+$E6-$D6)),2,IF(AND(FP$2&gt;=$D6,FP$2&lt;=$E6),1,"")))</f>
        <v/>
      </c>
      <c r="FQ6" s="38">
        <f>IF(OR(FQ$2="",$D6=""),"",IF(AND(ISNUMBER($F6),FQ$2&gt;=$F6,FQ$2&lt;=IF(ISNUMBER($G6),$G6,$F6+$E6-$D6)),2,IF(AND(FQ$2&gt;=$D6,FQ$2&lt;=$E6),1,"")))</f>
        <v/>
      </c>
      <c r="FR6" s="38">
        <f>IF(OR(FR$2="",$D6=""),"",IF(AND(ISNUMBER($F6),FR$2&gt;=$F6,FR$2&lt;=IF(ISNUMBER($G6),$G6,$F6+$E6-$D6)),2,IF(AND(FR$2&gt;=$D6,FR$2&lt;=$E6),1,"")))</f>
        <v/>
      </c>
      <c r="FS6" s="38">
        <f>IF(OR(FS$2="",$D6=""),"",IF(AND(ISNUMBER($F6),FS$2&gt;=$F6,FS$2&lt;=IF(ISNUMBER($G6),$G6,$F6+$E6-$D6)),2,IF(AND(FS$2&gt;=$D6,FS$2&lt;=$E6),1,"")))</f>
        <v/>
      </c>
      <c r="FT6" s="38">
        <f>IF(OR(FT$2="",$D6=""),"",IF(AND(ISNUMBER($F6),FT$2&gt;=$F6,FT$2&lt;=IF(ISNUMBER($G6),$G6,$F6+$E6-$D6)),2,IF(AND(FT$2&gt;=$D6,FT$2&lt;=$E6),1,"")))</f>
        <v/>
      </c>
      <c r="FU6" s="38">
        <f>IF(OR(FU$2="",$D6=""),"",IF(AND(ISNUMBER($F6),FU$2&gt;=$F6,FU$2&lt;=IF(ISNUMBER($G6),$G6,$F6+$E6-$D6)),2,IF(AND(FU$2&gt;=$D6,FU$2&lt;=$E6),1,"")))</f>
        <v/>
      </c>
      <c r="FV6" s="38">
        <f>IF(OR(FV$2="",$D6=""),"",IF(AND(ISNUMBER($F6),FV$2&gt;=$F6,FV$2&lt;=IF(ISNUMBER($G6),$G6,$F6+$E6-$D6)),2,IF(AND(FV$2&gt;=$D6,FV$2&lt;=$E6),1,"")))</f>
        <v/>
      </c>
      <c r="FW6" s="38">
        <f>IF(OR(FW$2="",$D6=""),"",IF(AND(ISNUMBER($F6),FW$2&gt;=$F6,FW$2&lt;=IF(ISNUMBER($G6),$G6,$F6+$E6-$D6)),2,IF(AND(FW$2&gt;=$D6,FW$2&lt;=$E6),1,"")))</f>
        <v/>
      </c>
      <c r="FX6" s="38">
        <f>IF(OR(FX$2="",$D6=""),"",IF(AND(ISNUMBER($F6),FX$2&gt;=$F6,FX$2&lt;=IF(ISNUMBER($G6),$G6,$F6+$E6-$D6)),2,IF(AND(FX$2&gt;=$D6,FX$2&lt;=$E6),1,"")))</f>
        <v/>
      </c>
      <c r="FY6" s="38">
        <f>IF(OR(FY$2="",$D6=""),"",IF(AND(ISNUMBER($F6),FY$2&gt;=$F6,FY$2&lt;=IF(ISNUMBER($G6),$G6,$F6+$E6-$D6)),2,IF(AND(FY$2&gt;=$D6,FY$2&lt;=$E6),1,"")))</f>
        <v/>
      </c>
      <c r="FZ6" s="38">
        <f>IF(OR(FZ$2="",$D6=""),"",IF(AND(ISNUMBER($F6),FZ$2&gt;=$F6,FZ$2&lt;=IF(ISNUMBER($G6),$G6,$F6+$E6-$D6)),2,IF(AND(FZ$2&gt;=$D6,FZ$2&lt;=$E6),1,"")))</f>
        <v/>
      </c>
      <c r="GA6" s="38">
        <f>IF(OR(GA$2="",$D6=""),"",IF(AND(ISNUMBER($F6),GA$2&gt;=$F6,GA$2&lt;=IF(ISNUMBER($G6),$G6,$F6+$E6-$D6)),2,IF(AND(GA$2&gt;=$D6,GA$2&lt;=$E6),1,"")))</f>
        <v/>
      </c>
      <c r="GB6" s="38">
        <f>IF(OR(GB$2="",$D6=""),"",IF(AND(ISNUMBER($F6),GB$2&gt;=$F6,GB$2&lt;=IF(ISNUMBER($G6),$G6,$F6+$E6-$D6)),2,IF(AND(GB$2&gt;=$D6,GB$2&lt;=$E6),1,"")))</f>
        <v/>
      </c>
      <c r="GC6" s="38">
        <f>IF(OR(GC$2="",$D6=""),"",IF(AND(ISNUMBER($F6),GC$2&gt;=$F6,GC$2&lt;=IF(ISNUMBER($G6),$G6,$F6+$E6-$D6)),2,IF(AND(GC$2&gt;=$D6,GC$2&lt;=$E6),1,"")))</f>
        <v/>
      </c>
      <c r="GD6" s="38">
        <f>IF(OR(GD$2="",$D6=""),"",IF(AND(ISNUMBER($F6),GD$2&gt;=$F6,GD$2&lt;=IF(ISNUMBER($G6),$G6,$F6+$E6-$D6)),2,IF(AND(GD$2&gt;=$D6,GD$2&lt;=$E6),1,"")))</f>
        <v/>
      </c>
      <c r="GE6" s="38">
        <f>IF(OR(GE$2="",$D6=""),"",IF(AND(ISNUMBER($F6),GE$2&gt;=$F6,GE$2&lt;=IF(ISNUMBER($G6),$G6,$F6+$E6-$D6)),2,IF(AND(GE$2&gt;=$D6,GE$2&lt;=$E6),1,"")))</f>
        <v/>
      </c>
    </row>
    <row r="7">
      <c r="A7" s="36" t="inlineStr">
        <is>
          <t>Plowing</t>
        </is>
      </c>
      <c r="B7" s="12" t="inlineStr">
        <is>
          <t>চাষ</t>
        </is>
      </c>
      <c r="C7" s="12" t="inlineStr">
        <is>
          <t>3F4D+MD</t>
        </is>
      </c>
      <c r="D7" s="37" t="n"/>
      <c r="E7" s="7">
        <f>IF(D7="","",D7)</f>
        <v/>
      </c>
      <c r="F7" s="37" t="n"/>
      <c r="G7" s="7" t="n"/>
      <c r="H7" s="6">
        <f>IF(D7="","no plan",IF(F7&lt;&gt;"",IF(F7-D7&gt;=2,"LATE","OK"),IF(TODAY()&gt;D7+2,"OVERDUE","upcoming")))</f>
        <v/>
      </c>
      <c r="I7" s="6">
        <f>IF(AND(D7&lt;&gt;"",F7&lt;&gt;""),F7-D7,"")</f>
        <v/>
      </c>
      <c r="J7" s="7">
        <f>IF(F7&lt;&gt;"",F7,D7)</f>
        <v/>
      </c>
      <c r="K7" s="7">
        <f>IF(G7&lt;&gt;"",G7,IF(AND(F7&lt;&gt;"",E7=D7),F7,E7))</f>
        <v/>
      </c>
      <c r="L7" s="6">
        <f>IF(AND(D7&lt;&gt;"",F7="",D7&gt;=TODAY()),D7+ROW()/1000,"")</f>
        <v/>
      </c>
      <c r="M7" s="38">
        <f>IF(OR(M$2="",$D7=""),"",IF(AND(ISNUMBER($F7),M$2&gt;=$F7,M$2&lt;=IF(ISNUMBER($G7),$G7,$F7+$E7-$D7)),2,IF(AND(M$2&gt;=$D7,M$2&lt;=$E7),1,"")))</f>
        <v/>
      </c>
      <c r="N7" s="38">
        <f>IF(OR(N$2="",$D7=""),"",IF(AND(ISNUMBER($F7),N$2&gt;=$F7,N$2&lt;=IF(ISNUMBER($G7),$G7,$F7+$E7-$D7)),2,IF(AND(N$2&gt;=$D7,N$2&lt;=$E7),1,"")))</f>
        <v/>
      </c>
      <c r="O7" s="38">
        <f>IF(OR(O$2="",$D7=""),"",IF(AND(ISNUMBER($F7),O$2&gt;=$F7,O$2&lt;=IF(ISNUMBER($G7),$G7,$F7+$E7-$D7)),2,IF(AND(O$2&gt;=$D7,O$2&lt;=$E7),1,"")))</f>
        <v/>
      </c>
      <c r="P7" s="38">
        <f>IF(OR(P$2="",$D7=""),"",IF(AND(ISNUMBER($F7),P$2&gt;=$F7,P$2&lt;=IF(ISNUMBER($G7),$G7,$F7+$E7-$D7)),2,IF(AND(P$2&gt;=$D7,P$2&lt;=$E7),1,"")))</f>
        <v/>
      </c>
      <c r="Q7" s="38">
        <f>IF(OR(Q$2="",$D7=""),"",IF(AND(ISNUMBER($F7),Q$2&gt;=$F7,Q$2&lt;=IF(ISNUMBER($G7),$G7,$F7+$E7-$D7)),2,IF(AND(Q$2&gt;=$D7,Q$2&lt;=$E7),1,"")))</f>
        <v/>
      </c>
      <c r="R7" s="38">
        <f>IF(OR(R$2="",$D7=""),"",IF(AND(ISNUMBER($F7),R$2&gt;=$F7,R$2&lt;=IF(ISNUMBER($G7),$G7,$F7+$E7-$D7)),2,IF(AND(R$2&gt;=$D7,R$2&lt;=$E7),1,"")))</f>
        <v/>
      </c>
      <c r="S7" s="38">
        <f>IF(OR(S$2="",$D7=""),"",IF(AND(ISNUMBER($F7),S$2&gt;=$F7,S$2&lt;=IF(ISNUMBER($G7),$G7,$F7+$E7-$D7)),2,IF(AND(S$2&gt;=$D7,S$2&lt;=$E7),1,"")))</f>
        <v/>
      </c>
      <c r="T7" s="38">
        <f>IF(OR(T$2="",$D7=""),"",IF(AND(ISNUMBER($F7),T$2&gt;=$F7,T$2&lt;=IF(ISNUMBER($G7),$G7,$F7+$E7-$D7)),2,IF(AND(T$2&gt;=$D7,T$2&lt;=$E7),1,"")))</f>
        <v/>
      </c>
      <c r="U7" s="38">
        <f>IF(OR(U$2="",$D7=""),"",IF(AND(ISNUMBER($F7),U$2&gt;=$F7,U$2&lt;=IF(ISNUMBER($G7),$G7,$F7+$E7-$D7)),2,IF(AND(U$2&gt;=$D7,U$2&lt;=$E7),1,"")))</f>
        <v/>
      </c>
      <c r="V7" s="38">
        <f>IF(OR(V$2="",$D7=""),"",IF(AND(ISNUMBER($F7),V$2&gt;=$F7,V$2&lt;=IF(ISNUMBER($G7),$G7,$F7+$E7-$D7)),2,IF(AND(V$2&gt;=$D7,V$2&lt;=$E7),1,"")))</f>
        <v/>
      </c>
      <c r="W7" s="38">
        <f>IF(OR(W$2="",$D7=""),"",IF(AND(ISNUMBER($F7),W$2&gt;=$F7,W$2&lt;=IF(ISNUMBER($G7),$G7,$F7+$E7-$D7)),2,IF(AND(W$2&gt;=$D7,W$2&lt;=$E7),1,"")))</f>
        <v/>
      </c>
      <c r="X7" s="38">
        <f>IF(OR(X$2="",$D7=""),"",IF(AND(ISNUMBER($F7),X$2&gt;=$F7,X$2&lt;=IF(ISNUMBER($G7),$G7,$F7+$E7-$D7)),2,IF(AND(X$2&gt;=$D7,X$2&lt;=$E7),1,"")))</f>
        <v/>
      </c>
      <c r="Y7" s="38">
        <f>IF(OR(Y$2="",$D7=""),"",IF(AND(ISNUMBER($F7),Y$2&gt;=$F7,Y$2&lt;=IF(ISNUMBER($G7),$G7,$F7+$E7-$D7)),2,IF(AND(Y$2&gt;=$D7,Y$2&lt;=$E7),1,"")))</f>
        <v/>
      </c>
      <c r="Z7" s="38">
        <f>IF(OR(Z$2="",$D7=""),"",IF(AND(ISNUMBER($F7),Z$2&gt;=$F7,Z$2&lt;=IF(ISNUMBER($G7),$G7,$F7+$E7-$D7)),2,IF(AND(Z$2&gt;=$D7,Z$2&lt;=$E7),1,"")))</f>
        <v/>
      </c>
      <c r="AA7" s="38">
        <f>IF(OR(AA$2="",$D7=""),"",IF(AND(ISNUMBER($F7),AA$2&gt;=$F7,AA$2&lt;=IF(ISNUMBER($G7),$G7,$F7+$E7-$D7)),2,IF(AND(AA$2&gt;=$D7,AA$2&lt;=$E7),1,"")))</f>
        <v/>
      </c>
      <c r="AB7" s="38">
        <f>IF(OR(AB$2="",$D7=""),"",IF(AND(ISNUMBER($F7),AB$2&gt;=$F7,AB$2&lt;=IF(ISNUMBER($G7),$G7,$F7+$E7-$D7)),2,IF(AND(AB$2&gt;=$D7,AB$2&lt;=$E7),1,"")))</f>
        <v/>
      </c>
      <c r="AC7" s="38">
        <f>IF(OR(AC$2="",$D7=""),"",IF(AND(ISNUMBER($F7),AC$2&gt;=$F7,AC$2&lt;=IF(ISNUMBER($G7),$G7,$F7+$E7-$D7)),2,IF(AND(AC$2&gt;=$D7,AC$2&lt;=$E7),1,"")))</f>
        <v/>
      </c>
      <c r="AD7" s="38">
        <f>IF(OR(AD$2="",$D7=""),"",IF(AND(ISNUMBER($F7),AD$2&gt;=$F7,AD$2&lt;=IF(ISNUMBER($G7),$G7,$F7+$E7-$D7)),2,IF(AND(AD$2&gt;=$D7,AD$2&lt;=$E7),1,"")))</f>
        <v/>
      </c>
      <c r="AE7" s="38">
        <f>IF(OR(AE$2="",$D7=""),"",IF(AND(ISNUMBER($F7),AE$2&gt;=$F7,AE$2&lt;=IF(ISNUMBER($G7),$G7,$F7+$E7-$D7)),2,IF(AND(AE$2&gt;=$D7,AE$2&lt;=$E7),1,"")))</f>
        <v/>
      </c>
      <c r="AF7" s="38">
        <f>IF(OR(AF$2="",$D7=""),"",IF(AND(ISNUMBER($F7),AF$2&gt;=$F7,AF$2&lt;=IF(ISNUMBER($G7),$G7,$F7+$E7-$D7)),2,IF(AND(AF$2&gt;=$D7,AF$2&lt;=$E7),1,"")))</f>
        <v/>
      </c>
      <c r="AG7" s="38">
        <f>IF(OR(AG$2="",$D7=""),"",IF(AND(ISNUMBER($F7),AG$2&gt;=$F7,AG$2&lt;=IF(ISNUMBER($G7),$G7,$F7+$E7-$D7)),2,IF(AND(AG$2&gt;=$D7,AG$2&lt;=$E7),1,"")))</f>
        <v/>
      </c>
      <c r="AH7" s="38">
        <f>IF(OR(AH$2="",$D7=""),"",IF(AND(ISNUMBER($F7),AH$2&gt;=$F7,AH$2&lt;=IF(ISNUMBER($G7),$G7,$F7+$E7-$D7)),2,IF(AND(AH$2&gt;=$D7,AH$2&lt;=$E7),1,"")))</f>
        <v/>
      </c>
      <c r="AI7" s="38">
        <f>IF(OR(AI$2="",$D7=""),"",IF(AND(ISNUMBER($F7),AI$2&gt;=$F7,AI$2&lt;=IF(ISNUMBER($G7),$G7,$F7+$E7-$D7)),2,IF(AND(AI$2&gt;=$D7,AI$2&lt;=$E7),1,"")))</f>
        <v/>
      </c>
      <c r="AJ7" s="38">
        <f>IF(OR(AJ$2="",$D7=""),"",IF(AND(ISNUMBER($F7),AJ$2&gt;=$F7,AJ$2&lt;=IF(ISNUMBER($G7),$G7,$F7+$E7-$D7)),2,IF(AND(AJ$2&gt;=$D7,AJ$2&lt;=$E7),1,"")))</f>
        <v/>
      </c>
      <c r="AK7" s="38">
        <f>IF(OR(AK$2="",$D7=""),"",IF(AND(ISNUMBER($F7),AK$2&gt;=$F7,AK$2&lt;=IF(ISNUMBER($G7),$G7,$F7+$E7-$D7)),2,IF(AND(AK$2&gt;=$D7,AK$2&lt;=$E7),1,"")))</f>
        <v/>
      </c>
      <c r="AL7" s="38">
        <f>IF(OR(AL$2="",$D7=""),"",IF(AND(ISNUMBER($F7),AL$2&gt;=$F7,AL$2&lt;=IF(ISNUMBER($G7),$G7,$F7+$E7-$D7)),2,IF(AND(AL$2&gt;=$D7,AL$2&lt;=$E7),1,"")))</f>
        <v/>
      </c>
      <c r="AM7" s="38">
        <f>IF(OR(AM$2="",$D7=""),"",IF(AND(ISNUMBER($F7),AM$2&gt;=$F7,AM$2&lt;=IF(ISNUMBER($G7),$G7,$F7+$E7-$D7)),2,IF(AND(AM$2&gt;=$D7,AM$2&lt;=$E7),1,"")))</f>
        <v/>
      </c>
      <c r="AN7" s="38">
        <f>IF(OR(AN$2="",$D7=""),"",IF(AND(ISNUMBER($F7),AN$2&gt;=$F7,AN$2&lt;=IF(ISNUMBER($G7),$G7,$F7+$E7-$D7)),2,IF(AND(AN$2&gt;=$D7,AN$2&lt;=$E7),1,"")))</f>
        <v/>
      </c>
      <c r="AO7" s="38">
        <f>IF(OR(AO$2="",$D7=""),"",IF(AND(ISNUMBER($F7),AO$2&gt;=$F7,AO$2&lt;=IF(ISNUMBER($G7),$G7,$F7+$E7-$D7)),2,IF(AND(AO$2&gt;=$D7,AO$2&lt;=$E7),1,"")))</f>
        <v/>
      </c>
      <c r="AP7" s="38">
        <f>IF(OR(AP$2="",$D7=""),"",IF(AND(ISNUMBER($F7),AP$2&gt;=$F7,AP$2&lt;=IF(ISNUMBER($G7),$G7,$F7+$E7-$D7)),2,IF(AND(AP$2&gt;=$D7,AP$2&lt;=$E7),1,"")))</f>
        <v/>
      </c>
      <c r="AQ7" s="38">
        <f>IF(OR(AQ$2="",$D7=""),"",IF(AND(ISNUMBER($F7),AQ$2&gt;=$F7,AQ$2&lt;=IF(ISNUMBER($G7),$G7,$F7+$E7-$D7)),2,IF(AND(AQ$2&gt;=$D7,AQ$2&lt;=$E7),1,"")))</f>
        <v/>
      </c>
      <c r="AR7" s="38">
        <f>IF(OR(AR$2="",$D7=""),"",IF(AND(ISNUMBER($F7),AR$2&gt;=$F7,AR$2&lt;=IF(ISNUMBER($G7),$G7,$F7+$E7-$D7)),2,IF(AND(AR$2&gt;=$D7,AR$2&lt;=$E7),1,"")))</f>
        <v/>
      </c>
      <c r="AS7" s="38">
        <f>IF(OR(AS$2="",$D7=""),"",IF(AND(ISNUMBER($F7),AS$2&gt;=$F7,AS$2&lt;=IF(ISNUMBER($G7),$G7,$F7+$E7-$D7)),2,IF(AND(AS$2&gt;=$D7,AS$2&lt;=$E7),1,"")))</f>
        <v/>
      </c>
      <c r="AT7" s="38">
        <f>IF(OR(AT$2="",$D7=""),"",IF(AND(ISNUMBER($F7),AT$2&gt;=$F7,AT$2&lt;=IF(ISNUMBER($G7),$G7,$F7+$E7-$D7)),2,IF(AND(AT$2&gt;=$D7,AT$2&lt;=$E7),1,"")))</f>
        <v/>
      </c>
      <c r="AU7" s="38">
        <f>IF(OR(AU$2="",$D7=""),"",IF(AND(ISNUMBER($F7),AU$2&gt;=$F7,AU$2&lt;=IF(ISNUMBER($G7),$G7,$F7+$E7-$D7)),2,IF(AND(AU$2&gt;=$D7,AU$2&lt;=$E7),1,"")))</f>
        <v/>
      </c>
      <c r="AV7" s="38">
        <f>IF(OR(AV$2="",$D7=""),"",IF(AND(ISNUMBER($F7),AV$2&gt;=$F7,AV$2&lt;=IF(ISNUMBER($G7),$G7,$F7+$E7-$D7)),2,IF(AND(AV$2&gt;=$D7,AV$2&lt;=$E7),1,"")))</f>
        <v/>
      </c>
      <c r="AW7" s="38">
        <f>IF(OR(AW$2="",$D7=""),"",IF(AND(ISNUMBER($F7),AW$2&gt;=$F7,AW$2&lt;=IF(ISNUMBER($G7),$G7,$F7+$E7-$D7)),2,IF(AND(AW$2&gt;=$D7,AW$2&lt;=$E7),1,"")))</f>
        <v/>
      </c>
      <c r="AX7" s="38">
        <f>IF(OR(AX$2="",$D7=""),"",IF(AND(ISNUMBER($F7),AX$2&gt;=$F7,AX$2&lt;=IF(ISNUMBER($G7),$G7,$F7+$E7-$D7)),2,IF(AND(AX$2&gt;=$D7,AX$2&lt;=$E7),1,"")))</f>
        <v/>
      </c>
      <c r="AY7" s="38">
        <f>IF(OR(AY$2="",$D7=""),"",IF(AND(ISNUMBER($F7),AY$2&gt;=$F7,AY$2&lt;=IF(ISNUMBER($G7),$G7,$F7+$E7-$D7)),2,IF(AND(AY$2&gt;=$D7,AY$2&lt;=$E7),1,"")))</f>
        <v/>
      </c>
      <c r="AZ7" s="38">
        <f>IF(OR(AZ$2="",$D7=""),"",IF(AND(ISNUMBER($F7),AZ$2&gt;=$F7,AZ$2&lt;=IF(ISNUMBER($G7),$G7,$F7+$E7-$D7)),2,IF(AND(AZ$2&gt;=$D7,AZ$2&lt;=$E7),1,"")))</f>
        <v/>
      </c>
      <c r="BA7" s="38">
        <f>IF(OR(BA$2="",$D7=""),"",IF(AND(ISNUMBER($F7),BA$2&gt;=$F7,BA$2&lt;=IF(ISNUMBER($G7),$G7,$F7+$E7-$D7)),2,IF(AND(BA$2&gt;=$D7,BA$2&lt;=$E7),1,"")))</f>
        <v/>
      </c>
      <c r="BB7" s="38">
        <f>IF(OR(BB$2="",$D7=""),"",IF(AND(ISNUMBER($F7),BB$2&gt;=$F7,BB$2&lt;=IF(ISNUMBER($G7),$G7,$F7+$E7-$D7)),2,IF(AND(BB$2&gt;=$D7,BB$2&lt;=$E7),1,"")))</f>
        <v/>
      </c>
      <c r="BC7" s="38">
        <f>IF(OR(BC$2="",$D7=""),"",IF(AND(ISNUMBER($F7),BC$2&gt;=$F7,BC$2&lt;=IF(ISNUMBER($G7),$G7,$F7+$E7-$D7)),2,IF(AND(BC$2&gt;=$D7,BC$2&lt;=$E7),1,"")))</f>
        <v/>
      </c>
      <c r="BD7" s="38">
        <f>IF(OR(BD$2="",$D7=""),"",IF(AND(ISNUMBER($F7),BD$2&gt;=$F7,BD$2&lt;=IF(ISNUMBER($G7),$G7,$F7+$E7-$D7)),2,IF(AND(BD$2&gt;=$D7,BD$2&lt;=$E7),1,"")))</f>
        <v/>
      </c>
      <c r="BE7" s="38">
        <f>IF(OR(BE$2="",$D7=""),"",IF(AND(ISNUMBER($F7),BE$2&gt;=$F7,BE$2&lt;=IF(ISNUMBER($G7),$G7,$F7+$E7-$D7)),2,IF(AND(BE$2&gt;=$D7,BE$2&lt;=$E7),1,"")))</f>
        <v/>
      </c>
      <c r="BF7" s="38">
        <f>IF(OR(BF$2="",$D7=""),"",IF(AND(ISNUMBER($F7),BF$2&gt;=$F7,BF$2&lt;=IF(ISNUMBER($G7),$G7,$F7+$E7-$D7)),2,IF(AND(BF$2&gt;=$D7,BF$2&lt;=$E7),1,"")))</f>
        <v/>
      </c>
      <c r="BG7" s="38">
        <f>IF(OR(BG$2="",$D7=""),"",IF(AND(ISNUMBER($F7),BG$2&gt;=$F7,BG$2&lt;=IF(ISNUMBER($G7),$G7,$F7+$E7-$D7)),2,IF(AND(BG$2&gt;=$D7,BG$2&lt;=$E7),1,"")))</f>
        <v/>
      </c>
      <c r="BH7" s="38">
        <f>IF(OR(BH$2="",$D7=""),"",IF(AND(ISNUMBER($F7),BH$2&gt;=$F7,BH$2&lt;=IF(ISNUMBER($G7),$G7,$F7+$E7-$D7)),2,IF(AND(BH$2&gt;=$D7,BH$2&lt;=$E7),1,"")))</f>
        <v/>
      </c>
      <c r="BI7" s="38">
        <f>IF(OR(BI$2="",$D7=""),"",IF(AND(ISNUMBER($F7),BI$2&gt;=$F7,BI$2&lt;=IF(ISNUMBER($G7),$G7,$F7+$E7-$D7)),2,IF(AND(BI$2&gt;=$D7,BI$2&lt;=$E7),1,"")))</f>
        <v/>
      </c>
      <c r="BJ7" s="38">
        <f>IF(OR(BJ$2="",$D7=""),"",IF(AND(ISNUMBER($F7),BJ$2&gt;=$F7,BJ$2&lt;=IF(ISNUMBER($G7),$G7,$F7+$E7-$D7)),2,IF(AND(BJ$2&gt;=$D7,BJ$2&lt;=$E7),1,"")))</f>
        <v/>
      </c>
      <c r="BK7" s="38">
        <f>IF(OR(BK$2="",$D7=""),"",IF(AND(ISNUMBER($F7),BK$2&gt;=$F7,BK$2&lt;=IF(ISNUMBER($G7),$G7,$F7+$E7-$D7)),2,IF(AND(BK$2&gt;=$D7,BK$2&lt;=$E7),1,"")))</f>
        <v/>
      </c>
      <c r="BL7" s="38">
        <f>IF(OR(BL$2="",$D7=""),"",IF(AND(ISNUMBER($F7),BL$2&gt;=$F7,BL$2&lt;=IF(ISNUMBER($G7),$G7,$F7+$E7-$D7)),2,IF(AND(BL$2&gt;=$D7,BL$2&lt;=$E7),1,"")))</f>
        <v/>
      </c>
      <c r="BM7" s="38">
        <f>IF(OR(BM$2="",$D7=""),"",IF(AND(ISNUMBER($F7),BM$2&gt;=$F7,BM$2&lt;=IF(ISNUMBER($G7),$G7,$F7+$E7-$D7)),2,IF(AND(BM$2&gt;=$D7,BM$2&lt;=$E7),1,"")))</f>
        <v/>
      </c>
      <c r="BN7" s="38">
        <f>IF(OR(BN$2="",$D7=""),"",IF(AND(ISNUMBER($F7),BN$2&gt;=$F7,BN$2&lt;=IF(ISNUMBER($G7),$G7,$F7+$E7-$D7)),2,IF(AND(BN$2&gt;=$D7,BN$2&lt;=$E7),1,"")))</f>
        <v/>
      </c>
      <c r="BO7" s="38">
        <f>IF(OR(BO$2="",$D7=""),"",IF(AND(ISNUMBER($F7),BO$2&gt;=$F7,BO$2&lt;=IF(ISNUMBER($G7),$G7,$F7+$E7-$D7)),2,IF(AND(BO$2&gt;=$D7,BO$2&lt;=$E7),1,"")))</f>
        <v/>
      </c>
      <c r="BP7" s="38">
        <f>IF(OR(BP$2="",$D7=""),"",IF(AND(ISNUMBER($F7),BP$2&gt;=$F7,BP$2&lt;=IF(ISNUMBER($G7),$G7,$F7+$E7-$D7)),2,IF(AND(BP$2&gt;=$D7,BP$2&lt;=$E7),1,"")))</f>
        <v/>
      </c>
      <c r="BQ7" s="38">
        <f>IF(OR(BQ$2="",$D7=""),"",IF(AND(ISNUMBER($F7),BQ$2&gt;=$F7,BQ$2&lt;=IF(ISNUMBER($G7),$G7,$F7+$E7-$D7)),2,IF(AND(BQ$2&gt;=$D7,BQ$2&lt;=$E7),1,"")))</f>
        <v/>
      </c>
      <c r="BR7" s="38">
        <f>IF(OR(BR$2="",$D7=""),"",IF(AND(ISNUMBER($F7),BR$2&gt;=$F7,BR$2&lt;=IF(ISNUMBER($G7),$G7,$F7+$E7-$D7)),2,IF(AND(BR$2&gt;=$D7,BR$2&lt;=$E7),1,"")))</f>
        <v/>
      </c>
      <c r="BS7" s="38">
        <f>IF(OR(BS$2="",$D7=""),"",IF(AND(ISNUMBER($F7),BS$2&gt;=$F7,BS$2&lt;=IF(ISNUMBER($G7),$G7,$F7+$E7-$D7)),2,IF(AND(BS$2&gt;=$D7,BS$2&lt;=$E7),1,"")))</f>
        <v/>
      </c>
      <c r="BT7" s="38">
        <f>IF(OR(BT$2="",$D7=""),"",IF(AND(ISNUMBER($F7),BT$2&gt;=$F7,BT$2&lt;=IF(ISNUMBER($G7),$G7,$F7+$E7-$D7)),2,IF(AND(BT$2&gt;=$D7,BT$2&lt;=$E7),1,"")))</f>
        <v/>
      </c>
      <c r="BU7" s="38">
        <f>IF(OR(BU$2="",$D7=""),"",IF(AND(ISNUMBER($F7),BU$2&gt;=$F7,BU$2&lt;=IF(ISNUMBER($G7),$G7,$F7+$E7-$D7)),2,IF(AND(BU$2&gt;=$D7,BU$2&lt;=$E7),1,"")))</f>
        <v/>
      </c>
      <c r="BV7" s="38">
        <f>IF(OR(BV$2="",$D7=""),"",IF(AND(ISNUMBER($F7),BV$2&gt;=$F7,BV$2&lt;=IF(ISNUMBER($G7),$G7,$F7+$E7-$D7)),2,IF(AND(BV$2&gt;=$D7,BV$2&lt;=$E7),1,"")))</f>
        <v/>
      </c>
      <c r="BW7" s="38">
        <f>IF(OR(BW$2="",$D7=""),"",IF(AND(ISNUMBER($F7),BW$2&gt;=$F7,BW$2&lt;=IF(ISNUMBER($G7),$G7,$F7+$E7-$D7)),2,IF(AND(BW$2&gt;=$D7,BW$2&lt;=$E7),1,"")))</f>
        <v/>
      </c>
      <c r="BX7" s="38">
        <f>IF(OR(BX$2="",$D7=""),"",IF(AND(ISNUMBER($F7),BX$2&gt;=$F7,BX$2&lt;=IF(ISNUMBER($G7),$G7,$F7+$E7-$D7)),2,IF(AND(BX$2&gt;=$D7,BX$2&lt;=$E7),1,"")))</f>
        <v/>
      </c>
      <c r="BY7" s="38">
        <f>IF(OR(BY$2="",$D7=""),"",IF(AND(ISNUMBER($F7),BY$2&gt;=$F7,BY$2&lt;=IF(ISNUMBER($G7),$G7,$F7+$E7-$D7)),2,IF(AND(BY$2&gt;=$D7,BY$2&lt;=$E7),1,"")))</f>
        <v/>
      </c>
      <c r="BZ7" s="38">
        <f>IF(OR(BZ$2="",$D7=""),"",IF(AND(ISNUMBER($F7),BZ$2&gt;=$F7,BZ$2&lt;=IF(ISNUMBER($G7),$G7,$F7+$E7-$D7)),2,IF(AND(BZ$2&gt;=$D7,BZ$2&lt;=$E7),1,"")))</f>
        <v/>
      </c>
      <c r="CA7" s="38">
        <f>IF(OR(CA$2="",$D7=""),"",IF(AND(ISNUMBER($F7),CA$2&gt;=$F7,CA$2&lt;=IF(ISNUMBER($G7),$G7,$F7+$E7-$D7)),2,IF(AND(CA$2&gt;=$D7,CA$2&lt;=$E7),1,"")))</f>
        <v/>
      </c>
      <c r="CB7" s="38">
        <f>IF(OR(CB$2="",$D7=""),"",IF(AND(ISNUMBER($F7),CB$2&gt;=$F7,CB$2&lt;=IF(ISNUMBER($G7),$G7,$F7+$E7-$D7)),2,IF(AND(CB$2&gt;=$D7,CB$2&lt;=$E7),1,"")))</f>
        <v/>
      </c>
      <c r="CC7" s="38">
        <f>IF(OR(CC$2="",$D7=""),"",IF(AND(ISNUMBER($F7),CC$2&gt;=$F7,CC$2&lt;=IF(ISNUMBER($G7),$G7,$F7+$E7-$D7)),2,IF(AND(CC$2&gt;=$D7,CC$2&lt;=$E7),1,"")))</f>
        <v/>
      </c>
      <c r="CD7" s="38">
        <f>IF(OR(CD$2="",$D7=""),"",IF(AND(ISNUMBER($F7),CD$2&gt;=$F7,CD$2&lt;=IF(ISNUMBER($G7),$G7,$F7+$E7-$D7)),2,IF(AND(CD$2&gt;=$D7,CD$2&lt;=$E7),1,"")))</f>
        <v/>
      </c>
      <c r="CE7" s="38">
        <f>IF(OR(CE$2="",$D7=""),"",IF(AND(ISNUMBER($F7),CE$2&gt;=$F7,CE$2&lt;=IF(ISNUMBER($G7),$G7,$F7+$E7-$D7)),2,IF(AND(CE$2&gt;=$D7,CE$2&lt;=$E7),1,"")))</f>
        <v/>
      </c>
      <c r="CF7" s="38">
        <f>IF(OR(CF$2="",$D7=""),"",IF(AND(ISNUMBER($F7),CF$2&gt;=$F7,CF$2&lt;=IF(ISNUMBER($G7),$G7,$F7+$E7-$D7)),2,IF(AND(CF$2&gt;=$D7,CF$2&lt;=$E7),1,"")))</f>
        <v/>
      </c>
      <c r="CG7" s="38">
        <f>IF(OR(CG$2="",$D7=""),"",IF(AND(ISNUMBER($F7),CG$2&gt;=$F7,CG$2&lt;=IF(ISNUMBER($G7),$G7,$F7+$E7-$D7)),2,IF(AND(CG$2&gt;=$D7,CG$2&lt;=$E7),1,"")))</f>
        <v/>
      </c>
      <c r="CH7" s="38">
        <f>IF(OR(CH$2="",$D7=""),"",IF(AND(ISNUMBER($F7),CH$2&gt;=$F7,CH$2&lt;=IF(ISNUMBER($G7),$G7,$F7+$E7-$D7)),2,IF(AND(CH$2&gt;=$D7,CH$2&lt;=$E7),1,"")))</f>
        <v/>
      </c>
      <c r="CI7" s="38">
        <f>IF(OR(CI$2="",$D7=""),"",IF(AND(ISNUMBER($F7),CI$2&gt;=$F7,CI$2&lt;=IF(ISNUMBER($G7),$G7,$F7+$E7-$D7)),2,IF(AND(CI$2&gt;=$D7,CI$2&lt;=$E7),1,"")))</f>
        <v/>
      </c>
      <c r="CJ7" s="38">
        <f>IF(OR(CJ$2="",$D7=""),"",IF(AND(ISNUMBER($F7),CJ$2&gt;=$F7,CJ$2&lt;=IF(ISNUMBER($G7),$G7,$F7+$E7-$D7)),2,IF(AND(CJ$2&gt;=$D7,CJ$2&lt;=$E7),1,"")))</f>
        <v/>
      </c>
      <c r="CK7" s="38">
        <f>IF(OR(CK$2="",$D7=""),"",IF(AND(ISNUMBER($F7),CK$2&gt;=$F7,CK$2&lt;=IF(ISNUMBER($G7),$G7,$F7+$E7-$D7)),2,IF(AND(CK$2&gt;=$D7,CK$2&lt;=$E7),1,"")))</f>
        <v/>
      </c>
      <c r="CL7" s="38">
        <f>IF(OR(CL$2="",$D7=""),"",IF(AND(ISNUMBER($F7),CL$2&gt;=$F7,CL$2&lt;=IF(ISNUMBER($G7),$G7,$F7+$E7-$D7)),2,IF(AND(CL$2&gt;=$D7,CL$2&lt;=$E7),1,"")))</f>
        <v/>
      </c>
      <c r="CM7" s="38">
        <f>IF(OR(CM$2="",$D7=""),"",IF(AND(ISNUMBER($F7),CM$2&gt;=$F7,CM$2&lt;=IF(ISNUMBER($G7),$G7,$F7+$E7-$D7)),2,IF(AND(CM$2&gt;=$D7,CM$2&lt;=$E7),1,"")))</f>
        <v/>
      </c>
      <c r="CN7" s="38">
        <f>IF(OR(CN$2="",$D7=""),"",IF(AND(ISNUMBER($F7),CN$2&gt;=$F7,CN$2&lt;=IF(ISNUMBER($G7),$G7,$F7+$E7-$D7)),2,IF(AND(CN$2&gt;=$D7,CN$2&lt;=$E7),1,"")))</f>
        <v/>
      </c>
      <c r="CO7" s="38">
        <f>IF(OR(CO$2="",$D7=""),"",IF(AND(ISNUMBER($F7),CO$2&gt;=$F7,CO$2&lt;=IF(ISNUMBER($G7),$G7,$F7+$E7-$D7)),2,IF(AND(CO$2&gt;=$D7,CO$2&lt;=$E7),1,"")))</f>
        <v/>
      </c>
      <c r="CP7" s="38">
        <f>IF(OR(CP$2="",$D7=""),"",IF(AND(ISNUMBER($F7),CP$2&gt;=$F7,CP$2&lt;=IF(ISNUMBER($G7),$G7,$F7+$E7-$D7)),2,IF(AND(CP$2&gt;=$D7,CP$2&lt;=$E7),1,"")))</f>
        <v/>
      </c>
      <c r="CQ7" s="38">
        <f>IF(OR(CQ$2="",$D7=""),"",IF(AND(ISNUMBER($F7),CQ$2&gt;=$F7,CQ$2&lt;=IF(ISNUMBER($G7),$G7,$F7+$E7-$D7)),2,IF(AND(CQ$2&gt;=$D7,CQ$2&lt;=$E7),1,"")))</f>
        <v/>
      </c>
      <c r="CR7" s="38">
        <f>IF(OR(CR$2="",$D7=""),"",IF(AND(ISNUMBER($F7),CR$2&gt;=$F7,CR$2&lt;=IF(ISNUMBER($G7),$G7,$F7+$E7-$D7)),2,IF(AND(CR$2&gt;=$D7,CR$2&lt;=$E7),1,"")))</f>
        <v/>
      </c>
      <c r="CS7" s="38">
        <f>IF(OR(CS$2="",$D7=""),"",IF(AND(ISNUMBER($F7),CS$2&gt;=$F7,CS$2&lt;=IF(ISNUMBER($G7),$G7,$F7+$E7-$D7)),2,IF(AND(CS$2&gt;=$D7,CS$2&lt;=$E7),1,"")))</f>
        <v/>
      </c>
      <c r="CT7" s="38">
        <f>IF(OR(CT$2="",$D7=""),"",IF(AND(ISNUMBER($F7),CT$2&gt;=$F7,CT$2&lt;=IF(ISNUMBER($G7),$G7,$F7+$E7-$D7)),2,IF(AND(CT$2&gt;=$D7,CT$2&lt;=$E7),1,"")))</f>
        <v/>
      </c>
      <c r="CU7" s="38">
        <f>IF(OR(CU$2="",$D7=""),"",IF(AND(ISNUMBER($F7),CU$2&gt;=$F7,CU$2&lt;=IF(ISNUMBER($G7),$G7,$F7+$E7-$D7)),2,IF(AND(CU$2&gt;=$D7,CU$2&lt;=$E7),1,"")))</f>
        <v/>
      </c>
      <c r="CV7" s="38">
        <f>IF(OR(CV$2="",$D7=""),"",IF(AND(ISNUMBER($F7),CV$2&gt;=$F7,CV$2&lt;=IF(ISNUMBER($G7),$G7,$F7+$E7-$D7)),2,IF(AND(CV$2&gt;=$D7,CV$2&lt;=$E7),1,"")))</f>
        <v/>
      </c>
      <c r="CW7" s="38">
        <f>IF(OR(CW$2="",$D7=""),"",IF(AND(ISNUMBER($F7),CW$2&gt;=$F7,CW$2&lt;=IF(ISNUMBER($G7),$G7,$F7+$E7-$D7)),2,IF(AND(CW$2&gt;=$D7,CW$2&lt;=$E7),1,"")))</f>
        <v/>
      </c>
      <c r="CX7" s="38">
        <f>IF(OR(CX$2="",$D7=""),"",IF(AND(ISNUMBER($F7),CX$2&gt;=$F7,CX$2&lt;=IF(ISNUMBER($G7),$G7,$F7+$E7-$D7)),2,IF(AND(CX$2&gt;=$D7,CX$2&lt;=$E7),1,"")))</f>
        <v/>
      </c>
      <c r="CY7" s="38">
        <f>IF(OR(CY$2="",$D7=""),"",IF(AND(ISNUMBER($F7),CY$2&gt;=$F7,CY$2&lt;=IF(ISNUMBER($G7),$G7,$F7+$E7-$D7)),2,IF(AND(CY$2&gt;=$D7,CY$2&lt;=$E7),1,"")))</f>
        <v/>
      </c>
      <c r="CZ7" s="38">
        <f>IF(OR(CZ$2="",$D7=""),"",IF(AND(ISNUMBER($F7),CZ$2&gt;=$F7,CZ$2&lt;=IF(ISNUMBER($G7),$G7,$F7+$E7-$D7)),2,IF(AND(CZ$2&gt;=$D7,CZ$2&lt;=$E7),1,"")))</f>
        <v/>
      </c>
      <c r="DA7" s="38">
        <f>IF(OR(DA$2="",$D7=""),"",IF(AND(ISNUMBER($F7),DA$2&gt;=$F7,DA$2&lt;=IF(ISNUMBER($G7),$G7,$F7+$E7-$D7)),2,IF(AND(DA$2&gt;=$D7,DA$2&lt;=$E7),1,"")))</f>
        <v/>
      </c>
      <c r="DB7" s="38">
        <f>IF(OR(DB$2="",$D7=""),"",IF(AND(ISNUMBER($F7),DB$2&gt;=$F7,DB$2&lt;=IF(ISNUMBER($G7),$G7,$F7+$E7-$D7)),2,IF(AND(DB$2&gt;=$D7,DB$2&lt;=$E7),1,"")))</f>
        <v/>
      </c>
      <c r="DC7" s="38">
        <f>IF(OR(DC$2="",$D7=""),"",IF(AND(ISNUMBER($F7),DC$2&gt;=$F7,DC$2&lt;=IF(ISNUMBER($G7),$G7,$F7+$E7-$D7)),2,IF(AND(DC$2&gt;=$D7,DC$2&lt;=$E7),1,"")))</f>
        <v/>
      </c>
      <c r="DD7" s="38">
        <f>IF(OR(DD$2="",$D7=""),"",IF(AND(ISNUMBER($F7),DD$2&gt;=$F7,DD$2&lt;=IF(ISNUMBER($G7),$G7,$F7+$E7-$D7)),2,IF(AND(DD$2&gt;=$D7,DD$2&lt;=$E7),1,"")))</f>
        <v/>
      </c>
      <c r="DE7" s="38">
        <f>IF(OR(DE$2="",$D7=""),"",IF(AND(ISNUMBER($F7),DE$2&gt;=$F7,DE$2&lt;=IF(ISNUMBER($G7),$G7,$F7+$E7-$D7)),2,IF(AND(DE$2&gt;=$D7,DE$2&lt;=$E7),1,"")))</f>
        <v/>
      </c>
      <c r="DF7" s="38">
        <f>IF(OR(DF$2="",$D7=""),"",IF(AND(ISNUMBER($F7),DF$2&gt;=$F7,DF$2&lt;=IF(ISNUMBER($G7),$G7,$F7+$E7-$D7)),2,IF(AND(DF$2&gt;=$D7,DF$2&lt;=$E7),1,"")))</f>
        <v/>
      </c>
      <c r="DG7" s="38">
        <f>IF(OR(DG$2="",$D7=""),"",IF(AND(ISNUMBER($F7),DG$2&gt;=$F7,DG$2&lt;=IF(ISNUMBER($G7),$G7,$F7+$E7-$D7)),2,IF(AND(DG$2&gt;=$D7,DG$2&lt;=$E7),1,"")))</f>
        <v/>
      </c>
      <c r="DH7" s="38">
        <f>IF(OR(DH$2="",$D7=""),"",IF(AND(ISNUMBER($F7),DH$2&gt;=$F7,DH$2&lt;=IF(ISNUMBER($G7),$G7,$F7+$E7-$D7)),2,IF(AND(DH$2&gt;=$D7,DH$2&lt;=$E7),1,"")))</f>
        <v/>
      </c>
      <c r="DI7" s="38">
        <f>IF(OR(DI$2="",$D7=""),"",IF(AND(ISNUMBER($F7),DI$2&gt;=$F7,DI$2&lt;=IF(ISNUMBER($G7),$G7,$F7+$E7-$D7)),2,IF(AND(DI$2&gt;=$D7,DI$2&lt;=$E7),1,"")))</f>
        <v/>
      </c>
      <c r="DJ7" s="38">
        <f>IF(OR(DJ$2="",$D7=""),"",IF(AND(ISNUMBER($F7),DJ$2&gt;=$F7,DJ$2&lt;=IF(ISNUMBER($G7),$G7,$F7+$E7-$D7)),2,IF(AND(DJ$2&gt;=$D7,DJ$2&lt;=$E7),1,"")))</f>
        <v/>
      </c>
      <c r="DK7" s="38">
        <f>IF(OR(DK$2="",$D7=""),"",IF(AND(ISNUMBER($F7),DK$2&gt;=$F7,DK$2&lt;=IF(ISNUMBER($G7),$G7,$F7+$E7-$D7)),2,IF(AND(DK$2&gt;=$D7,DK$2&lt;=$E7),1,"")))</f>
        <v/>
      </c>
      <c r="DL7" s="38">
        <f>IF(OR(DL$2="",$D7=""),"",IF(AND(ISNUMBER($F7),DL$2&gt;=$F7,DL$2&lt;=IF(ISNUMBER($G7),$G7,$F7+$E7-$D7)),2,IF(AND(DL$2&gt;=$D7,DL$2&lt;=$E7),1,"")))</f>
        <v/>
      </c>
      <c r="DM7" s="38">
        <f>IF(OR(DM$2="",$D7=""),"",IF(AND(ISNUMBER($F7),DM$2&gt;=$F7,DM$2&lt;=IF(ISNUMBER($G7),$G7,$F7+$E7-$D7)),2,IF(AND(DM$2&gt;=$D7,DM$2&lt;=$E7),1,"")))</f>
        <v/>
      </c>
      <c r="DN7" s="38">
        <f>IF(OR(DN$2="",$D7=""),"",IF(AND(ISNUMBER($F7),DN$2&gt;=$F7,DN$2&lt;=IF(ISNUMBER($G7),$G7,$F7+$E7-$D7)),2,IF(AND(DN$2&gt;=$D7,DN$2&lt;=$E7),1,"")))</f>
        <v/>
      </c>
      <c r="DO7" s="38">
        <f>IF(OR(DO$2="",$D7=""),"",IF(AND(ISNUMBER($F7),DO$2&gt;=$F7,DO$2&lt;=IF(ISNUMBER($G7),$G7,$F7+$E7-$D7)),2,IF(AND(DO$2&gt;=$D7,DO$2&lt;=$E7),1,"")))</f>
        <v/>
      </c>
      <c r="DP7" s="38">
        <f>IF(OR(DP$2="",$D7=""),"",IF(AND(ISNUMBER($F7),DP$2&gt;=$F7,DP$2&lt;=IF(ISNUMBER($G7),$G7,$F7+$E7-$D7)),2,IF(AND(DP$2&gt;=$D7,DP$2&lt;=$E7),1,"")))</f>
        <v/>
      </c>
      <c r="DQ7" s="38">
        <f>IF(OR(DQ$2="",$D7=""),"",IF(AND(ISNUMBER($F7),DQ$2&gt;=$F7,DQ$2&lt;=IF(ISNUMBER($G7),$G7,$F7+$E7-$D7)),2,IF(AND(DQ$2&gt;=$D7,DQ$2&lt;=$E7),1,"")))</f>
        <v/>
      </c>
      <c r="DR7" s="38">
        <f>IF(OR(DR$2="",$D7=""),"",IF(AND(ISNUMBER($F7),DR$2&gt;=$F7,DR$2&lt;=IF(ISNUMBER($G7),$G7,$F7+$E7-$D7)),2,IF(AND(DR$2&gt;=$D7,DR$2&lt;=$E7),1,"")))</f>
        <v/>
      </c>
      <c r="DS7" s="38">
        <f>IF(OR(DS$2="",$D7=""),"",IF(AND(ISNUMBER($F7),DS$2&gt;=$F7,DS$2&lt;=IF(ISNUMBER($G7),$G7,$F7+$E7-$D7)),2,IF(AND(DS$2&gt;=$D7,DS$2&lt;=$E7),1,"")))</f>
        <v/>
      </c>
      <c r="DT7" s="38">
        <f>IF(OR(DT$2="",$D7=""),"",IF(AND(ISNUMBER($F7),DT$2&gt;=$F7,DT$2&lt;=IF(ISNUMBER($G7),$G7,$F7+$E7-$D7)),2,IF(AND(DT$2&gt;=$D7,DT$2&lt;=$E7),1,"")))</f>
        <v/>
      </c>
      <c r="DU7" s="38">
        <f>IF(OR(DU$2="",$D7=""),"",IF(AND(ISNUMBER($F7),DU$2&gt;=$F7,DU$2&lt;=IF(ISNUMBER($G7),$G7,$F7+$E7-$D7)),2,IF(AND(DU$2&gt;=$D7,DU$2&lt;=$E7),1,"")))</f>
        <v/>
      </c>
      <c r="DV7" s="38">
        <f>IF(OR(DV$2="",$D7=""),"",IF(AND(ISNUMBER($F7),DV$2&gt;=$F7,DV$2&lt;=IF(ISNUMBER($G7),$G7,$F7+$E7-$D7)),2,IF(AND(DV$2&gt;=$D7,DV$2&lt;=$E7),1,"")))</f>
        <v/>
      </c>
      <c r="DW7" s="38">
        <f>IF(OR(DW$2="",$D7=""),"",IF(AND(ISNUMBER($F7),DW$2&gt;=$F7,DW$2&lt;=IF(ISNUMBER($G7),$G7,$F7+$E7-$D7)),2,IF(AND(DW$2&gt;=$D7,DW$2&lt;=$E7),1,"")))</f>
        <v/>
      </c>
      <c r="DX7" s="38">
        <f>IF(OR(DX$2="",$D7=""),"",IF(AND(ISNUMBER($F7),DX$2&gt;=$F7,DX$2&lt;=IF(ISNUMBER($G7),$G7,$F7+$E7-$D7)),2,IF(AND(DX$2&gt;=$D7,DX$2&lt;=$E7),1,"")))</f>
        <v/>
      </c>
      <c r="DY7" s="38">
        <f>IF(OR(DY$2="",$D7=""),"",IF(AND(ISNUMBER($F7),DY$2&gt;=$F7,DY$2&lt;=IF(ISNUMBER($G7),$G7,$F7+$E7-$D7)),2,IF(AND(DY$2&gt;=$D7,DY$2&lt;=$E7),1,"")))</f>
        <v/>
      </c>
      <c r="DZ7" s="38">
        <f>IF(OR(DZ$2="",$D7=""),"",IF(AND(ISNUMBER($F7),DZ$2&gt;=$F7,DZ$2&lt;=IF(ISNUMBER($G7),$G7,$F7+$E7-$D7)),2,IF(AND(DZ$2&gt;=$D7,DZ$2&lt;=$E7),1,"")))</f>
        <v/>
      </c>
      <c r="EA7" s="38">
        <f>IF(OR(EA$2="",$D7=""),"",IF(AND(ISNUMBER($F7),EA$2&gt;=$F7,EA$2&lt;=IF(ISNUMBER($G7),$G7,$F7+$E7-$D7)),2,IF(AND(EA$2&gt;=$D7,EA$2&lt;=$E7),1,"")))</f>
        <v/>
      </c>
      <c r="EB7" s="38">
        <f>IF(OR(EB$2="",$D7=""),"",IF(AND(ISNUMBER($F7),EB$2&gt;=$F7,EB$2&lt;=IF(ISNUMBER($G7),$G7,$F7+$E7-$D7)),2,IF(AND(EB$2&gt;=$D7,EB$2&lt;=$E7),1,"")))</f>
        <v/>
      </c>
      <c r="EC7" s="38">
        <f>IF(OR(EC$2="",$D7=""),"",IF(AND(ISNUMBER($F7),EC$2&gt;=$F7,EC$2&lt;=IF(ISNUMBER($G7),$G7,$F7+$E7-$D7)),2,IF(AND(EC$2&gt;=$D7,EC$2&lt;=$E7),1,"")))</f>
        <v/>
      </c>
      <c r="ED7" s="38">
        <f>IF(OR(ED$2="",$D7=""),"",IF(AND(ISNUMBER($F7),ED$2&gt;=$F7,ED$2&lt;=IF(ISNUMBER($G7),$G7,$F7+$E7-$D7)),2,IF(AND(ED$2&gt;=$D7,ED$2&lt;=$E7),1,"")))</f>
        <v/>
      </c>
      <c r="EE7" s="38">
        <f>IF(OR(EE$2="",$D7=""),"",IF(AND(ISNUMBER($F7),EE$2&gt;=$F7,EE$2&lt;=IF(ISNUMBER($G7),$G7,$F7+$E7-$D7)),2,IF(AND(EE$2&gt;=$D7,EE$2&lt;=$E7),1,"")))</f>
        <v/>
      </c>
      <c r="EF7" s="38">
        <f>IF(OR(EF$2="",$D7=""),"",IF(AND(ISNUMBER($F7),EF$2&gt;=$F7,EF$2&lt;=IF(ISNUMBER($G7),$G7,$F7+$E7-$D7)),2,IF(AND(EF$2&gt;=$D7,EF$2&lt;=$E7),1,"")))</f>
        <v/>
      </c>
      <c r="EG7" s="38">
        <f>IF(OR(EG$2="",$D7=""),"",IF(AND(ISNUMBER($F7),EG$2&gt;=$F7,EG$2&lt;=IF(ISNUMBER($G7),$G7,$F7+$E7-$D7)),2,IF(AND(EG$2&gt;=$D7,EG$2&lt;=$E7),1,"")))</f>
        <v/>
      </c>
      <c r="EH7" s="38">
        <f>IF(OR(EH$2="",$D7=""),"",IF(AND(ISNUMBER($F7),EH$2&gt;=$F7,EH$2&lt;=IF(ISNUMBER($G7),$G7,$F7+$E7-$D7)),2,IF(AND(EH$2&gt;=$D7,EH$2&lt;=$E7),1,"")))</f>
        <v/>
      </c>
      <c r="EI7" s="38">
        <f>IF(OR(EI$2="",$D7=""),"",IF(AND(ISNUMBER($F7),EI$2&gt;=$F7,EI$2&lt;=IF(ISNUMBER($G7),$G7,$F7+$E7-$D7)),2,IF(AND(EI$2&gt;=$D7,EI$2&lt;=$E7),1,"")))</f>
        <v/>
      </c>
      <c r="EJ7" s="38">
        <f>IF(OR(EJ$2="",$D7=""),"",IF(AND(ISNUMBER($F7),EJ$2&gt;=$F7,EJ$2&lt;=IF(ISNUMBER($G7),$G7,$F7+$E7-$D7)),2,IF(AND(EJ$2&gt;=$D7,EJ$2&lt;=$E7),1,"")))</f>
        <v/>
      </c>
      <c r="EK7" s="38">
        <f>IF(OR(EK$2="",$D7=""),"",IF(AND(ISNUMBER($F7),EK$2&gt;=$F7,EK$2&lt;=IF(ISNUMBER($G7),$G7,$F7+$E7-$D7)),2,IF(AND(EK$2&gt;=$D7,EK$2&lt;=$E7),1,"")))</f>
        <v/>
      </c>
      <c r="EL7" s="38">
        <f>IF(OR(EL$2="",$D7=""),"",IF(AND(ISNUMBER($F7),EL$2&gt;=$F7,EL$2&lt;=IF(ISNUMBER($G7),$G7,$F7+$E7-$D7)),2,IF(AND(EL$2&gt;=$D7,EL$2&lt;=$E7),1,"")))</f>
        <v/>
      </c>
      <c r="EM7" s="38">
        <f>IF(OR(EM$2="",$D7=""),"",IF(AND(ISNUMBER($F7),EM$2&gt;=$F7,EM$2&lt;=IF(ISNUMBER($G7),$G7,$F7+$E7-$D7)),2,IF(AND(EM$2&gt;=$D7,EM$2&lt;=$E7),1,"")))</f>
        <v/>
      </c>
      <c r="EN7" s="38">
        <f>IF(OR(EN$2="",$D7=""),"",IF(AND(ISNUMBER($F7),EN$2&gt;=$F7,EN$2&lt;=IF(ISNUMBER($G7),$G7,$F7+$E7-$D7)),2,IF(AND(EN$2&gt;=$D7,EN$2&lt;=$E7),1,"")))</f>
        <v/>
      </c>
      <c r="EO7" s="38">
        <f>IF(OR(EO$2="",$D7=""),"",IF(AND(ISNUMBER($F7),EO$2&gt;=$F7,EO$2&lt;=IF(ISNUMBER($G7),$G7,$F7+$E7-$D7)),2,IF(AND(EO$2&gt;=$D7,EO$2&lt;=$E7),1,"")))</f>
        <v/>
      </c>
      <c r="EP7" s="38">
        <f>IF(OR(EP$2="",$D7=""),"",IF(AND(ISNUMBER($F7),EP$2&gt;=$F7,EP$2&lt;=IF(ISNUMBER($G7),$G7,$F7+$E7-$D7)),2,IF(AND(EP$2&gt;=$D7,EP$2&lt;=$E7),1,"")))</f>
        <v/>
      </c>
      <c r="EQ7" s="38">
        <f>IF(OR(EQ$2="",$D7=""),"",IF(AND(ISNUMBER($F7),EQ$2&gt;=$F7,EQ$2&lt;=IF(ISNUMBER($G7),$G7,$F7+$E7-$D7)),2,IF(AND(EQ$2&gt;=$D7,EQ$2&lt;=$E7),1,"")))</f>
        <v/>
      </c>
      <c r="ER7" s="38">
        <f>IF(OR(ER$2="",$D7=""),"",IF(AND(ISNUMBER($F7),ER$2&gt;=$F7,ER$2&lt;=IF(ISNUMBER($G7),$G7,$F7+$E7-$D7)),2,IF(AND(ER$2&gt;=$D7,ER$2&lt;=$E7),1,"")))</f>
        <v/>
      </c>
      <c r="ES7" s="38">
        <f>IF(OR(ES$2="",$D7=""),"",IF(AND(ISNUMBER($F7),ES$2&gt;=$F7,ES$2&lt;=IF(ISNUMBER($G7),$G7,$F7+$E7-$D7)),2,IF(AND(ES$2&gt;=$D7,ES$2&lt;=$E7),1,"")))</f>
        <v/>
      </c>
      <c r="ET7" s="38">
        <f>IF(OR(ET$2="",$D7=""),"",IF(AND(ISNUMBER($F7),ET$2&gt;=$F7,ET$2&lt;=IF(ISNUMBER($G7),$G7,$F7+$E7-$D7)),2,IF(AND(ET$2&gt;=$D7,ET$2&lt;=$E7),1,"")))</f>
        <v/>
      </c>
      <c r="EU7" s="38">
        <f>IF(OR(EU$2="",$D7=""),"",IF(AND(ISNUMBER($F7),EU$2&gt;=$F7,EU$2&lt;=IF(ISNUMBER($G7),$G7,$F7+$E7-$D7)),2,IF(AND(EU$2&gt;=$D7,EU$2&lt;=$E7),1,"")))</f>
        <v/>
      </c>
      <c r="EV7" s="38">
        <f>IF(OR(EV$2="",$D7=""),"",IF(AND(ISNUMBER($F7),EV$2&gt;=$F7,EV$2&lt;=IF(ISNUMBER($G7),$G7,$F7+$E7-$D7)),2,IF(AND(EV$2&gt;=$D7,EV$2&lt;=$E7),1,"")))</f>
        <v/>
      </c>
      <c r="EW7" s="38">
        <f>IF(OR(EW$2="",$D7=""),"",IF(AND(ISNUMBER($F7),EW$2&gt;=$F7,EW$2&lt;=IF(ISNUMBER($G7),$G7,$F7+$E7-$D7)),2,IF(AND(EW$2&gt;=$D7,EW$2&lt;=$E7),1,"")))</f>
        <v/>
      </c>
      <c r="EX7" s="38">
        <f>IF(OR(EX$2="",$D7=""),"",IF(AND(ISNUMBER($F7),EX$2&gt;=$F7,EX$2&lt;=IF(ISNUMBER($G7),$G7,$F7+$E7-$D7)),2,IF(AND(EX$2&gt;=$D7,EX$2&lt;=$E7),1,"")))</f>
        <v/>
      </c>
      <c r="EY7" s="38">
        <f>IF(OR(EY$2="",$D7=""),"",IF(AND(ISNUMBER($F7),EY$2&gt;=$F7,EY$2&lt;=IF(ISNUMBER($G7),$G7,$F7+$E7-$D7)),2,IF(AND(EY$2&gt;=$D7,EY$2&lt;=$E7),1,"")))</f>
        <v/>
      </c>
      <c r="EZ7" s="38">
        <f>IF(OR(EZ$2="",$D7=""),"",IF(AND(ISNUMBER($F7),EZ$2&gt;=$F7,EZ$2&lt;=IF(ISNUMBER($G7),$G7,$F7+$E7-$D7)),2,IF(AND(EZ$2&gt;=$D7,EZ$2&lt;=$E7),1,"")))</f>
        <v/>
      </c>
      <c r="FA7" s="38">
        <f>IF(OR(FA$2="",$D7=""),"",IF(AND(ISNUMBER($F7),FA$2&gt;=$F7,FA$2&lt;=IF(ISNUMBER($G7),$G7,$F7+$E7-$D7)),2,IF(AND(FA$2&gt;=$D7,FA$2&lt;=$E7),1,"")))</f>
        <v/>
      </c>
      <c r="FB7" s="38">
        <f>IF(OR(FB$2="",$D7=""),"",IF(AND(ISNUMBER($F7),FB$2&gt;=$F7,FB$2&lt;=IF(ISNUMBER($G7),$G7,$F7+$E7-$D7)),2,IF(AND(FB$2&gt;=$D7,FB$2&lt;=$E7),1,"")))</f>
        <v/>
      </c>
      <c r="FC7" s="38">
        <f>IF(OR(FC$2="",$D7=""),"",IF(AND(ISNUMBER($F7),FC$2&gt;=$F7,FC$2&lt;=IF(ISNUMBER($G7),$G7,$F7+$E7-$D7)),2,IF(AND(FC$2&gt;=$D7,FC$2&lt;=$E7),1,"")))</f>
        <v/>
      </c>
      <c r="FD7" s="38">
        <f>IF(OR(FD$2="",$D7=""),"",IF(AND(ISNUMBER($F7),FD$2&gt;=$F7,FD$2&lt;=IF(ISNUMBER($G7),$G7,$F7+$E7-$D7)),2,IF(AND(FD$2&gt;=$D7,FD$2&lt;=$E7),1,"")))</f>
        <v/>
      </c>
      <c r="FE7" s="38">
        <f>IF(OR(FE$2="",$D7=""),"",IF(AND(ISNUMBER($F7),FE$2&gt;=$F7,FE$2&lt;=IF(ISNUMBER($G7),$G7,$F7+$E7-$D7)),2,IF(AND(FE$2&gt;=$D7,FE$2&lt;=$E7),1,"")))</f>
        <v/>
      </c>
      <c r="FF7" s="38">
        <f>IF(OR(FF$2="",$D7=""),"",IF(AND(ISNUMBER($F7),FF$2&gt;=$F7,FF$2&lt;=IF(ISNUMBER($G7),$G7,$F7+$E7-$D7)),2,IF(AND(FF$2&gt;=$D7,FF$2&lt;=$E7),1,"")))</f>
        <v/>
      </c>
      <c r="FG7" s="38">
        <f>IF(OR(FG$2="",$D7=""),"",IF(AND(ISNUMBER($F7),FG$2&gt;=$F7,FG$2&lt;=IF(ISNUMBER($G7),$G7,$F7+$E7-$D7)),2,IF(AND(FG$2&gt;=$D7,FG$2&lt;=$E7),1,"")))</f>
        <v/>
      </c>
      <c r="FH7" s="38">
        <f>IF(OR(FH$2="",$D7=""),"",IF(AND(ISNUMBER($F7),FH$2&gt;=$F7,FH$2&lt;=IF(ISNUMBER($G7),$G7,$F7+$E7-$D7)),2,IF(AND(FH$2&gt;=$D7,FH$2&lt;=$E7),1,"")))</f>
        <v/>
      </c>
      <c r="FI7" s="38">
        <f>IF(OR(FI$2="",$D7=""),"",IF(AND(ISNUMBER($F7),FI$2&gt;=$F7,FI$2&lt;=IF(ISNUMBER($G7),$G7,$F7+$E7-$D7)),2,IF(AND(FI$2&gt;=$D7,FI$2&lt;=$E7),1,"")))</f>
        <v/>
      </c>
      <c r="FJ7" s="38">
        <f>IF(OR(FJ$2="",$D7=""),"",IF(AND(ISNUMBER($F7),FJ$2&gt;=$F7,FJ$2&lt;=IF(ISNUMBER($G7),$G7,$F7+$E7-$D7)),2,IF(AND(FJ$2&gt;=$D7,FJ$2&lt;=$E7),1,"")))</f>
        <v/>
      </c>
      <c r="FK7" s="38">
        <f>IF(OR(FK$2="",$D7=""),"",IF(AND(ISNUMBER($F7),FK$2&gt;=$F7,FK$2&lt;=IF(ISNUMBER($G7),$G7,$F7+$E7-$D7)),2,IF(AND(FK$2&gt;=$D7,FK$2&lt;=$E7),1,"")))</f>
        <v/>
      </c>
      <c r="FL7" s="38">
        <f>IF(OR(FL$2="",$D7=""),"",IF(AND(ISNUMBER($F7),FL$2&gt;=$F7,FL$2&lt;=IF(ISNUMBER($G7),$G7,$F7+$E7-$D7)),2,IF(AND(FL$2&gt;=$D7,FL$2&lt;=$E7),1,"")))</f>
        <v/>
      </c>
      <c r="FM7" s="38">
        <f>IF(OR(FM$2="",$D7=""),"",IF(AND(ISNUMBER($F7),FM$2&gt;=$F7,FM$2&lt;=IF(ISNUMBER($G7),$G7,$F7+$E7-$D7)),2,IF(AND(FM$2&gt;=$D7,FM$2&lt;=$E7),1,"")))</f>
        <v/>
      </c>
      <c r="FN7" s="38">
        <f>IF(OR(FN$2="",$D7=""),"",IF(AND(ISNUMBER($F7),FN$2&gt;=$F7,FN$2&lt;=IF(ISNUMBER($G7),$G7,$F7+$E7-$D7)),2,IF(AND(FN$2&gt;=$D7,FN$2&lt;=$E7),1,"")))</f>
        <v/>
      </c>
      <c r="FO7" s="38">
        <f>IF(OR(FO$2="",$D7=""),"",IF(AND(ISNUMBER($F7),FO$2&gt;=$F7,FO$2&lt;=IF(ISNUMBER($G7),$G7,$F7+$E7-$D7)),2,IF(AND(FO$2&gt;=$D7,FO$2&lt;=$E7),1,"")))</f>
        <v/>
      </c>
      <c r="FP7" s="38">
        <f>IF(OR(FP$2="",$D7=""),"",IF(AND(ISNUMBER($F7),FP$2&gt;=$F7,FP$2&lt;=IF(ISNUMBER($G7),$G7,$F7+$E7-$D7)),2,IF(AND(FP$2&gt;=$D7,FP$2&lt;=$E7),1,"")))</f>
        <v/>
      </c>
      <c r="FQ7" s="38">
        <f>IF(OR(FQ$2="",$D7=""),"",IF(AND(ISNUMBER($F7),FQ$2&gt;=$F7,FQ$2&lt;=IF(ISNUMBER($G7),$G7,$F7+$E7-$D7)),2,IF(AND(FQ$2&gt;=$D7,FQ$2&lt;=$E7),1,"")))</f>
        <v/>
      </c>
      <c r="FR7" s="38">
        <f>IF(OR(FR$2="",$D7=""),"",IF(AND(ISNUMBER($F7),FR$2&gt;=$F7,FR$2&lt;=IF(ISNUMBER($G7),$G7,$F7+$E7-$D7)),2,IF(AND(FR$2&gt;=$D7,FR$2&lt;=$E7),1,"")))</f>
        <v/>
      </c>
      <c r="FS7" s="38">
        <f>IF(OR(FS$2="",$D7=""),"",IF(AND(ISNUMBER($F7),FS$2&gt;=$F7,FS$2&lt;=IF(ISNUMBER($G7),$G7,$F7+$E7-$D7)),2,IF(AND(FS$2&gt;=$D7,FS$2&lt;=$E7),1,"")))</f>
        <v/>
      </c>
      <c r="FT7" s="38">
        <f>IF(OR(FT$2="",$D7=""),"",IF(AND(ISNUMBER($F7),FT$2&gt;=$F7,FT$2&lt;=IF(ISNUMBER($G7),$G7,$F7+$E7-$D7)),2,IF(AND(FT$2&gt;=$D7,FT$2&lt;=$E7),1,"")))</f>
        <v/>
      </c>
      <c r="FU7" s="38">
        <f>IF(OR(FU$2="",$D7=""),"",IF(AND(ISNUMBER($F7),FU$2&gt;=$F7,FU$2&lt;=IF(ISNUMBER($G7),$G7,$F7+$E7-$D7)),2,IF(AND(FU$2&gt;=$D7,FU$2&lt;=$E7),1,"")))</f>
        <v/>
      </c>
      <c r="FV7" s="38">
        <f>IF(OR(FV$2="",$D7=""),"",IF(AND(ISNUMBER($F7),FV$2&gt;=$F7,FV$2&lt;=IF(ISNUMBER($G7),$G7,$F7+$E7-$D7)),2,IF(AND(FV$2&gt;=$D7,FV$2&lt;=$E7),1,"")))</f>
        <v/>
      </c>
      <c r="FW7" s="38">
        <f>IF(OR(FW$2="",$D7=""),"",IF(AND(ISNUMBER($F7),FW$2&gt;=$F7,FW$2&lt;=IF(ISNUMBER($G7),$G7,$F7+$E7-$D7)),2,IF(AND(FW$2&gt;=$D7,FW$2&lt;=$E7),1,"")))</f>
        <v/>
      </c>
      <c r="FX7" s="38">
        <f>IF(OR(FX$2="",$D7=""),"",IF(AND(ISNUMBER($F7),FX$2&gt;=$F7,FX$2&lt;=IF(ISNUMBER($G7),$G7,$F7+$E7-$D7)),2,IF(AND(FX$2&gt;=$D7,FX$2&lt;=$E7),1,"")))</f>
        <v/>
      </c>
      <c r="FY7" s="38">
        <f>IF(OR(FY$2="",$D7=""),"",IF(AND(ISNUMBER($F7),FY$2&gt;=$F7,FY$2&lt;=IF(ISNUMBER($G7),$G7,$F7+$E7-$D7)),2,IF(AND(FY$2&gt;=$D7,FY$2&lt;=$E7),1,"")))</f>
        <v/>
      </c>
      <c r="FZ7" s="38">
        <f>IF(OR(FZ$2="",$D7=""),"",IF(AND(ISNUMBER($F7),FZ$2&gt;=$F7,FZ$2&lt;=IF(ISNUMBER($G7),$G7,$F7+$E7-$D7)),2,IF(AND(FZ$2&gt;=$D7,FZ$2&lt;=$E7),1,"")))</f>
        <v/>
      </c>
      <c r="GA7" s="38">
        <f>IF(OR(GA$2="",$D7=""),"",IF(AND(ISNUMBER($F7),GA$2&gt;=$F7,GA$2&lt;=IF(ISNUMBER($G7),$G7,$F7+$E7-$D7)),2,IF(AND(GA$2&gt;=$D7,GA$2&lt;=$E7),1,"")))</f>
        <v/>
      </c>
      <c r="GB7" s="38">
        <f>IF(OR(GB$2="",$D7=""),"",IF(AND(ISNUMBER($F7),GB$2&gt;=$F7,GB$2&lt;=IF(ISNUMBER($G7),$G7,$F7+$E7-$D7)),2,IF(AND(GB$2&gt;=$D7,GB$2&lt;=$E7),1,"")))</f>
        <v/>
      </c>
      <c r="GC7" s="38">
        <f>IF(OR(GC$2="",$D7=""),"",IF(AND(ISNUMBER($F7),GC$2&gt;=$F7,GC$2&lt;=IF(ISNUMBER($G7),$G7,$F7+$E7-$D7)),2,IF(AND(GC$2&gt;=$D7,GC$2&lt;=$E7),1,"")))</f>
        <v/>
      </c>
      <c r="GD7" s="38">
        <f>IF(OR(GD$2="",$D7=""),"",IF(AND(ISNUMBER($F7),GD$2&gt;=$F7,GD$2&lt;=IF(ISNUMBER($G7),$G7,$F7+$E7-$D7)),2,IF(AND(GD$2&gt;=$D7,GD$2&lt;=$E7),1,"")))</f>
        <v/>
      </c>
      <c r="GE7" s="38">
        <f>IF(OR(GE$2="",$D7=""),"",IF(AND(ISNUMBER($F7),GE$2&gt;=$F7,GE$2&lt;=IF(ISNUMBER($G7),$G7,$F7+$E7-$D7)),2,IF(AND(GE$2&gt;=$D7,GE$2&lt;=$E7),1,"")))</f>
        <v/>
      </c>
    </row>
    <row r="8">
      <c r="A8" s="36" t="inlineStr">
        <is>
          <t>Puddling</t>
        </is>
      </c>
      <c r="B8" s="12" t="inlineStr">
        <is>
          <t>কাদা করা</t>
        </is>
      </c>
      <c r="C8" s="12" t="inlineStr">
        <is>
          <t>3F4D+MD</t>
        </is>
      </c>
      <c r="D8" s="37" t="n"/>
      <c r="E8" s="7">
        <f>IF(D8="","",D8)</f>
        <v/>
      </c>
      <c r="F8" s="37" t="n"/>
      <c r="G8" s="7" t="n"/>
      <c r="H8" s="6">
        <f>IF(D8="","no plan",IF(F8&lt;&gt;"",IF(F8-D8&gt;=2,"LATE","OK"),IF(TODAY()&gt;D8+2,"OVERDUE","upcoming")))</f>
        <v/>
      </c>
      <c r="I8" s="6">
        <f>IF(AND(D8&lt;&gt;"",F8&lt;&gt;""),F8-D8,"")</f>
        <v/>
      </c>
      <c r="J8" s="7">
        <f>IF(F8&lt;&gt;"",F8,D8)</f>
        <v/>
      </c>
      <c r="K8" s="7">
        <f>IF(G8&lt;&gt;"",G8,IF(AND(F8&lt;&gt;"",E8=D8),F8,E8))</f>
        <v/>
      </c>
      <c r="L8" s="6">
        <f>IF(AND(D8&lt;&gt;"",F8="",D8&gt;=TODAY()),D8+ROW()/1000,"")</f>
        <v/>
      </c>
      <c r="M8" s="38">
        <f>IF(OR(M$2="",$D8=""),"",IF(AND(ISNUMBER($F8),M$2&gt;=$F8,M$2&lt;=IF(ISNUMBER($G8),$G8,$F8+$E8-$D8)),2,IF(AND(M$2&gt;=$D8,M$2&lt;=$E8),1,"")))</f>
        <v/>
      </c>
      <c r="N8" s="38">
        <f>IF(OR(N$2="",$D8=""),"",IF(AND(ISNUMBER($F8),N$2&gt;=$F8,N$2&lt;=IF(ISNUMBER($G8),$G8,$F8+$E8-$D8)),2,IF(AND(N$2&gt;=$D8,N$2&lt;=$E8),1,"")))</f>
        <v/>
      </c>
      <c r="O8" s="38">
        <f>IF(OR(O$2="",$D8=""),"",IF(AND(ISNUMBER($F8),O$2&gt;=$F8,O$2&lt;=IF(ISNUMBER($G8),$G8,$F8+$E8-$D8)),2,IF(AND(O$2&gt;=$D8,O$2&lt;=$E8),1,"")))</f>
        <v/>
      </c>
      <c r="P8" s="38">
        <f>IF(OR(P$2="",$D8=""),"",IF(AND(ISNUMBER($F8),P$2&gt;=$F8,P$2&lt;=IF(ISNUMBER($G8),$G8,$F8+$E8-$D8)),2,IF(AND(P$2&gt;=$D8,P$2&lt;=$E8),1,"")))</f>
        <v/>
      </c>
      <c r="Q8" s="38">
        <f>IF(OR(Q$2="",$D8=""),"",IF(AND(ISNUMBER($F8),Q$2&gt;=$F8,Q$2&lt;=IF(ISNUMBER($G8),$G8,$F8+$E8-$D8)),2,IF(AND(Q$2&gt;=$D8,Q$2&lt;=$E8),1,"")))</f>
        <v/>
      </c>
      <c r="R8" s="38">
        <f>IF(OR(R$2="",$D8=""),"",IF(AND(ISNUMBER($F8),R$2&gt;=$F8,R$2&lt;=IF(ISNUMBER($G8),$G8,$F8+$E8-$D8)),2,IF(AND(R$2&gt;=$D8,R$2&lt;=$E8),1,"")))</f>
        <v/>
      </c>
      <c r="S8" s="38">
        <f>IF(OR(S$2="",$D8=""),"",IF(AND(ISNUMBER($F8),S$2&gt;=$F8,S$2&lt;=IF(ISNUMBER($G8),$G8,$F8+$E8-$D8)),2,IF(AND(S$2&gt;=$D8,S$2&lt;=$E8),1,"")))</f>
        <v/>
      </c>
      <c r="T8" s="38">
        <f>IF(OR(T$2="",$D8=""),"",IF(AND(ISNUMBER($F8),T$2&gt;=$F8,T$2&lt;=IF(ISNUMBER($G8),$G8,$F8+$E8-$D8)),2,IF(AND(T$2&gt;=$D8,T$2&lt;=$E8),1,"")))</f>
        <v/>
      </c>
      <c r="U8" s="38">
        <f>IF(OR(U$2="",$D8=""),"",IF(AND(ISNUMBER($F8),U$2&gt;=$F8,U$2&lt;=IF(ISNUMBER($G8),$G8,$F8+$E8-$D8)),2,IF(AND(U$2&gt;=$D8,U$2&lt;=$E8),1,"")))</f>
        <v/>
      </c>
      <c r="V8" s="38">
        <f>IF(OR(V$2="",$D8=""),"",IF(AND(ISNUMBER($F8),V$2&gt;=$F8,V$2&lt;=IF(ISNUMBER($G8),$G8,$F8+$E8-$D8)),2,IF(AND(V$2&gt;=$D8,V$2&lt;=$E8),1,"")))</f>
        <v/>
      </c>
      <c r="W8" s="38">
        <f>IF(OR(W$2="",$D8=""),"",IF(AND(ISNUMBER($F8),W$2&gt;=$F8,W$2&lt;=IF(ISNUMBER($G8),$G8,$F8+$E8-$D8)),2,IF(AND(W$2&gt;=$D8,W$2&lt;=$E8),1,"")))</f>
        <v/>
      </c>
      <c r="X8" s="38">
        <f>IF(OR(X$2="",$D8=""),"",IF(AND(ISNUMBER($F8),X$2&gt;=$F8,X$2&lt;=IF(ISNUMBER($G8),$G8,$F8+$E8-$D8)),2,IF(AND(X$2&gt;=$D8,X$2&lt;=$E8),1,"")))</f>
        <v/>
      </c>
      <c r="Y8" s="38">
        <f>IF(OR(Y$2="",$D8=""),"",IF(AND(ISNUMBER($F8),Y$2&gt;=$F8,Y$2&lt;=IF(ISNUMBER($G8),$G8,$F8+$E8-$D8)),2,IF(AND(Y$2&gt;=$D8,Y$2&lt;=$E8),1,"")))</f>
        <v/>
      </c>
      <c r="Z8" s="38">
        <f>IF(OR(Z$2="",$D8=""),"",IF(AND(ISNUMBER($F8),Z$2&gt;=$F8,Z$2&lt;=IF(ISNUMBER($G8),$G8,$F8+$E8-$D8)),2,IF(AND(Z$2&gt;=$D8,Z$2&lt;=$E8),1,"")))</f>
        <v/>
      </c>
      <c r="AA8" s="38">
        <f>IF(OR(AA$2="",$D8=""),"",IF(AND(ISNUMBER($F8),AA$2&gt;=$F8,AA$2&lt;=IF(ISNUMBER($G8),$G8,$F8+$E8-$D8)),2,IF(AND(AA$2&gt;=$D8,AA$2&lt;=$E8),1,"")))</f>
        <v/>
      </c>
      <c r="AB8" s="38">
        <f>IF(OR(AB$2="",$D8=""),"",IF(AND(ISNUMBER($F8),AB$2&gt;=$F8,AB$2&lt;=IF(ISNUMBER($G8),$G8,$F8+$E8-$D8)),2,IF(AND(AB$2&gt;=$D8,AB$2&lt;=$E8),1,"")))</f>
        <v/>
      </c>
      <c r="AC8" s="38">
        <f>IF(OR(AC$2="",$D8=""),"",IF(AND(ISNUMBER($F8),AC$2&gt;=$F8,AC$2&lt;=IF(ISNUMBER($G8),$G8,$F8+$E8-$D8)),2,IF(AND(AC$2&gt;=$D8,AC$2&lt;=$E8),1,"")))</f>
        <v/>
      </c>
      <c r="AD8" s="38">
        <f>IF(OR(AD$2="",$D8=""),"",IF(AND(ISNUMBER($F8),AD$2&gt;=$F8,AD$2&lt;=IF(ISNUMBER($G8),$G8,$F8+$E8-$D8)),2,IF(AND(AD$2&gt;=$D8,AD$2&lt;=$E8),1,"")))</f>
        <v/>
      </c>
      <c r="AE8" s="38">
        <f>IF(OR(AE$2="",$D8=""),"",IF(AND(ISNUMBER($F8),AE$2&gt;=$F8,AE$2&lt;=IF(ISNUMBER($G8),$G8,$F8+$E8-$D8)),2,IF(AND(AE$2&gt;=$D8,AE$2&lt;=$E8),1,"")))</f>
        <v/>
      </c>
      <c r="AF8" s="38">
        <f>IF(OR(AF$2="",$D8=""),"",IF(AND(ISNUMBER($F8),AF$2&gt;=$F8,AF$2&lt;=IF(ISNUMBER($G8),$G8,$F8+$E8-$D8)),2,IF(AND(AF$2&gt;=$D8,AF$2&lt;=$E8),1,"")))</f>
        <v/>
      </c>
      <c r="AG8" s="38">
        <f>IF(OR(AG$2="",$D8=""),"",IF(AND(ISNUMBER($F8),AG$2&gt;=$F8,AG$2&lt;=IF(ISNUMBER($G8),$G8,$F8+$E8-$D8)),2,IF(AND(AG$2&gt;=$D8,AG$2&lt;=$E8),1,"")))</f>
        <v/>
      </c>
      <c r="AH8" s="38">
        <f>IF(OR(AH$2="",$D8=""),"",IF(AND(ISNUMBER($F8),AH$2&gt;=$F8,AH$2&lt;=IF(ISNUMBER($G8),$G8,$F8+$E8-$D8)),2,IF(AND(AH$2&gt;=$D8,AH$2&lt;=$E8),1,"")))</f>
        <v/>
      </c>
      <c r="AI8" s="38">
        <f>IF(OR(AI$2="",$D8=""),"",IF(AND(ISNUMBER($F8),AI$2&gt;=$F8,AI$2&lt;=IF(ISNUMBER($G8),$G8,$F8+$E8-$D8)),2,IF(AND(AI$2&gt;=$D8,AI$2&lt;=$E8),1,"")))</f>
        <v/>
      </c>
      <c r="AJ8" s="38">
        <f>IF(OR(AJ$2="",$D8=""),"",IF(AND(ISNUMBER($F8),AJ$2&gt;=$F8,AJ$2&lt;=IF(ISNUMBER($G8),$G8,$F8+$E8-$D8)),2,IF(AND(AJ$2&gt;=$D8,AJ$2&lt;=$E8),1,"")))</f>
        <v/>
      </c>
      <c r="AK8" s="38">
        <f>IF(OR(AK$2="",$D8=""),"",IF(AND(ISNUMBER($F8),AK$2&gt;=$F8,AK$2&lt;=IF(ISNUMBER($G8),$G8,$F8+$E8-$D8)),2,IF(AND(AK$2&gt;=$D8,AK$2&lt;=$E8),1,"")))</f>
        <v/>
      </c>
      <c r="AL8" s="38">
        <f>IF(OR(AL$2="",$D8=""),"",IF(AND(ISNUMBER($F8),AL$2&gt;=$F8,AL$2&lt;=IF(ISNUMBER($G8),$G8,$F8+$E8-$D8)),2,IF(AND(AL$2&gt;=$D8,AL$2&lt;=$E8),1,"")))</f>
        <v/>
      </c>
      <c r="AM8" s="38">
        <f>IF(OR(AM$2="",$D8=""),"",IF(AND(ISNUMBER($F8),AM$2&gt;=$F8,AM$2&lt;=IF(ISNUMBER($G8),$G8,$F8+$E8-$D8)),2,IF(AND(AM$2&gt;=$D8,AM$2&lt;=$E8),1,"")))</f>
        <v/>
      </c>
      <c r="AN8" s="38">
        <f>IF(OR(AN$2="",$D8=""),"",IF(AND(ISNUMBER($F8),AN$2&gt;=$F8,AN$2&lt;=IF(ISNUMBER($G8),$G8,$F8+$E8-$D8)),2,IF(AND(AN$2&gt;=$D8,AN$2&lt;=$E8),1,"")))</f>
        <v/>
      </c>
      <c r="AO8" s="38">
        <f>IF(OR(AO$2="",$D8=""),"",IF(AND(ISNUMBER($F8),AO$2&gt;=$F8,AO$2&lt;=IF(ISNUMBER($G8),$G8,$F8+$E8-$D8)),2,IF(AND(AO$2&gt;=$D8,AO$2&lt;=$E8),1,"")))</f>
        <v/>
      </c>
      <c r="AP8" s="38">
        <f>IF(OR(AP$2="",$D8=""),"",IF(AND(ISNUMBER($F8),AP$2&gt;=$F8,AP$2&lt;=IF(ISNUMBER($G8),$G8,$F8+$E8-$D8)),2,IF(AND(AP$2&gt;=$D8,AP$2&lt;=$E8),1,"")))</f>
        <v/>
      </c>
      <c r="AQ8" s="38">
        <f>IF(OR(AQ$2="",$D8=""),"",IF(AND(ISNUMBER($F8),AQ$2&gt;=$F8,AQ$2&lt;=IF(ISNUMBER($G8),$G8,$F8+$E8-$D8)),2,IF(AND(AQ$2&gt;=$D8,AQ$2&lt;=$E8),1,"")))</f>
        <v/>
      </c>
      <c r="AR8" s="38">
        <f>IF(OR(AR$2="",$D8=""),"",IF(AND(ISNUMBER($F8),AR$2&gt;=$F8,AR$2&lt;=IF(ISNUMBER($G8),$G8,$F8+$E8-$D8)),2,IF(AND(AR$2&gt;=$D8,AR$2&lt;=$E8),1,"")))</f>
        <v/>
      </c>
      <c r="AS8" s="38">
        <f>IF(OR(AS$2="",$D8=""),"",IF(AND(ISNUMBER($F8),AS$2&gt;=$F8,AS$2&lt;=IF(ISNUMBER($G8),$G8,$F8+$E8-$D8)),2,IF(AND(AS$2&gt;=$D8,AS$2&lt;=$E8),1,"")))</f>
        <v/>
      </c>
      <c r="AT8" s="38">
        <f>IF(OR(AT$2="",$D8=""),"",IF(AND(ISNUMBER($F8),AT$2&gt;=$F8,AT$2&lt;=IF(ISNUMBER($G8),$G8,$F8+$E8-$D8)),2,IF(AND(AT$2&gt;=$D8,AT$2&lt;=$E8),1,"")))</f>
        <v/>
      </c>
      <c r="AU8" s="38">
        <f>IF(OR(AU$2="",$D8=""),"",IF(AND(ISNUMBER($F8),AU$2&gt;=$F8,AU$2&lt;=IF(ISNUMBER($G8),$G8,$F8+$E8-$D8)),2,IF(AND(AU$2&gt;=$D8,AU$2&lt;=$E8),1,"")))</f>
        <v/>
      </c>
      <c r="AV8" s="38">
        <f>IF(OR(AV$2="",$D8=""),"",IF(AND(ISNUMBER($F8),AV$2&gt;=$F8,AV$2&lt;=IF(ISNUMBER($G8),$G8,$F8+$E8-$D8)),2,IF(AND(AV$2&gt;=$D8,AV$2&lt;=$E8),1,"")))</f>
        <v/>
      </c>
      <c r="AW8" s="38">
        <f>IF(OR(AW$2="",$D8=""),"",IF(AND(ISNUMBER($F8),AW$2&gt;=$F8,AW$2&lt;=IF(ISNUMBER($G8),$G8,$F8+$E8-$D8)),2,IF(AND(AW$2&gt;=$D8,AW$2&lt;=$E8),1,"")))</f>
        <v/>
      </c>
      <c r="AX8" s="38">
        <f>IF(OR(AX$2="",$D8=""),"",IF(AND(ISNUMBER($F8),AX$2&gt;=$F8,AX$2&lt;=IF(ISNUMBER($G8),$G8,$F8+$E8-$D8)),2,IF(AND(AX$2&gt;=$D8,AX$2&lt;=$E8),1,"")))</f>
        <v/>
      </c>
      <c r="AY8" s="38">
        <f>IF(OR(AY$2="",$D8=""),"",IF(AND(ISNUMBER($F8),AY$2&gt;=$F8,AY$2&lt;=IF(ISNUMBER($G8),$G8,$F8+$E8-$D8)),2,IF(AND(AY$2&gt;=$D8,AY$2&lt;=$E8),1,"")))</f>
        <v/>
      </c>
      <c r="AZ8" s="38">
        <f>IF(OR(AZ$2="",$D8=""),"",IF(AND(ISNUMBER($F8),AZ$2&gt;=$F8,AZ$2&lt;=IF(ISNUMBER($G8),$G8,$F8+$E8-$D8)),2,IF(AND(AZ$2&gt;=$D8,AZ$2&lt;=$E8),1,"")))</f>
        <v/>
      </c>
      <c r="BA8" s="38">
        <f>IF(OR(BA$2="",$D8=""),"",IF(AND(ISNUMBER($F8),BA$2&gt;=$F8,BA$2&lt;=IF(ISNUMBER($G8),$G8,$F8+$E8-$D8)),2,IF(AND(BA$2&gt;=$D8,BA$2&lt;=$E8),1,"")))</f>
        <v/>
      </c>
      <c r="BB8" s="38">
        <f>IF(OR(BB$2="",$D8=""),"",IF(AND(ISNUMBER($F8),BB$2&gt;=$F8,BB$2&lt;=IF(ISNUMBER($G8),$G8,$F8+$E8-$D8)),2,IF(AND(BB$2&gt;=$D8,BB$2&lt;=$E8),1,"")))</f>
        <v/>
      </c>
      <c r="BC8" s="38">
        <f>IF(OR(BC$2="",$D8=""),"",IF(AND(ISNUMBER($F8),BC$2&gt;=$F8,BC$2&lt;=IF(ISNUMBER($G8),$G8,$F8+$E8-$D8)),2,IF(AND(BC$2&gt;=$D8,BC$2&lt;=$E8),1,"")))</f>
        <v/>
      </c>
      <c r="BD8" s="38">
        <f>IF(OR(BD$2="",$D8=""),"",IF(AND(ISNUMBER($F8),BD$2&gt;=$F8,BD$2&lt;=IF(ISNUMBER($G8),$G8,$F8+$E8-$D8)),2,IF(AND(BD$2&gt;=$D8,BD$2&lt;=$E8),1,"")))</f>
        <v/>
      </c>
      <c r="BE8" s="38">
        <f>IF(OR(BE$2="",$D8=""),"",IF(AND(ISNUMBER($F8),BE$2&gt;=$F8,BE$2&lt;=IF(ISNUMBER($G8),$G8,$F8+$E8-$D8)),2,IF(AND(BE$2&gt;=$D8,BE$2&lt;=$E8),1,"")))</f>
        <v/>
      </c>
      <c r="BF8" s="38">
        <f>IF(OR(BF$2="",$D8=""),"",IF(AND(ISNUMBER($F8),BF$2&gt;=$F8,BF$2&lt;=IF(ISNUMBER($G8),$G8,$F8+$E8-$D8)),2,IF(AND(BF$2&gt;=$D8,BF$2&lt;=$E8),1,"")))</f>
        <v/>
      </c>
      <c r="BG8" s="38">
        <f>IF(OR(BG$2="",$D8=""),"",IF(AND(ISNUMBER($F8),BG$2&gt;=$F8,BG$2&lt;=IF(ISNUMBER($G8),$G8,$F8+$E8-$D8)),2,IF(AND(BG$2&gt;=$D8,BG$2&lt;=$E8),1,"")))</f>
        <v/>
      </c>
      <c r="BH8" s="38">
        <f>IF(OR(BH$2="",$D8=""),"",IF(AND(ISNUMBER($F8),BH$2&gt;=$F8,BH$2&lt;=IF(ISNUMBER($G8),$G8,$F8+$E8-$D8)),2,IF(AND(BH$2&gt;=$D8,BH$2&lt;=$E8),1,"")))</f>
        <v/>
      </c>
      <c r="BI8" s="38">
        <f>IF(OR(BI$2="",$D8=""),"",IF(AND(ISNUMBER($F8),BI$2&gt;=$F8,BI$2&lt;=IF(ISNUMBER($G8),$G8,$F8+$E8-$D8)),2,IF(AND(BI$2&gt;=$D8,BI$2&lt;=$E8),1,"")))</f>
        <v/>
      </c>
      <c r="BJ8" s="38">
        <f>IF(OR(BJ$2="",$D8=""),"",IF(AND(ISNUMBER($F8),BJ$2&gt;=$F8,BJ$2&lt;=IF(ISNUMBER($G8),$G8,$F8+$E8-$D8)),2,IF(AND(BJ$2&gt;=$D8,BJ$2&lt;=$E8),1,"")))</f>
        <v/>
      </c>
      <c r="BK8" s="38">
        <f>IF(OR(BK$2="",$D8=""),"",IF(AND(ISNUMBER($F8),BK$2&gt;=$F8,BK$2&lt;=IF(ISNUMBER($G8),$G8,$F8+$E8-$D8)),2,IF(AND(BK$2&gt;=$D8,BK$2&lt;=$E8),1,"")))</f>
        <v/>
      </c>
      <c r="BL8" s="38">
        <f>IF(OR(BL$2="",$D8=""),"",IF(AND(ISNUMBER($F8),BL$2&gt;=$F8,BL$2&lt;=IF(ISNUMBER($G8),$G8,$F8+$E8-$D8)),2,IF(AND(BL$2&gt;=$D8,BL$2&lt;=$E8),1,"")))</f>
        <v/>
      </c>
      <c r="BM8" s="38">
        <f>IF(OR(BM$2="",$D8=""),"",IF(AND(ISNUMBER($F8),BM$2&gt;=$F8,BM$2&lt;=IF(ISNUMBER($G8),$G8,$F8+$E8-$D8)),2,IF(AND(BM$2&gt;=$D8,BM$2&lt;=$E8),1,"")))</f>
        <v/>
      </c>
      <c r="BN8" s="38">
        <f>IF(OR(BN$2="",$D8=""),"",IF(AND(ISNUMBER($F8),BN$2&gt;=$F8,BN$2&lt;=IF(ISNUMBER($G8),$G8,$F8+$E8-$D8)),2,IF(AND(BN$2&gt;=$D8,BN$2&lt;=$E8),1,"")))</f>
        <v/>
      </c>
      <c r="BO8" s="38">
        <f>IF(OR(BO$2="",$D8=""),"",IF(AND(ISNUMBER($F8),BO$2&gt;=$F8,BO$2&lt;=IF(ISNUMBER($G8),$G8,$F8+$E8-$D8)),2,IF(AND(BO$2&gt;=$D8,BO$2&lt;=$E8),1,"")))</f>
        <v/>
      </c>
      <c r="BP8" s="38">
        <f>IF(OR(BP$2="",$D8=""),"",IF(AND(ISNUMBER($F8),BP$2&gt;=$F8,BP$2&lt;=IF(ISNUMBER($G8),$G8,$F8+$E8-$D8)),2,IF(AND(BP$2&gt;=$D8,BP$2&lt;=$E8),1,"")))</f>
        <v/>
      </c>
      <c r="BQ8" s="38">
        <f>IF(OR(BQ$2="",$D8=""),"",IF(AND(ISNUMBER($F8),BQ$2&gt;=$F8,BQ$2&lt;=IF(ISNUMBER($G8),$G8,$F8+$E8-$D8)),2,IF(AND(BQ$2&gt;=$D8,BQ$2&lt;=$E8),1,"")))</f>
        <v/>
      </c>
      <c r="BR8" s="38">
        <f>IF(OR(BR$2="",$D8=""),"",IF(AND(ISNUMBER($F8),BR$2&gt;=$F8,BR$2&lt;=IF(ISNUMBER($G8),$G8,$F8+$E8-$D8)),2,IF(AND(BR$2&gt;=$D8,BR$2&lt;=$E8),1,"")))</f>
        <v/>
      </c>
      <c r="BS8" s="38">
        <f>IF(OR(BS$2="",$D8=""),"",IF(AND(ISNUMBER($F8),BS$2&gt;=$F8,BS$2&lt;=IF(ISNUMBER($G8),$G8,$F8+$E8-$D8)),2,IF(AND(BS$2&gt;=$D8,BS$2&lt;=$E8),1,"")))</f>
        <v/>
      </c>
      <c r="BT8" s="38">
        <f>IF(OR(BT$2="",$D8=""),"",IF(AND(ISNUMBER($F8),BT$2&gt;=$F8,BT$2&lt;=IF(ISNUMBER($G8),$G8,$F8+$E8-$D8)),2,IF(AND(BT$2&gt;=$D8,BT$2&lt;=$E8),1,"")))</f>
        <v/>
      </c>
      <c r="BU8" s="38">
        <f>IF(OR(BU$2="",$D8=""),"",IF(AND(ISNUMBER($F8),BU$2&gt;=$F8,BU$2&lt;=IF(ISNUMBER($G8),$G8,$F8+$E8-$D8)),2,IF(AND(BU$2&gt;=$D8,BU$2&lt;=$E8),1,"")))</f>
        <v/>
      </c>
      <c r="BV8" s="38">
        <f>IF(OR(BV$2="",$D8=""),"",IF(AND(ISNUMBER($F8),BV$2&gt;=$F8,BV$2&lt;=IF(ISNUMBER($G8),$G8,$F8+$E8-$D8)),2,IF(AND(BV$2&gt;=$D8,BV$2&lt;=$E8),1,"")))</f>
        <v/>
      </c>
      <c r="BW8" s="38">
        <f>IF(OR(BW$2="",$D8=""),"",IF(AND(ISNUMBER($F8),BW$2&gt;=$F8,BW$2&lt;=IF(ISNUMBER($G8),$G8,$F8+$E8-$D8)),2,IF(AND(BW$2&gt;=$D8,BW$2&lt;=$E8),1,"")))</f>
        <v/>
      </c>
      <c r="BX8" s="38">
        <f>IF(OR(BX$2="",$D8=""),"",IF(AND(ISNUMBER($F8),BX$2&gt;=$F8,BX$2&lt;=IF(ISNUMBER($G8),$G8,$F8+$E8-$D8)),2,IF(AND(BX$2&gt;=$D8,BX$2&lt;=$E8),1,"")))</f>
        <v/>
      </c>
      <c r="BY8" s="38">
        <f>IF(OR(BY$2="",$D8=""),"",IF(AND(ISNUMBER($F8),BY$2&gt;=$F8,BY$2&lt;=IF(ISNUMBER($G8),$G8,$F8+$E8-$D8)),2,IF(AND(BY$2&gt;=$D8,BY$2&lt;=$E8),1,"")))</f>
        <v/>
      </c>
      <c r="BZ8" s="38">
        <f>IF(OR(BZ$2="",$D8=""),"",IF(AND(ISNUMBER($F8),BZ$2&gt;=$F8,BZ$2&lt;=IF(ISNUMBER($G8),$G8,$F8+$E8-$D8)),2,IF(AND(BZ$2&gt;=$D8,BZ$2&lt;=$E8),1,"")))</f>
        <v/>
      </c>
      <c r="CA8" s="38">
        <f>IF(OR(CA$2="",$D8=""),"",IF(AND(ISNUMBER($F8),CA$2&gt;=$F8,CA$2&lt;=IF(ISNUMBER($G8),$G8,$F8+$E8-$D8)),2,IF(AND(CA$2&gt;=$D8,CA$2&lt;=$E8),1,"")))</f>
        <v/>
      </c>
      <c r="CB8" s="38">
        <f>IF(OR(CB$2="",$D8=""),"",IF(AND(ISNUMBER($F8),CB$2&gt;=$F8,CB$2&lt;=IF(ISNUMBER($G8),$G8,$F8+$E8-$D8)),2,IF(AND(CB$2&gt;=$D8,CB$2&lt;=$E8),1,"")))</f>
        <v/>
      </c>
      <c r="CC8" s="38">
        <f>IF(OR(CC$2="",$D8=""),"",IF(AND(ISNUMBER($F8),CC$2&gt;=$F8,CC$2&lt;=IF(ISNUMBER($G8),$G8,$F8+$E8-$D8)),2,IF(AND(CC$2&gt;=$D8,CC$2&lt;=$E8),1,"")))</f>
        <v/>
      </c>
      <c r="CD8" s="38">
        <f>IF(OR(CD$2="",$D8=""),"",IF(AND(ISNUMBER($F8),CD$2&gt;=$F8,CD$2&lt;=IF(ISNUMBER($G8),$G8,$F8+$E8-$D8)),2,IF(AND(CD$2&gt;=$D8,CD$2&lt;=$E8),1,"")))</f>
        <v/>
      </c>
      <c r="CE8" s="38">
        <f>IF(OR(CE$2="",$D8=""),"",IF(AND(ISNUMBER($F8),CE$2&gt;=$F8,CE$2&lt;=IF(ISNUMBER($G8),$G8,$F8+$E8-$D8)),2,IF(AND(CE$2&gt;=$D8,CE$2&lt;=$E8),1,"")))</f>
        <v/>
      </c>
      <c r="CF8" s="38">
        <f>IF(OR(CF$2="",$D8=""),"",IF(AND(ISNUMBER($F8),CF$2&gt;=$F8,CF$2&lt;=IF(ISNUMBER($G8),$G8,$F8+$E8-$D8)),2,IF(AND(CF$2&gt;=$D8,CF$2&lt;=$E8),1,"")))</f>
        <v/>
      </c>
      <c r="CG8" s="38">
        <f>IF(OR(CG$2="",$D8=""),"",IF(AND(ISNUMBER($F8),CG$2&gt;=$F8,CG$2&lt;=IF(ISNUMBER($G8),$G8,$F8+$E8-$D8)),2,IF(AND(CG$2&gt;=$D8,CG$2&lt;=$E8),1,"")))</f>
        <v/>
      </c>
      <c r="CH8" s="38">
        <f>IF(OR(CH$2="",$D8=""),"",IF(AND(ISNUMBER($F8),CH$2&gt;=$F8,CH$2&lt;=IF(ISNUMBER($G8),$G8,$F8+$E8-$D8)),2,IF(AND(CH$2&gt;=$D8,CH$2&lt;=$E8),1,"")))</f>
        <v/>
      </c>
      <c r="CI8" s="38">
        <f>IF(OR(CI$2="",$D8=""),"",IF(AND(ISNUMBER($F8),CI$2&gt;=$F8,CI$2&lt;=IF(ISNUMBER($G8),$G8,$F8+$E8-$D8)),2,IF(AND(CI$2&gt;=$D8,CI$2&lt;=$E8),1,"")))</f>
        <v/>
      </c>
      <c r="CJ8" s="38">
        <f>IF(OR(CJ$2="",$D8=""),"",IF(AND(ISNUMBER($F8),CJ$2&gt;=$F8,CJ$2&lt;=IF(ISNUMBER($G8),$G8,$F8+$E8-$D8)),2,IF(AND(CJ$2&gt;=$D8,CJ$2&lt;=$E8),1,"")))</f>
        <v/>
      </c>
      <c r="CK8" s="38">
        <f>IF(OR(CK$2="",$D8=""),"",IF(AND(ISNUMBER($F8),CK$2&gt;=$F8,CK$2&lt;=IF(ISNUMBER($G8),$G8,$F8+$E8-$D8)),2,IF(AND(CK$2&gt;=$D8,CK$2&lt;=$E8),1,"")))</f>
        <v/>
      </c>
      <c r="CL8" s="38">
        <f>IF(OR(CL$2="",$D8=""),"",IF(AND(ISNUMBER($F8),CL$2&gt;=$F8,CL$2&lt;=IF(ISNUMBER($G8),$G8,$F8+$E8-$D8)),2,IF(AND(CL$2&gt;=$D8,CL$2&lt;=$E8),1,"")))</f>
        <v/>
      </c>
      <c r="CM8" s="38">
        <f>IF(OR(CM$2="",$D8=""),"",IF(AND(ISNUMBER($F8),CM$2&gt;=$F8,CM$2&lt;=IF(ISNUMBER($G8),$G8,$F8+$E8-$D8)),2,IF(AND(CM$2&gt;=$D8,CM$2&lt;=$E8),1,"")))</f>
        <v/>
      </c>
      <c r="CN8" s="38">
        <f>IF(OR(CN$2="",$D8=""),"",IF(AND(ISNUMBER($F8),CN$2&gt;=$F8,CN$2&lt;=IF(ISNUMBER($G8),$G8,$F8+$E8-$D8)),2,IF(AND(CN$2&gt;=$D8,CN$2&lt;=$E8),1,"")))</f>
        <v/>
      </c>
      <c r="CO8" s="38">
        <f>IF(OR(CO$2="",$D8=""),"",IF(AND(ISNUMBER($F8),CO$2&gt;=$F8,CO$2&lt;=IF(ISNUMBER($G8),$G8,$F8+$E8-$D8)),2,IF(AND(CO$2&gt;=$D8,CO$2&lt;=$E8),1,"")))</f>
        <v/>
      </c>
      <c r="CP8" s="38">
        <f>IF(OR(CP$2="",$D8=""),"",IF(AND(ISNUMBER($F8),CP$2&gt;=$F8,CP$2&lt;=IF(ISNUMBER($G8),$G8,$F8+$E8-$D8)),2,IF(AND(CP$2&gt;=$D8,CP$2&lt;=$E8),1,"")))</f>
        <v/>
      </c>
      <c r="CQ8" s="38">
        <f>IF(OR(CQ$2="",$D8=""),"",IF(AND(ISNUMBER($F8),CQ$2&gt;=$F8,CQ$2&lt;=IF(ISNUMBER($G8),$G8,$F8+$E8-$D8)),2,IF(AND(CQ$2&gt;=$D8,CQ$2&lt;=$E8),1,"")))</f>
        <v/>
      </c>
      <c r="CR8" s="38">
        <f>IF(OR(CR$2="",$D8=""),"",IF(AND(ISNUMBER($F8),CR$2&gt;=$F8,CR$2&lt;=IF(ISNUMBER($G8),$G8,$F8+$E8-$D8)),2,IF(AND(CR$2&gt;=$D8,CR$2&lt;=$E8),1,"")))</f>
        <v/>
      </c>
      <c r="CS8" s="38">
        <f>IF(OR(CS$2="",$D8=""),"",IF(AND(ISNUMBER($F8),CS$2&gt;=$F8,CS$2&lt;=IF(ISNUMBER($G8),$G8,$F8+$E8-$D8)),2,IF(AND(CS$2&gt;=$D8,CS$2&lt;=$E8),1,"")))</f>
        <v/>
      </c>
      <c r="CT8" s="38">
        <f>IF(OR(CT$2="",$D8=""),"",IF(AND(ISNUMBER($F8),CT$2&gt;=$F8,CT$2&lt;=IF(ISNUMBER($G8),$G8,$F8+$E8-$D8)),2,IF(AND(CT$2&gt;=$D8,CT$2&lt;=$E8),1,"")))</f>
        <v/>
      </c>
      <c r="CU8" s="38">
        <f>IF(OR(CU$2="",$D8=""),"",IF(AND(ISNUMBER($F8),CU$2&gt;=$F8,CU$2&lt;=IF(ISNUMBER($G8),$G8,$F8+$E8-$D8)),2,IF(AND(CU$2&gt;=$D8,CU$2&lt;=$E8),1,"")))</f>
        <v/>
      </c>
      <c r="CV8" s="38">
        <f>IF(OR(CV$2="",$D8=""),"",IF(AND(ISNUMBER($F8),CV$2&gt;=$F8,CV$2&lt;=IF(ISNUMBER($G8),$G8,$F8+$E8-$D8)),2,IF(AND(CV$2&gt;=$D8,CV$2&lt;=$E8),1,"")))</f>
        <v/>
      </c>
      <c r="CW8" s="38">
        <f>IF(OR(CW$2="",$D8=""),"",IF(AND(ISNUMBER($F8),CW$2&gt;=$F8,CW$2&lt;=IF(ISNUMBER($G8),$G8,$F8+$E8-$D8)),2,IF(AND(CW$2&gt;=$D8,CW$2&lt;=$E8),1,"")))</f>
        <v/>
      </c>
      <c r="CX8" s="38">
        <f>IF(OR(CX$2="",$D8=""),"",IF(AND(ISNUMBER($F8),CX$2&gt;=$F8,CX$2&lt;=IF(ISNUMBER($G8),$G8,$F8+$E8-$D8)),2,IF(AND(CX$2&gt;=$D8,CX$2&lt;=$E8),1,"")))</f>
        <v/>
      </c>
      <c r="CY8" s="38">
        <f>IF(OR(CY$2="",$D8=""),"",IF(AND(ISNUMBER($F8),CY$2&gt;=$F8,CY$2&lt;=IF(ISNUMBER($G8),$G8,$F8+$E8-$D8)),2,IF(AND(CY$2&gt;=$D8,CY$2&lt;=$E8),1,"")))</f>
        <v/>
      </c>
      <c r="CZ8" s="38">
        <f>IF(OR(CZ$2="",$D8=""),"",IF(AND(ISNUMBER($F8),CZ$2&gt;=$F8,CZ$2&lt;=IF(ISNUMBER($G8),$G8,$F8+$E8-$D8)),2,IF(AND(CZ$2&gt;=$D8,CZ$2&lt;=$E8),1,"")))</f>
        <v/>
      </c>
      <c r="DA8" s="38">
        <f>IF(OR(DA$2="",$D8=""),"",IF(AND(ISNUMBER($F8),DA$2&gt;=$F8,DA$2&lt;=IF(ISNUMBER($G8),$G8,$F8+$E8-$D8)),2,IF(AND(DA$2&gt;=$D8,DA$2&lt;=$E8),1,"")))</f>
        <v/>
      </c>
      <c r="DB8" s="38">
        <f>IF(OR(DB$2="",$D8=""),"",IF(AND(ISNUMBER($F8),DB$2&gt;=$F8,DB$2&lt;=IF(ISNUMBER($G8),$G8,$F8+$E8-$D8)),2,IF(AND(DB$2&gt;=$D8,DB$2&lt;=$E8),1,"")))</f>
        <v/>
      </c>
      <c r="DC8" s="38">
        <f>IF(OR(DC$2="",$D8=""),"",IF(AND(ISNUMBER($F8),DC$2&gt;=$F8,DC$2&lt;=IF(ISNUMBER($G8),$G8,$F8+$E8-$D8)),2,IF(AND(DC$2&gt;=$D8,DC$2&lt;=$E8),1,"")))</f>
        <v/>
      </c>
      <c r="DD8" s="38">
        <f>IF(OR(DD$2="",$D8=""),"",IF(AND(ISNUMBER($F8),DD$2&gt;=$F8,DD$2&lt;=IF(ISNUMBER($G8),$G8,$F8+$E8-$D8)),2,IF(AND(DD$2&gt;=$D8,DD$2&lt;=$E8),1,"")))</f>
        <v/>
      </c>
      <c r="DE8" s="38">
        <f>IF(OR(DE$2="",$D8=""),"",IF(AND(ISNUMBER($F8),DE$2&gt;=$F8,DE$2&lt;=IF(ISNUMBER($G8),$G8,$F8+$E8-$D8)),2,IF(AND(DE$2&gt;=$D8,DE$2&lt;=$E8),1,"")))</f>
        <v/>
      </c>
      <c r="DF8" s="38">
        <f>IF(OR(DF$2="",$D8=""),"",IF(AND(ISNUMBER($F8),DF$2&gt;=$F8,DF$2&lt;=IF(ISNUMBER($G8),$G8,$F8+$E8-$D8)),2,IF(AND(DF$2&gt;=$D8,DF$2&lt;=$E8),1,"")))</f>
        <v/>
      </c>
      <c r="DG8" s="38">
        <f>IF(OR(DG$2="",$D8=""),"",IF(AND(ISNUMBER($F8),DG$2&gt;=$F8,DG$2&lt;=IF(ISNUMBER($G8),$G8,$F8+$E8-$D8)),2,IF(AND(DG$2&gt;=$D8,DG$2&lt;=$E8),1,"")))</f>
        <v/>
      </c>
      <c r="DH8" s="38">
        <f>IF(OR(DH$2="",$D8=""),"",IF(AND(ISNUMBER($F8),DH$2&gt;=$F8,DH$2&lt;=IF(ISNUMBER($G8),$G8,$F8+$E8-$D8)),2,IF(AND(DH$2&gt;=$D8,DH$2&lt;=$E8),1,"")))</f>
        <v/>
      </c>
      <c r="DI8" s="38">
        <f>IF(OR(DI$2="",$D8=""),"",IF(AND(ISNUMBER($F8),DI$2&gt;=$F8,DI$2&lt;=IF(ISNUMBER($G8),$G8,$F8+$E8-$D8)),2,IF(AND(DI$2&gt;=$D8,DI$2&lt;=$E8),1,"")))</f>
        <v/>
      </c>
      <c r="DJ8" s="38">
        <f>IF(OR(DJ$2="",$D8=""),"",IF(AND(ISNUMBER($F8),DJ$2&gt;=$F8,DJ$2&lt;=IF(ISNUMBER($G8),$G8,$F8+$E8-$D8)),2,IF(AND(DJ$2&gt;=$D8,DJ$2&lt;=$E8),1,"")))</f>
        <v/>
      </c>
      <c r="DK8" s="38">
        <f>IF(OR(DK$2="",$D8=""),"",IF(AND(ISNUMBER($F8),DK$2&gt;=$F8,DK$2&lt;=IF(ISNUMBER($G8),$G8,$F8+$E8-$D8)),2,IF(AND(DK$2&gt;=$D8,DK$2&lt;=$E8),1,"")))</f>
        <v/>
      </c>
      <c r="DL8" s="38">
        <f>IF(OR(DL$2="",$D8=""),"",IF(AND(ISNUMBER($F8),DL$2&gt;=$F8,DL$2&lt;=IF(ISNUMBER($G8),$G8,$F8+$E8-$D8)),2,IF(AND(DL$2&gt;=$D8,DL$2&lt;=$E8),1,"")))</f>
        <v/>
      </c>
      <c r="DM8" s="38">
        <f>IF(OR(DM$2="",$D8=""),"",IF(AND(ISNUMBER($F8),DM$2&gt;=$F8,DM$2&lt;=IF(ISNUMBER($G8),$G8,$F8+$E8-$D8)),2,IF(AND(DM$2&gt;=$D8,DM$2&lt;=$E8),1,"")))</f>
        <v/>
      </c>
      <c r="DN8" s="38">
        <f>IF(OR(DN$2="",$D8=""),"",IF(AND(ISNUMBER($F8),DN$2&gt;=$F8,DN$2&lt;=IF(ISNUMBER($G8),$G8,$F8+$E8-$D8)),2,IF(AND(DN$2&gt;=$D8,DN$2&lt;=$E8),1,"")))</f>
        <v/>
      </c>
      <c r="DO8" s="38">
        <f>IF(OR(DO$2="",$D8=""),"",IF(AND(ISNUMBER($F8),DO$2&gt;=$F8,DO$2&lt;=IF(ISNUMBER($G8),$G8,$F8+$E8-$D8)),2,IF(AND(DO$2&gt;=$D8,DO$2&lt;=$E8),1,"")))</f>
        <v/>
      </c>
      <c r="DP8" s="38">
        <f>IF(OR(DP$2="",$D8=""),"",IF(AND(ISNUMBER($F8),DP$2&gt;=$F8,DP$2&lt;=IF(ISNUMBER($G8),$G8,$F8+$E8-$D8)),2,IF(AND(DP$2&gt;=$D8,DP$2&lt;=$E8),1,"")))</f>
        <v/>
      </c>
      <c r="DQ8" s="38">
        <f>IF(OR(DQ$2="",$D8=""),"",IF(AND(ISNUMBER($F8),DQ$2&gt;=$F8,DQ$2&lt;=IF(ISNUMBER($G8),$G8,$F8+$E8-$D8)),2,IF(AND(DQ$2&gt;=$D8,DQ$2&lt;=$E8),1,"")))</f>
        <v/>
      </c>
      <c r="DR8" s="38">
        <f>IF(OR(DR$2="",$D8=""),"",IF(AND(ISNUMBER($F8),DR$2&gt;=$F8,DR$2&lt;=IF(ISNUMBER($G8),$G8,$F8+$E8-$D8)),2,IF(AND(DR$2&gt;=$D8,DR$2&lt;=$E8),1,"")))</f>
        <v/>
      </c>
      <c r="DS8" s="38">
        <f>IF(OR(DS$2="",$D8=""),"",IF(AND(ISNUMBER($F8),DS$2&gt;=$F8,DS$2&lt;=IF(ISNUMBER($G8),$G8,$F8+$E8-$D8)),2,IF(AND(DS$2&gt;=$D8,DS$2&lt;=$E8),1,"")))</f>
        <v/>
      </c>
      <c r="DT8" s="38">
        <f>IF(OR(DT$2="",$D8=""),"",IF(AND(ISNUMBER($F8),DT$2&gt;=$F8,DT$2&lt;=IF(ISNUMBER($G8),$G8,$F8+$E8-$D8)),2,IF(AND(DT$2&gt;=$D8,DT$2&lt;=$E8),1,"")))</f>
        <v/>
      </c>
      <c r="DU8" s="38">
        <f>IF(OR(DU$2="",$D8=""),"",IF(AND(ISNUMBER($F8),DU$2&gt;=$F8,DU$2&lt;=IF(ISNUMBER($G8),$G8,$F8+$E8-$D8)),2,IF(AND(DU$2&gt;=$D8,DU$2&lt;=$E8),1,"")))</f>
        <v/>
      </c>
      <c r="DV8" s="38">
        <f>IF(OR(DV$2="",$D8=""),"",IF(AND(ISNUMBER($F8),DV$2&gt;=$F8,DV$2&lt;=IF(ISNUMBER($G8),$G8,$F8+$E8-$D8)),2,IF(AND(DV$2&gt;=$D8,DV$2&lt;=$E8),1,"")))</f>
        <v/>
      </c>
      <c r="DW8" s="38">
        <f>IF(OR(DW$2="",$D8=""),"",IF(AND(ISNUMBER($F8),DW$2&gt;=$F8,DW$2&lt;=IF(ISNUMBER($G8),$G8,$F8+$E8-$D8)),2,IF(AND(DW$2&gt;=$D8,DW$2&lt;=$E8),1,"")))</f>
        <v/>
      </c>
      <c r="DX8" s="38">
        <f>IF(OR(DX$2="",$D8=""),"",IF(AND(ISNUMBER($F8),DX$2&gt;=$F8,DX$2&lt;=IF(ISNUMBER($G8),$G8,$F8+$E8-$D8)),2,IF(AND(DX$2&gt;=$D8,DX$2&lt;=$E8),1,"")))</f>
        <v/>
      </c>
      <c r="DY8" s="38">
        <f>IF(OR(DY$2="",$D8=""),"",IF(AND(ISNUMBER($F8),DY$2&gt;=$F8,DY$2&lt;=IF(ISNUMBER($G8),$G8,$F8+$E8-$D8)),2,IF(AND(DY$2&gt;=$D8,DY$2&lt;=$E8),1,"")))</f>
        <v/>
      </c>
      <c r="DZ8" s="38">
        <f>IF(OR(DZ$2="",$D8=""),"",IF(AND(ISNUMBER($F8),DZ$2&gt;=$F8,DZ$2&lt;=IF(ISNUMBER($G8),$G8,$F8+$E8-$D8)),2,IF(AND(DZ$2&gt;=$D8,DZ$2&lt;=$E8),1,"")))</f>
        <v/>
      </c>
      <c r="EA8" s="38">
        <f>IF(OR(EA$2="",$D8=""),"",IF(AND(ISNUMBER($F8),EA$2&gt;=$F8,EA$2&lt;=IF(ISNUMBER($G8),$G8,$F8+$E8-$D8)),2,IF(AND(EA$2&gt;=$D8,EA$2&lt;=$E8),1,"")))</f>
        <v/>
      </c>
      <c r="EB8" s="38">
        <f>IF(OR(EB$2="",$D8=""),"",IF(AND(ISNUMBER($F8),EB$2&gt;=$F8,EB$2&lt;=IF(ISNUMBER($G8),$G8,$F8+$E8-$D8)),2,IF(AND(EB$2&gt;=$D8,EB$2&lt;=$E8),1,"")))</f>
        <v/>
      </c>
      <c r="EC8" s="38">
        <f>IF(OR(EC$2="",$D8=""),"",IF(AND(ISNUMBER($F8),EC$2&gt;=$F8,EC$2&lt;=IF(ISNUMBER($G8),$G8,$F8+$E8-$D8)),2,IF(AND(EC$2&gt;=$D8,EC$2&lt;=$E8),1,"")))</f>
        <v/>
      </c>
      <c r="ED8" s="38">
        <f>IF(OR(ED$2="",$D8=""),"",IF(AND(ISNUMBER($F8),ED$2&gt;=$F8,ED$2&lt;=IF(ISNUMBER($G8),$G8,$F8+$E8-$D8)),2,IF(AND(ED$2&gt;=$D8,ED$2&lt;=$E8),1,"")))</f>
        <v/>
      </c>
      <c r="EE8" s="38">
        <f>IF(OR(EE$2="",$D8=""),"",IF(AND(ISNUMBER($F8),EE$2&gt;=$F8,EE$2&lt;=IF(ISNUMBER($G8),$G8,$F8+$E8-$D8)),2,IF(AND(EE$2&gt;=$D8,EE$2&lt;=$E8),1,"")))</f>
        <v/>
      </c>
      <c r="EF8" s="38">
        <f>IF(OR(EF$2="",$D8=""),"",IF(AND(ISNUMBER($F8),EF$2&gt;=$F8,EF$2&lt;=IF(ISNUMBER($G8),$G8,$F8+$E8-$D8)),2,IF(AND(EF$2&gt;=$D8,EF$2&lt;=$E8),1,"")))</f>
        <v/>
      </c>
      <c r="EG8" s="38">
        <f>IF(OR(EG$2="",$D8=""),"",IF(AND(ISNUMBER($F8),EG$2&gt;=$F8,EG$2&lt;=IF(ISNUMBER($G8),$G8,$F8+$E8-$D8)),2,IF(AND(EG$2&gt;=$D8,EG$2&lt;=$E8),1,"")))</f>
        <v/>
      </c>
      <c r="EH8" s="38">
        <f>IF(OR(EH$2="",$D8=""),"",IF(AND(ISNUMBER($F8),EH$2&gt;=$F8,EH$2&lt;=IF(ISNUMBER($G8),$G8,$F8+$E8-$D8)),2,IF(AND(EH$2&gt;=$D8,EH$2&lt;=$E8),1,"")))</f>
        <v/>
      </c>
      <c r="EI8" s="38">
        <f>IF(OR(EI$2="",$D8=""),"",IF(AND(ISNUMBER($F8),EI$2&gt;=$F8,EI$2&lt;=IF(ISNUMBER($G8),$G8,$F8+$E8-$D8)),2,IF(AND(EI$2&gt;=$D8,EI$2&lt;=$E8),1,"")))</f>
        <v/>
      </c>
      <c r="EJ8" s="38">
        <f>IF(OR(EJ$2="",$D8=""),"",IF(AND(ISNUMBER($F8),EJ$2&gt;=$F8,EJ$2&lt;=IF(ISNUMBER($G8),$G8,$F8+$E8-$D8)),2,IF(AND(EJ$2&gt;=$D8,EJ$2&lt;=$E8),1,"")))</f>
        <v/>
      </c>
      <c r="EK8" s="38">
        <f>IF(OR(EK$2="",$D8=""),"",IF(AND(ISNUMBER($F8),EK$2&gt;=$F8,EK$2&lt;=IF(ISNUMBER($G8),$G8,$F8+$E8-$D8)),2,IF(AND(EK$2&gt;=$D8,EK$2&lt;=$E8),1,"")))</f>
        <v/>
      </c>
      <c r="EL8" s="38">
        <f>IF(OR(EL$2="",$D8=""),"",IF(AND(ISNUMBER($F8),EL$2&gt;=$F8,EL$2&lt;=IF(ISNUMBER($G8),$G8,$F8+$E8-$D8)),2,IF(AND(EL$2&gt;=$D8,EL$2&lt;=$E8),1,"")))</f>
        <v/>
      </c>
      <c r="EM8" s="38">
        <f>IF(OR(EM$2="",$D8=""),"",IF(AND(ISNUMBER($F8),EM$2&gt;=$F8,EM$2&lt;=IF(ISNUMBER($G8),$G8,$F8+$E8-$D8)),2,IF(AND(EM$2&gt;=$D8,EM$2&lt;=$E8),1,"")))</f>
        <v/>
      </c>
      <c r="EN8" s="38">
        <f>IF(OR(EN$2="",$D8=""),"",IF(AND(ISNUMBER($F8),EN$2&gt;=$F8,EN$2&lt;=IF(ISNUMBER($G8),$G8,$F8+$E8-$D8)),2,IF(AND(EN$2&gt;=$D8,EN$2&lt;=$E8),1,"")))</f>
        <v/>
      </c>
      <c r="EO8" s="38">
        <f>IF(OR(EO$2="",$D8=""),"",IF(AND(ISNUMBER($F8),EO$2&gt;=$F8,EO$2&lt;=IF(ISNUMBER($G8),$G8,$F8+$E8-$D8)),2,IF(AND(EO$2&gt;=$D8,EO$2&lt;=$E8),1,"")))</f>
        <v/>
      </c>
      <c r="EP8" s="38">
        <f>IF(OR(EP$2="",$D8=""),"",IF(AND(ISNUMBER($F8),EP$2&gt;=$F8,EP$2&lt;=IF(ISNUMBER($G8),$G8,$F8+$E8-$D8)),2,IF(AND(EP$2&gt;=$D8,EP$2&lt;=$E8),1,"")))</f>
        <v/>
      </c>
      <c r="EQ8" s="38">
        <f>IF(OR(EQ$2="",$D8=""),"",IF(AND(ISNUMBER($F8),EQ$2&gt;=$F8,EQ$2&lt;=IF(ISNUMBER($G8),$G8,$F8+$E8-$D8)),2,IF(AND(EQ$2&gt;=$D8,EQ$2&lt;=$E8),1,"")))</f>
        <v/>
      </c>
      <c r="ER8" s="38">
        <f>IF(OR(ER$2="",$D8=""),"",IF(AND(ISNUMBER($F8),ER$2&gt;=$F8,ER$2&lt;=IF(ISNUMBER($G8),$G8,$F8+$E8-$D8)),2,IF(AND(ER$2&gt;=$D8,ER$2&lt;=$E8),1,"")))</f>
        <v/>
      </c>
      <c r="ES8" s="38">
        <f>IF(OR(ES$2="",$D8=""),"",IF(AND(ISNUMBER($F8),ES$2&gt;=$F8,ES$2&lt;=IF(ISNUMBER($G8),$G8,$F8+$E8-$D8)),2,IF(AND(ES$2&gt;=$D8,ES$2&lt;=$E8),1,"")))</f>
        <v/>
      </c>
      <c r="ET8" s="38">
        <f>IF(OR(ET$2="",$D8=""),"",IF(AND(ISNUMBER($F8),ET$2&gt;=$F8,ET$2&lt;=IF(ISNUMBER($G8),$G8,$F8+$E8-$D8)),2,IF(AND(ET$2&gt;=$D8,ET$2&lt;=$E8),1,"")))</f>
        <v/>
      </c>
      <c r="EU8" s="38">
        <f>IF(OR(EU$2="",$D8=""),"",IF(AND(ISNUMBER($F8),EU$2&gt;=$F8,EU$2&lt;=IF(ISNUMBER($G8),$G8,$F8+$E8-$D8)),2,IF(AND(EU$2&gt;=$D8,EU$2&lt;=$E8),1,"")))</f>
        <v/>
      </c>
      <c r="EV8" s="38">
        <f>IF(OR(EV$2="",$D8=""),"",IF(AND(ISNUMBER($F8),EV$2&gt;=$F8,EV$2&lt;=IF(ISNUMBER($G8),$G8,$F8+$E8-$D8)),2,IF(AND(EV$2&gt;=$D8,EV$2&lt;=$E8),1,"")))</f>
        <v/>
      </c>
      <c r="EW8" s="38">
        <f>IF(OR(EW$2="",$D8=""),"",IF(AND(ISNUMBER($F8),EW$2&gt;=$F8,EW$2&lt;=IF(ISNUMBER($G8),$G8,$F8+$E8-$D8)),2,IF(AND(EW$2&gt;=$D8,EW$2&lt;=$E8),1,"")))</f>
        <v/>
      </c>
      <c r="EX8" s="38">
        <f>IF(OR(EX$2="",$D8=""),"",IF(AND(ISNUMBER($F8),EX$2&gt;=$F8,EX$2&lt;=IF(ISNUMBER($G8),$G8,$F8+$E8-$D8)),2,IF(AND(EX$2&gt;=$D8,EX$2&lt;=$E8),1,"")))</f>
        <v/>
      </c>
      <c r="EY8" s="38">
        <f>IF(OR(EY$2="",$D8=""),"",IF(AND(ISNUMBER($F8),EY$2&gt;=$F8,EY$2&lt;=IF(ISNUMBER($G8),$G8,$F8+$E8-$D8)),2,IF(AND(EY$2&gt;=$D8,EY$2&lt;=$E8),1,"")))</f>
        <v/>
      </c>
      <c r="EZ8" s="38">
        <f>IF(OR(EZ$2="",$D8=""),"",IF(AND(ISNUMBER($F8),EZ$2&gt;=$F8,EZ$2&lt;=IF(ISNUMBER($G8),$G8,$F8+$E8-$D8)),2,IF(AND(EZ$2&gt;=$D8,EZ$2&lt;=$E8),1,"")))</f>
        <v/>
      </c>
      <c r="FA8" s="38">
        <f>IF(OR(FA$2="",$D8=""),"",IF(AND(ISNUMBER($F8),FA$2&gt;=$F8,FA$2&lt;=IF(ISNUMBER($G8),$G8,$F8+$E8-$D8)),2,IF(AND(FA$2&gt;=$D8,FA$2&lt;=$E8),1,"")))</f>
        <v/>
      </c>
      <c r="FB8" s="38">
        <f>IF(OR(FB$2="",$D8=""),"",IF(AND(ISNUMBER($F8),FB$2&gt;=$F8,FB$2&lt;=IF(ISNUMBER($G8),$G8,$F8+$E8-$D8)),2,IF(AND(FB$2&gt;=$D8,FB$2&lt;=$E8),1,"")))</f>
        <v/>
      </c>
      <c r="FC8" s="38">
        <f>IF(OR(FC$2="",$D8=""),"",IF(AND(ISNUMBER($F8),FC$2&gt;=$F8,FC$2&lt;=IF(ISNUMBER($G8),$G8,$F8+$E8-$D8)),2,IF(AND(FC$2&gt;=$D8,FC$2&lt;=$E8),1,"")))</f>
        <v/>
      </c>
      <c r="FD8" s="38">
        <f>IF(OR(FD$2="",$D8=""),"",IF(AND(ISNUMBER($F8),FD$2&gt;=$F8,FD$2&lt;=IF(ISNUMBER($G8),$G8,$F8+$E8-$D8)),2,IF(AND(FD$2&gt;=$D8,FD$2&lt;=$E8),1,"")))</f>
        <v/>
      </c>
      <c r="FE8" s="38">
        <f>IF(OR(FE$2="",$D8=""),"",IF(AND(ISNUMBER($F8),FE$2&gt;=$F8,FE$2&lt;=IF(ISNUMBER($G8),$G8,$F8+$E8-$D8)),2,IF(AND(FE$2&gt;=$D8,FE$2&lt;=$E8),1,"")))</f>
        <v/>
      </c>
      <c r="FF8" s="38">
        <f>IF(OR(FF$2="",$D8=""),"",IF(AND(ISNUMBER($F8),FF$2&gt;=$F8,FF$2&lt;=IF(ISNUMBER($G8),$G8,$F8+$E8-$D8)),2,IF(AND(FF$2&gt;=$D8,FF$2&lt;=$E8),1,"")))</f>
        <v/>
      </c>
      <c r="FG8" s="38">
        <f>IF(OR(FG$2="",$D8=""),"",IF(AND(ISNUMBER($F8),FG$2&gt;=$F8,FG$2&lt;=IF(ISNUMBER($G8),$G8,$F8+$E8-$D8)),2,IF(AND(FG$2&gt;=$D8,FG$2&lt;=$E8),1,"")))</f>
        <v/>
      </c>
      <c r="FH8" s="38">
        <f>IF(OR(FH$2="",$D8=""),"",IF(AND(ISNUMBER($F8),FH$2&gt;=$F8,FH$2&lt;=IF(ISNUMBER($G8),$G8,$F8+$E8-$D8)),2,IF(AND(FH$2&gt;=$D8,FH$2&lt;=$E8),1,"")))</f>
        <v/>
      </c>
      <c r="FI8" s="38">
        <f>IF(OR(FI$2="",$D8=""),"",IF(AND(ISNUMBER($F8),FI$2&gt;=$F8,FI$2&lt;=IF(ISNUMBER($G8),$G8,$F8+$E8-$D8)),2,IF(AND(FI$2&gt;=$D8,FI$2&lt;=$E8),1,"")))</f>
        <v/>
      </c>
      <c r="FJ8" s="38">
        <f>IF(OR(FJ$2="",$D8=""),"",IF(AND(ISNUMBER($F8),FJ$2&gt;=$F8,FJ$2&lt;=IF(ISNUMBER($G8),$G8,$F8+$E8-$D8)),2,IF(AND(FJ$2&gt;=$D8,FJ$2&lt;=$E8),1,"")))</f>
        <v/>
      </c>
      <c r="FK8" s="38">
        <f>IF(OR(FK$2="",$D8=""),"",IF(AND(ISNUMBER($F8),FK$2&gt;=$F8,FK$2&lt;=IF(ISNUMBER($G8),$G8,$F8+$E8-$D8)),2,IF(AND(FK$2&gt;=$D8,FK$2&lt;=$E8),1,"")))</f>
        <v/>
      </c>
      <c r="FL8" s="38">
        <f>IF(OR(FL$2="",$D8=""),"",IF(AND(ISNUMBER($F8),FL$2&gt;=$F8,FL$2&lt;=IF(ISNUMBER($G8),$G8,$F8+$E8-$D8)),2,IF(AND(FL$2&gt;=$D8,FL$2&lt;=$E8),1,"")))</f>
        <v/>
      </c>
      <c r="FM8" s="38">
        <f>IF(OR(FM$2="",$D8=""),"",IF(AND(ISNUMBER($F8),FM$2&gt;=$F8,FM$2&lt;=IF(ISNUMBER($G8),$G8,$F8+$E8-$D8)),2,IF(AND(FM$2&gt;=$D8,FM$2&lt;=$E8),1,"")))</f>
        <v/>
      </c>
      <c r="FN8" s="38">
        <f>IF(OR(FN$2="",$D8=""),"",IF(AND(ISNUMBER($F8),FN$2&gt;=$F8,FN$2&lt;=IF(ISNUMBER($G8),$G8,$F8+$E8-$D8)),2,IF(AND(FN$2&gt;=$D8,FN$2&lt;=$E8),1,"")))</f>
        <v/>
      </c>
      <c r="FO8" s="38">
        <f>IF(OR(FO$2="",$D8=""),"",IF(AND(ISNUMBER($F8),FO$2&gt;=$F8,FO$2&lt;=IF(ISNUMBER($G8),$G8,$F8+$E8-$D8)),2,IF(AND(FO$2&gt;=$D8,FO$2&lt;=$E8),1,"")))</f>
        <v/>
      </c>
      <c r="FP8" s="38">
        <f>IF(OR(FP$2="",$D8=""),"",IF(AND(ISNUMBER($F8),FP$2&gt;=$F8,FP$2&lt;=IF(ISNUMBER($G8),$G8,$F8+$E8-$D8)),2,IF(AND(FP$2&gt;=$D8,FP$2&lt;=$E8),1,"")))</f>
        <v/>
      </c>
      <c r="FQ8" s="38">
        <f>IF(OR(FQ$2="",$D8=""),"",IF(AND(ISNUMBER($F8),FQ$2&gt;=$F8,FQ$2&lt;=IF(ISNUMBER($G8),$G8,$F8+$E8-$D8)),2,IF(AND(FQ$2&gt;=$D8,FQ$2&lt;=$E8),1,"")))</f>
        <v/>
      </c>
      <c r="FR8" s="38">
        <f>IF(OR(FR$2="",$D8=""),"",IF(AND(ISNUMBER($F8),FR$2&gt;=$F8,FR$2&lt;=IF(ISNUMBER($G8),$G8,$F8+$E8-$D8)),2,IF(AND(FR$2&gt;=$D8,FR$2&lt;=$E8),1,"")))</f>
        <v/>
      </c>
      <c r="FS8" s="38">
        <f>IF(OR(FS$2="",$D8=""),"",IF(AND(ISNUMBER($F8),FS$2&gt;=$F8,FS$2&lt;=IF(ISNUMBER($G8),$G8,$F8+$E8-$D8)),2,IF(AND(FS$2&gt;=$D8,FS$2&lt;=$E8),1,"")))</f>
        <v/>
      </c>
      <c r="FT8" s="38">
        <f>IF(OR(FT$2="",$D8=""),"",IF(AND(ISNUMBER($F8),FT$2&gt;=$F8,FT$2&lt;=IF(ISNUMBER($G8),$G8,$F8+$E8-$D8)),2,IF(AND(FT$2&gt;=$D8,FT$2&lt;=$E8),1,"")))</f>
        <v/>
      </c>
      <c r="FU8" s="38">
        <f>IF(OR(FU$2="",$D8=""),"",IF(AND(ISNUMBER($F8),FU$2&gt;=$F8,FU$2&lt;=IF(ISNUMBER($G8),$G8,$F8+$E8-$D8)),2,IF(AND(FU$2&gt;=$D8,FU$2&lt;=$E8),1,"")))</f>
        <v/>
      </c>
      <c r="FV8" s="38">
        <f>IF(OR(FV$2="",$D8=""),"",IF(AND(ISNUMBER($F8),FV$2&gt;=$F8,FV$2&lt;=IF(ISNUMBER($G8),$G8,$F8+$E8-$D8)),2,IF(AND(FV$2&gt;=$D8,FV$2&lt;=$E8),1,"")))</f>
        <v/>
      </c>
      <c r="FW8" s="38">
        <f>IF(OR(FW$2="",$D8=""),"",IF(AND(ISNUMBER($F8),FW$2&gt;=$F8,FW$2&lt;=IF(ISNUMBER($G8),$G8,$F8+$E8-$D8)),2,IF(AND(FW$2&gt;=$D8,FW$2&lt;=$E8),1,"")))</f>
        <v/>
      </c>
      <c r="FX8" s="38">
        <f>IF(OR(FX$2="",$D8=""),"",IF(AND(ISNUMBER($F8),FX$2&gt;=$F8,FX$2&lt;=IF(ISNUMBER($G8),$G8,$F8+$E8-$D8)),2,IF(AND(FX$2&gt;=$D8,FX$2&lt;=$E8),1,"")))</f>
        <v/>
      </c>
      <c r="FY8" s="38">
        <f>IF(OR(FY$2="",$D8=""),"",IF(AND(ISNUMBER($F8),FY$2&gt;=$F8,FY$2&lt;=IF(ISNUMBER($G8),$G8,$F8+$E8-$D8)),2,IF(AND(FY$2&gt;=$D8,FY$2&lt;=$E8),1,"")))</f>
        <v/>
      </c>
      <c r="FZ8" s="38">
        <f>IF(OR(FZ$2="",$D8=""),"",IF(AND(ISNUMBER($F8),FZ$2&gt;=$F8,FZ$2&lt;=IF(ISNUMBER($G8),$G8,$F8+$E8-$D8)),2,IF(AND(FZ$2&gt;=$D8,FZ$2&lt;=$E8),1,"")))</f>
        <v/>
      </c>
      <c r="GA8" s="38">
        <f>IF(OR(GA$2="",$D8=""),"",IF(AND(ISNUMBER($F8),GA$2&gt;=$F8,GA$2&lt;=IF(ISNUMBER($G8),$G8,$F8+$E8-$D8)),2,IF(AND(GA$2&gt;=$D8,GA$2&lt;=$E8),1,"")))</f>
        <v/>
      </c>
      <c r="GB8" s="38">
        <f>IF(OR(GB$2="",$D8=""),"",IF(AND(ISNUMBER($F8),GB$2&gt;=$F8,GB$2&lt;=IF(ISNUMBER($G8),$G8,$F8+$E8-$D8)),2,IF(AND(GB$2&gt;=$D8,GB$2&lt;=$E8),1,"")))</f>
        <v/>
      </c>
      <c r="GC8" s="38">
        <f>IF(OR(GC$2="",$D8=""),"",IF(AND(ISNUMBER($F8),GC$2&gt;=$F8,GC$2&lt;=IF(ISNUMBER($G8),$G8,$F8+$E8-$D8)),2,IF(AND(GC$2&gt;=$D8,GC$2&lt;=$E8),1,"")))</f>
        <v/>
      </c>
      <c r="GD8" s="38">
        <f>IF(OR(GD$2="",$D8=""),"",IF(AND(ISNUMBER($F8),GD$2&gt;=$F8,GD$2&lt;=IF(ISNUMBER($G8),$G8,$F8+$E8-$D8)),2,IF(AND(GD$2&gt;=$D8,GD$2&lt;=$E8),1,"")))</f>
        <v/>
      </c>
      <c r="GE8" s="38">
        <f>IF(OR(GE$2="",$D8=""),"",IF(AND(ISNUMBER($F8),GE$2&gt;=$F8,GE$2&lt;=IF(ISNUMBER($G8),$G8,$F8+$E8-$D8)),2,IF(AND(GE$2&gt;=$D8,GE$2&lt;=$E8),1,"")))</f>
        <v/>
      </c>
    </row>
    <row r="9">
      <c r="A9" s="36" t="inlineStr">
        <is>
          <t>Transplanting</t>
        </is>
      </c>
      <c r="B9" s="12" t="inlineStr">
        <is>
          <t>রোপণ</t>
        </is>
      </c>
      <c r="C9" s="12" t="inlineStr">
        <is>
          <t>3F4D+MD</t>
        </is>
      </c>
      <c r="D9" s="7">
        <f>IF(ISNUMBER(TransDate),TransDate,"")</f>
        <v/>
      </c>
      <c r="E9" s="7">
        <f>IF(D9="","",D9)</f>
        <v/>
      </c>
      <c r="F9" s="37" t="n"/>
      <c r="G9" s="7" t="n"/>
      <c r="H9" s="6">
        <f>IF(D9="","no plan",IF(F9&lt;&gt;"",IF(F9-D9&gt;=2,"LATE","OK"),IF(TODAY()&gt;D9+2,"OVERDUE","upcoming")))</f>
        <v/>
      </c>
      <c r="I9" s="6">
        <f>IF(AND(D9&lt;&gt;"",F9&lt;&gt;""),F9-D9,"")</f>
        <v/>
      </c>
      <c r="J9" s="7">
        <f>IF(F9&lt;&gt;"",F9,D9)</f>
        <v/>
      </c>
      <c r="K9" s="7">
        <f>IF(G9&lt;&gt;"",G9,IF(AND(F9&lt;&gt;"",E9=D9),F9,E9))</f>
        <v/>
      </c>
      <c r="L9" s="6">
        <f>IF(AND(D9&lt;&gt;"",F9="",D9&gt;=TODAY()),D9+ROW()/1000,"")</f>
        <v/>
      </c>
      <c r="M9" s="38">
        <f>IF(OR(M$2="",$D9=""),"",IF(AND(ISNUMBER($F9),M$2&gt;=$F9,M$2&lt;=IF(ISNUMBER($G9),$G9,$F9+$E9-$D9)),2,IF(AND(M$2&gt;=$D9,M$2&lt;=$E9),1,"")))</f>
        <v/>
      </c>
      <c r="N9" s="38">
        <f>IF(OR(N$2="",$D9=""),"",IF(AND(ISNUMBER($F9),N$2&gt;=$F9,N$2&lt;=IF(ISNUMBER($G9),$G9,$F9+$E9-$D9)),2,IF(AND(N$2&gt;=$D9,N$2&lt;=$E9),1,"")))</f>
        <v/>
      </c>
      <c r="O9" s="38">
        <f>IF(OR(O$2="",$D9=""),"",IF(AND(ISNUMBER($F9),O$2&gt;=$F9,O$2&lt;=IF(ISNUMBER($G9),$G9,$F9+$E9-$D9)),2,IF(AND(O$2&gt;=$D9,O$2&lt;=$E9),1,"")))</f>
        <v/>
      </c>
      <c r="P9" s="38">
        <f>IF(OR(P$2="",$D9=""),"",IF(AND(ISNUMBER($F9),P$2&gt;=$F9,P$2&lt;=IF(ISNUMBER($G9),$G9,$F9+$E9-$D9)),2,IF(AND(P$2&gt;=$D9,P$2&lt;=$E9),1,"")))</f>
        <v/>
      </c>
      <c r="Q9" s="38">
        <f>IF(OR(Q$2="",$D9=""),"",IF(AND(ISNUMBER($F9),Q$2&gt;=$F9,Q$2&lt;=IF(ISNUMBER($G9),$G9,$F9+$E9-$D9)),2,IF(AND(Q$2&gt;=$D9,Q$2&lt;=$E9),1,"")))</f>
        <v/>
      </c>
      <c r="R9" s="38">
        <f>IF(OR(R$2="",$D9=""),"",IF(AND(ISNUMBER($F9),R$2&gt;=$F9,R$2&lt;=IF(ISNUMBER($G9),$G9,$F9+$E9-$D9)),2,IF(AND(R$2&gt;=$D9,R$2&lt;=$E9),1,"")))</f>
        <v/>
      </c>
      <c r="S9" s="38">
        <f>IF(OR(S$2="",$D9=""),"",IF(AND(ISNUMBER($F9),S$2&gt;=$F9,S$2&lt;=IF(ISNUMBER($G9),$G9,$F9+$E9-$D9)),2,IF(AND(S$2&gt;=$D9,S$2&lt;=$E9),1,"")))</f>
        <v/>
      </c>
      <c r="T9" s="38">
        <f>IF(OR(T$2="",$D9=""),"",IF(AND(ISNUMBER($F9),T$2&gt;=$F9,T$2&lt;=IF(ISNUMBER($G9),$G9,$F9+$E9-$D9)),2,IF(AND(T$2&gt;=$D9,T$2&lt;=$E9),1,"")))</f>
        <v/>
      </c>
      <c r="U9" s="38">
        <f>IF(OR(U$2="",$D9=""),"",IF(AND(ISNUMBER($F9),U$2&gt;=$F9,U$2&lt;=IF(ISNUMBER($G9),$G9,$F9+$E9-$D9)),2,IF(AND(U$2&gt;=$D9,U$2&lt;=$E9),1,"")))</f>
        <v/>
      </c>
      <c r="V9" s="38">
        <f>IF(OR(V$2="",$D9=""),"",IF(AND(ISNUMBER($F9),V$2&gt;=$F9,V$2&lt;=IF(ISNUMBER($G9),$G9,$F9+$E9-$D9)),2,IF(AND(V$2&gt;=$D9,V$2&lt;=$E9),1,"")))</f>
        <v/>
      </c>
      <c r="W9" s="38">
        <f>IF(OR(W$2="",$D9=""),"",IF(AND(ISNUMBER($F9),W$2&gt;=$F9,W$2&lt;=IF(ISNUMBER($G9),$G9,$F9+$E9-$D9)),2,IF(AND(W$2&gt;=$D9,W$2&lt;=$E9),1,"")))</f>
        <v/>
      </c>
      <c r="X9" s="38">
        <f>IF(OR(X$2="",$D9=""),"",IF(AND(ISNUMBER($F9),X$2&gt;=$F9,X$2&lt;=IF(ISNUMBER($G9),$G9,$F9+$E9-$D9)),2,IF(AND(X$2&gt;=$D9,X$2&lt;=$E9),1,"")))</f>
        <v/>
      </c>
      <c r="Y9" s="38">
        <f>IF(OR(Y$2="",$D9=""),"",IF(AND(ISNUMBER($F9),Y$2&gt;=$F9,Y$2&lt;=IF(ISNUMBER($G9),$G9,$F9+$E9-$D9)),2,IF(AND(Y$2&gt;=$D9,Y$2&lt;=$E9),1,"")))</f>
        <v/>
      </c>
      <c r="Z9" s="38">
        <f>IF(OR(Z$2="",$D9=""),"",IF(AND(ISNUMBER($F9),Z$2&gt;=$F9,Z$2&lt;=IF(ISNUMBER($G9),$G9,$F9+$E9-$D9)),2,IF(AND(Z$2&gt;=$D9,Z$2&lt;=$E9),1,"")))</f>
        <v/>
      </c>
      <c r="AA9" s="38">
        <f>IF(OR(AA$2="",$D9=""),"",IF(AND(ISNUMBER($F9),AA$2&gt;=$F9,AA$2&lt;=IF(ISNUMBER($G9),$G9,$F9+$E9-$D9)),2,IF(AND(AA$2&gt;=$D9,AA$2&lt;=$E9),1,"")))</f>
        <v/>
      </c>
      <c r="AB9" s="38">
        <f>IF(OR(AB$2="",$D9=""),"",IF(AND(ISNUMBER($F9),AB$2&gt;=$F9,AB$2&lt;=IF(ISNUMBER($G9),$G9,$F9+$E9-$D9)),2,IF(AND(AB$2&gt;=$D9,AB$2&lt;=$E9),1,"")))</f>
        <v/>
      </c>
      <c r="AC9" s="38">
        <f>IF(OR(AC$2="",$D9=""),"",IF(AND(ISNUMBER($F9),AC$2&gt;=$F9,AC$2&lt;=IF(ISNUMBER($G9),$G9,$F9+$E9-$D9)),2,IF(AND(AC$2&gt;=$D9,AC$2&lt;=$E9),1,"")))</f>
        <v/>
      </c>
      <c r="AD9" s="38">
        <f>IF(OR(AD$2="",$D9=""),"",IF(AND(ISNUMBER($F9),AD$2&gt;=$F9,AD$2&lt;=IF(ISNUMBER($G9),$G9,$F9+$E9-$D9)),2,IF(AND(AD$2&gt;=$D9,AD$2&lt;=$E9),1,"")))</f>
        <v/>
      </c>
      <c r="AE9" s="38">
        <f>IF(OR(AE$2="",$D9=""),"",IF(AND(ISNUMBER($F9),AE$2&gt;=$F9,AE$2&lt;=IF(ISNUMBER($G9),$G9,$F9+$E9-$D9)),2,IF(AND(AE$2&gt;=$D9,AE$2&lt;=$E9),1,"")))</f>
        <v/>
      </c>
      <c r="AF9" s="38">
        <f>IF(OR(AF$2="",$D9=""),"",IF(AND(ISNUMBER($F9),AF$2&gt;=$F9,AF$2&lt;=IF(ISNUMBER($G9),$G9,$F9+$E9-$D9)),2,IF(AND(AF$2&gt;=$D9,AF$2&lt;=$E9),1,"")))</f>
        <v/>
      </c>
      <c r="AG9" s="38">
        <f>IF(OR(AG$2="",$D9=""),"",IF(AND(ISNUMBER($F9),AG$2&gt;=$F9,AG$2&lt;=IF(ISNUMBER($G9),$G9,$F9+$E9-$D9)),2,IF(AND(AG$2&gt;=$D9,AG$2&lt;=$E9),1,"")))</f>
        <v/>
      </c>
      <c r="AH9" s="38">
        <f>IF(OR(AH$2="",$D9=""),"",IF(AND(ISNUMBER($F9),AH$2&gt;=$F9,AH$2&lt;=IF(ISNUMBER($G9),$G9,$F9+$E9-$D9)),2,IF(AND(AH$2&gt;=$D9,AH$2&lt;=$E9),1,"")))</f>
        <v/>
      </c>
      <c r="AI9" s="38">
        <f>IF(OR(AI$2="",$D9=""),"",IF(AND(ISNUMBER($F9),AI$2&gt;=$F9,AI$2&lt;=IF(ISNUMBER($G9),$G9,$F9+$E9-$D9)),2,IF(AND(AI$2&gt;=$D9,AI$2&lt;=$E9),1,"")))</f>
        <v/>
      </c>
      <c r="AJ9" s="38">
        <f>IF(OR(AJ$2="",$D9=""),"",IF(AND(ISNUMBER($F9),AJ$2&gt;=$F9,AJ$2&lt;=IF(ISNUMBER($G9),$G9,$F9+$E9-$D9)),2,IF(AND(AJ$2&gt;=$D9,AJ$2&lt;=$E9),1,"")))</f>
        <v/>
      </c>
      <c r="AK9" s="38">
        <f>IF(OR(AK$2="",$D9=""),"",IF(AND(ISNUMBER($F9),AK$2&gt;=$F9,AK$2&lt;=IF(ISNUMBER($G9),$G9,$F9+$E9-$D9)),2,IF(AND(AK$2&gt;=$D9,AK$2&lt;=$E9),1,"")))</f>
        <v/>
      </c>
      <c r="AL9" s="38">
        <f>IF(OR(AL$2="",$D9=""),"",IF(AND(ISNUMBER($F9),AL$2&gt;=$F9,AL$2&lt;=IF(ISNUMBER($G9),$G9,$F9+$E9-$D9)),2,IF(AND(AL$2&gt;=$D9,AL$2&lt;=$E9),1,"")))</f>
        <v/>
      </c>
      <c r="AM9" s="38">
        <f>IF(OR(AM$2="",$D9=""),"",IF(AND(ISNUMBER($F9),AM$2&gt;=$F9,AM$2&lt;=IF(ISNUMBER($G9),$G9,$F9+$E9-$D9)),2,IF(AND(AM$2&gt;=$D9,AM$2&lt;=$E9),1,"")))</f>
        <v/>
      </c>
      <c r="AN9" s="38">
        <f>IF(OR(AN$2="",$D9=""),"",IF(AND(ISNUMBER($F9),AN$2&gt;=$F9,AN$2&lt;=IF(ISNUMBER($G9),$G9,$F9+$E9-$D9)),2,IF(AND(AN$2&gt;=$D9,AN$2&lt;=$E9),1,"")))</f>
        <v/>
      </c>
      <c r="AO9" s="38">
        <f>IF(OR(AO$2="",$D9=""),"",IF(AND(ISNUMBER($F9),AO$2&gt;=$F9,AO$2&lt;=IF(ISNUMBER($G9),$G9,$F9+$E9-$D9)),2,IF(AND(AO$2&gt;=$D9,AO$2&lt;=$E9),1,"")))</f>
        <v/>
      </c>
      <c r="AP9" s="38">
        <f>IF(OR(AP$2="",$D9=""),"",IF(AND(ISNUMBER($F9),AP$2&gt;=$F9,AP$2&lt;=IF(ISNUMBER($G9),$G9,$F9+$E9-$D9)),2,IF(AND(AP$2&gt;=$D9,AP$2&lt;=$E9),1,"")))</f>
        <v/>
      </c>
      <c r="AQ9" s="38">
        <f>IF(OR(AQ$2="",$D9=""),"",IF(AND(ISNUMBER($F9),AQ$2&gt;=$F9,AQ$2&lt;=IF(ISNUMBER($G9),$G9,$F9+$E9-$D9)),2,IF(AND(AQ$2&gt;=$D9,AQ$2&lt;=$E9),1,"")))</f>
        <v/>
      </c>
      <c r="AR9" s="38">
        <f>IF(OR(AR$2="",$D9=""),"",IF(AND(ISNUMBER($F9),AR$2&gt;=$F9,AR$2&lt;=IF(ISNUMBER($G9),$G9,$F9+$E9-$D9)),2,IF(AND(AR$2&gt;=$D9,AR$2&lt;=$E9),1,"")))</f>
        <v/>
      </c>
      <c r="AS9" s="38">
        <f>IF(OR(AS$2="",$D9=""),"",IF(AND(ISNUMBER($F9),AS$2&gt;=$F9,AS$2&lt;=IF(ISNUMBER($G9),$G9,$F9+$E9-$D9)),2,IF(AND(AS$2&gt;=$D9,AS$2&lt;=$E9),1,"")))</f>
        <v/>
      </c>
      <c r="AT9" s="38">
        <f>IF(OR(AT$2="",$D9=""),"",IF(AND(ISNUMBER($F9),AT$2&gt;=$F9,AT$2&lt;=IF(ISNUMBER($G9),$G9,$F9+$E9-$D9)),2,IF(AND(AT$2&gt;=$D9,AT$2&lt;=$E9),1,"")))</f>
        <v/>
      </c>
      <c r="AU9" s="38">
        <f>IF(OR(AU$2="",$D9=""),"",IF(AND(ISNUMBER($F9),AU$2&gt;=$F9,AU$2&lt;=IF(ISNUMBER($G9),$G9,$F9+$E9-$D9)),2,IF(AND(AU$2&gt;=$D9,AU$2&lt;=$E9),1,"")))</f>
        <v/>
      </c>
      <c r="AV9" s="38">
        <f>IF(OR(AV$2="",$D9=""),"",IF(AND(ISNUMBER($F9),AV$2&gt;=$F9,AV$2&lt;=IF(ISNUMBER($G9),$G9,$F9+$E9-$D9)),2,IF(AND(AV$2&gt;=$D9,AV$2&lt;=$E9),1,"")))</f>
        <v/>
      </c>
      <c r="AW9" s="38">
        <f>IF(OR(AW$2="",$D9=""),"",IF(AND(ISNUMBER($F9),AW$2&gt;=$F9,AW$2&lt;=IF(ISNUMBER($G9),$G9,$F9+$E9-$D9)),2,IF(AND(AW$2&gt;=$D9,AW$2&lt;=$E9),1,"")))</f>
        <v/>
      </c>
      <c r="AX9" s="38">
        <f>IF(OR(AX$2="",$D9=""),"",IF(AND(ISNUMBER($F9),AX$2&gt;=$F9,AX$2&lt;=IF(ISNUMBER($G9),$G9,$F9+$E9-$D9)),2,IF(AND(AX$2&gt;=$D9,AX$2&lt;=$E9),1,"")))</f>
        <v/>
      </c>
      <c r="AY9" s="38">
        <f>IF(OR(AY$2="",$D9=""),"",IF(AND(ISNUMBER($F9),AY$2&gt;=$F9,AY$2&lt;=IF(ISNUMBER($G9),$G9,$F9+$E9-$D9)),2,IF(AND(AY$2&gt;=$D9,AY$2&lt;=$E9),1,"")))</f>
        <v/>
      </c>
      <c r="AZ9" s="38">
        <f>IF(OR(AZ$2="",$D9=""),"",IF(AND(ISNUMBER($F9),AZ$2&gt;=$F9,AZ$2&lt;=IF(ISNUMBER($G9),$G9,$F9+$E9-$D9)),2,IF(AND(AZ$2&gt;=$D9,AZ$2&lt;=$E9),1,"")))</f>
        <v/>
      </c>
      <c r="BA9" s="38">
        <f>IF(OR(BA$2="",$D9=""),"",IF(AND(ISNUMBER($F9),BA$2&gt;=$F9,BA$2&lt;=IF(ISNUMBER($G9),$G9,$F9+$E9-$D9)),2,IF(AND(BA$2&gt;=$D9,BA$2&lt;=$E9),1,"")))</f>
        <v/>
      </c>
      <c r="BB9" s="38">
        <f>IF(OR(BB$2="",$D9=""),"",IF(AND(ISNUMBER($F9),BB$2&gt;=$F9,BB$2&lt;=IF(ISNUMBER($G9),$G9,$F9+$E9-$D9)),2,IF(AND(BB$2&gt;=$D9,BB$2&lt;=$E9),1,"")))</f>
        <v/>
      </c>
      <c r="BC9" s="38">
        <f>IF(OR(BC$2="",$D9=""),"",IF(AND(ISNUMBER($F9),BC$2&gt;=$F9,BC$2&lt;=IF(ISNUMBER($G9),$G9,$F9+$E9-$D9)),2,IF(AND(BC$2&gt;=$D9,BC$2&lt;=$E9),1,"")))</f>
        <v/>
      </c>
      <c r="BD9" s="38">
        <f>IF(OR(BD$2="",$D9=""),"",IF(AND(ISNUMBER($F9),BD$2&gt;=$F9,BD$2&lt;=IF(ISNUMBER($G9),$G9,$F9+$E9-$D9)),2,IF(AND(BD$2&gt;=$D9,BD$2&lt;=$E9),1,"")))</f>
        <v/>
      </c>
      <c r="BE9" s="38">
        <f>IF(OR(BE$2="",$D9=""),"",IF(AND(ISNUMBER($F9),BE$2&gt;=$F9,BE$2&lt;=IF(ISNUMBER($G9),$G9,$F9+$E9-$D9)),2,IF(AND(BE$2&gt;=$D9,BE$2&lt;=$E9),1,"")))</f>
        <v/>
      </c>
      <c r="BF9" s="38">
        <f>IF(OR(BF$2="",$D9=""),"",IF(AND(ISNUMBER($F9),BF$2&gt;=$F9,BF$2&lt;=IF(ISNUMBER($G9),$G9,$F9+$E9-$D9)),2,IF(AND(BF$2&gt;=$D9,BF$2&lt;=$E9),1,"")))</f>
        <v/>
      </c>
      <c r="BG9" s="38">
        <f>IF(OR(BG$2="",$D9=""),"",IF(AND(ISNUMBER($F9),BG$2&gt;=$F9,BG$2&lt;=IF(ISNUMBER($G9),$G9,$F9+$E9-$D9)),2,IF(AND(BG$2&gt;=$D9,BG$2&lt;=$E9),1,"")))</f>
        <v/>
      </c>
      <c r="BH9" s="38">
        <f>IF(OR(BH$2="",$D9=""),"",IF(AND(ISNUMBER($F9),BH$2&gt;=$F9,BH$2&lt;=IF(ISNUMBER($G9),$G9,$F9+$E9-$D9)),2,IF(AND(BH$2&gt;=$D9,BH$2&lt;=$E9),1,"")))</f>
        <v/>
      </c>
      <c r="BI9" s="38">
        <f>IF(OR(BI$2="",$D9=""),"",IF(AND(ISNUMBER($F9),BI$2&gt;=$F9,BI$2&lt;=IF(ISNUMBER($G9),$G9,$F9+$E9-$D9)),2,IF(AND(BI$2&gt;=$D9,BI$2&lt;=$E9),1,"")))</f>
        <v/>
      </c>
      <c r="BJ9" s="38">
        <f>IF(OR(BJ$2="",$D9=""),"",IF(AND(ISNUMBER($F9),BJ$2&gt;=$F9,BJ$2&lt;=IF(ISNUMBER($G9),$G9,$F9+$E9-$D9)),2,IF(AND(BJ$2&gt;=$D9,BJ$2&lt;=$E9),1,"")))</f>
        <v/>
      </c>
      <c r="BK9" s="38">
        <f>IF(OR(BK$2="",$D9=""),"",IF(AND(ISNUMBER($F9),BK$2&gt;=$F9,BK$2&lt;=IF(ISNUMBER($G9),$G9,$F9+$E9-$D9)),2,IF(AND(BK$2&gt;=$D9,BK$2&lt;=$E9),1,"")))</f>
        <v/>
      </c>
      <c r="BL9" s="38">
        <f>IF(OR(BL$2="",$D9=""),"",IF(AND(ISNUMBER($F9),BL$2&gt;=$F9,BL$2&lt;=IF(ISNUMBER($G9),$G9,$F9+$E9-$D9)),2,IF(AND(BL$2&gt;=$D9,BL$2&lt;=$E9),1,"")))</f>
        <v/>
      </c>
      <c r="BM9" s="38">
        <f>IF(OR(BM$2="",$D9=""),"",IF(AND(ISNUMBER($F9),BM$2&gt;=$F9,BM$2&lt;=IF(ISNUMBER($G9),$G9,$F9+$E9-$D9)),2,IF(AND(BM$2&gt;=$D9,BM$2&lt;=$E9),1,"")))</f>
        <v/>
      </c>
      <c r="BN9" s="38">
        <f>IF(OR(BN$2="",$D9=""),"",IF(AND(ISNUMBER($F9),BN$2&gt;=$F9,BN$2&lt;=IF(ISNUMBER($G9),$G9,$F9+$E9-$D9)),2,IF(AND(BN$2&gt;=$D9,BN$2&lt;=$E9),1,"")))</f>
        <v/>
      </c>
      <c r="BO9" s="38">
        <f>IF(OR(BO$2="",$D9=""),"",IF(AND(ISNUMBER($F9),BO$2&gt;=$F9,BO$2&lt;=IF(ISNUMBER($G9),$G9,$F9+$E9-$D9)),2,IF(AND(BO$2&gt;=$D9,BO$2&lt;=$E9),1,"")))</f>
        <v/>
      </c>
      <c r="BP9" s="38">
        <f>IF(OR(BP$2="",$D9=""),"",IF(AND(ISNUMBER($F9),BP$2&gt;=$F9,BP$2&lt;=IF(ISNUMBER($G9),$G9,$F9+$E9-$D9)),2,IF(AND(BP$2&gt;=$D9,BP$2&lt;=$E9),1,"")))</f>
        <v/>
      </c>
      <c r="BQ9" s="38">
        <f>IF(OR(BQ$2="",$D9=""),"",IF(AND(ISNUMBER($F9),BQ$2&gt;=$F9,BQ$2&lt;=IF(ISNUMBER($G9),$G9,$F9+$E9-$D9)),2,IF(AND(BQ$2&gt;=$D9,BQ$2&lt;=$E9),1,"")))</f>
        <v/>
      </c>
      <c r="BR9" s="38">
        <f>IF(OR(BR$2="",$D9=""),"",IF(AND(ISNUMBER($F9),BR$2&gt;=$F9,BR$2&lt;=IF(ISNUMBER($G9),$G9,$F9+$E9-$D9)),2,IF(AND(BR$2&gt;=$D9,BR$2&lt;=$E9),1,"")))</f>
        <v/>
      </c>
      <c r="BS9" s="38">
        <f>IF(OR(BS$2="",$D9=""),"",IF(AND(ISNUMBER($F9),BS$2&gt;=$F9,BS$2&lt;=IF(ISNUMBER($G9),$G9,$F9+$E9-$D9)),2,IF(AND(BS$2&gt;=$D9,BS$2&lt;=$E9),1,"")))</f>
        <v/>
      </c>
      <c r="BT9" s="38">
        <f>IF(OR(BT$2="",$D9=""),"",IF(AND(ISNUMBER($F9),BT$2&gt;=$F9,BT$2&lt;=IF(ISNUMBER($G9),$G9,$F9+$E9-$D9)),2,IF(AND(BT$2&gt;=$D9,BT$2&lt;=$E9),1,"")))</f>
        <v/>
      </c>
      <c r="BU9" s="38">
        <f>IF(OR(BU$2="",$D9=""),"",IF(AND(ISNUMBER($F9),BU$2&gt;=$F9,BU$2&lt;=IF(ISNUMBER($G9),$G9,$F9+$E9-$D9)),2,IF(AND(BU$2&gt;=$D9,BU$2&lt;=$E9),1,"")))</f>
        <v/>
      </c>
      <c r="BV9" s="38">
        <f>IF(OR(BV$2="",$D9=""),"",IF(AND(ISNUMBER($F9),BV$2&gt;=$F9,BV$2&lt;=IF(ISNUMBER($G9),$G9,$F9+$E9-$D9)),2,IF(AND(BV$2&gt;=$D9,BV$2&lt;=$E9),1,"")))</f>
        <v/>
      </c>
      <c r="BW9" s="38">
        <f>IF(OR(BW$2="",$D9=""),"",IF(AND(ISNUMBER($F9),BW$2&gt;=$F9,BW$2&lt;=IF(ISNUMBER($G9),$G9,$F9+$E9-$D9)),2,IF(AND(BW$2&gt;=$D9,BW$2&lt;=$E9),1,"")))</f>
        <v/>
      </c>
      <c r="BX9" s="38">
        <f>IF(OR(BX$2="",$D9=""),"",IF(AND(ISNUMBER($F9),BX$2&gt;=$F9,BX$2&lt;=IF(ISNUMBER($G9),$G9,$F9+$E9-$D9)),2,IF(AND(BX$2&gt;=$D9,BX$2&lt;=$E9),1,"")))</f>
        <v/>
      </c>
      <c r="BY9" s="38">
        <f>IF(OR(BY$2="",$D9=""),"",IF(AND(ISNUMBER($F9),BY$2&gt;=$F9,BY$2&lt;=IF(ISNUMBER($G9),$G9,$F9+$E9-$D9)),2,IF(AND(BY$2&gt;=$D9,BY$2&lt;=$E9),1,"")))</f>
        <v/>
      </c>
      <c r="BZ9" s="38">
        <f>IF(OR(BZ$2="",$D9=""),"",IF(AND(ISNUMBER($F9),BZ$2&gt;=$F9,BZ$2&lt;=IF(ISNUMBER($G9),$G9,$F9+$E9-$D9)),2,IF(AND(BZ$2&gt;=$D9,BZ$2&lt;=$E9),1,"")))</f>
        <v/>
      </c>
      <c r="CA9" s="38">
        <f>IF(OR(CA$2="",$D9=""),"",IF(AND(ISNUMBER($F9),CA$2&gt;=$F9,CA$2&lt;=IF(ISNUMBER($G9),$G9,$F9+$E9-$D9)),2,IF(AND(CA$2&gt;=$D9,CA$2&lt;=$E9),1,"")))</f>
        <v/>
      </c>
      <c r="CB9" s="38">
        <f>IF(OR(CB$2="",$D9=""),"",IF(AND(ISNUMBER($F9),CB$2&gt;=$F9,CB$2&lt;=IF(ISNUMBER($G9),$G9,$F9+$E9-$D9)),2,IF(AND(CB$2&gt;=$D9,CB$2&lt;=$E9),1,"")))</f>
        <v/>
      </c>
      <c r="CC9" s="38">
        <f>IF(OR(CC$2="",$D9=""),"",IF(AND(ISNUMBER($F9),CC$2&gt;=$F9,CC$2&lt;=IF(ISNUMBER($G9),$G9,$F9+$E9-$D9)),2,IF(AND(CC$2&gt;=$D9,CC$2&lt;=$E9),1,"")))</f>
        <v/>
      </c>
      <c r="CD9" s="38">
        <f>IF(OR(CD$2="",$D9=""),"",IF(AND(ISNUMBER($F9),CD$2&gt;=$F9,CD$2&lt;=IF(ISNUMBER($G9),$G9,$F9+$E9-$D9)),2,IF(AND(CD$2&gt;=$D9,CD$2&lt;=$E9),1,"")))</f>
        <v/>
      </c>
      <c r="CE9" s="38">
        <f>IF(OR(CE$2="",$D9=""),"",IF(AND(ISNUMBER($F9),CE$2&gt;=$F9,CE$2&lt;=IF(ISNUMBER($G9),$G9,$F9+$E9-$D9)),2,IF(AND(CE$2&gt;=$D9,CE$2&lt;=$E9),1,"")))</f>
        <v/>
      </c>
      <c r="CF9" s="38">
        <f>IF(OR(CF$2="",$D9=""),"",IF(AND(ISNUMBER($F9),CF$2&gt;=$F9,CF$2&lt;=IF(ISNUMBER($G9),$G9,$F9+$E9-$D9)),2,IF(AND(CF$2&gt;=$D9,CF$2&lt;=$E9),1,"")))</f>
        <v/>
      </c>
      <c r="CG9" s="38">
        <f>IF(OR(CG$2="",$D9=""),"",IF(AND(ISNUMBER($F9),CG$2&gt;=$F9,CG$2&lt;=IF(ISNUMBER($G9),$G9,$F9+$E9-$D9)),2,IF(AND(CG$2&gt;=$D9,CG$2&lt;=$E9),1,"")))</f>
        <v/>
      </c>
      <c r="CH9" s="38">
        <f>IF(OR(CH$2="",$D9=""),"",IF(AND(ISNUMBER($F9),CH$2&gt;=$F9,CH$2&lt;=IF(ISNUMBER($G9),$G9,$F9+$E9-$D9)),2,IF(AND(CH$2&gt;=$D9,CH$2&lt;=$E9),1,"")))</f>
        <v/>
      </c>
      <c r="CI9" s="38">
        <f>IF(OR(CI$2="",$D9=""),"",IF(AND(ISNUMBER($F9),CI$2&gt;=$F9,CI$2&lt;=IF(ISNUMBER($G9),$G9,$F9+$E9-$D9)),2,IF(AND(CI$2&gt;=$D9,CI$2&lt;=$E9),1,"")))</f>
        <v/>
      </c>
      <c r="CJ9" s="38">
        <f>IF(OR(CJ$2="",$D9=""),"",IF(AND(ISNUMBER($F9),CJ$2&gt;=$F9,CJ$2&lt;=IF(ISNUMBER($G9),$G9,$F9+$E9-$D9)),2,IF(AND(CJ$2&gt;=$D9,CJ$2&lt;=$E9),1,"")))</f>
        <v/>
      </c>
      <c r="CK9" s="38">
        <f>IF(OR(CK$2="",$D9=""),"",IF(AND(ISNUMBER($F9),CK$2&gt;=$F9,CK$2&lt;=IF(ISNUMBER($G9),$G9,$F9+$E9-$D9)),2,IF(AND(CK$2&gt;=$D9,CK$2&lt;=$E9),1,"")))</f>
        <v/>
      </c>
      <c r="CL9" s="38">
        <f>IF(OR(CL$2="",$D9=""),"",IF(AND(ISNUMBER($F9),CL$2&gt;=$F9,CL$2&lt;=IF(ISNUMBER($G9),$G9,$F9+$E9-$D9)),2,IF(AND(CL$2&gt;=$D9,CL$2&lt;=$E9),1,"")))</f>
        <v/>
      </c>
      <c r="CM9" s="38">
        <f>IF(OR(CM$2="",$D9=""),"",IF(AND(ISNUMBER($F9),CM$2&gt;=$F9,CM$2&lt;=IF(ISNUMBER($G9),$G9,$F9+$E9-$D9)),2,IF(AND(CM$2&gt;=$D9,CM$2&lt;=$E9),1,"")))</f>
        <v/>
      </c>
      <c r="CN9" s="38">
        <f>IF(OR(CN$2="",$D9=""),"",IF(AND(ISNUMBER($F9),CN$2&gt;=$F9,CN$2&lt;=IF(ISNUMBER($G9),$G9,$F9+$E9-$D9)),2,IF(AND(CN$2&gt;=$D9,CN$2&lt;=$E9),1,"")))</f>
        <v/>
      </c>
      <c r="CO9" s="38">
        <f>IF(OR(CO$2="",$D9=""),"",IF(AND(ISNUMBER($F9),CO$2&gt;=$F9,CO$2&lt;=IF(ISNUMBER($G9),$G9,$F9+$E9-$D9)),2,IF(AND(CO$2&gt;=$D9,CO$2&lt;=$E9),1,"")))</f>
        <v/>
      </c>
      <c r="CP9" s="38">
        <f>IF(OR(CP$2="",$D9=""),"",IF(AND(ISNUMBER($F9),CP$2&gt;=$F9,CP$2&lt;=IF(ISNUMBER($G9),$G9,$F9+$E9-$D9)),2,IF(AND(CP$2&gt;=$D9,CP$2&lt;=$E9),1,"")))</f>
        <v/>
      </c>
      <c r="CQ9" s="38">
        <f>IF(OR(CQ$2="",$D9=""),"",IF(AND(ISNUMBER($F9),CQ$2&gt;=$F9,CQ$2&lt;=IF(ISNUMBER($G9),$G9,$F9+$E9-$D9)),2,IF(AND(CQ$2&gt;=$D9,CQ$2&lt;=$E9),1,"")))</f>
        <v/>
      </c>
      <c r="CR9" s="38">
        <f>IF(OR(CR$2="",$D9=""),"",IF(AND(ISNUMBER($F9),CR$2&gt;=$F9,CR$2&lt;=IF(ISNUMBER($G9),$G9,$F9+$E9-$D9)),2,IF(AND(CR$2&gt;=$D9,CR$2&lt;=$E9),1,"")))</f>
        <v/>
      </c>
      <c r="CS9" s="38">
        <f>IF(OR(CS$2="",$D9=""),"",IF(AND(ISNUMBER($F9),CS$2&gt;=$F9,CS$2&lt;=IF(ISNUMBER($G9),$G9,$F9+$E9-$D9)),2,IF(AND(CS$2&gt;=$D9,CS$2&lt;=$E9),1,"")))</f>
        <v/>
      </c>
      <c r="CT9" s="38">
        <f>IF(OR(CT$2="",$D9=""),"",IF(AND(ISNUMBER($F9),CT$2&gt;=$F9,CT$2&lt;=IF(ISNUMBER($G9),$G9,$F9+$E9-$D9)),2,IF(AND(CT$2&gt;=$D9,CT$2&lt;=$E9),1,"")))</f>
        <v/>
      </c>
      <c r="CU9" s="38">
        <f>IF(OR(CU$2="",$D9=""),"",IF(AND(ISNUMBER($F9),CU$2&gt;=$F9,CU$2&lt;=IF(ISNUMBER($G9),$G9,$F9+$E9-$D9)),2,IF(AND(CU$2&gt;=$D9,CU$2&lt;=$E9),1,"")))</f>
        <v/>
      </c>
      <c r="CV9" s="38">
        <f>IF(OR(CV$2="",$D9=""),"",IF(AND(ISNUMBER($F9),CV$2&gt;=$F9,CV$2&lt;=IF(ISNUMBER($G9),$G9,$F9+$E9-$D9)),2,IF(AND(CV$2&gt;=$D9,CV$2&lt;=$E9),1,"")))</f>
        <v/>
      </c>
      <c r="CW9" s="38">
        <f>IF(OR(CW$2="",$D9=""),"",IF(AND(ISNUMBER($F9),CW$2&gt;=$F9,CW$2&lt;=IF(ISNUMBER($G9),$G9,$F9+$E9-$D9)),2,IF(AND(CW$2&gt;=$D9,CW$2&lt;=$E9),1,"")))</f>
        <v/>
      </c>
      <c r="CX9" s="38">
        <f>IF(OR(CX$2="",$D9=""),"",IF(AND(ISNUMBER($F9),CX$2&gt;=$F9,CX$2&lt;=IF(ISNUMBER($G9),$G9,$F9+$E9-$D9)),2,IF(AND(CX$2&gt;=$D9,CX$2&lt;=$E9),1,"")))</f>
        <v/>
      </c>
      <c r="CY9" s="38">
        <f>IF(OR(CY$2="",$D9=""),"",IF(AND(ISNUMBER($F9),CY$2&gt;=$F9,CY$2&lt;=IF(ISNUMBER($G9),$G9,$F9+$E9-$D9)),2,IF(AND(CY$2&gt;=$D9,CY$2&lt;=$E9),1,"")))</f>
        <v/>
      </c>
      <c r="CZ9" s="38">
        <f>IF(OR(CZ$2="",$D9=""),"",IF(AND(ISNUMBER($F9),CZ$2&gt;=$F9,CZ$2&lt;=IF(ISNUMBER($G9),$G9,$F9+$E9-$D9)),2,IF(AND(CZ$2&gt;=$D9,CZ$2&lt;=$E9),1,"")))</f>
        <v/>
      </c>
      <c r="DA9" s="38">
        <f>IF(OR(DA$2="",$D9=""),"",IF(AND(ISNUMBER($F9),DA$2&gt;=$F9,DA$2&lt;=IF(ISNUMBER($G9),$G9,$F9+$E9-$D9)),2,IF(AND(DA$2&gt;=$D9,DA$2&lt;=$E9),1,"")))</f>
        <v/>
      </c>
      <c r="DB9" s="38">
        <f>IF(OR(DB$2="",$D9=""),"",IF(AND(ISNUMBER($F9),DB$2&gt;=$F9,DB$2&lt;=IF(ISNUMBER($G9),$G9,$F9+$E9-$D9)),2,IF(AND(DB$2&gt;=$D9,DB$2&lt;=$E9),1,"")))</f>
        <v/>
      </c>
      <c r="DC9" s="38">
        <f>IF(OR(DC$2="",$D9=""),"",IF(AND(ISNUMBER($F9),DC$2&gt;=$F9,DC$2&lt;=IF(ISNUMBER($G9),$G9,$F9+$E9-$D9)),2,IF(AND(DC$2&gt;=$D9,DC$2&lt;=$E9),1,"")))</f>
        <v/>
      </c>
      <c r="DD9" s="38">
        <f>IF(OR(DD$2="",$D9=""),"",IF(AND(ISNUMBER($F9),DD$2&gt;=$F9,DD$2&lt;=IF(ISNUMBER($G9),$G9,$F9+$E9-$D9)),2,IF(AND(DD$2&gt;=$D9,DD$2&lt;=$E9),1,"")))</f>
        <v/>
      </c>
      <c r="DE9" s="38">
        <f>IF(OR(DE$2="",$D9=""),"",IF(AND(ISNUMBER($F9),DE$2&gt;=$F9,DE$2&lt;=IF(ISNUMBER($G9),$G9,$F9+$E9-$D9)),2,IF(AND(DE$2&gt;=$D9,DE$2&lt;=$E9),1,"")))</f>
        <v/>
      </c>
      <c r="DF9" s="38">
        <f>IF(OR(DF$2="",$D9=""),"",IF(AND(ISNUMBER($F9),DF$2&gt;=$F9,DF$2&lt;=IF(ISNUMBER($G9),$G9,$F9+$E9-$D9)),2,IF(AND(DF$2&gt;=$D9,DF$2&lt;=$E9),1,"")))</f>
        <v/>
      </c>
      <c r="DG9" s="38">
        <f>IF(OR(DG$2="",$D9=""),"",IF(AND(ISNUMBER($F9),DG$2&gt;=$F9,DG$2&lt;=IF(ISNUMBER($G9),$G9,$F9+$E9-$D9)),2,IF(AND(DG$2&gt;=$D9,DG$2&lt;=$E9),1,"")))</f>
        <v/>
      </c>
      <c r="DH9" s="38">
        <f>IF(OR(DH$2="",$D9=""),"",IF(AND(ISNUMBER($F9),DH$2&gt;=$F9,DH$2&lt;=IF(ISNUMBER($G9),$G9,$F9+$E9-$D9)),2,IF(AND(DH$2&gt;=$D9,DH$2&lt;=$E9),1,"")))</f>
        <v/>
      </c>
      <c r="DI9" s="38">
        <f>IF(OR(DI$2="",$D9=""),"",IF(AND(ISNUMBER($F9),DI$2&gt;=$F9,DI$2&lt;=IF(ISNUMBER($G9),$G9,$F9+$E9-$D9)),2,IF(AND(DI$2&gt;=$D9,DI$2&lt;=$E9),1,"")))</f>
        <v/>
      </c>
      <c r="DJ9" s="38">
        <f>IF(OR(DJ$2="",$D9=""),"",IF(AND(ISNUMBER($F9),DJ$2&gt;=$F9,DJ$2&lt;=IF(ISNUMBER($G9),$G9,$F9+$E9-$D9)),2,IF(AND(DJ$2&gt;=$D9,DJ$2&lt;=$E9),1,"")))</f>
        <v/>
      </c>
      <c r="DK9" s="38">
        <f>IF(OR(DK$2="",$D9=""),"",IF(AND(ISNUMBER($F9),DK$2&gt;=$F9,DK$2&lt;=IF(ISNUMBER($G9),$G9,$F9+$E9-$D9)),2,IF(AND(DK$2&gt;=$D9,DK$2&lt;=$E9),1,"")))</f>
        <v/>
      </c>
      <c r="DL9" s="38">
        <f>IF(OR(DL$2="",$D9=""),"",IF(AND(ISNUMBER($F9),DL$2&gt;=$F9,DL$2&lt;=IF(ISNUMBER($G9),$G9,$F9+$E9-$D9)),2,IF(AND(DL$2&gt;=$D9,DL$2&lt;=$E9),1,"")))</f>
        <v/>
      </c>
      <c r="DM9" s="38">
        <f>IF(OR(DM$2="",$D9=""),"",IF(AND(ISNUMBER($F9),DM$2&gt;=$F9,DM$2&lt;=IF(ISNUMBER($G9),$G9,$F9+$E9-$D9)),2,IF(AND(DM$2&gt;=$D9,DM$2&lt;=$E9),1,"")))</f>
        <v/>
      </c>
      <c r="DN9" s="38">
        <f>IF(OR(DN$2="",$D9=""),"",IF(AND(ISNUMBER($F9),DN$2&gt;=$F9,DN$2&lt;=IF(ISNUMBER($G9),$G9,$F9+$E9-$D9)),2,IF(AND(DN$2&gt;=$D9,DN$2&lt;=$E9),1,"")))</f>
        <v/>
      </c>
      <c r="DO9" s="38">
        <f>IF(OR(DO$2="",$D9=""),"",IF(AND(ISNUMBER($F9),DO$2&gt;=$F9,DO$2&lt;=IF(ISNUMBER($G9),$G9,$F9+$E9-$D9)),2,IF(AND(DO$2&gt;=$D9,DO$2&lt;=$E9),1,"")))</f>
        <v/>
      </c>
      <c r="DP9" s="38">
        <f>IF(OR(DP$2="",$D9=""),"",IF(AND(ISNUMBER($F9),DP$2&gt;=$F9,DP$2&lt;=IF(ISNUMBER($G9),$G9,$F9+$E9-$D9)),2,IF(AND(DP$2&gt;=$D9,DP$2&lt;=$E9),1,"")))</f>
        <v/>
      </c>
      <c r="DQ9" s="38">
        <f>IF(OR(DQ$2="",$D9=""),"",IF(AND(ISNUMBER($F9),DQ$2&gt;=$F9,DQ$2&lt;=IF(ISNUMBER($G9),$G9,$F9+$E9-$D9)),2,IF(AND(DQ$2&gt;=$D9,DQ$2&lt;=$E9),1,"")))</f>
        <v/>
      </c>
      <c r="DR9" s="38">
        <f>IF(OR(DR$2="",$D9=""),"",IF(AND(ISNUMBER($F9),DR$2&gt;=$F9,DR$2&lt;=IF(ISNUMBER($G9),$G9,$F9+$E9-$D9)),2,IF(AND(DR$2&gt;=$D9,DR$2&lt;=$E9),1,"")))</f>
        <v/>
      </c>
      <c r="DS9" s="38">
        <f>IF(OR(DS$2="",$D9=""),"",IF(AND(ISNUMBER($F9),DS$2&gt;=$F9,DS$2&lt;=IF(ISNUMBER($G9),$G9,$F9+$E9-$D9)),2,IF(AND(DS$2&gt;=$D9,DS$2&lt;=$E9),1,"")))</f>
        <v/>
      </c>
      <c r="DT9" s="38">
        <f>IF(OR(DT$2="",$D9=""),"",IF(AND(ISNUMBER($F9),DT$2&gt;=$F9,DT$2&lt;=IF(ISNUMBER($G9),$G9,$F9+$E9-$D9)),2,IF(AND(DT$2&gt;=$D9,DT$2&lt;=$E9),1,"")))</f>
        <v/>
      </c>
      <c r="DU9" s="38">
        <f>IF(OR(DU$2="",$D9=""),"",IF(AND(ISNUMBER($F9),DU$2&gt;=$F9,DU$2&lt;=IF(ISNUMBER($G9),$G9,$F9+$E9-$D9)),2,IF(AND(DU$2&gt;=$D9,DU$2&lt;=$E9),1,"")))</f>
        <v/>
      </c>
      <c r="DV9" s="38">
        <f>IF(OR(DV$2="",$D9=""),"",IF(AND(ISNUMBER($F9),DV$2&gt;=$F9,DV$2&lt;=IF(ISNUMBER($G9),$G9,$F9+$E9-$D9)),2,IF(AND(DV$2&gt;=$D9,DV$2&lt;=$E9),1,"")))</f>
        <v/>
      </c>
      <c r="DW9" s="38">
        <f>IF(OR(DW$2="",$D9=""),"",IF(AND(ISNUMBER($F9),DW$2&gt;=$F9,DW$2&lt;=IF(ISNUMBER($G9),$G9,$F9+$E9-$D9)),2,IF(AND(DW$2&gt;=$D9,DW$2&lt;=$E9),1,"")))</f>
        <v/>
      </c>
      <c r="DX9" s="38">
        <f>IF(OR(DX$2="",$D9=""),"",IF(AND(ISNUMBER($F9),DX$2&gt;=$F9,DX$2&lt;=IF(ISNUMBER($G9),$G9,$F9+$E9-$D9)),2,IF(AND(DX$2&gt;=$D9,DX$2&lt;=$E9),1,"")))</f>
        <v/>
      </c>
      <c r="DY9" s="38">
        <f>IF(OR(DY$2="",$D9=""),"",IF(AND(ISNUMBER($F9),DY$2&gt;=$F9,DY$2&lt;=IF(ISNUMBER($G9),$G9,$F9+$E9-$D9)),2,IF(AND(DY$2&gt;=$D9,DY$2&lt;=$E9),1,"")))</f>
        <v/>
      </c>
      <c r="DZ9" s="38">
        <f>IF(OR(DZ$2="",$D9=""),"",IF(AND(ISNUMBER($F9),DZ$2&gt;=$F9,DZ$2&lt;=IF(ISNUMBER($G9),$G9,$F9+$E9-$D9)),2,IF(AND(DZ$2&gt;=$D9,DZ$2&lt;=$E9),1,"")))</f>
        <v/>
      </c>
      <c r="EA9" s="38">
        <f>IF(OR(EA$2="",$D9=""),"",IF(AND(ISNUMBER($F9),EA$2&gt;=$F9,EA$2&lt;=IF(ISNUMBER($G9),$G9,$F9+$E9-$D9)),2,IF(AND(EA$2&gt;=$D9,EA$2&lt;=$E9),1,"")))</f>
        <v/>
      </c>
      <c r="EB9" s="38">
        <f>IF(OR(EB$2="",$D9=""),"",IF(AND(ISNUMBER($F9),EB$2&gt;=$F9,EB$2&lt;=IF(ISNUMBER($G9),$G9,$F9+$E9-$D9)),2,IF(AND(EB$2&gt;=$D9,EB$2&lt;=$E9),1,"")))</f>
        <v/>
      </c>
      <c r="EC9" s="38">
        <f>IF(OR(EC$2="",$D9=""),"",IF(AND(ISNUMBER($F9),EC$2&gt;=$F9,EC$2&lt;=IF(ISNUMBER($G9),$G9,$F9+$E9-$D9)),2,IF(AND(EC$2&gt;=$D9,EC$2&lt;=$E9),1,"")))</f>
        <v/>
      </c>
      <c r="ED9" s="38">
        <f>IF(OR(ED$2="",$D9=""),"",IF(AND(ISNUMBER($F9),ED$2&gt;=$F9,ED$2&lt;=IF(ISNUMBER($G9),$G9,$F9+$E9-$D9)),2,IF(AND(ED$2&gt;=$D9,ED$2&lt;=$E9),1,"")))</f>
        <v/>
      </c>
      <c r="EE9" s="38">
        <f>IF(OR(EE$2="",$D9=""),"",IF(AND(ISNUMBER($F9),EE$2&gt;=$F9,EE$2&lt;=IF(ISNUMBER($G9),$G9,$F9+$E9-$D9)),2,IF(AND(EE$2&gt;=$D9,EE$2&lt;=$E9),1,"")))</f>
        <v/>
      </c>
      <c r="EF9" s="38">
        <f>IF(OR(EF$2="",$D9=""),"",IF(AND(ISNUMBER($F9),EF$2&gt;=$F9,EF$2&lt;=IF(ISNUMBER($G9),$G9,$F9+$E9-$D9)),2,IF(AND(EF$2&gt;=$D9,EF$2&lt;=$E9),1,"")))</f>
        <v/>
      </c>
      <c r="EG9" s="38">
        <f>IF(OR(EG$2="",$D9=""),"",IF(AND(ISNUMBER($F9),EG$2&gt;=$F9,EG$2&lt;=IF(ISNUMBER($G9),$G9,$F9+$E9-$D9)),2,IF(AND(EG$2&gt;=$D9,EG$2&lt;=$E9),1,"")))</f>
        <v/>
      </c>
      <c r="EH9" s="38">
        <f>IF(OR(EH$2="",$D9=""),"",IF(AND(ISNUMBER($F9),EH$2&gt;=$F9,EH$2&lt;=IF(ISNUMBER($G9),$G9,$F9+$E9-$D9)),2,IF(AND(EH$2&gt;=$D9,EH$2&lt;=$E9),1,"")))</f>
        <v/>
      </c>
      <c r="EI9" s="38">
        <f>IF(OR(EI$2="",$D9=""),"",IF(AND(ISNUMBER($F9),EI$2&gt;=$F9,EI$2&lt;=IF(ISNUMBER($G9),$G9,$F9+$E9-$D9)),2,IF(AND(EI$2&gt;=$D9,EI$2&lt;=$E9),1,"")))</f>
        <v/>
      </c>
      <c r="EJ9" s="38">
        <f>IF(OR(EJ$2="",$D9=""),"",IF(AND(ISNUMBER($F9),EJ$2&gt;=$F9,EJ$2&lt;=IF(ISNUMBER($G9),$G9,$F9+$E9-$D9)),2,IF(AND(EJ$2&gt;=$D9,EJ$2&lt;=$E9),1,"")))</f>
        <v/>
      </c>
      <c r="EK9" s="38">
        <f>IF(OR(EK$2="",$D9=""),"",IF(AND(ISNUMBER($F9),EK$2&gt;=$F9,EK$2&lt;=IF(ISNUMBER($G9),$G9,$F9+$E9-$D9)),2,IF(AND(EK$2&gt;=$D9,EK$2&lt;=$E9),1,"")))</f>
        <v/>
      </c>
      <c r="EL9" s="38">
        <f>IF(OR(EL$2="",$D9=""),"",IF(AND(ISNUMBER($F9),EL$2&gt;=$F9,EL$2&lt;=IF(ISNUMBER($G9),$G9,$F9+$E9-$D9)),2,IF(AND(EL$2&gt;=$D9,EL$2&lt;=$E9),1,"")))</f>
        <v/>
      </c>
      <c r="EM9" s="38">
        <f>IF(OR(EM$2="",$D9=""),"",IF(AND(ISNUMBER($F9),EM$2&gt;=$F9,EM$2&lt;=IF(ISNUMBER($G9),$G9,$F9+$E9-$D9)),2,IF(AND(EM$2&gt;=$D9,EM$2&lt;=$E9),1,"")))</f>
        <v/>
      </c>
      <c r="EN9" s="38">
        <f>IF(OR(EN$2="",$D9=""),"",IF(AND(ISNUMBER($F9),EN$2&gt;=$F9,EN$2&lt;=IF(ISNUMBER($G9),$G9,$F9+$E9-$D9)),2,IF(AND(EN$2&gt;=$D9,EN$2&lt;=$E9),1,"")))</f>
        <v/>
      </c>
      <c r="EO9" s="38">
        <f>IF(OR(EO$2="",$D9=""),"",IF(AND(ISNUMBER($F9),EO$2&gt;=$F9,EO$2&lt;=IF(ISNUMBER($G9),$G9,$F9+$E9-$D9)),2,IF(AND(EO$2&gt;=$D9,EO$2&lt;=$E9),1,"")))</f>
        <v/>
      </c>
      <c r="EP9" s="38">
        <f>IF(OR(EP$2="",$D9=""),"",IF(AND(ISNUMBER($F9),EP$2&gt;=$F9,EP$2&lt;=IF(ISNUMBER($G9),$G9,$F9+$E9-$D9)),2,IF(AND(EP$2&gt;=$D9,EP$2&lt;=$E9),1,"")))</f>
        <v/>
      </c>
      <c r="EQ9" s="38">
        <f>IF(OR(EQ$2="",$D9=""),"",IF(AND(ISNUMBER($F9),EQ$2&gt;=$F9,EQ$2&lt;=IF(ISNUMBER($G9),$G9,$F9+$E9-$D9)),2,IF(AND(EQ$2&gt;=$D9,EQ$2&lt;=$E9),1,"")))</f>
        <v/>
      </c>
      <c r="ER9" s="38">
        <f>IF(OR(ER$2="",$D9=""),"",IF(AND(ISNUMBER($F9),ER$2&gt;=$F9,ER$2&lt;=IF(ISNUMBER($G9),$G9,$F9+$E9-$D9)),2,IF(AND(ER$2&gt;=$D9,ER$2&lt;=$E9),1,"")))</f>
        <v/>
      </c>
      <c r="ES9" s="38">
        <f>IF(OR(ES$2="",$D9=""),"",IF(AND(ISNUMBER($F9),ES$2&gt;=$F9,ES$2&lt;=IF(ISNUMBER($G9),$G9,$F9+$E9-$D9)),2,IF(AND(ES$2&gt;=$D9,ES$2&lt;=$E9),1,"")))</f>
        <v/>
      </c>
      <c r="ET9" s="38">
        <f>IF(OR(ET$2="",$D9=""),"",IF(AND(ISNUMBER($F9),ET$2&gt;=$F9,ET$2&lt;=IF(ISNUMBER($G9),$G9,$F9+$E9-$D9)),2,IF(AND(ET$2&gt;=$D9,ET$2&lt;=$E9),1,"")))</f>
        <v/>
      </c>
      <c r="EU9" s="38">
        <f>IF(OR(EU$2="",$D9=""),"",IF(AND(ISNUMBER($F9),EU$2&gt;=$F9,EU$2&lt;=IF(ISNUMBER($G9),$G9,$F9+$E9-$D9)),2,IF(AND(EU$2&gt;=$D9,EU$2&lt;=$E9),1,"")))</f>
        <v/>
      </c>
      <c r="EV9" s="38">
        <f>IF(OR(EV$2="",$D9=""),"",IF(AND(ISNUMBER($F9),EV$2&gt;=$F9,EV$2&lt;=IF(ISNUMBER($G9),$G9,$F9+$E9-$D9)),2,IF(AND(EV$2&gt;=$D9,EV$2&lt;=$E9),1,"")))</f>
        <v/>
      </c>
      <c r="EW9" s="38">
        <f>IF(OR(EW$2="",$D9=""),"",IF(AND(ISNUMBER($F9),EW$2&gt;=$F9,EW$2&lt;=IF(ISNUMBER($G9),$G9,$F9+$E9-$D9)),2,IF(AND(EW$2&gt;=$D9,EW$2&lt;=$E9),1,"")))</f>
        <v/>
      </c>
      <c r="EX9" s="38">
        <f>IF(OR(EX$2="",$D9=""),"",IF(AND(ISNUMBER($F9),EX$2&gt;=$F9,EX$2&lt;=IF(ISNUMBER($G9),$G9,$F9+$E9-$D9)),2,IF(AND(EX$2&gt;=$D9,EX$2&lt;=$E9),1,"")))</f>
        <v/>
      </c>
      <c r="EY9" s="38">
        <f>IF(OR(EY$2="",$D9=""),"",IF(AND(ISNUMBER($F9),EY$2&gt;=$F9,EY$2&lt;=IF(ISNUMBER($G9),$G9,$F9+$E9-$D9)),2,IF(AND(EY$2&gt;=$D9,EY$2&lt;=$E9),1,"")))</f>
        <v/>
      </c>
      <c r="EZ9" s="38">
        <f>IF(OR(EZ$2="",$D9=""),"",IF(AND(ISNUMBER($F9),EZ$2&gt;=$F9,EZ$2&lt;=IF(ISNUMBER($G9),$G9,$F9+$E9-$D9)),2,IF(AND(EZ$2&gt;=$D9,EZ$2&lt;=$E9),1,"")))</f>
        <v/>
      </c>
      <c r="FA9" s="38">
        <f>IF(OR(FA$2="",$D9=""),"",IF(AND(ISNUMBER($F9),FA$2&gt;=$F9,FA$2&lt;=IF(ISNUMBER($G9),$G9,$F9+$E9-$D9)),2,IF(AND(FA$2&gt;=$D9,FA$2&lt;=$E9),1,"")))</f>
        <v/>
      </c>
      <c r="FB9" s="38">
        <f>IF(OR(FB$2="",$D9=""),"",IF(AND(ISNUMBER($F9),FB$2&gt;=$F9,FB$2&lt;=IF(ISNUMBER($G9),$G9,$F9+$E9-$D9)),2,IF(AND(FB$2&gt;=$D9,FB$2&lt;=$E9),1,"")))</f>
        <v/>
      </c>
      <c r="FC9" s="38">
        <f>IF(OR(FC$2="",$D9=""),"",IF(AND(ISNUMBER($F9),FC$2&gt;=$F9,FC$2&lt;=IF(ISNUMBER($G9),$G9,$F9+$E9-$D9)),2,IF(AND(FC$2&gt;=$D9,FC$2&lt;=$E9),1,"")))</f>
        <v/>
      </c>
      <c r="FD9" s="38">
        <f>IF(OR(FD$2="",$D9=""),"",IF(AND(ISNUMBER($F9),FD$2&gt;=$F9,FD$2&lt;=IF(ISNUMBER($G9),$G9,$F9+$E9-$D9)),2,IF(AND(FD$2&gt;=$D9,FD$2&lt;=$E9),1,"")))</f>
        <v/>
      </c>
      <c r="FE9" s="38">
        <f>IF(OR(FE$2="",$D9=""),"",IF(AND(ISNUMBER($F9),FE$2&gt;=$F9,FE$2&lt;=IF(ISNUMBER($G9),$G9,$F9+$E9-$D9)),2,IF(AND(FE$2&gt;=$D9,FE$2&lt;=$E9),1,"")))</f>
        <v/>
      </c>
      <c r="FF9" s="38">
        <f>IF(OR(FF$2="",$D9=""),"",IF(AND(ISNUMBER($F9),FF$2&gt;=$F9,FF$2&lt;=IF(ISNUMBER($G9),$G9,$F9+$E9-$D9)),2,IF(AND(FF$2&gt;=$D9,FF$2&lt;=$E9),1,"")))</f>
        <v/>
      </c>
      <c r="FG9" s="38">
        <f>IF(OR(FG$2="",$D9=""),"",IF(AND(ISNUMBER($F9),FG$2&gt;=$F9,FG$2&lt;=IF(ISNUMBER($G9),$G9,$F9+$E9-$D9)),2,IF(AND(FG$2&gt;=$D9,FG$2&lt;=$E9),1,"")))</f>
        <v/>
      </c>
      <c r="FH9" s="38">
        <f>IF(OR(FH$2="",$D9=""),"",IF(AND(ISNUMBER($F9),FH$2&gt;=$F9,FH$2&lt;=IF(ISNUMBER($G9),$G9,$F9+$E9-$D9)),2,IF(AND(FH$2&gt;=$D9,FH$2&lt;=$E9),1,"")))</f>
        <v/>
      </c>
      <c r="FI9" s="38">
        <f>IF(OR(FI$2="",$D9=""),"",IF(AND(ISNUMBER($F9),FI$2&gt;=$F9,FI$2&lt;=IF(ISNUMBER($G9),$G9,$F9+$E9-$D9)),2,IF(AND(FI$2&gt;=$D9,FI$2&lt;=$E9),1,"")))</f>
        <v/>
      </c>
      <c r="FJ9" s="38">
        <f>IF(OR(FJ$2="",$D9=""),"",IF(AND(ISNUMBER($F9),FJ$2&gt;=$F9,FJ$2&lt;=IF(ISNUMBER($G9),$G9,$F9+$E9-$D9)),2,IF(AND(FJ$2&gt;=$D9,FJ$2&lt;=$E9),1,"")))</f>
        <v/>
      </c>
      <c r="FK9" s="38">
        <f>IF(OR(FK$2="",$D9=""),"",IF(AND(ISNUMBER($F9),FK$2&gt;=$F9,FK$2&lt;=IF(ISNUMBER($G9),$G9,$F9+$E9-$D9)),2,IF(AND(FK$2&gt;=$D9,FK$2&lt;=$E9),1,"")))</f>
        <v/>
      </c>
      <c r="FL9" s="38">
        <f>IF(OR(FL$2="",$D9=""),"",IF(AND(ISNUMBER($F9),FL$2&gt;=$F9,FL$2&lt;=IF(ISNUMBER($G9),$G9,$F9+$E9-$D9)),2,IF(AND(FL$2&gt;=$D9,FL$2&lt;=$E9),1,"")))</f>
        <v/>
      </c>
      <c r="FM9" s="38">
        <f>IF(OR(FM$2="",$D9=""),"",IF(AND(ISNUMBER($F9),FM$2&gt;=$F9,FM$2&lt;=IF(ISNUMBER($G9),$G9,$F9+$E9-$D9)),2,IF(AND(FM$2&gt;=$D9,FM$2&lt;=$E9),1,"")))</f>
        <v/>
      </c>
      <c r="FN9" s="38">
        <f>IF(OR(FN$2="",$D9=""),"",IF(AND(ISNUMBER($F9),FN$2&gt;=$F9,FN$2&lt;=IF(ISNUMBER($G9),$G9,$F9+$E9-$D9)),2,IF(AND(FN$2&gt;=$D9,FN$2&lt;=$E9),1,"")))</f>
        <v/>
      </c>
      <c r="FO9" s="38">
        <f>IF(OR(FO$2="",$D9=""),"",IF(AND(ISNUMBER($F9),FO$2&gt;=$F9,FO$2&lt;=IF(ISNUMBER($G9),$G9,$F9+$E9-$D9)),2,IF(AND(FO$2&gt;=$D9,FO$2&lt;=$E9),1,"")))</f>
        <v/>
      </c>
      <c r="FP9" s="38">
        <f>IF(OR(FP$2="",$D9=""),"",IF(AND(ISNUMBER($F9),FP$2&gt;=$F9,FP$2&lt;=IF(ISNUMBER($G9),$G9,$F9+$E9-$D9)),2,IF(AND(FP$2&gt;=$D9,FP$2&lt;=$E9),1,"")))</f>
        <v/>
      </c>
      <c r="FQ9" s="38">
        <f>IF(OR(FQ$2="",$D9=""),"",IF(AND(ISNUMBER($F9),FQ$2&gt;=$F9,FQ$2&lt;=IF(ISNUMBER($G9),$G9,$F9+$E9-$D9)),2,IF(AND(FQ$2&gt;=$D9,FQ$2&lt;=$E9),1,"")))</f>
        <v/>
      </c>
      <c r="FR9" s="38">
        <f>IF(OR(FR$2="",$D9=""),"",IF(AND(ISNUMBER($F9),FR$2&gt;=$F9,FR$2&lt;=IF(ISNUMBER($G9),$G9,$F9+$E9-$D9)),2,IF(AND(FR$2&gt;=$D9,FR$2&lt;=$E9),1,"")))</f>
        <v/>
      </c>
      <c r="FS9" s="38">
        <f>IF(OR(FS$2="",$D9=""),"",IF(AND(ISNUMBER($F9),FS$2&gt;=$F9,FS$2&lt;=IF(ISNUMBER($G9),$G9,$F9+$E9-$D9)),2,IF(AND(FS$2&gt;=$D9,FS$2&lt;=$E9),1,"")))</f>
        <v/>
      </c>
      <c r="FT9" s="38">
        <f>IF(OR(FT$2="",$D9=""),"",IF(AND(ISNUMBER($F9),FT$2&gt;=$F9,FT$2&lt;=IF(ISNUMBER($G9),$G9,$F9+$E9-$D9)),2,IF(AND(FT$2&gt;=$D9,FT$2&lt;=$E9),1,"")))</f>
        <v/>
      </c>
      <c r="FU9" s="38">
        <f>IF(OR(FU$2="",$D9=""),"",IF(AND(ISNUMBER($F9),FU$2&gt;=$F9,FU$2&lt;=IF(ISNUMBER($G9),$G9,$F9+$E9-$D9)),2,IF(AND(FU$2&gt;=$D9,FU$2&lt;=$E9),1,"")))</f>
        <v/>
      </c>
      <c r="FV9" s="38">
        <f>IF(OR(FV$2="",$D9=""),"",IF(AND(ISNUMBER($F9),FV$2&gt;=$F9,FV$2&lt;=IF(ISNUMBER($G9),$G9,$F9+$E9-$D9)),2,IF(AND(FV$2&gt;=$D9,FV$2&lt;=$E9),1,"")))</f>
        <v/>
      </c>
      <c r="FW9" s="38">
        <f>IF(OR(FW$2="",$D9=""),"",IF(AND(ISNUMBER($F9),FW$2&gt;=$F9,FW$2&lt;=IF(ISNUMBER($G9),$G9,$F9+$E9-$D9)),2,IF(AND(FW$2&gt;=$D9,FW$2&lt;=$E9),1,"")))</f>
        <v/>
      </c>
      <c r="FX9" s="38">
        <f>IF(OR(FX$2="",$D9=""),"",IF(AND(ISNUMBER($F9),FX$2&gt;=$F9,FX$2&lt;=IF(ISNUMBER($G9),$G9,$F9+$E9-$D9)),2,IF(AND(FX$2&gt;=$D9,FX$2&lt;=$E9),1,"")))</f>
        <v/>
      </c>
      <c r="FY9" s="38">
        <f>IF(OR(FY$2="",$D9=""),"",IF(AND(ISNUMBER($F9),FY$2&gt;=$F9,FY$2&lt;=IF(ISNUMBER($G9),$G9,$F9+$E9-$D9)),2,IF(AND(FY$2&gt;=$D9,FY$2&lt;=$E9),1,"")))</f>
        <v/>
      </c>
      <c r="FZ9" s="38">
        <f>IF(OR(FZ$2="",$D9=""),"",IF(AND(ISNUMBER($F9),FZ$2&gt;=$F9,FZ$2&lt;=IF(ISNUMBER($G9),$G9,$F9+$E9-$D9)),2,IF(AND(FZ$2&gt;=$D9,FZ$2&lt;=$E9),1,"")))</f>
        <v/>
      </c>
      <c r="GA9" s="38">
        <f>IF(OR(GA$2="",$D9=""),"",IF(AND(ISNUMBER($F9),GA$2&gt;=$F9,GA$2&lt;=IF(ISNUMBER($G9),$G9,$F9+$E9-$D9)),2,IF(AND(GA$2&gt;=$D9,GA$2&lt;=$E9),1,"")))</f>
        <v/>
      </c>
      <c r="GB9" s="38">
        <f>IF(OR(GB$2="",$D9=""),"",IF(AND(ISNUMBER($F9),GB$2&gt;=$F9,GB$2&lt;=IF(ISNUMBER($G9),$G9,$F9+$E9-$D9)),2,IF(AND(GB$2&gt;=$D9,GB$2&lt;=$E9),1,"")))</f>
        <v/>
      </c>
      <c r="GC9" s="38">
        <f>IF(OR(GC$2="",$D9=""),"",IF(AND(ISNUMBER($F9),GC$2&gt;=$F9,GC$2&lt;=IF(ISNUMBER($G9),$G9,$F9+$E9-$D9)),2,IF(AND(GC$2&gt;=$D9,GC$2&lt;=$E9),1,"")))</f>
        <v/>
      </c>
      <c r="GD9" s="38">
        <f>IF(OR(GD$2="",$D9=""),"",IF(AND(ISNUMBER($F9),GD$2&gt;=$F9,GD$2&lt;=IF(ISNUMBER($G9),$G9,$F9+$E9-$D9)),2,IF(AND(GD$2&gt;=$D9,GD$2&lt;=$E9),1,"")))</f>
        <v/>
      </c>
      <c r="GE9" s="38">
        <f>IF(OR(GE$2="",$D9=""),"",IF(AND(ISNUMBER($F9),GE$2&gt;=$F9,GE$2&lt;=IF(ISNUMBER($G9),$G9,$F9+$E9-$D9)),2,IF(AND(GE$2&gt;=$D9,GE$2&lt;=$E9),1,"")))</f>
        <v/>
      </c>
    </row>
    <row r="10">
      <c r="A10" s="36" t="inlineStr">
        <is>
          <t>Last irrigation for Pitan</t>
        </is>
      </c>
      <c r="B10" s="12" t="inlineStr">
        <is>
          <t>পিটানের আগে শেষ সেচ</t>
        </is>
      </c>
      <c r="C10" s="12" t="inlineStr">
        <is>
          <t>3F4D+MD</t>
        </is>
      </c>
      <c r="D10" s="7">
        <f>IF(Day_0="","",Day_0+cfg_0+cfg_1-cfg_12)</f>
        <v/>
      </c>
      <c r="E10" s="7">
        <f>IF(D10="","",D10)</f>
        <v/>
      </c>
      <c r="F10" s="37" t="n"/>
      <c r="G10" s="7" t="n"/>
      <c r="H10" s="6">
        <f>IF(D10="","no plan",IF(F10&lt;&gt;"",IF(F10-D10&gt;=2,"LATE","OK"),IF(TODAY()&gt;D10+2,"OVERDUE","upcoming")))</f>
        <v/>
      </c>
      <c r="I10" s="6">
        <f>IF(AND(D10&lt;&gt;"",F10&lt;&gt;""),F10-D10,"")</f>
        <v/>
      </c>
      <c r="J10" s="7">
        <f>IF(F10&lt;&gt;"",F10,D10)</f>
        <v/>
      </c>
      <c r="K10" s="7">
        <f>IF(G10&lt;&gt;"",G10,IF(AND(F10&lt;&gt;"",E10=D10),F10,E10))</f>
        <v/>
      </c>
      <c r="L10" s="6">
        <f>IF(AND(D10&lt;&gt;"",F10="",D10&gt;=TODAY()),D10+ROW()/1000,"")</f>
        <v/>
      </c>
      <c r="M10" s="38">
        <f>IF(OR(M$2="",$D10=""),"",IF(AND(ISNUMBER($F10),M$2&gt;=$F10,M$2&lt;=IF(ISNUMBER($G10),$G10,$F10+$E10-$D10)),2,IF(AND(M$2&gt;=$D10,M$2&lt;=$E10),1,"")))</f>
        <v/>
      </c>
      <c r="N10" s="38">
        <f>IF(OR(N$2="",$D10=""),"",IF(AND(ISNUMBER($F10),N$2&gt;=$F10,N$2&lt;=IF(ISNUMBER($G10),$G10,$F10+$E10-$D10)),2,IF(AND(N$2&gt;=$D10,N$2&lt;=$E10),1,"")))</f>
        <v/>
      </c>
      <c r="O10" s="38">
        <f>IF(OR(O$2="",$D10=""),"",IF(AND(ISNUMBER($F10),O$2&gt;=$F10,O$2&lt;=IF(ISNUMBER($G10),$G10,$F10+$E10-$D10)),2,IF(AND(O$2&gt;=$D10,O$2&lt;=$E10),1,"")))</f>
        <v/>
      </c>
      <c r="P10" s="38">
        <f>IF(OR(P$2="",$D10=""),"",IF(AND(ISNUMBER($F10),P$2&gt;=$F10,P$2&lt;=IF(ISNUMBER($G10),$G10,$F10+$E10-$D10)),2,IF(AND(P$2&gt;=$D10,P$2&lt;=$E10),1,"")))</f>
        <v/>
      </c>
      <c r="Q10" s="38">
        <f>IF(OR(Q$2="",$D10=""),"",IF(AND(ISNUMBER($F10),Q$2&gt;=$F10,Q$2&lt;=IF(ISNUMBER($G10),$G10,$F10+$E10-$D10)),2,IF(AND(Q$2&gt;=$D10,Q$2&lt;=$E10),1,"")))</f>
        <v/>
      </c>
      <c r="R10" s="38">
        <f>IF(OR(R$2="",$D10=""),"",IF(AND(ISNUMBER($F10),R$2&gt;=$F10,R$2&lt;=IF(ISNUMBER($G10),$G10,$F10+$E10-$D10)),2,IF(AND(R$2&gt;=$D10,R$2&lt;=$E10),1,"")))</f>
        <v/>
      </c>
      <c r="S10" s="38">
        <f>IF(OR(S$2="",$D10=""),"",IF(AND(ISNUMBER($F10),S$2&gt;=$F10,S$2&lt;=IF(ISNUMBER($G10),$G10,$F10+$E10-$D10)),2,IF(AND(S$2&gt;=$D10,S$2&lt;=$E10),1,"")))</f>
        <v/>
      </c>
      <c r="T10" s="38">
        <f>IF(OR(T$2="",$D10=""),"",IF(AND(ISNUMBER($F10),T$2&gt;=$F10,T$2&lt;=IF(ISNUMBER($G10),$G10,$F10+$E10-$D10)),2,IF(AND(T$2&gt;=$D10,T$2&lt;=$E10),1,"")))</f>
        <v/>
      </c>
      <c r="U10" s="38">
        <f>IF(OR(U$2="",$D10=""),"",IF(AND(ISNUMBER($F10),U$2&gt;=$F10,U$2&lt;=IF(ISNUMBER($G10),$G10,$F10+$E10-$D10)),2,IF(AND(U$2&gt;=$D10,U$2&lt;=$E10),1,"")))</f>
        <v/>
      </c>
      <c r="V10" s="38">
        <f>IF(OR(V$2="",$D10=""),"",IF(AND(ISNUMBER($F10),V$2&gt;=$F10,V$2&lt;=IF(ISNUMBER($G10),$G10,$F10+$E10-$D10)),2,IF(AND(V$2&gt;=$D10,V$2&lt;=$E10),1,"")))</f>
        <v/>
      </c>
      <c r="W10" s="38">
        <f>IF(OR(W$2="",$D10=""),"",IF(AND(ISNUMBER($F10),W$2&gt;=$F10,W$2&lt;=IF(ISNUMBER($G10),$G10,$F10+$E10-$D10)),2,IF(AND(W$2&gt;=$D10,W$2&lt;=$E10),1,"")))</f>
        <v/>
      </c>
      <c r="X10" s="38">
        <f>IF(OR(X$2="",$D10=""),"",IF(AND(ISNUMBER($F10),X$2&gt;=$F10,X$2&lt;=IF(ISNUMBER($G10),$G10,$F10+$E10-$D10)),2,IF(AND(X$2&gt;=$D10,X$2&lt;=$E10),1,"")))</f>
        <v/>
      </c>
      <c r="Y10" s="38">
        <f>IF(OR(Y$2="",$D10=""),"",IF(AND(ISNUMBER($F10),Y$2&gt;=$F10,Y$2&lt;=IF(ISNUMBER($G10),$G10,$F10+$E10-$D10)),2,IF(AND(Y$2&gt;=$D10,Y$2&lt;=$E10),1,"")))</f>
        <v/>
      </c>
      <c r="Z10" s="38">
        <f>IF(OR(Z$2="",$D10=""),"",IF(AND(ISNUMBER($F10),Z$2&gt;=$F10,Z$2&lt;=IF(ISNUMBER($G10),$G10,$F10+$E10-$D10)),2,IF(AND(Z$2&gt;=$D10,Z$2&lt;=$E10),1,"")))</f>
        <v/>
      </c>
      <c r="AA10" s="38">
        <f>IF(OR(AA$2="",$D10=""),"",IF(AND(ISNUMBER($F10),AA$2&gt;=$F10,AA$2&lt;=IF(ISNUMBER($G10),$G10,$F10+$E10-$D10)),2,IF(AND(AA$2&gt;=$D10,AA$2&lt;=$E10),1,"")))</f>
        <v/>
      </c>
      <c r="AB10" s="38">
        <f>IF(OR(AB$2="",$D10=""),"",IF(AND(ISNUMBER($F10),AB$2&gt;=$F10,AB$2&lt;=IF(ISNUMBER($G10),$G10,$F10+$E10-$D10)),2,IF(AND(AB$2&gt;=$D10,AB$2&lt;=$E10),1,"")))</f>
        <v/>
      </c>
      <c r="AC10" s="38">
        <f>IF(OR(AC$2="",$D10=""),"",IF(AND(ISNUMBER($F10),AC$2&gt;=$F10,AC$2&lt;=IF(ISNUMBER($G10),$G10,$F10+$E10-$D10)),2,IF(AND(AC$2&gt;=$D10,AC$2&lt;=$E10),1,"")))</f>
        <v/>
      </c>
      <c r="AD10" s="38">
        <f>IF(OR(AD$2="",$D10=""),"",IF(AND(ISNUMBER($F10),AD$2&gt;=$F10,AD$2&lt;=IF(ISNUMBER($G10),$G10,$F10+$E10-$D10)),2,IF(AND(AD$2&gt;=$D10,AD$2&lt;=$E10),1,"")))</f>
        <v/>
      </c>
      <c r="AE10" s="38">
        <f>IF(OR(AE$2="",$D10=""),"",IF(AND(ISNUMBER($F10),AE$2&gt;=$F10,AE$2&lt;=IF(ISNUMBER($G10),$G10,$F10+$E10-$D10)),2,IF(AND(AE$2&gt;=$D10,AE$2&lt;=$E10),1,"")))</f>
        <v/>
      </c>
      <c r="AF10" s="38">
        <f>IF(OR(AF$2="",$D10=""),"",IF(AND(ISNUMBER($F10),AF$2&gt;=$F10,AF$2&lt;=IF(ISNUMBER($G10),$G10,$F10+$E10-$D10)),2,IF(AND(AF$2&gt;=$D10,AF$2&lt;=$E10),1,"")))</f>
        <v/>
      </c>
      <c r="AG10" s="38">
        <f>IF(OR(AG$2="",$D10=""),"",IF(AND(ISNUMBER($F10),AG$2&gt;=$F10,AG$2&lt;=IF(ISNUMBER($G10),$G10,$F10+$E10-$D10)),2,IF(AND(AG$2&gt;=$D10,AG$2&lt;=$E10),1,"")))</f>
        <v/>
      </c>
      <c r="AH10" s="38">
        <f>IF(OR(AH$2="",$D10=""),"",IF(AND(ISNUMBER($F10),AH$2&gt;=$F10,AH$2&lt;=IF(ISNUMBER($G10),$G10,$F10+$E10-$D10)),2,IF(AND(AH$2&gt;=$D10,AH$2&lt;=$E10),1,"")))</f>
        <v/>
      </c>
      <c r="AI10" s="38">
        <f>IF(OR(AI$2="",$D10=""),"",IF(AND(ISNUMBER($F10),AI$2&gt;=$F10,AI$2&lt;=IF(ISNUMBER($G10),$G10,$F10+$E10-$D10)),2,IF(AND(AI$2&gt;=$D10,AI$2&lt;=$E10),1,"")))</f>
        <v/>
      </c>
      <c r="AJ10" s="38">
        <f>IF(OR(AJ$2="",$D10=""),"",IF(AND(ISNUMBER($F10),AJ$2&gt;=$F10,AJ$2&lt;=IF(ISNUMBER($G10),$G10,$F10+$E10-$D10)),2,IF(AND(AJ$2&gt;=$D10,AJ$2&lt;=$E10),1,"")))</f>
        <v/>
      </c>
      <c r="AK10" s="38">
        <f>IF(OR(AK$2="",$D10=""),"",IF(AND(ISNUMBER($F10),AK$2&gt;=$F10,AK$2&lt;=IF(ISNUMBER($G10),$G10,$F10+$E10-$D10)),2,IF(AND(AK$2&gt;=$D10,AK$2&lt;=$E10),1,"")))</f>
        <v/>
      </c>
      <c r="AL10" s="38">
        <f>IF(OR(AL$2="",$D10=""),"",IF(AND(ISNUMBER($F10),AL$2&gt;=$F10,AL$2&lt;=IF(ISNUMBER($G10),$G10,$F10+$E10-$D10)),2,IF(AND(AL$2&gt;=$D10,AL$2&lt;=$E10),1,"")))</f>
        <v/>
      </c>
      <c r="AM10" s="38">
        <f>IF(OR(AM$2="",$D10=""),"",IF(AND(ISNUMBER($F10),AM$2&gt;=$F10,AM$2&lt;=IF(ISNUMBER($G10),$G10,$F10+$E10-$D10)),2,IF(AND(AM$2&gt;=$D10,AM$2&lt;=$E10),1,"")))</f>
        <v/>
      </c>
      <c r="AN10" s="38">
        <f>IF(OR(AN$2="",$D10=""),"",IF(AND(ISNUMBER($F10),AN$2&gt;=$F10,AN$2&lt;=IF(ISNUMBER($G10),$G10,$F10+$E10-$D10)),2,IF(AND(AN$2&gt;=$D10,AN$2&lt;=$E10),1,"")))</f>
        <v/>
      </c>
      <c r="AO10" s="38">
        <f>IF(OR(AO$2="",$D10=""),"",IF(AND(ISNUMBER($F10),AO$2&gt;=$F10,AO$2&lt;=IF(ISNUMBER($G10),$G10,$F10+$E10-$D10)),2,IF(AND(AO$2&gt;=$D10,AO$2&lt;=$E10),1,"")))</f>
        <v/>
      </c>
      <c r="AP10" s="38">
        <f>IF(OR(AP$2="",$D10=""),"",IF(AND(ISNUMBER($F10),AP$2&gt;=$F10,AP$2&lt;=IF(ISNUMBER($G10),$G10,$F10+$E10-$D10)),2,IF(AND(AP$2&gt;=$D10,AP$2&lt;=$E10),1,"")))</f>
        <v/>
      </c>
      <c r="AQ10" s="38">
        <f>IF(OR(AQ$2="",$D10=""),"",IF(AND(ISNUMBER($F10),AQ$2&gt;=$F10,AQ$2&lt;=IF(ISNUMBER($G10),$G10,$F10+$E10-$D10)),2,IF(AND(AQ$2&gt;=$D10,AQ$2&lt;=$E10),1,"")))</f>
        <v/>
      </c>
      <c r="AR10" s="38">
        <f>IF(OR(AR$2="",$D10=""),"",IF(AND(ISNUMBER($F10),AR$2&gt;=$F10,AR$2&lt;=IF(ISNUMBER($G10),$G10,$F10+$E10-$D10)),2,IF(AND(AR$2&gt;=$D10,AR$2&lt;=$E10),1,"")))</f>
        <v/>
      </c>
      <c r="AS10" s="38">
        <f>IF(OR(AS$2="",$D10=""),"",IF(AND(ISNUMBER($F10),AS$2&gt;=$F10,AS$2&lt;=IF(ISNUMBER($G10),$G10,$F10+$E10-$D10)),2,IF(AND(AS$2&gt;=$D10,AS$2&lt;=$E10),1,"")))</f>
        <v/>
      </c>
      <c r="AT10" s="38">
        <f>IF(OR(AT$2="",$D10=""),"",IF(AND(ISNUMBER($F10),AT$2&gt;=$F10,AT$2&lt;=IF(ISNUMBER($G10),$G10,$F10+$E10-$D10)),2,IF(AND(AT$2&gt;=$D10,AT$2&lt;=$E10),1,"")))</f>
        <v/>
      </c>
      <c r="AU10" s="38">
        <f>IF(OR(AU$2="",$D10=""),"",IF(AND(ISNUMBER($F10),AU$2&gt;=$F10,AU$2&lt;=IF(ISNUMBER($G10),$G10,$F10+$E10-$D10)),2,IF(AND(AU$2&gt;=$D10,AU$2&lt;=$E10),1,"")))</f>
        <v/>
      </c>
      <c r="AV10" s="38">
        <f>IF(OR(AV$2="",$D10=""),"",IF(AND(ISNUMBER($F10),AV$2&gt;=$F10,AV$2&lt;=IF(ISNUMBER($G10),$G10,$F10+$E10-$D10)),2,IF(AND(AV$2&gt;=$D10,AV$2&lt;=$E10),1,"")))</f>
        <v/>
      </c>
      <c r="AW10" s="38">
        <f>IF(OR(AW$2="",$D10=""),"",IF(AND(ISNUMBER($F10),AW$2&gt;=$F10,AW$2&lt;=IF(ISNUMBER($G10),$G10,$F10+$E10-$D10)),2,IF(AND(AW$2&gt;=$D10,AW$2&lt;=$E10),1,"")))</f>
        <v/>
      </c>
      <c r="AX10" s="38">
        <f>IF(OR(AX$2="",$D10=""),"",IF(AND(ISNUMBER($F10),AX$2&gt;=$F10,AX$2&lt;=IF(ISNUMBER($G10),$G10,$F10+$E10-$D10)),2,IF(AND(AX$2&gt;=$D10,AX$2&lt;=$E10),1,"")))</f>
        <v/>
      </c>
      <c r="AY10" s="38">
        <f>IF(OR(AY$2="",$D10=""),"",IF(AND(ISNUMBER($F10),AY$2&gt;=$F10,AY$2&lt;=IF(ISNUMBER($G10),$G10,$F10+$E10-$D10)),2,IF(AND(AY$2&gt;=$D10,AY$2&lt;=$E10),1,"")))</f>
        <v/>
      </c>
      <c r="AZ10" s="38">
        <f>IF(OR(AZ$2="",$D10=""),"",IF(AND(ISNUMBER($F10),AZ$2&gt;=$F10,AZ$2&lt;=IF(ISNUMBER($G10),$G10,$F10+$E10-$D10)),2,IF(AND(AZ$2&gt;=$D10,AZ$2&lt;=$E10),1,"")))</f>
        <v/>
      </c>
      <c r="BA10" s="38">
        <f>IF(OR(BA$2="",$D10=""),"",IF(AND(ISNUMBER($F10),BA$2&gt;=$F10,BA$2&lt;=IF(ISNUMBER($G10),$G10,$F10+$E10-$D10)),2,IF(AND(BA$2&gt;=$D10,BA$2&lt;=$E10),1,"")))</f>
        <v/>
      </c>
      <c r="BB10" s="38">
        <f>IF(OR(BB$2="",$D10=""),"",IF(AND(ISNUMBER($F10),BB$2&gt;=$F10,BB$2&lt;=IF(ISNUMBER($G10),$G10,$F10+$E10-$D10)),2,IF(AND(BB$2&gt;=$D10,BB$2&lt;=$E10),1,"")))</f>
        <v/>
      </c>
      <c r="BC10" s="38">
        <f>IF(OR(BC$2="",$D10=""),"",IF(AND(ISNUMBER($F10),BC$2&gt;=$F10,BC$2&lt;=IF(ISNUMBER($G10),$G10,$F10+$E10-$D10)),2,IF(AND(BC$2&gt;=$D10,BC$2&lt;=$E10),1,"")))</f>
        <v/>
      </c>
      <c r="BD10" s="38">
        <f>IF(OR(BD$2="",$D10=""),"",IF(AND(ISNUMBER($F10),BD$2&gt;=$F10,BD$2&lt;=IF(ISNUMBER($G10),$G10,$F10+$E10-$D10)),2,IF(AND(BD$2&gt;=$D10,BD$2&lt;=$E10),1,"")))</f>
        <v/>
      </c>
      <c r="BE10" s="38">
        <f>IF(OR(BE$2="",$D10=""),"",IF(AND(ISNUMBER($F10),BE$2&gt;=$F10,BE$2&lt;=IF(ISNUMBER($G10),$G10,$F10+$E10-$D10)),2,IF(AND(BE$2&gt;=$D10,BE$2&lt;=$E10),1,"")))</f>
        <v/>
      </c>
      <c r="BF10" s="38">
        <f>IF(OR(BF$2="",$D10=""),"",IF(AND(ISNUMBER($F10),BF$2&gt;=$F10,BF$2&lt;=IF(ISNUMBER($G10),$G10,$F10+$E10-$D10)),2,IF(AND(BF$2&gt;=$D10,BF$2&lt;=$E10),1,"")))</f>
        <v/>
      </c>
      <c r="BG10" s="38">
        <f>IF(OR(BG$2="",$D10=""),"",IF(AND(ISNUMBER($F10),BG$2&gt;=$F10,BG$2&lt;=IF(ISNUMBER($G10),$G10,$F10+$E10-$D10)),2,IF(AND(BG$2&gt;=$D10,BG$2&lt;=$E10),1,"")))</f>
        <v/>
      </c>
      <c r="BH10" s="38">
        <f>IF(OR(BH$2="",$D10=""),"",IF(AND(ISNUMBER($F10),BH$2&gt;=$F10,BH$2&lt;=IF(ISNUMBER($G10),$G10,$F10+$E10-$D10)),2,IF(AND(BH$2&gt;=$D10,BH$2&lt;=$E10),1,"")))</f>
        <v/>
      </c>
      <c r="BI10" s="38">
        <f>IF(OR(BI$2="",$D10=""),"",IF(AND(ISNUMBER($F10),BI$2&gt;=$F10,BI$2&lt;=IF(ISNUMBER($G10),$G10,$F10+$E10-$D10)),2,IF(AND(BI$2&gt;=$D10,BI$2&lt;=$E10),1,"")))</f>
        <v/>
      </c>
      <c r="BJ10" s="38">
        <f>IF(OR(BJ$2="",$D10=""),"",IF(AND(ISNUMBER($F10),BJ$2&gt;=$F10,BJ$2&lt;=IF(ISNUMBER($G10),$G10,$F10+$E10-$D10)),2,IF(AND(BJ$2&gt;=$D10,BJ$2&lt;=$E10),1,"")))</f>
        <v/>
      </c>
      <c r="BK10" s="38">
        <f>IF(OR(BK$2="",$D10=""),"",IF(AND(ISNUMBER($F10),BK$2&gt;=$F10,BK$2&lt;=IF(ISNUMBER($G10),$G10,$F10+$E10-$D10)),2,IF(AND(BK$2&gt;=$D10,BK$2&lt;=$E10),1,"")))</f>
        <v/>
      </c>
      <c r="BL10" s="38">
        <f>IF(OR(BL$2="",$D10=""),"",IF(AND(ISNUMBER($F10),BL$2&gt;=$F10,BL$2&lt;=IF(ISNUMBER($G10),$G10,$F10+$E10-$D10)),2,IF(AND(BL$2&gt;=$D10,BL$2&lt;=$E10),1,"")))</f>
        <v/>
      </c>
      <c r="BM10" s="38">
        <f>IF(OR(BM$2="",$D10=""),"",IF(AND(ISNUMBER($F10),BM$2&gt;=$F10,BM$2&lt;=IF(ISNUMBER($G10),$G10,$F10+$E10-$D10)),2,IF(AND(BM$2&gt;=$D10,BM$2&lt;=$E10),1,"")))</f>
        <v/>
      </c>
      <c r="BN10" s="38">
        <f>IF(OR(BN$2="",$D10=""),"",IF(AND(ISNUMBER($F10),BN$2&gt;=$F10,BN$2&lt;=IF(ISNUMBER($G10),$G10,$F10+$E10-$D10)),2,IF(AND(BN$2&gt;=$D10,BN$2&lt;=$E10),1,"")))</f>
        <v/>
      </c>
      <c r="BO10" s="38">
        <f>IF(OR(BO$2="",$D10=""),"",IF(AND(ISNUMBER($F10),BO$2&gt;=$F10,BO$2&lt;=IF(ISNUMBER($G10),$G10,$F10+$E10-$D10)),2,IF(AND(BO$2&gt;=$D10,BO$2&lt;=$E10),1,"")))</f>
        <v/>
      </c>
      <c r="BP10" s="38">
        <f>IF(OR(BP$2="",$D10=""),"",IF(AND(ISNUMBER($F10),BP$2&gt;=$F10,BP$2&lt;=IF(ISNUMBER($G10),$G10,$F10+$E10-$D10)),2,IF(AND(BP$2&gt;=$D10,BP$2&lt;=$E10),1,"")))</f>
        <v/>
      </c>
      <c r="BQ10" s="38">
        <f>IF(OR(BQ$2="",$D10=""),"",IF(AND(ISNUMBER($F10),BQ$2&gt;=$F10,BQ$2&lt;=IF(ISNUMBER($G10),$G10,$F10+$E10-$D10)),2,IF(AND(BQ$2&gt;=$D10,BQ$2&lt;=$E10),1,"")))</f>
        <v/>
      </c>
      <c r="BR10" s="38">
        <f>IF(OR(BR$2="",$D10=""),"",IF(AND(ISNUMBER($F10),BR$2&gt;=$F10,BR$2&lt;=IF(ISNUMBER($G10),$G10,$F10+$E10-$D10)),2,IF(AND(BR$2&gt;=$D10,BR$2&lt;=$E10),1,"")))</f>
        <v/>
      </c>
      <c r="BS10" s="38">
        <f>IF(OR(BS$2="",$D10=""),"",IF(AND(ISNUMBER($F10),BS$2&gt;=$F10,BS$2&lt;=IF(ISNUMBER($G10),$G10,$F10+$E10-$D10)),2,IF(AND(BS$2&gt;=$D10,BS$2&lt;=$E10),1,"")))</f>
        <v/>
      </c>
      <c r="BT10" s="38">
        <f>IF(OR(BT$2="",$D10=""),"",IF(AND(ISNUMBER($F10),BT$2&gt;=$F10,BT$2&lt;=IF(ISNUMBER($G10),$G10,$F10+$E10-$D10)),2,IF(AND(BT$2&gt;=$D10,BT$2&lt;=$E10),1,"")))</f>
        <v/>
      </c>
      <c r="BU10" s="38">
        <f>IF(OR(BU$2="",$D10=""),"",IF(AND(ISNUMBER($F10),BU$2&gt;=$F10,BU$2&lt;=IF(ISNUMBER($G10),$G10,$F10+$E10-$D10)),2,IF(AND(BU$2&gt;=$D10,BU$2&lt;=$E10),1,"")))</f>
        <v/>
      </c>
      <c r="BV10" s="38">
        <f>IF(OR(BV$2="",$D10=""),"",IF(AND(ISNUMBER($F10),BV$2&gt;=$F10,BV$2&lt;=IF(ISNUMBER($G10),$G10,$F10+$E10-$D10)),2,IF(AND(BV$2&gt;=$D10,BV$2&lt;=$E10),1,"")))</f>
        <v/>
      </c>
      <c r="BW10" s="38">
        <f>IF(OR(BW$2="",$D10=""),"",IF(AND(ISNUMBER($F10),BW$2&gt;=$F10,BW$2&lt;=IF(ISNUMBER($G10),$G10,$F10+$E10-$D10)),2,IF(AND(BW$2&gt;=$D10,BW$2&lt;=$E10),1,"")))</f>
        <v/>
      </c>
      <c r="BX10" s="38">
        <f>IF(OR(BX$2="",$D10=""),"",IF(AND(ISNUMBER($F10),BX$2&gt;=$F10,BX$2&lt;=IF(ISNUMBER($G10),$G10,$F10+$E10-$D10)),2,IF(AND(BX$2&gt;=$D10,BX$2&lt;=$E10),1,"")))</f>
        <v/>
      </c>
      <c r="BY10" s="38">
        <f>IF(OR(BY$2="",$D10=""),"",IF(AND(ISNUMBER($F10),BY$2&gt;=$F10,BY$2&lt;=IF(ISNUMBER($G10),$G10,$F10+$E10-$D10)),2,IF(AND(BY$2&gt;=$D10,BY$2&lt;=$E10),1,"")))</f>
        <v/>
      </c>
      <c r="BZ10" s="38">
        <f>IF(OR(BZ$2="",$D10=""),"",IF(AND(ISNUMBER($F10),BZ$2&gt;=$F10,BZ$2&lt;=IF(ISNUMBER($G10),$G10,$F10+$E10-$D10)),2,IF(AND(BZ$2&gt;=$D10,BZ$2&lt;=$E10),1,"")))</f>
        <v/>
      </c>
      <c r="CA10" s="38">
        <f>IF(OR(CA$2="",$D10=""),"",IF(AND(ISNUMBER($F10),CA$2&gt;=$F10,CA$2&lt;=IF(ISNUMBER($G10),$G10,$F10+$E10-$D10)),2,IF(AND(CA$2&gt;=$D10,CA$2&lt;=$E10),1,"")))</f>
        <v/>
      </c>
      <c r="CB10" s="38">
        <f>IF(OR(CB$2="",$D10=""),"",IF(AND(ISNUMBER($F10),CB$2&gt;=$F10,CB$2&lt;=IF(ISNUMBER($G10),$G10,$F10+$E10-$D10)),2,IF(AND(CB$2&gt;=$D10,CB$2&lt;=$E10),1,"")))</f>
        <v/>
      </c>
      <c r="CC10" s="38">
        <f>IF(OR(CC$2="",$D10=""),"",IF(AND(ISNUMBER($F10),CC$2&gt;=$F10,CC$2&lt;=IF(ISNUMBER($G10),$G10,$F10+$E10-$D10)),2,IF(AND(CC$2&gt;=$D10,CC$2&lt;=$E10),1,"")))</f>
        <v/>
      </c>
      <c r="CD10" s="38">
        <f>IF(OR(CD$2="",$D10=""),"",IF(AND(ISNUMBER($F10),CD$2&gt;=$F10,CD$2&lt;=IF(ISNUMBER($G10),$G10,$F10+$E10-$D10)),2,IF(AND(CD$2&gt;=$D10,CD$2&lt;=$E10),1,"")))</f>
        <v/>
      </c>
      <c r="CE10" s="38">
        <f>IF(OR(CE$2="",$D10=""),"",IF(AND(ISNUMBER($F10),CE$2&gt;=$F10,CE$2&lt;=IF(ISNUMBER($G10),$G10,$F10+$E10-$D10)),2,IF(AND(CE$2&gt;=$D10,CE$2&lt;=$E10),1,"")))</f>
        <v/>
      </c>
      <c r="CF10" s="38">
        <f>IF(OR(CF$2="",$D10=""),"",IF(AND(ISNUMBER($F10),CF$2&gt;=$F10,CF$2&lt;=IF(ISNUMBER($G10),$G10,$F10+$E10-$D10)),2,IF(AND(CF$2&gt;=$D10,CF$2&lt;=$E10),1,"")))</f>
        <v/>
      </c>
      <c r="CG10" s="38">
        <f>IF(OR(CG$2="",$D10=""),"",IF(AND(ISNUMBER($F10),CG$2&gt;=$F10,CG$2&lt;=IF(ISNUMBER($G10),$G10,$F10+$E10-$D10)),2,IF(AND(CG$2&gt;=$D10,CG$2&lt;=$E10),1,"")))</f>
        <v/>
      </c>
      <c r="CH10" s="38">
        <f>IF(OR(CH$2="",$D10=""),"",IF(AND(ISNUMBER($F10),CH$2&gt;=$F10,CH$2&lt;=IF(ISNUMBER($G10),$G10,$F10+$E10-$D10)),2,IF(AND(CH$2&gt;=$D10,CH$2&lt;=$E10),1,"")))</f>
        <v/>
      </c>
      <c r="CI10" s="38">
        <f>IF(OR(CI$2="",$D10=""),"",IF(AND(ISNUMBER($F10),CI$2&gt;=$F10,CI$2&lt;=IF(ISNUMBER($G10),$G10,$F10+$E10-$D10)),2,IF(AND(CI$2&gt;=$D10,CI$2&lt;=$E10),1,"")))</f>
        <v/>
      </c>
      <c r="CJ10" s="38">
        <f>IF(OR(CJ$2="",$D10=""),"",IF(AND(ISNUMBER($F10),CJ$2&gt;=$F10,CJ$2&lt;=IF(ISNUMBER($G10),$G10,$F10+$E10-$D10)),2,IF(AND(CJ$2&gt;=$D10,CJ$2&lt;=$E10),1,"")))</f>
        <v/>
      </c>
      <c r="CK10" s="38">
        <f>IF(OR(CK$2="",$D10=""),"",IF(AND(ISNUMBER($F10),CK$2&gt;=$F10,CK$2&lt;=IF(ISNUMBER($G10),$G10,$F10+$E10-$D10)),2,IF(AND(CK$2&gt;=$D10,CK$2&lt;=$E10),1,"")))</f>
        <v/>
      </c>
      <c r="CL10" s="38">
        <f>IF(OR(CL$2="",$D10=""),"",IF(AND(ISNUMBER($F10),CL$2&gt;=$F10,CL$2&lt;=IF(ISNUMBER($G10),$G10,$F10+$E10-$D10)),2,IF(AND(CL$2&gt;=$D10,CL$2&lt;=$E10),1,"")))</f>
        <v/>
      </c>
      <c r="CM10" s="38">
        <f>IF(OR(CM$2="",$D10=""),"",IF(AND(ISNUMBER($F10),CM$2&gt;=$F10,CM$2&lt;=IF(ISNUMBER($G10),$G10,$F10+$E10-$D10)),2,IF(AND(CM$2&gt;=$D10,CM$2&lt;=$E10),1,"")))</f>
        <v/>
      </c>
      <c r="CN10" s="38">
        <f>IF(OR(CN$2="",$D10=""),"",IF(AND(ISNUMBER($F10),CN$2&gt;=$F10,CN$2&lt;=IF(ISNUMBER($G10),$G10,$F10+$E10-$D10)),2,IF(AND(CN$2&gt;=$D10,CN$2&lt;=$E10),1,"")))</f>
        <v/>
      </c>
      <c r="CO10" s="38">
        <f>IF(OR(CO$2="",$D10=""),"",IF(AND(ISNUMBER($F10),CO$2&gt;=$F10,CO$2&lt;=IF(ISNUMBER($G10),$G10,$F10+$E10-$D10)),2,IF(AND(CO$2&gt;=$D10,CO$2&lt;=$E10),1,"")))</f>
        <v/>
      </c>
      <c r="CP10" s="38">
        <f>IF(OR(CP$2="",$D10=""),"",IF(AND(ISNUMBER($F10),CP$2&gt;=$F10,CP$2&lt;=IF(ISNUMBER($G10),$G10,$F10+$E10-$D10)),2,IF(AND(CP$2&gt;=$D10,CP$2&lt;=$E10),1,"")))</f>
        <v/>
      </c>
      <c r="CQ10" s="38">
        <f>IF(OR(CQ$2="",$D10=""),"",IF(AND(ISNUMBER($F10),CQ$2&gt;=$F10,CQ$2&lt;=IF(ISNUMBER($G10),$G10,$F10+$E10-$D10)),2,IF(AND(CQ$2&gt;=$D10,CQ$2&lt;=$E10),1,"")))</f>
        <v/>
      </c>
      <c r="CR10" s="38">
        <f>IF(OR(CR$2="",$D10=""),"",IF(AND(ISNUMBER($F10),CR$2&gt;=$F10,CR$2&lt;=IF(ISNUMBER($G10),$G10,$F10+$E10-$D10)),2,IF(AND(CR$2&gt;=$D10,CR$2&lt;=$E10),1,"")))</f>
        <v/>
      </c>
      <c r="CS10" s="38">
        <f>IF(OR(CS$2="",$D10=""),"",IF(AND(ISNUMBER($F10),CS$2&gt;=$F10,CS$2&lt;=IF(ISNUMBER($G10),$G10,$F10+$E10-$D10)),2,IF(AND(CS$2&gt;=$D10,CS$2&lt;=$E10),1,"")))</f>
        <v/>
      </c>
      <c r="CT10" s="38">
        <f>IF(OR(CT$2="",$D10=""),"",IF(AND(ISNUMBER($F10),CT$2&gt;=$F10,CT$2&lt;=IF(ISNUMBER($G10),$G10,$F10+$E10-$D10)),2,IF(AND(CT$2&gt;=$D10,CT$2&lt;=$E10),1,"")))</f>
        <v/>
      </c>
      <c r="CU10" s="38">
        <f>IF(OR(CU$2="",$D10=""),"",IF(AND(ISNUMBER($F10),CU$2&gt;=$F10,CU$2&lt;=IF(ISNUMBER($G10),$G10,$F10+$E10-$D10)),2,IF(AND(CU$2&gt;=$D10,CU$2&lt;=$E10),1,"")))</f>
        <v/>
      </c>
      <c r="CV10" s="38">
        <f>IF(OR(CV$2="",$D10=""),"",IF(AND(ISNUMBER($F10),CV$2&gt;=$F10,CV$2&lt;=IF(ISNUMBER($G10),$G10,$F10+$E10-$D10)),2,IF(AND(CV$2&gt;=$D10,CV$2&lt;=$E10),1,"")))</f>
        <v/>
      </c>
      <c r="CW10" s="38">
        <f>IF(OR(CW$2="",$D10=""),"",IF(AND(ISNUMBER($F10),CW$2&gt;=$F10,CW$2&lt;=IF(ISNUMBER($G10),$G10,$F10+$E10-$D10)),2,IF(AND(CW$2&gt;=$D10,CW$2&lt;=$E10),1,"")))</f>
        <v/>
      </c>
      <c r="CX10" s="38">
        <f>IF(OR(CX$2="",$D10=""),"",IF(AND(ISNUMBER($F10),CX$2&gt;=$F10,CX$2&lt;=IF(ISNUMBER($G10),$G10,$F10+$E10-$D10)),2,IF(AND(CX$2&gt;=$D10,CX$2&lt;=$E10),1,"")))</f>
        <v/>
      </c>
      <c r="CY10" s="38">
        <f>IF(OR(CY$2="",$D10=""),"",IF(AND(ISNUMBER($F10),CY$2&gt;=$F10,CY$2&lt;=IF(ISNUMBER($G10),$G10,$F10+$E10-$D10)),2,IF(AND(CY$2&gt;=$D10,CY$2&lt;=$E10),1,"")))</f>
        <v/>
      </c>
      <c r="CZ10" s="38">
        <f>IF(OR(CZ$2="",$D10=""),"",IF(AND(ISNUMBER($F10),CZ$2&gt;=$F10,CZ$2&lt;=IF(ISNUMBER($G10),$G10,$F10+$E10-$D10)),2,IF(AND(CZ$2&gt;=$D10,CZ$2&lt;=$E10),1,"")))</f>
        <v/>
      </c>
      <c r="DA10" s="38">
        <f>IF(OR(DA$2="",$D10=""),"",IF(AND(ISNUMBER($F10),DA$2&gt;=$F10,DA$2&lt;=IF(ISNUMBER($G10),$G10,$F10+$E10-$D10)),2,IF(AND(DA$2&gt;=$D10,DA$2&lt;=$E10),1,"")))</f>
        <v/>
      </c>
      <c r="DB10" s="38">
        <f>IF(OR(DB$2="",$D10=""),"",IF(AND(ISNUMBER($F10),DB$2&gt;=$F10,DB$2&lt;=IF(ISNUMBER($G10),$G10,$F10+$E10-$D10)),2,IF(AND(DB$2&gt;=$D10,DB$2&lt;=$E10),1,"")))</f>
        <v/>
      </c>
      <c r="DC10" s="38">
        <f>IF(OR(DC$2="",$D10=""),"",IF(AND(ISNUMBER($F10),DC$2&gt;=$F10,DC$2&lt;=IF(ISNUMBER($G10),$G10,$F10+$E10-$D10)),2,IF(AND(DC$2&gt;=$D10,DC$2&lt;=$E10),1,"")))</f>
        <v/>
      </c>
      <c r="DD10" s="38">
        <f>IF(OR(DD$2="",$D10=""),"",IF(AND(ISNUMBER($F10),DD$2&gt;=$F10,DD$2&lt;=IF(ISNUMBER($G10),$G10,$F10+$E10-$D10)),2,IF(AND(DD$2&gt;=$D10,DD$2&lt;=$E10),1,"")))</f>
        <v/>
      </c>
      <c r="DE10" s="38">
        <f>IF(OR(DE$2="",$D10=""),"",IF(AND(ISNUMBER($F10),DE$2&gt;=$F10,DE$2&lt;=IF(ISNUMBER($G10),$G10,$F10+$E10-$D10)),2,IF(AND(DE$2&gt;=$D10,DE$2&lt;=$E10),1,"")))</f>
        <v/>
      </c>
      <c r="DF10" s="38">
        <f>IF(OR(DF$2="",$D10=""),"",IF(AND(ISNUMBER($F10),DF$2&gt;=$F10,DF$2&lt;=IF(ISNUMBER($G10),$G10,$F10+$E10-$D10)),2,IF(AND(DF$2&gt;=$D10,DF$2&lt;=$E10),1,"")))</f>
        <v/>
      </c>
      <c r="DG10" s="38">
        <f>IF(OR(DG$2="",$D10=""),"",IF(AND(ISNUMBER($F10),DG$2&gt;=$F10,DG$2&lt;=IF(ISNUMBER($G10),$G10,$F10+$E10-$D10)),2,IF(AND(DG$2&gt;=$D10,DG$2&lt;=$E10),1,"")))</f>
        <v/>
      </c>
      <c r="DH10" s="38">
        <f>IF(OR(DH$2="",$D10=""),"",IF(AND(ISNUMBER($F10),DH$2&gt;=$F10,DH$2&lt;=IF(ISNUMBER($G10),$G10,$F10+$E10-$D10)),2,IF(AND(DH$2&gt;=$D10,DH$2&lt;=$E10),1,"")))</f>
        <v/>
      </c>
      <c r="DI10" s="38">
        <f>IF(OR(DI$2="",$D10=""),"",IF(AND(ISNUMBER($F10),DI$2&gt;=$F10,DI$2&lt;=IF(ISNUMBER($G10),$G10,$F10+$E10-$D10)),2,IF(AND(DI$2&gt;=$D10,DI$2&lt;=$E10),1,"")))</f>
        <v/>
      </c>
      <c r="DJ10" s="38">
        <f>IF(OR(DJ$2="",$D10=""),"",IF(AND(ISNUMBER($F10),DJ$2&gt;=$F10,DJ$2&lt;=IF(ISNUMBER($G10),$G10,$F10+$E10-$D10)),2,IF(AND(DJ$2&gt;=$D10,DJ$2&lt;=$E10),1,"")))</f>
        <v/>
      </c>
      <c r="DK10" s="38">
        <f>IF(OR(DK$2="",$D10=""),"",IF(AND(ISNUMBER($F10),DK$2&gt;=$F10,DK$2&lt;=IF(ISNUMBER($G10),$G10,$F10+$E10-$D10)),2,IF(AND(DK$2&gt;=$D10,DK$2&lt;=$E10),1,"")))</f>
        <v/>
      </c>
      <c r="DL10" s="38">
        <f>IF(OR(DL$2="",$D10=""),"",IF(AND(ISNUMBER($F10),DL$2&gt;=$F10,DL$2&lt;=IF(ISNUMBER($G10),$G10,$F10+$E10-$D10)),2,IF(AND(DL$2&gt;=$D10,DL$2&lt;=$E10),1,"")))</f>
        <v/>
      </c>
      <c r="DM10" s="38">
        <f>IF(OR(DM$2="",$D10=""),"",IF(AND(ISNUMBER($F10),DM$2&gt;=$F10,DM$2&lt;=IF(ISNUMBER($G10),$G10,$F10+$E10-$D10)),2,IF(AND(DM$2&gt;=$D10,DM$2&lt;=$E10),1,"")))</f>
        <v/>
      </c>
      <c r="DN10" s="38">
        <f>IF(OR(DN$2="",$D10=""),"",IF(AND(ISNUMBER($F10),DN$2&gt;=$F10,DN$2&lt;=IF(ISNUMBER($G10),$G10,$F10+$E10-$D10)),2,IF(AND(DN$2&gt;=$D10,DN$2&lt;=$E10),1,"")))</f>
        <v/>
      </c>
      <c r="DO10" s="38">
        <f>IF(OR(DO$2="",$D10=""),"",IF(AND(ISNUMBER($F10),DO$2&gt;=$F10,DO$2&lt;=IF(ISNUMBER($G10),$G10,$F10+$E10-$D10)),2,IF(AND(DO$2&gt;=$D10,DO$2&lt;=$E10),1,"")))</f>
        <v/>
      </c>
      <c r="DP10" s="38">
        <f>IF(OR(DP$2="",$D10=""),"",IF(AND(ISNUMBER($F10),DP$2&gt;=$F10,DP$2&lt;=IF(ISNUMBER($G10),$G10,$F10+$E10-$D10)),2,IF(AND(DP$2&gt;=$D10,DP$2&lt;=$E10),1,"")))</f>
        <v/>
      </c>
      <c r="DQ10" s="38">
        <f>IF(OR(DQ$2="",$D10=""),"",IF(AND(ISNUMBER($F10),DQ$2&gt;=$F10,DQ$2&lt;=IF(ISNUMBER($G10),$G10,$F10+$E10-$D10)),2,IF(AND(DQ$2&gt;=$D10,DQ$2&lt;=$E10),1,"")))</f>
        <v/>
      </c>
      <c r="DR10" s="38">
        <f>IF(OR(DR$2="",$D10=""),"",IF(AND(ISNUMBER($F10),DR$2&gt;=$F10,DR$2&lt;=IF(ISNUMBER($G10),$G10,$F10+$E10-$D10)),2,IF(AND(DR$2&gt;=$D10,DR$2&lt;=$E10),1,"")))</f>
        <v/>
      </c>
      <c r="DS10" s="38">
        <f>IF(OR(DS$2="",$D10=""),"",IF(AND(ISNUMBER($F10),DS$2&gt;=$F10,DS$2&lt;=IF(ISNUMBER($G10),$G10,$F10+$E10-$D10)),2,IF(AND(DS$2&gt;=$D10,DS$2&lt;=$E10),1,"")))</f>
        <v/>
      </c>
      <c r="DT10" s="38">
        <f>IF(OR(DT$2="",$D10=""),"",IF(AND(ISNUMBER($F10),DT$2&gt;=$F10,DT$2&lt;=IF(ISNUMBER($G10),$G10,$F10+$E10-$D10)),2,IF(AND(DT$2&gt;=$D10,DT$2&lt;=$E10),1,"")))</f>
        <v/>
      </c>
      <c r="DU10" s="38">
        <f>IF(OR(DU$2="",$D10=""),"",IF(AND(ISNUMBER($F10),DU$2&gt;=$F10,DU$2&lt;=IF(ISNUMBER($G10),$G10,$F10+$E10-$D10)),2,IF(AND(DU$2&gt;=$D10,DU$2&lt;=$E10),1,"")))</f>
        <v/>
      </c>
      <c r="DV10" s="38">
        <f>IF(OR(DV$2="",$D10=""),"",IF(AND(ISNUMBER($F10),DV$2&gt;=$F10,DV$2&lt;=IF(ISNUMBER($G10),$G10,$F10+$E10-$D10)),2,IF(AND(DV$2&gt;=$D10,DV$2&lt;=$E10),1,"")))</f>
        <v/>
      </c>
      <c r="DW10" s="38">
        <f>IF(OR(DW$2="",$D10=""),"",IF(AND(ISNUMBER($F10),DW$2&gt;=$F10,DW$2&lt;=IF(ISNUMBER($G10),$G10,$F10+$E10-$D10)),2,IF(AND(DW$2&gt;=$D10,DW$2&lt;=$E10),1,"")))</f>
        <v/>
      </c>
      <c r="DX10" s="38">
        <f>IF(OR(DX$2="",$D10=""),"",IF(AND(ISNUMBER($F10),DX$2&gt;=$F10,DX$2&lt;=IF(ISNUMBER($G10),$G10,$F10+$E10-$D10)),2,IF(AND(DX$2&gt;=$D10,DX$2&lt;=$E10),1,"")))</f>
        <v/>
      </c>
      <c r="DY10" s="38">
        <f>IF(OR(DY$2="",$D10=""),"",IF(AND(ISNUMBER($F10),DY$2&gt;=$F10,DY$2&lt;=IF(ISNUMBER($G10),$G10,$F10+$E10-$D10)),2,IF(AND(DY$2&gt;=$D10,DY$2&lt;=$E10),1,"")))</f>
        <v/>
      </c>
      <c r="DZ10" s="38">
        <f>IF(OR(DZ$2="",$D10=""),"",IF(AND(ISNUMBER($F10),DZ$2&gt;=$F10,DZ$2&lt;=IF(ISNUMBER($G10),$G10,$F10+$E10-$D10)),2,IF(AND(DZ$2&gt;=$D10,DZ$2&lt;=$E10),1,"")))</f>
        <v/>
      </c>
      <c r="EA10" s="38">
        <f>IF(OR(EA$2="",$D10=""),"",IF(AND(ISNUMBER($F10),EA$2&gt;=$F10,EA$2&lt;=IF(ISNUMBER($G10),$G10,$F10+$E10-$D10)),2,IF(AND(EA$2&gt;=$D10,EA$2&lt;=$E10),1,"")))</f>
        <v/>
      </c>
      <c r="EB10" s="38">
        <f>IF(OR(EB$2="",$D10=""),"",IF(AND(ISNUMBER($F10),EB$2&gt;=$F10,EB$2&lt;=IF(ISNUMBER($G10),$G10,$F10+$E10-$D10)),2,IF(AND(EB$2&gt;=$D10,EB$2&lt;=$E10),1,"")))</f>
        <v/>
      </c>
      <c r="EC10" s="38">
        <f>IF(OR(EC$2="",$D10=""),"",IF(AND(ISNUMBER($F10),EC$2&gt;=$F10,EC$2&lt;=IF(ISNUMBER($G10),$G10,$F10+$E10-$D10)),2,IF(AND(EC$2&gt;=$D10,EC$2&lt;=$E10),1,"")))</f>
        <v/>
      </c>
      <c r="ED10" s="38">
        <f>IF(OR(ED$2="",$D10=""),"",IF(AND(ISNUMBER($F10),ED$2&gt;=$F10,ED$2&lt;=IF(ISNUMBER($G10),$G10,$F10+$E10-$D10)),2,IF(AND(ED$2&gt;=$D10,ED$2&lt;=$E10),1,"")))</f>
        <v/>
      </c>
      <c r="EE10" s="38">
        <f>IF(OR(EE$2="",$D10=""),"",IF(AND(ISNUMBER($F10),EE$2&gt;=$F10,EE$2&lt;=IF(ISNUMBER($G10),$G10,$F10+$E10-$D10)),2,IF(AND(EE$2&gt;=$D10,EE$2&lt;=$E10),1,"")))</f>
        <v/>
      </c>
      <c r="EF10" s="38">
        <f>IF(OR(EF$2="",$D10=""),"",IF(AND(ISNUMBER($F10),EF$2&gt;=$F10,EF$2&lt;=IF(ISNUMBER($G10),$G10,$F10+$E10-$D10)),2,IF(AND(EF$2&gt;=$D10,EF$2&lt;=$E10),1,"")))</f>
        <v/>
      </c>
      <c r="EG10" s="38">
        <f>IF(OR(EG$2="",$D10=""),"",IF(AND(ISNUMBER($F10),EG$2&gt;=$F10,EG$2&lt;=IF(ISNUMBER($G10),$G10,$F10+$E10-$D10)),2,IF(AND(EG$2&gt;=$D10,EG$2&lt;=$E10),1,"")))</f>
        <v/>
      </c>
      <c r="EH10" s="38">
        <f>IF(OR(EH$2="",$D10=""),"",IF(AND(ISNUMBER($F10),EH$2&gt;=$F10,EH$2&lt;=IF(ISNUMBER($G10),$G10,$F10+$E10-$D10)),2,IF(AND(EH$2&gt;=$D10,EH$2&lt;=$E10),1,"")))</f>
        <v/>
      </c>
      <c r="EI10" s="38">
        <f>IF(OR(EI$2="",$D10=""),"",IF(AND(ISNUMBER($F10),EI$2&gt;=$F10,EI$2&lt;=IF(ISNUMBER($G10),$G10,$F10+$E10-$D10)),2,IF(AND(EI$2&gt;=$D10,EI$2&lt;=$E10),1,"")))</f>
        <v/>
      </c>
      <c r="EJ10" s="38">
        <f>IF(OR(EJ$2="",$D10=""),"",IF(AND(ISNUMBER($F10),EJ$2&gt;=$F10,EJ$2&lt;=IF(ISNUMBER($G10),$G10,$F10+$E10-$D10)),2,IF(AND(EJ$2&gt;=$D10,EJ$2&lt;=$E10),1,"")))</f>
        <v/>
      </c>
      <c r="EK10" s="38">
        <f>IF(OR(EK$2="",$D10=""),"",IF(AND(ISNUMBER($F10),EK$2&gt;=$F10,EK$2&lt;=IF(ISNUMBER($G10),$G10,$F10+$E10-$D10)),2,IF(AND(EK$2&gt;=$D10,EK$2&lt;=$E10),1,"")))</f>
        <v/>
      </c>
      <c r="EL10" s="38">
        <f>IF(OR(EL$2="",$D10=""),"",IF(AND(ISNUMBER($F10),EL$2&gt;=$F10,EL$2&lt;=IF(ISNUMBER($G10),$G10,$F10+$E10-$D10)),2,IF(AND(EL$2&gt;=$D10,EL$2&lt;=$E10),1,"")))</f>
        <v/>
      </c>
      <c r="EM10" s="38">
        <f>IF(OR(EM$2="",$D10=""),"",IF(AND(ISNUMBER($F10),EM$2&gt;=$F10,EM$2&lt;=IF(ISNUMBER($G10),$G10,$F10+$E10-$D10)),2,IF(AND(EM$2&gt;=$D10,EM$2&lt;=$E10),1,"")))</f>
        <v/>
      </c>
      <c r="EN10" s="38">
        <f>IF(OR(EN$2="",$D10=""),"",IF(AND(ISNUMBER($F10),EN$2&gt;=$F10,EN$2&lt;=IF(ISNUMBER($G10),$G10,$F10+$E10-$D10)),2,IF(AND(EN$2&gt;=$D10,EN$2&lt;=$E10),1,"")))</f>
        <v/>
      </c>
      <c r="EO10" s="38">
        <f>IF(OR(EO$2="",$D10=""),"",IF(AND(ISNUMBER($F10),EO$2&gt;=$F10,EO$2&lt;=IF(ISNUMBER($G10),$G10,$F10+$E10-$D10)),2,IF(AND(EO$2&gt;=$D10,EO$2&lt;=$E10),1,"")))</f>
        <v/>
      </c>
      <c r="EP10" s="38">
        <f>IF(OR(EP$2="",$D10=""),"",IF(AND(ISNUMBER($F10),EP$2&gt;=$F10,EP$2&lt;=IF(ISNUMBER($G10),$G10,$F10+$E10-$D10)),2,IF(AND(EP$2&gt;=$D10,EP$2&lt;=$E10),1,"")))</f>
        <v/>
      </c>
      <c r="EQ10" s="38">
        <f>IF(OR(EQ$2="",$D10=""),"",IF(AND(ISNUMBER($F10),EQ$2&gt;=$F10,EQ$2&lt;=IF(ISNUMBER($G10),$G10,$F10+$E10-$D10)),2,IF(AND(EQ$2&gt;=$D10,EQ$2&lt;=$E10),1,"")))</f>
        <v/>
      </c>
      <c r="ER10" s="38">
        <f>IF(OR(ER$2="",$D10=""),"",IF(AND(ISNUMBER($F10),ER$2&gt;=$F10,ER$2&lt;=IF(ISNUMBER($G10),$G10,$F10+$E10-$D10)),2,IF(AND(ER$2&gt;=$D10,ER$2&lt;=$E10),1,"")))</f>
        <v/>
      </c>
      <c r="ES10" s="38">
        <f>IF(OR(ES$2="",$D10=""),"",IF(AND(ISNUMBER($F10),ES$2&gt;=$F10,ES$2&lt;=IF(ISNUMBER($G10),$G10,$F10+$E10-$D10)),2,IF(AND(ES$2&gt;=$D10,ES$2&lt;=$E10),1,"")))</f>
        <v/>
      </c>
      <c r="ET10" s="38">
        <f>IF(OR(ET$2="",$D10=""),"",IF(AND(ISNUMBER($F10),ET$2&gt;=$F10,ET$2&lt;=IF(ISNUMBER($G10),$G10,$F10+$E10-$D10)),2,IF(AND(ET$2&gt;=$D10,ET$2&lt;=$E10),1,"")))</f>
        <v/>
      </c>
      <c r="EU10" s="38">
        <f>IF(OR(EU$2="",$D10=""),"",IF(AND(ISNUMBER($F10),EU$2&gt;=$F10,EU$2&lt;=IF(ISNUMBER($G10),$G10,$F10+$E10-$D10)),2,IF(AND(EU$2&gt;=$D10,EU$2&lt;=$E10),1,"")))</f>
        <v/>
      </c>
      <c r="EV10" s="38">
        <f>IF(OR(EV$2="",$D10=""),"",IF(AND(ISNUMBER($F10),EV$2&gt;=$F10,EV$2&lt;=IF(ISNUMBER($G10),$G10,$F10+$E10-$D10)),2,IF(AND(EV$2&gt;=$D10,EV$2&lt;=$E10),1,"")))</f>
        <v/>
      </c>
      <c r="EW10" s="38">
        <f>IF(OR(EW$2="",$D10=""),"",IF(AND(ISNUMBER($F10),EW$2&gt;=$F10,EW$2&lt;=IF(ISNUMBER($G10),$G10,$F10+$E10-$D10)),2,IF(AND(EW$2&gt;=$D10,EW$2&lt;=$E10),1,"")))</f>
        <v/>
      </c>
      <c r="EX10" s="38">
        <f>IF(OR(EX$2="",$D10=""),"",IF(AND(ISNUMBER($F10),EX$2&gt;=$F10,EX$2&lt;=IF(ISNUMBER($G10),$G10,$F10+$E10-$D10)),2,IF(AND(EX$2&gt;=$D10,EX$2&lt;=$E10),1,"")))</f>
        <v/>
      </c>
      <c r="EY10" s="38">
        <f>IF(OR(EY$2="",$D10=""),"",IF(AND(ISNUMBER($F10),EY$2&gt;=$F10,EY$2&lt;=IF(ISNUMBER($G10),$G10,$F10+$E10-$D10)),2,IF(AND(EY$2&gt;=$D10,EY$2&lt;=$E10),1,"")))</f>
        <v/>
      </c>
      <c r="EZ10" s="38">
        <f>IF(OR(EZ$2="",$D10=""),"",IF(AND(ISNUMBER($F10),EZ$2&gt;=$F10,EZ$2&lt;=IF(ISNUMBER($G10),$G10,$F10+$E10-$D10)),2,IF(AND(EZ$2&gt;=$D10,EZ$2&lt;=$E10),1,"")))</f>
        <v/>
      </c>
      <c r="FA10" s="38">
        <f>IF(OR(FA$2="",$D10=""),"",IF(AND(ISNUMBER($F10),FA$2&gt;=$F10,FA$2&lt;=IF(ISNUMBER($G10),$G10,$F10+$E10-$D10)),2,IF(AND(FA$2&gt;=$D10,FA$2&lt;=$E10),1,"")))</f>
        <v/>
      </c>
      <c r="FB10" s="38">
        <f>IF(OR(FB$2="",$D10=""),"",IF(AND(ISNUMBER($F10),FB$2&gt;=$F10,FB$2&lt;=IF(ISNUMBER($G10),$G10,$F10+$E10-$D10)),2,IF(AND(FB$2&gt;=$D10,FB$2&lt;=$E10),1,"")))</f>
        <v/>
      </c>
      <c r="FC10" s="38">
        <f>IF(OR(FC$2="",$D10=""),"",IF(AND(ISNUMBER($F10),FC$2&gt;=$F10,FC$2&lt;=IF(ISNUMBER($G10),$G10,$F10+$E10-$D10)),2,IF(AND(FC$2&gt;=$D10,FC$2&lt;=$E10),1,"")))</f>
        <v/>
      </c>
      <c r="FD10" s="38">
        <f>IF(OR(FD$2="",$D10=""),"",IF(AND(ISNUMBER($F10),FD$2&gt;=$F10,FD$2&lt;=IF(ISNUMBER($G10),$G10,$F10+$E10-$D10)),2,IF(AND(FD$2&gt;=$D10,FD$2&lt;=$E10),1,"")))</f>
        <v/>
      </c>
      <c r="FE10" s="38">
        <f>IF(OR(FE$2="",$D10=""),"",IF(AND(ISNUMBER($F10),FE$2&gt;=$F10,FE$2&lt;=IF(ISNUMBER($G10),$G10,$F10+$E10-$D10)),2,IF(AND(FE$2&gt;=$D10,FE$2&lt;=$E10),1,"")))</f>
        <v/>
      </c>
      <c r="FF10" s="38">
        <f>IF(OR(FF$2="",$D10=""),"",IF(AND(ISNUMBER($F10),FF$2&gt;=$F10,FF$2&lt;=IF(ISNUMBER($G10),$G10,$F10+$E10-$D10)),2,IF(AND(FF$2&gt;=$D10,FF$2&lt;=$E10),1,"")))</f>
        <v/>
      </c>
      <c r="FG10" s="38">
        <f>IF(OR(FG$2="",$D10=""),"",IF(AND(ISNUMBER($F10),FG$2&gt;=$F10,FG$2&lt;=IF(ISNUMBER($G10),$G10,$F10+$E10-$D10)),2,IF(AND(FG$2&gt;=$D10,FG$2&lt;=$E10),1,"")))</f>
        <v/>
      </c>
      <c r="FH10" s="38">
        <f>IF(OR(FH$2="",$D10=""),"",IF(AND(ISNUMBER($F10),FH$2&gt;=$F10,FH$2&lt;=IF(ISNUMBER($G10),$G10,$F10+$E10-$D10)),2,IF(AND(FH$2&gt;=$D10,FH$2&lt;=$E10),1,"")))</f>
        <v/>
      </c>
      <c r="FI10" s="38">
        <f>IF(OR(FI$2="",$D10=""),"",IF(AND(ISNUMBER($F10),FI$2&gt;=$F10,FI$2&lt;=IF(ISNUMBER($G10),$G10,$F10+$E10-$D10)),2,IF(AND(FI$2&gt;=$D10,FI$2&lt;=$E10),1,"")))</f>
        <v/>
      </c>
      <c r="FJ10" s="38">
        <f>IF(OR(FJ$2="",$D10=""),"",IF(AND(ISNUMBER($F10),FJ$2&gt;=$F10,FJ$2&lt;=IF(ISNUMBER($G10),$G10,$F10+$E10-$D10)),2,IF(AND(FJ$2&gt;=$D10,FJ$2&lt;=$E10),1,"")))</f>
        <v/>
      </c>
      <c r="FK10" s="38">
        <f>IF(OR(FK$2="",$D10=""),"",IF(AND(ISNUMBER($F10),FK$2&gt;=$F10,FK$2&lt;=IF(ISNUMBER($G10),$G10,$F10+$E10-$D10)),2,IF(AND(FK$2&gt;=$D10,FK$2&lt;=$E10),1,"")))</f>
        <v/>
      </c>
      <c r="FL10" s="38">
        <f>IF(OR(FL$2="",$D10=""),"",IF(AND(ISNUMBER($F10),FL$2&gt;=$F10,FL$2&lt;=IF(ISNUMBER($G10),$G10,$F10+$E10-$D10)),2,IF(AND(FL$2&gt;=$D10,FL$2&lt;=$E10),1,"")))</f>
        <v/>
      </c>
      <c r="FM10" s="38">
        <f>IF(OR(FM$2="",$D10=""),"",IF(AND(ISNUMBER($F10),FM$2&gt;=$F10,FM$2&lt;=IF(ISNUMBER($G10),$G10,$F10+$E10-$D10)),2,IF(AND(FM$2&gt;=$D10,FM$2&lt;=$E10),1,"")))</f>
        <v/>
      </c>
      <c r="FN10" s="38">
        <f>IF(OR(FN$2="",$D10=""),"",IF(AND(ISNUMBER($F10),FN$2&gt;=$F10,FN$2&lt;=IF(ISNUMBER($G10),$G10,$F10+$E10-$D10)),2,IF(AND(FN$2&gt;=$D10,FN$2&lt;=$E10),1,"")))</f>
        <v/>
      </c>
      <c r="FO10" s="38">
        <f>IF(OR(FO$2="",$D10=""),"",IF(AND(ISNUMBER($F10),FO$2&gt;=$F10,FO$2&lt;=IF(ISNUMBER($G10),$G10,$F10+$E10-$D10)),2,IF(AND(FO$2&gt;=$D10,FO$2&lt;=$E10),1,"")))</f>
        <v/>
      </c>
      <c r="FP10" s="38">
        <f>IF(OR(FP$2="",$D10=""),"",IF(AND(ISNUMBER($F10),FP$2&gt;=$F10,FP$2&lt;=IF(ISNUMBER($G10),$G10,$F10+$E10-$D10)),2,IF(AND(FP$2&gt;=$D10,FP$2&lt;=$E10),1,"")))</f>
        <v/>
      </c>
      <c r="FQ10" s="38">
        <f>IF(OR(FQ$2="",$D10=""),"",IF(AND(ISNUMBER($F10),FQ$2&gt;=$F10,FQ$2&lt;=IF(ISNUMBER($G10),$G10,$F10+$E10-$D10)),2,IF(AND(FQ$2&gt;=$D10,FQ$2&lt;=$E10),1,"")))</f>
        <v/>
      </c>
      <c r="FR10" s="38">
        <f>IF(OR(FR$2="",$D10=""),"",IF(AND(ISNUMBER($F10),FR$2&gt;=$F10,FR$2&lt;=IF(ISNUMBER($G10),$G10,$F10+$E10-$D10)),2,IF(AND(FR$2&gt;=$D10,FR$2&lt;=$E10),1,"")))</f>
        <v/>
      </c>
      <c r="FS10" s="38">
        <f>IF(OR(FS$2="",$D10=""),"",IF(AND(ISNUMBER($F10),FS$2&gt;=$F10,FS$2&lt;=IF(ISNUMBER($G10),$G10,$F10+$E10-$D10)),2,IF(AND(FS$2&gt;=$D10,FS$2&lt;=$E10),1,"")))</f>
        <v/>
      </c>
      <c r="FT10" s="38">
        <f>IF(OR(FT$2="",$D10=""),"",IF(AND(ISNUMBER($F10),FT$2&gt;=$F10,FT$2&lt;=IF(ISNUMBER($G10),$G10,$F10+$E10-$D10)),2,IF(AND(FT$2&gt;=$D10,FT$2&lt;=$E10),1,"")))</f>
        <v/>
      </c>
      <c r="FU10" s="38">
        <f>IF(OR(FU$2="",$D10=""),"",IF(AND(ISNUMBER($F10),FU$2&gt;=$F10,FU$2&lt;=IF(ISNUMBER($G10),$G10,$F10+$E10-$D10)),2,IF(AND(FU$2&gt;=$D10,FU$2&lt;=$E10),1,"")))</f>
        <v/>
      </c>
      <c r="FV10" s="38">
        <f>IF(OR(FV$2="",$D10=""),"",IF(AND(ISNUMBER($F10),FV$2&gt;=$F10,FV$2&lt;=IF(ISNUMBER($G10),$G10,$F10+$E10-$D10)),2,IF(AND(FV$2&gt;=$D10,FV$2&lt;=$E10),1,"")))</f>
        <v/>
      </c>
      <c r="FW10" s="38">
        <f>IF(OR(FW$2="",$D10=""),"",IF(AND(ISNUMBER($F10),FW$2&gt;=$F10,FW$2&lt;=IF(ISNUMBER($G10),$G10,$F10+$E10-$D10)),2,IF(AND(FW$2&gt;=$D10,FW$2&lt;=$E10),1,"")))</f>
        <v/>
      </c>
      <c r="FX10" s="38">
        <f>IF(OR(FX$2="",$D10=""),"",IF(AND(ISNUMBER($F10),FX$2&gt;=$F10,FX$2&lt;=IF(ISNUMBER($G10),$G10,$F10+$E10-$D10)),2,IF(AND(FX$2&gt;=$D10,FX$2&lt;=$E10),1,"")))</f>
        <v/>
      </c>
      <c r="FY10" s="38">
        <f>IF(OR(FY$2="",$D10=""),"",IF(AND(ISNUMBER($F10),FY$2&gt;=$F10,FY$2&lt;=IF(ISNUMBER($G10),$G10,$F10+$E10-$D10)),2,IF(AND(FY$2&gt;=$D10,FY$2&lt;=$E10),1,"")))</f>
        <v/>
      </c>
      <c r="FZ10" s="38">
        <f>IF(OR(FZ$2="",$D10=""),"",IF(AND(ISNUMBER($F10),FZ$2&gt;=$F10,FZ$2&lt;=IF(ISNUMBER($G10),$G10,$F10+$E10-$D10)),2,IF(AND(FZ$2&gt;=$D10,FZ$2&lt;=$E10),1,"")))</f>
        <v/>
      </c>
      <c r="GA10" s="38">
        <f>IF(OR(GA$2="",$D10=""),"",IF(AND(ISNUMBER($F10),GA$2&gt;=$F10,GA$2&lt;=IF(ISNUMBER($G10),$G10,$F10+$E10-$D10)),2,IF(AND(GA$2&gt;=$D10,GA$2&lt;=$E10),1,"")))</f>
        <v/>
      </c>
      <c r="GB10" s="38">
        <f>IF(OR(GB$2="",$D10=""),"",IF(AND(ISNUMBER($F10),GB$2&gt;=$F10,GB$2&lt;=IF(ISNUMBER($G10),$G10,$F10+$E10-$D10)),2,IF(AND(GB$2&gt;=$D10,GB$2&lt;=$E10),1,"")))</f>
        <v/>
      </c>
      <c r="GC10" s="38">
        <f>IF(OR(GC$2="",$D10=""),"",IF(AND(ISNUMBER($F10),GC$2&gt;=$F10,GC$2&lt;=IF(ISNUMBER($G10),$G10,$F10+$E10-$D10)),2,IF(AND(GC$2&gt;=$D10,GC$2&lt;=$E10),1,"")))</f>
        <v/>
      </c>
      <c r="GD10" s="38">
        <f>IF(OR(GD$2="",$D10=""),"",IF(AND(ISNUMBER($F10),GD$2&gt;=$F10,GD$2&lt;=IF(ISNUMBER($G10),$G10,$F10+$E10-$D10)),2,IF(AND(GD$2&gt;=$D10,GD$2&lt;=$E10),1,"")))</f>
        <v/>
      </c>
      <c r="GE10" s="38">
        <f>IF(OR(GE$2="",$D10=""),"",IF(AND(ISNUMBER($F10),GE$2&gt;=$F10,GE$2&lt;=IF(ISNUMBER($G10),$G10,$F10+$E10-$D10)),2,IF(AND(GE$2&gt;=$D10,GE$2&lt;=$E10),1,"")))</f>
        <v/>
      </c>
    </row>
    <row r="11">
      <c r="A11" s="36" t="inlineStr">
        <is>
          <t>Pitan (conventional mid-season drainage)</t>
        </is>
      </c>
      <c r="B11" s="12" t="inlineStr">
        <is>
          <t>পিটান</t>
        </is>
      </c>
      <c r="C11" s="12" t="inlineStr">
        <is>
          <t>3F4D+MD</t>
        </is>
      </c>
      <c r="D11" s="7">
        <f>IF(Day_0="","",Day_0+cfg_0+cfg_1)</f>
        <v/>
      </c>
      <c r="E11" s="7">
        <f>IF(Day_0="","",Day_0+cfg_0+cfg_1+cfg_2)</f>
        <v/>
      </c>
      <c r="F11" s="37" t="n"/>
      <c r="G11" s="37" t="n"/>
      <c r="H11" s="6">
        <f>IF(D11="","no plan",IF(F11&lt;&gt;"",IF(F11-D11&gt;=2,"LATE","OK"),IF(TODAY()&gt;D11+2,"OVERDUE","upcoming")))</f>
        <v/>
      </c>
      <c r="I11" s="6">
        <f>IF(AND(D11&lt;&gt;"",F11&lt;&gt;""),F11-D11,"")</f>
        <v/>
      </c>
      <c r="J11" s="7">
        <f>IF(F11&lt;&gt;"",F11,D11)</f>
        <v/>
      </c>
      <c r="K11" s="7">
        <f>IF(G11&lt;&gt;"",G11,IF(AND(F11&lt;&gt;"",E11=D11),F11,E11))</f>
        <v/>
      </c>
      <c r="L11" s="6">
        <f>IF(AND(D11&lt;&gt;"",F11="",D11&gt;=TODAY()),D11+ROW()/1000,"")</f>
        <v/>
      </c>
      <c r="M11" s="38">
        <f>IF(OR(M$2="",$D11=""),"",IF(AND(ISNUMBER($F11),M$2&gt;=$F11,M$2&lt;=IF(ISNUMBER($G11),$G11,$F11+$E11-$D11)),2,IF(AND(M$2&gt;=$D11,M$2&lt;=$E11),1,"")))</f>
        <v/>
      </c>
      <c r="N11" s="38">
        <f>IF(OR(N$2="",$D11=""),"",IF(AND(ISNUMBER($F11),N$2&gt;=$F11,N$2&lt;=IF(ISNUMBER($G11),$G11,$F11+$E11-$D11)),2,IF(AND(N$2&gt;=$D11,N$2&lt;=$E11),1,"")))</f>
        <v/>
      </c>
      <c r="O11" s="38">
        <f>IF(OR(O$2="",$D11=""),"",IF(AND(ISNUMBER($F11),O$2&gt;=$F11,O$2&lt;=IF(ISNUMBER($G11),$G11,$F11+$E11-$D11)),2,IF(AND(O$2&gt;=$D11,O$2&lt;=$E11),1,"")))</f>
        <v/>
      </c>
      <c r="P11" s="38">
        <f>IF(OR(P$2="",$D11=""),"",IF(AND(ISNUMBER($F11),P$2&gt;=$F11,P$2&lt;=IF(ISNUMBER($G11),$G11,$F11+$E11-$D11)),2,IF(AND(P$2&gt;=$D11,P$2&lt;=$E11),1,"")))</f>
        <v/>
      </c>
      <c r="Q11" s="38">
        <f>IF(OR(Q$2="",$D11=""),"",IF(AND(ISNUMBER($F11),Q$2&gt;=$F11,Q$2&lt;=IF(ISNUMBER($G11),$G11,$F11+$E11-$D11)),2,IF(AND(Q$2&gt;=$D11,Q$2&lt;=$E11),1,"")))</f>
        <v/>
      </c>
      <c r="R11" s="38">
        <f>IF(OR(R$2="",$D11=""),"",IF(AND(ISNUMBER($F11),R$2&gt;=$F11,R$2&lt;=IF(ISNUMBER($G11),$G11,$F11+$E11-$D11)),2,IF(AND(R$2&gt;=$D11,R$2&lt;=$E11),1,"")))</f>
        <v/>
      </c>
      <c r="S11" s="38">
        <f>IF(OR(S$2="",$D11=""),"",IF(AND(ISNUMBER($F11),S$2&gt;=$F11,S$2&lt;=IF(ISNUMBER($G11),$G11,$F11+$E11-$D11)),2,IF(AND(S$2&gt;=$D11,S$2&lt;=$E11),1,"")))</f>
        <v/>
      </c>
      <c r="T11" s="38">
        <f>IF(OR(T$2="",$D11=""),"",IF(AND(ISNUMBER($F11),T$2&gt;=$F11,T$2&lt;=IF(ISNUMBER($G11),$G11,$F11+$E11-$D11)),2,IF(AND(T$2&gt;=$D11,T$2&lt;=$E11),1,"")))</f>
        <v/>
      </c>
      <c r="U11" s="38">
        <f>IF(OR(U$2="",$D11=""),"",IF(AND(ISNUMBER($F11),U$2&gt;=$F11,U$2&lt;=IF(ISNUMBER($G11),$G11,$F11+$E11-$D11)),2,IF(AND(U$2&gt;=$D11,U$2&lt;=$E11),1,"")))</f>
        <v/>
      </c>
      <c r="V11" s="38">
        <f>IF(OR(V$2="",$D11=""),"",IF(AND(ISNUMBER($F11),V$2&gt;=$F11,V$2&lt;=IF(ISNUMBER($G11),$G11,$F11+$E11-$D11)),2,IF(AND(V$2&gt;=$D11,V$2&lt;=$E11),1,"")))</f>
        <v/>
      </c>
      <c r="W11" s="38">
        <f>IF(OR(W$2="",$D11=""),"",IF(AND(ISNUMBER($F11),W$2&gt;=$F11,W$2&lt;=IF(ISNUMBER($G11),$G11,$F11+$E11-$D11)),2,IF(AND(W$2&gt;=$D11,W$2&lt;=$E11),1,"")))</f>
        <v/>
      </c>
      <c r="X11" s="38">
        <f>IF(OR(X$2="",$D11=""),"",IF(AND(ISNUMBER($F11),X$2&gt;=$F11,X$2&lt;=IF(ISNUMBER($G11),$G11,$F11+$E11-$D11)),2,IF(AND(X$2&gt;=$D11,X$2&lt;=$E11),1,"")))</f>
        <v/>
      </c>
      <c r="Y11" s="38">
        <f>IF(OR(Y$2="",$D11=""),"",IF(AND(ISNUMBER($F11),Y$2&gt;=$F11,Y$2&lt;=IF(ISNUMBER($G11),$G11,$F11+$E11-$D11)),2,IF(AND(Y$2&gt;=$D11,Y$2&lt;=$E11),1,"")))</f>
        <v/>
      </c>
      <c r="Z11" s="38">
        <f>IF(OR(Z$2="",$D11=""),"",IF(AND(ISNUMBER($F11),Z$2&gt;=$F11,Z$2&lt;=IF(ISNUMBER($G11),$G11,$F11+$E11-$D11)),2,IF(AND(Z$2&gt;=$D11,Z$2&lt;=$E11),1,"")))</f>
        <v/>
      </c>
      <c r="AA11" s="38">
        <f>IF(OR(AA$2="",$D11=""),"",IF(AND(ISNUMBER($F11),AA$2&gt;=$F11,AA$2&lt;=IF(ISNUMBER($G11),$G11,$F11+$E11-$D11)),2,IF(AND(AA$2&gt;=$D11,AA$2&lt;=$E11),1,"")))</f>
        <v/>
      </c>
      <c r="AB11" s="38">
        <f>IF(OR(AB$2="",$D11=""),"",IF(AND(ISNUMBER($F11),AB$2&gt;=$F11,AB$2&lt;=IF(ISNUMBER($G11),$G11,$F11+$E11-$D11)),2,IF(AND(AB$2&gt;=$D11,AB$2&lt;=$E11),1,"")))</f>
        <v/>
      </c>
      <c r="AC11" s="38">
        <f>IF(OR(AC$2="",$D11=""),"",IF(AND(ISNUMBER($F11),AC$2&gt;=$F11,AC$2&lt;=IF(ISNUMBER($G11),$G11,$F11+$E11-$D11)),2,IF(AND(AC$2&gt;=$D11,AC$2&lt;=$E11),1,"")))</f>
        <v/>
      </c>
      <c r="AD11" s="38">
        <f>IF(OR(AD$2="",$D11=""),"",IF(AND(ISNUMBER($F11),AD$2&gt;=$F11,AD$2&lt;=IF(ISNUMBER($G11),$G11,$F11+$E11-$D11)),2,IF(AND(AD$2&gt;=$D11,AD$2&lt;=$E11),1,"")))</f>
        <v/>
      </c>
      <c r="AE11" s="38">
        <f>IF(OR(AE$2="",$D11=""),"",IF(AND(ISNUMBER($F11),AE$2&gt;=$F11,AE$2&lt;=IF(ISNUMBER($G11),$G11,$F11+$E11-$D11)),2,IF(AND(AE$2&gt;=$D11,AE$2&lt;=$E11),1,"")))</f>
        <v/>
      </c>
      <c r="AF11" s="38">
        <f>IF(OR(AF$2="",$D11=""),"",IF(AND(ISNUMBER($F11),AF$2&gt;=$F11,AF$2&lt;=IF(ISNUMBER($G11),$G11,$F11+$E11-$D11)),2,IF(AND(AF$2&gt;=$D11,AF$2&lt;=$E11),1,"")))</f>
        <v/>
      </c>
      <c r="AG11" s="38">
        <f>IF(OR(AG$2="",$D11=""),"",IF(AND(ISNUMBER($F11),AG$2&gt;=$F11,AG$2&lt;=IF(ISNUMBER($G11),$G11,$F11+$E11-$D11)),2,IF(AND(AG$2&gt;=$D11,AG$2&lt;=$E11),1,"")))</f>
        <v/>
      </c>
      <c r="AH11" s="38">
        <f>IF(OR(AH$2="",$D11=""),"",IF(AND(ISNUMBER($F11),AH$2&gt;=$F11,AH$2&lt;=IF(ISNUMBER($G11),$G11,$F11+$E11-$D11)),2,IF(AND(AH$2&gt;=$D11,AH$2&lt;=$E11),1,"")))</f>
        <v/>
      </c>
      <c r="AI11" s="38">
        <f>IF(OR(AI$2="",$D11=""),"",IF(AND(ISNUMBER($F11),AI$2&gt;=$F11,AI$2&lt;=IF(ISNUMBER($G11),$G11,$F11+$E11-$D11)),2,IF(AND(AI$2&gt;=$D11,AI$2&lt;=$E11),1,"")))</f>
        <v/>
      </c>
      <c r="AJ11" s="38">
        <f>IF(OR(AJ$2="",$D11=""),"",IF(AND(ISNUMBER($F11),AJ$2&gt;=$F11,AJ$2&lt;=IF(ISNUMBER($G11),$G11,$F11+$E11-$D11)),2,IF(AND(AJ$2&gt;=$D11,AJ$2&lt;=$E11),1,"")))</f>
        <v/>
      </c>
      <c r="AK11" s="38">
        <f>IF(OR(AK$2="",$D11=""),"",IF(AND(ISNUMBER($F11),AK$2&gt;=$F11,AK$2&lt;=IF(ISNUMBER($G11),$G11,$F11+$E11-$D11)),2,IF(AND(AK$2&gt;=$D11,AK$2&lt;=$E11),1,"")))</f>
        <v/>
      </c>
      <c r="AL11" s="38">
        <f>IF(OR(AL$2="",$D11=""),"",IF(AND(ISNUMBER($F11),AL$2&gt;=$F11,AL$2&lt;=IF(ISNUMBER($G11),$G11,$F11+$E11-$D11)),2,IF(AND(AL$2&gt;=$D11,AL$2&lt;=$E11),1,"")))</f>
        <v/>
      </c>
      <c r="AM11" s="38">
        <f>IF(OR(AM$2="",$D11=""),"",IF(AND(ISNUMBER($F11),AM$2&gt;=$F11,AM$2&lt;=IF(ISNUMBER($G11),$G11,$F11+$E11-$D11)),2,IF(AND(AM$2&gt;=$D11,AM$2&lt;=$E11),1,"")))</f>
        <v/>
      </c>
      <c r="AN11" s="38">
        <f>IF(OR(AN$2="",$D11=""),"",IF(AND(ISNUMBER($F11),AN$2&gt;=$F11,AN$2&lt;=IF(ISNUMBER($G11),$G11,$F11+$E11-$D11)),2,IF(AND(AN$2&gt;=$D11,AN$2&lt;=$E11),1,"")))</f>
        <v/>
      </c>
      <c r="AO11" s="38">
        <f>IF(OR(AO$2="",$D11=""),"",IF(AND(ISNUMBER($F11),AO$2&gt;=$F11,AO$2&lt;=IF(ISNUMBER($G11),$G11,$F11+$E11-$D11)),2,IF(AND(AO$2&gt;=$D11,AO$2&lt;=$E11),1,"")))</f>
        <v/>
      </c>
      <c r="AP11" s="38">
        <f>IF(OR(AP$2="",$D11=""),"",IF(AND(ISNUMBER($F11),AP$2&gt;=$F11,AP$2&lt;=IF(ISNUMBER($G11),$G11,$F11+$E11-$D11)),2,IF(AND(AP$2&gt;=$D11,AP$2&lt;=$E11),1,"")))</f>
        <v/>
      </c>
      <c r="AQ11" s="38">
        <f>IF(OR(AQ$2="",$D11=""),"",IF(AND(ISNUMBER($F11),AQ$2&gt;=$F11,AQ$2&lt;=IF(ISNUMBER($G11),$G11,$F11+$E11-$D11)),2,IF(AND(AQ$2&gt;=$D11,AQ$2&lt;=$E11),1,"")))</f>
        <v/>
      </c>
      <c r="AR11" s="38">
        <f>IF(OR(AR$2="",$D11=""),"",IF(AND(ISNUMBER($F11),AR$2&gt;=$F11,AR$2&lt;=IF(ISNUMBER($G11),$G11,$F11+$E11-$D11)),2,IF(AND(AR$2&gt;=$D11,AR$2&lt;=$E11),1,"")))</f>
        <v/>
      </c>
      <c r="AS11" s="38">
        <f>IF(OR(AS$2="",$D11=""),"",IF(AND(ISNUMBER($F11),AS$2&gt;=$F11,AS$2&lt;=IF(ISNUMBER($G11),$G11,$F11+$E11-$D11)),2,IF(AND(AS$2&gt;=$D11,AS$2&lt;=$E11),1,"")))</f>
        <v/>
      </c>
      <c r="AT11" s="38">
        <f>IF(OR(AT$2="",$D11=""),"",IF(AND(ISNUMBER($F11),AT$2&gt;=$F11,AT$2&lt;=IF(ISNUMBER($G11),$G11,$F11+$E11-$D11)),2,IF(AND(AT$2&gt;=$D11,AT$2&lt;=$E11),1,"")))</f>
        <v/>
      </c>
      <c r="AU11" s="38">
        <f>IF(OR(AU$2="",$D11=""),"",IF(AND(ISNUMBER($F11),AU$2&gt;=$F11,AU$2&lt;=IF(ISNUMBER($G11),$G11,$F11+$E11-$D11)),2,IF(AND(AU$2&gt;=$D11,AU$2&lt;=$E11),1,"")))</f>
        <v/>
      </c>
      <c r="AV11" s="38">
        <f>IF(OR(AV$2="",$D11=""),"",IF(AND(ISNUMBER($F11),AV$2&gt;=$F11,AV$2&lt;=IF(ISNUMBER($G11),$G11,$F11+$E11-$D11)),2,IF(AND(AV$2&gt;=$D11,AV$2&lt;=$E11),1,"")))</f>
        <v/>
      </c>
      <c r="AW11" s="38">
        <f>IF(OR(AW$2="",$D11=""),"",IF(AND(ISNUMBER($F11),AW$2&gt;=$F11,AW$2&lt;=IF(ISNUMBER($G11),$G11,$F11+$E11-$D11)),2,IF(AND(AW$2&gt;=$D11,AW$2&lt;=$E11),1,"")))</f>
        <v/>
      </c>
      <c r="AX11" s="38">
        <f>IF(OR(AX$2="",$D11=""),"",IF(AND(ISNUMBER($F11),AX$2&gt;=$F11,AX$2&lt;=IF(ISNUMBER($G11),$G11,$F11+$E11-$D11)),2,IF(AND(AX$2&gt;=$D11,AX$2&lt;=$E11),1,"")))</f>
        <v/>
      </c>
      <c r="AY11" s="38">
        <f>IF(OR(AY$2="",$D11=""),"",IF(AND(ISNUMBER($F11),AY$2&gt;=$F11,AY$2&lt;=IF(ISNUMBER($G11),$G11,$F11+$E11-$D11)),2,IF(AND(AY$2&gt;=$D11,AY$2&lt;=$E11),1,"")))</f>
        <v/>
      </c>
      <c r="AZ11" s="38">
        <f>IF(OR(AZ$2="",$D11=""),"",IF(AND(ISNUMBER($F11),AZ$2&gt;=$F11,AZ$2&lt;=IF(ISNUMBER($G11),$G11,$F11+$E11-$D11)),2,IF(AND(AZ$2&gt;=$D11,AZ$2&lt;=$E11),1,"")))</f>
        <v/>
      </c>
      <c r="BA11" s="38">
        <f>IF(OR(BA$2="",$D11=""),"",IF(AND(ISNUMBER($F11),BA$2&gt;=$F11,BA$2&lt;=IF(ISNUMBER($G11),$G11,$F11+$E11-$D11)),2,IF(AND(BA$2&gt;=$D11,BA$2&lt;=$E11),1,"")))</f>
        <v/>
      </c>
      <c r="BB11" s="38">
        <f>IF(OR(BB$2="",$D11=""),"",IF(AND(ISNUMBER($F11),BB$2&gt;=$F11,BB$2&lt;=IF(ISNUMBER($G11),$G11,$F11+$E11-$D11)),2,IF(AND(BB$2&gt;=$D11,BB$2&lt;=$E11),1,"")))</f>
        <v/>
      </c>
      <c r="BC11" s="38">
        <f>IF(OR(BC$2="",$D11=""),"",IF(AND(ISNUMBER($F11),BC$2&gt;=$F11,BC$2&lt;=IF(ISNUMBER($G11),$G11,$F11+$E11-$D11)),2,IF(AND(BC$2&gt;=$D11,BC$2&lt;=$E11),1,"")))</f>
        <v/>
      </c>
      <c r="BD11" s="38">
        <f>IF(OR(BD$2="",$D11=""),"",IF(AND(ISNUMBER($F11),BD$2&gt;=$F11,BD$2&lt;=IF(ISNUMBER($G11),$G11,$F11+$E11-$D11)),2,IF(AND(BD$2&gt;=$D11,BD$2&lt;=$E11),1,"")))</f>
        <v/>
      </c>
      <c r="BE11" s="38">
        <f>IF(OR(BE$2="",$D11=""),"",IF(AND(ISNUMBER($F11),BE$2&gt;=$F11,BE$2&lt;=IF(ISNUMBER($G11),$G11,$F11+$E11-$D11)),2,IF(AND(BE$2&gt;=$D11,BE$2&lt;=$E11),1,"")))</f>
        <v/>
      </c>
      <c r="BF11" s="38">
        <f>IF(OR(BF$2="",$D11=""),"",IF(AND(ISNUMBER($F11),BF$2&gt;=$F11,BF$2&lt;=IF(ISNUMBER($G11),$G11,$F11+$E11-$D11)),2,IF(AND(BF$2&gt;=$D11,BF$2&lt;=$E11),1,"")))</f>
        <v/>
      </c>
      <c r="BG11" s="38">
        <f>IF(OR(BG$2="",$D11=""),"",IF(AND(ISNUMBER($F11),BG$2&gt;=$F11,BG$2&lt;=IF(ISNUMBER($G11),$G11,$F11+$E11-$D11)),2,IF(AND(BG$2&gt;=$D11,BG$2&lt;=$E11),1,"")))</f>
        <v/>
      </c>
      <c r="BH11" s="38">
        <f>IF(OR(BH$2="",$D11=""),"",IF(AND(ISNUMBER($F11),BH$2&gt;=$F11,BH$2&lt;=IF(ISNUMBER($G11),$G11,$F11+$E11-$D11)),2,IF(AND(BH$2&gt;=$D11,BH$2&lt;=$E11),1,"")))</f>
        <v/>
      </c>
      <c r="BI11" s="38">
        <f>IF(OR(BI$2="",$D11=""),"",IF(AND(ISNUMBER($F11),BI$2&gt;=$F11,BI$2&lt;=IF(ISNUMBER($G11),$G11,$F11+$E11-$D11)),2,IF(AND(BI$2&gt;=$D11,BI$2&lt;=$E11),1,"")))</f>
        <v/>
      </c>
      <c r="BJ11" s="38">
        <f>IF(OR(BJ$2="",$D11=""),"",IF(AND(ISNUMBER($F11),BJ$2&gt;=$F11,BJ$2&lt;=IF(ISNUMBER($G11),$G11,$F11+$E11-$D11)),2,IF(AND(BJ$2&gt;=$D11,BJ$2&lt;=$E11),1,"")))</f>
        <v/>
      </c>
      <c r="BK11" s="38">
        <f>IF(OR(BK$2="",$D11=""),"",IF(AND(ISNUMBER($F11),BK$2&gt;=$F11,BK$2&lt;=IF(ISNUMBER($G11),$G11,$F11+$E11-$D11)),2,IF(AND(BK$2&gt;=$D11,BK$2&lt;=$E11),1,"")))</f>
        <v/>
      </c>
      <c r="BL11" s="38">
        <f>IF(OR(BL$2="",$D11=""),"",IF(AND(ISNUMBER($F11),BL$2&gt;=$F11,BL$2&lt;=IF(ISNUMBER($G11),$G11,$F11+$E11-$D11)),2,IF(AND(BL$2&gt;=$D11,BL$2&lt;=$E11),1,"")))</f>
        <v/>
      </c>
      <c r="BM11" s="38">
        <f>IF(OR(BM$2="",$D11=""),"",IF(AND(ISNUMBER($F11),BM$2&gt;=$F11,BM$2&lt;=IF(ISNUMBER($G11),$G11,$F11+$E11-$D11)),2,IF(AND(BM$2&gt;=$D11,BM$2&lt;=$E11),1,"")))</f>
        <v/>
      </c>
      <c r="BN11" s="38">
        <f>IF(OR(BN$2="",$D11=""),"",IF(AND(ISNUMBER($F11),BN$2&gt;=$F11,BN$2&lt;=IF(ISNUMBER($G11),$G11,$F11+$E11-$D11)),2,IF(AND(BN$2&gt;=$D11,BN$2&lt;=$E11),1,"")))</f>
        <v/>
      </c>
      <c r="BO11" s="38">
        <f>IF(OR(BO$2="",$D11=""),"",IF(AND(ISNUMBER($F11),BO$2&gt;=$F11,BO$2&lt;=IF(ISNUMBER($G11),$G11,$F11+$E11-$D11)),2,IF(AND(BO$2&gt;=$D11,BO$2&lt;=$E11),1,"")))</f>
        <v/>
      </c>
      <c r="BP11" s="38">
        <f>IF(OR(BP$2="",$D11=""),"",IF(AND(ISNUMBER($F11),BP$2&gt;=$F11,BP$2&lt;=IF(ISNUMBER($G11),$G11,$F11+$E11-$D11)),2,IF(AND(BP$2&gt;=$D11,BP$2&lt;=$E11),1,"")))</f>
        <v/>
      </c>
      <c r="BQ11" s="38">
        <f>IF(OR(BQ$2="",$D11=""),"",IF(AND(ISNUMBER($F11),BQ$2&gt;=$F11,BQ$2&lt;=IF(ISNUMBER($G11),$G11,$F11+$E11-$D11)),2,IF(AND(BQ$2&gt;=$D11,BQ$2&lt;=$E11),1,"")))</f>
        <v/>
      </c>
      <c r="BR11" s="38">
        <f>IF(OR(BR$2="",$D11=""),"",IF(AND(ISNUMBER($F11),BR$2&gt;=$F11,BR$2&lt;=IF(ISNUMBER($G11),$G11,$F11+$E11-$D11)),2,IF(AND(BR$2&gt;=$D11,BR$2&lt;=$E11),1,"")))</f>
        <v/>
      </c>
      <c r="BS11" s="38">
        <f>IF(OR(BS$2="",$D11=""),"",IF(AND(ISNUMBER($F11),BS$2&gt;=$F11,BS$2&lt;=IF(ISNUMBER($G11),$G11,$F11+$E11-$D11)),2,IF(AND(BS$2&gt;=$D11,BS$2&lt;=$E11),1,"")))</f>
        <v/>
      </c>
      <c r="BT11" s="38">
        <f>IF(OR(BT$2="",$D11=""),"",IF(AND(ISNUMBER($F11),BT$2&gt;=$F11,BT$2&lt;=IF(ISNUMBER($G11),$G11,$F11+$E11-$D11)),2,IF(AND(BT$2&gt;=$D11,BT$2&lt;=$E11),1,"")))</f>
        <v/>
      </c>
      <c r="BU11" s="38">
        <f>IF(OR(BU$2="",$D11=""),"",IF(AND(ISNUMBER($F11),BU$2&gt;=$F11,BU$2&lt;=IF(ISNUMBER($G11),$G11,$F11+$E11-$D11)),2,IF(AND(BU$2&gt;=$D11,BU$2&lt;=$E11),1,"")))</f>
        <v/>
      </c>
      <c r="BV11" s="38">
        <f>IF(OR(BV$2="",$D11=""),"",IF(AND(ISNUMBER($F11),BV$2&gt;=$F11,BV$2&lt;=IF(ISNUMBER($G11),$G11,$F11+$E11-$D11)),2,IF(AND(BV$2&gt;=$D11,BV$2&lt;=$E11),1,"")))</f>
        <v/>
      </c>
      <c r="BW11" s="38">
        <f>IF(OR(BW$2="",$D11=""),"",IF(AND(ISNUMBER($F11),BW$2&gt;=$F11,BW$2&lt;=IF(ISNUMBER($G11),$G11,$F11+$E11-$D11)),2,IF(AND(BW$2&gt;=$D11,BW$2&lt;=$E11),1,"")))</f>
        <v/>
      </c>
      <c r="BX11" s="38">
        <f>IF(OR(BX$2="",$D11=""),"",IF(AND(ISNUMBER($F11),BX$2&gt;=$F11,BX$2&lt;=IF(ISNUMBER($G11),$G11,$F11+$E11-$D11)),2,IF(AND(BX$2&gt;=$D11,BX$2&lt;=$E11),1,"")))</f>
        <v/>
      </c>
      <c r="BY11" s="38">
        <f>IF(OR(BY$2="",$D11=""),"",IF(AND(ISNUMBER($F11),BY$2&gt;=$F11,BY$2&lt;=IF(ISNUMBER($G11),$G11,$F11+$E11-$D11)),2,IF(AND(BY$2&gt;=$D11,BY$2&lt;=$E11),1,"")))</f>
        <v/>
      </c>
      <c r="BZ11" s="38">
        <f>IF(OR(BZ$2="",$D11=""),"",IF(AND(ISNUMBER($F11),BZ$2&gt;=$F11,BZ$2&lt;=IF(ISNUMBER($G11),$G11,$F11+$E11-$D11)),2,IF(AND(BZ$2&gt;=$D11,BZ$2&lt;=$E11),1,"")))</f>
        <v/>
      </c>
      <c r="CA11" s="38">
        <f>IF(OR(CA$2="",$D11=""),"",IF(AND(ISNUMBER($F11),CA$2&gt;=$F11,CA$2&lt;=IF(ISNUMBER($G11),$G11,$F11+$E11-$D11)),2,IF(AND(CA$2&gt;=$D11,CA$2&lt;=$E11),1,"")))</f>
        <v/>
      </c>
      <c r="CB11" s="38">
        <f>IF(OR(CB$2="",$D11=""),"",IF(AND(ISNUMBER($F11),CB$2&gt;=$F11,CB$2&lt;=IF(ISNUMBER($G11),$G11,$F11+$E11-$D11)),2,IF(AND(CB$2&gt;=$D11,CB$2&lt;=$E11),1,"")))</f>
        <v/>
      </c>
      <c r="CC11" s="38">
        <f>IF(OR(CC$2="",$D11=""),"",IF(AND(ISNUMBER($F11),CC$2&gt;=$F11,CC$2&lt;=IF(ISNUMBER($G11),$G11,$F11+$E11-$D11)),2,IF(AND(CC$2&gt;=$D11,CC$2&lt;=$E11),1,"")))</f>
        <v/>
      </c>
      <c r="CD11" s="38">
        <f>IF(OR(CD$2="",$D11=""),"",IF(AND(ISNUMBER($F11),CD$2&gt;=$F11,CD$2&lt;=IF(ISNUMBER($G11),$G11,$F11+$E11-$D11)),2,IF(AND(CD$2&gt;=$D11,CD$2&lt;=$E11),1,"")))</f>
        <v/>
      </c>
      <c r="CE11" s="38">
        <f>IF(OR(CE$2="",$D11=""),"",IF(AND(ISNUMBER($F11),CE$2&gt;=$F11,CE$2&lt;=IF(ISNUMBER($G11),$G11,$F11+$E11-$D11)),2,IF(AND(CE$2&gt;=$D11,CE$2&lt;=$E11),1,"")))</f>
        <v/>
      </c>
      <c r="CF11" s="38">
        <f>IF(OR(CF$2="",$D11=""),"",IF(AND(ISNUMBER($F11),CF$2&gt;=$F11,CF$2&lt;=IF(ISNUMBER($G11),$G11,$F11+$E11-$D11)),2,IF(AND(CF$2&gt;=$D11,CF$2&lt;=$E11),1,"")))</f>
        <v/>
      </c>
      <c r="CG11" s="38">
        <f>IF(OR(CG$2="",$D11=""),"",IF(AND(ISNUMBER($F11),CG$2&gt;=$F11,CG$2&lt;=IF(ISNUMBER($G11),$G11,$F11+$E11-$D11)),2,IF(AND(CG$2&gt;=$D11,CG$2&lt;=$E11),1,"")))</f>
        <v/>
      </c>
      <c r="CH11" s="38">
        <f>IF(OR(CH$2="",$D11=""),"",IF(AND(ISNUMBER($F11),CH$2&gt;=$F11,CH$2&lt;=IF(ISNUMBER($G11),$G11,$F11+$E11-$D11)),2,IF(AND(CH$2&gt;=$D11,CH$2&lt;=$E11),1,"")))</f>
        <v/>
      </c>
      <c r="CI11" s="38">
        <f>IF(OR(CI$2="",$D11=""),"",IF(AND(ISNUMBER($F11),CI$2&gt;=$F11,CI$2&lt;=IF(ISNUMBER($G11),$G11,$F11+$E11-$D11)),2,IF(AND(CI$2&gt;=$D11,CI$2&lt;=$E11),1,"")))</f>
        <v/>
      </c>
      <c r="CJ11" s="38">
        <f>IF(OR(CJ$2="",$D11=""),"",IF(AND(ISNUMBER($F11),CJ$2&gt;=$F11,CJ$2&lt;=IF(ISNUMBER($G11),$G11,$F11+$E11-$D11)),2,IF(AND(CJ$2&gt;=$D11,CJ$2&lt;=$E11),1,"")))</f>
        <v/>
      </c>
      <c r="CK11" s="38">
        <f>IF(OR(CK$2="",$D11=""),"",IF(AND(ISNUMBER($F11),CK$2&gt;=$F11,CK$2&lt;=IF(ISNUMBER($G11),$G11,$F11+$E11-$D11)),2,IF(AND(CK$2&gt;=$D11,CK$2&lt;=$E11),1,"")))</f>
        <v/>
      </c>
      <c r="CL11" s="38">
        <f>IF(OR(CL$2="",$D11=""),"",IF(AND(ISNUMBER($F11),CL$2&gt;=$F11,CL$2&lt;=IF(ISNUMBER($G11),$G11,$F11+$E11-$D11)),2,IF(AND(CL$2&gt;=$D11,CL$2&lt;=$E11),1,"")))</f>
        <v/>
      </c>
      <c r="CM11" s="38">
        <f>IF(OR(CM$2="",$D11=""),"",IF(AND(ISNUMBER($F11),CM$2&gt;=$F11,CM$2&lt;=IF(ISNUMBER($G11),$G11,$F11+$E11-$D11)),2,IF(AND(CM$2&gt;=$D11,CM$2&lt;=$E11),1,"")))</f>
        <v/>
      </c>
      <c r="CN11" s="38">
        <f>IF(OR(CN$2="",$D11=""),"",IF(AND(ISNUMBER($F11),CN$2&gt;=$F11,CN$2&lt;=IF(ISNUMBER($G11),$G11,$F11+$E11-$D11)),2,IF(AND(CN$2&gt;=$D11,CN$2&lt;=$E11),1,"")))</f>
        <v/>
      </c>
      <c r="CO11" s="38">
        <f>IF(OR(CO$2="",$D11=""),"",IF(AND(ISNUMBER($F11),CO$2&gt;=$F11,CO$2&lt;=IF(ISNUMBER($G11),$G11,$F11+$E11-$D11)),2,IF(AND(CO$2&gt;=$D11,CO$2&lt;=$E11),1,"")))</f>
        <v/>
      </c>
      <c r="CP11" s="38">
        <f>IF(OR(CP$2="",$D11=""),"",IF(AND(ISNUMBER($F11),CP$2&gt;=$F11,CP$2&lt;=IF(ISNUMBER($G11),$G11,$F11+$E11-$D11)),2,IF(AND(CP$2&gt;=$D11,CP$2&lt;=$E11),1,"")))</f>
        <v/>
      </c>
      <c r="CQ11" s="38">
        <f>IF(OR(CQ$2="",$D11=""),"",IF(AND(ISNUMBER($F11),CQ$2&gt;=$F11,CQ$2&lt;=IF(ISNUMBER($G11),$G11,$F11+$E11-$D11)),2,IF(AND(CQ$2&gt;=$D11,CQ$2&lt;=$E11),1,"")))</f>
        <v/>
      </c>
      <c r="CR11" s="38">
        <f>IF(OR(CR$2="",$D11=""),"",IF(AND(ISNUMBER($F11),CR$2&gt;=$F11,CR$2&lt;=IF(ISNUMBER($G11),$G11,$F11+$E11-$D11)),2,IF(AND(CR$2&gt;=$D11,CR$2&lt;=$E11),1,"")))</f>
        <v/>
      </c>
      <c r="CS11" s="38">
        <f>IF(OR(CS$2="",$D11=""),"",IF(AND(ISNUMBER($F11),CS$2&gt;=$F11,CS$2&lt;=IF(ISNUMBER($G11),$G11,$F11+$E11-$D11)),2,IF(AND(CS$2&gt;=$D11,CS$2&lt;=$E11),1,"")))</f>
        <v/>
      </c>
      <c r="CT11" s="38">
        <f>IF(OR(CT$2="",$D11=""),"",IF(AND(ISNUMBER($F11),CT$2&gt;=$F11,CT$2&lt;=IF(ISNUMBER($G11),$G11,$F11+$E11-$D11)),2,IF(AND(CT$2&gt;=$D11,CT$2&lt;=$E11),1,"")))</f>
        <v/>
      </c>
      <c r="CU11" s="38">
        <f>IF(OR(CU$2="",$D11=""),"",IF(AND(ISNUMBER($F11),CU$2&gt;=$F11,CU$2&lt;=IF(ISNUMBER($G11),$G11,$F11+$E11-$D11)),2,IF(AND(CU$2&gt;=$D11,CU$2&lt;=$E11),1,"")))</f>
        <v/>
      </c>
      <c r="CV11" s="38">
        <f>IF(OR(CV$2="",$D11=""),"",IF(AND(ISNUMBER($F11),CV$2&gt;=$F11,CV$2&lt;=IF(ISNUMBER($G11),$G11,$F11+$E11-$D11)),2,IF(AND(CV$2&gt;=$D11,CV$2&lt;=$E11),1,"")))</f>
        <v/>
      </c>
      <c r="CW11" s="38">
        <f>IF(OR(CW$2="",$D11=""),"",IF(AND(ISNUMBER($F11),CW$2&gt;=$F11,CW$2&lt;=IF(ISNUMBER($G11),$G11,$F11+$E11-$D11)),2,IF(AND(CW$2&gt;=$D11,CW$2&lt;=$E11),1,"")))</f>
        <v/>
      </c>
      <c r="CX11" s="38">
        <f>IF(OR(CX$2="",$D11=""),"",IF(AND(ISNUMBER($F11),CX$2&gt;=$F11,CX$2&lt;=IF(ISNUMBER($G11),$G11,$F11+$E11-$D11)),2,IF(AND(CX$2&gt;=$D11,CX$2&lt;=$E11),1,"")))</f>
        <v/>
      </c>
      <c r="CY11" s="38">
        <f>IF(OR(CY$2="",$D11=""),"",IF(AND(ISNUMBER($F11),CY$2&gt;=$F11,CY$2&lt;=IF(ISNUMBER($G11),$G11,$F11+$E11-$D11)),2,IF(AND(CY$2&gt;=$D11,CY$2&lt;=$E11),1,"")))</f>
        <v/>
      </c>
      <c r="CZ11" s="38">
        <f>IF(OR(CZ$2="",$D11=""),"",IF(AND(ISNUMBER($F11),CZ$2&gt;=$F11,CZ$2&lt;=IF(ISNUMBER($G11),$G11,$F11+$E11-$D11)),2,IF(AND(CZ$2&gt;=$D11,CZ$2&lt;=$E11),1,"")))</f>
        <v/>
      </c>
      <c r="DA11" s="38">
        <f>IF(OR(DA$2="",$D11=""),"",IF(AND(ISNUMBER($F11),DA$2&gt;=$F11,DA$2&lt;=IF(ISNUMBER($G11),$G11,$F11+$E11-$D11)),2,IF(AND(DA$2&gt;=$D11,DA$2&lt;=$E11),1,"")))</f>
        <v/>
      </c>
      <c r="DB11" s="38">
        <f>IF(OR(DB$2="",$D11=""),"",IF(AND(ISNUMBER($F11),DB$2&gt;=$F11,DB$2&lt;=IF(ISNUMBER($G11),$G11,$F11+$E11-$D11)),2,IF(AND(DB$2&gt;=$D11,DB$2&lt;=$E11),1,"")))</f>
        <v/>
      </c>
      <c r="DC11" s="38">
        <f>IF(OR(DC$2="",$D11=""),"",IF(AND(ISNUMBER($F11),DC$2&gt;=$F11,DC$2&lt;=IF(ISNUMBER($G11),$G11,$F11+$E11-$D11)),2,IF(AND(DC$2&gt;=$D11,DC$2&lt;=$E11),1,"")))</f>
        <v/>
      </c>
      <c r="DD11" s="38">
        <f>IF(OR(DD$2="",$D11=""),"",IF(AND(ISNUMBER($F11),DD$2&gt;=$F11,DD$2&lt;=IF(ISNUMBER($G11),$G11,$F11+$E11-$D11)),2,IF(AND(DD$2&gt;=$D11,DD$2&lt;=$E11),1,"")))</f>
        <v/>
      </c>
      <c r="DE11" s="38">
        <f>IF(OR(DE$2="",$D11=""),"",IF(AND(ISNUMBER($F11),DE$2&gt;=$F11,DE$2&lt;=IF(ISNUMBER($G11),$G11,$F11+$E11-$D11)),2,IF(AND(DE$2&gt;=$D11,DE$2&lt;=$E11),1,"")))</f>
        <v/>
      </c>
      <c r="DF11" s="38">
        <f>IF(OR(DF$2="",$D11=""),"",IF(AND(ISNUMBER($F11),DF$2&gt;=$F11,DF$2&lt;=IF(ISNUMBER($G11),$G11,$F11+$E11-$D11)),2,IF(AND(DF$2&gt;=$D11,DF$2&lt;=$E11),1,"")))</f>
        <v/>
      </c>
      <c r="DG11" s="38">
        <f>IF(OR(DG$2="",$D11=""),"",IF(AND(ISNUMBER($F11),DG$2&gt;=$F11,DG$2&lt;=IF(ISNUMBER($G11),$G11,$F11+$E11-$D11)),2,IF(AND(DG$2&gt;=$D11,DG$2&lt;=$E11),1,"")))</f>
        <v/>
      </c>
      <c r="DH11" s="38">
        <f>IF(OR(DH$2="",$D11=""),"",IF(AND(ISNUMBER($F11),DH$2&gt;=$F11,DH$2&lt;=IF(ISNUMBER($G11),$G11,$F11+$E11-$D11)),2,IF(AND(DH$2&gt;=$D11,DH$2&lt;=$E11),1,"")))</f>
        <v/>
      </c>
      <c r="DI11" s="38">
        <f>IF(OR(DI$2="",$D11=""),"",IF(AND(ISNUMBER($F11),DI$2&gt;=$F11,DI$2&lt;=IF(ISNUMBER($G11),$G11,$F11+$E11-$D11)),2,IF(AND(DI$2&gt;=$D11,DI$2&lt;=$E11),1,"")))</f>
        <v/>
      </c>
      <c r="DJ11" s="38">
        <f>IF(OR(DJ$2="",$D11=""),"",IF(AND(ISNUMBER($F11),DJ$2&gt;=$F11,DJ$2&lt;=IF(ISNUMBER($G11),$G11,$F11+$E11-$D11)),2,IF(AND(DJ$2&gt;=$D11,DJ$2&lt;=$E11),1,"")))</f>
        <v/>
      </c>
      <c r="DK11" s="38">
        <f>IF(OR(DK$2="",$D11=""),"",IF(AND(ISNUMBER($F11),DK$2&gt;=$F11,DK$2&lt;=IF(ISNUMBER($G11),$G11,$F11+$E11-$D11)),2,IF(AND(DK$2&gt;=$D11,DK$2&lt;=$E11),1,"")))</f>
        <v/>
      </c>
      <c r="DL11" s="38">
        <f>IF(OR(DL$2="",$D11=""),"",IF(AND(ISNUMBER($F11),DL$2&gt;=$F11,DL$2&lt;=IF(ISNUMBER($G11),$G11,$F11+$E11-$D11)),2,IF(AND(DL$2&gt;=$D11,DL$2&lt;=$E11),1,"")))</f>
        <v/>
      </c>
      <c r="DM11" s="38">
        <f>IF(OR(DM$2="",$D11=""),"",IF(AND(ISNUMBER($F11),DM$2&gt;=$F11,DM$2&lt;=IF(ISNUMBER($G11),$G11,$F11+$E11-$D11)),2,IF(AND(DM$2&gt;=$D11,DM$2&lt;=$E11),1,"")))</f>
        <v/>
      </c>
      <c r="DN11" s="38">
        <f>IF(OR(DN$2="",$D11=""),"",IF(AND(ISNUMBER($F11),DN$2&gt;=$F11,DN$2&lt;=IF(ISNUMBER($G11),$G11,$F11+$E11-$D11)),2,IF(AND(DN$2&gt;=$D11,DN$2&lt;=$E11),1,"")))</f>
        <v/>
      </c>
      <c r="DO11" s="38">
        <f>IF(OR(DO$2="",$D11=""),"",IF(AND(ISNUMBER($F11),DO$2&gt;=$F11,DO$2&lt;=IF(ISNUMBER($G11),$G11,$F11+$E11-$D11)),2,IF(AND(DO$2&gt;=$D11,DO$2&lt;=$E11),1,"")))</f>
        <v/>
      </c>
      <c r="DP11" s="38">
        <f>IF(OR(DP$2="",$D11=""),"",IF(AND(ISNUMBER($F11),DP$2&gt;=$F11,DP$2&lt;=IF(ISNUMBER($G11),$G11,$F11+$E11-$D11)),2,IF(AND(DP$2&gt;=$D11,DP$2&lt;=$E11),1,"")))</f>
        <v/>
      </c>
      <c r="DQ11" s="38">
        <f>IF(OR(DQ$2="",$D11=""),"",IF(AND(ISNUMBER($F11),DQ$2&gt;=$F11,DQ$2&lt;=IF(ISNUMBER($G11),$G11,$F11+$E11-$D11)),2,IF(AND(DQ$2&gt;=$D11,DQ$2&lt;=$E11),1,"")))</f>
        <v/>
      </c>
      <c r="DR11" s="38">
        <f>IF(OR(DR$2="",$D11=""),"",IF(AND(ISNUMBER($F11),DR$2&gt;=$F11,DR$2&lt;=IF(ISNUMBER($G11),$G11,$F11+$E11-$D11)),2,IF(AND(DR$2&gt;=$D11,DR$2&lt;=$E11),1,"")))</f>
        <v/>
      </c>
      <c r="DS11" s="38">
        <f>IF(OR(DS$2="",$D11=""),"",IF(AND(ISNUMBER($F11),DS$2&gt;=$F11,DS$2&lt;=IF(ISNUMBER($G11),$G11,$F11+$E11-$D11)),2,IF(AND(DS$2&gt;=$D11,DS$2&lt;=$E11),1,"")))</f>
        <v/>
      </c>
      <c r="DT11" s="38">
        <f>IF(OR(DT$2="",$D11=""),"",IF(AND(ISNUMBER($F11),DT$2&gt;=$F11,DT$2&lt;=IF(ISNUMBER($G11),$G11,$F11+$E11-$D11)),2,IF(AND(DT$2&gt;=$D11,DT$2&lt;=$E11),1,"")))</f>
        <v/>
      </c>
      <c r="DU11" s="38">
        <f>IF(OR(DU$2="",$D11=""),"",IF(AND(ISNUMBER($F11),DU$2&gt;=$F11,DU$2&lt;=IF(ISNUMBER($G11),$G11,$F11+$E11-$D11)),2,IF(AND(DU$2&gt;=$D11,DU$2&lt;=$E11),1,"")))</f>
        <v/>
      </c>
      <c r="DV11" s="38">
        <f>IF(OR(DV$2="",$D11=""),"",IF(AND(ISNUMBER($F11),DV$2&gt;=$F11,DV$2&lt;=IF(ISNUMBER($G11),$G11,$F11+$E11-$D11)),2,IF(AND(DV$2&gt;=$D11,DV$2&lt;=$E11),1,"")))</f>
        <v/>
      </c>
      <c r="DW11" s="38">
        <f>IF(OR(DW$2="",$D11=""),"",IF(AND(ISNUMBER($F11),DW$2&gt;=$F11,DW$2&lt;=IF(ISNUMBER($G11),$G11,$F11+$E11-$D11)),2,IF(AND(DW$2&gt;=$D11,DW$2&lt;=$E11),1,"")))</f>
        <v/>
      </c>
      <c r="DX11" s="38">
        <f>IF(OR(DX$2="",$D11=""),"",IF(AND(ISNUMBER($F11),DX$2&gt;=$F11,DX$2&lt;=IF(ISNUMBER($G11),$G11,$F11+$E11-$D11)),2,IF(AND(DX$2&gt;=$D11,DX$2&lt;=$E11),1,"")))</f>
        <v/>
      </c>
      <c r="DY11" s="38">
        <f>IF(OR(DY$2="",$D11=""),"",IF(AND(ISNUMBER($F11),DY$2&gt;=$F11,DY$2&lt;=IF(ISNUMBER($G11),$G11,$F11+$E11-$D11)),2,IF(AND(DY$2&gt;=$D11,DY$2&lt;=$E11),1,"")))</f>
        <v/>
      </c>
      <c r="DZ11" s="38">
        <f>IF(OR(DZ$2="",$D11=""),"",IF(AND(ISNUMBER($F11),DZ$2&gt;=$F11,DZ$2&lt;=IF(ISNUMBER($G11),$G11,$F11+$E11-$D11)),2,IF(AND(DZ$2&gt;=$D11,DZ$2&lt;=$E11),1,"")))</f>
        <v/>
      </c>
      <c r="EA11" s="38">
        <f>IF(OR(EA$2="",$D11=""),"",IF(AND(ISNUMBER($F11),EA$2&gt;=$F11,EA$2&lt;=IF(ISNUMBER($G11),$G11,$F11+$E11-$D11)),2,IF(AND(EA$2&gt;=$D11,EA$2&lt;=$E11),1,"")))</f>
        <v/>
      </c>
      <c r="EB11" s="38">
        <f>IF(OR(EB$2="",$D11=""),"",IF(AND(ISNUMBER($F11),EB$2&gt;=$F11,EB$2&lt;=IF(ISNUMBER($G11),$G11,$F11+$E11-$D11)),2,IF(AND(EB$2&gt;=$D11,EB$2&lt;=$E11),1,"")))</f>
        <v/>
      </c>
      <c r="EC11" s="38">
        <f>IF(OR(EC$2="",$D11=""),"",IF(AND(ISNUMBER($F11),EC$2&gt;=$F11,EC$2&lt;=IF(ISNUMBER($G11),$G11,$F11+$E11-$D11)),2,IF(AND(EC$2&gt;=$D11,EC$2&lt;=$E11),1,"")))</f>
        <v/>
      </c>
      <c r="ED11" s="38">
        <f>IF(OR(ED$2="",$D11=""),"",IF(AND(ISNUMBER($F11),ED$2&gt;=$F11,ED$2&lt;=IF(ISNUMBER($G11),$G11,$F11+$E11-$D11)),2,IF(AND(ED$2&gt;=$D11,ED$2&lt;=$E11),1,"")))</f>
        <v/>
      </c>
      <c r="EE11" s="38">
        <f>IF(OR(EE$2="",$D11=""),"",IF(AND(ISNUMBER($F11),EE$2&gt;=$F11,EE$2&lt;=IF(ISNUMBER($G11),$G11,$F11+$E11-$D11)),2,IF(AND(EE$2&gt;=$D11,EE$2&lt;=$E11),1,"")))</f>
        <v/>
      </c>
      <c r="EF11" s="38">
        <f>IF(OR(EF$2="",$D11=""),"",IF(AND(ISNUMBER($F11),EF$2&gt;=$F11,EF$2&lt;=IF(ISNUMBER($G11),$G11,$F11+$E11-$D11)),2,IF(AND(EF$2&gt;=$D11,EF$2&lt;=$E11),1,"")))</f>
        <v/>
      </c>
      <c r="EG11" s="38">
        <f>IF(OR(EG$2="",$D11=""),"",IF(AND(ISNUMBER($F11),EG$2&gt;=$F11,EG$2&lt;=IF(ISNUMBER($G11),$G11,$F11+$E11-$D11)),2,IF(AND(EG$2&gt;=$D11,EG$2&lt;=$E11),1,"")))</f>
        <v/>
      </c>
      <c r="EH11" s="38">
        <f>IF(OR(EH$2="",$D11=""),"",IF(AND(ISNUMBER($F11),EH$2&gt;=$F11,EH$2&lt;=IF(ISNUMBER($G11),$G11,$F11+$E11-$D11)),2,IF(AND(EH$2&gt;=$D11,EH$2&lt;=$E11),1,"")))</f>
        <v/>
      </c>
      <c r="EI11" s="38">
        <f>IF(OR(EI$2="",$D11=""),"",IF(AND(ISNUMBER($F11),EI$2&gt;=$F11,EI$2&lt;=IF(ISNUMBER($G11),$G11,$F11+$E11-$D11)),2,IF(AND(EI$2&gt;=$D11,EI$2&lt;=$E11),1,"")))</f>
        <v/>
      </c>
      <c r="EJ11" s="38">
        <f>IF(OR(EJ$2="",$D11=""),"",IF(AND(ISNUMBER($F11),EJ$2&gt;=$F11,EJ$2&lt;=IF(ISNUMBER($G11),$G11,$F11+$E11-$D11)),2,IF(AND(EJ$2&gt;=$D11,EJ$2&lt;=$E11),1,"")))</f>
        <v/>
      </c>
      <c r="EK11" s="38">
        <f>IF(OR(EK$2="",$D11=""),"",IF(AND(ISNUMBER($F11),EK$2&gt;=$F11,EK$2&lt;=IF(ISNUMBER($G11),$G11,$F11+$E11-$D11)),2,IF(AND(EK$2&gt;=$D11,EK$2&lt;=$E11),1,"")))</f>
        <v/>
      </c>
      <c r="EL11" s="38">
        <f>IF(OR(EL$2="",$D11=""),"",IF(AND(ISNUMBER($F11),EL$2&gt;=$F11,EL$2&lt;=IF(ISNUMBER($G11),$G11,$F11+$E11-$D11)),2,IF(AND(EL$2&gt;=$D11,EL$2&lt;=$E11),1,"")))</f>
        <v/>
      </c>
      <c r="EM11" s="38">
        <f>IF(OR(EM$2="",$D11=""),"",IF(AND(ISNUMBER($F11),EM$2&gt;=$F11,EM$2&lt;=IF(ISNUMBER($G11),$G11,$F11+$E11-$D11)),2,IF(AND(EM$2&gt;=$D11,EM$2&lt;=$E11),1,"")))</f>
        <v/>
      </c>
      <c r="EN11" s="38">
        <f>IF(OR(EN$2="",$D11=""),"",IF(AND(ISNUMBER($F11),EN$2&gt;=$F11,EN$2&lt;=IF(ISNUMBER($G11),$G11,$F11+$E11-$D11)),2,IF(AND(EN$2&gt;=$D11,EN$2&lt;=$E11),1,"")))</f>
        <v/>
      </c>
      <c r="EO11" s="38">
        <f>IF(OR(EO$2="",$D11=""),"",IF(AND(ISNUMBER($F11),EO$2&gt;=$F11,EO$2&lt;=IF(ISNUMBER($G11),$G11,$F11+$E11-$D11)),2,IF(AND(EO$2&gt;=$D11,EO$2&lt;=$E11),1,"")))</f>
        <v/>
      </c>
      <c r="EP11" s="38">
        <f>IF(OR(EP$2="",$D11=""),"",IF(AND(ISNUMBER($F11),EP$2&gt;=$F11,EP$2&lt;=IF(ISNUMBER($G11),$G11,$F11+$E11-$D11)),2,IF(AND(EP$2&gt;=$D11,EP$2&lt;=$E11),1,"")))</f>
        <v/>
      </c>
      <c r="EQ11" s="38">
        <f>IF(OR(EQ$2="",$D11=""),"",IF(AND(ISNUMBER($F11),EQ$2&gt;=$F11,EQ$2&lt;=IF(ISNUMBER($G11),$G11,$F11+$E11-$D11)),2,IF(AND(EQ$2&gt;=$D11,EQ$2&lt;=$E11),1,"")))</f>
        <v/>
      </c>
      <c r="ER11" s="38">
        <f>IF(OR(ER$2="",$D11=""),"",IF(AND(ISNUMBER($F11),ER$2&gt;=$F11,ER$2&lt;=IF(ISNUMBER($G11),$G11,$F11+$E11-$D11)),2,IF(AND(ER$2&gt;=$D11,ER$2&lt;=$E11),1,"")))</f>
        <v/>
      </c>
      <c r="ES11" s="38">
        <f>IF(OR(ES$2="",$D11=""),"",IF(AND(ISNUMBER($F11),ES$2&gt;=$F11,ES$2&lt;=IF(ISNUMBER($G11),$G11,$F11+$E11-$D11)),2,IF(AND(ES$2&gt;=$D11,ES$2&lt;=$E11),1,"")))</f>
        <v/>
      </c>
      <c r="ET11" s="38">
        <f>IF(OR(ET$2="",$D11=""),"",IF(AND(ISNUMBER($F11),ET$2&gt;=$F11,ET$2&lt;=IF(ISNUMBER($G11),$G11,$F11+$E11-$D11)),2,IF(AND(ET$2&gt;=$D11,ET$2&lt;=$E11),1,"")))</f>
        <v/>
      </c>
      <c r="EU11" s="38">
        <f>IF(OR(EU$2="",$D11=""),"",IF(AND(ISNUMBER($F11),EU$2&gt;=$F11,EU$2&lt;=IF(ISNUMBER($G11),$G11,$F11+$E11-$D11)),2,IF(AND(EU$2&gt;=$D11,EU$2&lt;=$E11),1,"")))</f>
        <v/>
      </c>
      <c r="EV11" s="38">
        <f>IF(OR(EV$2="",$D11=""),"",IF(AND(ISNUMBER($F11),EV$2&gt;=$F11,EV$2&lt;=IF(ISNUMBER($G11),$G11,$F11+$E11-$D11)),2,IF(AND(EV$2&gt;=$D11,EV$2&lt;=$E11),1,"")))</f>
        <v/>
      </c>
      <c r="EW11" s="38">
        <f>IF(OR(EW$2="",$D11=""),"",IF(AND(ISNUMBER($F11),EW$2&gt;=$F11,EW$2&lt;=IF(ISNUMBER($G11),$G11,$F11+$E11-$D11)),2,IF(AND(EW$2&gt;=$D11,EW$2&lt;=$E11),1,"")))</f>
        <v/>
      </c>
      <c r="EX11" s="38">
        <f>IF(OR(EX$2="",$D11=""),"",IF(AND(ISNUMBER($F11),EX$2&gt;=$F11,EX$2&lt;=IF(ISNUMBER($G11),$G11,$F11+$E11-$D11)),2,IF(AND(EX$2&gt;=$D11,EX$2&lt;=$E11),1,"")))</f>
        <v/>
      </c>
      <c r="EY11" s="38">
        <f>IF(OR(EY$2="",$D11=""),"",IF(AND(ISNUMBER($F11),EY$2&gt;=$F11,EY$2&lt;=IF(ISNUMBER($G11),$G11,$F11+$E11-$D11)),2,IF(AND(EY$2&gt;=$D11,EY$2&lt;=$E11),1,"")))</f>
        <v/>
      </c>
      <c r="EZ11" s="38">
        <f>IF(OR(EZ$2="",$D11=""),"",IF(AND(ISNUMBER($F11),EZ$2&gt;=$F11,EZ$2&lt;=IF(ISNUMBER($G11),$G11,$F11+$E11-$D11)),2,IF(AND(EZ$2&gt;=$D11,EZ$2&lt;=$E11),1,"")))</f>
        <v/>
      </c>
      <c r="FA11" s="38">
        <f>IF(OR(FA$2="",$D11=""),"",IF(AND(ISNUMBER($F11),FA$2&gt;=$F11,FA$2&lt;=IF(ISNUMBER($G11),$G11,$F11+$E11-$D11)),2,IF(AND(FA$2&gt;=$D11,FA$2&lt;=$E11),1,"")))</f>
        <v/>
      </c>
      <c r="FB11" s="38">
        <f>IF(OR(FB$2="",$D11=""),"",IF(AND(ISNUMBER($F11),FB$2&gt;=$F11,FB$2&lt;=IF(ISNUMBER($G11),$G11,$F11+$E11-$D11)),2,IF(AND(FB$2&gt;=$D11,FB$2&lt;=$E11),1,"")))</f>
        <v/>
      </c>
      <c r="FC11" s="38">
        <f>IF(OR(FC$2="",$D11=""),"",IF(AND(ISNUMBER($F11),FC$2&gt;=$F11,FC$2&lt;=IF(ISNUMBER($G11),$G11,$F11+$E11-$D11)),2,IF(AND(FC$2&gt;=$D11,FC$2&lt;=$E11),1,"")))</f>
        <v/>
      </c>
      <c r="FD11" s="38">
        <f>IF(OR(FD$2="",$D11=""),"",IF(AND(ISNUMBER($F11),FD$2&gt;=$F11,FD$2&lt;=IF(ISNUMBER($G11),$G11,$F11+$E11-$D11)),2,IF(AND(FD$2&gt;=$D11,FD$2&lt;=$E11),1,"")))</f>
        <v/>
      </c>
      <c r="FE11" s="38">
        <f>IF(OR(FE$2="",$D11=""),"",IF(AND(ISNUMBER($F11),FE$2&gt;=$F11,FE$2&lt;=IF(ISNUMBER($G11),$G11,$F11+$E11-$D11)),2,IF(AND(FE$2&gt;=$D11,FE$2&lt;=$E11),1,"")))</f>
        <v/>
      </c>
      <c r="FF11" s="38">
        <f>IF(OR(FF$2="",$D11=""),"",IF(AND(ISNUMBER($F11),FF$2&gt;=$F11,FF$2&lt;=IF(ISNUMBER($G11),$G11,$F11+$E11-$D11)),2,IF(AND(FF$2&gt;=$D11,FF$2&lt;=$E11),1,"")))</f>
        <v/>
      </c>
      <c r="FG11" s="38">
        <f>IF(OR(FG$2="",$D11=""),"",IF(AND(ISNUMBER($F11),FG$2&gt;=$F11,FG$2&lt;=IF(ISNUMBER($G11),$G11,$F11+$E11-$D11)),2,IF(AND(FG$2&gt;=$D11,FG$2&lt;=$E11),1,"")))</f>
        <v/>
      </c>
      <c r="FH11" s="38">
        <f>IF(OR(FH$2="",$D11=""),"",IF(AND(ISNUMBER($F11),FH$2&gt;=$F11,FH$2&lt;=IF(ISNUMBER($G11),$G11,$F11+$E11-$D11)),2,IF(AND(FH$2&gt;=$D11,FH$2&lt;=$E11),1,"")))</f>
        <v/>
      </c>
      <c r="FI11" s="38">
        <f>IF(OR(FI$2="",$D11=""),"",IF(AND(ISNUMBER($F11),FI$2&gt;=$F11,FI$2&lt;=IF(ISNUMBER($G11),$G11,$F11+$E11-$D11)),2,IF(AND(FI$2&gt;=$D11,FI$2&lt;=$E11),1,"")))</f>
        <v/>
      </c>
      <c r="FJ11" s="38">
        <f>IF(OR(FJ$2="",$D11=""),"",IF(AND(ISNUMBER($F11),FJ$2&gt;=$F11,FJ$2&lt;=IF(ISNUMBER($G11),$G11,$F11+$E11-$D11)),2,IF(AND(FJ$2&gt;=$D11,FJ$2&lt;=$E11),1,"")))</f>
        <v/>
      </c>
      <c r="FK11" s="38">
        <f>IF(OR(FK$2="",$D11=""),"",IF(AND(ISNUMBER($F11),FK$2&gt;=$F11,FK$2&lt;=IF(ISNUMBER($G11),$G11,$F11+$E11-$D11)),2,IF(AND(FK$2&gt;=$D11,FK$2&lt;=$E11),1,"")))</f>
        <v/>
      </c>
      <c r="FL11" s="38">
        <f>IF(OR(FL$2="",$D11=""),"",IF(AND(ISNUMBER($F11),FL$2&gt;=$F11,FL$2&lt;=IF(ISNUMBER($G11),$G11,$F11+$E11-$D11)),2,IF(AND(FL$2&gt;=$D11,FL$2&lt;=$E11),1,"")))</f>
        <v/>
      </c>
      <c r="FM11" s="38">
        <f>IF(OR(FM$2="",$D11=""),"",IF(AND(ISNUMBER($F11),FM$2&gt;=$F11,FM$2&lt;=IF(ISNUMBER($G11),$G11,$F11+$E11-$D11)),2,IF(AND(FM$2&gt;=$D11,FM$2&lt;=$E11),1,"")))</f>
        <v/>
      </c>
      <c r="FN11" s="38">
        <f>IF(OR(FN$2="",$D11=""),"",IF(AND(ISNUMBER($F11),FN$2&gt;=$F11,FN$2&lt;=IF(ISNUMBER($G11),$G11,$F11+$E11-$D11)),2,IF(AND(FN$2&gt;=$D11,FN$2&lt;=$E11),1,"")))</f>
        <v/>
      </c>
      <c r="FO11" s="38">
        <f>IF(OR(FO$2="",$D11=""),"",IF(AND(ISNUMBER($F11),FO$2&gt;=$F11,FO$2&lt;=IF(ISNUMBER($G11),$G11,$F11+$E11-$D11)),2,IF(AND(FO$2&gt;=$D11,FO$2&lt;=$E11),1,"")))</f>
        <v/>
      </c>
      <c r="FP11" s="38">
        <f>IF(OR(FP$2="",$D11=""),"",IF(AND(ISNUMBER($F11),FP$2&gt;=$F11,FP$2&lt;=IF(ISNUMBER($G11),$G11,$F11+$E11-$D11)),2,IF(AND(FP$2&gt;=$D11,FP$2&lt;=$E11),1,"")))</f>
        <v/>
      </c>
      <c r="FQ11" s="38">
        <f>IF(OR(FQ$2="",$D11=""),"",IF(AND(ISNUMBER($F11),FQ$2&gt;=$F11,FQ$2&lt;=IF(ISNUMBER($G11),$G11,$F11+$E11-$D11)),2,IF(AND(FQ$2&gt;=$D11,FQ$2&lt;=$E11),1,"")))</f>
        <v/>
      </c>
      <c r="FR11" s="38">
        <f>IF(OR(FR$2="",$D11=""),"",IF(AND(ISNUMBER($F11),FR$2&gt;=$F11,FR$2&lt;=IF(ISNUMBER($G11),$G11,$F11+$E11-$D11)),2,IF(AND(FR$2&gt;=$D11,FR$2&lt;=$E11),1,"")))</f>
        <v/>
      </c>
      <c r="FS11" s="38">
        <f>IF(OR(FS$2="",$D11=""),"",IF(AND(ISNUMBER($F11),FS$2&gt;=$F11,FS$2&lt;=IF(ISNUMBER($G11),$G11,$F11+$E11-$D11)),2,IF(AND(FS$2&gt;=$D11,FS$2&lt;=$E11),1,"")))</f>
        <v/>
      </c>
      <c r="FT11" s="38">
        <f>IF(OR(FT$2="",$D11=""),"",IF(AND(ISNUMBER($F11),FT$2&gt;=$F11,FT$2&lt;=IF(ISNUMBER($G11),$G11,$F11+$E11-$D11)),2,IF(AND(FT$2&gt;=$D11,FT$2&lt;=$E11),1,"")))</f>
        <v/>
      </c>
      <c r="FU11" s="38">
        <f>IF(OR(FU$2="",$D11=""),"",IF(AND(ISNUMBER($F11),FU$2&gt;=$F11,FU$2&lt;=IF(ISNUMBER($G11),$G11,$F11+$E11-$D11)),2,IF(AND(FU$2&gt;=$D11,FU$2&lt;=$E11),1,"")))</f>
        <v/>
      </c>
      <c r="FV11" s="38">
        <f>IF(OR(FV$2="",$D11=""),"",IF(AND(ISNUMBER($F11),FV$2&gt;=$F11,FV$2&lt;=IF(ISNUMBER($G11),$G11,$F11+$E11-$D11)),2,IF(AND(FV$2&gt;=$D11,FV$2&lt;=$E11),1,"")))</f>
        <v/>
      </c>
      <c r="FW11" s="38">
        <f>IF(OR(FW$2="",$D11=""),"",IF(AND(ISNUMBER($F11),FW$2&gt;=$F11,FW$2&lt;=IF(ISNUMBER($G11),$G11,$F11+$E11-$D11)),2,IF(AND(FW$2&gt;=$D11,FW$2&lt;=$E11),1,"")))</f>
        <v/>
      </c>
      <c r="FX11" s="38">
        <f>IF(OR(FX$2="",$D11=""),"",IF(AND(ISNUMBER($F11),FX$2&gt;=$F11,FX$2&lt;=IF(ISNUMBER($G11),$G11,$F11+$E11-$D11)),2,IF(AND(FX$2&gt;=$D11,FX$2&lt;=$E11),1,"")))</f>
        <v/>
      </c>
      <c r="FY11" s="38">
        <f>IF(OR(FY$2="",$D11=""),"",IF(AND(ISNUMBER($F11),FY$2&gt;=$F11,FY$2&lt;=IF(ISNUMBER($G11),$G11,$F11+$E11-$D11)),2,IF(AND(FY$2&gt;=$D11,FY$2&lt;=$E11),1,"")))</f>
        <v/>
      </c>
      <c r="FZ11" s="38">
        <f>IF(OR(FZ$2="",$D11=""),"",IF(AND(ISNUMBER($F11),FZ$2&gt;=$F11,FZ$2&lt;=IF(ISNUMBER($G11),$G11,$F11+$E11-$D11)),2,IF(AND(FZ$2&gt;=$D11,FZ$2&lt;=$E11),1,"")))</f>
        <v/>
      </c>
      <c r="GA11" s="38">
        <f>IF(OR(GA$2="",$D11=""),"",IF(AND(ISNUMBER($F11),GA$2&gt;=$F11,GA$2&lt;=IF(ISNUMBER($G11),$G11,$F11+$E11-$D11)),2,IF(AND(GA$2&gt;=$D11,GA$2&lt;=$E11),1,"")))</f>
        <v/>
      </c>
      <c r="GB11" s="38">
        <f>IF(OR(GB$2="",$D11=""),"",IF(AND(ISNUMBER($F11),GB$2&gt;=$F11,GB$2&lt;=IF(ISNUMBER($G11),$G11,$F11+$E11-$D11)),2,IF(AND(GB$2&gt;=$D11,GB$2&lt;=$E11),1,"")))</f>
        <v/>
      </c>
      <c r="GC11" s="38">
        <f>IF(OR(GC$2="",$D11=""),"",IF(AND(ISNUMBER($F11),GC$2&gt;=$F11,GC$2&lt;=IF(ISNUMBER($G11),$G11,$F11+$E11-$D11)),2,IF(AND(GC$2&gt;=$D11,GC$2&lt;=$E11),1,"")))</f>
        <v/>
      </c>
      <c r="GD11" s="38">
        <f>IF(OR(GD$2="",$D11=""),"",IF(AND(ISNUMBER($F11),GD$2&gt;=$F11,GD$2&lt;=IF(ISNUMBER($G11),$G11,$F11+$E11-$D11)),2,IF(AND(GD$2&gt;=$D11,GD$2&lt;=$E11),1,"")))</f>
        <v/>
      </c>
      <c r="GE11" s="38">
        <f>IF(OR(GE$2="",$D11=""),"",IF(AND(ISNUMBER($F11),GE$2&gt;=$F11,GE$2&lt;=IF(ISNUMBER($G11),$G11,$F11+$E11-$D11)),2,IF(AND(GE$2&gt;=$D11,GE$2&lt;=$E11),1,"")))</f>
        <v/>
      </c>
    </row>
    <row r="12">
      <c r="A12" s="36" t="inlineStr">
        <is>
          <t>Last irrigation for starting MD</t>
        </is>
      </c>
      <c r="B12" s="12" t="inlineStr">
        <is>
          <t>এমডির আগে শেষ সেচ</t>
        </is>
      </c>
      <c r="C12" s="12" t="inlineStr">
        <is>
          <t>3F4D+MD</t>
        </is>
      </c>
      <c r="D12" s="7">
        <f>IF(Day_0="","",Day_0+cfg_3-cfg_12)</f>
        <v/>
      </c>
      <c r="E12" s="7">
        <f>IF(D12="","",D12)</f>
        <v/>
      </c>
      <c r="F12" s="37" t="n"/>
      <c r="G12" s="7" t="n"/>
      <c r="H12" s="6">
        <f>IF(D12="","no plan",IF(F12&lt;&gt;"",IF(F12-D12&gt;=2,"LATE","OK"),IF(TODAY()&gt;D12+2,"OVERDUE","upcoming")))</f>
        <v/>
      </c>
      <c r="I12" s="6">
        <f>IF(AND(D12&lt;&gt;"",F12&lt;&gt;""),F12-D12,"")</f>
        <v/>
      </c>
      <c r="J12" s="7">
        <f>IF(F12&lt;&gt;"",F12,D12)</f>
        <v/>
      </c>
      <c r="K12" s="7">
        <f>IF(G12&lt;&gt;"",G12,IF(AND(F12&lt;&gt;"",E12=D12),F12,E12))</f>
        <v/>
      </c>
      <c r="L12" s="6">
        <f>IF(AND(D12&lt;&gt;"",F12="",D12&gt;=TODAY()),D12+ROW()/1000,"")</f>
        <v/>
      </c>
      <c r="M12" s="38">
        <f>IF(OR(M$2="",$D12=""),"",IF(AND(ISNUMBER($F12),M$2&gt;=$F12,M$2&lt;=IF(ISNUMBER($G12),$G12,$F12+$E12-$D12)),2,IF(AND(M$2&gt;=$D12,M$2&lt;=$E12),1,"")))</f>
        <v/>
      </c>
      <c r="N12" s="38">
        <f>IF(OR(N$2="",$D12=""),"",IF(AND(ISNUMBER($F12),N$2&gt;=$F12,N$2&lt;=IF(ISNUMBER($G12),$G12,$F12+$E12-$D12)),2,IF(AND(N$2&gt;=$D12,N$2&lt;=$E12),1,"")))</f>
        <v/>
      </c>
      <c r="O12" s="38">
        <f>IF(OR(O$2="",$D12=""),"",IF(AND(ISNUMBER($F12),O$2&gt;=$F12,O$2&lt;=IF(ISNUMBER($G12),$G12,$F12+$E12-$D12)),2,IF(AND(O$2&gt;=$D12,O$2&lt;=$E12),1,"")))</f>
        <v/>
      </c>
      <c r="P12" s="38">
        <f>IF(OR(P$2="",$D12=""),"",IF(AND(ISNUMBER($F12),P$2&gt;=$F12,P$2&lt;=IF(ISNUMBER($G12),$G12,$F12+$E12-$D12)),2,IF(AND(P$2&gt;=$D12,P$2&lt;=$E12),1,"")))</f>
        <v/>
      </c>
      <c r="Q12" s="38">
        <f>IF(OR(Q$2="",$D12=""),"",IF(AND(ISNUMBER($F12),Q$2&gt;=$F12,Q$2&lt;=IF(ISNUMBER($G12),$G12,$F12+$E12-$D12)),2,IF(AND(Q$2&gt;=$D12,Q$2&lt;=$E12),1,"")))</f>
        <v/>
      </c>
      <c r="R12" s="38">
        <f>IF(OR(R$2="",$D12=""),"",IF(AND(ISNUMBER($F12),R$2&gt;=$F12,R$2&lt;=IF(ISNUMBER($G12),$G12,$F12+$E12-$D12)),2,IF(AND(R$2&gt;=$D12,R$2&lt;=$E12),1,"")))</f>
        <v/>
      </c>
      <c r="S12" s="38">
        <f>IF(OR(S$2="",$D12=""),"",IF(AND(ISNUMBER($F12),S$2&gt;=$F12,S$2&lt;=IF(ISNUMBER($G12),$G12,$F12+$E12-$D12)),2,IF(AND(S$2&gt;=$D12,S$2&lt;=$E12),1,"")))</f>
        <v/>
      </c>
      <c r="T12" s="38">
        <f>IF(OR(T$2="",$D12=""),"",IF(AND(ISNUMBER($F12),T$2&gt;=$F12,T$2&lt;=IF(ISNUMBER($G12),$G12,$F12+$E12-$D12)),2,IF(AND(T$2&gt;=$D12,T$2&lt;=$E12),1,"")))</f>
        <v/>
      </c>
      <c r="U12" s="38">
        <f>IF(OR(U$2="",$D12=""),"",IF(AND(ISNUMBER($F12),U$2&gt;=$F12,U$2&lt;=IF(ISNUMBER($G12),$G12,$F12+$E12-$D12)),2,IF(AND(U$2&gt;=$D12,U$2&lt;=$E12),1,"")))</f>
        <v/>
      </c>
      <c r="V12" s="38">
        <f>IF(OR(V$2="",$D12=""),"",IF(AND(ISNUMBER($F12),V$2&gt;=$F12,V$2&lt;=IF(ISNUMBER($G12),$G12,$F12+$E12-$D12)),2,IF(AND(V$2&gt;=$D12,V$2&lt;=$E12),1,"")))</f>
        <v/>
      </c>
      <c r="W12" s="38">
        <f>IF(OR(W$2="",$D12=""),"",IF(AND(ISNUMBER($F12),W$2&gt;=$F12,W$2&lt;=IF(ISNUMBER($G12),$G12,$F12+$E12-$D12)),2,IF(AND(W$2&gt;=$D12,W$2&lt;=$E12),1,"")))</f>
        <v/>
      </c>
      <c r="X12" s="38">
        <f>IF(OR(X$2="",$D12=""),"",IF(AND(ISNUMBER($F12),X$2&gt;=$F12,X$2&lt;=IF(ISNUMBER($G12),$G12,$F12+$E12-$D12)),2,IF(AND(X$2&gt;=$D12,X$2&lt;=$E12),1,"")))</f>
        <v/>
      </c>
      <c r="Y12" s="38">
        <f>IF(OR(Y$2="",$D12=""),"",IF(AND(ISNUMBER($F12),Y$2&gt;=$F12,Y$2&lt;=IF(ISNUMBER($G12),$G12,$F12+$E12-$D12)),2,IF(AND(Y$2&gt;=$D12,Y$2&lt;=$E12),1,"")))</f>
        <v/>
      </c>
      <c r="Z12" s="38">
        <f>IF(OR(Z$2="",$D12=""),"",IF(AND(ISNUMBER($F12),Z$2&gt;=$F12,Z$2&lt;=IF(ISNUMBER($G12),$G12,$F12+$E12-$D12)),2,IF(AND(Z$2&gt;=$D12,Z$2&lt;=$E12),1,"")))</f>
        <v/>
      </c>
      <c r="AA12" s="38">
        <f>IF(OR(AA$2="",$D12=""),"",IF(AND(ISNUMBER($F12),AA$2&gt;=$F12,AA$2&lt;=IF(ISNUMBER($G12),$G12,$F12+$E12-$D12)),2,IF(AND(AA$2&gt;=$D12,AA$2&lt;=$E12),1,"")))</f>
        <v/>
      </c>
      <c r="AB12" s="38">
        <f>IF(OR(AB$2="",$D12=""),"",IF(AND(ISNUMBER($F12),AB$2&gt;=$F12,AB$2&lt;=IF(ISNUMBER($G12),$G12,$F12+$E12-$D12)),2,IF(AND(AB$2&gt;=$D12,AB$2&lt;=$E12),1,"")))</f>
        <v/>
      </c>
      <c r="AC12" s="38">
        <f>IF(OR(AC$2="",$D12=""),"",IF(AND(ISNUMBER($F12),AC$2&gt;=$F12,AC$2&lt;=IF(ISNUMBER($G12),$G12,$F12+$E12-$D12)),2,IF(AND(AC$2&gt;=$D12,AC$2&lt;=$E12),1,"")))</f>
        <v/>
      </c>
      <c r="AD12" s="38">
        <f>IF(OR(AD$2="",$D12=""),"",IF(AND(ISNUMBER($F12),AD$2&gt;=$F12,AD$2&lt;=IF(ISNUMBER($G12),$G12,$F12+$E12-$D12)),2,IF(AND(AD$2&gt;=$D12,AD$2&lt;=$E12),1,"")))</f>
        <v/>
      </c>
      <c r="AE12" s="38">
        <f>IF(OR(AE$2="",$D12=""),"",IF(AND(ISNUMBER($F12),AE$2&gt;=$F12,AE$2&lt;=IF(ISNUMBER($G12),$G12,$F12+$E12-$D12)),2,IF(AND(AE$2&gt;=$D12,AE$2&lt;=$E12),1,"")))</f>
        <v/>
      </c>
      <c r="AF12" s="38">
        <f>IF(OR(AF$2="",$D12=""),"",IF(AND(ISNUMBER($F12),AF$2&gt;=$F12,AF$2&lt;=IF(ISNUMBER($G12),$G12,$F12+$E12-$D12)),2,IF(AND(AF$2&gt;=$D12,AF$2&lt;=$E12),1,"")))</f>
        <v/>
      </c>
      <c r="AG12" s="38">
        <f>IF(OR(AG$2="",$D12=""),"",IF(AND(ISNUMBER($F12),AG$2&gt;=$F12,AG$2&lt;=IF(ISNUMBER($G12),$G12,$F12+$E12-$D12)),2,IF(AND(AG$2&gt;=$D12,AG$2&lt;=$E12),1,"")))</f>
        <v/>
      </c>
      <c r="AH12" s="38">
        <f>IF(OR(AH$2="",$D12=""),"",IF(AND(ISNUMBER($F12),AH$2&gt;=$F12,AH$2&lt;=IF(ISNUMBER($G12),$G12,$F12+$E12-$D12)),2,IF(AND(AH$2&gt;=$D12,AH$2&lt;=$E12),1,"")))</f>
        <v/>
      </c>
      <c r="AI12" s="38">
        <f>IF(OR(AI$2="",$D12=""),"",IF(AND(ISNUMBER($F12),AI$2&gt;=$F12,AI$2&lt;=IF(ISNUMBER($G12),$G12,$F12+$E12-$D12)),2,IF(AND(AI$2&gt;=$D12,AI$2&lt;=$E12),1,"")))</f>
        <v/>
      </c>
      <c r="AJ12" s="38">
        <f>IF(OR(AJ$2="",$D12=""),"",IF(AND(ISNUMBER($F12),AJ$2&gt;=$F12,AJ$2&lt;=IF(ISNUMBER($G12),$G12,$F12+$E12-$D12)),2,IF(AND(AJ$2&gt;=$D12,AJ$2&lt;=$E12),1,"")))</f>
        <v/>
      </c>
      <c r="AK12" s="38">
        <f>IF(OR(AK$2="",$D12=""),"",IF(AND(ISNUMBER($F12),AK$2&gt;=$F12,AK$2&lt;=IF(ISNUMBER($G12),$G12,$F12+$E12-$D12)),2,IF(AND(AK$2&gt;=$D12,AK$2&lt;=$E12),1,"")))</f>
        <v/>
      </c>
      <c r="AL12" s="38">
        <f>IF(OR(AL$2="",$D12=""),"",IF(AND(ISNUMBER($F12),AL$2&gt;=$F12,AL$2&lt;=IF(ISNUMBER($G12),$G12,$F12+$E12-$D12)),2,IF(AND(AL$2&gt;=$D12,AL$2&lt;=$E12),1,"")))</f>
        <v/>
      </c>
      <c r="AM12" s="38">
        <f>IF(OR(AM$2="",$D12=""),"",IF(AND(ISNUMBER($F12),AM$2&gt;=$F12,AM$2&lt;=IF(ISNUMBER($G12),$G12,$F12+$E12-$D12)),2,IF(AND(AM$2&gt;=$D12,AM$2&lt;=$E12),1,"")))</f>
        <v/>
      </c>
      <c r="AN12" s="38">
        <f>IF(OR(AN$2="",$D12=""),"",IF(AND(ISNUMBER($F12),AN$2&gt;=$F12,AN$2&lt;=IF(ISNUMBER($G12),$G12,$F12+$E12-$D12)),2,IF(AND(AN$2&gt;=$D12,AN$2&lt;=$E12),1,"")))</f>
        <v/>
      </c>
      <c r="AO12" s="38">
        <f>IF(OR(AO$2="",$D12=""),"",IF(AND(ISNUMBER($F12),AO$2&gt;=$F12,AO$2&lt;=IF(ISNUMBER($G12),$G12,$F12+$E12-$D12)),2,IF(AND(AO$2&gt;=$D12,AO$2&lt;=$E12),1,"")))</f>
        <v/>
      </c>
      <c r="AP12" s="38">
        <f>IF(OR(AP$2="",$D12=""),"",IF(AND(ISNUMBER($F12),AP$2&gt;=$F12,AP$2&lt;=IF(ISNUMBER($G12),$G12,$F12+$E12-$D12)),2,IF(AND(AP$2&gt;=$D12,AP$2&lt;=$E12),1,"")))</f>
        <v/>
      </c>
      <c r="AQ12" s="38">
        <f>IF(OR(AQ$2="",$D12=""),"",IF(AND(ISNUMBER($F12),AQ$2&gt;=$F12,AQ$2&lt;=IF(ISNUMBER($G12),$G12,$F12+$E12-$D12)),2,IF(AND(AQ$2&gt;=$D12,AQ$2&lt;=$E12),1,"")))</f>
        <v/>
      </c>
      <c r="AR12" s="38">
        <f>IF(OR(AR$2="",$D12=""),"",IF(AND(ISNUMBER($F12),AR$2&gt;=$F12,AR$2&lt;=IF(ISNUMBER($G12),$G12,$F12+$E12-$D12)),2,IF(AND(AR$2&gt;=$D12,AR$2&lt;=$E12),1,"")))</f>
        <v/>
      </c>
      <c r="AS12" s="38">
        <f>IF(OR(AS$2="",$D12=""),"",IF(AND(ISNUMBER($F12),AS$2&gt;=$F12,AS$2&lt;=IF(ISNUMBER($G12),$G12,$F12+$E12-$D12)),2,IF(AND(AS$2&gt;=$D12,AS$2&lt;=$E12),1,"")))</f>
        <v/>
      </c>
      <c r="AT12" s="38">
        <f>IF(OR(AT$2="",$D12=""),"",IF(AND(ISNUMBER($F12),AT$2&gt;=$F12,AT$2&lt;=IF(ISNUMBER($G12),$G12,$F12+$E12-$D12)),2,IF(AND(AT$2&gt;=$D12,AT$2&lt;=$E12),1,"")))</f>
        <v/>
      </c>
      <c r="AU12" s="38">
        <f>IF(OR(AU$2="",$D12=""),"",IF(AND(ISNUMBER($F12),AU$2&gt;=$F12,AU$2&lt;=IF(ISNUMBER($G12),$G12,$F12+$E12-$D12)),2,IF(AND(AU$2&gt;=$D12,AU$2&lt;=$E12),1,"")))</f>
        <v/>
      </c>
      <c r="AV12" s="38">
        <f>IF(OR(AV$2="",$D12=""),"",IF(AND(ISNUMBER($F12),AV$2&gt;=$F12,AV$2&lt;=IF(ISNUMBER($G12),$G12,$F12+$E12-$D12)),2,IF(AND(AV$2&gt;=$D12,AV$2&lt;=$E12),1,"")))</f>
        <v/>
      </c>
      <c r="AW12" s="38">
        <f>IF(OR(AW$2="",$D12=""),"",IF(AND(ISNUMBER($F12),AW$2&gt;=$F12,AW$2&lt;=IF(ISNUMBER($G12),$G12,$F12+$E12-$D12)),2,IF(AND(AW$2&gt;=$D12,AW$2&lt;=$E12),1,"")))</f>
        <v/>
      </c>
      <c r="AX12" s="38">
        <f>IF(OR(AX$2="",$D12=""),"",IF(AND(ISNUMBER($F12),AX$2&gt;=$F12,AX$2&lt;=IF(ISNUMBER($G12),$G12,$F12+$E12-$D12)),2,IF(AND(AX$2&gt;=$D12,AX$2&lt;=$E12),1,"")))</f>
        <v/>
      </c>
      <c r="AY12" s="38">
        <f>IF(OR(AY$2="",$D12=""),"",IF(AND(ISNUMBER($F12),AY$2&gt;=$F12,AY$2&lt;=IF(ISNUMBER($G12),$G12,$F12+$E12-$D12)),2,IF(AND(AY$2&gt;=$D12,AY$2&lt;=$E12),1,"")))</f>
        <v/>
      </c>
      <c r="AZ12" s="38">
        <f>IF(OR(AZ$2="",$D12=""),"",IF(AND(ISNUMBER($F12),AZ$2&gt;=$F12,AZ$2&lt;=IF(ISNUMBER($G12),$G12,$F12+$E12-$D12)),2,IF(AND(AZ$2&gt;=$D12,AZ$2&lt;=$E12),1,"")))</f>
        <v/>
      </c>
      <c r="BA12" s="38">
        <f>IF(OR(BA$2="",$D12=""),"",IF(AND(ISNUMBER($F12),BA$2&gt;=$F12,BA$2&lt;=IF(ISNUMBER($G12),$G12,$F12+$E12-$D12)),2,IF(AND(BA$2&gt;=$D12,BA$2&lt;=$E12),1,"")))</f>
        <v/>
      </c>
      <c r="BB12" s="38">
        <f>IF(OR(BB$2="",$D12=""),"",IF(AND(ISNUMBER($F12),BB$2&gt;=$F12,BB$2&lt;=IF(ISNUMBER($G12),$G12,$F12+$E12-$D12)),2,IF(AND(BB$2&gt;=$D12,BB$2&lt;=$E12),1,"")))</f>
        <v/>
      </c>
      <c r="BC12" s="38">
        <f>IF(OR(BC$2="",$D12=""),"",IF(AND(ISNUMBER($F12),BC$2&gt;=$F12,BC$2&lt;=IF(ISNUMBER($G12),$G12,$F12+$E12-$D12)),2,IF(AND(BC$2&gt;=$D12,BC$2&lt;=$E12),1,"")))</f>
        <v/>
      </c>
      <c r="BD12" s="38">
        <f>IF(OR(BD$2="",$D12=""),"",IF(AND(ISNUMBER($F12),BD$2&gt;=$F12,BD$2&lt;=IF(ISNUMBER($G12),$G12,$F12+$E12-$D12)),2,IF(AND(BD$2&gt;=$D12,BD$2&lt;=$E12),1,"")))</f>
        <v/>
      </c>
      <c r="BE12" s="38">
        <f>IF(OR(BE$2="",$D12=""),"",IF(AND(ISNUMBER($F12),BE$2&gt;=$F12,BE$2&lt;=IF(ISNUMBER($G12),$G12,$F12+$E12-$D12)),2,IF(AND(BE$2&gt;=$D12,BE$2&lt;=$E12),1,"")))</f>
        <v/>
      </c>
      <c r="BF12" s="38">
        <f>IF(OR(BF$2="",$D12=""),"",IF(AND(ISNUMBER($F12),BF$2&gt;=$F12,BF$2&lt;=IF(ISNUMBER($G12),$G12,$F12+$E12-$D12)),2,IF(AND(BF$2&gt;=$D12,BF$2&lt;=$E12),1,"")))</f>
        <v/>
      </c>
      <c r="BG12" s="38">
        <f>IF(OR(BG$2="",$D12=""),"",IF(AND(ISNUMBER($F12),BG$2&gt;=$F12,BG$2&lt;=IF(ISNUMBER($G12),$G12,$F12+$E12-$D12)),2,IF(AND(BG$2&gt;=$D12,BG$2&lt;=$E12),1,"")))</f>
        <v/>
      </c>
      <c r="BH12" s="38">
        <f>IF(OR(BH$2="",$D12=""),"",IF(AND(ISNUMBER($F12),BH$2&gt;=$F12,BH$2&lt;=IF(ISNUMBER($G12),$G12,$F12+$E12-$D12)),2,IF(AND(BH$2&gt;=$D12,BH$2&lt;=$E12),1,"")))</f>
        <v/>
      </c>
      <c r="BI12" s="38">
        <f>IF(OR(BI$2="",$D12=""),"",IF(AND(ISNUMBER($F12),BI$2&gt;=$F12,BI$2&lt;=IF(ISNUMBER($G12),$G12,$F12+$E12-$D12)),2,IF(AND(BI$2&gt;=$D12,BI$2&lt;=$E12),1,"")))</f>
        <v/>
      </c>
      <c r="BJ12" s="38">
        <f>IF(OR(BJ$2="",$D12=""),"",IF(AND(ISNUMBER($F12),BJ$2&gt;=$F12,BJ$2&lt;=IF(ISNUMBER($G12),$G12,$F12+$E12-$D12)),2,IF(AND(BJ$2&gt;=$D12,BJ$2&lt;=$E12),1,"")))</f>
        <v/>
      </c>
      <c r="BK12" s="38">
        <f>IF(OR(BK$2="",$D12=""),"",IF(AND(ISNUMBER($F12),BK$2&gt;=$F12,BK$2&lt;=IF(ISNUMBER($G12),$G12,$F12+$E12-$D12)),2,IF(AND(BK$2&gt;=$D12,BK$2&lt;=$E12),1,"")))</f>
        <v/>
      </c>
      <c r="BL12" s="38">
        <f>IF(OR(BL$2="",$D12=""),"",IF(AND(ISNUMBER($F12),BL$2&gt;=$F12,BL$2&lt;=IF(ISNUMBER($G12),$G12,$F12+$E12-$D12)),2,IF(AND(BL$2&gt;=$D12,BL$2&lt;=$E12),1,"")))</f>
        <v/>
      </c>
      <c r="BM12" s="38">
        <f>IF(OR(BM$2="",$D12=""),"",IF(AND(ISNUMBER($F12),BM$2&gt;=$F12,BM$2&lt;=IF(ISNUMBER($G12),$G12,$F12+$E12-$D12)),2,IF(AND(BM$2&gt;=$D12,BM$2&lt;=$E12),1,"")))</f>
        <v/>
      </c>
      <c r="BN12" s="38">
        <f>IF(OR(BN$2="",$D12=""),"",IF(AND(ISNUMBER($F12),BN$2&gt;=$F12,BN$2&lt;=IF(ISNUMBER($G12),$G12,$F12+$E12-$D12)),2,IF(AND(BN$2&gt;=$D12,BN$2&lt;=$E12),1,"")))</f>
        <v/>
      </c>
      <c r="BO12" s="38">
        <f>IF(OR(BO$2="",$D12=""),"",IF(AND(ISNUMBER($F12),BO$2&gt;=$F12,BO$2&lt;=IF(ISNUMBER($G12),$G12,$F12+$E12-$D12)),2,IF(AND(BO$2&gt;=$D12,BO$2&lt;=$E12),1,"")))</f>
        <v/>
      </c>
      <c r="BP12" s="38">
        <f>IF(OR(BP$2="",$D12=""),"",IF(AND(ISNUMBER($F12),BP$2&gt;=$F12,BP$2&lt;=IF(ISNUMBER($G12),$G12,$F12+$E12-$D12)),2,IF(AND(BP$2&gt;=$D12,BP$2&lt;=$E12),1,"")))</f>
        <v/>
      </c>
      <c r="BQ12" s="38">
        <f>IF(OR(BQ$2="",$D12=""),"",IF(AND(ISNUMBER($F12),BQ$2&gt;=$F12,BQ$2&lt;=IF(ISNUMBER($G12),$G12,$F12+$E12-$D12)),2,IF(AND(BQ$2&gt;=$D12,BQ$2&lt;=$E12),1,"")))</f>
        <v/>
      </c>
      <c r="BR12" s="38">
        <f>IF(OR(BR$2="",$D12=""),"",IF(AND(ISNUMBER($F12),BR$2&gt;=$F12,BR$2&lt;=IF(ISNUMBER($G12),$G12,$F12+$E12-$D12)),2,IF(AND(BR$2&gt;=$D12,BR$2&lt;=$E12),1,"")))</f>
        <v/>
      </c>
      <c r="BS12" s="38">
        <f>IF(OR(BS$2="",$D12=""),"",IF(AND(ISNUMBER($F12),BS$2&gt;=$F12,BS$2&lt;=IF(ISNUMBER($G12),$G12,$F12+$E12-$D12)),2,IF(AND(BS$2&gt;=$D12,BS$2&lt;=$E12),1,"")))</f>
        <v/>
      </c>
      <c r="BT12" s="38">
        <f>IF(OR(BT$2="",$D12=""),"",IF(AND(ISNUMBER($F12),BT$2&gt;=$F12,BT$2&lt;=IF(ISNUMBER($G12),$G12,$F12+$E12-$D12)),2,IF(AND(BT$2&gt;=$D12,BT$2&lt;=$E12),1,"")))</f>
        <v/>
      </c>
      <c r="BU12" s="38">
        <f>IF(OR(BU$2="",$D12=""),"",IF(AND(ISNUMBER($F12),BU$2&gt;=$F12,BU$2&lt;=IF(ISNUMBER($G12),$G12,$F12+$E12-$D12)),2,IF(AND(BU$2&gt;=$D12,BU$2&lt;=$E12),1,"")))</f>
        <v/>
      </c>
      <c r="BV12" s="38">
        <f>IF(OR(BV$2="",$D12=""),"",IF(AND(ISNUMBER($F12),BV$2&gt;=$F12,BV$2&lt;=IF(ISNUMBER($G12),$G12,$F12+$E12-$D12)),2,IF(AND(BV$2&gt;=$D12,BV$2&lt;=$E12),1,"")))</f>
        <v/>
      </c>
      <c r="BW12" s="38">
        <f>IF(OR(BW$2="",$D12=""),"",IF(AND(ISNUMBER($F12),BW$2&gt;=$F12,BW$2&lt;=IF(ISNUMBER($G12),$G12,$F12+$E12-$D12)),2,IF(AND(BW$2&gt;=$D12,BW$2&lt;=$E12),1,"")))</f>
        <v/>
      </c>
      <c r="BX12" s="38">
        <f>IF(OR(BX$2="",$D12=""),"",IF(AND(ISNUMBER($F12),BX$2&gt;=$F12,BX$2&lt;=IF(ISNUMBER($G12),$G12,$F12+$E12-$D12)),2,IF(AND(BX$2&gt;=$D12,BX$2&lt;=$E12),1,"")))</f>
        <v/>
      </c>
      <c r="BY12" s="38">
        <f>IF(OR(BY$2="",$D12=""),"",IF(AND(ISNUMBER($F12),BY$2&gt;=$F12,BY$2&lt;=IF(ISNUMBER($G12),$G12,$F12+$E12-$D12)),2,IF(AND(BY$2&gt;=$D12,BY$2&lt;=$E12),1,"")))</f>
        <v/>
      </c>
      <c r="BZ12" s="38">
        <f>IF(OR(BZ$2="",$D12=""),"",IF(AND(ISNUMBER($F12),BZ$2&gt;=$F12,BZ$2&lt;=IF(ISNUMBER($G12),$G12,$F12+$E12-$D12)),2,IF(AND(BZ$2&gt;=$D12,BZ$2&lt;=$E12),1,"")))</f>
        <v/>
      </c>
      <c r="CA12" s="38">
        <f>IF(OR(CA$2="",$D12=""),"",IF(AND(ISNUMBER($F12),CA$2&gt;=$F12,CA$2&lt;=IF(ISNUMBER($G12),$G12,$F12+$E12-$D12)),2,IF(AND(CA$2&gt;=$D12,CA$2&lt;=$E12),1,"")))</f>
        <v/>
      </c>
      <c r="CB12" s="38">
        <f>IF(OR(CB$2="",$D12=""),"",IF(AND(ISNUMBER($F12),CB$2&gt;=$F12,CB$2&lt;=IF(ISNUMBER($G12),$G12,$F12+$E12-$D12)),2,IF(AND(CB$2&gt;=$D12,CB$2&lt;=$E12),1,"")))</f>
        <v/>
      </c>
      <c r="CC12" s="38">
        <f>IF(OR(CC$2="",$D12=""),"",IF(AND(ISNUMBER($F12),CC$2&gt;=$F12,CC$2&lt;=IF(ISNUMBER($G12),$G12,$F12+$E12-$D12)),2,IF(AND(CC$2&gt;=$D12,CC$2&lt;=$E12),1,"")))</f>
        <v/>
      </c>
      <c r="CD12" s="38">
        <f>IF(OR(CD$2="",$D12=""),"",IF(AND(ISNUMBER($F12),CD$2&gt;=$F12,CD$2&lt;=IF(ISNUMBER($G12),$G12,$F12+$E12-$D12)),2,IF(AND(CD$2&gt;=$D12,CD$2&lt;=$E12),1,"")))</f>
        <v/>
      </c>
      <c r="CE12" s="38">
        <f>IF(OR(CE$2="",$D12=""),"",IF(AND(ISNUMBER($F12),CE$2&gt;=$F12,CE$2&lt;=IF(ISNUMBER($G12),$G12,$F12+$E12-$D12)),2,IF(AND(CE$2&gt;=$D12,CE$2&lt;=$E12),1,"")))</f>
        <v/>
      </c>
      <c r="CF12" s="38">
        <f>IF(OR(CF$2="",$D12=""),"",IF(AND(ISNUMBER($F12),CF$2&gt;=$F12,CF$2&lt;=IF(ISNUMBER($G12),$G12,$F12+$E12-$D12)),2,IF(AND(CF$2&gt;=$D12,CF$2&lt;=$E12),1,"")))</f>
        <v/>
      </c>
      <c r="CG12" s="38">
        <f>IF(OR(CG$2="",$D12=""),"",IF(AND(ISNUMBER($F12),CG$2&gt;=$F12,CG$2&lt;=IF(ISNUMBER($G12),$G12,$F12+$E12-$D12)),2,IF(AND(CG$2&gt;=$D12,CG$2&lt;=$E12),1,"")))</f>
        <v/>
      </c>
      <c r="CH12" s="38">
        <f>IF(OR(CH$2="",$D12=""),"",IF(AND(ISNUMBER($F12),CH$2&gt;=$F12,CH$2&lt;=IF(ISNUMBER($G12),$G12,$F12+$E12-$D12)),2,IF(AND(CH$2&gt;=$D12,CH$2&lt;=$E12),1,"")))</f>
        <v/>
      </c>
      <c r="CI12" s="38">
        <f>IF(OR(CI$2="",$D12=""),"",IF(AND(ISNUMBER($F12),CI$2&gt;=$F12,CI$2&lt;=IF(ISNUMBER($G12),$G12,$F12+$E12-$D12)),2,IF(AND(CI$2&gt;=$D12,CI$2&lt;=$E12),1,"")))</f>
        <v/>
      </c>
      <c r="CJ12" s="38">
        <f>IF(OR(CJ$2="",$D12=""),"",IF(AND(ISNUMBER($F12),CJ$2&gt;=$F12,CJ$2&lt;=IF(ISNUMBER($G12),$G12,$F12+$E12-$D12)),2,IF(AND(CJ$2&gt;=$D12,CJ$2&lt;=$E12),1,"")))</f>
        <v/>
      </c>
      <c r="CK12" s="38">
        <f>IF(OR(CK$2="",$D12=""),"",IF(AND(ISNUMBER($F12),CK$2&gt;=$F12,CK$2&lt;=IF(ISNUMBER($G12),$G12,$F12+$E12-$D12)),2,IF(AND(CK$2&gt;=$D12,CK$2&lt;=$E12),1,"")))</f>
        <v/>
      </c>
      <c r="CL12" s="38">
        <f>IF(OR(CL$2="",$D12=""),"",IF(AND(ISNUMBER($F12),CL$2&gt;=$F12,CL$2&lt;=IF(ISNUMBER($G12),$G12,$F12+$E12-$D12)),2,IF(AND(CL$2&gt;=$D12,CL$2&lt;=$E12),1,"")))</f>
        <v/>
      </c>
      <c r="CM12" s="38">
        <f>IF(OR(CM$2="",$D12=""),"",IF(AND(ISNUMBER($F12),CM$2&gt;=$F12,CM$2&lt;=IF(ISNUMBER($G12),$G12,$F12+$E12-$D12)),2,IF(AND(CM$2&gt;=$D12,CM$2&lt;=$E12),1,"")))</f>
        <v/>
      </c>
      <c r="CN12" s="38">
        <f>IF(OR(CN$2="",$D12=""),"",IF(AND(ISNUMBER($F12),CN$2&gt;=$F12,CN$2&lt;=IF(ISNUMBER($G12),$G12,$F12+$E12-$D12)),2,IF(AND(CN$2&gt;=$D12,CN$2&lt;=$E12),1,"")))</f>
        <v/>
      </c>
      <c r="CO12" s="38">
        <f>IF(OR(CO$2="",$D12=""),"",IF(AND(ISNUMBER($F12),CO$2&gt;=$F12,CO$2&lt;=IF(ISNUMBER($G12),$G12,$F12+$E12-$D12)),2,IF(AND(CO$2&gt;=$D12,CO$2&lt;=$E12),1,"")))</f>
        <v/>
      </c>
      <c r="CP12" s="38">
        <f>IF(OR(CP$2="",$D12=""),"",IF(AND(ISNUMBER($F12),CP$2&gt;=$F12,CP$2&lt;=IF(ISNUMBER($G12),$G12,$F12+$E12-$D12)),2,IF(AND(CP$2&gt;=$D12,CP$2&lt;=$E12),1,"")))</f>
        <v/>
      </c>
      <c r="CQ12" s="38">
        <f>IF(OR(CQ$2="",$D12=""),"",IF(AND(ISNUMBER($F12),CQ$2&gt;=$F12,CQ$2&lt;=IF(ISNUMBER($G12),$G12,$F12+$E12-$D12)),2,IF(AND(CQ$2&gt;=$D12,CQ$2&lt;=$E12),1,"")))</f>
        <v/>
      </c>
      <c r="CR12" s="38">
        <f>IF(OR(CR$2="",$D12=""),"",IF(AND(ISNUMBER($F12),CR$2&gt;=$F12,CR$2&lt;=IF(ISNUMBER($G12),$G12,$F12+$E12-$D12)),2,IF(AND(CR$2&gt;=$D12,CR$2&lt;=$E12),1,"")))</f>
        <v/>
      </c>
      <c r="CS12" s="38">
        <f>IF(OR(CS$2="",$D12=""),"",IF(AND(ISNUMBER($F12),CS$2&gt;=$F12,CS$2&lt;=IF(ISNUMBER($G12),$G12,$F12+$E12-$D12)),2,IF(AND(CS$2&gt;=$D12,CS$2&lt;=$E12),1,"")))</f>
        <v/>
      </c>
      <c r="CT12" s="38">
        <f>IF(OR(CT$2="",$D12=""),"",IF(AND(ISNUMBER($F12),CT$2&gt;=$F12,CT$2&lt;=IF(ISNUMBER($G12),$G12,$F12+$E12-$D12)),2,IF(AND(CT$2&gt;=$D12,CT$2&lt;=$E12),1,"")))</f>
        <v/>
      </c>
      <c r="CU12" s="38">
        <f>IF(OR(CU$2="",$D12=""),"",IF(AND(ISNUMBER($F12),CU$2&gt;=$F12,CU$2&lt;=IF(ISNUMBER($G12),$G12,$F12+$E12-$D12)),2,IF(AND(CU$2&gt;=$D12,CU$2&lt;=$E12),1,"")))</f>
        <v/>
      </c>
      <c r="CV12" s="38">
        <f>IF(OR(CV$2="",$D12=""),"",IF(AND(ISNUMBER($F12),CV$2&gt;=$F12,CV$2&lt;=IF(ISNUMBER($G12),$G12,$F12+$E12-$D12)),2,IF(AND(CV$2&gt;=$D12,CV$2&lt;=$E12),1,"")))</f>
        <v/>
      </c>
      <c r="CW12" s="38">
        <f>IF(OR(CW$2="",$D12=""),"",IF(AND(ISNUMBER($F12),CW$2&gt;=$F12,CW$2&lt;=IF(ISNUMBER($G12),$G12,$F12+$E12-$D12)),2,IF(AND(CW$2&gt;=$D12,CW$2&lt;=$E12),1,"")))</f>
        <v/>
      </c>
      <c r="CX12" s="38">
        <f>IF(OR(CX$2="",$D12=""),"",IF(AND(ISNUMBER($F12),CX$2&gt;=$F12,CX$2&lt;=IF(ISNUMBER($G12),$G12,$F12+$E12-$D12)),2,IF(AND(CX$2&gt;=$D12,CX$2&lt;=$E12),1,"")))</f>
        <v/>
      </c>
      <c r="CY12" s="38">
        <f>IF(OR(CY$2="",$D12=""),"",IF(AND(ISNUMBER($F12),CY$2&gt;=$F12,CY$2&lt;=IF(ISNUMBER($G12),$G12,$F12+$E12-$D12)),2,IF(AND(CY$2&gt;=$D12,CY$2&lt;=$E12),1,"")))</f>
        <v/>
      </c>
      <c r="CZ12" s="38">
        <f>IF(OR(CZ$2="",$D12=""),"",IF(AND(ISNUMBER($F12),CZ$2&gt;=$F12,CZ$2&lt;=IF(ISNUMBER($G12),$G12,$F12+$E12-$D12)),2,IF(AND(CZ$2&gt;=$D12,CZ$2&lt;=$E12),1,"")))</f>
        <v/>
      </c>
      <c r="DA12" s="38">
        <f>IF(OR(DA$2="",$D12=""),"",IF(AND(ISNUMBER($F12),DA$2&gt;=$F12,DA$2&lt;=IF(ISNUMBER($G12),$G12,$F12+$E12-$D12)),2,IF(AND(DA$2&gt;=$D12,DA$2&lt;=$E12),1,"")))</f>
        <v/>
      </c>
      <c r="DB12" s="38">
        <f>IF(OR(DB$2="",$D12=""),"",IF(AND(ISNUMBER($F12),DB$2&gt;=$F12,DB$2&lt;=IF(ISNUMBER($G12),$G12,$F12+$E12-$D12)),2,IF(AND(DB$2&gt;=$D12,DB$2&lt;=$E12),1,"")))</f>
        <v/>
      </c>
      <c r="DC12" s="38">
        <f>IF(OR(DC$2="",$D12=""),"",IF(AND(ISNUMBER($F12),DC$2&gt;=$F12,DC$2&lt;=IF(ISNUMBER($G12),$G12,$F12+$E12-$D12)),2,IF(AND(DC$2&gt;=$D12,DC$2&lt;=$E12),1,"")))</f>
        <v/>
      </c>
      <c r="DD12" s="38">
        <f>IF(OR(DD$2="",$D12=""),"",IF(AND(ISNUMBER($F12),DD$2&gt;=$F12,DD$2&lt;=IF(ISNUMBER($G12),$G12,$F12+$E12-$D12)),2,IF(AND(DD$2&gt;=$D12,DD$2&lt;=$E12),1,"")))</f>
        <v/>
      </c>
      <c r="DE12" s="38">
        <f>IF(OR(DE$2="",$D12=""),"",IF(AND(ISNUMBER($F12),DE$2&gt;=$F12,DE$2&lt;=IF(ISNUMBER($G12),$G12,$F12+$E12-$D12)),2,IF(AND(DE$2&gt;=$D12,DE$2&lt;=$E12),1,"")))</f>
        <v/>
      </c>
      <c r="DF12" s="38">
        <f>IF(OR(DF$2="",$D12=""),"",IF(AND(ISNUMBER($F12),DF$2&gt;=$F12,DF$2&lt;=IF(ISNUMBER($G12),$G12,$F12+$E12-$D12)),2,IF(AND(DF$2&gt;=$D12,DF$2&lt;=$E12),1,"")))</f>
        <v/>
      </c>
      <c r="DG12" s="38">
        <f>IF(OR(DG$2="",$D12=""),"",IF(AND(ISNUMBER($F12),DG$2&gt;=$F12,DG$2&lt;=IF(ISNUMBER($G12),$G12,$F12+$E12-$D12)),2,IF(AND(DG$2&gt;=$D12,DG$2&lt;=$E12),1,"")))</f>
        <v/>
      </c>
      <c r="DH12" s="38">
        <f>IF(OR(DH$2="",$D12=""),"",IF(AND(ISNUMBER($F12),DH$2&gt;=$F12,DH$2&lt;=IF(ISNUMBER($G12),$G12,$F12+$E12-$D12)),2,IF(AND(DH$2&gt;=$D12,DH$2&lt;=$E12),1,"")))</f>
        <v/>
      </c>
      <c r="DI12" s="38">
        <f>IF(OR(DI$2="",$D12=""),"",IF(AND(ISNUMBER($F12),DI$2&gt;=$F12,DI$2&lt;=IF(ISNUMBER($G12),$G12,$F12+$E12-$D12)),2,IF(AND(DI$2&gt;=$D12,DI$2&lt;=$E12),1,"")))</f>
        <v/>
      </c>
      <c r="DJ12" s="38">
        <f>IF(OR(DJ$2="",$D12=""),"",IF(AND(ISNUMBER($F12),DJ$2&gt;=$F12,DJ$2&lt;=IF(ISNUMBER($G12),$G12,$F12+$E12-$D12)),2,IF(AND(DJ$2&gt;=$D12,DJ$2&lt;=$E12),1,"")))</f>
        <v/>
      </c>
      <c r="DK12" s="38">
        <f>IF(OR(DK$2="",$D12=""),"",IF(AND(ISNUMBER($F12),DK$2&gt;=$F12,DK$2&lt;=IF(ISNUMBER($G12),$G12,$F12+$E12-$D12)),2,IF(AND(DK$2&gt;=$D12,DK$2&lt;=$E12),1,"")))</f>
        <v/>
      </c>
      <c r="DL12" s="38">
        <f>IF(OR(DL$2="",$D12=""),"",IF(AND(ISNUMBER($F12),DL$2&gt;=$F12,DL$2&lt;=IF(ISNUMBER($G12),$G12,$F12+$E12-$D12)),2,IF(AND(DL$2&gt;=$D12,DL$2&lt;=$E12),1,"")))</f>
        <v/>
      </c>
      <c r="DM12" s="38">
        <f>IF(OR(DM$2="",$D12=""),"",IF(AND(ISNUMBER($F12),DM$2&gt;=$F12,DM$2&lt;=IF(ISNUMBER($G12),$G12,$F12+$E12-$D12)),2,IF(AND(DM$2&gt;=$D12,DM$2&lt;=$E12),1,"")))</f>
        <v/>
      </c>
      <c r="DN12" s="38">
        <f>IF(OR(DN$2="",$D12=""),"",IF(AND(ISNUMBER($F12),DN$2&gt;=$F12,DN$2&lt;=IF(ISNUMBER($G12),$G12,$F12+$E12-$D12)),2,IF(AND(DN$2&gt;=$D12,DN$2&lt;=$E12),1,"")))</f>
        <v/>
      </c>
      <c r="DO12" s="38">
        <f>IF(OR(DO$2="",$D12=""),"",IF(AND(ISNUMBER($F12),DO$2&gt;=$F12,DO$2&lt;=IF(ISNUMBER($G12),$G12,$F12+$E12-$D12)),2,IF(AND(DO$2&gt;=$D12,DO$2&lt;=$E12),1,"")))</f>
        <v/>
      </c>
      <c r="DP12" s="38">
        <f>IF(OR(DP$2="",$D12=""),"",IF(AND(ISNUMBER($F12),DP$2&gt;=$F12,DP$2&lt;=IF(ISNUMBER($G12),$G12,$F12+$E12-$D12)),2,IF(AND(DP$2&gt;=$D12,DP$2&lt;=$E12),1,"")))</f>
        <v/>
      </c>
      <c r="DQ12" s="38">
        <f>IF(OR(DQ$2="",$D12=""),"",IF(AND(ISNUMBER($F12),DQ$2&gt;=$F12,DQ$2&lt;=IF(ISNUMBER($G12),$G12,$F12+$E12-$D12)),2,IF(AND(DQ$2&gt;=$D12,DQ$2&lt;=$E12),1,"")))</f>
        <v/>
      </c>
      <c r="DR12" s="38">
        <f>IF(OR(DR$2="",$D12=""),"",IF(AND(ISNUMBER($F12),DR$2&gt;=$F12,DR$2&lt;=IF(ISNUMBER($G12),$G12,$F12+$E12-$D12)),2,IF(AND(DR$2&gt;=$D12,DR$2&lt;=$E12),1,"")))</f>
        <v/>
      </c>
      <c r="DS12" s="38">
        <f>IF(OR(DS$2="",$D12=""),"",IF(AND(ISNUMBER($F12),DS$2&gt;=$F12,DS$2&lt;=IF(ISNUMBER($G12),$G12,$F12+$E12-$D12)),2,IF(AND(DS$2&gt;=$D12,DS$2&lt;=$E12),1,"")))</f>
        <v/>
      </c>
      <c r="DT12" s="38">
        <f>IF(OR(DT$2="",$D12=""),"",IF(AND(ISNUMBER($F12),DT$2&gt;=$F12,DT$2&lt;=IF(ISNUMBER($G12),$G12,$F12+$E12-$D12)),2,IF(AND(DT$2&gt;=$D12,DT$2&lt;=$E12),1,"")))</f>
        <v/>
      </c>
      <c r="DU12" s="38">
        <f>IF(OR(DU$2="",$D12=""),"",IF(AND(ISNUMBER($F12),DU$2&gt;=$F12,DU$2&lt;=IF(ISNUMBER($G12),$G12,$F12+$E12-$D12)),2,IF(AND(DU$2&gt;=$D12,DU$2&lt;=$E12),1,"")))</f>
        <v/>
      </c>
      <c r="DV12" s="38">
        <f>IF(OR(DV$2="",$D12=""),"",IF(AND(ISNUMBER($F12),DV$2&gt;=$F12,DV$2&lt;=IF(ISNUMBER($G12),$G12,$F12+$E12-$D12)),2,IF(AND(DV$2&gt;=$D12,DV$2&lt;=$E12),1,"")))</f>
        <v/>
      </c>
      <c r="DW12" s="38">
        <f>IF(OR(DW$2="",$D12=""),"",IF(AND(ISNUMBER($F12),DW$2&gt;=$F12,DW$2&lt;=IF(ISNUMBER($G12),$G12,$F12+$E12-$D12)),2,IF(AND(DW$2&gt;=$D12,DW$2&lt;=$E12),1,"")))</f>
        <v/>
      </c>
      <c r="DX12" s="38">
        <f>IF(OR(DX$2="",$D12=""),"",IF(AND(ISNUMBER($F12),DX$2&gt;=$F12,DX$2&lt;=IF(ISNUMBER($G12),$G12,$F12+$E12-$D12)),2,IF(AND(DX$2&gt;=$D12,DX$2&lt;=$E12),1,"")))</f>
        <v/>
      </c>
      <c r="DY12" s="38">
        <f>IF(OR(DY$2="",$D12=""),"",IF(AND(ISNUMBER($F12),DY$2&gt;=$F12,DY$2&lt;=IF(ISNUMBER($G12),$G12,$F12+$E12-$D12)),2,IF(AND(DY$2&gt;=$D12,DY$2&lt;=$E12),1,"")))</f>
        <v/>
      </c>
      <c r="DZ12" s="38">
        <f>IF(OR(DZ$2="",$D12=""),"",IF(AND(ISNUMBER($F12),DZ$2&gt;=$F12,DZ$2&lt;=IF(ISNUMBER($G12),$G12,$F12+$E12-$D12)),2,IF(AND(DZ$2&gt;=$D12,DZ$2&lt;=$E12),1,"")))</f>
        <v/>
      </c>
      <c r="EA12" s="38">
        <f>IF(OR(EA$2="",$D12=""),"",IF(AND(ISNUMBER($F12),EA$2&gt;=$F12,EA$2&lt;=IF(ISNUMBER($G12),$G12,$F12+$E12-$D12)),2,IF(AND(EA$2&gt;=$D12,EA$2&lt;=$E12),1,"")))</f>
        <v/>
      </c>
      <c r="EB12" s="38">
        <f>IF(OR(EB$2="",$D12=""),"",IF(AND(ISNUMBER($F12),EB$2&gt;=$F12,EB$2&lt;=IF(ISNUMBER($G12),$G12,$F12+$E12-$D12)),2,IF(AND(EB$2&gt;=$D12,EB$2&lt;=$E12),1,"")))</f>
        <v/>
      </c>
      <c r="EC12" s="38">
        <f>IF(OR(EC$2="",$D12=""),"",IF(AND(ISNUMBER($F12),EC$2&gt;=$F12,EC$2&lt;=IF(ISNUMBER($G12),$G12,$F12+$E12-$D12)),2,IF(AND(EC$2&gt;=$D12,EC$2&lt;=$E12),1,"")))</f>
        <v/>
      </c>
      <c r="ED12" s="38">
        <f>IF(OR(ED$2="",$D12=""),"",IF(AND(ISNUMBER($F12),ED$2&gt;=$F12,ED$2&lt;=IF(ISNUMBER($G12),$G12,$F12+$E12-$D12)),2,IF(AND(ED$2&gt;=$D12,ED$2&lt;=$E12),1,"")))</f>
        <v/>
      </c>
      <c r="EE12" s="38">
        <f>IF(OR(EE$2="",$D12=""),"",IF(AND(ISNUMBER($F12),EE$2&gt;=$F12,EE$2&lt;=IF(ISNUMBER($G12),$G12,$F12+$E12-$D12)),2,IF(AND(EE$2&gt;=$D12,EE$2&lt;=$E12),1,"")))</f>
        <v/>
      </c>
      <c r="EF12" s="38">
        <f>IF(OR(EF$2="",$D12=""),"",IF(AND(ISNUMBER($F12),EF$2&gt;=$F12,EF$2&lt;=IF(ISNUMBER($G12),$G12,$F12+$E12-$D12)),2,IF(AND(EF$2&gt;=$D12,EF$2&lt;=$E12),1,"")))</f>
        <v/>
      </c>
      <c r="EG12" s="38">
        <f>IF(OR(EG$2="",$D12=""),"",IF(AND(ISNUMBER($F12),EG$2&gt;=$F12,EG$2&lt;=IF(ISNUMBER($G12),$G12,$F12+$E12-$D12)),2,IF(AND(EG$2&gt;=$D12,EG$2&lt;=$E12),1,"")))</f>
        <v/>
      </c>
      <c r="EH12" s="38">
        <f>IF(OR(EH$2="",$D12=""),"",IF(AND(ISNUMBER($F12),EH$2&gt;=$F12,EH$2&lt;=IF(ISNUMBER($G12),$G12,$F12+$E12-$D12)),2,IF(AND(EH$2&gt;=$D12,EH$2&lt;=$E12),1,"")))</f>
        <v/>
      </c>
      <c r="EI12" s="38">
        <f>IF(OR(EI$2="",$D12=""),"",IF(AND(ISNUMBER($F12),EI$2&gt;=$F12,EI$2&lt;=IF(ISNUMBER($G12),$G12,$F12+$E12-$D12)),2,IF(AND(EI$2&gt;=$D12,EI$2&lt;=$E12),1,"")))</f>
        <v/>
      </c>
      <c r="EJ12" s="38">
        <f>IF(OR(EJ$2="",$D12=""),"",IF(AND(ISNUMBER($F12),EJ$2&gt;=$F12,EJ$2&lt;=IF(ISNUMBER($G12),$G12,$F12+$E12-$D12)),2,IF(AND(EJ$2&gt;=$D12,EJ$2&lt;=$E12),1,"")))</f>
        <v/>
      </c>
      <c r="EK12" s="38">
        <f>IF(OR(EK$2="",$D12=""),"",IF(AND(ISNUMBER($F12),EK$2&gt;=$F12,EK$2&lt;=IF(ISNUMBER($G12),$G12,$F12+$E12-$D12)),2,IF(AND(EK$2&gt;=$D12,EK$2&lt;=$E12),1,"")))</f>
        <v/>
      </c>
      <c r="EL12" s="38">
        <f>IF(OR(EL$2="",$D12=""),"",IF(AND(ISNUMBER($F12),EL$2&gt;=$F12,EL$2&lt;=IF(ISNUMBER($G12),$G12,$F12+$E12-$D12)),2,IF(AND(EL$2&gt;=$D12,EL$2&lt;=$E12),1,"")))</f>
        <v/>
      </c>
      <c r="EM12" s="38">
        <f>IF(OR(EM$2="",$D12=""),"",IF(AND(ISNUMBER($F12),EM$2&gt;=$F12,EM$2&lt;=IF(ISNUMBER($G12),$G12,$F12+$E12-$D12)),2,IF(AND(EM$2&gt;=$D12,EM$2&lt;=$E12),1,"")))</f>
        <v/>
      </c>
      <c r="EN12" s="38">
        <f>IF(OR(EN$2="",$D12=""),"",IF(AND(ISNUMBER($F12),EN$2&gt;=$F12,EN$2&lt;=IF(ISNUMBER($G12),$G12,$F12+$E12-$D12)),2,IF(AND(EN$2&gt;=$D12,EN$2&lt;=$E12),1,"")))</f>
        <v/>
      </c>
      <c r="EO12" s="38">
        <f>IF(OR(EO$2="",$D12=""),"",IF(AND(ISNUMBER($F12),EO$2&gt;=$F12,EO$2&lt;=IF(ISNUMBER($G12),$G12,$F12+$E12-$D12)),2,IF(AND(EO$2&gt;=$D12,EO$2&lt;=$E12),1,"")))</f>
        <v/>
      </c>
      <c r="EP12" s="38">
        <f>IF(OR(EP$2="",$D12=""),"",IF(AND(ISNUMBER($F12),EP$2&gt;=$F12,EP$2&lt;=IF(ISNUMBER($G12),$G12,$F12+$E12-$D12)),2,IF(AND(EP$2&gt;=$D12,EP$2&lt;=$E12),1,"")))</f>
        <v/>
      </c>
      <c r="EQ12" s="38">
        <f>IF(OR(EQ$2="",$D12=""),"",IF(AND(ISNUMBER($F12),EQ$2&gt;=$F12,EQ$2&lt;=IF(ISNUMBER($G12),$G12,$F12+$E12-$D12)),2,IF(AND(EQ$2&gt;=$D12,EQ$2&lt;=$E12),1,"")))</f>
        <v/>
      </c>
      <c r="ER12" s="38">
        <f>IF(OR(ER$2="",$D12=""),"",IF(AND(ISNUMBER($F12),ER$2&gt;=$F12,ER$2&lt;=IF(ISNUMBER($G12),$G12,$F12+$E12-$D12)),2,IF(AND(ER$2&gt;=$D12,ER$2&lt;=$E12),1,"")))</f>
        <v/>
      </c>
      <c r="ES12" s="38">
        <f>IF(OR(ES$2="",$D12=""),"",IF(AND(ISNUMBER($F12),ES$2&gt;=$F12,ES$2&lt;=IF(ISNUMBER($G12),$G12,$F12+$E12-$D12)),2,IF(AND(ES$2&gt;=$D12,ES$2&lt;=$E12),1,"")))</f>
        <v/>
      </c>
      <c r="ET12" s="38">
        <f>IF(OR(ET$2="",$D12=""),"",IF(AND(ISNUMBER($F12),ET$2&gt;=$F12,ET$2&lt;=IF(ISNUMBER($G12),$G12,$F12+$E12-$D12)),2,IF(AND(ET$2&gt;=$D12,ET$2&lt;=$E12),1,"")))</f>
        <v/>
      </c>
      <c r="EU12" s="38">
        <f>IF(OR(EU$2="",$D12=""),"",IF(AND(ISNUMBER($F12),EU$2&gt;=$F12,EU$2&lt;=IF(ISNUMBER($G12),$G12,$F12+$E12-$D12)),2,IF(AND(EU$2&gt;=$D12,EU$2&lt;=$E12),1,"")))</f>
        <v/>
      </c>
      <c r="EV12" s="38">
        <f>IF(OR(EV$2="",$D12=""),"",IF(AND(ISNUMBER($F12),EV$2&gt;=$F12,EV$2&lt;=IF(ISNUMBER($G12),$G12,$F12+$E12-$D12)),2,IF(AND(EV$2&gt;=$D12,EV$2&lt;=$E12),1,"")))</f>
        <v/>
      </c>
      <c r="EW12" s="38">
        <f>IF(OR(EW$2="",$D12=""),"",IF(AND(ISNUMBER($F12),EW$2&gt;=$F12,EW$2&lt;=IF(ISNUMBER($G12),$G12,$F12+$E12-$D12)),2,IF(AND(EW$2&gt;=$D12,EW$2&lt;=$E12),1,"")))</f>
        <v/>
      </c>
      <c r="EX12" s="38">
        <f>IF(OR(EX$2="",$D12=""),"",IF(AND(ISNUMBER($F12),EX$2&gt;=$F12,EX$2&lt;=IF(ISNUMBER($G12),$G12,$F12+$E12-$D12)),2,IF(AND(EX$2&gt;=$D12,EX$2&lt;=$E12),1,"")))</f>
        <v/>
      </c>
      <c r="EY12" s="38">
        <f>IF(OR(EY$2="",$D12=""),"",IF(AND(ISNUMBER($F12),EY$2&gt;=$F12,EY$2&lt;=IF(ISNUMBER($G12),$G12,$F12+$E12-$D12)),2,IF(AND(EY$2&gt;=$D12,EY$2&lt;=$E12),1,"")))</f>
        <v/>
      </c>
      <c r="EZ12" s="38">
        <f>IF(OR(EZ$2="",$D12=""),"",IF(AND(ISNUMBER($F12),EZ$2&gt;=$F12,EZ$2&lt;=IF(ISNUMBER($G12),$G12,$F12+$E12-$D12)),2,IF(AND(EZ$2&gt;=$D12,EZ$2&lt;=$E12),1,"")))</f>
        <v/>
      </c>
      <c r="FA12" s="38">
        <f>IF(OR(FA$2="",$D12=""),"",IF(AND(ISNUMBER($F12),FA$2&gt;=$F12,FA$2&lt;=IF(ISNUMBER($G12),$G12,$F12+$E12-$D12)),2,IF(AND(FA$2&gt;=$D12,FA$2&lt;=$E12),1,"")))</f>
        <v/>
      </c>
      <c r="FB12" s="38">
        <f>IF(OR(FB$2="",$D12=""),"",IF(AND(ISNUMBER($F12),FB$2&gt;=$F12,FB$2&lt;=IF(ISNUMBER($G12),$G12,$F12+$E12-$D12)),2,IF(AND(FB$2&gt;=$D12,FB$2&lt;=$E12),1,"")))</f>
        <v/>
      </c>
      <c r="FC12" s="38">
        <f>IF(OR(FC$2="",$D12=""),"",IF(AND(ISNUMBER($F12),FC$2&gt;=$F12,FC$2&lt;=IF(ISNUMBER($G12),$G12,$F12+$E12-$D12)),2,IF(AND(FC$2&gt;=$D12,FC$2&lt;=$E12),1,"")))</f>
        <v/>
      </c>
      <c r="FD12" s="38">
        <f>IF(OR(FD$2="",$D12=""),"",IF(AND(ISNUMBER($F12),FD$2&gt;=$F12,FD$2&lt;=IF(ISNUMBER($G12),$G12,$F12+$E12-$D12)),2,IF(AND(FD$2&gt;=$D12,FD$2&lt;=$E12),1,"")))</f>
        <v/>
      </c>
      <c r="FE12" s="38">
        <f>IF(OR(FE$2="",$D12=""),"",IF(AND(ISNUMBER($F12),FE$2&gt;=$F12,FE$2&lt;=IF(ISNUMBER($G12),$G12,$F12+$E12-$D12)),2,IF(AND(FE$2&gt;=$D12,FE$2&lt;=$E12),1,"")))</f>
        <v/>
      </c>
      <c r="FF12" s="38">
        <f>IF(OR(FF$2="",$D12=""),"",IF(AND(ISNUMBER($F12),FF$2&gt;=$F12,FF$2&lt;=IF(ISNUMBER($G12),$G12,$F12+$E12-$D12)),2,IF(AND(FF$2&gt;=$D12,FF$2&lt;=$E12),1,"")))</f>
        <v/>
      </c>
      <c r="FG12" s="38">
        <f>IF(OR(FG$2="",$D12=""),"",IF(AND(ISNUMBER($F12),FG$2&gt;=$F12,FG$2&lt;=IF(ISNUMBER($G12),$G12,$F12+$E12-$D12)),2,IF(AND(FG$2&gt;=$D12,FG$2&lt;=$E12),1,"")))</f>
        <v/>
      </c>
      <c r="FH12" s="38">
        <f>IF(OR(FH$2="",$D12=""),"",IF(AND(ISNUMBER($F12),FH$2&gt;=$F12,FH$2&lt;=IF(ISNUMBER($G12),$G12,$F12+$E12-$D12)),2,IF(AND(FH$2&gt;=$D12,FH$2&lt;=$E12),1,"")))</f>
        <v/>
      </c>
      <c r="FI12" s="38">
        <f>IF(OR(FI$2="",$D12=""),"",IF(AND(ISNUMBER($F12),FI$2&gt;=$F12,FI$2&lt;=IF(ISNUMBER($G12),$G12,$F12+$E12-$D12)),2,IF(AND(FI$2&gt;=$D12,FI$2&lt;=$E12),1,"")))</f>
        <v/>
      </c>
      <c r="FJ12" s="38">
        <f>IF(OR(FJ$2="",$D12=""),"",IF(AND(ISNUMBER($F12),FJ$2&gt;=$F12,FJ$2&lt;=IF(ISNUMBER($G12),$G12,$F12+$E12-$D12)),2,IF(AND(FJ$2&gt;=$D12,FJ$2&lt;=$E12),1,"")))</f>
        <v/>
      </c>
      <c r="FK12" s="38">
        <f>IF(OR(FK$2="",$D12=""),"",IF(AND(ISNUMBER($F12),FK$2&gt;=$F12,FK$2&lt;=IF(ISNUMBER($G12),$G12,$F12+$E12-$D12)),2,IF(AND(FK$2&gt;=$D12,FK$2&lt;=$E12),1,"")))</f>
        <v/>
      </c>
      <c r="FL12" s="38">
        <f>IF(OR(FL$2="",$D12=""),"",IF(AND(ISNUMBER($F12),FL$2&gt;=$F12,FL$2&lt;=IF(ISNUMBER($G12),$G12,$F12+$E12-$D12)),2,IF(AND(FL$2&gt;=$D12,FL$2&lt;=$E12),1,"")))</f>
        <v/>
      </c>
      <c r="FM12" s="38">
        <f>IF(OR(FM$2="",$D12=""),"",IF(AND(ISNUMBER($F12),FM$2&gt;=$F12,FM$2&lt;=IF(ISNUMBER($G12),$G12,$F12+$E12-$D12)),2,IF(AND(FM$2&gt;=$D12,FM$2&lt;=$E12),1,"")))</f>
        <v/>
      </c>
      <c r="FN12" s="38">
        <f>IF(OR(FN$2="",$D12=""),"",IF(AND(ISNUMBER($F12),FN$2&gt;=$F12,FN$2&lt;=IF(ISNUMBER($G12),$G12,$F12+$E12-$D12)),2,IF(AND(FN$2&gt;=$D12,FN$2&lt;=$E12),1,"")))</f>
        <v/>
      </c>
      <c r="FO12" s="38">
        <f>IF(OR(FO$2="",$D12=""),"",IF(AND(ISNUMBER($F12),FO$2&gt;=$F12,FO$2&lt;=IF(ISNUMBER($G12),$G12,$F12+$E12-$D12)),2,IF(AND(FO$2&gt;=$D12,FO$2&lt;=$E12),1,"")))</f>
        <v/>
      </c>
      <c r="FP12" s="38">
        <f>IF(OR(FP$2="",$D12=""),"",IF(AND(ISNUMBER($F12),FP$2&gt;=$F12,FP$2&lt;=IF(ISNUMBER($G12),$G12,$F12+$E12-$D12)),2,IF(AND(FP$2&gt;=$D12,FP$2&lt;=$E12),1,"")))</f>
        <v/>
      </c>
      <c r="FQ12" s="38">
        <f>IF(OR(FQ$2="",$D12=""),"",IF(AND(ISNUMBER($F12),FQ$2&gt;=$F12,FQ$2&lt;=IF(ISNUMBER($G12),$G12,$F12+$E12-$D12)),2,IF(AND(FQ$2&gt;=$D12,FQ$2&lt;=$E12),1,"")))</f>
        <v/>
      </c>
      <c r="FR12" s="38">
        <f>IF(OR(FR$2="",$D12=""),"",IF(AND(ISNUMBER($F12),FR$2&gt;=$F12,FR$2&lt;=IF(ISNUMBER($G12),$G12,$F12+$E12-$D12)),2,IF(AND(FR$2&gt;=$D12,FR$2&lt;=$E12),1,"")))</f>
        <v/>
      </c>
      <c r="FS12" s="38">
        <f>IF(OR(FS$2="",$D12=""),"",IF(AND(ISNUMBER($F12),FS$2&gt;=$F12,FS$2&lt;=IF(ISNUMBER($G12),$G12,$F12+$E12-$D12)),2,IF(AND(FS$2&gt;=$D12,FS$2&lt;=$E12),1,"")))</f>
        <v/>
      </c>
      <c r="FT12" s="38">
        <f>IF(OR(FT$2="",$D12=""),"",IF(AND(ISNUMBER($F12),FT$2&gt;=$F12,FT$2&lt;=IF(ISNUMBER($G12),$G12,$F12+$E12-$D12)),2,IF(AND(FT$2&gt;=$D12,FT$2&lt;=$E12),1,"")))</f>
        <v/>
      </c>
      <c r="FU12" s="38">
        <f>IF(OR(FU$2="",$D12=""),"",IF(AND(ISNUMBER($F12),FU$2&gt;=$F12,FU$2&lt;=IF(ISNUMBER($G12),$G12,$F12+$E12-$D12)),2,IF(AND(FU$2&gt;=$D12,FU$2&lt;=$E12),1,"")))</f>
        <v/>
      </c>
      <c r="FV12" s="38">
        <f>IF(OR(FV$2="",$D12=""),"",IF(AND(ISNUMBER($F12),FV$2&gt;=$F12,FV$2&lt;=IF(ISNUMBER($G12),$G12,$F12+$E12-$D12)),2,IF(AND(FV$2&gt;=$D12,FV$2&lt;=$E12),1,"")))</f>
        <v/>
      </c>
      <c r="FW12" s="38">
        <f>IF(OR(FW$2="",$D12=""),"",IF(AND(ISNUMBER($F12),FW$2&gt;=$F12,FW$2&lt;=IF(ISNUMBER($G12),$G12,$F12+$E12-$D12)),2,IF(AND(FW$2&gt;=$D12,FW$2&lt;=$E12),1,"")))</f>
        <v/>
      </c>
      <c r="FX12" s="38">
        <f>IF(OR(FX$2="",$D12=""),"",IF(AND(ISNUMBER($F12),FX$2&gt;=$F12,FX$2&lt;=IF(ISNUMBER($G12),$G12,$F12+$E12-$D12)),2,IF(AND(FX$2&gt;=$D12,FX$2&lt;=$E12),1,"")))</f>
        <v/>
      </c>
      <c r="FY12" s="38">
        <f>IF(OR(FY$2="",$D12=""),"",IF(AND(ISNUMBER($F12),FY$2&gt;=$F12,FY$2&lt;=IF(ISNUMBER($G12),$G12,$F12+$E12-$D12)),2,IF(AND(FY$2&gt;=$D12,FY$2&lt;=$E12),1,"")))</f>
        <v/>
      </c>
      <c r="FZ12" s="38">
        <f>IF(OR(FZ$2="",$D12=""),"",IF(AND(ISNUMBER($F12),FZ$2&gt;=$F12,FZ$2&lt;=IF(ISNUMBER($G12),$G12,$F12+$E12-$D12)),2,IF(AND(FZ$2&gt;=$D12,FZ$2&lt;=$E12),1,"")))</f>
        <v/>
      </c>
      <c r="GA12" s="38">
        <f>IF(OR(GA$2="",$D12=""),"",IF(AND(ISNUMBER($F12),GA$2&gt;=$F12,GA$2&lt;=IF(ISNUMBER($G12),$G12,$F12+$E12-$D12)),2,IF(AND(GA$2&gt;=$D12,GA$2&lt;=$E12),1,"")))</f>
        <v/>
      </c>
      <c r="GB12" s="38">
        <f>IF(OR(GB$2="",$D12=""),"",IF(AND(ISNUMBER($F12),GB$2&gt;=$F12,GB$2&lt;=IF(ISNUMBER($G12),$G12,$F12+$E12-$D12)),2,IF(AND(GB$2&gt;=$D12,GB$2&lt;=$E12),1,"")))</f>
        <v/>
      </c>
      <c r="GC12" s="38">
        <f>IF(OR(GC$2="",$D12=""),"",IF(AND(ISNUMBER($F12),GC$2&gt;=$F12,GC$2&lt;=IF(ISNUMBER($G12),$G12,$F12+$E12-$D12)),2,IF(AND(GC$2&gt;=$D12,GC$2&lt;=$E12),1,"")))</f>
        <v/>
      </c>
      <c r="GD12" s="38">
        <f>IF(OR(GD$2="",$D12=""),"",IF(AND(ISNUMBER($F12),GD$2&gt;=$F12,GD$2&lt;=IF(ISNUMBER($G12),$G12,$F12+$E12-$D12)),2,IF(AND(GD$2&gt;=$D12,GD$2&lt;=$E12),1,"")))</f>
        <v/>
      </c>
      <c r="GE12" s="38">
        <f>IF(OR(GE$2="",$D12=""),"",IF(AND(ISNUMBER($F12),GE$2&gt;=$F12,GE$2&lt;=IF(ISNUMBER($G12),$G12,$F12+$E12-$D12)),2,IF(AND(GE$2&gt;=$D12,GE$2&lt;=$E12),1,"")))</f>
        <v/>
      </c>
    </row>
    <row r="13">
      <c r="A13" s="36" t="inlineStr">
        <is>
          <t>Mid-season drainage (MD; start = surface water disappears)</t>
        </is>
      </c>
      <c r="B13" s="12" t="inlineStr">
        <is>
          <t>এমডি</t>
        </is>
      </c>
      <c r="C13" s="12" t="inlineStr">
        <is>
          <t>3F4D+MD</t>
        </is>
      </c>
      <c r="D13" s="7">
        <f>IF(Day_0="","",Day_0+cfg_3)</f>
        <v/>
      </c>
      <c r="E13" s="7">
        <f>IF(Day_0="","",Day_0+cfg_3+cfg_4)</f>
        <v/>
      </c>
      <c r="F13" s="37" t="n"/>
      <c r="G13" s="37" t="n"/>
      <c r="H13" s="6">
        <f>IF(D13="","no plan",IF(F13&lt;&gt;"",IF(F13-D13&gt;=2,"LATE","OK"),IF(TODAY()&gt;D13+2,"OVERDUE","upcoming")))</f>
        <v/>
      </c>
      <c r="I13" s="6">
        <f>IF(AND(D13&lt;&gt;"",F13&lt;&gt;""),F13-D13,"")</f>
        <v/>
      </c>
      <c r="J13" s="7">
        <f>IF(F13&lt;&gt;"",F13,D13)</f>
        <v/>
      </c>
      <c r="K13" s="7">
        <f>IF(G13&lt;&gt;"",G13,IF(AND(F13&lt;&gt;"",E13=D13),F13,E13))</f>
        <v/>
      </c>
      <c r="L13" s="6">
        <f>IF(AND(D13&lt;&gt;"",F13="",D13&gt;=TODAY()),D13+ROW()/1000,"")</f>
        <v/>
      </c>
      <c r="M13" s="38">
        <f>IF(OR(M$2="",$D13=""),"",IF(AND(ISNUMBER($F13),M$2&gt;=$F13,M$2&lt;=IF(ISNUMBER($G13),$G13,$F13+$E13-$D13)),2,IF(AND(M$2&gt;=$D13,M$2&lt;=$E13),1,"")))</f>
        <v/>
      </c>
      <c r="N13" s="38">
        <f>IF(OR(N$2="",$D13=""),"",IF(AND(ISNUMBER($F13),N$2&gt;=$F13,N$2&lt;=IF(ISNUMBER($G13),$G13,$F13+$E13-$D13)),2,IF(AND(N$2&gt;=$D13,N$2&lt;=$E13),1,"")))</f>
        <v/>
      </c>
      <c r="O13" s="38">
        <f>IF(OR(O$2="",$D13=""),"",IF(AND(ISNUMBER($F13),O$2&gt;=$F13,O$2&lt;=IF(ISNUMBER($G13),$G13,$F13+$E13-$D13)),2,IF(AND(O$2&gt;=$D13,O$2&lt;=$E13),1,"")))</f>
        <v/>
      </c>
      <c r="P13" s="38">
        <f>IF(OR(P$2="",$D13=""),"",IF(AND(ISNUMBER($F13),P$2&gt;=$F13,P$2&lt;=IF(ISNUMBER($G13),$G13,$F13+$E13-$D13)),2,IF(AND(P$2&gt;=$D13,P$2&lt;=$E13),1,"")))</f>
        <v/>
      </c>
      <c r="Q13" s="38">
        <f>IF(OR(Q$2="",$D13=""),"",IF(AND(ISNUMBER($F13),Q$2&gt;=$F13,Q$2&lt;=IF(ISNUMBER($G13),$G13,$F13+$E13-$D13)),2,IF(AND(Q$2&gt;=$D13,Q$2&lt;=$E13),1,"")))</f>
        <v/>
      </c>
      <c r="R13" s="38">
        <f>IF(OR(R$2="",$D13=""),"",IF(AND(ISNUMBER($F13),R$2&gt;=$F13,R$2&lt;=IF(ISNUMBER($G13),$G13,$F13+$E13-$D13)),2,IF(AND(R$2&gt;=$D13,R$2&lt;=$E13),1,"")))</f>
        <v/>
      </c>
      <c r="S13" s="38">
        <f>IF(OR(S$2="",$D13=""),"",IF(AND(ISNUMBER($F13),S$2&gt;=$F13,S$2&lt;=IF(ISNUMBER($G13),$G13,$F13+$E13-$D13)),2,IF(AND(S$2&gt;=$D13,S$2&lt;=$E13),1,"")))</f>
        <v/>
      </c>
      <c r="T13" s="38">
        <f>IF(OR(T$2="",$D13=""),"",IF(AND(ISNUMBER($F13),T$2&gt;=$F13,T$2&lt;=IF(ISNUMBER($G13),$G13,$F13+$E13-$D13)),2,IF(AND(T$2&gt;=$D13,T$2&lt;=$E13),1,"")))</f>
        <v/>
      </c>
      <c r="U13" s="38">
        <f>IF(OR(U$2="",$D13=""),"",IF(AND(ISNUMBER($F13),U$2&gt;=$F13,U$2&lt;=IF(ISNUMBER($G13),$G13,$F13+$E13-$D13)),2,IF(AND(U$2&gt;=$D13,U$2&lt;=$E13),1,"")))</f>
        <v/>
      </c>
      <c r="V13" s="38">
        <f>IF(OR(V$2="",$D13=""),"",IF(AND(ISNUMBER($F13),V$2&gt;=$F13,V$2&lt;=IF(ISNUMBER($G13),$G13,$F13+$E13-$D13)),2,IF(AND(V$2&gt;=$D13,V$2&lt;=$E13),1,"")))</f>
        <v/>
      </c>
      <c r="W13" s="38">
        <f>IF(OR(W$2="",$D13=""),"",IF(AND(ISNUMBER($F13),W$2&gt;=$F13,W$2&lt;=IF(ISNUMBER($G13),$G13,$F13+$E13-$D13)),2,IF(AND(W$2&gt;=$D13,W$2&lt;=$E13),1,"")))</f>
        <v/>
      </c>
      <c r="X13" s="38">
        <f>IF(OR(X$2="",$D13=""),"",IF(AND(ISNUMBER($F13),X$2&gt;=$F13,X$2&lt;=IF(ISNUMBER($G13),$G13,$F13+$E13-$D13)),2,IF(AND(X$2&gt;=$D13,X$2&lt;=$E13),1,"")))</f>
        <v/>
      </c>
      <c r="Y13" s="38">
        <f>IF(OR(Y$2="",$D13=""),"",IF(AND(ISNUMBER($F13),Y$2&gt;=$F13,Y$2&lt;=IF(ISNUMBER($G13),$G13,$F13+$E13-$D13)),2,IF(AND(Y$2&gt;=$D13,Y$2&lt;=$E13),1,"")))</f>
        <v/>
      </c>
      <c r="Z13" s="38">
        <f>IF(OR(Z$2="",$D13=""),"",IF(AND(ISNUMBER($F13),Z$2&gt;=$F13,Z$2&lt;=IF(ISNUMBER($G13),$G13,$F13+$E13-$D13)),2,IF(AND(Z$2&gt;=$D13,Z$2&lt;=$E13),1,"")))</f>
        <v/>
      </c>
      <c r="AA13" s="38">
        <f>IF(OR(AA$2="",$D13=""),"",IF(AND(ISNUMBER($F13),AA$2&gt;=$F13,AA$2&lt;=IF(ISNUMBER($G13),$G13,$F13+$E13-$D13)),2,IF(AND(AA$2&gt;=$D13,AA$2&lt;=$E13),1,"")))</f>
        <v/>
      </c>
      <c r="AB13" s="38">
        <f>IF(OR(AB$2="",$D13=""),"",IF(AND(ISNUMBER($F13),AB$2&gt;=$F13,AB$2&lt;=IF(ISNUMBER($G13),$G13,$F13+$E13-$D13)),2,IF(AND(AB$2&gt;=$D13,AB$2&lt;=$E13),1,"")))</f>
        <v/>
      </c>
      <c r="AC13" s="38">
        <f>IF(OR(AC$2="",$D13=""),"",IF(AND(ISNUMBER($F13),AC$2&gt;=$F13,AC$2&lt;=IF(ISNUMBER($G13),$G13,$F13+$E13-$D13)),2,IF(AND(AC$2&gt;=$D13,AC$2&lt;=$E13),1,"")))</f>
        <v/>
      </c>
      <c r="AD13" s="38">
        <f>IF(OR(AD$2="",$D13=""),"",IF(AND(ISNUMBER($F13),AD$2&gt;=$F13,AD$2&lt;=IF(ISNUMBER($G13),$G13,$F13+$E13-$D13)),2,IF(AND(AD$2&gt;=$D13,AD$2&lt;=$E13),1,"")))</f>
        <v/>
      </c>
      <c r="AE13" s="38">
        <f>IF(OR(AE$2="",$D13=""),"",IF(AND(ISNUMBER($F13),AE$2&gt;=$F13,AE$2&lt;=IF(ISNUMBER($G13),$G13,$F13+$E13-$D13)),2,IF(AND(AE$2&gt;=$D13,AE$2&lt;=$E13),1,"")))</f>
        <v/>
      </c>
      <c r="AF13" s="38">
        <f>IF(OR(AF$2="",$D13=""),"",IF(AND(ISNUMBER($F13),AF$2&gt;=$F13,AF$2&lt;=IF(ISNUMBER($G13),$G13,$F13+$E13-$D13)),2,IF(AND(AF$2&gt;=$D13,AF$2&lt;=$E13),1,"")))</f>
        <v/>
      </c>
      <c r="AG13" s="38">
        <f>IF(OR(AG$2="",$D13=""),"",IF(AND(ISNUMBER($F13),AG$2&gt;=$F13,AG$2&lt;=IF(ISNUMBER($G13),$G13,$F13+$E13-$D13)),2,IF(AND(AG$2&gt;=$D13,AG$2&lt;=$E13),1,"")))</f>
        <v/>
      </c>
      <c r="AH13" s="38">
        <f>IF(OR(AH$2="",$D13=""),"",IF(AND(ISNUMBER($F13),AH$2&gt;=$F13,AH$2&lt;=IF(ISNUMBER($G13),$G13,$F13+$E13-$D13)),2,IF(AND(AH$2&gt;=$D13,AH$2&lt;=$E13),1,"")))</f>
        <v/>
      </c>
      <c r="AI13" s="38">
        <f>IF(OR(AI$2="",$D13=""),"",IF(AND(ISNUMBER($F13),AI$2&gt;=$F13,AI$2&lt;=IF(ISNUMBER($G13),$G13,$F13+$E13-$D13)),2,IF(AND(AI$2&gt;=$D13,AI$2&lt;=$E13),1,"")))</f>
        <v/>
      </c>
      <c r="AJ13" s="38">
        <f>IF(OR(AJ$2="",$D13=""),"",IF(AND(ISNUMBER($F13),AJ$2&gt;=$F13,AJ$2&lt;=IF(ISNUMBER($G13),$G13,$F13+$E13-$D13)),2,IF(AND(AJ$2&gt;=$D13,AJ$2&lt;=$E13),1,"")))</f>
        <v/>
      </c>
      <c r="AK13" s="38">
        <f>IF(OR(AK$2="",$D13=""),"",IF(AND(ISNUMBER($F13),AK$2&gt;=$F13,AK$2&lt;=IF(ISNUMBER($G13),$G13,$F13+$E13-$D13)),2,IF(AND(AK$2&gt;=$D13,AK$2&lt;=$E13),1,"")))</f>
        <v/>
      </c>
      <c r="AL13" s="38">
        <f>IF(OR(AL$2="",$D13=""),"",IF(AND(ISNUMBER($F13),AL$2&gt;=$F13,AL$2&lt;=IF(ISNUMBER($G13),$G13,$F13+$E13-$D13)),2,IF(AND(AL$2&gt;=$D13,AL$2&lt;=$E13),1,"")))</f>
        <v/>
      </c>
      <c r="AM13" s="38">
        <f>IF(OR(AM$2="",$D13=""),"",IF(AND(ISNUMBER($F13),AM$2&gt;=$F13,AM$2&lt;=IF(ISNUMBER($G13),$G13,$F13+$E13-$D13)),2,IF(AND(AM$2&gt;=$D13,AM$2&lt;=$E13),1,"")))</f>
        <v/>
      </c>
      <c r="AN13" s="38">
        <f>IF(OR(AN$2="",$D13=""),"",IF(AND(ISNUMBER($F13),AN$2&gt;=$F13,AN$2&lt;=IF(ISNUMBER($G13),$G13,$F13+$E13-$D13)),2,IF(AND(AN$2&gt;=$D13,AN$2&lt;=$E13),1,"")))</f>
        <v/>
      </c>
      <c r="AO13" s="38">
        <f>IF(OR(AO$2="",$D13=""),"",IF(AND(ISNUMBER($F13),AO$2&gt;=$F13,AO$2&lt;=IF(ISNUMBER($G13),$G13,$F13+$E13-$D13)),2,IF(AND(AO$2&gt;=$D13,AO$2&lt;=$E13),1,"")))</f>
        <v/>
      </c>
      <c r="AP13" s="38">
        <f>IF(OR(AP$2="",$D13=""),"",IF(AND(ISNUMBER($F13),AP$2&gt;=$F13,AP$2&lt;=IF(ISNUMBER($G13),$G13,$F13+$E13-$D13)),2,IF(AND(AP$2&gt;=$D13,AP$2&lt;=$E13),1,"")))</f>
        <v/>
      </c>
      <c r="AQ13" s="38">
        <f>IF(OR(AQ$2="",$D13=""),"",IF(AND(ISNUMBER($F13),AQ$2&gt;=$F13,AQ$2&lt;=IF(ISNUMBER($G13),$G13,$F13+$E13-$D13)),2,IF(AND(AQ$2&gt;=$D13,AQ$2&lt;=$E13),1,"")))</f>
        <v/>
      </c>
      <c r="AR13" s="38">
        <f>IF(OR(AR$2="",$D13=""),"",IF(AND(ISNUMBER($F13),AR$2&gt;=$F13,AR$2&lt;=IF(ISNUMBER($G13),$G13,$F13+$E13-$D13)),2,IF(AND(AR$2&gt;=$D13,AR$2&lt;=$E13),1,"")))</f>
        <v/>
      </c>
      <c r="AS13" s="38">
        <f>IF(OR(AS$2="",$D13=""),"",IF(AND(ISNUMBER($F13),AS$2&gt;=$F13,AS$2&lt;=IF(ISNUMBER($G13),$G13,$F13+$E13-$D13)),2,IF(AND(AS$2&gt;=$D13,AS$2&lt;=$E13),1,"")))</f>
        <v/>
      </c>
      <c r="AT13" s="38">
        <f>IF(OR(AT$2="",$D13=""),"",IF(AND(ISNUMBER($F13),AT$2&gt;=$F13,AT$2&lt;=IF(ISNUMBER($G13),$G13,$F13+$E13-$D13)),2,IF(AND(AT$2&gt;=$D13,AT$2&lt;=$E13),1,"")))</f>
        <v/>
      </c>
      <c r="AU13" s="38">
        <f>IF(OR(AU$2="",$D13=""),"",IF(AND(ISNUMBER($F13),AU$2&gt;=$F13,AU$2&lt;=IF(ISNUMBER($G13),$G13,$F13+$E13-$D13)),2,IF(AND(AU$2&gt;=$D13,AU$2&lt;=$E13),1,"")))</f>
        <v/>
      </c>
      <c r="AV13" s="38">
        <f>IF(OR(AV$2="",$D13=""),"",IF(AND(ISNUMBER($F13),AV$2&gt;=$F13,AV$2&lt;=IF(ISNUMBER($G13),$G13,$F13+$E13-$D13)),2,IF(AND(AV$2&gt;=$D13,AV$2&lt;=$E13),1,"")))</f>
        <v/>
      </c>
      <c r="AW13" s="38">
        <f>IF(OR(AW$2="",$D13=""),"",IF(AND(ISNUMBER($F13),AW$2&gt;=$F13,AW$2&lt;=IF(ISNUMBER($G13),$G13,$F13+$E13-$D13)),2,IF(AND(AW$2&gt;=$D13,AW$2&lt;=$E13),1,"")))</f>
        <v/>
      </c>
      <c r="AX13" s="38">
        <f>IF(OR(AX$2="",$D13=""),"",IF(AND(ISNUMBER($F13),AX$2&gt;=$F13,AX$2&lt;=IF(ISNUMBER($G13),$G13,$F13+$E13-$D13)),2,IF(AND(AX$2&gt;=$D13,AX$2&lt;=$E13),1,"")))</f>
        <v/>
      </c>
      <c r="AY13" s="38">
        <f>IF(OR(AY$2="",$D13=""),"",IF(AND(ISNUMBER($F13),AY$2&gt;=$F13,AY$2&lt;=IF(ISNUMBER($G13),$G13,$F13+$E13-$D13)),2,IF(AND(AY$2&gt;=$D13,AY$2&lt;=$E13),1,"")))</f>
        <v/>
      </c>
      <c r="AZ13" s="38">
        <f>IF(OR(AZ$2="",$D13=""),"",IF(AND(ISNUMBER($F13),AZ$2&gt;=$F13,AZ$2&lt;=IF(ISNUMBER($G13),$G13,$F13+$E13-$D13)),2,IF(AND(AZ$2&gt;=$D13,AZ$2&lt;=$E13),1,"")))</f>
        <v/>
      </c>
      <c r="BA13" s="38">
        <f>IF(OR(BA$2="",$D13=""),"",IF(AND(ISNUMBER($F13),BA$2&gt;=$F13,BA$2&lt;=IF(ISNUMBER($G13),$G13,$F13+$E13-$D13)),2,IF(AND(BA$2&gt;=$D13,BA$2&lt;=$E13),1,"")))</f>
        <v/>
      </c>
      <c r="BB13" s="38">
        <f>IF(OR(BB$2="",$D13=""),"",IF(AND(ISNUMBER($F13),BB$2&gt;=$F13,BB$2&lt;=IF(ISNUMBER($G13),$G13,$F13+$E13-$D13)),2,IF(AND(BB$2&gt;=$D13,BB$2&lt;=$E13),1,"")))</f>
        <v/>
      </c>
      <c r="BC13" s="38">
        <f>IF(OR(BC$2="",$D13=""),"",IF(AND(ISNUMBER($F13),BC$2&gt;=$F13,BC$2&lt;=IF(ISNUMBER($G13),$G13,$F13+$E13-$D13)),2,IF(AND(BC$2&gt;=$D13,BC$2&lt;=$E13),1,"")))</f>
        <v/>
      </c>
      <c r="BD13" s="38">
        <f>IF(OR(BD$2="",$D13=""),"",IF(AND(ISNUMBER($F13),BD$2&gt;=$F13,BD$2&lt;=IF(ISNUMBER($G13),$G13,$F13+$E13-$D13)),2,IF(AND(BD$2&gt;=$D13,BD$2&lt;=$E13),1,"")))</f>
        <v/>
      </c>
      <c r="BE13" s="38">
        <f>IF(OR(BE$2="",$D13=""),"",IF(AND(ISNUMBER($F13),BE$2&gt;=$F13,BE$2&lt;=IF(ISNUMBER($G13),$G13,$F13+$E13-$D13)),2,IF(AND(BE$2&gt;=$D13,BE$2&lt;=$E13),1,"")))</f>
        <v/>
      </c>
      <c r="BF13" s="38">
        <f>IF(OR(BF$2="",$D13=""),"",IF(AND(ISNUMBER($F13),BF$2&gt;=$F13,BF$2&lt;=IF(ISNUMBER($G13),$G13,$F13+$E13-$D13)),2,IF(AND(BF$2&gt;=$D13,BF$2&lt;=$E13),1,"")))</f>
        <v/>
      </c>
      <c r="BG13" s="38">
        <f>IF(OR(BG$2="",$D13=""),"",IF(AND(ISNUMBER($F13),BG$2&gt;=$F13,BG$2&lt;=IF(ISNUMBER($G13),$G13,$F13+$E13-$D13)),2,IF(AND(BG$2&gt;=$D13,BG$2&lt;=$E13),1,"")))</f>
        <v/>
      </c>
      <c r="BH13" s="38">
        <f>IF(OR(BH$2="",$D13=""),"",IF(AND(ISNUMBER($F13),BH$2&gt;=$F13,BH$2&lt;=IF(ISNUMBER($G13),$G13,$F13+$E13-$D13)),2,IF(AND(BH$2&gt;=$D13,BH$2&lt;=$E13),1,"")))</f>
        <v/>
      </c>
      <c r="BI13" s="38">
        <f>IF(OR(BI$2="",$D13=""),"",IF(AND(ISNUMBER($F13),BI$2&gt;=$F13,BI$2&lt;=IF(ISNUMBER($G13),$G13,$F13+$E13-$D13)),2,IF(AND(BI$2&gt;=$D13,BI$2&lt;=$E13),1,"")))</f>
        <v/>
      </c>
      <c r="BJ13" s="38">
        <f>IF(OR(BJ$2="",$D13=""),"",IF(AND(ISNUMBER($F13),BJ$2&gt;=$F13,BJ$2&lt;=IF(ISNUMBER($G13),$G13,$F13+$E13-$D13)),2,IF(AND(BJ$2&gt;=$D13,BJ$2&lt;=$E13),1,"")))</f>
        <v/>
      </c>
      <c r="BK13" s="38">
        <f>IF(OR(BK$2="",$D13=""),"",IF(AND(ISNUMBER($F13),BK$2&gt;=$F13,BK$2&lt;=IF(ISNUMBER($G13),$G13,$F13+$E13-$D13)),2,IF(AND(BK$2&gt;=$D13,BK$2&lt;=$E13),1,"")))</f>
        <v/>
      </c>
      <c r="BL13" s="38">
        <f>IF(OR(BL$2="",$D13=""),"",IF(AND(ISNUMBER($F13),BL$2&gt;=$F13,BL$2&lt;=IF(ISNUMBER($G13),$G13,$F13+$E13-$D13)),2,IF(AND(BL$2&gt;=$D13,BL$2&lt;=$E13),1,"")))</f>
        <v/>
      </c>
      <c r="BM13" s="38">
        <f>IF(OR(BM$2="",$D13=""),"",IF(AND(ISNUMBER($F13),BM$2&gt;=$F13,BM$2&lt;=IF(ISNUMBER($G13),$G13,$F13+$E13-$D13)),2,IF(AND(BM$2&gt;=$D13,BM$2&lt;=$E13),1,"")))</f>
        <v/>
      </c>
      <c r="BN13" s="38">
        <f>IF(OR(BN$2="",$D13=""),"",IF(AND(ISNUMBER($F13),BN$2&gt;=$F13,BN$2&lt;=IF(ISNUMBER($G13),$G13,$F13+$E13-$D13)),2,IF(AND(BN$2&gt;=$D13,BN$2&lt;=$E13),1,"")))</f>
        <v/>
      </c>
      <c r="BO13" s="38">
        <f>IF(OR(BO$2="",$D13=""),"",IF(AND(ISNUMBER($F13),BO$2&gt;=$F13,BO$2&lt;=IF(ISNUMBER($G13),$G13,$F13+$E13-$D13)),2,IF(AND(BO$2&gt;=$D13,BO$2&lt;=$E13),1,"")))</f>
        <v/>
      </c>
      <c r="BP13" s="38">
        <f>IF(OR(BP$2="",$D13=""),"",IF(AND(ISNUMBER($F13),BP$2&gt;=$F13,BP$2&lt;=IF(ISNUMBER($G13),$G13,$F13+$E13-$D13)),2,IF(AND(BP$2&gt;=$D13,BP$2&lt;=$E13),1,"")))</f>
        <v/>
      </c>
      <c r="BQ13" s="38">
        <f>IF(OR(BQ$2="",$D13=""),"",IF(AND(ISNUMBER($F13),BQ$2&gt;=$F13,BQ$2&lt;=IF(ISNUMBER($G13),$G13,$F13+$E13-$D13)),2,IF(AND(BQ$2&gt;=$D13,BQ$2&lt;=$E13),1,"")))</f>
        <v/>
      </c>
      <c r="BR13" s="38">
        <f>IF(OR(BR$2="",$D13=""),"",IF(AND(ISNUMBER($F13),BR$2&gt;=$F13,BR$2&lt;=IF(ISNUMBER($G13),$G13,$F13+$E13-$D13)),2,IF(AND(BR$2&gt;=$D13,BR$2&lt;=$E13),1,"")))</f>
        <v/>
      </c>
      <c r="BS13" s="38">
        <f>IF(OR(BS$2="",$D13=""),"",IF(AND(ISNUMBER($F13),BS$2&gt;=$F13,BS$2&lt;=IF(ISNUMBER($G13),$G13,$F13+$E13-$D13)),2,IF(AND(BS$2&gt;=$D13,BS$2&lt;=$E13),1,"")))</f>
        <v/>
      </c>
      <c r="BT13" s="38">
        <f>IF(OR(BT$2="",$D13=""),"",IF(AND(ISNUMBER($F13),BT$2&gt;=$F13,BT$2&lt;=IF(ISNUMBER($G13),$G13,$F13+$E13-$D13)),2,IF(AND(BT$2&gt;=$D13,BT$2&lt;=$E13),1,"")))</f>
        <v/>
      </c>
      <c r="BU13" s="38">
        <f>IF(OR(BU$2="",$D13=""),"",IF(AND(ISNUMBER($F13),BU$2&gt;=$F13,BU$2&lt;=IF(ISNUMBER($G13),$G13,$F13+$E13-$D13)),2,IF(AND(BU$2&gt;=$D13,BU$2&lt;=$E13),1,"")))</f>
        <v/>
      </c>
      <c r="BV13" s="38">
        <f>IF(OR(BV$2="",$D13=""),"",IF(AND(ISNUMBER($F13),BV$2&gt;=$F13,BV$2&lt;=IF(ISNUMBER($G13),$G13,$F13+$E13-$D13)),2,IF(AND(BV$2&gt;=$D13,BV$2&lt;=$E13),1,"")))</f>
        <v/>
      </c>
      <c r="BW13" s="38">
        <f>IF(OR(BW$2="",$D13=""),"",IF(AND(ISNUMBER($F13),BW$2&gt;=$F13,BW$2&lt;=IF(ISNUMBER($G13),$G13,$F13+$E13-$D13)),2,IF(AND(BW$2&gt;=$D13,BW$2&lt;=$E13),1,"")))</f>
        <v/>
      </c>
      <c r="BX13" s="38">
        <f>IF(OR(BX$2="",$D13=""),"",IF(AND(ISNUMBER($F13),BX$2&gt;=$F13,BX$2&lt;=IF(ISNUMBER($G13),$G13,$F13+$E13-$D13)),2,IF(AND(BX$2&gt;=$D13,BX$2&lt;=$E13),1,"")))</f>
        <v/>
      </c>
      <c r="BY13" s="38">
        <f>IF(OR(BY$2="",$D13=""),"",IF(AND(ISNUMBER($F13),BY$2&gt;=$F13,BY$2&lt;=IF(ISNUMBER($G13),$G13,$F13+$E13-$D13)),2,IF(AND(BY$2&gt;=$D13,BY$2&lt;=$E13),1,"")))</f>
        <v/>
      </c>
      <c r="BZ13" s="38">
        <f>IF(OR(BZ$2="",$D13=""),"",IF(AND(ISNUMBER($F13),BZ$2&gt;=$F13,BZ$2&lt;=IF(ISNUMBER($G13),$G13,$F13+$E13-$D13)),2,IF(AND(BZ$2&gt;=$D13,BZ$2&lt;=$E13),1,"")))</f>
        <v/>
      </c>
      <c r="CA13" s="38">
        <f>IF(OR(CA$2="",$D13=""),"",IF(AND(ISNUMBER($F13),CA$2&gt;=$F13,CA$2&lt;=IF(ISNUMBER($G13),$G13,$F13+$E13-$D13)),2,IF(AND(CA$2&gt;=$D13,CA$2&lt;=$E13),1,"")))</f>
        <v/>
      </c>
      <c r="CB13" s="38">
        <f>IF(OR(CB$2="",$D13=""),"",IF(AND(ISNUMBER($F13),CB$2&gt;=$F13,CB$2&lt;=IF(ISNUMBER($G13),$G13,$F13+$E13-$D13)),2,IF(AND(CB$2&gt;=$D13,CB$2&lt;=$E13),1,"")))</f>
        <v/>
      </c>
      <c r="CC13" s="38">
        <f>IF(OR(CC$2="",$D13=""),"",IF(AND(ISNUMBER($F13),CC$2&gt;=$F13,CC$2&lt;=IF(ISNUMBER($G13),$G13,$F13+$E13-$D13)),2,IF(AND(CC$2&gt;=$D13,CC$2&lt;=$E13),1,"")))</f>
        <v/>
      </c>
      <c r="CD13" s="38">
        <f>IF(OR(CD$2="",$D13=""),"",IF(AND(ISNUMBER($F13),CD$2&gt;=$F13,CD$2&lt;=IF(ISNUMBER($G13),$G13,$F13+$E13-$D13)),2,IF(AND(CD$2&gt;=$D13,CD$2&lt;=$E13),1,"")))</f>
        <v/>
      </c>
      <c r="CE13" s="38">
        <f>IF(OR(CE$2="",$D13=""),"",IF(AND(ISNUMBER($F13),CE$2&gt;=$F13,CE$2&lt;=IF(ISNUMBER($G13),$G13,$F13+$E13-$D13)),2,IF(AND(CE$2&gt;=$D13,CE$2&lt;=$E13),1,"")))</f>
        <v/>
      </c>
      <c r="CF13" s="38">
        <f>IF(OR(CF$2="",$D13=""),"",IF(AND(ISNUMBER($F13),CF$2&gt;=$F13,CF$2&lt;=IF(ISNUMBER($G13),$G13,$F13+$E13-$D13)),2,IF(AND(CF$2&gt;=$D13,CF$2&lt;=$E13),1,"")))</f>
        <v/>
      </c>
      <c r="CG13" s="38">
        <f>IF(OR(CG$2="",$D13=""),"",IF(AND(ISNUMBER($F13),CG$2&gt;=$F13,CG$2&lt;=IF(ISNUMBER($G13),$G13,$F13+$E13-$D13)),2,IF(AND(CG$2&gt;=$D13,CG$2&lt;=$E13),1,"")))</f>
        <v/>
      </c>
      <c r="CH13" s="38">
        <f>IF(OR(CH$2="",$D13=""),"",IF(AND(ISNUMBER($F13),CH$2&gt;=$F13,CH$2&lt;=IF(ISNUMBER($G13),$G13,$F13+$E13-$D13)),2,IF(AND(CH$2&gt;=$D13,CH$2&lt;=$E13),1,"")))</f>
        <v/>
      </c>
      <c r="CI13" s="38">
        <f>IF(OR(CI$2="",$D13=""),"",IF(AND(ISNUMBER($F13),CI$2&gt;=$F13,CI$2&lt;=IF(ISNUMBER($G13),$G13,$F13+$E13-$D13)),2,IF(AND(CI$2&gt;=$D13,CI$2&lt;=$E13),1,"")))</f>
        <v/>
      </c>
      <c r="CJ13" s="38">
        <f>IF(OR(CJ$2="",$D13=""),"",IF(AND(ISNUMBER($F13),CJ$2&gt;=$F13,CJ$2&lt;=IF(ISNUMBER($G13),$G13,$F13+$E13-$D13)),2,IF(AND(CJ$2&gt;=$D13,CJ$2&lt;=$E13),1,"")))</f>
        <v/>
      </c>
      <c r="CK13" s="38">
        <f>IF(OR(CK$2="",$D13=""),"",IF(AND(ISNUMBER($F13),CK$2&gt;=$F13,CK$2&lt;=IF(ISNUMBER($G13),$G13,$F13+$E13-$D13)),2,IF(AND(CK$2&gt;=$D13,CK$2&lt;=$E13),1,"")))</f>
        <v/>
      </c>
      <c r="CL13" s="38">
        <f>IF(OR(CL$2="",$D13=""),"",IF(AND(ISNUMBER($F13),CL$2&gt;=$F13,CL$2&lt;=IF(ISNUMBER($G13),$G13,$F13+$E13-$D13)),2,IF(AND(CL$2&gt;=$D13,CL$2&lt;=$E13),1,"")))</f>
        <v/>
      </c>
      <c r="CM13" s="38">
        <f>IF(OR(CM$2="",$D13=""),"",IF(AND(ISNUMBER($F13),CM$2&gt;=$F13,CM$2&lt;=IF(ISNUMBER($G13),$G13,$F13+$E13-$D13)),2,IF(AND(CM$2&gt;=$D13,CM$2&lt;=$E13),1,"")))</f>
        <v/>
      </c>
      <c r="CN13" s="38">
        <f>IF(OR(CN$2="",$D13=""),"",IF(AND(ISNUMBER($F13),CN$2&gt;=$F13,CN$2&lt;=IF(ISNUMBER($G13),$G13,$F13+$E13-$D13)),2,IF(AND(CN$2&gt;=$D13,CN$2&lt;=$E13),1,"")))</f>
        <v/>
      </c>
      <c r="CO13" s="38">
        <f>IF(OR(CO$2="",$D13=""),"",IF(AND(ISNUMBER($F13),CO$2&gt;=$F13,CO$2&lt;=IF(ISNUMBER($G13),$G13,$F13+$E13-$D13)),2,IF(AND(CO$2&gt;=$D13,CO$2&lt;=$E13),1,"")))</f>
        <v/>
      </c>
      <c r="CP13" s="38">
        <f>IF(OR(CP$2="",$D13=""),"",IF(AND(ISNUMBER($F13),CP$2&gt;=$F13,CP$2&lt;=IF(ISNUMBER($G13),$G13,$F13+$E13-$D13)),2,IF(AND(CP$2&gt;=$D13,CP$2&lt;=$E13),1,"")))</f>
        <v/>
      </c>
      <c r="CQ13" s="38">
        <f>IF(OR(CQ$2="",$D13=""),"",IF(AND(ISNUMBER($F13),CQ$2&gt;=$F13,CQ$2&lt;=IF(ISNUMBER($G13),$G13,$F13+$E13-$D13)),2,IF(AND(CQ$2&gt;=$D13,CQ$2&lt;=$E13),1,"")))</f>
        <v/>
      </c>
      <c r="CR13" s="38">
        <f>IF(OR(CR$2="",$D13=""),"",IF(AND(ISNUMBER($F13),CR$2&gt;=$F13,CR$2&lt;=IF(ISNUMBER($G13),$G13,$F13+$E13-$D13)),2,IF(AND(CR$2&gt;=$D13,CR$2&lt;=$E13),1,"")))</f>
        <v/>
      </c>
      <c r="CS13" s="38">
        <f>IF(OR(CS$2="",$D13=""),"",IF(AND(ISNUMBER($F13),CS$2&gt;=$F13,CS$2&lt;=IF(ISNUMBER($G13),$G13,$F13+$E13-$D13)),2,IF(AND(CS$2&gt;=$D13,CS$2&lt;=$E13),1,"")))</f>
        <v/>
      </c>
      <c r="CT13" s="38">
        <f>IF(OR(CT$2="",$D13=""),"",IF(AND(ISNUMBER($F13),CT$2&gt;=$F13,CT$2&lt;=IF(ISNUMBER($G13),$G13,$F13+$E13-$D13)),2,IF(AND(CT$2&gt;=$D13,CT$2&lt;=$E13),1,"")))</f>
        <v/>
      </c>
      <c r="CU13" s="38">
        <f>IF(OR(CU$2="",$D13=""),"",IF(AND(ISNUMBER($F13),CU$2&gt;=$F13,CU$2&lt;=IF(ISNUMBER($G13),$G13,$F13+$E13-$D13)),2,IF(AND(CU$2&gt;=$D13,CU$2&lt;=$E13),1,"")))</f>
        <v/>
      </c>
      <c r="CV13" s="38">
        <f>IF(OR(CV$2="",$D13=""),"",IF(AND(ISNUMBER($F13),CV$2&gt;=$F13,CV$2&lt;=IF(ISNUMBER($G13),$G13,$F13+$E13-$D13)),2,IF(AND(CV$2&gt;=$D13,CV$2&lt;=$E13),1,"")))</f>
        <v/>
      </c>
      <c r="CW13" s="38">
        <f>IF(OR(CW$2="",$D13=""),"",IF(AND(ISNUMBER($F13),CW$2&gt;=$F13,CW$2&lt;=IF(ISNUMBER($G13),$G13,$F13+$E13-$D13)),2,IF(AND(CW$2&gt;=$D13,CW$2&lt;=$E13),1,"")))</f>
        <v/>
      </c>
      <c r="CX13" s="38">
        <f>IF(OR(CX$2="",$D13=""),"",IF(AND(ISNUMBER($F13),CX$2&gt;=$F13,CX$2&lt;=IF(ISNUMBER($G13),$G13,$F13+$E13-$D13)),2,IF(AND(CX$2&gt;=$D13,CX$2&lt;=$E13),1,"")))</f>
        <v/>
      </c>
      <c r="CY13" s="38">
        <f>IF(OR(CY$2="",$D13=""),"",IF(AND(ISNUMBER($F13),CY$2&gt;=$F13,CY$2&lt;=IF(ISNUMBER($G13),$G13,$F13+$E13-$D13)),2,IF(AND(CY$2&gt;=$D13,CY$2&lt;=$E13),1,"")))</f>
        <v/>
      </c>
      <c r="CZ13" s="38">
        <f>IF(OR(CZ$2="",$D13=""),"",IF(AND(ISNUMBER($F13),CZ$2&gt;=$F13,CZ$2&lt;=IF(ISNUMBER($G13),$G13,$F13+$E13-$D13)),2,IF(AND(CZ$2&gt;=$D13,CZ$2&lt;=$E13),1,"")))</f>
        <v/>
      </c>
      <c r="DA13" s="38">
        <f>IF(OR(DA$2="",$D13=""),"",IF(AND(ISNUMBER($F13),DA$2&gt;=$F13,DA$2&lt;=IF(ISNUMBER($G13),$G13,$F13+$E13-$D13)),2,IF(AND(DA$2&gt;=$D13,DA$2&lt;=$E13),1,"")))</f>
        <v/>
      </c>
      <c r="DB13" s="38">
        <f>IF(OR(DB$2="",$D13=""),"",IF(AND(ISNUMBER($F13),DB$2&gt;=$F13,DB$2&lt;=IF(ISNUMBER($G13),$G13,$F13+$E13-$D13)),2,IF(AND(DB$2&gt;=$D13,DB$2&lt;=$E13),1,"")))</f>
        <v/>
      </c>
      <c r="DC13" s="38">
        <f>IF(OR(DC$2="",$D13=""),"",IF(AND(ISNUMBER($F13),DC$2&gt;=$F13,DC$2&lt;=IF(ISNUMBER($G13),$G13,$F13+$E13-$D13)),2,IF(AND(DC$2&gt;=$D13,DC$2&lt;=$E13),1,"")))</f>
        <v/>
      </c>
      <c r="DD13" s="38">
        <f>IF(OR(DD$2="",$D13=""),"",IF(AND(ISNUMBER($F13),DD$2&gt;=$F13,DD$2&lt;=IF(ISNUMBER($G13),$G13,$F13+$E13-$D13)),2,IF(AND(DD$2&gt;=$D13,DD$2&lt;=$E13),1,"")))</f>
        <v/>
      </c>
      <c r="DE13" s="38">
        <f>IF(OR(DE$2="",$D13=""),"",IF(AND(ISNUMBER($F13),DE$2&gt;=$F13,DE$2&lt;=IF(ISNUMBER($G13),$G13,$F13+$E13-$D13)),2,IF(AND(DE$2&gt;=$D13,DE$2&lt;=$E13),1,"")))</f>
        <v/>
      </c>
      <c r="DF13" s="38">
        <f>IF(OR(DF$2="",$D13=""),"",IF(AND(ISNUMBER($F13),DF$2&gt;=$F13,DF$2&lt;=IF(ISNUMBER($G13),$G13,$F13+$E13-$D13)),2,IF(AND(DF$2&gt;=$D13,DF$2&lt;=$E13),1,"")))</f>
        <v/>
      </c>
      <c r="DG13" s="38">
        <f>IF(OR(DG$2="",$D13=""),"",IF(AND(ISNUMBER($F13),DG$2&gt;=$F13,DG$2&lt;=IF(ISNUMBER($G13),$G13,$F13+$E13-$D13)),2,IF(AND(DG$2&gt;=$D13,DG$2&lt;=$E13),1,"")))</f>
        <v/>
      </c>
      <c r="DH13" s="38">
        <f>IF(OR(DH$2="",$D13=""),"",IF(AND(ISNUMBER($F13),DH$2&gt;=$F13,DH$2&lt;=IF(ISNUMBER($G13),$G13,$F13+$E13-$D13)),2,IF(AND(DH$2&gt;=$D13,DH$2&lt;=$E13),1,"")))</f>
        <v/>
      </c>
      <c r="DI13" s="38">
        <f>IF(OR(DI$2="",$D13=""),"",IF(AND(ISNUMBER($F13),DI$2&gt;=$F13,DI$2&lt;=IF(ISNUMBER($G13),$G13,$F13+$E13-$D13)),2,IF(AND(DI$2&gt;=$D13,DI$2&lt;=$E13),1,"")))</f>
        <v/>
      </c>
      <c r="DJ13" s="38">
        <f>IF(OR(DJ$2="",$D13=""),"",IF(AND(ISNUMBER($F13),DJ$2&gt;=$F13,DJ$2&lt;=IF(ISNUMBER($G13),$G13,$F13+$E13-$D13)),2,IF(AND(DJ$2&gt;=$D13,DJ$2&lt;=$E13),1,"")))</f>
        <v/>
      </c>
      <c r="DK13" s="38">
        <f>IF(OR(DK$2="",$D13=""),"",IF(AND(ISNUMBER($F13),DK$2&gt;=$F13,DK$2&lt;=IF(ISNUMBER($G13),$G13,$F13+$E13-$D13)),2,IF(AND(DK$2&gt;=$D13,DK$2&lt;=$E13),1,"")))</f>
        <v/>
      </c>
      <c r="DL13" s="38">
        <f>IF(OR(DL$2="",$D13=""),"",IF(AND(ISNUMBER($F13),DL$2&gt;=$F13,DL$2&lt;=IF(ISNUMBER($G13),$G13,$F13+$E13-$D13)),2,IF(AND(DL$2&gt;=$D13,DL$2&lt;=$E13),1,"")))</f>
        <v/>
      </c>
      <c r="DM13" s="38">
        <f>IF(OR(DM$2="",$D13=""),"",IF(AND(ISNUMBER($F13),DM$2&gt;=$F13,DM$2&lt;=IF(ISNUMBER($G13),$G13,$F13+$E13-$D13)),2,IF(AND(DM$2&gt;=$D13,DM$2&lt;=$E13),1,"")))</f>
        <v/>
      </c>
      <c r="DN13" s="38">
        <f>IF(OR(DN$2="",$D13=""),"",IF(AND(ISNUMBER($F13),DN$2&gt;=$F13,DN$2&lt;=IF(ISNUMBER($G13),$G13,$F13+$E13-$D13)),2,IF(AND(DN$2&gt;=$D13,DN$2&lt;=$E13),1,"")))</f>
        <v/>
      </c>
      <c r="DO13" s="38">
        <f>IF(OR(DO$2="",$D13=""),"",IF(AND(ISNUMBER($F13),DO$2&gt;=$F13,DO$2&lt;=IF(ISNUMBER($G13),$G13,$F13+$E13-$D13)),2,IF(AND(DO$2&gt;=$D13,DO$2&lt;=$E13),1,"")))</f>
        <v/>
      </c>
      <c r="DP13" s="38">
        <f>IF(OR(DP$2="",$D13=""),"",IF(AND(ISNUMBER($F13),DP$2&gt;=$F13,DP$2&lt;=IF(ISNUMBER($G13),$G13,$F13+$E13-$D13)),2,IF(AND(DP$2&gt;=$D13,DP$2&lt;=$E13),1,"")))</f>
        <v/>
      </c>
      <c r="DQ13" s="38">
        <f>IF(OR(DQ$2="",$D13=""),"",IF(AND(ISNUMBER($F13),DQ$2&gt;=$F13,DQ$2&lt;=IF(ISNUMBER($G13),$G13,$F13+$E13-$D13)),2,IF(AND(DQ$2&gt;=$D13,DQ$2&lt;=$E13),1,"")))</f>
        <v/>
      </c>
      <c r="DR13" s="38">
        <f>IF(OR(DR$2="",$D13=""),"",IF(AND(ISNUMBER($F13),DR$2&gt;=$F13,DR$2&lt;=IF(ISNUMBER($G13),$G13,$F13+$E13-$D13)),2,IF(AND(DR$2&gt;=$D13,DR$2&lt;=$E13),1,"")))</f>
        <v/>
      </c>
      <c r="DS13" s="38">
        <f>IF(OR(DS$2="",$D13=""),"",IF(AND(ISNUMBER($F13),DS$2&gt;=$F13,DS$2&lt;=IF(ISNUMBER($G13),$G13,$F13+$E13-$D13)),2,IF(AND(DS$2&gt;=$D13,DS$2&lt;=$E13),1,"")))</f>
        <v/>
      </c>
      <c r="DT13" s="38">
        <f>IF(OR(DT$2="",$D13=""),"",IF(AND(ISNUMBER($F13),DT$2&gt;=$F13,DT$2&lt;=IF(ISNUMBER($G13),$G13,$F13+$E13-$D13)),2,IF(AND(DT$2&gt;=$D13,DT$2&lt;=$E13),1,"")))</f>
        <v/>
      </c>
      <c r="DU13" s="38">
        <f>IF(OR(DU$2="",$D13=""),"",IF(AND(ISNUMBER($F13),DU$2&gt;=$F13,DU$2&lt;=IF(ISNUMBER($G13),$G13,$F13+$E13-$D13)),2,IF(AND(DU$2&gt;=$D13,DU$2&lt;=$E13),1,"")))</f>
        <v/>
      </c>
      <c r="DV13" s="38">
        <f>IF(OR(DV$2="",$D13=""),"",IF(AND(ISNUMBER($F13),DV$2&gt;=$F13,DV$2&lt;=IF(ISNUMBER($G13),$G13,$F13+$E13-$D13)),2,IF(AND(DV$2&gt;=$D13,DV$2&lt;=$E13),1,"")))</f>
        <v/>
      </c>
      <c r="DW13" s="38">
        <f>IF(OR(DW$2="",$D13=""),"",IF(AND(ISNUMBER($F13),DW$2&gt;=$F13,DW$2&lt;=IF(ISNUMBER($G13),$G13,$F13+$E13-$D13)),2,IF(AND(DW$2&gt;=$D13,DW$2&lt;=$E13),1,"")))</f>
        <v/>
      </c>
      <c r="DX13" s="38">
        <f>IF(OR(DX$2="",$D13=""),"",IF(AND(ISNUMBER($F13),DX$2&gt;=$F13,DX$2&lt;=IF(ISNUMBER($G13),$G13,$F13+$E13-$D13)),2,IF(AND(DX$2&gt;=$D13,DX$2&lt;=$E13),1,"")))</f>
        <v/>
      </c>
      <c r="DY13" s="38">
        <f>IF(OR(DY$2="",$D13=""),"",IF(AND(ISNUMBER($F13),DY$2&gt;=$F13,DY$2&lt;=IF(ISNUMBER($G13),$G13,$F13+$E13-$D13)),2,IF(AND(DY$2&gt;=$D13,DY$2&lt;=$E13),1,"")))</f>
        <v/>
      </c>
      <c r="DZ13" s="38">
        <f>IF(OR(DZ$2="",$D13=""),"",IF(AND(ISNUMBER($F13),DZ$2&gt;=$F13,DZ$2&lt;=IF(ISNUMBER($G13),$G13,$F13+$E13-$D13)),2,IF(AND(DZ$2&gt;=$D13,DZ$2&lt;=$E13),1,"")))</f>
        <v/>
      </c>
      <c r="EA13" s="38">
        <f>IF(OR(EA$2="",$D13=""),"",IF(AND(ISNUMBER($F13),EA$2&gt;=$F13,EA$2&lt;=IF(ISNUMBER($G13),$G13,$F13+$E13-$D13)),2,IF(AND(EA$2&gt;=$D13,EA$2&lt;=$E13),1,"")))</f>
        <v/>
      </c>
      <c r="EB13" s="38">
        <f>IF(OR(EB$2="",$D13=""),"",IF(AND(ISNUMBER($F13),EB$2&gt;=$F13,EB$2&lt;=IF(ISNUMBER($G13),$G13,$F13+$E13-$D13)),2,IF(AND(EB$2&gt;=$D13,EB$2&lt;=$E13),1,"")))</f>
        <v/>
      </c>
      <c r="EC13" s="38">
        <f>IF(OR(EC$2="",$D13=""),"",IF(AND(ISNUMBER($F13),EC$2&gt;=$F13,EC$2&lt;=IF(ISNUMBER($G13),$G13,$F13+$E13-$D13)),2,IF(AND(EC$2&gt;=$D13,EC$2&lt;=$E13),1,"")))</f>
        <v/>
      </c>
      <c r="ED13" s="38">
        <f>IF(OR(ED$2="",$D13=""),"",IF(AND(ISNUMBER($F13),ED$2&gt;=$F13,ED$2&lt;=IF(ISNUMBER($G13),$G13,$F13+$E13-$D13)),2,IF(AND(ED$2&gt;=$D13,ED$2&lt;=$E13),1,"")))</f>
        <v/>
      </c>
      <c r="EE13" s="38">
        <f>IF(OR(EE$2="",$D13=""),"",IF(AND(ISNUMBER($F13),EE$2&gt;=$F13,EE$2&lt;=IF(ISNUMBER($G13),$G13,$F13+$E13-$D13)),2,IF(AND(EE$2&gt;=$D13,EE$2&lt;=$E13),1,"")))</f>
        <v/>
      </c>
      <c r="EF13" s="38">
        <f>IF(OR(EF$2="",$D13=""),"",IF(AND(ISNUMBER($F13),EF$2&gt;=$F13,EF$2&lt;=IF(ISNUMBER($G13),$G13,$F13+$E13-$D13)),2,IF(AND(EF$2&gt;=$D13,EF$2&lt;=$E13),1,"")))</f>
        <v/>
      </c>
      <c r="EG13" s="38">
        <f>IF(OR(EG$2="",$D13=""),"",IF(AND(ISNUMBER($F13),EG$2&gt;=$F13,EG$2&lt;=IF(ISNUMBER($G13),$G13,$F13+$E13-$D13)),2,IF(AND(EG$2&gt;=$D13,EG$2&lt;=$E13),1,"")))</f>
        <v/>
      </c>
      <c r="EH13" s="38">
        <f>IF(OR(EH$2="",$D13=""),"",IF(AND(ISNUMBER($F13),EH$2&gt;=$F13,EH$2&lt;=IF(ISNUMBER($G13),$G13,$F13+$E13-$D13)),2,IF(AND(EH$2&gt;=$D13,EH$2&lt;=$E13),1,"")))</f>
        <v/>
      </c>
      <c r="EI13" s="38">
        <f>IF(OR(EI$2="",$D13=""),"",IF(AND(ISNUMBER($F13),EI$2&gt;=$F13,EI$2&lt;=IF(ISNUMBER($G13),$G13,$F13+$E13-$D13)),2,IF(AND(EI$2&gt;=$D13,EI$2&lt;=$E13),1,"")))</f>
        <v/>
      </c>
      <c r="EJ13" s="38">
        <f>IF(OR(EJ$2="",$D13=""),"",IF(AND(ISNUMBER($F13),EJ$2&gt;=$F13,EJ$2&lt;=IF(ISNUMBER($G13),$G13,$F13+$E13-$D13)),2,IF(AND(EJ$2&gt;=$D13,EJ$2&lt;=$E13),1,"")))</f>
        <v/>
      </c>
      <c r="EK13" s="38">
        <f>IF(OR(EK$2="",$D13=""),"",IF(AND(ISNUMBER($F13),EK$2&gt;=$F13,EK$2&lt;=IF(ISNUMBER($G13),$G13,$F13+$E13-$D13)),2,IF(AND(EK$2&gt;=$D13,EK$2&lt;=$E13),1,"")))</f>
        <v/>
      </c>
      <c r="EL13" s="38">
        <f>IF(OR(EL$2="",$D13=""),"",IF(AND(ISNUMBER($F13),EL$2&gt;=$F13,EL$2&lt;=IF(ISNUMBER($G13),$G13,$F13+$E13-$D13)),2,IF(AND(EL$2&gt;=$D13,EL$2&lt;=$E13),1,"")))</f>
        <v/>
      </c>
      <c r="EM13" s="38">
        <f>IF(OR(EM$2="",$D13=""),"",IF(AND(ISNUMBER($F13),EM$2&gt;=$F13,EM$2&lt;=IF(ISNUMBER($G13),$G13,$F13+$E13-$D13)),2,IF(AND(EM$2&gt;=$D13,EM$2&lt;=$E13),1,"")))</f>
        <v/>
      </c>
      <c r="EN13" s="38">
        <f>IF(OR(EN$2="",$D13=""),"",IF(AND(ISNUMBER($F13),EN$2&gt;=$F13,EN$2&lt;=IF(ISNUMBER($G13),$G13,$F13+$E13-$D13)),2,IF(AND(EN$2&gt;=$D13,EN$2&lt;=$E13),1,"")))</f>
        <v/>
      </c>
      <c r="EO13" s="38">
        <f>IF(OR(EO$2="",$D13=""),"",IF(AND(ISNUMBER($F13),EO$2&gt;=$F13,EO$2&lt;=IF(ISNUMBER($G13),$G13,$F13+$E13-$D13)),2,IF(AND(EO$2&gt;=$D13,EO$2&lt;=$E13),1,"")))</f>
        <v/>
      </c>
      <c r="EP13" s="38">
        <f>IF(OR(EP$2="",$D13=""),"",IF(AND(ISNUMBER($F13),EP$2&gt;=$F13,EP$2&lt;=IF(ISNUMBER($G13),$G13,$F13+$E13-$D13)),2,IF(AND(EP$2&gt;=$D13,EP$2&lt;=$E13),1,"")))</f>
        <v/>
      </c>
      <c r="EQ13" s="38">
        <f>IF(OR(EQ$2="",$D13=""),"",IF(AND(ISNUMBER($F13),EQ$2&gt;=$F13,EQ$2&lt;=IF(ISNUMBER($G13),$G13,$F13+$E13-$D13)),2,IF(AND(EQ$2&gt;=$D13,EQ$2&lt;=$E13),1,"")))</f>
        <v/>
      </c>
      <c r="ER13" s="38">
        <f>IF(OR(ER$2="",$D13=""),"",IF(AND(ISNUMBER($F13),ER$2&gt;=$F13,ER$2&lt;=IF(ISNUMBER($G13),$G13,$F13+$E13-$D13)),2,IF(AND(ER$2&gt;=$D13,ER$2&lt;=$E13),1,"")))</f>
        <v/>
      </c>
      <c r="ES13" s="38">
        <f>IF(OR(ES$2="",$D13=""),"",IF(AND(ISNUMBER($F13),ES$2&gt;=$F13,ES$2&lt;=IF(ISNUMBER($G13),$G13,$F13+$E13-$D13)),2,IF(AND(ES$2&gt;=$D13,ES$2&lt;=$E13),1,"")))</f>
        <v/>
      </c>
      <c r="ET13" s="38">
        <f>IF(OR(ET$2="",$D13=""),"",IF(AND(ISNUMBER($F13),ET$2&gt;=$F13,ET$2&lt;=IF(ISNUMBER($G13),$G13,$F13+$E13-$D13)),2,IF(AND(ET$2&gt;=$D13,ET$2&lt;=$E13),1,"")))</f>
        <v/>
      </c>
      <c r="EU13" s="38">
        <f>IF(OR(EU$2="",$D13=""),"",IF(AND(ISNUMBER($F13),EU$2&gt;=$F13,EU$2&lt;=IF(ISNUMBER($G13),$G13,$F13+$E13-$D13)),2,IF(AND(EU$2&gt;=$D13,EU$2&lt;=$E13),1,"")))</f>
        <v/>
      </c>
      <c r="EV13" s="38">
        <f>IF(OR(EV$2="",$D13=""),"",IF(AND(ISNUMBER($F13),EV$2&gt;=$F13,EV$2&lt;=IF(ISNUMBER($G13),$G13,$F13+$E13-$D13)),2,IF(AND(EV$2&gt;=$D13,EV$2&lt;=$E13),1,"")))</f>
        <v/>
      </c>
      <c r="EW13" s="38">
        <f>IF(OR(EW$2="",$D13=""),"",IF(AND(ISNUMBER($F13),EW$2&gt;=$F13,EW$2&lt;=IF(ISNUMBER($G13),$G13,$F13+$E13-$D13)),2,IF(AND(EW$2&gt;=$D13,EW$2&lt;=$E13),1,"")))</f>
        <v/>
      </c>
      <c r="EX13" s="38">
        <f>IF(OR(EX$2="",$D13=""),"",IF(AND(ISNUMBER($F13),EX$2&gt;=$F13,EX$2&lt;=IF(ISNUMBER($G13),$G13,$F13+$E13-$D13)),2,IF(AND(EX$2&gt;=$D13,EX$2&lt;=$E13),1,"")))</f>
        <v/>
      </c>
      <c r="EY13" s="38">
        <f>IF(OR(EY$2="",$D13=""),"",IF(AND(ISNUMBER($F13),EY$2&gt;=$F13,EY$2&lt;=IF(ISNUMBER($G13),$G13,$F13+$E13-$D13)),2,IF(AND(EY$2&gt;=$D13,EY$2&lt;=$E13),1,"")))</f>
        <v/>
      </c>
      <c r="EZ13" s="38">
        <f>IF(OR(EZ$2="",$D13=""),"",IF(AND(ISNUMBER($F13),EZ$2&gt;=$F13,EZ$2&lt;=IF(ISNUMBER($G13),$G13,$F13+$E13-$D13)),2,IF(AND(EZ$2&gt;=$D13,EZ$2&lt;=$E13),1,"")))</f>
        <v/>
      </c>
      <c r="FA13" s="38">
        <f>IF(OR(FA$2="",$D13=""),"",IF(AND(ISNUMBER($F13),FA$2&gt;=$F13,FA$2&lt;=IF(ISNUMBER($G13),$G13,$F13+$E13-$D13)),2,IF(AND(FA$2&gt;=$D13,FA$2&lt;=$E13),1,"")))</f>
        <v/>
      </c>
      <c r="FB13" s="38">
        <f>IF(OR(FB$2="",$D13=""),"",IF(AND(ISNUMBER($F13),FB$2&gt;=$F13,FB$2&lt;=IF(ISNUMBER($G13),$G13,$F13+$E13-$D13)),2,IF(AND(FB$2&gt;=$D13,FB$2&lt;=$E13),1,"")))</f>
        <v/>
      </c>
      <c r="FC13" s="38">
        <f>IF(OR(FC$2="",$D13=""),"",IF(AND(ISNUMBER($F13),FC$2&gt;=$F13,FC$2&lt;=IF(ISNUMBER($G13),$G13,$F13+$E13-$D13)),2,IF(AND(FC$2&gt;=$D13,FC$2&lt;=$E13),1,"")))</f>
        <v/>
      </c>
      <c r="FD13" s="38">
        <f>IF(OR(FD$2="",$D13=""),"",IF(AND(ISNUMBER($F13),FD$2&gt;=$F13,FD$2&lt;=IF(ISNUMBER($G13),$G13,$F13+$E13-$D13)),2,IF(AND(FD$2&gt;=$D13,FD$2&lt;=$E13),1,"")))</f>
        <v/>
      </c>
      <c r="FE13" s="38">
        <f>IF(OR(FE$2="",$D13=""),"",IF(AND(ISNUMBER($F13),FE$2&gt;=$F13,FE$2&lt;=IF(ISNUMBER($G13),$G13,$F13+$E13-$D13)),2,IF(AND(FE$2&gt;=$D13,FE$2&lt;=$E13),1,"")))</f>
        <v/>
      </c>
      <c r="FF13" s="38">
        <f>IF(OR(FF$2="",$D13=""),"",IF(AND(ISNUMBER($F13),FF$2&gt;=$F13,FF$2&lt;=IF(ISNUMBER($G13),$G13,$F13+$E13-$D13)),2,IF(AND(FF$2&gt;=$D13,FF$2&lt;=$E13),1,"")))</f>
        <v/>
      </c>
      <c r="FG13" s="38">
        <f>IF(OR(FG$2="",$D13=""),"",IF(AND(ISNUMBER($F13),FG$2&gt;=$F13,FG$2&lt;=IF(ISNUMBER($G13),$G13,$F13+$E13-$D13)),2,IF(AND(FG$2&gt;=$D13,FG$2&lt;=$E13),1,"")))</f>
        <v/>
      </c>
      <c r="FH13" s="38">
        <f>IF(OR(FH$2="",$D13=""),"",IF(AND(ISNUMBER($F13),FH$2&gt;=$F13,FH$2&lt;=IF(ISNUMBER($G13),$G13,$F13+$E13-$D13)),2,IF(AND(FH$2&gt;=$D13,FH$2&lt;=$E13),1,"")))</f>
        <v/>
      </c>
      <c r="FI13" s="38">
        <f>IF(OR(FI$2="",$D13=""),"",IF(AND(ISNUMBER($F13),FI$2&gt;=$F13,FI$2&lt;=IF(ISNUMBER($G13),$G13,$F13+$E13-$D13)),2,IF(AND(FI$2&gt;=$D13,FI$2&lt;=$E13),1,"")))</f>
        <v/>
      </c>
      <c r="FJ13" s="38">
        <f>IF(OR(FJ$2="",$D13=""),"",IF(AND(ISNUMBER($F13),FJ$2&gt;=$F13,FJ$2&lt;=IF(ISNUMBER($G13),$G13,$F13+$E13-$D13)),2,IF(AND(FJ$2&gt;=$D13,FJ$2&lt;=$E13),1,"")))</f>
        <v/>
      </c>
      <c r="FK13" s="38">
        <f>IF(OR(FK$2="",$D13=""),"",IF(AND(ISNUMBER($F13),FK$2&gt;=$F13,FK$2&lt;=IF(ISNUMBER($G13),$G13,$F13+$E13-$D13)),2,IF(AND(FK$2&gt;=$D13,FK$2&lt;=$E13),1,"")))</f>
        <v/>
      </c>
      <c r="FL13" s="38">
        <f>IF(OR(FL$2="",$D13=""),"",IF(AND(ISNUMBER($F13),FL$2&gt;=$F13,FL$2&lt;=IF(ISNUMBER($G13),$G13,$F13+$E13-$D13)),2,IF(AND(FL$2&gt;=$D13,FL$2&lt;=$E13),1,"")))</f>
        <v/>
      </c>
      <c r="FM13" s="38">
        <f>IF(OR(FM$2="",$D13=""),"",IF(AND(ISNUMBER($F13),FM$2&gt;=$F13,FM$2&lt;=IF(ISNUMBER($G13),$G13,$F13+$E13-$D13)),2,IF(AND(FM$2&gt;=$D13,FM$2&lt;=$E13),1,"")))</f>
        <v/>
      </c>
      <c r="FN13" s="38">
        <f>IF(OR(FN$2="",$D13=""),"",IF(AND(ISNUMBER($F13),FN$2&gt;=$F13,FN$2&lt;=IF(ISNUMBER($G13),$G13,$F13+$E13-$D13)),2,IF(AND(FN$2&gt;=$D13,FN$2&lt;=$E13),1,"")))</f>
        <v/>
      </c>
      <c r="FO13" s="38">
        <f>IF(OR(FO$2="",$D13=""),"",IF(AND(ISNUMBER($F13),FO$2&gt;=$F13,FO$2&lt;=IF(ISNUMBER($G13),$G13,$F13+$E13-$D13)),2,IF(AND(FO$2&gt;=$D13,FO$2&lt;=$E13),1,"")))</f>
        <v/>
      </c>
      <c r="FP13" s="38">
        <f>IF(OR(FP$2="",$D13=""),"",IF(AND(ISNUMBER($F13),FP$2&gt;=$F13,FP$2&lt;=IF(ISNUMBER($G13),$G13,$F13+$E13-$D13)),2,IF(AND(FP$2&gt;=$D13,FP$2&lt;=$E13),1,"")))</f>
        <v/>
      </c>
      <c r="FQ13" s="38">
        <f>IF(OR(FQ$2="",$D13=""),"",IF(AND(ISNUMBER($F13),FQ$2&gt;=$F13,FQ$2&lt;=IF(ISNUMBER($G13),$G13,$F13+$E13-$D13)),2,IF(AND(FQ$2&gt;=$D13,FQ$2&lt;=$E13),1,"")))</f>
        <v/>
      </c>
      <c r="FR13" s="38">
        <f>IF(OR(FR$2="",$D13=""),"",IF(AND(ISNUMBER($F13),FR$2&gt;=$F13,FR$2&lt;=IF(ISNUMBER($G13),$G13,$F13+$E13-$D13)),2,IF(AND(FR$2&gt;=$D13,FR$2&lt;=$E13),1,"")))</f>
        <v/>
      </c>
      <c r="FS13" s="38">
        <f>IF(OR(FS$2="",$D13=""),"",IF(AND(ISNUMBER($F13),FS$2&gt;=$F13,FS$2&lt;=IF(ISNUMBER($G13),$G13,$F13+$E13-$D13)),2,IF(AND(FS$2&gt;=$D13,FS$2&lt;=$E13),1,"")))</f>
        <v/>
      </c>
      <c r="FT13" s="38">
        <f>IF(OR(FT$2="",$D13=""),"",IF(AND(ISNUMBER($F13),FT$2&gt;=$F13,FT$2&lt;=IF(ISNUMBER($G13),$G13,$F13+$E13-$D13)),2,IF(AND(FT$2&gt;=$D13,FT$2&lt;=$E13),1,"")))</f>
        <v/>
      </c>
      <c r="FU13" s="38">
        <f>IF(OR(FU$2="",$D13=""),"",IF(AND(ISNUMBER($F13),FU$2&gt;=$F13,FU$2&lt;=IF(ISNUMBER($G13),$G13,$F13+$E13-$D13)),2,IF(AND(FU$2&gt;=$D13,FU$2&lt;=$E13),1,"")))</f>
        <v/>
      </c>
      <c r="FV13" s="38">
        <f>IF(OR(FV$2="",$D13=""),"",IF(AND(ISNUMBER($F13),FV$2&gt;=$F13,FV$2&lt;=IF(ISNUMBER($G13),$G13,$F13+$E13-$D13)),2,IF(AND(FV$2&gt;=$D13,FV$2&lt;=$E13),1,"")))</f>
        <v/>
      </c>
      <c r="FW13" s="38">
        <f>IF(OR(FW$2="",$D13=""),"",IF(AND(ISNUMBER($F13),FW$2&gt;=$F13,FW$2&lt;=IF(ISNUMBER($G13),$G13,$F13+$E13-$D13)),2,IF(AND(FW$2&gt;=$D13,FW$2&lt;=$E13),1,"")))</f>
        <v/>
      </c>
      <c r="FX13" s="38">
        <f>IF(OR(FX$2="",$D13=""),"",IF(AND(ISNUMBER($F13),FX$2&gt;=$F13,FX$2&lt;=IF(ISNUMBER($G13),$G13,$F13+$E13-$D13)),2,IF(AND(FX$2&gt;=$D13,FX$2&lt;=$E13),1,"")))</f>
        <v/>
      </c>
      <c r="FY13" s="38">
        <f>IF(OR(FY$2="",$D13=""),"",IF(AND(ISNUMBER($F13),FY$2&gt;=$F13,FY$2&lt;=IF(ISNUMBER($G13),$G13,$F13+$E13-$D13)),2,IF(AND(FY$2&gt;=$D13,FY$2&lt;=$E13),1,"")))</f>
        <v/>
      </c>
      <c r="FZ13" s="38">
        <f>IF(OR(FZ$2="",$D13=""),"",IF(AND(ISNUMBER($F13),FZ$2&gt;=$F13,FZ$2&lt;=IF(ISNUMBER($G13),$G13,$F13+$E13-$D13)),2,IF(AND(FZ$2&gt;=$D13,FZ$2&lt;=$E13),1,"")))</f>
        <v/>
      </c>
      <c r="GA13" s="38">
        <f>IF(OR(GA$2="",$D13=""),"",IF(AND(ISNUMBER($F13),GA$2&gt;=$F13,GA$2&lt;=IF(ISNUMBER($G13),$G13,$F13+$E13-$D13)),2,IF(AND(GA$2&gt;=$D13,GA$2&lt;=$E13),1,"")))</f>
        <v/>
      </c>
      <c r="GB13" s="38">
        <f>IF(OR(GB$2="",$D13=""),"",IF(AND(ISNUMBER($F13),GB$2&gt;=$F13,GB$2&lt;=IF(ISNUMBER($G13),$G13,$F13+$E13-$D13)),2,IF(AND(GB$2&gt;=$D13,GB$2&lt;=$E13),1,"")))</f>
        <v/>
      </c>
      <c r="GC13" s="38">
        <f>IF(OR(GC$2="",$D13=""),"",IF(AND(ISNUMBER($F13),GC$2&gt;=$F13,GC$2&lt;=IF(ISNUMBER($G13),$G13,$F13+$E13-$D13)),2,IF(AND(GC$2&gt;=$D13,GC$2&lt;=$E13),1,"")))</f>
        <v/>
      </c>
      <c r="GD13" s="38">
        <f>IF(OR(GD$2="",$D13=""),"",IF(AND(ISNUMBER($F13),GD$2&gt;=$F13,GD$2&lt;=IF(ISNUMBER($G13),$G13,$F13+$E13-$D13)),2,IF(AND(GD$2&gt;=$D13,GD$2&lt;=$E13),1,"")))</f>
        <v/>
      </c>
      <c r="GE13" s="38">
        <f>IF(OR(GE$2="",$D13=""),"",IF(AND(ISNUMBER($F13),GE$2&gt;=$F13,GE$2&lt;=IF(ISNUMBER($G13),$G13,$F13+$E13-$D13)),2,IF(AND(GE$2&gt;=$D13,GE$2&lt;=$E13),1,"")))</f>
        <v/>
      </c>
    </row>
    <row r="14">
      <c r="A14" s="36" t="inlineStr">
        <is>
          <t>Panicle checking (PI check)</t>
        </is>
      </c>
      <c r="B14" s="12" t="inlineStr">
        <is>
          <t>পিআই পরীক্ষা</t>
        </is>
      </c>
      <c r="C14" s="12" t="inlineStr">
        <is>
          <t>3F4D+MD</t>
        </is>
      </c>
      <c r="D14" s="7">
        <f>IF(Day_0="","",Day_0+cfg_3+cfg_5)</f>
        <v/>
      </c>
      <c r="E14" s="7">
        <f>IF(D14="","",D14)</f>
        <v/>
      </c>
      <c r="F14" s="37" t="n"/>
      <c r="G14" s="7" t="n"/>
      <c r="H14" s="6">
        <f>IF(D14="","no plan",IF(F14&lt;&gt;"",IF(F14-D14&gt;=2,"LATE","OK"),IF(TODAY()&gt;D14+2,"OVERDUE","upcoming")))</f>
        <v/>
      </c>
      <c r="I14" s="6">
        <f>IF(AND(D14&lt;&gt;"",F14&lt;&gt;""),F14-D14,"")</f>
        <v/>
      </c>
      <c r="J14" s="7">
        <f>IF(F14&lt;&gt;"",F14,D14)</f>
        <v/>
      </c>
      <c r="K14" s="7">
        <f>IF(G14&lt;&gt;"",G14,IF(AND(F14&lt;&gt;"",E14=D14),F14,E14))</f>
        <v/>
      </c>
      <c r="L14" s="6">
        <f>IF(AND(D14&lt;&gt;"",F14="",D14&gt;=TODAY()),D14+ROW()/1000,"")</f>
        <v/>
      </c>
      <c r="M14" s="38">
        <f>IF(OR(M$2="",$D14=""),"",IF(AND(ISNUMBER($F14),M$2&gt;=$F14,M$2&lt;=IF(ISNUMBER($G14),$G14,$F14+$E14-$D14)),2,IF(AND(M$2&gt;=$D14,M$2&lt;=$E14),1,"")))</f>
        <v/>
      </c>
      <c r="N14" s="38">
        <f>IF(OR(N$2="",$D14=""),"",IF(AND(ISNUMBER($F14),N$2&gt;=$F14,N$2&lt;=IF(ISNUMBER($G14),$G14,$F14+$E14-$D14)),2,IF(AND(N$2&gt;=$D14,N$2&lt;=$E14),1,"")))</f>
        <v/>
      </c>
      <c r="O14" s="38">
        <f>IF(OR(O$2="",$D14=""),"",IF(AND(ISNUMBER($F14),O$2&gt;=$F14,O$2&lt;=IF(ISNUMBER($G14),$G14,$F14+$E14-$D14)),2,IF(AND(O$2&gt;=$D14,O$2&lt;=$E14),1,"")))</f>
        <v/>
      </c>
      <c r="P14" s="38">
        <f>IF(OR(P$2="",$D14=""),"",IF(AND(ISNUMBER($F14),P$2&gt;=$F14,P$2&lt;=IF(ISNUMBER($G14),$G14,$F14+$E14-$D14)),2,IF(AND(P$2&gt;=$D14,P$2&lt;=$E14),1,"")))</f>
        <v/>
      </c>
      <c r="Q14" s="38">
        <f>IF(OR(Q$2="",$D14=""),"",IF(AND(ISNUMBER($F14),Q$2&gt;=$F14,Q$2&lt;=IF(ISNUMBER($G14),$G14,$F14+$E14-$D14)),2,IF(AND(Q$2&gt;=$D14,Q$2&lt;=$E14),1,"")))</f>
        <v/>
      </c>
      <c r="R14" s="38">
        <f>IF(OR(R$2="",$D14=""),"",IF(AND(ISNUMBER($F14),R$2&gt;=$F14,R$2&lt;=IF(ISNUMBER($G14),$G14,$F14+$E14-$D14)),2,IF(AND(R$2&gt;=$D14,R$2&lt;=$E14),1,"")))</f>
        <v/>
      </c>
      <c r="S14" s="38">
        <f>IF(OR(S$2="",$D14=""),"",IF(AND(ISNUMBER($F14),S$2&gt;=$F14,S$2&lt;=IF(ISNUMBER($G14),$G14,$F14+$E14-$D14)),2,IF(AND(S$2&gt;=$D14,S$2&lt;=$E14),1,"")))</f>
        <v/>
      </c>
      <c r="T14" s="38">
        <f>IF(OR(T$2="",$D14=""),"",IF(AND(ISNUMBER($F14),T$2&gt;=$F14,T$2&lt;=IF(ISNUMBER($G14),$G14,$F14+$E14-$D14)),2,IF(AND(T$2&gt;=$D14,T$2&lt;=$E14),1,"")))</f>
        <v/>
      </c>
      <c r="U14" s="38">
        <f>IF(OR(U$2="",$D14=""),"",IF(AND(ISNUMBER($F14),U$2&gt;=$F14,U$2&lt;=IF(ISNUMBER($G14),$G14,$F14+$E14-$D14)),2,IF(AND(U$2&gt;=$D14,U$2&lt;=$E14),1,"")))</f>
        <v/>
      </c>
      <c r="V14" s="38">
        <f>IF(OR(V$2="",$D14=""),"",IF(AND(ISNUMBER($F14),V$2&gt;=$F14,V$2&lt;=IF(ISNUMBER($G14),$G14,$F14+$E14-$D14)),2,IF(AND(V$2&gt;=$D14,V$2&lt;=$E14),1,"")))</f>
        <v/>
      </c>
      <c r="W14" s="38">
        <f>IF(OR(W$2="",$D14=""),"",IF(AND(ISNUMBER($F14),W$2&gt;=$F14,W$2&lt;=IF(ISNUMBER($G14),$G14,$F14+$E14-$D14)),2,IF(AND(W$2&gt;=$D14,W$2&lt;=$E14),1,"")))</f>
        <v/>
      </c>
      <c r="X14" s="38">
        <f>IF(OR(X$2="",$D14=""),"",IF(AND(ISNUMBER($F14),X$2&gt;=$F14,X$2&lt;=IF(ISNUMBER($G14),$G14,$F14+$E14-$D14)),2,IF(AND(X$2&gt;=$D14,X$2&lt;=$E14),1,"")))</f>
        <v/>
      </c>
      <c r="Y14" s="38">
        <f>IF(OR(Y$2="",$D14=""),"",IF(AND(ISNUMBER($F14),Y$2&gt;=$F14,Y$2&lt;=IF(ISNUMBER($G14),$G14,$F14+$E14-$D14)),2,IF(AND(Y$2&gt;=$D14,Y$2&lt;=$E14),1,"")))</f>
        <v/>
      </c>
      <c r="Z14" s="38">
        <f>IF(OR(Z$2="",$D14=""),"",IF(AND(ISNUMBER($F14),Z$2&gt;=$F14,Z$2&lt;=IF(ISNUMBER($G14),$G14,$F14+$E14-$D14)),2,IF(AND(Z$2&gt;=$D14,Z$2&lt;=$E14),1,"")))</f>
        <v/>
      </c>
      <c r="AA14" s="38">
        <f>IF(OR(AA$2="",$D14=""),"",IF(AND(ISNUMBER($F14),AA$2&gt;=$F14,AA$2&lt;=IF(ISNUMBER($G14),$G14,$F14+$E14-$D14)),2,IF(AND(AA$2&gt;=$D14,AA$2&lt;=$E14),1,"")))</f>
        <v/>
      </c>
      <c r="AB14" s="38">
        <f>IF(OR(AB$2="",$D14=""),"",IF(AND(ISNUMBER($F14),AB$2&gt;=$F14,AB$2&lt;=IF(ISNUMBER($G14),$G14,$F14+$E14-$D14)),2,IF(AND(AB$2&gt;=$D14,AB$2&lt;=$E14),1,"")))</f>
        <v/>
      </c>
      <c r="AC14" s="38">
        <f>IF(OR(AC$2="",$D14=""),"",IF(AND(ISNUMBER($F14),AC$2&gt;=$F14,AC$2&lt;=IF(ISNUMBER($G14),$G14,$F14+$E14-$D14)),2,IF(AND(AC$2&gt;=$D14,AC$2&lt;=$E14),1,"")))</f>
        <v/>
      </c>
      <c r="AD14" s="38">
        <f>IF(OR(AD$2="",$D14=""),"",IF(AND(ISNUMBER($F14),AD$2&gt;=$F14,AD$2&lt;=IF(ISNUMBER($G14),$G14,$F14+$E14-$D14)),2,IF(AND(AD$2&gt;=$D14,AD$2&lt;=$E14),1,"")))</f>
        <v/>
      </c>
      <c r="AE14" s="38">
        <f>IF(OR(AE$2="",$D14=""),"",IF(AND(ISNUMBER($F14),AE$2&gt;=$F14,AE$2&lt;=IF(ISNUMBER($G14),$G14,$F14+$E14-$D14)),2,IF(AND(AE$2&gt;=$D14,AE$2&lt;=$E14),1,"")))</f>
        <v/>
      </c>
      <c r="AF14" s="38">
        <f>IF(OR(AF$2="",$D14=""),"",IF(AND(ISNUMBER($F14),AF$2&gt;=$F14,AF$2&lt;=IF(ISNUMBER($G14),$G14,$F14+$E14-$D14)),2,IF(AND(AF$2&gt;=$D14,AF$2&lt;=$E14),1,"")))</f>
        <v/>
      </c>
      <c r="AG14" s="38">
        <f>IF(OR(AG$2="",$D14=""),"",IF(AND(ISNUMBER($F14),AG$2&gt;=$F14,AG$2&lt;=IF(ISNUMBER($G14),$G14,$F14+$E14-$D14)),2,IF(AND(AG$2&gt;=$D14,AG$2&lt;=$E14),1,"")))</f>
        <v/>
      </c>
      <c r="AH14" s="38">
        <f>IF(OR(AH$2="",$D14=""),"",IF(AND(ISNUMBER($F14),AH$2&gt;=$F14,AH$2&lt;=IF(ISNUMBER($G14),$G14,$F14+$E14-$D14)),2,IF(AND(AH$2&gt;=$D14,AH$2&lt;=$E14),1,"")))</f>
        <v/>
      </c>
      <c r="AI14" s="38">
        <f>IF(OR(AI$2="",$D14=""),"",IF(AND(ISNUMBER($F14),AI$2&gt;=$F14,AI$2&lt;=IF(ISNUMBER($G14),$G14,$F14+$E14-$D14)),2,IF(AND(AI$2&gt;=$D14,AI$2&lt;=$E14),1,"")))</f>
        <v/>
      </c>
      <c r="AJ14" s="38">
        <f>IF(OR(AJ$2="",$D14=""),"",IF(AND(ISNUMBER($F14),AJ$2&gt;=$F14,AJ$2&lt;=IF(ISNUMBER($G14),$G14,$F14+$E14-$D14)),2,IF(AND(AJ$2&gt;=$D14,AJ$2&lt;=$E14),1,"")))</f>
        <v/>
      </c>
      <c r="AK14" s="38">
        <f>IF(OR(AK$2="",$D14=""),"",IF(AND(ISNUMBER($F14),AK$2&gt;=$F14,AK$2&lt;=IF(ISNUMBER($G14),$G14,$F14+$E14-$D14)),2,IF(AND(AK$2&gt;=$D14,AK$2&lt;=$E14),1,"")))</f>
        <v/>
      </c>
      <c r="AL14" s="38">
        <f>IF(OR(AL$2="",$D14=""),"",IF(AND(ISNUMBER($F14),AL$2&gt;=$F14,AL$2&lt;=IF(ISNUMBER($G14),$G14,$F14+$E14-$D14)),2,IF(AND(AL$2&gt;=$D14,AL$2&lt;=$E14),1,"")))</f>
        <v/>
      </c>
      <c r="AM14" s="38">
        <f>IF(OR(AM$2="",$D14=""),"",IF(AND(ISNUMBER($F14),AM$2&gt;=$F14,AM$2&lt;=IF(ISNUMBER($G14),$G14,$F14+$E14-$D14)),2,IF(AND(AM$2&gt;=$D14,AM$2&lt;=$E14),1,"")))</f>
        <v/>
      </c>
      <c r="AN14" s="38">
        <f>IF(OR(AN$2="",$D14=""),"",IF(AND(ISNUMBER($F14),AN$2&gt;=$F14,AN$2&lt;=IF(ISNUMBER($G14),$G14,$F14+$E14-$D14)),2,IF(AND(AN$2&gt;=$D14,AN$2&lt;=$E14),1,"")))</f>
        <v/>
      </c>
      <c r="AO14" s="38">
        <f>IF(OR(AO$2="",$D14=""),"",IF(AND(ISNUMBER($F14),AO$2&gt;=$F14,AO$2&lt;=IF(ISNUMBER($G14),$G14,$F14+$E14-$D14)),2,IF(AND(AO$2&gt;=$D14,AO$2&lt;=$E14),1,"")))</f>
        <v/>
      </c>
      <c r="AP14" s="38">
        <f>IF(OR(AP$2="",$D14=""),"",IF(AND(ISNUMBER($F14),AP$2&gt;=$F14,AP$2&lt;=IF(ISNUMBER($G14),$G14,$F14+$E14-$D14)),2,IF(AND(AP$2&gt;=$D14,AP$2&lt;=$E14),1,"")))</f>
        <v/>
      </c>
      <c r="AQ14" s="38">
        <f>IF(OR(AQ$2="",$D14=""),"",IF(AND(ISNUMBER($F14),AQ$2&gt;=$F14,AQ$2&lt;=IF(ISNUMBER($G14),$G14,$F14+$E14-$D14)),2,IF(AND(AQ$2&gt;=$D14,AQ$2&lt;=$E14),1,"")))</f>
        <v/>
      </c>
      <c r="AR14" s="38">
        <f>IF(OR(AR$2="",$D14=""),"",IF(AND(ISNUMBER($F14),AR$2&gt;=$F14,AR$2&lt;=IF(ISNUMBER($G14),$G14,$F14+$E14-$D14)),2,IF(AND(AR$2&gt;=$D14,AR$2&lt;=$E14),1,"")))</f>
        <v/>
      </c>
      <c r="AS14" s="38">
        <f>IF(OR(AS$2="",$D14=""),"",IF(AND(ISNUMBER($F14),AS$2&gt;=$F14,AS$2&lt;=IF(ISNUMBER($G14),$G14,$F14+$E14-$D14)),2,IF(AND(AS$2&gt;=$D14,AS$2&lt;=$E14),1,"")))</f>
        <v/>
      </c>
      <c r="AT14" s="38">
        <f>IF(OR(AT$2="",$D14=""),"",IF(AND(ISNUMBER($F14),AT$2&gt;=$F14,AT$2&lt;=IF(ISNUMBER($G14),$G14,$F14+$E14-$D14)),2,IF(AND(AT$2&gt;=$D14,AT$2&lt;=$E14),1,"")))</f>
        <v/>
      </c>
      <c r="AU14" s="38">
        <f>IF(OR(AU$2="",$D14=""),"",IF(AND(ISNUMBER($F14),AU$2&gt;=$F14,AU$2&lt;=IF(ISNUMBER($G14),$G14,$F14+$E14-$D14)),2,IF(AND(AU$2&gt;=$D14,AU$2&lt;=$E14),1,"")))</f>
        <v/>
      </c>
      <c r="AV14" s="38">
        <f>IF(OR(AV$2="",$D14=""),"",IF(AND(ISNUMBER($F14),AV$2&gt;=$F14,AV$2&lt;=IF(ISNUMBER($G14),$G14,$F14+$E14-$D14)),2,IF(AND(AV$2&gt;=$D14,AV$2&lt;=$E14),1,"")))</f>
        <v/>
      </c>
      <c r="AW14" s="38">
        <f>IF(OR(AW$2="",$D14=""),"",IF(AND(ISNUMBER($F14),AW$2&gt;=$F14,AW$2&lt;=IF(ISNUMBER($G14),$G14,$F14+$E14-$D14)),2,IF(AND(AW$2&gt;=$D14,AW$2&lt;=$E14),1,"")))</f>
        <v/>
      </c>
      <c r="AX14" s="38">
        <f>IF(OR(AX$2="",$D14=""),"",IF(AND(ISNUMBER($F14),AX$2&gt;=$F14,AX$2&lt;=IF(ISNUMBER($G14),$G14,$F14+$E14-$D14)),2,IF(AND(AX$2&gt;=$D14,AX$2&lt;=$E14),1,"")))</f>
        <v/>
      </c>
      <c r="AY14" s="38">
        <f>IF(OR(AY$2="",$D14=""),"",IF(AND(ISNUMBER($F14),AY$2&gt;=$F14,AY$2&lt;=IF(ISNUMBER($G14),$G14,$F14+$E14-$D14)),2,IF(AND(AY$2&gt;=$D14,AY$2&lt;=$E14),1,"")))</f>
        <v/>
      </c>
      <c r="AZ14" s="38">
        <f>IF(OR(AZ$2="",$D14=""),"",IF(AND(ISNUMBER($F14),AZ$2&gt;=$F14,AZ$2&lt;=IF(ISNUMBER($G14),$G14,$F14+$E14-$D14)),2,IF(AND(AZ$2&gt;=$D14,AZ$2&lt;=$E14),1,"")))</f>
        <v/>
      </c>
      <c r="BA14" s="38">
        <f>IF(OR(BA$2="",$D14=""),"",IF(AND(ISNUMBER($F14),BA$2&gt;=$F14,BA$2&lt;=IF(ISNUMBER($G14),$G14,$F14+$E14-$D14)),2,IF(AND(BA$2&gt;=$D14,BA$2&lt;=$E14),1,"")))</f>
        <v/>
      </c>
      <c r="BB14" s="38">
        <f>IF(OR(BB$2="",$D14=""),"",IF(AND(ISNUMBER($F14),BB$2&gt;=$F14,BB$2&lt;=IF(ISNUMBER($G14),$G14,$F14+$E14-$D14)),2,IF(AND(BB$2&gt;=$D14,BB$2&lt;=$E14),1,"")))</f>
        <v/>
      </c>
      <c r="BC14" s="38">
        <f>IF(OR(BC$2="",$D14=""),"",IF(AND(ISNUMBER($F14),BC$2&gt;=$F14,BC$2&lt;=IF(ISNUMBER($G14),$G14,$F14+$E14-$D14)),2,IF(AND(BC$2&gt;=$D14,BC$2&lt;=$E14),1,"")))</f>
        <v/>
      </c>
      <c r="BD14" s="38">
        <f>IF(OR(BD$2="",$D14=""),"",IF(AND(ISNUMBER($F14),BD$2&gt;=$F14,BD$2&lt;=IF(ISNUMBER($G14),$G14,$F14+$E14-$D14)),2,IF(AND(BD$2&gt;=$D14,BD$2&lt;=$E14),1,"")))</f>
        <v/>
      </c>
      <c r="BE14" s="38">
        <f>IF(OR(BE$2="",$D14=""),"",IF(AND(ISNUMBER($F14),BE$2&gt;=$F14,BE$2&lt;=IF(ISNUMBER($G14),$G14,$F14+$E14-$D14)),2,IF(AND(BE$2&gt;=$D14,BE$2&lt;=$E14),1,"")))</f>
        <v/>
      </c>
      <c r="BF14" s="38">
        <f>IF(OR(BF$2="",$D14=""),"",IF(AND(ISNUMBER($F14),BF$2&gt;=$F14,BF$2&lt;=IF(ISNUMBER($G14),$G14,$F14+$E14-$D14)),2,IF(AND(BF$2&gt;=$D14,BF$2&lt;=$E14),1,"")))</f>
        <v/>
      </c>
      <c r="BG14" s="38">
        <f>IF(OR(BG$2="",$D14=""),"",IF(AND(ISNUMBER($F14),BG$2&gt;=$F14,BG$2&lt;=IF(ISNUMBER($G14),$G14,$F14+$E14-$D14)),2,IF(AND(BG$2&gt;=$D14,BG$2&lt;=$E14),1,"")))</f>
        <v/>
      </c>
      <c r="BH14" s="38">
        <f>IF(OR(BH$2="",$D14=""),"",IF(AND(ISNUMBER($F14),BH$2&gt;=$F14,BH$2&lt;=IF(ISNUMBER($G14),$G14,$F14+$E14-$D14)),2,IF(AND(BH$2&gt;=$D14,BH$2&lt;=$E14),1,"")))</f>
        <v/>
      </c>
      <c r="BI14" s="38">
        <f>IF(OR(BI$2="",$D14=""),"",IF(AND(ISNUMBER($F14),BI$2&gt;=$F14,BI$2&lt;=IF(ISNUMBER($G14),$G14,$F14+$E14-$D14)),2,IF(AND(BI$2&gt;=$D14,BI$2&lt;=$E14),1,"")))</f>
        <v/>
      </c>
      <c r="BJ14" s="38">
        <f>IF(OR(BJ$2="",$D14=""),"",IF(AND(ISNUMBER($F14),BJ$2&gt;=$F14,BJ$2&lt;=IF(ISNUMBER($G14),$G14,$F14+$E14-$D14)),2,IF(AND(BJ$2&gt;=$D14,BJ$2&lt;=$E14),1,"")))</f>
        <v/>
      </c>
      <c r="BK14" s="38">
        <f>IF(OR(BK$2="",$D14=""),"",IF(AND(ISNUMBER($F14),BK$2&gt;=$F14,BK$2&lt;=IF(ISNUMBER($G14),$G14,$F14+$E14-$D14)),2,IF(AND(BK$2&gt;=$D14,BK$2&lt;=$E14),1,"")))</f>
        <v/>
      </c>
      <c r="BL14" s="38">
        <f>IF(OR(BL$2="",$D14=""),"",IF(AND(ISNUMBER($F14),BL$2&gt;=$F14,BL$2&lt;=IF(ISNUMBER($G14),$G14,$F14+$E14-$D14)),2,IF(AND(BL$2&gt;=$D14,BL$2&lt;=$E14),1,"")))</f>
        <v/>
      </c>
      <c r="BM14" s="38">
        <f>IF(OR(BM$2="",$D14=""),"",IF(AND(ISNUMBER($F14),BM$2&gt;=$F14,BM$2&lt;=IF(ISNUMBER($G14),$G14,$F14+$E14-$D14)),2,IF(AND(BM$2&gt;=$D14,BM$2&lt;=$E14),1,"")))</f>
        <v/>
      </c>
      <c r="BN14" s="38">
        <f>IF(OR(BN$2="",$D14=""),"",IF(AND(ISNUMBER($F14),BN$2&gt;=$F14,BN$2&lt;=IF(ISNUMBER($G14),$G14,$F14+$E14-$D14)),2,IF(AND(BN$2&gt;=$D14,BN$2&lt;=$E14),1,"")))</f>
        <v/>
      </c>
      <c r="BO14" s="38">
        <f>IF(OR(BO$2="",$D14=""),"",IF(AND(ISNUMBER($F14),BO$2&gt;=$F14,BO$2&lt;=IF(ISNUMBER($G14),$G14,$F14+$E14-$D14)),2,IF(AND(BO$2&gt;=$D14,BO$2&lt;=$E14),1,"")))</f>
        <v/>
      </c>
      <c r="BP14" s="38">
        <f>IF(OR(BP$2="",$D14=""),"",IF(AND(ISNUMBER($F14),BP$2&gt;=$F14,BP$2&lt;=IF(ISNUMBER($G14),$G14,$F14+$E14-$D14)),2,IF(AND(BP$2&gt;=$D14,BP$2&lt;=$E14),1,"")))</f>
        <v/>
      </c>
      <c r="BQ14" s="38">
        <f>IF(OR(BQ$2="",$D14=""),"",IF(AND(ISNUMBER($F14),BQ$2&gt;=$F14,BQ$2&lt;=IF(ISNUMBER($G14),$G14,$F14+$E14-$D14)),2,IF(AND(BQ$2&gt;=$D14,BQ$2&lt;=$E14),1,"")))</f>
        <v/>
      </c>
      <c r="BR14" s="38">
        <f>IF(OR(BR$2="",$D14=""),"",IF(AND(ISNUMBER($F14),BR$2&gt;=$F14,BR$2&lt;=IF(ISNUMBER($G14),$G14,$F14+$E14-$D14)),2,IF(AND(BR$2&gt;=$D14,BR$2&lt;=$E14),1,"")))</f>
        <v/>
      </c>
      <c r="BS14" s="38">
        <f>IF(OR(BS$2="",$D14=""),"",IF(AND(ISNUMBER($F14),BS$2&gt;=$F14,BS$2&lt;=IF(ISNUMBER($G14),$G14,$F14+$E14-$D14)),2,IF(AND(BS$2&gt;=$D14,BS$2&lt;=$E14),1,"")))</f>
        <v/>
      </c>
      <c r="BT14" s="38">
        <f>IF(OR(BT$2="",$D14=""),"",IF(AND(ISNUMBER($F14),BT$2&gt;=$F14,BT$2&lt;=IF(ISNUMBER($G14),$G14,$F14+$E14-$D14)),2,IF(AND(BT$2&gt;=$D14,BT$2&lt;=$E14),1,"")))</f>
        <v/>
      </c>
      <c r="BU14" s="38">
        <f>IF(OR(BU$2="",$D14=""),"",IF(AND(ISNUMBER($F14),BU$2&gt;=$F14,BU$2&lt;=IF(ISNUMBER($G14),$G14,$F14+$E14-$D14)),2,IF(AND(BU$2&gt;=$D14,BU$2&lt;=$E14),1,"")))</f>
        <v/>
      </c>
      <c r="BV14" s="38">
        <f>IF(OR(BV$2="",$D14=""),"",IF(AND(ISNUMBER($F14),BV$2&gt;=$F14,BV$2&lt;=IF(ISNUMBER($G14),$G14,$F14+$E14-$D14)),2,IF(AND(BV$2&gt;=$D14,BV$2&lt;=$E14),1,"")))</f>
        <v/>
      </c>
      <c r="BW14" s="38">
        <f>IF(OR(BW$2="",$D14=""),"",IF(AND(ISNUMBER($F14),BW$2&gt;=$F14,BW$2&lt;=IF(ISNUMBER($G14),$G14,$F14+$E14-$D14)),2,IF(AND(BW$2&gt;=$D14,BW$2&lt;=$E14),1,"")))</f>
        <v/>
      </c>
      <c r="BX14" s="38">
        <f>IF(OR(BX$2="",$D14=""),"",IF(AND(ISNUMBER($F14),BX$2&gt;=$F14,BX$2&lt;=IF(ISNUMBER($G14),$G14,$F14+$E14-$D14)),2,IF(AND(BX$2&gt;=$D14,BX$2&lt;=$E14),1,"")))</f>
        <v/>
      </c>
      <c r="BY14" s="38">
        <f>IF(OR(BY$2="",$D14=""),"",IF(AND(ISNUMBER($F14),BY$2&gt;=$F14,BY$2&lt;=IF(ISNUMBER($G14),$G14,$F14+$E14-$D14)),2,IF(AND(BY$2&gt;=$D14,BY$2&lt;=$E14),1,"")))</f>
        <v/>
      </c>
      <c r="BZ14" s="38">
        <f>IF(OR(BZ$2="",$D14=""),"",IF(AND(ISNUMBER($F14),BZ$2&gt;=$F14,BZ$2&lt;=IF(ISNUMBER($G14),$G14,$F14+$E14-$D14)),2,IF(AND(BZ$2&gt;=$D14,BZ$2&lt;=$E14),1,"")))</f>
        <v/>
      </c>
      <c r="CA14" s="38">
        <f>IF(OR(CA$2="",$D14=""),"",IF(AND(ISNUMBER($F14),CA$2&gt;=$F14,CA$2&lt;=IF(ISNUMBER($G14),$G14,$F14+$E14-$D14)),2,IF(AND(CA$2&gt;=$D14,CA$2&lt;=$E14),1,"")))</f>
        <v/>
      </c>
      <c r="CB14" s="38">
        <f>IF(OR(CB$2="",$D14=""),"",IF(AND(ISNUMBER($F14),CB$2&gt;=$F14,CB$2&lt;=IF(ISNUMBER($G14),$G14,$F14+$E14-$D14)),2,IF(AND(CB$2&gt;=$D14,CB$2&lt;=$E14),1,"")))</f>
        <v/>
      </c>
      <c r="CC14" s="38">
        <f>IF(OR(CC$2="",$D14=""),"",IF(AND(ISNUMBER($F14),CC$2&gt;=$F14,CC$2&lt;=IF(ISNUMBER($G14),$G14,$F14+$E14-$D14)),2,IF(AND(CC$2&gt;=$D14,CC$2&lt;=$E14),1,"")))</f>
        <v/>
      </c>
      <c r="CD14" s="38">
        <f>IF(OR(CD$2="",$D14=""),"",IF(AND(ISNUMBER($F14),CD$2&gt;=$F14,CD$2&lt;=IF(ISNUMBER($G14),$G14,$F14+$E14-$D14)),2,IF(AND(CD$2&gt;=$D14,CD$2&lt;=$E14),1,"")))</f>
        <v/>
      </c>
      <c r="CE14" s="38">
        <f>IF(OR(CE$2="",$D14=""),"",IF(AND(ISNUMBER($F14),CE$2&gt;=$F14,CE$2&lt;=IF(ISNUMBER($G14),$G14,$F14+$E14-$D14)),2,IF(AND(CE$2&gt;=$D14,CE$2&lt;=$E14),1,"")))</f>
        <v/>
      </c>
      <c r="CF14" s="38">
        <f>IF(OR(CF$2="",$D14=""),"",IF(AND(ISNUMBER($F14),CF$2&gt;=$F14,CF$2&lt;=IF(ISNUMBER($G14),$G14,$F14+$E14-$D14)),2,IF(AND(CF$2&gt;=$D14,CF$2&lt;=$E14),1,"")))</f>
        <v/>
      </c>
      <c r="CG14" s="38">
        <f>IF(OR(CG$2="",$D14=""),"",IF(AND(ISNUMBER($F14),CG$2&gt;=$F14,CG$2&lt;=IF(ISNUMBER($G14),$G14,$F14+$E14-$D14)),2,IF(AND(CG$2&gt;=$D14,CG$2&lt;=$E14),1,"")))</f>
        <v/>
      </c>
      <c r="CH14" s="38">
        <f>IF(OR(CH$2="",$D14=""),"",IF(AND(ISNUMBER($F14),CH$2&gt;=$F14,CH$2&lt;=IF(ISNUMBER($G14),$G14,$F14+$E14-$D14)),2,IF(AND(CH$2&gt;=$D14,CH$2&lt;=$E14),1,"")))</f>
        <v/>
      </c>
      <c r="CI14" s="38">
        <f>IF(OR(CI$2="",$D14=""),"",IF(AND(ISNUMBER($F14),CI$2&gt;=$F14,CI$2&lt;=IF(ISNUMBER($G14),$G14,$F14+$E14-$D14)),2,IF(AND(CI$2&gt;=$D14,CI$2&lt;=$E14),1,"")))</f>
        <v/>
      </c>
      <c r="CJ14" s="38">
        <f>IF(OR(CJ$2="",$D14=""),"",IF(AND(ISNUMBER($F14),CJ$2&gt;=$F14,CJ$2&lt;=IF(ISNUMBER($G14),$G14,$F14+$E14-$D14)),2,IF(AND(CJ$2&gt;=$D14,CJ$2&lt;=$E14),1,"")))</f>
        <v/>
      </c>
      <c r="CK14" s="38">
        <f>IF(OR(CK$2="",$D14=""),"",IF(AND(ISNUMBER($F14),CK$2&gt;=$F14,CK$2&lt;=IF(ISNUMBER($G14),$G14,$F14+$E14-$D14)),2,IF(AND(CK$2&gt;=$D14,CK$2&lt;=$E14),1,"")))</f>
        <v/>
      </c>
      <c r="CL14" s="38">
        <f>IF(OR(CL$2="",$D14=""),"",IF(AND(ISNUMBER($F14),CL$2&gt;=$F14,CL$2&lt;=IF(ISNUMBER($G14),$G14,$F14+$E14-$D14)),2,IF(AND(CL$2&gt;=$D14,CL$2&lt;=$E14),1,"")))</f>
        <v/>
      </c>
      <c r="CM14" s="38">
        <f>IF(OR(CM$2="",$D14=""),"",IF(AND(ISNUMBER($F14),CM$2&gt;=$F14,CM$2&lt;=IF(ISNUMBER($G14),$G14,$F14+$E14-$D14)),2,IF(AND(CM$2&gt;=$D14,CM$2&lt;=$E14),1,"")))</f>
        <v/>
      </c>
      <c r="CN14" s="38">
        <f>IF(OR(CN$2="",$D14=""),"",IF(AND(ISNUMBER($F14),CN$2&gt;=$F14,CN$2&lt;=IF(ISNUMBER($G14),$G14,$F14+$E14-$D14)),2,IF(AND(CN$2&gt;=$D14,CN$2&lt;=$E14),1,"")))</f>
        <v/>
      </c>
      <c r="CO14" s="38">
        <f>IF(OR(CO$2="",$D14=""),"",IF(AND(ISNUMBER($F14),CO$2&gt;=$F14,CO$2&lt;=IF(ISNUMBER($G14),$G14,$F14+$E14-$D14)),2,IF(AND(CO$2&gt;=$D14,CO$2&lt;=$E14),1,"")))</f>
        <v/>
      </c>
      <c r="CP14" s="38">
        <f>IF(OR(CP$2="",$D14=""),"",IF(AND(ISNUMBER($F14),CP$2&gt;=$F14,CP$2&lt;=IF(ISNUMBER($G14),$G14,$F14+$E14-$D14)),2,IF(AND(CP$2&gt;=$D14,CP$2&lt;=$E14),1,"")))</f>
        <v/>
      </c>
      <c r="CQ14" s="38">
        <f>IF(OR(CQ$2="",$D14=""),"",IF(AND(ISNUMBER($F14),CQ$2&gt;=$F14,CQ$2&lt;=IF(ISNUMBER($G14),$G14,$F14+$E14-$D14)),2,IF(AND(CQ$2&gt;=$D14,CQ$2&lt;=$E14),1,"")))</f>
        <v/>
      </c>
      <c r="CR14" s="38">
        <f>IF(OR(CR$2="",$D14=""),"",IF(AND(ISNUMBER($F14),CR$2&gt;=$F14,CR$2&lt;=IF(ISNUMBER($G14),$G14,$F14+$E14-$D14)),2,IF(AND(CR$2&gt;=$D14,CR$2&lt;=$E14),1,"")))</f>
        <v/>
      </c>
      <c r="CS14" s="38">
        <f>IF(OR(CS$2="",$D14=""),"",IF(AND(ISNUMBER($F14),CS$2&gt;=$F14,CS$2&lt;=IF(ISNUMBER($G14),$G14,$F14+$E14-$D14)),2,IF(AND(CS$2&gt;=$D14,CS$2&lt;=$E14),1,"")))</f>
        <v/>
      </c>
      <c r="CT14" s="38">
        <f>IF(OR(CT$2="",$D14=""),"",IF(AND(ISNUMBER($F14),CT$2&gt;=$F14,CT$2&lt;=IF(ISNUMBER($G14),$G14,$F14+$E14-$D14)),2,IF(AND(CT$2&gt;=$D14,CT$2&lt;=$E14),1,"")))</f>
        <v/>
      </c>
      <c r="CU14" s="38">
        <f>IF(OR(CU$2="",$D14=""),"",IF(AND(ISNUMBER($F14),CU$2&gt;=$F14,CU$2&lt;=IF(ISNUMBER($G14),$G14,$F14+$E14-$D14)),2,IF(AND(CU$2&gt;=$D14,CU$2&lt;=$E14),1,"")))</f>
        <v/>
      </c>
      <c r="CV14" s="38">
        <f>IF(OR(CV$2="",$D14=""),"",IF(AND(ISNUMBER($F14),CV$2&gt;=$F14,CV$2&lt;=IF(ISNUMBER($G14),$G14,$F14+$E14-$D14)),2,IF(AND(CV$2&gt;=$D14,CV$2&lt;=$E14),1,"")))</f>
        <v/>
      </c>
      <c r="CW14" s="38">
        <f>IF(OR(CW$2="",$D14=""),"",IF(AND(ISNUMBER($F14),CW$2&gt;=$F14,CW$2&lt;=IF(ISNUMBER($G14),$G14,$F14+$E14-$D14)),2,IF(AND(CW$2&gt;=$D14,CW$2&lt;=$E14),1,"")))</f>
        <v/>
      </c>
      <c r="CX14" s="38">
        <f>IF(OR(CX$2="",$D14=""),"",IF(AND(ISNUMBER($F14),CX$2&gt;=$F14,CX$2&lt;=IF(ISNUMBER($G14),$G14,$F14+$E14-$D14)),2,IF(AND(CX$2&gt;=$D14,CX$2&lt;=$E14),1,"")))</f>
        <v/>
      </c>
      <c r="CY14" s="38">
        <f>IF(OR(CY$2="",$D14=""),"",IF(AND(ISNUMBER($F14),CY$2&gt;=$F14,CY$2&lt;=IF(ISNUMBER($G14),$G14,$F14+$E14-$D14)),2,IF(AND(CY$2&gt;=$D14,CY$2&lt;=$E14),1,"")))</f>
        <v/>
      </c>
      <c r="CZ14" s="38">
        <f>IF(OR(CZ$2="",$D14=""),"",IF(AND(ISNUMBER($F14),CZ$2&gt;=$F14,CZ$2&lt;=IF(ISNUMBER($G14),$G14,$F14+$E14-$D14)),2,IF(AND(CZ$2&gt;=$D14,CZ$2&lt;=$E14),1,"")))</f>
        <v/>
      </c>
      <c r="DA14" s="38">
        <f>IF(OR(DA$2="",$D14=""),"",IF(AND(ISNUMBER($F14),DA$2&gt;=$F14,DA$2&lt;=IF(ISNUMBER($G14),$G14,$F14+$E14-$D14)),2,IF(AND(DA$2&gt;=$D14,DA$2&lt;=$E14),1,"")))</f>
        <v/>
      </c>
      <c r="DB14" s="38">
        <f>IF(OR(DB$2="",$D14=""),"",IF(AND(ISNUMBER($F14),DB$2&gt;=$F14,DB$2&lt;=IF(ISNUMBER($G14),$G14,$F14+$E14-$D14)),2,IF(AND(DB$2&gt;=$D14,DB$2&lt;=$E14),1,"")))</f>
        <v/>
      </c>
      <c r="DC14" s="38">
        <f>IF(OR(DC$2="",$D14=""),"",IF(AND(ISNUMBER($F14),DC$2&gt;=$F14,DC$2&lt;=IF(ISNUMBER($G14),$G14,$F14+$E14-$D14)),2,IF(AND(DC$2&gt;=$D14,DC$2&lt;=$E14),1,"")))</f>
        <v/>
      </c>
      <c r="DD14" s="38">
        <f>IF(OR(DD$2="",$D14=""),"",IF(AND(ISNUMBER($F14),DD$2&gt;=$F14,DD$2&lt;=IF(ISNUMBER($G14),$G14,$F14+$E14-$D14)),2,IF(AND(DD$2&gt;=$D14,DD$2&lt;=$E14),1,"")))</f>
        <v/>
      </c>
      <c r="DE14" s="38">
        <f>IF(OR(DE$2="",$D14=""),"",IF(AND(ISNUMBER($F14),DE$2&gt;=$F14,DE$2&lt;=IF(ISNUMBER($G14),$G14,$F14+$E14-$D14)),2,IF(AND(DE$2&gt;=$D14,DE$2&lt;=$E14),1,"")))</f>
        <v/>
      </c>
      <c r="DF14" s="38">
        <f>IF(OR(DF$2="",$D14=""),"",IF(AND(ISNUMBER($F14),DF$2&gt;=$F14,DF$2&lt;=IF(ISNUMBER($G14),$G14,$F14+$E14-$D14)),2,IF(AND(DF$2&gt;=$D14,DF$2&lt;=$E14),1,"")))</f>
        <v/>
      </c>
      <c r="DG14" s="38">
        <f>IF(OR(DG$2="",$D14=""),"",IF(AND(ISNUMBER($F14),DG$2&gt;=$F14,DG$2&lt;=IF(ISNUMBER($G14),$G14,$F14+$E14-$D14)),2,IF(AND(DG$2&gt;=$D14,DG$2&lt;=$E14),1,"")))</f>
        <v/>
      </c>
      <c r="DH14" s="38">
        <f>IF(OR(DH$2="",$D14=""),"",IF(AND(ISNUMBER($F14),DH$2&gt;=$F14,DH$2&lt;=IF(ISNUMBER($G14),$G14,$F14+$E14-$D14)),2,IF(AND(DH$2&gt;=$D14,DH$2&lt;=$E14),1,"")))</f>
        <v/>
      </c>
      <c r="DI14" s="38">
        <f>IF(OR(DI$2="",$D14=""),"",IF(AND(ISNUMBER($F14),DI$2&gt;=$F14,DI$2&lt;=IF(ISNUMBER($G14),$G14,$F14+$E14-$D14)),2,IF(AND(DI$2&gt;=$D14,DI$2&lt;=$E14),1,"")))</f>
        <v/>
      </c>
      <c r="DJ14" s="38">
        <f>IF(OR(DJ$2="",$D14=""),"",IF(AND(ISNUMBER($F14),DJ$2&gt;=$F14,DJ$2&lt;=IF(ISNUMBER($G14),$G14,$F14+$E14-$D14)),2,IF(AND(DJ$2&gt;=$D14,DJ$2&lt;=$E14),1,"")))</f>
        <v/>
      </c>
      <c r="DK14" s="38">
        <f>IF(OR(DK$2="",$D14=""),"",IF(AND(ISNUMBER($F14),DK$2&gt;=$F14,DK$2&lt;=IF(ISNUMBER($G14),$G14,$F14+$E14-$D14)),2,IF(AND(DK$2&gt;=$D14,DK$2&lt;=$E14),1,"")))</f>
        <v/>
      </c>
      <c r="DL14" s="38">
        <f>IF(OR(DL$2="",$D14=""),"",IF(AND(ISNUMBER($F14),DL$2&gt;=$F14,DL$2&lt;=IF(ISNUMBER($G14),$G14,$F14+$E14-$D14)),2,IF(AND(DL$2&gt;=$D14,DL$2&lt;=$E14),1,"")))</f>
        <v/>
      </c>
      <c r="DM14" s="38">
        <f>IF(OR(DM$2="",$D14=""),"",IF(AND(ISNUMBER($F14),DM$2&gt;=$F14,DM$2&lt;=IF(ISNUMBER($G14),$G14,$F14+$E14-$D14)),2,IF(AND(DM$2&gt;=$D14,DM$2&lt;=$E14),1,"")))</f>
        <v/>
      </c>
      <c r="DN14" s="38">
        <f>IF(OR(DN$2="",$D14=""),"",IF(AND(ISNUMBER($F14),DN$2&gt;=$F14,DN$2&lt;=IF(ISNUMBER($G14),$G14,$F14+$E14-$D14)),2,IF(AND(DN$2&gt;=$D14,DN$2&lt;=$E14),1,"")))</f>
        <v/>
      </c>
      <c r="DO14" s="38">
        <f>IF(OR(DO$2="",$D14=""),"",IF(AND(ISNUMBER($F14),DO$2&gt;=$F14,DO$2&lt;=IF(ISNUMBER($G14),$G14,$F14+$E14-$D14)),2,IF(AND(DO$2&gt;=$D14,DO$2&lt;=$E14),1,"")))</f>
        <v/>
      </c>
      <c r="DP14" s="38">
        <f>IF(OR(DP$2="",$D14=""),"",IF(AND(ISNUMBER($F14),DP$2&gt;=$F14,DP$2&lt;=IF(ISNUMBER($G14),$G14,$F14+$E14-$D14)),2,IF(AND(DP$2&gt;=$D14,DP$2&lt;=$E14),1,"")))</f>
        <v/>
      </c>
      <c r="DQ14" s="38">
        <f>IF(OR(DQ$2="",$D14=""),"",IF(AND(ISNUMBER($F14),DQ$2&gt;=$F14,DQ$2&lt;=IF(ISNUMBER($G14),$G14,$F14+$E14-$D14)),2,IF(AND(DQ$2&gt;=$D14,DQ$2&lt;=$E14),1,"")))</f>
        <v/>
      </c>
      <c r="DR14" s="38">
        <f>IF(OR(DR$2="",$D14=""),"",IF(AND(ISNUMBER($F14),DR$2&gt;=$F14,DR$2&lt;=IF(ISNUMBER($G14),$G14,$F14+$E14-$D14)),2,IF(AND(DR$2&gt;=$D14,DR$2&lt;=$E14),1,"")))</f>
        <v/>
      </c>
      <c r="DS14" s="38">
        <f>IF(OR(DS$2="",$D14=""),"",IF(AND(ISNUMBER($F14),DS$2&gt;=$F14,DS$2&lt;=IF(ISNUMBER($G14),$G14,$F14+$E14-$D14)),2,IF(AND(DS$2&gt;=$D14,DS$2&lt;=$E14),1,"")))</f>
        <v/>
      </c>
      <c r="DT14" s="38">
        <f>IF(OR(DT$2="",$D14=""),"",IF(AND(ISNUMBER($F14),DT$2&gt;=$F14,DT$2&lt;=IF(ISNUMBER($G14),$G14,$F14+$E14-$D14)),2,IF(AND(DT$2&gt;=$D14,DT$2&lt;=$E14),1,"")))</f>
        <v/>
      </c>
      <c r="DU14" s="38">
        <f>IF(OR(DU$2="",$D14=""),"",IF(AND(ISNUMBER($F14),DU$2&gt;=$F14,DU$2&lt;=IF(ISNUMBER($G14),$G14,$F14+$E14-$D14)),2,IF(AND(DU$2&gt;=$D14,DU$2&lt;=$E14),1,"")))</f>
        <v/>
      </c>
      <c r="DV14" s="38">
        <f>IF(OR(DV$2="",$D14=""),"",IF(AND(ISNUMBER($F14),DV$2&gt;=$F14,DV$2&lt;=IF(ISNUMBER($G14),$G14,$F14+$E14-$D14)),2,IF(AND(DV$2&gt;=$D14,DV$2&lt;=$E14),1,"")))</f>
        <v/>
      </c>
      <c r="DW14" s="38">
        <f>IF(OR(DW$2="",$D14=""),"",IF(AND(ISNUMBER($F14),DW$2&gt;=$F14,DW$2&lt;=IF(ISNUMBER($G14),$G14,$F14+$E14-$D14)),2,IF(AND(DW$2&gt;=$D14,DW$2&lt;=$E14),1,"")))</f>
        <v/>
      </c>
      <c r="DX14" s="38">
        <f>IF(OR(DX$2="",$D14=""),"",IF(AND(ISNUMBER($F14),DX$2&gt;=$F14,DX$2&lt;=IF(ISNUMBER($G14),$G14,$F14+$E14-$D14)),2,IF(AND(DX$2&gt;=$D14,DX$2&lt;=$E14),1,"")))</f>
        <v/>
      </c>
      <c r="DY14" s="38">
        <f>IF(OR(DY$2="",$D14=""),"",IF(AND(ISNUMBER($F14),DY$2&gt;=$F14,DY$2&lt;=IF(ISNUMBER($G14),$G14,$F14+$E14-$D14)),2,IF(AND(DY$2&gt;=$D14,DY$2&lt;=$E14),1,"")))</f>
        <v/>
      </c>
      <c r="DZ14" s="38">
        <f>IF(OR(DZ$2="",$D14=""),"",IF(AND(ISNUMBER($F14),DZ$2&gt;=$F14,DZ$2&lt;=IF(ISNUMBER($G14),$G14,$F14+$E14-$D14)),2,IF(AND(DZ$2&gt;=$D14,DZ$2&lt;=$E14),1,"")))</f>
        <v/>
      </c>
      <c r="EA14" s="38">
        <f>IF(OR(EA$2="",$D14=""),"",IF(AND(ISNUMBER($F14),EA$2&gt;=$F14,EA$2&lt;=IF(ISNUMBER($G14),$G14,$F14+$E14-$D14)),2,IF(AND(EA$2&gt;=$D14,EA$2&lt;=$E14),1,"")))</f>
        <v/>
      </c>
      <c r="EB14" s="38">
        <f>IF(OR(EB$2="",$D14=""),"",IF(AND(ISNUMBER($F14),EB$2&gt;=$F14,EB$2&lt;=IF(ISNUMBER($G14),$G14,$F14+$E14-$D14)),2,IF(AND(EB$2&gt;=$D14,EB$2&lt;=$E14),1,"")))</f>
        <v/>
      </c>
      <c r="EC14" s="38">
        <f>IF(OR(EC$2="",$D14=""),"",IF(AND(ISNUMBER($F14),EC$2&gt;=$F14,EC$2&lt;=IF(ISNUMBER($G14),$G14,$F14+$E14-$D14)),2,IF(AND(EC$2&gt;=$D14,EC$2&lt;=$E14),1,"")))</f>
        <v/>
      </c>
      <c r="ED14" s="38">
        <f>IF(OR(ED$2="",$D14=""),"",IF(AND(ISNUMBER($F14),ED$2&gt;=$F14,ED$2&lt;=IF(ISNUMBER($G14),$G14,$F14+$E14-$D14)),2,IF(AND(ED$2&gt;=$D14,ED$2&lt;=$E14),1,"")))</f>
        <v/>
      </c>
      <c r="EE14" s="38">
        <f>IF(OR(EE$2="",$D14=""),"",IF(AND(ISNUMBER($F14),EE$2&gt;=$F14,EE$2&lt;=IF(ISNUMBER($G14),$G14,$F14+$E14-$D14)),2,IF(AND(EE$2&gt;=$D14,EE$2&lt;=$E14),1,"")))</f>
        <v/>
      </c>
      <c r="EF14" s="38">
        <f>IF(OR(EF$2="",$D14=""),"",IF(AND(ISNUMBER($F14),EF$2&gt;=$F14,EF$2&lt;=IF(ISNUMBER($G14),$G14,$F14+$E14-$D14)),2,IF(AND(EF$2&gt;=$D14,EF$2&lt;=$E14),1,"")))</f>
        <v/>
      </c>
      <c r="EG14" s="38">
        <f>IF(OR(EG$2="",$D14=""),"",IF(AND(ISNUMBER($F14),EG$2&gt;=$F14,EG$2&lt;=IF(ISNUMBER($G14),$G14,$F14+$E14-$D14)),2,IF(AND(EG$2&gt;=$D14,EG$2&lt;=$E14),1,"")))</f>
        <v/>
      </c>
      <c r="EH14" s="38">
        <f>IF(OR(EH$2="",$D14=""),"",IF(AND(ISNUMBER($F14),EH$2&gt;=$F14,EH$2&lt;=IF(ISNUMBER($G14),$G14,$F14+$E14-$D14)),2,IF(AND(EH$2&gt;=$D14,EH$2&lt;=$E14),1,"")))</f>
        <v/>
      </c>
      <c r="EI14" s="38">
        <f>IF(OR(EI$2="",$D14=""),"",IF(AND(ISNUMBER($F14),EI$2&gt;=$F14,EI$2&lt;=IF(ISNUMBER($G14),$G14,$F14+$E14-$D14)),2,IF(AND(EI$2&gt;=$D14,EI$2&lt;=$E14),1,"")))</f>
        <v/>
      </c>
      <c r="EJ14" s="38">
        <f>IF(OR(EJ$2="",$D14=""),"",IF(AND(ISNUMBER($F14),EJ$2&gt;=$F14,EJ$2&lt;=IF(ISNUMBER($G14),$G14,$F14+$E14-$D14)),2,IF(AND(EJ$2&gt;=$D14,EJ$2&lt;=$E14),1,"")))</f>
        <v/>
      </c>
      <c r="EK14" s="38">
        <f>IF(OR(EK$2="",$D14=""),"",IF(AND(ISNUMBER($F14),EK$2&gt;=$F14,EK$2&lt;=IF(ISNUMBER($G14),$G14,$F14+$E14-$D14)),2,IF(AND(EK$2&gt;=$D14,EK$2&lt;=$E14),1,"")))</f>
        <v/>
      </c>
      <c r="EL14" s="38">
        <f>IF(OR(EL$2="",$D14=""),"",IF(AND(ISNUMBER($F14),EL$2&gt;=$F14,EL$2&lt;=IF(ISNUMBER($G14),$G14,$F14+$E14-$D14)),2,IF(AND(EL$2&gt;=$D14,EL$2&lt;=$E14),1,"")))</f>
        <v/>
      </c>
      <c r="EM14" s="38">
        <f>IF(OR(EM$2="",$D14=""),"",IF(AND(ISNUMBER($F14),EM$2&gt;=$F14,EM$2&lt;=IF(ISNUMBER($G14),$G14,$F14+$E14-$D14)),2,IF(AND(EM$2&gt;=$D14,EM$2&lt;=$E14),1,"")))</f>
        <v/>
      </c>
      <c r="EN14" s="38">
        <f>IF(OR(EN$2="",$D14=""),"",IF(AND(ISNUMBER($F14),EN$2&gt;=$F14,EN$2&lt;=IF(ISNUMBER($G14),$G14,$F14+$E14-$D14)),2,IF(AND(EN$2&gt;=$D14,EN$2&lt;=$E14),1,"")))</f>
        <v/>
      </c>
      <c r="EO14" s="38">
        <f>IF(OR(EO$2="",$D14=""),"",IF(AND(ISNUMBER($F14),EO$2&gt;=$F14,EO$2&lt;=IF(ISNUMBER($G14),$G14,$F14+$E14-$D14)),2,IF(AND(EO$2&gt;=$D14,EO$2&lt;=$E14),1,"")))</f>
        <v/>
      </c>
      <c r="EP14" s="38">
        <f>IF(OR(EP$2="",$D14=""),"",IF(AND(ISNUMBER($F14),EP$2&gt;=$F14,EP$2&lt;=IF(ISNUMBER($G14),$G14,$F14+$E14-$D14)),2,IF(AND(EP$2&gt;=$D14,EP$2&lt;=$E14),1,"")))</f>
        <v/>
      </c>
      <c r="EQ14" s="38">
        <f>IF(OR(EQ$2="",$D14=""),"",IF(AND(ISNUMBER($F14),EQ$2&gt;=$F14,EQ$2&lt;=IF(ISNUMBER($G14),$G14,$F14+$E14-$D14)),2,IF(AND(EQ$2&gt;=$D14,EQ$2&lt;=$E14),1,"")))</f>
        <v/>
      </c>
      <c r="ER14" s="38">
        <f>IF(OR(ER$2="",$D14=""),"",IF(AND(ISNUMBER($F14),ER$2&gt;=$F14,ER$2&lt;=IF(ISNUMBER($G14),$G14,$F14+$E14-$D14)),2,IF(AND(ER$2&gt;=$D14,ER$2&lt;=$E14),1,"")))</f>
        <v/>
      </c>
      <c r="ES14" s="38">
        <f>IF(OR(ES$2="",$D14=""),"",IF(AND(ISNUMBER($F14),ES$2&gt;=$F14,ES$2&lt;=IF(ISNUMBER($G14),$G14,$F14+$E14-$D14)),2,IF(AND(ES$2&gt;=$D14,ES$2&lt;=$E14),1,"")))</f>
        <v/>
      </c>
      <c r="ET14" s="38">
        <f>IF(OR(ET$2="",$D14=""),"",IF(AND(ISNUMBER($F14),ET$2&gt;=$F14,ET$2&lt;=IF(ISNUMBER($G14),$G14,$F14+$E14-$D14)),2,IF(AND(ET$2&gt;=$D14,ET$2&lt;=$E14),1,"")))</f>
        <v/>
      </c>
      <c r="EU14" s="38">
        <f>IF(OR(EU$2="",$D14=""),"",IF(AND(ISNUMBER($F14),EU$2&gt;=$F14,EU$2&lt;=IF(ISNUMBER($G14),$G14,$F14+$E14-$D14)),2,IF(AND(EU$2&gt;=$D14,EU$2&lt;=$E14),1,"")))</f>
        <v/>
      </c>
      <c r="EV14" s="38">
        <f>IF(OR(EV$2="",$D14=""),"",IF(AND(ISNUMBER($F14),EV$2&gt;=$F14,EV$2&lt;=IF(ISNUMBER($G14),$G14,$F14+$E14-$D14)),2,IF(AND(EV$2&gt;=$D14,EV$2&lt;=$E14),1,"")))</f>
        <v/>
      </c>
      <c r="EW14" s="38">
        <f>IF(OR(EW$2="",$D14=""),"",IF(AND(ISNUMBER($F14),EW$2&gt;=$F14,EW$2&lt;=IF(ISNUMBER($G14),$G14,$F14+$E14-$D14)),2,IF(AND(EW$2&gt;=$D14,EW$2&lt;=$E14),1,"")))</f>
        <v/>
      </c>
      <c r="EX14" s="38">
        <f>IF(OR(EX$2="",$D14=""),"",IF(AND(ISNUMBER($F14),EX$2&gt;=$F14,EX$2&lt;=IF(ISNUMBER($G14),$G14,$F14+$E14-$D14)),2,IF(AND(EX$2&gt;=$D14,EX$2&lt;=$E14),1,"")))</f>
        <v/>
      </c>
      <c r="EY14" s="38">
        <f>IF(OR(EY$2="",$D14=""),"",IF(AND(ISNUMBER($F14),EY$2&gt;=$F14,EY$2&lt;=IF(ISNUMBER($G14),$G14,$F14+$E14-$D14)),2,IF(AND(EY$2&gt;=$D14,EY$2&lt;=$E14),1,"")))</f>
        <v/>
      </c>
      <c r="EZ14" s="38">
        <f>IF(OR(EZ$2="",$D14=""),"",IF(AND(ISNUMBER($F14),EZ$2&gt;=$F14,EZ$2&lt;=IF(ISNUMBER($G14),$G14,$F14+$E14-$D14)),2,IF(AND(EZ$2&gt;=$D14,EZ$2&lt;=$E14),1,"")))</f>
        <v/>
      </c>
      <c r="FA14" s="38">
        <f>IF(OR(FA$2="",$D14=""),"",IF(AND(ISNUMBER($F14),FA$2&gt;=$F14,FA$2&lt;=IF(ISNUMBER($G14),$G14,$F14+$E14-$D14)),2,IF(AND(FA$2&gt;=$D14,FA$2&lt;=$E14),1,"")))</f>
        <v/>
      </c>
      <c r="FB14" s="38">
        <f>IF(OR(FB$2="",$D14=""),"",IF(AND(ISNUMBER($F14),FB$2&gt;=$F14,FB$2&lt;=IF(ISNUMBER($G14),$G14,$F14+$E14-$D14)),2,IF(AND(FB$2&gt;=$D14,FB$2&lt;=$E14),1,"")))</f>
        <v/>
      </c>
      <c r="FC14" s="38">
        <f>IF(OR(FC$2="",$D14=""),"",IF(AND(ISNUMBER($F14),FC$2&gt;=$F14,FC$2&lt;=IF(ISNUMBER($G14),$G14,$F14+$E14-$D14)),2,IF(AND(FC$2&gt;=$D14,FC$2&lt;=$E14),1,"")))</f>
        <v/>
      </c>
      <c r="FD14" s="38">
        <f>IF(OR(FD$2="",$D14=""),"",IF(AND(ISNUMBER($F14),FD$2&gt;=$F14,FD$2&lt;=IF(ISNUMBER($G14),$G14,$F14+$E14-$D14)),2,IF(AND(FD$2&gt;=$D14,FD$2&lt;=$E14),1,"")))</f>
        <v/>
      </c>
      <c r="FE14" s="38">
        <f>IF(OR(FE$2="",$D14=""),"",IF(AND(ISNUMBER($F14),FE$2&gt;=$F14,FE$2&lt;=IF(ISNUMBER($G14),$G14,$F14+$E14-$D14)),2,IF(AND(FE$2&gt;=$D14,FE$2&lt;=$E14),1,"")))</f>
        <v/>
      </c>
      <c r="FF14" s="38">
        <f>IF(OR(FF$2="",$D14=""),"",IF(AND(ISNUMBER($F14),FF$2&gt;=$F14,FF$2&lt;=IF(ISNUMBER($G14),$G14,$F14+$E14-$D14)),2,IF(AND(FF$2&gt;=$D14,FF$2&lt;=$E14),1,"")))</f>
        <v/>
      </c>
      <c r="FG14" s="38">
        <f>IF(OR(FG$2="",$D14=""),"",IF(AND(ISNUMBER($F14),FG$2&gt;=$F14,FG$2&lt;=IF(ISNUMBER($G14),$G14,$F14+$E14-$D14)),2,IF(AND(FG$2&gt;=$D14,FG$2&lt;=$E14),1,"")))</f>
        <v/>
      </c>
      <c r="FH14" s="38">
        <f>IF(OR(FH$2="",$D14=""),"",IF(AND(ISNUMBER($F14),FH$2&gt;=$F14,FH$2&lt;=IF(ISNUMBER($G14),$G14,$F14+$E14-$D14)),2,IF(AND(FH$2&gt;=$D14,FH$2&lt;=$E14),1,"")))</f>
        <v/>
      </c>
      <c r="FI14" s="38">
        <f>IF(OR(FI$2="",$D14=""),"",IF(AND(ISNUMBER($F14),FI$2&gt;=$F14,FI$2&lt;=IF(ISNUMBER($G14),$G14,$F14+$E14-$D14)),2,IF(AND(FI$2&gt;=$D14,FI$2&lt;=$E14),1,"")))</f>
        <v/>
      </c>
      <c r="FJ14" s="38">
        <f>IF(OR(FJ$2="",$D14=""),"",IF(AND(ISNUMBER($F14),FJ$2&gt;=$F14,FJ$2&lt;=IF(ISNUMBER($G14),$G14,$F14+$E14-$D14)),2,IF(AND(FJ$2&gt;=$D14,FJ$2&lt;=$E14),1,"")))</f>
        <v/>
      </c>
      <c r="FK14" s="38">
        <f>IF(OR(FK$2="",$D14=""),"",IF(AND(ISNUMBER($F14),FK$2&gt;=$F14,FK$2&lt;=IF(ISNUMBER($G14),$G14,$F14+$E14-$D14)),2,IF(AND(FK$2&gt;=$D14,FK$2&lt;=$E14),1,"")))</f>
        <v/>
      </c>
      <c r="FL14" s="38">
        <f>IF(OR(FL$2="",$D14=""),"",IF(AND(ISNUMBER($F14),FL$2&gt;=$F14,FL$2&lt;=IF(ISNUMBER($G14),$G14,$F14+$E14-$D14)),2,IF(AND(FL$2&gt;=$D14,FL$2&lt;=$E14),1,"")))</f>
        <v/>
      </c>
      <c r="FM14" s="38">
        <f>IF(OR(FM$2="",$D14=""),"",IF(AND(ISNUMBER($F14),FM$2&gt;=$F14,FM$2&lt;=IF(ISNUMBER($G14),$G14,$F14+$E14-$D14)),2,IF(AND(FM$2&gt;=$D14,FM$2&lt;=$E14),1,"")))</f>
        <v/>
      </c>
      <c r="FN14" s="38">
        <f>IF(OR(FN$2="",$D14=""),"",IF(AND(ISNUMBER($F14),FN$2&gt;=$F14,FN$2&lt;=IF(ISNUMBER($G14),$G14,$F14+$E14-$D14)),2,IF(AND(FN$2&gt;=$D14,FN$2&lt;=$E14),1,"")))</f>
        <v/>
      </c>
      <c r="FO14" s="38">
        <f>IF(OR(FO$2="",$D14=""),"",IF(AND(ISNUMBER($F14),FO$2&gt;=$F14,FO$2&lt;=IF(ISNUMBER($G14),$G14,$F14+$E14-$D14)),2,IF(AND(FO$2&gt;=$D14,FO$2&lt;=$E14),1,"")))</f>
        <v/>
      </c>
      <c r="FP14" s="38">
        <f>IF(OR(FP$2="",$D14=""),"",IF(AND(ISNUMBER($F14),FP$2&gt;=$F14,FP$2&lt;=IF(ISNUMBER($G14),$G14,$F14+$E14-$D14)),2,IF(AND(FP$2&gt;=$D14,FP$2&lt;=$E14),1,"")))</f>
        <v/>
      </c>
      <c r="FQ14" s="38">
        <f>IF(OR(FQ$2="",$D14=""),"",IF(AND(ISNUMBER($F14),FQ$2&gt;=$F14,FQ$2&lt;=IF(ISNUMBER($G14),$G14,$F14+$E14-$D14)),2,IF(AND(FQ$2&gt;=$D14,FQ$2&lt;=$E14),1,"")))</f>
        <v/>
      </c>
      <c r="FR14" s="38">
        <f>IF(OR(FR$2="",$D14=""),"",IF(AND(ISNUMBER($F14),FR$2&gt;=$F14,FR$2&lt;=IF(ISNUMBER($G14),$G14,$F14+$E14-$D14)),2,IF(AND(FR$2&gt;=$D14,FR$2&lt;=$E14),1,"")))</f>
        <v/>
      </c>
      <c r="FS14" s="38">
        <f>IF(OR(FS$2="",$D14=""),"",IF(AND(ISNUMBER($F14),FS$2&gt;=$F14,FS$2&lt;=IF(ISNUMBER($G14),$G14,$F14+$E14-$D14)),2,IF(AND(FS$2&gt;=$D14,FS$2&lt;=$E14),1,"")))</f>
        <v/>
      </c>
      <c r="FT14" s="38">
        <f>IF(OR(FT$2="",$D14=""),"",IF(AND(ISNUMBER($F14),FT$2&gt;=$F14,FT$2&lt;=IF(ISNUMBER($G14),$G14,$F14+$E14-$D14)),2,IF(AND(FT$2&gt;=$D14,FT$2&lt;=$E14),1,"")))</f>
        <v/>
      </c>
      <c r="FU14" s="38">
        <f>IF(OR(FU$2="",$D14=""),"",IF(AND(ISNUMBER($F14),FU$2&gt;=$F14,FU$2&lt;=IF(ISNUMBER($G14),$G14,$F14+$E14-$D14)),2,IF(AND(FU$2&gt;=$D14,FU$2&lt;=$E14),1,"")))</f>
        <v/>
      </c>
      <c r="FV14" s="38">
        <f>IF(OR(FV$2="",$D14=""),"",IF(AND(ISNUMBER($F14),FV$2&gt;=$F14,FV$2&lt;=IF(ISNUMBER($G14),$G14,$F14+$E14-$D14)),2,IF(AND(FV$2&gt;=$D14,FV$2&lt;=$E14),1,"")))</f>
        <v/>
      </c>
      <c r="FW14" s="38">
        <f>IF(OR(FW$2="",$D14=""),"",IF(AND(ISNUMBER($F14),FW$2&gt;=$F14,FW$2&lt;=IF(ISNUMBER($G14),$G14,$F14+$E14-$D14)),2,IF(AND(FW$2&gt;=$D14,FW$2&lt;=$E14),1,"")))</f>
        <v/>
      </c>
      <c r="FX14" s="38">
        <f>IF(OR(FX$2="",$D14=""),"",IF(AND(ISNUMBER($F14),FX$2&gt;=$F14,FX$2&lt;=IF(ISNUMBER($G14),$G14,$F14+$E14-$D14)),2,IF(AND(FX$2&gt;=$D14,FX$2&lt;=$E14),1,"")))</f>
        <v/>
      </c>
      <c r="FY14" s="38">
        <f>IF(OR(FY$2="",$D14=""),"",IF(AND(ISNUMBER($F14),FY$2&gt;=$F14,FY$2&lt;=IF(ISNUMBER($G14),$G14,$F14+$E14-$D14)),2,IF(AND(FY$2&gt;=$D14,FY$2&lt;=$E14),1,"")))</f>
        <v/>
      </c>
      <c r="FZ14" s="38">
        <f>IF(OR(FZ$2="",$D14=""),"",IF(AND(ISNUMBER($F14),FZ$2&gt;=$F14,FZ$2&lt;=IF(ISNUMBER($G14),$G14,$F14+$E14-$D14)),2,IF(AND(FZ$2&gt;=$D14,FZ$2&lt;=$E14),1,"")))</f>
        <v/>
      </c>
      <c r="GA14" s="38">
        <f>IF(OR(GA$2="",$D14=""),"",IF(AND(ISNUMBER($F14),GA$2&gt;=$F14,GA$2&lt;=IF(ISNUMBER($G14),$G14,$F14+$E14-$D14)),2,IF(AND(GA$2&gt;=$D14,GA$2&lt;=$E14),1,"")))</f>
        <v/>
      </c>
      <c r="GB14" s="38">
        <f>IF(OR(GB$2="",$D14=""),"",IF(AND(ISNUMBER($F14),GB$2&gt;=$F14,GB$2&lt;=IF(ISNUMBER($G14),$G14,$F14+$E14-$D14)),2,IF(AND(GB$2&gt;=$D14,GB$2&lt;=$E14),1,"")))</f>
        <v/>
      </c>
      <c r="GC14" s="38">
        <f>IF(OR(GC$2="",$D14=""),"",IF(AND(ISNUMBER($F14),GC$2&gt;=$F14,GC$2&lt;=IF(ISNUMBER($G14),$G14,$F14+$E14-$D14)),2,IF(AND(GC$2&gt;=$D14,GC$2&lt;=$E14),1,"")))</f>
        <v/>
      </c>
      <c r="GD14" s="38">
        <f>IF(OR(GD$2="",$D14=""),"",IF(AND(ISNUMBER($F14),GD$2&gt;=$F14,GD$2&lt;=IF(ISNUMBER($G14),$G14,$F14+$E14-$D14)),2,IF(AND(GD$2&gt;=$D14,GD$2&lt;=$E14),1,"")))</f>
        <v/>
      </c>
      <c r="GE14" s="38">
        <f>IF(OR(GE$2="",$D14=""),"",IF(AND(ISNUMBER($F14),GE$2&gt;=$F14,GE$2&lt;=IF(ISNUMBER($G14),$G14,$F14+$E14-$D14)),2,IF(AND(GE$2&gt;=$D14,GE$2&lt;=$E14),1,"")))</f>
        <v/>
      </c>
    </row>
    <row r="15">
      <c r="A15" s="36" t="inlineStr">
        <is>
          <t>Flooding (panicle initiation)</t>
        </is>
      </c>
      <c r="B15" s="12" t="inlineStr">
        <is>
          <t>প্লাবন</t>
        </is>
      </c>
      <c r="C15" s="12" t="inlineStr">
        <is>
          <t>3F4D+MD</t>
        </is>
      </c>
      <c r="D15" s="7">
        <f>IF(Day_0="","",Day_0+cfg_6-cfg_7)</f>
        <v/>
      </c>
      <c r="E15" s="7">
        <f>IF(Day_0="","",Day_0+cfg_6-cfg_8)</f>
        <v/>
      </c>
      <c r="F15" s="37" t="n"/>
      <c r="G15" s="37" t="n"/>
      <c r="H15" s="6">
        <f>IF(D15="","no plan",IF(F15&lt;&gt;"",IF(F15-D15&gt;=2,"LATE","OK"),IF(TODAY()&gt;D15+2,"OVERDUE","upcoming")))</f>
        <v/>
      </c>
      <c r="I15" s="6">
        <f>IF(AND(D15&lt;&gt;"",F15&lt;&gt;""),F15-D15,"")</f>
        <v/>
      </c>
      <c r="J15" s="7">
        <f>IF(F15&lt;&gt;"",F15,D15)</f>
        <v/>
      </c>
      <c r="K15" s="7">
        <f>IF(G15&lt;&gt;"",G15,IF(AND(F15&lt;&gt;"",E15=D15),F15,E15))</f>
        <v/>
      </c>
      <c r="L15" s="6">
        <f>IF(AND(D15&lt;&gt;"",F15="",D15&gt;=TODAY()),D15+ROW()/1000,"")</f>
        <v/>
      </c>
      <c r="M15" s="38">
        <f>IF(OR(M$2="",$D15=""),"",IF(AND(ISNUMBER($F15),M$2&gt;=$F15,M$2&lt;=IF(ISNUMBER($G15),$G15,$F15+$E15-$D15)),2,IF(AND(M$2&gt;=$D15,M$2&lt;=$E15),1,"")))</f>
        <v/>
      </c>
      <c r="N15" s="38">
        <f>IF(OR(N$2="",$D15=""),"",IF(AND(ISNUMBER($F15),N$2&gt;=$F15,N$2&lt;=IF(ISNUMBER($G15),$G15,$F15+$E15-$D15)),2,IF(AND(N$2&gt;=$D15,N$2&lt;=$E15),1,"")))</f>
        <v/>
      </c>
      <c r="O15" s="38">
        <f>IF(OR(O$2="",$D15=""),"",IF(AND(ISNUMBER($F15),O$2&gt;=$F15,O$2&lt;=IF(ISNUMBER($G15),$G15,$F15+$E15-$D15)),2,IF(AND(O$2&gt;=$D15,O$2&lt;=$E15),1,"")))</f>
        <v/>
      </c>
      <c r="P15" s="38">
        <f>IF(OR(P$2="",$D15=""),"",IF(AND(ISNUMBER($F15),P$2&gt;=$F15,P$2&lt;=IF(ISNUMBER($G15),$G15,$F15+$E15-$D15)),2,IF(AND(P$2&gt;=$D15,P$2&lt;=$E15),1,"")))</f>
        <v/>
      </c>
      <c r="Q15" s="38">
        <f>IF(OR(Q$2="",$D15=""),"",IF(AND(ISNUMBER($F15),Q$2&gt;=$F15,Q$2&lt;=IF(ISNUMBER($G15),$G15,$F15+$E15-$D15)),2,IF(AND(Q$2&gt;=$D15,Q$2&lt;=$E15),1,"")))</f>
        <v/>
      </c>
      <c r="R15" s="38">
        <f>IF(OR(R$2="",$D15=""),"",IF(AND(ISNUMBER($F15),R$2&gt;=$F15,R$2&lt;=IF(ISNUMBER($G15),$G15,$F15+$E15-$D15)),2,IF(AND(R$2&gt;=$D15,R$2&lt;=$E15),1,"")))</f>
        <v/>
      </c>
      <c r="S15" s="38">
        <f>IF(OR(S$2="",$D15=""),"",IF(AND(ISNUMBER($F15),S$2&gt;=$F15,S$2&lt;=IF(ISNUMBER($G15),$G15,$F15+$E15-$D15)),2,IF(AND(S$2&gt;=$D15,S$2&lt;=$E15),1,"")))</f>
        <v/>
      </c>
      <c r="T15" s="38">
        <f>IF(OR(T$2="",$D15=""),"",IF(AND(ISNUMBER($F15),T$2&gt;=$F15,T$2&lt;=IF(ISNUMBER($G15),$G15,$F15+$E15-$D15)),2,IF(AND(T$2&gt;=$D15,T$2&lt;=$E15),1,"")))</f>
        <v/>
      </c>
      <c r="U15" s="38">
        <f>IF(OR(U$2="",$D15=""),"",IF(AND(ISNUMBER($F15),U$2&gt;=$F15,U$2&lt;=IF(ISNUMBER($G15),$G15,$F15+$E15-$D15)),2,IF(AND(U$2&gt;=$D15,U$2&lt;=$E15),1,"")))</f>
        <v/>
      </c>
      <c r="V15" s="38">
        <f>IF(OR(V$2="",$D15=""),"",IF(AND(ISNUMBER($F15),V$2&gt;=$F15,V$2&lt;=IF(ISNUMBER($G15),$G15,$F15+$E15-$D15)),2,IF(AND(V$2&gt;=$D15,V$2&lt;=$E15),1,"")))</f>
        <v/>
      </c>
      <c r="W15" s="38">
        <f>IF(OR(W$2="",$D15=""),"",IF(AND(ISNUMBER($F15),W$2&gt;=$F15,W$2&lt;=IF(ISNUMBER($G15),$G15,$F15+$E15-$D15)),2,IF(AND(W$2&gt;=$D15,W$2&lt;=$E15),1,"")))</f>
        <v/>
      </c>
      <c r="X15" s="38">
        <f>IF(OR(X$2="",$D15=""),"",IF(AND(ISNUMBER($F15),X$2&gt;=$F15,X$2&lt;=IF(ISNUMBER($G15),$G15,$F15+$E15-$D15)),2,IF(AND(X$2&gt;=$D15,X$2&lt;=$E15),1,"")))</f>
        <v/>
      </c>
      <c r="Y15" s="38">
        <f>IF(OR(Y$2="",$D15=""),"",IF(AND(ISNUMBER($F15),Y$2&gt;=$F15,Y$2&lt;=IF(ISNUMBER($G15),$G15,$F15+$E15-$D15)),2,IF(AND(Y$2&gt;=$D15,Y$2&lt;=$E15),1,"")))</f>
        <v/>
      </c>
      <c r="Z15" s="38">
        <f>IF(OR(Z$2="",$D15=""),"",IF(AND(ISNUMBER($F15),Z$2&gt;=$F15,Z$2&lt;=IF(ISNUMBER($G15),$G15,$F15+$E15-$D15)),2,IF(AND(Z$2&gt;=$D15,Z$2&lt;=$E15),1,"")))</f>
        <v/>
      </c>
      <c r="AA15" s="38">
        <f>IF(OR(AA$2="",$D15=""),"",IF(AND(ISNUMBER($F15),AA$2&gt;=$F15,AA$2&lt;=IF(ISNUMBER($G15),$G15,$F15+$E15-$D15)),2,IF(AND(AA$2&gt;=$D15,AA$2&lt;=$E15),1,"")))</f>
        <v/>
      </c>
      <c r="AB15" s="38">
        <f>IF(OR(AB$2="",$D15=""),"",IF(AND(ISNUMBER($F15),AB$2&gt;=$F15,AB$2&lt;=IF(ISNUMBER($G15),$G15,$F15+$E15-$D15)),2,IF(AND(AB$2&gt;=$D15,AB$2&lt;=$E15),1,"")))</f>
        <v/>
      </c>
      <c r="AC15" s="38">
        <f>IF(OR(AC$2="",$D15=""),"",IF(AND(ISNUMBER($F15),AC$2&gt;=$F15,AC$2&lt;=IF(ISNUMBER($G15),$G15,$F15+$E15-$D15)),2,IF(AND(AC$2&gt;=$D15,AC$2&lt;=$E15),1,"")))</f>
        <v/>
      </c>
      <c r="AD15" s="38">
        <f>IF(OR(AD$2="",$D15=""),"",IF(AND(ISNUMBER($F15),AD$2&gt;=$F15,AD$2&lt;=IF(ISNUMBER($G15),$G15,$F15+$E15-$D15)),2,IF(AND(AD$2&gt;=$D15,AD$2&lt;=$E15),1,"")))</f>
        <v/>
      </c>
      <c r="AE15" s="38">
        <f>IF(OR(AE$2="",$D15=""),"",IF(AND(ISNUMBER($F15),AE$2&gt;=$F15,AE$2&lt;=IF(ISNUMBER($G15),$G15,$F15+$E15-$D15)),2,IF(AND(AE$2&gt;=$D15,AE$2&lt;=$E15),1,"")))</f>
        <v/>
      </c>
      <c r="AF15" s="38">
        <f>IF(OR(AF$2="",$D15=""),"",IF(AND(ISNUMBER($F15),AF$2&gt;=$F15,AF$2&lt;=IF(ISNUMBER($G15),$G15,$F15+$E15-$D15)),2,IF(AND(AF$2&gt;=$D15,AF$2&lt;=$E15),1,"")))</f>
        <v/>
      </c>
      <c r="AG15" s="38">
        <f>IF(OR(AG$2="",$D15=""),"",IF(AND(ISNUMBER($F15),AG$2&gt;=$F15,AG$2&lt;=IF(ISNUMBER($G15),$G15,$F15+$E15-$D15)),2,IF(AND(AG$2&gt;=$D15,AG$2&lt;=$E15),1,"")))</f>
        <v/>
      </c>
      <c r="AH15" s="38">
        <f>IF(OR(AH$2="",$D15=""),"",IF(AND(ISNUMBER($F15),AH$2&gt;=$F15,AH$2&lt;=IF(ISNUMBER($G15),$G15,$F15+$E15-$D15)),2,IF(AND(AH$2&gt;=$D15,AH$2&lt;=$E15),1,"")))</f>
        <v/>
      </c>
      <c r="AI15" s="38">
        <f>IF(OR(AI$2="",$D15=""),"",IF(AND(ISNUMBER($F15),AI$2&gt;=$F15,AI$2&lt;=IF(ISNUMBER($G15),$G15,$F15+$E15-$D15)),2,IF(AND(AI$2&gt;=$D15,AI$2&lt;=$E15),1,"")))</f>
        <v/>
      </c>
      <c r="AJ15" s="38">
        <f>IF(OR(AJ$2="",$D15=""),"",IF(AND(ISNUMBER($F15),AJ$2&gt;=$F15,AJ$2&lt;=IF(ISNUMBER($G15),$G15,$F15+$E15-$D15)),2,IF(AND(AJ$2&gt;=$D15,AJ$2&lt;=$E15),1,"")))</f>
        <v/>
      </c>
      <c r="AK15" s="38">
        <f>IF(OR(AK$2="",$D15=""),"",IF(AND(ISNUMBER($F15),AK$2&gt;=$F15,AK$2&lt;=IF(ISNUMBER($G15),$G15,$F15+$E15-$D15)),2,IF(AND(AK$2&gt;=$D15,AK$2&lt;=$E15),1,"")))</f>
        <v/>
      </c>
      <c r="AL15" s="38">
        <f>IF(OR(AL$2="",$D15=""),"",IF(AND(ISNUMBER($F15),AL$2&gt;=$F15,AL$2&lt;=IF(ISNUMBER($G15),$G15,$F15+$E15-$D15)),2,IF(AND(AL$2&gt;=$D15,AL$2&lt;=$E15),1,"")))</f>
        <v/>
      </c>
      <c r="AM15" s="38">
        <f>IF(OR(AM$2="",$D15=""),"",IF(AND(ISNUMBER($F15),AM$2&gt;=$F15,AM$2&lt;=IF(ISNUMBER($G15),$G15,$F15+$E15-$D15)),2,IF(AND(AM$2&gt;=$D15,AM$2&lt;=$E15),1,"")))</f>
        <v/>
      </c>
      <c r="AN15" s="38">
        <f>IF(OR(AN$2="",$D15=""),"",IF(AND(ISNUMBER($F15),AN$2&gt;=$F15,AN$2&lt;=IF(ISNUMBER($G15),$G15,$F15+$E15-$D15)),2,IF(AND(AN$2&gt;=$D15,AN$2&lt;=$E15),1,"")))</f>
        <v/>
      </c>
      <c r="AO15" s="38">
        <f>IF(OR(AO$2="",$D15=""),"",IF(AND(ISNUMBER($F15),AO$2&gt;=$F15,AO$2&lt;=IF(ISNUMBER($G15),$G15,$F15+$E15-$D15)),2,IF(AND(AO$2&gt;=$D15,AO$2&lt;=$E15),1,"")))</f>
        <v/>
      </c>
      <c r="AP15" s="38">
        <f>IF(OR(AP$2="",$D15=""),"",IF(AND(ISNUMBER($F15),AP$2&gt;=$F15,AP$2&lt;=IF(ISNUMBER($G15),$G15,$F15+$E15-$D15)),2,IF(AND(AP$2&gt;=$D15,AP$2&lt;=$E15),1,"")))</f>
        <v/>
      </c>
      <c r="AQ15" s="38">
        <f>IF(OR(AQ$2="",$D15=""),"",IF(AND(ISNUMBER($F15),AQ$2&gt;=$F15,AQ$2&lt;=IF(ISNUMBER($G15),$G15,$F15+$E15-$D15)),2,IF(AND(AQ$2&gt;=$D15,AQ$2&lt;=$E15),1,"")))</f>
        <v/>
      </c>
      <c r="AR15" s="38">
        <f>IF(OR(AR$2="",$D15=""),"",IF(AND(ISNUMBER($F15),AR$2&gt;=$F15,AR$2&lt;=IF(ISNUMBER($G15),$G15,$F15+$E15-$D15)),2,IF(AND(AR$2&gt;=$D15,AR$2&lt;=$E15),1,"")))</f>
        <v/>
      </c>
      <c r="AS15" s="38">
        <f>IF(OR(AS$2="",$D15=""),"",IF(AND(ISNUMBER($F15),AS$2&gt;=$F15,AS$2&lt;=IF(ISNUMBER($G15),$G15,$F15+$E15-$D15)),2,IF(AND(AS$2&gt;=$D15,AS$2&lt;=$E15),1,"")))</f>
        <v/>
      </c>
      <c r="AT15" s="38">
        <f>IF(OR(AT$2="",$D15=""),"",IF(AND(ISNUMBER($F15),AT$2&gt;=$F15,AT$2&lt;=IF(ISNUMBER($G15),$G15,$F15+$E15-$D15)),2,IF(AND(AT$2&gt;=$D15,AT$2&lt;=$E15),1,"")))</f>
        <v/>
      </c>
      <c r="AU15" s="38">
        <f>IF(OR(AU$2="",$D15=""),"",IF(AND(ISNUMBER($F15),AU$2&gt;=$F15,AU$2&lt;=IF(ISNUMBER($G15),$G15,$F15+$E15-$D15)),2,IF(AND(AU$2&gt;=$D15,AU$2&lt;=$E15),1,"")))</f>
        <v/>
      </c>
      <c r="AV15" s="38">
        <f>IF(OR(AV$2="",$D15=""),"",IF(AND(ISNUMBER($F15),AV$2&gt;=$F15,AV$2&lt;=IF(ISNUMBER($G15),$G15,$F15+$E15-$D15)),2,IF(AND(AV$2&gt;=$D15,AV$2&lt;=$E15),1,"")))</f>
        <v/>
      </c>
      <c r="AW15" s="38">
        <f>IF(OR(AW$2="",$D15=""),"",IF(AND(ISNUMBER($F15),AW$2&gt;=$F15,AW$2&lt;=IF(ISNUMBER($G15),$G15,$F15+$E15-$D15)),2,IF(AND(AW$2&gt;=$D15,AW$2&lt;=$E15),1,"")))</f>
        <v/>
      </c>
      <c r="AX15" s="38">
        <f>IF(OR(AX$2="",$D15=""),"",IF(AND(ISNUMBER($F15),AX$2&gt;=$F15,AX$2&lt;=IF(ISNUMBER($G15),$G15,$F15+$E15-$D15)),2,IF(AND(AX$2&gt;=$D15,AX$2&lt;=$E15),1,"")))</f>
        <v/>
      </c>
      <c r="AY15" s="38">
        <f>IF(OR(AY$2="",$D15=""),"",IF(AND(ISNUMBER($F15),AY$2&gt;=$F15,AY$2&lt;=IF(ISNUMBER($G15),$G15,$F15+$E15-$D15)),2,IF(AND(AY$2&gt;=$D15,AY$2&lt;=$E15),1,"")))</f>
        <v/>
      </c>
      <c r="AZ15" s="38">
        <f>IF(OR(AZ$2="",$D15=""),"",IF(AND(ISNUMBER($F15),AZ$2&gt;=$F15,AZ$2&lt;=IF(ISNUMBER($G15),$G15,$F15+$E15-$D15)),2,IF(AND(AZ$2&gt;=$D15,AZ$2&lt;=$E15),1,"")))</f>
        <v/>
      </c>
      <c r="BA15" s="38">
        <f>IF(OR(BA$2="",$D15=""),"",IF(AND(ISNUMBER($F15),BA$2&gt;=$F15,BA$2&lt;=IF(ISNUMBER($G15),$G15,$F15+$E15-$D15)),2,IF(AND(BA$2&gt;=$D15,BA$2&lt;=$E15),1,"")))</f>
        <v/>
      </c>
      <c r="BB15" s="38">
        <f>IF(OR(BB$2="",$D15=""),"",IF(AND(ISNUMBER($F15),BB$2&gt;=$F15,BB$2&lt;=IF(ISNUMBER($G15),$G15,$F15+$E15-$D15)),2,IF(AND(BB$2&gt;=$D15,BB$2&lt;=$E15),1,"")))</f>
        <v/>
      </c>
      <c r="BC15" s="38">
        <f>IF(OR(BC$2="",$D15=""),"",IF(AND(ISNUMBER($F15),BC$2&gt;=$F15,BC$2&lt;=IF(ISNUMBER($G15),$G15,$F15+$E15-$D15)),2,IF(AND(BC$2&gt;=$D15,BC$2&lt;=$E15),1,"")))</f>
        <v/>
      </c>
      <c r="BD15" s="38">
        <f>IF(OR(BD$2="",$D15=""),"",IF(AND(ISNUMBER($F15),BD$2&gt;=$F15,BD$2&lt;=IF(ISNUMBER($G15),$G15,$F15+$E15-$D15)),2,IF(AND(BD$2&gt;=$D15,BD$2&lt;=$E15),1,"")))</f>
        <v/>
      </c>
      <c r="BE15" s="38">
        <f>IF(OR(BE$2="",$D15=""),"",IF(AND(ISNUMBER($F15),BE$2&gt;=$F15,BE$2&lt;=IF(ISNUMBER($G15),$G15,$F15+$E15-$D15)),2,IF(AND(BE$2&gt;=$D15,BE$2&lt;=$E15),1,"")))</f>
        <v/>
      </c>
      <c r="BF15" s="38">
        <f>IF(OR(BF$2="",$D15=""),"",IF(AND(ISNUMBER($F15),BF$2&gt;=$F15,BF$2&lt;=IF(ISNUMBER($G15),$G15,$F15+$E15-$D15)),2,IF(AND(BF$2&gt;=$D15,BF$2&lt;=$E15),1,"")))</f>
        <v/>
      </c>
      <c r="BG15" s="38">
        <f>IF(OR(BG$2="",$D15=""),"",IF(AND(ISNUMBER($F15),BG$2&gt;=$F15,BG$2&lt;=IF(ISNUMBER($G15),$G15,$F15+$E15-$D15)),2,IF(AND(BG$2&gt;=$D15,BG$2&lt;=$E15),1,"")))</f>
        <v/>
      </c>
      <c r="BH15" s="38">
        <f>IF(OR(BH$2="",$D15=""),"",IF(AND(ISNUMBER($F15),BH$2&gt;=$F15,BH$2&lt;=IF(ISNUMBER($G15),$G15,$F15+$E15-$D15)),2,IF(AND(BH$2&gt;=$D15,BH$2&lt;=$E15),1,"")))</f>
        <v/>
      </c>
      <c r="BI15" s="38">
        <f>IF(OR(BI$2="",$D15=""),"",IF(AND(ISNUMBER($F15),BI$2&gt;=$F15,BI$2&lt;=IF(ISNUMBER($G15),$G15,$F15+$E15-$D15)),2,IF(AND(BI$2&gt;=$D15,BI$2&lt;=$E15),1,"")))</f>
        <v/>
      </c>
      <c r="BJ15" s="38">
        <f>IF(OR(BJ$2="",$D15=""),"",IF(AND(ISNUMBER($F15),BJ$2&gt;=$F15,BJ$2&lt;=IF(ISNUMBER($G15),$G15,$F15+$E15-$D15)),2,IF(AND(BJ$2&gt;=$D15,BJ$2&lt;=$E15),1,"")))</f>
        <v/>
      </c>
      <c r="BK15" s="38">
        <f>IF(OR(BK$2="",$D15=""),"",IF(AND(ISNUMBER($F15),BK$2&gt;=$F15,BK$2&lt;=IF(ISNUMBER($G15),$G15,$F15+$E15-$D15)),2,IF(AND(BK$2&gt;=$D15,BK$2&lt;=$E15),1,"")))</f>
        <v/>
      </c>
      <c r="BL15" s="38">
        <f>IF(OR(BL$2="",$D15=""),"",IF(AND(ISNUMBER($F15),BL$2&gt;=$F15,BL$2&lt;=IF(ISNUMBER($G15),$G15,$F15+$E15-$D15)),2,IF(AND(BL$2&gt;=$D15,BL$2&lt;=$E15),1,"")))</f>
        <v/>
      </c>
      <c r="BM15" s="38">
        <f>IF(OR(BM$2="",$D15=""),"",IF(AND(ISNUMBER($F15),BM$2&gt;=$F15,BM$2&lt;=IF(ISNUMBER($G15),$G15,$F15+$E15-$D15)),2,IF(AND(BM$2&gt;=$D15,BM$2&lt;=$E15),1,"")))</f>
        <v/>
      </c>
      <c r="BN15" s="38">
        <f>IF(OR(BN$2="",$D15=""),"",IF(AND(ISNUMBER($F15),BN$2&gt;=$F15,BN$2&lt;=IF(ISNUMBER($G15),$G15,$F15+$E15-$D15)),2,IF(AND(BN$2&gt;=$D15,BN$2&lt;=$E15),1,"")))</f>
        <v/>
      </c>
      <c r="BO15" s="38">
        <f>IF(OR(BO$2="",$D15=""),"",IF(AND(ISNUMBER($F15),BO$2&gt;=$F15,BO$2&lt;=IF(ISNUMBER($G15),$G15,$F15+$E15-$D15)),2,IF(AND(BO$2&gt;=$D15,BO$2&lt;=$E15),1,"")))</f>
        <v/>
      </c>
      <c r="BP15" s="38">
        <f>IF(OR(BP$2="",$D15=""),"",IF(AND(ISNUMBER($F15),BP$2&gt;=$F15,BP$2&lt;=IF(ISNUMBER($G15),$G15,$F15+$E15-$D15)),2,IF(AND(BP$2&gt;=$D15,BP$2&lt;=$E15),1,"")))</f>
        <v/>
      </c>
      <c r="BQ15" s="38">
        <f>IF(OR(BQ$2="",$D15=""),"",IF(AND(ISNUMBER($F15),BQ$2&gt;=$F15,BQ$2&lt;=IF(ISNUMBER($G15),$G15,$F15+$E15-$D15)),2,IF(AND(BQ$2&gt;=$D15,BQ$2&lt;=$E15),1,"")))</f>
        <v/>
      </c>
      <c r="BR15" s="38">
        <f>IF(OR(BR$2="",$D15=""),"",IF(AND(ISNUMBER($F15),BR$2&gt;=$F15,BR$2&lt;=IF(ISNUMBER($G15),$G15,$F15+$E15-$D15)),2,IF(AND(BR$2&gt;=$D15,BR$2&lt;=$E15),1,"")))</f>
        <v/>
      </c>
      <c r="BS15" s="38">
        <f>IF(OR(BS$2="",$D15=""),"",IF(AND(ISNUMBER($F15),BS$2&gt;=$F15,BS$2&lt;=IF(ISNUMBER($G15),$G15,$F15+$E15-$D15)),2,IF(AND(BS$2&gt;=$D15,BS$2&lt;=$E15),1,"")))</f>
        <v/>
      </c>
      <c r="BT15" s="38">
        <f>IF(OR(BT$2="",$D15=""),"",IF(AND(ISNUMBER($F15),BT$2&gt;=$F15,BT$2&lt;=IF(ISNUMBER($G15),$G15,$F15+$E15-$D15)),2,IF(AND(BT$2&gt;=$D15,BT$2&lt;=$E15),1,"")))</f>
        <v/>
      </c>
      <c r="BU15" s="38">
        <f>IF(OR(BU$2="",$D15=""),"",IF(AND(ISNUMBER($F15),BU$2&gt;=$F15,BU$2&lt;=IF(ISNUMBER($G15),$G15,$F15+$E15-$D15)),2,IF(AND(BU$2&gt;=$D15,BU$2&lt;=$E15),1,"")))</f>
        <v/>
      </c>
      <c r="BV15" s="38">
        <f>IF(OR(BV$2="",$D15=""),"",IF(AND(ISNUMBER($F15),BV$2&gt;=$F15,BV$2&lt;=IF(ISNUMBER($G15),$G15,$F15+$E15-$D15)),2,IF(AND(BV$2&gt;=$D15,BV$2&lt;=$E15),1,"")))</f>
        <v/>
      </c>
      <c r="BW15" s="38">
        <f>IF(OR(BW$2="",$D15=""),"",IF(AND(ISNUMBER($F15),BW$2&gt;=$F15,BW$2&lt;=IF(ISNUMBER($G15),$G15,$F15+$E15-$D15)),2,IF(AND(BW$2&gt;=$D15,BW$2&lt;=$E15),1,"")))</f>
        <v/>
      </c>
      <c r="BX15" s="38">
        <f>IF(OR(BX$2="",$D15=""),"",IF(AND(ISNUMBER($F15),BX$2&gt;=$F15,BX$2&lt;=IF(ISNUMBER($G15),$G15,$F15+$E15-$D15)),2,IF(AND(BX$2&gt;=$D15,BX$2&lt;=$E15),1,"")))</f>
        <v/>
      </c>
      <c r="BY15" s="38">
        <f>IF(OR(BY$2="",$D15=""),"",IF(AND(ISNUMBER($F15),BY$2&gt;=$F15,BY$2&lt;=IF(ISNUMBER($G15),$G15,$F15+$E15-$D15)),2,IF(AND(BY$2&gt;=$D15,BY$2&lt;=$E15),1,"")))</f>
        <v/>
      </c>
      <c r="BZ15" s="38">
        <f>IF(OR(BZ$2="",$D15=""),"",IF(AND(ISNUMBER($F15),BZ$2&gt;=$F15,BZ$2&lt;=IF(ISNUMBER($G15),$G15,$F15+$E15-$D15)),2,IF(AND(BZ$2&gt;=$D15,BZ$2&lt;=$E15),1,"")))</f>
        <v/>
      </c>
      <c r="CA15" s="38">
        <f>IF(OR(CA$2="",$D15=""),"",IF(AND(ISNUMBER($F15),CA$2&gt;=$F15,CA$2&lt;=IF(ISNUMBER($G15),$G15,$F15+$E15-$D15)),2,IF(AND(CA$2&gt;=$D15,CA$2&lt;=$E15),1,"")))</f>
        <v/>
      </c>
      <c r="CB15" s="38">
        <f>IF(OR(CB$2="",$D15=""),"",IF(AND(ISNUMBER($F15),CB$2&gt;=$F15,CB$2&lt;=IF(ISNUMBER($G15),$G15,$F15+$E15-$D15)),2,IF(AND(CB$2&gt;=$D15,CB$2&lt;=$E15),1,"")))</f>
        <v/>
      </c>
      <c r="CC15" s="38">
        <f>IF(OR(CC$2="",$D15=""),"",IF(AND(ISNUMBER($F15),CC$2&gt;=$F15,CC$2&lt;=IF(ISNUMBER($G15),$G15,$F15+$E15-$D15)),2,IF(AND(CC$2&gt;=$D15,CC$2&lt;=$E15),1,"")))</f>
        <v/>
      </c>
      <c r="CD15" s="38">
        <f>IF(OR(CD$2="",$D15=""),"",IF(AND(ISNUMBER($F15),CD$2&gt;=$F15,CD$2&lt;=IF(ISNUMBER($G15),$G15,$F15+$E15-$D15)),2,IF(AND(CD$2&gt;=$D15,CD$2&lt;=$E15),1,"")))</f>
        <v/>
      </c>
      <c r="CE15" s="38">
        <f>IF(OR(CE$2="",$D15=""),"",IF(AND(ISNUMBER($F15),CE$2&gt;=$F15,CE$2&lt;=IF(ISNUMBER($G15),$G15,$F15+$E15-$D15)),2,IF(AND(CE$2&gt;=$D15,CE$2&lt;=$E15),1,"")))</f>
        <v/>
      </c>
      <c r="CF15" s="38">
        <f>IF(OR(CF$2="",$D15=""),"",IF(AND(ISNUMBER($F15),CF$2&gt;=$F15,CF$2&lt;=IF(ISNUMBER($G15),$G15,$F15+$E15-$D15)),2,IF(AND(CF$2&gt;=$D15,CF$2&lt;=$E15),1,"")))</f>
        <v/>
      </c>
      <c r="CG15" s="38">
        <f>IF(OR(CG$2="",$D15=""),"",IF(AND(ISNUMBER($F15),CG$2&gt;=$F15,CG$2&lt;=IF(ISNUMBER($G15),$G15,$F15+$E15-$D15)),2,IF(AND(CG$2&gt;=$D15,CG$2&lt;=$E15),1,"")))</f>
        <v/>
      </c>
      <c r="CH15" s="38">
        <f>IF(OR(CH$2="",$D15=""),"",IF(AND(ISNUMBER($F15),CH$2&gt;=$F15,CH$2&lt;=IF(ISNUMBER($G15),$G15,$F15+$E15-$D15)),2,IF(AND(CH$2&gt;=$D15,CH$2&lt;=$E15),1,"")))</f>
        <v/>
      </c>
      <c r="CI15" s="38">
        <f>IF(OR(CI$2="",$D15=""),"",IF(AND(ISNUMBER($F15),CI$2&gt;=$F15,CI$2&lt;=IF(ISNUMBER($G15),$G15,$F15+$E15-$D15)),2,IF(AND(CI$2&gt;=$D15,CI$2&lt;=$E15),1,"")))</f>
        <v/>
      </c>
      <c r="CJ15" s="38">
        <f>IF(OR(CJ$2="",$D15=""),"",IF(AND(ISNUMBER($F15),CJ$2&gt;=$F15,CJ$2&lt;=IF(ISNUMBER($G15),$G15,$F15+$E15-$D15)),2,IF(AND(CJ$2&gt;=$D15,CJ$2&lt;=$E15),1,"")))</f>
        <v/>
      </c>
      <c r="CK15" s="38">
        <f>IF(OR(CK$2="",$D15=""),"",IF(AND(ISNUMBER($F15),CK$2&gt;=$F15,CK$2&lt;=IF(ISNUMBER($G15),$G15,$F15+$E15-$D15)),2,IF(AND(CK$2&gt;=$D15,CK$2&lt;=$E15),1,"")))</f>
        <v/>
      </c>
      <c r="CL15" s="38">
        <f>IF(OR(CL$2="",$D15=""),"",IF(AND(ISNUMBER($F15),CL$2&gt;=$F15,CL$2&lt;=IF(ISNUMBER($G15),$G15,$F15+$E15-$D15)),2,IF(AND(CL$2&gt;=$D15,CL$2&lt;=$E15),1,"")))</f>
        <v/>
      </c>
      <c r="CM15" s="38">
        <f>IF(OR(CM$2="",$D15=""),"",IF(AND(ISNUMBER($F15),CM$2&gt;=$F15,CM$2&lt;=IF(ISNUMBER($G15),$G15,$F15+$E15-$D15)),2,IF(AND(CM$2&gt;=$D15,CM$2&lt;=$E15),1,"")))</f>
        <v/>
      </c>
      <c r="CN15" s="38">
        <f>IF(OR(CN$2="",$D15=""),"",IF(AND(ISNUMBER($F15),CN$2&gt;=$F15,CN$2&lt;=IF(ISNUMBER($G15),$G15,$F15+$E15-$D15)),2,IF(AND(CN$2&gt;=$D15,CN$2&lt;=$E15),1,"")))</f>
        <v/>
      </c>
      <c r="CO15" s="38">
        <f>IF(OR(CO$2="",$D15=""),"",IF(AND(ISNUMBER($F15),CO$2&gt;=$F15,CO$2&lt;=IF(ISNUMBER($G15),$G15,$F15+$E15-$D15)),2,IF(AND(CO$2&gt;=$D15,CO$2&lt;=$E15),1,"")))</f>
        <v/>
      </c>
      <c r="CP15" s="38">
        <f>IF(OR(CP$2="",$D15=""),"",IF(AND(ISNUMBER($F15),CP$2&gt;=$F15,CP$2&lt;=IF(ISNUMBER($G15),$G15,$F15+$E15-$D15)),2,IF(AND(CP$2&gt;=$D15,CP$2&lt;=$E15),1,"")))</f>
        <v/>
      </c>
      <c r="CQ15" s="38">
        <f>IF(OR(CQ$2="",$D15=""),"",IF(AND(ISNUMBER($F15),CQ$2&gt;=$F15,CQ$2&lt;=IF(ISNUMBER($G15),$G15,$F15+$E15-$D15)),2,IF(AND(CQ$2&gt;=$D15,CQ$2&lt;=$E15),1,"")))</f>
        <v/>
      </c>
      <c r="CR15" s="38">
        <f>IF(OR(CR$2="",$D15=""),"",IF(AND(ISNUMBER($F15),CR$2&gt;=$F15,CR$2&lt;=IF(ISNUMBER($G15),$G15,$F15+$E15-$D15)),2,IF(AND(CR$2&gt;=$D15,CR$2&lt;=$E15),1,"")))</f>
        <v/>
      </c>
      <c r="CS15" s="38">
        <f>IF(OR(CS$2="",$D15=""),"",IF(AND(ISNUMBER($F15),CS$2&gt;=$F15,CS$2&lt;=IF(ISNUMBER($G15),$G15,$F15+$E15-$D15)),2,IF(AND(CS$2&gt;=$D15,CS$2&lt;=$E15),1,"")))</f>
        <v/>
      </c>
      <c r="CT15" s="38">
        <f>IF(OR(CT$2="",$D15=""),"",IF(AND(ISNUMBER($F15),CT$2&gt;=$F15,CT$2&lt;=IF(ISNUMBER($G15),$G15,$F15+$E15-$D15)),2,IF(AND(CT$2&gt;=$D15,CT$2&lt;=$E15),1,"")))</f>
        <v/>
      </c>
      <c r="CU15" s="38">
        <f>IF(OR(CU$2="",$D15=""),"",IF(AND(ISNUMBER($F15),CU$2&gt;=$F15,CU$2&lt;=IF(ISNUMBER($G15),$G15,$F15+$E15-$D15)),2,IF(AND(CU$2&gt;=$D15,CU$2&lt;=$E15),1,"")))</f>
        <v/>
      </c>
      <c r="CV15" s="38">
        <f>IF(OR(CV$2="",$D15=""),"",IF(AND(ISNUMBER($F15),CV$2&gt;=$F15,CV$2&lt;=IF(ISNUMBER($G15),$G15,$F15+$E15-$D15)),2,IF(AND(CV$2&gt;=$D15,CV$2&lt;=$E15),1,"")))</f>
        <v/>
      </c>
      <c r="CW15" s="38">
        <f>IF(OR(CW$2="",$D15=""),"",IF(AND(ISNUMBER($F15),CW$2&gt;=$F15,CW$2&lt;=IF(ISNUMBER($G15),$G15,$F15+$E15-$D15)),2,IF(AND(CW$2&gt;=$D15,CW$2&lt;=$E15),1,"")))</f>
        <v/>
      </c>
      <c r="CX15" s="38">
        <f>IF(OR(CX$2="",$D15=""),"",IF(AND(ISNUMBER($F15),CX$2&gt;=$F15,CX$2&lt;=IF(ISNUMBER($G15),$G15,$F15+$E15-$D15)),2,IF(AND(CX$2&gt;=$D15,CX$2&lt;=$E15),1,"")))</f>
        <v/>
      </c>
      <c r="CY15" s="38">
        <f>IF(OR(CY$2="",$D15=""),"",IF(AND(ISNUMBER($F15),CY$2&gt;=$F15,CY$2&lt;=IF(ISNUMBER($G15),$G15,$F15+$E15-$D15)),2,IF(AND(CY$2&gt;=$D15,CY$2&lt;=$E15),1,"")))</f>
        <v/>
      </c>
      <c r="CZ15" s="38">
        <f>IF(OR(CZ$2="",$D15=""),"",IF(AND(ISNUMBER($F15),CZ$2&gt;=$F15,CZ$2&lt;=IF(ISNUMBER($G15),$G15,$F15+$E15-$D15)),2,IF(AND(CZ$2&gt;=$D15,CZ$2&lt;=$E15),1,"")))</f>
        <v/>
      </c>
      <c r="DA15" s="38">
        <f>IF(OR(DA$2="",$D15=""),"",IF(AND(ISNUMBER($F15),DA$2&gt;=$F15,DA$2&lt;=IF(ISNUMBER($G15),$G15,$F15+$E15-$D15)),2,IF(AND(DA$2&gt;=$D15,DA$2&lt;=$E15),1,"")))</f>
        <v/>
      </c>
      <c r="DB15" s="38">
        <f>IF(OR(DB$2="",$D15=""),"",IF(AND(ISNUMBER($F15),DB$2&gt;=$F15,DB$2&lt;=IF(ISNUMBER($G15),$G15,$F15+$E15-$D15)),2,IF(AND(DB$2&gt;=$D15,DB$2&lt;=$E15),1,"")))</f>
        <v/>
      </c>
      <c r="DC15" s="38">
        <f>IF(OR(DC$2="",$D15=""),"",IF(AND(ISNUMBER($F15),DC$2&gt;=$F15,DC$2&lt;=IF(ISNUMBER($G15),$G15,$F15+$E15-$D15)),2,IF(AND(DC$2&gt;=$D15,DC$2&lt;=$E15),1,"")))</f>
        <v/>
      </c>
      <c r="DD15" s="38">
        <f>IF(OR(DD$2="",$D15=""),"",IF(AND(ISNUMBER($F15),DD$2&gt;=$F15,DD$2&lt;=IF(ISNUMBER($G15),$G15,$F15+$E15-$D15)),2,IF(AND(DD$2&gt;=$D15,DD$2&lt;=$E15),1,"")))</f>
        <v/>
      </c>
      <c r="DE15" s="38">
        <f>IF(OR(DE$2="",$D15=""),"",IF(AND(ISNUMBER($F15),DE$2&gt;=$F15,DE$2&lt;=IF(ISNUMBER($G15),$G15,$F15+$E15-$D15)),2,IF(AND(DE$2&gt;=$D15,DE$2&lt;=$E15),1,"")))</f>
        <v/>
      </c>
      <c r="DF15" s="38">
        <f>IF(OR(DF$2="",$D15=""),"",IF(AND(ISNUMBER($F15),DF$2&gt;=$F15,DF$2&lt;=IF(ISNUMBER($G15),$G15,$F15+$E15-$D15)),2,IF(AND(DF$2&gt;=$D15,DF$2&lt;=$E15),1,"")))</f>
        <v/>
      </c>
      <c r="DG15" s="38">
        <f>IF(OR(DG$2="",$D15=""),"",IF(AND(ISNUMBER($F15),DG$2&gt;=$F15,DG$2&lt;=IF(ISNUMBER($G15),$G15,$F15+$E15-$D15)),2,IF(AND(DG$2&gt;=$D15,DG$2&lt;=$E15),1,"")))</f>
        <v/>
      </c>
      <c r="DH15" s="38">
        <f>IF(OR(DH$2="",$D15=""),"",IF(AND(ISNUMBER($F15),DH$2&gt;=$F15,DH$2&lt;=IF(ISNUMBER($G15),$G15,$F15+$E15-$D15)),2,IF(AND(DH$2&gt;=$D15,DH$2&lt;=$E15),1,"")))</f>
        <v/>
      </c>
      <c r="DI15" s="38">
        <f>IF(OR(DI$2="",$D15=""),"",IF(AND(ISNUMBER($F15),DI$2&gt;=$F15,DI$2&lt;=IF(ISNUMBER($G15),$G15,$F15+$E15-$D15)),2,IF(AND(DI$2&gt;=$D15,DI$2&lt;=$E15),1,"")))</f>
        <v/>
      </c>
      <c r="DJ15" s="38">
        <f>IF(OR(DJ$2="",$D15=""),"",IF(AND(ISNUMBER($F15),DJ$2&gt;=$F15,DJ$2&lt;=IF(ISNUMBER($G15),$G15,$F15+$E15-$D15)),2,IF(AND(DJ$2&gt;=$D15,DJ$2&lt;=$E15),1,"")))</f>
        <v/>
      </c>
      <c r="DK15" s="38">
        <f>IF(OR(DK$2="",$D15=""),"",IF(AND(ISNUMBER($F15),DK$2&gt;=$F15,DK$2&lt;=IF(ISNUMBER($G15),$G15,$F15+$E15-$D15)),2,IF(AND(DK$2&gt;=$D15,DK$2&lt;=$E15),1,"")))</f>
        <v/>
      </c>
      <c r="DL15" s="38">
        <f>IF(OR(DL$2="",$D15=""),"",IF(AND(ISNUMBER($F15),DL$2&gt;=$F15,DL$2&lt;=IF(ISNUMBER($G15),$G15,$F15+$E15-$D15)),2,IF(AND(DL$2&gt;=$D15,DL$2&lt;=$E15),1,"")))</f>
        <v/>
      </c>
      <c r="DM15" s="38">
        <f>IF(OR(DM$2="",$D15=""),"",IF(AND(ISNUMBER($F15),DM$2&gt;=$F15,DM$2&lt;=IF(ISNUMBER($G15),$G15,$F15+$E15-$D15)),2,IF(AND(DM$2&gt;=$D15,DM$2&lt;=$E15),1,"")))</f>
        <v/>
      </c>
      <c r="DN15" s="38">
        <f>IF(OR(DN$2="",$D15=""),"",IF(AND(ISNUMBER($F15),DN$2&gt;=$F15,DN$2&lt;=IF(ISNUMBER($G15),$G15,$F15+$E15-$D15)),2,IF(AND(DN$2&gt;=$D15,DN$2&lt;=$E15),1,"")))</f>
        <v/>
      </c>
      <c r="DO15" s="38">
        <f>IF(OR(DO$2="",$D15=""),"",IF(AND(ISNUMBER($F15),DO$2&gt;=$F15,DO$2&lt;=IF(ISNUMBER($G15),$G15,$F15+$E15-$D15)),2,IF(AND(DO$2&gt;=$D15,DO$2&lt;=$E15),1,"")))</f>
        <v/>
      </c>
      <c r="DP15" s="38">
        <f>IF(OR(DP$2="",$D15=""),"",IF(AND(ISNUMBER($F15),DP$2&gt;=$F15,DP$2&lt;=IF(ISNUMBER($G15),$G15,$F15+$E15-$D15)),2,IF(AND(DP$2&gt;=$D15,DP$2&lt;=$E15),1,"")))</f>
        <v/>
      </c>
      <c r="DQ15" s="38">
        <f>IF(OR(DQ$2="",$D15=""),"",IF(AND(ISNUMBER($F15),DQ$2&gt;=$F15,DQ$2&lt;=IF(ISNUMBER($G15),$G15,$F15+$E15-$D15)),2,IF(AND(DQ$2&gt;=$D15,DQ$2&lt;=$E15),1,"")))</f>
        <v/>
      </c>
      <c r="DR15" s="38">
        <f>IF(OR(DR$2="",$D15=""),"",IF(AND(ISNUMBER($F15),DR$2&gt;=$F15,DR$2&lt;=IF(ISNUMBER($G15),$G15,$F15+$E15-$D15)),2,IF(AND(DR$2&gt;=$D15,DR$2&lt;=$E15),1,"")))</f>
        <v/>
      </c>
      <c r="DS15" s="38">
        <f>IF(OR(DS$2="",$D15=""),"",IF(AND(ISNUMBER($F15),DS$2&gt;=$F15,DS$2&lt;=IF(ISNUMBER($G15),$G15,$F15+$E15-$D15)),2,IF(AND(DS$2&gt;=$D15,DS$2&lt;=$E15),1,"")))</f>
        <v/>
      </c>
      <c r="DT15" s="38">
        <f>IF(OR(DT$2="",$D15=""),"",IF(AND(ISNUMBER($F15),DT$2&gt;=$F15,DT$2&lt;=IF(ISNUMBER($G15),$G15,$F15+$E15-$D15)),2,IF(AND(DT$2&gt;=$D15,DT$2&lt;=$E15),1,"")))</f>
        <v/>
      </c>
      <c r="DU15" s="38">
        <f>IF(OR(DU$2="",$D15=""),"",IF(AND(ISNUMBER($F15),DU$2&gt;=$F15,DU$2&lt;=IF(ISNUMBER($G15),$G15,$F15+$E15-$D15)),2,IF(AND(DU$2&gt;=$D15,DU$2&lt;=$E15),1,"")))</f>
        <v/>
      </c>
      <c r="DV15" s="38">
        <f>IF(OR(DV$2="",$D15=""),"",IF(AND(ISNUMBER($F15),DV$2&gt;=$F15,DV$2&lt;=IF(ISNUMBER($G15),$G15,$F15+$E15-$D15)),2,IF(AND(DV$2&gt;=$D15,DV$2&lt;=$E15),1,"")))</f>
        <v/>
      </c>
      <c r="DW15" s="38">
        <f>IF(OR(DW$2="",$D15=""),"",IF(AND(ISNUMBER($F15),DW$2&gt;=$F15,DW$2&lt;=IF(ISNUMBER($G15),$G15,$F15+$E15-$D15)),2,IF(AND(DW$2&gt;=$D15,DW$2&lt;=$E15),1,"")))</f>
        <v/>
      </c>
      <c r="DX15" s="38">
        <f>IF(OR(DX$2="",$D15=""),"",IF(AND(ISNUMBER($F15),DX$2&gt;=$F15,DX$2&lt;=IF(ISNUMBER($G15),$G15,$F15+$E15-$D15)),2,IF(AND(DX$2&gt;=$D15,DX$2&lt;=$E15),1,"")))</f>
        <v/>
      </c>
      <c r="DY15" s="38">
        <f>IF(OR(DY$2="",$D15=""),"",IF(AND(ISNUMBER($F15),DY$2&gt;=$F15,DY$2&lt;=IF(ISNUMBER($G15),$G15,$F15+$E15-$D15)),2,IF(AND(DY$2&gt;=$D15,DY$2&lt;=$E15),1,"")))</f>
        <v/>
      </c>
      <c r="DZ15" s="38">
        <f>IF(OR(DZ$2="",$D15=""),"",IF(AND(ISNUMBER($F15),DZ$2&gt;=$F15,DZ$2&lt;=IF(ISNUMBER($G15),$G15,$F15+$E15-$D15)),2,IF(AND(DZ$2&gt;=$D15,DZ$2&lt;=$E15),1,"")))</f>
        <v/>
      </c>
      <c r="EA15" s="38">
        <f>IF(OR(EA$2="",$D15=""),"",IF(AND(ISNUMBER($F15),EA$2&gt;=$F15,EA$2&lt;=IF(ISNUMBER($G15),$G15,$F15+$E15-$D15)),2,IF(AND(EA$2&gt;=$D15,EA$2&lt;=$E15),1,"")))</f>
        <v/>
      </c>
      <c r="EB15" s="38">
        <f>IF(OR(EB$2="",$D15=""),"",IF(AND(ISNUMBER($F15),EB$2&gt;=$F15,EB$2&lt;=IF(ISNUMBER($G15),$G15,$F15+$E15-$D15)),2,IF(AND(EB$2&gt;=$D15,EB$2&lt;=$E15),1,"")))</f>
        <v/>
      </c>
      <c r="EC15" s="38">
        <f>IF(OR(EC$2="",$D15=""),"",IF(AND(ISNUMBER($F15),EC$2&gt;=$F15,EC$2&lt;=IF(ISNUMBER($G15),$G15,$F15+$E15-$D15)),2,IF(AND(EC$2&gt;=$D15,EC$2&lt;=$E15),1,"")))</f>
        <v/>
      </c>
      <c r="ED15" s="38">
        <f>IF(OR(ED$2="",$D15=""),"",IF(AND(ISNUMBER($F15),ED$2&gt;=$F15,ED$2&lt;=IF(ISNUMBER($G15),$G15,$F15+$E15-$D15)),2,IF(AND(ED$2&gt;=$D15,ED$2&lt;=$E15),1,"")))</f>
        <v/>
      </c>
      <c r="EE15" s="38">
        <f>IF(OR(EE$2="",$D15=""),"",IF(AND(ISNUMBER($F15),EE$2&gt;=$F15,EE$2&lt;=IF(ISNUMBER($G15),$G15,$F15+$E15-$D15)),2,IF(AND(EE$2&gt;=$D15,EE$2&lt;=$E15),1,"")))</f>
        <v/>
      </c>
      <c r="EF15" s="38">
        <f>IF(OR(EF$2="",$D15=""),"",IF(AND(ISNUMBER($F15),EF$2&gt;=$F15,EF$2&lt;=IF(ISNUMBER($G15),$G15,$F15+$E15-$D15)),2,IF(AND(EF$2&gt;=$D15,EF$2&lt;=$E15),1,"")))</f>
        <v/>
      </c>
      <c r="EG15" s="38">
        <f>IF(OR(EG$2="",$D15=""),"",IF(AND(ISNUMBER($F15),EG$2&gt;=$F15,EG$2&lt;=IF(ISNUMBER($G15),$G15,$F15+$E15-$D15)),2,IF(AND(EG$2&gt;=$D15,EG$2&lt;=$E15),1,"")))</f>
        <v/>
      </c>
      <c r="EH15" s="38">
        <f>IF(OR(EH$2="",$D15=""),"",IF(AND(ISNUMBER($F15),EH$2&gt;=$F15,EH$2&lt;=IF(ISNUMBER($G15),$G15,$F15+$E15-$D15)),2,IF(AND(EH$2&gt;=$D15,EH$2&lt;=$E15),1,"")))</f>
        <v/>
      </c>
      <c r="EI15" s="38">
        <f>IF(OR(EI$2="",$D15=""),"",IF(AND(ISNUMBER($F15),EI$2&gt;=$F15,EI$2&lt;=IF(ISNUMBER($G15),$G15,$F15+$E15-$D15)),2,IF(AND(EI$2&gt;=$D15,EI$2&lt;=$E15),1,"")))</f>
        <v/>
      </c>
      <c r="EJ15" s="38">
        <f>IF(OR(EJ$2="",$D15=""),"",IF(AND(ISNUMBER($F15),EJ$2&gt;=$F15,EJ$2&lt;=IF(ISNUMBER($G15),$G15,$F15+$E15-$D15)),2,IF(AND(EJ$2&gt;=$D15,EJ$2&lt;=$E15),1,"")))</f>
        <v/>
      </c>
      <c r="EK15" s="38">
        <f>IF(OR(EK$2="",$D15=""),"",IF(AND(ISNUMBER($F15),EK$2&gt;=$F15,EK$2&lt;=IF(ISNUMBER($G15),$G15,$F15+$E15-$D15)),2,IF(AND(EK$2&gt;=$D15,EK$2&lt;=$E15),1,"")))</f>
        <v/>
      </c>
      <c r="EL15" s="38">
        <f>IF(OR(EL$2="",$D15=""),"",IF(AND(ISNUMBER($F15),EL$2&gt;=$F15,EL$2&lt;=IF(ISNUMBER($G15),$G15,$F15+$E15-$D15)),2,IF(AND(EL$2&gt;=$D15,EL$2&lt;=$E15),1,"")))</f>
        <v/>
      </c>
      <c r="EM15" s="38">
        <f>IF(OR(EM$2="",$D15=""),"",IF(AND(ISNUMBER($F15),EM$2&gt;=$F15,EM$2&lt;=IF(ISNUMBER($G15),$G15,$F15+$E15-$D15)),2,IF(AND(EM$2&gt;=$D15,EM$2&lt;=$E15),1,"")))</f>
        <v/>
      </c>
      <c r="EN15" s="38">
        <f>IF(OR(EN$2="",$D15=""),"",IF(AND(ISNUMBER($F15),EN$2&gt;=$F15,EN$2&lt;=IF(ISNUMBER($G15),$G15,$F15+$E15-$D15)),2,IF(AND(EN$2&gt;=$D15,EN$2&lt;=$E15),1,"")))</f>
        <v/>
      </c>
      <c r="EO15" s="38">
        <f>IF(OR(EO$2="",$D15=""),"",IF(AND(ISNUMBER($F15),EO$2&gt;=$F15,EO$2&lt;=IF(ISNUMBER($G15),$G15,$F15+$E15-$D15)),2,IF(AND(EO$2&gt;=$D15,EO$2&lt;=$E15),1,"")))</f>
        <v/>
      </c>
      <c r="EP15" s="38">
        <f>IF(OR(EP$2="",$D15=""),"",IF(AND(ISNUMBER($F15),EP$2&gt;=$F15,EP$2&lt;=IF(ISNUMBER($G15),$G15,$F15+$E15-$D15)),2,IF(AND(EP$2&gt;=$D15,EP$2&lt;=$E15),1,"")))</f>
        <v/>
      </c>
      <c r="EQ15" s="38">
        <f>IF(OR(EQ$2="",$D15=""),"",IF(AND(ISNUMBER($F15),EQ$2&gt;=$F15,EQ$2&lt;=IF(ISNUMBER($G15),$G15,$F15+$E15-$D15)),2,IF(AND(EQ$2&gt;=$D15,EQ$2&lt;=$E15),1,"")))</f>
        <v/>
      </c>
      <c r="ER15" s="38">
        <f>IF(OR(ER$2="",$D15=""),"",IF(AND(ISNUMBER($F15),ER$2&gt;=$F15,ER$2&lt;=IF(ISNUMBER($G15),$G15,$F15+$E15-$D15)),2,IF(AND(ER$2&gt;=$D15,ER$2&lt;=$E15),1,"")))</f>
        <v/>
      </c>
      <c r="ES15" s="38">
        <f>IF(OR(ES$2="",$D15=""),"",IF(AND(ISNUMBER($F15),ES$2&gt;=$F15,ES$2&lt;=IF(ISNUMBER($G15),$G15,$F15+$E15-$D15)),2,IF(AND(ES$2&gt;=$D15,ES$2&lt;=$E15),1,"")))</f>
        <v/>
      </c>
      <c r="ET15" s="38">
        <f>IF(OR(ET$2="",$D15=""),"",IF(AND(ISNUMBER($F15),ET$2&gt;=$F15,ET$2&lt;=IF(ISNUMBER($G15),$G15,$F15+$E15-$D15)),2,IF(AND(ET$2&gt;=$D15,ET$2&lt;=$E15),1,"")))</f>
        <v/>
      </c>
      <c r="EU15" s="38">
        <f>IF(OR(EU$2="",$D15=""),"",IF(AND(ISNUMBER($F15),EU$2&gt;=$F15,EU$2&lt;=IF(ISNUMBER($G15),$G15,$F15+$E15-$D15)),2,IF(AND(EU$2&gt;=$D15,EU$2&lt;=$E15),1,"")))</f>
        <v/>
      </c>
      <c r="EV15" s="38">
        <f>IF(OR(EV$2="",$D15=""),"",IF(AND(ISNUMBER($F15),EV$2&gt;=$F15,EV$2&lt;=IF(ISNUMBER($G15),$G15,$F15+$E15-$D15)),2,IF(AND(EV$2&gt;=$D15,EV$2&lt;=$E15),1,"")))</f>
        <v/>
      </c>
      <c r="EW15" s="38">
        <f>IF(OR(EW$2="",$D15=""),"",IF(AND(ISNUMBER($F15),EW$2&gt;=$F15,EW$2&lt;=IF(ISNUMBER($G15),$G15,$F15+$E15-$D15)),2,IF(AND(EW$2&gt;=$D15,EW$2&lt;=$E15),1,"")))</f>
        <v/>
      </c>
      <c r="EX15" s="38">
        <f>IF(OR(EX$2="",$D15=""),"",IF(AND(ISNUMBER($F15),EX$2&gt;=$F15,EX$2&lt;=IF(ISNUMBER($G15),$G15,$F15+$E15-$D15)),2,IF(AND(EX$2&gt;=$D15,EX$2&lt;=$E15),1,"")))</f>
        <v/>
      </c>
      <c r="EY15" s="38">
        <f>IF(OR(EY$2="",$D15=""),"",IF(AND(ISNUMBER($F15),EY$2&gt;=$F15,EY$2&lt;=IF(ISNUMBER($G15),$G15,$F15+$E15-$D15)),2,IF(AND(EY$2&gt;=$D15,EY$2&lt;=$E15),1,"")))</f>
        <v/>
      </c>
      <c r="EZ15" s="38">
        <f>IF(OR(EZ$2="",$D15=""),"",IF(AND(ISNUMBER($F15),EZ$2&gt;=$F15,EZ$2&lt;=IF(ISNUMBER($G15),$G15,$F15+$E15-$D15)),2,IF(AND(EZ$2&gt;=$D15,EZ$2&lt;=$E15),1,"")))</f>
        <v/>
      </c>
      <c r="FA15" s="38">
        <f>IF(OR(FA$2="",$D15=""),"",IF(AND(ISNUMBER($F15),FA$2&gt;=$F15,FA$2&lt;=IF(ISNUMBER($G15),$G15,$F15+$E15-$D15)),2,IF(AND(FA$2&gt;=$D15,FA$2&lt;=$E15),1,"")))</f>
        <v/>
      </c>
      <c r="FB15" s="38">
        <f>IF(OR(FB$2="",$D15=""),"",IF(AND(ISNUMBER($F15),FB$2&gt;=$F15,FB$2&lt;=IF(ISNUMBER($G15),$G15,$F15+$E15-$D15)),2,IF(AND(FB$2&gt;=$D15,FB$2&lt;=$E15),1,"")))</f>
        <v/>
      </c>
      <c r="FC15" s="38">
        <f>IF(OR(FC$2="",$D15=""),"",IF(AND(ISNUMBER($F15),FC$2&gt;=$F15,FC$2&lt;=IF(ISNUMBER($G15),$G15,$F15+$E15-$D15)),2,IF(AND(FC$2&gt;=$D15,FC$2&lt;=$E15),1,"")))</f>
        <v/>
      </c>
      <c r="FD15" s="38">
        <f>IF(OR(FD$2="",$D15=""),"",IF(AND(ISNUMBER($F15),FD$2&gt;=$F15,FD$2&lt;=IF(ISNUMBER($G15),$G15,$F15+$E15-$D15)),2,IF(AND(FD$2&gt;=$D15,FD$2&lt;=$E15),1,"")))</f>
        <v/>
      </c>
      <c r="FE15" s="38">
        <f>IF(OR(FE$2="",$D15=""),"",IF(AND(ISNUMBER($F15),FE$2&gt;=$F15,FE$2&lt;=IF(ISNUMBER($G15),$G15,$F15+$E15-$D15)),2,IF(AND(FE$2&gt;=$D15,FE$2&lt;=$E15),1,"")))</f>
        <v/>
      </c>
      <c r="FF15" s="38">
        <f>IF(OR(FF$2="",$D15=""),"",IF(AND(ISNUMBER($F15),FF$2&gt;=$F15,FF$2&lt;=IF(ISNUMBER($G15),$G15,$F15+$E15-$D15)),2,IF(AND(FF$2&gt;=$D15,FF$2&lt;=$E15),1,"")))</f>
        <v/>
      </c>
      <c r="FG15" s="38">
        <f>IF(OR(FG$2="",$D15=""),"",IF(AND(ISNUMBER($F15),FG$2&gt;=$F15,FG$2&lt;=IF(ISNUMBER($G15),$G15,$F15+$E15-$D15)),2,IF(AND(FG$2&gt;=$D15,FG$2&lt;=$E15),1,"")))</f>
        <v/>
      </c>
      <c r="FH15" s="38">
        <f>IF(OR(FH$2="",$D15=""),"",IF(AND(ISNUMBER($F15),FH$2&gt;=$F15,FH$2&lt;=IF(ISNUMBER($G15),$G15,$F15+$E15-$D15)),2,IF(AND(FH$2&gt;=$D15,FH$2&lt;=$E15),1,"")))</f>
        <v/>
      </c>
      <c r="FI15" s="38">
        <f>IF(OR(FI$2="",$D15=""),"",IF(AND(ISNUMBER($F15),FI$2&gt;=$F15,FI$2&lt;=IF(ISNUMBER($G15),$G15,$F15+$E15-$D15)),2,IF(AND(FI$2&gt;=$D15,FI$2&lt;=$E15),1,"")))</f>
        <v/>
      </c>
      <c r="FJ15" s="38">
        <f>IF(OR(FJ$2="",$D15=""),"",IF(AND(ISNUMBER($F15),FJ$2&gt;=$F15,FJ$2&lt;=IF(ISNUMBER($G15),$G15,$F15+$E15-$D15)),2,IF(AND(FJ$2&gt;=$D15,FJ$2&lt;=$E15),1,"")))</f>
        <v/>
      </c>
      <c r="FK15" s="38">
        <f>IF(OR(FK$2="",$D15=""),"",IF(AND(ISNUMBER($F15),FK$2&gt;=$F15,FK$2&lt;=IF(ISNUMBER($G15),$G15,$F15+$E15-$D15)),2,IF(AND(FK$2&gt;=$D15,FK$2&lt;=$E15),1,"")))</f>
        <v/>
      </c>
      <c r="FL15" s="38">
        <f>IF(OR(FL$2="",$D15=""),"",IF(AND(ISNUMBER($F15),FL$2&gt;=$F15,FL$2&lt;=IF(ISNUMBER($G15),$G15,$F15+$E15-$D15)),2,IF(AND(FL$2&gt;=$D15,FL$2&lt;=$E15),1,"")))</f>
        <v/>
      </c>
      <c r="FM15" s="38">
        <f>IF(OR(FM$2="",$D15=""),"",IF(AND(ISNUMBER($F15),FM$2&gt;=$F15,FM$2&lt;=IF(ISNUMBER($G15),$G15,$F15+$E15-$D15)),2,IF(AND(FM$2&gt;=$D15,FM$2&lt;=$E15),1,"")))</f>
        <v/>
      </c>
      <c r="FN15" s="38">
        <f>IF(OR(FN$2="",$D15=""),"",IF(AND(ISNUMBER($F15),FN$2&gt;=$F15,FN$2&lt;=IF(ISNUMBER($G15),$G15,$F15+$E15-$D15)),2,IF(AND(FN$2&gt;=$D15,FN$2&lt;=$E15),1,"")))</f>
        <v/>
      </c>
      <c r="FO15" s="38">
        <f>IF(OR(FO$2="",$D15=""),"",IF(AND(ISNUMBER($F15),FO$2&gt;=$F15,FO$2&lt;=IF(ISNUMBER($G15),$G15,$F15+$E15-$D15)),2,IF(AND(FO$2&gt;=$D15,FO$2&lt;=$E15),1,"")))</f>
        <v/>
      </c>
      <c r="FP15" s="38">
        <f>IF(OR(FP$2="",$D15=""),"",IF(AND(ISNUMBER($F15),FP$2&gt;=$F15,FP$2&lt;=IF(ISNUMBER($G15),$G15,$F15+$E15-$D15)),2,IF(AND(FP$2&gt;=$D15,FP$2&lt;=$E15),1,"")))</f>
        <v/>
      </c>
      <c r="FQ15" s="38">
        <f>IF(OR(FQ$2="",$D15=""),"",IF(AND(ISNUMBER($F15),FQ$2&gt;=$F15,FQ$2&lt;=IF(ISNUMBER($G15),$G15,$F15+$E15-$D15)),2,IF(AND(FQ$2&gt;=$D15,FQ$2&lt;=$E15),1,"")))</f>
        <v/>
      </c>
      <c r="FR15" s="38">
        <f>IF(OR(FR$2="",$D15=""),"",IF(AND(ISNUMBER($F15),FR$2&gt;=$F15,FR$2&lt;=IF(ISNUMBER($G15),$G15,$F15+$E15-$D15)),2,IF(AND(FR$2&gt;=$D15,FR$2&lt;=$E15),1,"")))</f>
        <v/>
      </c>
      <c r="FS15" s="38">
        <f>IF(OR(FS$2="",$D15=""),"",IF(AND(ISNUMBER($F15),FS$2&gt;=$F15,FS$2&lt;=IF(ISNUMBER($G15),$G15,$F15+$E15-$D15)),2,IF(AND(FS$2&gt;=$D15,FS$2&lt;=$E15),1,"")))</f>
        <v/>
      </c>
      <c r="FT15" s="38">
        <f>IF(OR(FT$2="",$D15=""),"",IF(AND(ISNUMBER($F15),FT$2&gt;=$F15,FT$2&lt;=IF(ISNUMBER($G15),$G15,$F15+$E15-$D15)),2,IF(AND(FT$2&gt;=$D15,FT$2&lt;=$E15),1,"")))</f>
        <v/>
      </c>
      <c r="FU15" s="38">
        <f>IF(OR(FU$2="",$D15=""),"",IF(AND(ISNUMBER($F15),FU$2&gt;=$F15,FU$2&lt;=IF(ISNUMBER($G15),$G15,$F15+$E15-$D15)),2,IF(AND(FU$2&gt;=$D15,FU$2&lt;=$E15),1,"")))</f>
        <v/>
      </c>
      <c r="FV15" s="38">
        <f>IF(OR(FV$2="",$D15=""),"",IF(AND(ISNUMBER($F15),FV$2&gt;=$F15,FV$2&lt;=IF(ISNUMBER($G15),$G15,$F15+$E15-$D15)),2,IF(AND(FV$2&gt;=$D15,FV$2&lt;=$E15),1,"")))</f>
        <v/>
      </c>
      <c r="FW15" s="38">
        <f>IF(OR(FW$2="",$D15=""),"",IF(AND(ISNUMBER($F15),FW$2&gt;=$F15,FW$2&lt;=IF(ISNUMBER($G15),$G15,$F15+$E15-$D15)),2,IF(AND(FW$2&gt;=$D15,FW$2&lt;=$E15),1,"")))</f>
        <v/>
      </c>
      <c r="FX15" s="38">
        <f>IF(OR(FX$2="",$D15=""),"",IF(AND(ISNUMBER($F15),FX$2&gt;=$F15,FX$2&lt;=IF(ISNUMBER($G15),$G15,$F15+$E15-$D15)),2,IF(AND(FX$2&gt;=$D15,FX$2&lt;=$E15),1,"")))</f>
        <v/>
      </c>
      <c r="FY15" s="38">
        <f>IF(OR(FY$2="",$D15=""),"",IF(AND(ISNUMBER($F15),FY$2&gt;=$F15,FY$2&lt;=IF(ISNUMBER($G15),$G15,$F15+$E15-$D15)),2,IF(AND(FY$2&gt;=$D15,FY$2&lt;=$E15),1,"")))</f>
        <v/>
      </c>
      <c r="FZ15" s="38">
        <f>IF(OR(FZ$2="",$D15=""),"",IF(AND(ISNUMBER($F15),FZ$2&gt;=$F15,FZ$2&lt;=IF(ISNUMBER($G15),$G15,$F15+$E15-$D15)),2,IF(AND(FZ$2&gt;=$D15,FZ$2&lt;=$E15),1,"")))</f>
        <v/>
      </c>
      <c r="GA15" s="38">
        <f>IF(OR(GA$2="",$D15=""),"",IF(AND(ISNUMBER($F15),GA$2&gt;=$F15,GA$2&lt;=IF(ISNUMBER($G15),$G15,$F15+$E15-$D15)),2,IF(AND(GA$2&gt;=$D15,GA$2&lt;=$E15),1,"")))</f>
        <v/>
      </c>
      <c r="GB15" s="38">
        <f>IF(OR(GB$2="",$D15=""),"",IF(AND(ISNUMBER($F15),GB$2&gt;=$F15,GB$2&lt;=IF(ISNUMBER($G15),$G15,$F15+$E15-$D15)),2,IF(AND(GB$2&gt;=$D15,GB$2&lt;=$E15),1,"")))</f>
        <v/>
      </c>
      <c r="GC15" s="38">
        <f>IF(OR(GC$2="",$D15=""),"",IF(AND(ISNUMBER($F15),GC$2&gt;=$F15,GC$2&lt;=IF(ISNUMBER($G15),$G15,$F15+$E15-$D15)),2,IF(AND(GC$2&gt;=$D15,GC$2&lt;=$E15),1,"")))</f>
        <v/>
      </c>
      <c r="GD15" s="38">
        <f>IF(OR(GD$2="",$D15=""),"",IF(AND(ISNUMBER($F15),GD$2&gt;=$F15,GD$2&lt;=IF(ISNUMBER($G15),$G15,$F15+$E15-$D15)),2,IF(AND(GD$2&gt;=$D15,GD$2&lt;=$E15),1,"")))</f>
        <v/>
      </c>
      <c r="GE15" s="38">
        <f>IF(OR(GE$2="",$D15=""),"",IF(AND(ISNUMBER($F15),GE$2&gt;=$F15,GE$2&lt;=IF(ISNUMBER($G15),$G15,$F15+$E15-$D15)),2,IF(AND(GE$2&gt;=$D15,GE$2&lt;=$E15),1,"")))</f>
        <v/>
      </c>
    </row>
    <row r="16">
      <c r="A16" s="36" t="inlineStr">
        <is>
          <t>3F4D-1</t>
        </is>
      </c>
      <c r="B16" s="12" t="inlineStr">
        <is>
          <t>৩এফ৪ডি-1</t>
        </is>
      </c>
      <c r="C16" s="12" t="inlineStr">
        <is>
          <t>3F4D+MD</t>
        </is>
      </c>
      <c r="D16" s="7">
        <f>IF(Day_0="","",Day_0+cfg_6-cfg_8+cfg_13*0)</f>
        <v/>
      </c>
      <c r="E16" s="7">
        <f>IF(Day_0="","",Day_0+cfg_6-cfg_8+cfg_13*1)</f>
        <v/>
      </c>
      <c r="F16" s="37" t="n"/>
      <c r="G16" s="37" t="n"/>
      <c r="H16" s="6">
        <f>IF(D16="","no plan",IF(F16&lt;&gt;"",IF(F16-D16&gt;=2,"LATE","OK"),IF(TODAY()&gt;D16+2,"OVERDUE","upcoming")))</f>
        <v/>
      </c>
      <c r="I16" s="6">
        <f>IF(AND(D16&lt;&gt;"",F16&lt;&gt;""),F16-D16,"")</f>
        <v/>
      </c>
      <c r="J16" s="7">
        <f>IF(F16&lt;&gt;"",F16,D16)</f>
        <v/>
      </c>
      <c r="K16" s="7">
        <f>IF(G16&lt;&gt;"",G16,IF(AND(F16&lt;&gt;"",E16=D16),F16,E16))</f>
        <v/>
      </c>
      <c r="L16" s="6">
        <f>IF(AND(D16&lt;&gt;"",F16="",D16&gt;=TODAY()),D16+ROW()/1000,"")</f>
        <v/>
      </c>
      <c r="M16" s="38">
        <f>IF(OR(M$2="",$D16=""),"",IF(AND(ISNUMBER($F16),M$2&gt;=$F16,M$2&lt;=IF(ISNUMBER($G16),$G16,$F16+$E16-$D16)),2,IF(AND(M$2&gt;=$D16,M$2&lt;=$E16),1,"")))</f>
        <v/>
      </c>
      <c r="N16" s="38">
        <f>IF(OR(N$2="",$D16=""),"",IF(AND(ISNUMBER($F16),N$2&gt;=$F16,N$2&lt;=IF(ISNUMBER($G16),$G16,$F16+$E16-$D16)),2,IF(AND(N$2&gt;=$D16,N$2&lt;=$E16),1,"")))</f>
        <v/>
      </c>
      <c r="O16" s="38">
        <f>IF(OR(O$2="",$D16=""),"",IF(AND(ISNUMBER($F16),O$2&gt;=$F16,O$2&lt;=IF(ISNUMBER($G16),$G16,$F16+$E16-$D16)),2,IF(AND(O$2&gt;=$D16,O$2&lt;=$E16),1,"")))</f>
        <v/>
      </c>
      <c r="P16" s="38">
        <f>IF(OR(P$2="",$D16=""),"",IF(AND(ISNUMBER($F16),P$2&gt;=$F16,P$2&lt;=IF(ISNUMBER($G16),$G16,$F16+$E16-$D16)),2,IF(AND(P$2&gt;=$D16,P$2&lt;=$E16),1,"")))</f>
        <v/>
      </c>
      <c r="Q16" s="38">
        <f>IF(OR(Q$2="",$D16=""),"",IF(AND(ISNUMBER($F16),Q$2&gt;=$F16,Q$2&lt;=IF(ISNUMBER($G16),$G16,$F16+$E16-$D16)),2,IF(AND(Q$2&gt;=$D16,Q$2&lt;=$E16),1,"")))</f>
        <v/>
      </c>
      <c r="R16" s="38">
        <f>IF(OR(R$2="",$D16=""),"",IF(AND(ISNUMBER($F16),R$2&gt;=$F16,R$2&lt;=IF(ISNUMBER($G16),$G16,$F16+$E16-$D16)),2,IF(AND(R$2&gt;=$D16,R$2&lt;=$E16),1,"")))</f>
        <v/>
      </c>
      <c r="S16" s="38">
        <f>IF(OR(S$2="",$D16=""),"",IF(AND(ISNUMBER($F16),S$2&gt;=$F16,S$2&lt;=IF(ISNUMBER($G16),$G16,$F16+$E16-$D16)),2,IF(AND(S$2&gt;=$D16,S$2&lt;=$E16),1,"")))</f>
        <v/>
      </c>
      <c r="T16" s="38">
        <f>IF(OR(T$2="",$D16=""),"",IF(AND(ISNUMBER($F16),T$2&gt;=$F16,T$2&lt;=IF(ISNUMBER($G16),$G16,$F16+$E16-$D16)),2,IF(AND(T$2&gt;=$D16,T$2&lt;=$E16),1,"")))</f>
        <v/>
      </c>
      <c r="U16" s="38">
        <f>IF(OR(U$2="",$D16=""),"",IF(AND(ISNUMBER($F16),U$2&gt;=$F16,U$2&lt;=IF(ISNUMBER($G16),$G16,$F16+$E16-$D16)),2,IF(AND(U$2&gt;=$D16,U$2&lt;=$E16),1,"")))</f>
        <v/>
      </c>
      <c r="V16" s="38">
        <f>IF(OR(V$2="",$D16=""),"",IF(AND(ISNUMBER($F16),V$2&gt;=$F16,V$2&lt;=IF(ISNUMBER($G16),$G16,$F16+$E16-$D16)),2,IF(AND(V$2&gt;=$D16,V$2&lt;=$E16),1,"")))</f>
        <v/>
      </c>
      <c r="W16" s="38">
        <f>IF(OR(W$2="",$D16=""),"",IF(AND(ISNUMBER($F16),W$2&gt;=$F16,W$2&lt;=IF(ISNUMBER($G16),$G16,$F16+$E16-$D16)),2,IF(AND(W$2&gt;=$D16,W$2&lt;=$E16),1,"")))</f>
        <v/>
      </c>
      <c r="X16" s="38">
        <f>IF(OR(X$2="",$D16=""),"",IF(AND(ISNUMBER($F16),X$2&gt;=$F16,X$2&lt;=IF(ISNUMBER($G16),$G16,$F16+$E16-$D16)),2,IF(AND(X$2&gt;=$D16,X$2&lt;=$E16),1,"")))</f>
        <v/>
      </c>
      <c r="Y16" s="38">
        <f>IF(OR(Y$2="",$D16=""),"",IF(AND(ISNUMBER($F16),Y$2&gt;=$F16,Y$2&lt;=IF(ISNUMBER($G16),$G16,$F16+$E16-$D16)),2,IF(AND(Y$2&gt;=$D16,Y$2&lt;=$E16),1,"")))</f>
        <v/>
      </c>
      <c r="Z16" s="38">
        <f>IF(OR(Z$2="",$D16=""),"",IF(AND(ISNUMBER($F16),Z$2&gt;=$F16,Z$2&lt;=IF(ISNUMBER($G16),$G16,$F16+$E16-$D16)),2,IF(AND(Z$2&gt;=$D16,Z$2&lt;=$E16),1,"")))</f>
        <v/>
      </c>
      <c r="AA16" s="38">
        <f>IF(OR(AA$2="",$D16=""),"",IF(AND(ISNUMBER($F16),AA$2&gt;=$F16,AA$2&lt;=IF(ISNUMBER($G16),$G16,$F16+$E16-$D16)),2,IF(AND(AA$2&gt;=$D16,AA$2&lt;=$E16),1,"")))</f>
        <v/>
      </c>
      <c r="AB16" s="38">
        <f>IF(OR(AB$2="",$D16=""),"",IF(AND(ISNUMBER($F16),AB$2&gt;=$F16,AB$2&lt;=IF(ISNUMBER($G16),$G16,$F16+$E16-$D16)),2,IF(AND(AB$2&gt;=$D16,AB$2&lt;=$E16),1,"")))</f>
        <v/>
      </c>
      <c r="AC16" s="38">
        <f>IF(OR(AC$2="",$D16=""),"",IF(AND(ISNUMBER($F16),AC$2&gt;=$F16,AC$2&lt;=IF(ISNUMBER($G16),$G16,$F16+$E16-$D16)),2,IF(AND(AC$2&gt;=$D16,AC$2&lt;=$E16),1,"")))</f>
        <v/>
      </c>
      <c r="AD16" s="38">
        <f>IF(OR(AD$2="",$D16=""),"",IF(AND(ISNUMBER($F16),AD$2&gt;=$F16,AD$2&lt;=IF(ISNUMBER($G16),$G16,$F16+$E16-$D16)),2,IF(AND(AD$2&gt;=$D16,AD$2&lt;=$E16),1,"")))</f>
        <v/>
      </c>
      <c r="AE16" s="38">
        <f>IF(OR(AE$2="",$D16=""),"",IF(AND(ISNUMBER($F16),AE$2&gt;=$F16,AE$2&lt;=IF(ISNUMBER($G16),$G16,$F16+$E16-$D16)),2,IF(AND(AE$2&gt;=$D16,AE$2&lt;=$E16),1,"")))</f>
        <v/>
      </c>
      <c r="AF16" s="38">
        <f>IF(OR(AF$2="",$D16=""),"",IF(AND(ISNUMBER($F16),AF$2&gt;=$F16,AF$2&lt;=IF(ISNUMBER($G16),$G16,$F16+$E16-$D16)),2,IF(AND(AF$2&gt;=$D16,AF$2&lt;=$E16),1,"")))</f>
        <v/>
      </c>
      <c r="AG16" s="38">
        <f>IF(OR(AG$2="",$D16=""),"",IF(AND(ISNUMBER($F16),AG$2&gt;=$F16,AG$2&lt;=IF(ISNUMBER($G16),$G16,$F16+$E16-$D16)),2,IF(AND(AG$2&gt;=$D16,AG$2&lt;=$E16),1,"")))</f>
        <v/>
      </c>
      <c r="AH16" s="38">
        <f>IF(OR(AH$2="",$D16=""),"",IF(AND(ISNUMBER($F16),AH$2&gt;=$F16,AH$2&lt;=IF(ISNUMBER($G16),$G16,$F16+$E16-$D16)),2,IF(AND(AH$2&gt;=$D16,AH$2&lt;=$E16),1,"")))</f>
        <v/>
      </c>
      <c r="AI16" s="38">
        <f>IF(OR(AI$2="",$D16=""),"",IF(AND(ISNUMBER($F16),AI$2&gt;=$F16,AI$2&lt;=IF(ISNUMBER($G16),$G16,$F16+$E16-$D16)),2,IF(AND(AI$2&gt;=$D16,AI$2&lt;=$E16),1,"")))</f>
        <v/>
      </c>
      <c r="AJ16" s="38">
        <f>IF(OR(AJ$2="",$D16=""),"",IF(AND(ISNUMBER($F16),AJ$2&gt;=$F16,AJ$2&lt;=IF(ISNUMBER($G16),$G16,$F16+$E16-$D16)),2,IF(AND(AJ$2&gt;=$D16,AJ$2&lt;=$E16),1,"")))</f>
        <v/>
      </c>
      <c r="AK16" s="38">
        <f>IF(OR(AK$2="",$D16=""),"",IF(AND(ISNUMBER($F16),AK$2&gt;=$F16,AK$2&lt;=IF(ISNUMBER($G16),$G16,$F16+$E16-$D16)),2,IF(AND(AK$2&gt;=$D16,AK$2&lt;=$E16),1,"")))</f>
        <v/>
      </c>
      <c r="AL16" s="38">
        <f>IF(OR(AL$2="",$D16=""),"",IF(AND(ISNUMBER($F16),AL$2&gt;=$F16,AL$2&lt;=IF(ISNUMBER($G16),$G16,$F16+$E16-$D16)),2,IF(AND(AL$2&gt;=$D16,AL$2&lt;=$E16),1,"")))</f>
        <v/>
      </c>
      <c r="AM16" s="38">
        <f>IF(OR(AM$2="",$D16=""),"",IF(AND(ISNUMBER($F16),AM$2&gt;=$F16,AM$2&lt;=IF(ISNUMBER($G16),$G16,$F16+$E16-$D16)),2,IF(AND(AM$2&gt;=$D16,AM$2&lt;=$E16),1,"")))</f>
        <v/>
      </c>
      <c r="AN16" s="38">
        <f>IF(OR(AN$2="",$D16=""),"",IF(AND(ISNUMBER($F16),AN$2&gt;=$F16,AN$2&lt;=IF(ISNUMBER($G16),$G16,$F16+$E16-$D16)),2,IF(AND(AN$2&gt;=$D16,AN$2&lt;=$E16),1,"")))</f>
        <v/>
      </c>
      <c r="AO16" s="38">
        <f>IF(OR(AO$2="",$D16=""),"",IF(AND(ISNUMBER($F16),AO$2&gt;=$F16,AO$2&lt;=IF(ISNUMBER($G16),$G16,$F16+$E16-$D16)),2,IF(AND(AO$2&gt;=$D16,AO$2&lt;=$E16),1,"")))</f>
        <v/>
      </c>
      <c r="AP16" s="38">
        <f>IF(OR(AP$2="",$D16=""),"",IF(AND(ISNUMBER($F16),AP$2&gt;=$F16,AP$2&lt;=IF(ISNUMBER($G16),$G16,$F16+$E16-$D16)),2,IF(AND(AP$2&gt;=$D16,AP$2&lt;=$E16),1,"")))</f>
        <v/>
      </c>
      <c r="AQ16" s="38">
        <f>IF(OR(AQ$2="",$D16=""),"",IF(AND(ISNUMBER($F16),AQ$2&gt;=$F16,AQ$2&lt;=IF(ISNUMBER($G16),$G16,$F16+$E16-$D16)),2,IF(AND(AQ$2&gt;=$D16,AQ$2&lt;=$E16),1,"")))</f>
        <v/>
      </c>
      <c r="AR16" s="38">
        <f>IF(OR(AR$2="",$D16=""),"",IF(AND(ISNUMBER($F16),AR$2&gt;=$F16,AR$2&lt;=IF(ISNUMBER($G16),$G16,$F16+$E16-$D16)),2,IF(AND(AR$2&gt;=$D16,AR$2&lt;=$E16),1,"")))</f>
        <v/>
      </c>
      <c r="AS16" s="38">
        <f>IF(OR(AS$2="",$D16=""),"",IF(AND(ISNUMBER($F16),AS$2&gt;=$F16,AS$2&lt;=IF(ISNUMBER($G16),$G16,$F16+$E16-$D16)),2,IF(AND(AS$2&gt;=$D16,AS$2&lt;=$E16),1,"")))</f>
        <v/>
      </c>
      <c r="AT16" s="38">
        <f>IF(OR(AT$2="",$D16=""),"",IF(AND(ISNUMBER($F16),AT$2&gt;=$F16,AT$2&lt;=IF(ISNUMBER($G16),$G16,$F16+$E16-$D16)),2,IF(AND(AT$2&gt;=$D16,AT$2&lt;=$E16),1,"")))</f>
        <v/>
      </c>
      <c r="AU16" s="38">
        <f>IF(OR(AU$2="",$D16=""),"",IF(AND(ISNUMBER($F16),AU$2&gt;=$F16,AU$2&lt;=IF(ISNUMBER($G16),$G16,$F16+$E16-$D16)),2,IF(AND(AU$2&gt;=$D16,AU$2&lt;=$E16),1,"")))</f>
        <v/>
      </c>
      <c r="AV16" s="38">
        <f>IF(OR(AV$2="",$D16=""),"",IF(AND(ISNUMBER($F16),AV$2&gt;=$F16,AV$2&lt;=IF(ISNUMBER($G16),$G16,$F16+$E16-$D16)),2,IF(AND(AV$2&gt;=$D16,AV$2&lt;=$E16),1,"")))</f>
        <v/>
      </c>
      <c r="AW16" s="38">
        <f>IF(OR(AW$2="",$D16=""),"",IF(AND(ISNUMBER($F16),AW$2&gt;=$F16,AW$2&lt;=IF(ISNUMBER($G16),$G16,$F16+$E16-$D16)),2,IF(AND(AW$2&gt;=$D16,AW$2&lt;=$E16),1,"")))</f>
        <v/>
      </c>
      <c r="AX16" s="38">
        <f>IF(OR(AX$2="",$D16=""),"",IF(AND(ISNUMBER($F16),AX$2&gt;=$F16,AX$2&lt;=IF(ISNUMBER($G16),$G16,$F16+$E16-$D16)),2,IF(AND(AX$2&gt;=$D16,AX$2&lt;=$E16),1,"")))</f>
        <v/>
      </c>
      <c r="AY16" s="38">
        <f>IF(OR(AY$2="",$D16=""),"",IF(AND(ISNUMBER($F16),AY$2&gt;=$F16,AY$2&lt;=IF(ISNUMBER($G16),$G16,$F16+$E16-$D16)),2,IF(AND(AY$2&gt;=$D16,AY$2&lt;=$E16),1,"")))</f>
        <v/>
      </c>
      <c r="AZ16" s="38">
        <f>IF(OR(AZ$2="",$D16=""),"",IF(AND(ISNUMBER($F16),AZ$2&gt;=$F16,AZ$2&lt;=IF(ISNUMBER($G16),$G16,$F16+$E16-$D16)),2,IF(AND(AZ$2&gt;=$D16,AZ$2&lt;=$E16),1,"")))</f>
        <v/>
      </c>
      <c r="BA16" s="38">
        <f>IF(OR(BA$2="",$D16=""),"",IF(AND(ISNUMBER($F16),BA$2&gt;=$F16,BA$2&lt;=IF(ISNUMBER($G16),$G16,$F16+$E16-$D16)),2,IF(AND(BA$2&gt;=$D16,BA$2&lt;=$E16),1,"")))</f>
        <v/>
      </c>
      <c r="BB16" s="38">
        <f>IF(OR(BB$2="",$D16=""),"",IF(AND(ISNUMBER($F16),BB$2&gt;=$F16,BB$2&lt;=IF(ISNUMBER($G16),$G16,$F16+$E16-$D16)),2,IF(AND(BB$2&gt;=$D16,BB$2&lt;=$E16),1,"")))</f>
        <v/>
      </c>
      <c r="BC16" s="38">
        <f>IF(OR(BC$2="",$D16=""),"",IF(AND(ISNUMBER($F16),BC$2&gt;=$F16,BC$2&lt;=IF(ISNUMBER($G16),$G16,$F16+$E16-$D16)),2,IF(AND(BC$2&gt;=$D16,BC$2&lt;=$E16),1,"")))</f>
        <v/>
      </c>
      <c r="BD16" s="38">
        <f>IF(OR(BD$2="",$D16=""),"",IF(AND(ISNUMBER($F16),BD$2&gt;=$F16,BD$2&lt;=IF(ISNUMBER($G16),$G16,$F16+$E16-$D16)),2,IF(AND(BD$2&gt;=$D16,BD$2&lt;=$E16),1,"")))</f>
        <v/>
      </c>
      <c r="BE16" s="38">
        <f>IF(OR(BE$2="",$D16=""),"",IF(AND(ISNUMBER($F16),BE$2&gt;=$F16,BE$2&lt;=IF(ISNUMBER($G16),$G16,$F16+$E16-$D16)),2,IF(AND(BE$2&gt;=$D16,BE$2&lt;=$E16),1,"")))</f>
        <v/>
      </c>
      <c r="BF16" s="38">
        <f>IF(OR(BF$2="",$D16=""),"",IF(AND(ISNUMBER($F16),BF$2&gt;=$F16,BF$2&lt;=IF(ISNUMBER($G16),$G16,$F16+$E16-$D16)),2,IF(AND(BF$2&gt;=$D16,BF$2&lt;=$E16),1,"")))</f>
        <v/>
      </c>
      <c r="BG16" s="38">
        <f>IF(OR(BG$2="",$D16=""),"",IF(AND(ISNUMBER($F16),BG$2&gt;=$F16,BG$2&lt;=IF(ISNUMBER($G16),$G16,$F16+$E16-$D16)),2,IF(AND(BG$2&gt;=$D16,BG$2&lt;=$E16),1,"")))</f>
        <v/>
      </c>
      <c r="BH16" s="38">
        <f>IF(OR(BH$2="",$D16=""),"",IF(AND(ISNUMBER($F16),BH$2&gt;=$F16,BH$2&lt;=IF(ISNUMBER($G16),$G16,$F16+$E16-$D16)),2,IF(AND(BH$2&gt;=$D16,BH$2&lt;=$E16),1,"")))</f>
        <v/>
      </c>
      <c r="BI16" s="38">
        <f>IF(OR(BI$2="",$D16=""),"",IF(AND(ISNUMBER($F16),BI$2&gt;=$F16,BI$2&lt;=IF(ISNUMBER($G16),$G16,$F16+$E16-$D16)),2,IF(AND(BI$2&gt;=$D16,BI$2&lt;=$E16),1,"")))</f>
        <v/>
      </c>
      <c r="BJ16" s="38">
        <f>IF(OR(BJ$2="",$D16=""),"",IF(AND(ISNUMBER($F16),BJ$2&gt;=$F16,BJ$2&lt;=IF(ISNUMBER($G16),$G16,$F16+$E16-$D16)),2,IF(AND(BJ$2&gt;=$D16,BJ$2&lt;=$E16),1,"")))</f>
        <v/>
      </c>
      <c r="BK16" s="38">
        <f>IF(OR(BK$2="",$D16=""),"",IF(AND(ISNUMBER($F16),BK$2&gt;=$F16,BK$2&lt;=IF(ISNUMBER($G16),$G16,$F16+$E16-$D16)),2,IF(AND(BK$2&gt;=$D16,BK$2&lt;=$E16),1,"")))</f>
        <v/>
      </c>
      <c r="BL16" s="38">
        <f>IF(OR(BL$2="",$D16=""),"",IF(AND(ISNUMBER($F16),BL$2&gt;=$F16,BL$2&lt;=IF(ISNUMBER($G16),$G16,$F16+$E16-$D16)),2,IF(AND(BL$2&gt;=$D16,BL$2&lt;=$E16),1,"")))</f>
        <v/>
      </c>
      <c r="BM16" s="38">
        <f>IF(OR(BM$2="",$D16=""),"",IF(AND(ISNUMBER($F16),BM$2&gt;=$F16,BM$2&lt;=IF(ISNUMBER($G16),$G16,$F16+$E16-$D16)),2,IF(AND(BM$2&gt;=$D16,BM$2&lt;=$E16),1,"")))</f>
        <v/>
      </c>
      <c r="BN16" s="38">
        <f>IF(OR(BN$2="",$D16=""),"",IF(AND(ISNUMBER($F16),BN$2&gt;=$F16,BN$2&lt;=IF(ISNUMBER($G16),$G16,$F16+$E16-$D16)),2,IF(AND(BN$2&gt;=$D16,BN$2&lt;=$E16),1,"")))</f>
        <v/>
      </c>
      <c r="BO16" s="38">
        <f>IF(OR(BO$2="",$D16=""),"",IF(AND(ISNUMBER($F16),BO$2&gt;=$F16,BO$2&lt;=IF(ISNUMBER($G16),$G16,$F16+$E16-$D16)),2,IF(AND(BO$2&gt;=$D16,BO$2&lt;=$E16),1,"")))</f>
        <v/>
      </c>
      <c r="BP16" s="38">
        <f>IF(OR(BP$2="",$D16=""),"",IF(AND(ISNUMBER($F16),BP$2&gt;=$F16,BP$2&lt;=IF(ISNUMBER($G16),$G16,$F16+$E16-$D16)),2,IF(AND(BP$2&gt;=$D16,BP$2&lt;=$E16),1,"")))</f>
        <v/>
      </c>
      <c r="BQ16" s="38">
        <f>IF(OR(BQ$2="",$D16=""),"",IF(AND(ISNUMBER($F16),BQ$2&gt;=$F16,BQ$2&lt;=IF(ISNUMBER($G16),$G16,$F16+$E16-$D16)),2,IF(AND(BQ$2&gt;=$D16,BQ$2&lt;=$E16),1,"")))</f>
        <v/>
      </c>
      <c r="BR16" s="38">
        <f>IF(OR(BR$2="",$D16=""),"",IF(AND(ISNUMBER($F16),BR$2&gt;=$F16,BR$2&lt;=IF(ISNUMBER($G16),$G16,$F16+$E16-$D16)),2,IF(AND(BR$2&gt;=$D16,BR$2&lt;=$E16),1,"")))</f>
        <v/>
      </c>
      <c r="BS16" s="38">
        <f>IF(OR(BS$2="",$D16=""),"",IF(AND(ISNUMBER($F16),BS$2&gt;=$F16,BS$2&lt;=IF(ISNUMBER($G16),$G16,$F16+$E16-$D16)),2,IF(AND(BS$2&gt;=$D16,BS$2&lt;=$E16),1,"")))</f>
        <v/>
      </c>
      <c r="BT16" s="38">
        <f>IF(OR(BT$2="",$D16=""),"",IF(AND(ISNUMBER($F16),BT$2&gt;=$F16,BT$2&lt;=IF(ISNUMBER($G16),$G16,$F16+$E16-$D16)),2,IF(AND(BT$2&gt;=$D16,BT$2&lt;=$E16),1,"")))</f>
        <v/>
      </c>
      <c r="BU16" s="38">
        <f>IF(OR(BU$2="",$D16=""),"",IF(AND(ISNUMBER($F16),BU$2&gt;=$F16,BU$2&lt;=IF(ISNUMBER($G16),$G16,$F16+$E16-$D16)),2,IF(AND(BU$2&gt;=$D16,BU$2&lt;=$E16),1,"")))</f>
        <v/>
      </c>
      <c r="BV16" s="38">
        <f>IF(OR(BV$2="",$D16=""),"",IF(AND(ISNUMBER($F16),BV$2&gt;=$F16,BV$2&lt;=IF(ISNUMBER($G16),$G16,$F16+$E16-$D16)),2,IF(AND(BV$2&gt;=$D16,BV$2&lt;=$E16),1,"")))</f>
        <v/>
      </c>
      <c r="BW16" s="38">
        <f>IF(OR(BW$2="",$D16=""),"",IF(AND(ISNUMBER($F16),BW$2&gt;=$F16,BW$2&lt;=IF(ISNUMBER($G16),$G16,$F16+$E16-$D16)),2,IF(AND(BW$2&gt;=$D16,BW$2&lt;=$E16),1,"")))</f>
        <v/>
      </c>
      <c r="BX16" s="38">
        <f>IF(OR(BX$2="",$D16=""),"",IF(AND(ISNUMBER($F16),BX$2&gt;=$F16,BX$2&lt;=IF(ISNUMBER($G16),$G16,$F16+$E16-$D16)),2,IF(AND(BX$2&gt;=$D16,BX$2&lt;=$E16),1,"")))</f>
        <v/>
      </c>
      <c r="BY16" s="38">
        <f>IF(OR(BY$2="",$D16=""),"",IF(AND(ISNUMBER($F16),BY$2&gt;=$F16,BY$2&lt;=IF(ISNUMBER($G16),$G16,$F16+$E16-$D16)),2,IF(AND(BY$2&gt;=$D16,BY$2&lt;=$E16),1,"")))</f>
        <v/>
      </c>
      <c r="BZ16" s="38">
        <f>IF(OR(BZ$2="",$D16=""),"",IF(AND(ISNUMBER($F16),BZ$2&gt;=$F16,BZ$2&lt;=IF(ISNUMBER($G16),$G16,$F16+$E16-$D16)),2,IF(AND(BZ$2&gt;=$D16,BZ$2&lt;=$E16),1,"")))</f>
        <v/>
      </c>
      <c r="CA16" s="38">
        <f>IF(OR(CA$2="",$D16=""),"",IF(AND(ISNUMBER($F16),CA$2&gt;=$F16,CA$2&lt;=IF(ISNUMBER($G16),$G16,$F16+$E16-$D16)),2,IF(AND(CA$2&gt;=$D16,CA$2&lt;=$E16),1,"")))</f>
        <v/>
      </c>
      <c r="CB16" s="38">
        <f>IF(OR(CB$2="",$D16=""),"",IF(AND(ISNUMBER($F16),CB$2&gt;=$F16,CB$2&lt;=IF(ISNUMBER($G16),$G16,$F16+$E16-$D16)),2,IF(AND(CB$2&gt;=$D16,CB$2&lt;=$E16),1,"")))</f>
        <v/>
      </c>
      <c r="CC16" s="38">
        <f>IF(OR(CC$2="",$D16=""),"",IF(AND(ISNUMBER($F16),CC$2&gt;=$F16,CC$2&lt;=IF(ISNUMBER($G16),$G16,$F16+$E16-$D16)),2,IF(AND(CC$2&gt;=$D16,CC$2&lt;=$E16),1,"")))</f>
        <v/>
      </c>
      <c r="CD16" s="38">
        <f>IF(OR(CD$2="",$D16=""),"",IF(AND(ISNUMBER($F16),CD$2&gt;=$F16,CD$2&lt;=IF(ISNUMBER($G16),$G16,$F16+$E16-$D16)),2,IF(AND(CD$2&gt;=$D16,CD$2&lt;=$E16),1,"")))</f>
        <v/>
      </c>
      <c r="CE16" s="38">
        <f>IF(OR(CE$2="",$D16=""),"",IF(AND(ISNUMBER($F16),CE$2&gt;=$F16,CE$2&lt;=IF(ISNUMBER($G16),$G16,$F16+$E16-$D16)),2,IF(AND(CE$2&gt;=$D16,CE$2&lt;=$E16),1,"")))</f>
        <v/>
      </c>
      <c r="CF16" s="38">
        <f>IF(OR(CF$2="",$D16=""),"",IF(AND(ISNUMBER($F16),CF$2&gt;=$F16,CF$2&lt;=IF(ISNUMBER($G16),$G16,$F16+$E16-$D16)),2,IF(AND(CF$2&gt;=$D16,CF$2&lt;=$E16),1,"")))</f>
        <v/>
      </c>
      <c r="CG16" s="38">
        <f>IF(OR(CG$2="",$D16=""),"",IF(AND(ISNUMBER($F16),CG$2&gt;=$F16,CG$2&lt;=IF(ISNUMBER($G16),$G16,$F16+$E16-$D16)),2,IF(AND(CG$2&gt;=$D16,CG$2&lt;=$E16),1,"")))</f>
        <v/>
      </c>
      <c r="CH16" s="38">
        <f>IF(OR(CH$2="",$D16=""),"",IF(AND(ISNUMBER($F16),CH$2&gt;=$F16,CH$2&lt;=IF(ISNUMBER($G16),$G16,$F16+$E16-$D16)),2,IF(AND(CH$2&gt;=$D16,CH$2&lt;=$E16),1,"")))</f>
        <v/>
      </c>
      <c r="CI16" s="38">
        <f>IF(OR(CI$2="",$D16=""),"",IF(AND(ISNUMBER($F16),CI$2&gt;=$F16,CI$2&lt;=IF(ISNUMBER($G16),$G16,$F16+$E16-$D16)),2,IF(AND(CI$2&gt;=$D16,CI$2&lt;=$E16),1,"")))</f>
        <v/>
      </c>
      <c r="CJ16" s="38">
        <f>IF(OR(CJ$2="",$D16=""),"",IF(AND(ISNUMBER($F16),CJ$2&gt;=$F16,CJ$2&lt;=IF(ISNUMBER($G16),$G16,$F16+$E16-$D16)),2,IF(AND(CJ$2&gt;=$D16,CJ$2&lt;=$E16),1,"")))</f>
        <v/>
      </c>
      <c r="CK16" s="38">
        <f>IF(OR(CK$2="",$D16=""),"",IF(AND(ISNUMBER($F16),CK$2&gt;=$F16,CK$2&lt;=IF(ISNUMBER($G16),$G16,$F16+$E16-$D16)),2,IF(AND(CK$2&gt;=$D16,CK$2&lt;=$E16),1,"")))</f>
        <v/>
      </c>
      <c r="CL16" s="38">
        <f>IF(OR(CL$2="",$D16=""),"",IF(AND(ISNUMBER($F16),CL$2&gt;=$F16,CL$2&lt;=IF(ISNUMBER($G16),$G16,$F16+$E16-$D16)),2,IF(AND(CL$2&gt;=$D16,CL$2&lt;=$E16),1,"")))</f>
        <v/>
      </c>
      <c r="CM16" s="38">
        <f>IF(OR(CM$2="",$D16=""),"",IF(AND(ISNUMBER($F16),CM$2&gt;=$F16,CM$2&lt;=IF(ISNUMBER($G16),$G16,$F16+$E16-$D16)),2,IF(AND(CM$2&gt;=$D16,CM$2&lt;=$E16),1,"")))</f>
        <v/>
      </c>
      <c r="CN16" s="38">
        <f>IF(OR(CN$2="",$D16=""),"",IF(AND(ISNUMBER($F16),CN$2&gt;=$F16,CN$2&lt;=IF(ISNUMBER($G16),$G16,$F16+$E16-$D16)),2,IF(AND(CN$2&gt;=$D16,CN$2&lt;=$E16),1,"")))</f>
        <v/>
      </c>
      <c r="CO16" s="38">
        <f>IF(OR(CO$2="",$D16=""),"",IF(AND(ISNUMBER($F16),CO$2&gt;=$F16,CO$2&lt;=IF(ISNUMBER($G16),$G16,$F16+$E16-$D16)),2,IF(AND(CO$2&gt;=$D16,CO$2&lt;=$E16),1,"")))</f>
        <v/>
      </c>
      <c r="CP16" s="38">
        <f>IF(OR(CP$2="",$D16=""),"",IF(AND(ISNUMBER($F16),CP$2&gt;=$F16,CP$2&lt;=IF(ISNUMBER($G16),$G16,$F16+$E16-$D16)),2,IF(AND(CP$2&gt;=$D16,CP$2&lt;=$E16),1,"")))</f>
        <v/>
      </c>
      <c r="CQ16" s="38">
        <f>IF(OR(CQ$2="",$D16=""),"",IF(AND(ISNUMBER($F16),CQ$2&gt;=$F16,CQ$2&lt;=IF(ISNUMBER($G16),$G16,$F16+$E16-$D16)),2,IF(AND(CQ$2&gt;=$D16,CQ$2&lt;=$E16),1,"")))</f>
        <v/>
      </c>
      <c r="CR16" s="38">
        <f>IF(OR(CR$2="",$D16=""),"",IF(AND(ISNUMBER($F16),CR$2&gt;=$F16,CR$2&lt;=IF(ISNUMBER($G16),$G16,$F16+$E16-$D16)),2,IF(AND(CR$2&gt;=$D16,CR$2&lt;=$E16),1,"")))</f>
        <v/>
      </c>
      <c r="CS16" s="38">
        <f>IF(OR(CS$2="",$D16=""),"",IF(AND(ISNUMBER($F16),CS$2&gt;=$F16,CS$2&lt;=IF(ISNUMBER($G16),$G16,$F16+$E16-$D16)),2,IF(AND(CS$2&gt;=$D16,CS$2&lt;=$E16),1,"")))</f>
        <v/>
      </c>
      <c r="CT16" s="38">
        <f>IF(OR(CT$2="",$D16=""),"",IF(AND(ISNUMBER($F16),CT$2&gt;=$F16,CT$2&lt;=IF(ISNUMBER($G16),$G16,$F16+$E16-$D16)),2,IF(AND(CT$2&gt;=$D16,CT$2&lt;=$E16),1,"")))</f>
        <v/>
      </c>
      <c r="CU16" s="38">
        <f>IF(OR(CU$2="",$D16=""),"",IF(AND(ISNUMBER($F16),CU$2&gt;=$F16,CU$2&lt;=IF(ISNUMBER($G16),$G16,$F16+$E16-$D16)),2,IF(AND(CU$2&gt;=$D16,CU$2&lt;=$E16),1,"")))</f>
        <v/>
      </c>
      <c r="CV16" s="38">
        <f>IF(OR(CV$2="",$D16=""),"",IF(AND(ISNUMBER($F16),CV$2&gt;=$F16,CV$2&lt;=IF(ISNUMBER($G16),$G16,$F16+$E16-$D16)),2,IF(AND(CV$2&gt;=$D16,CV$2&lt;=$E16),1,"")))</f>
        <v/>
      </c>
      <c r="CW16" s="38">
        <f>IF(OR(CW$2="",$D16=""),"",IF(AND(ISNUMBER($F16),CW$2&gt;=$F16,CW$2&lt;=IF(ISNUMBER($G16),$G16,$F16+$E16-$D16)),2,IF(AND(CW$2&gt;=$D16,CW$2&lt;=$E16),1,"")))</f>
        <v/>
      </c>
      <c r="CX16" s="38">
        <f>IF(OR(CX$2="",$D16=""),"",IF(AND(ISNUMBER($F16),CX$2&gt;=$F16,CX$2&lt;=IF(ISNUMBER($G16),$G16,$F16+$E16-$D16)),2,IF(AND(CX$2&gt;=$D16,CX$2&lt;=$E16),1,"")))</f>
        <v/>
      </c>
      <c r="CY16" s="38">
        <f>IF(OR(CY$2="",$D16=""),"",IF(AND(ISNUMBER($F16),CY$2&gt;=$F16,CY$2&lt;=IF(ISNUMBER($G16),$G16,$F16+$E16-$D16)),2,IF(AND(CY$2&gt;=$D16,CY$2&lt;=$E16),1,"")))</f>
        <v/>
      </c>
      <c r="CZ16" s="38">
        <f>IF(OR(CZ$2="",$D16=""),"",IF(AND(ISNUMBER($F16),CZ$2&gt;=$F16,CZ$2&lt;=IF(ISNUMBER($G16),$G16,$F16+$E16-$D16)),2,IF(AND(CZ$2&gt;=$D16,CZ$2&lt;=$E16),1,"")))</f>
        <v/>
      </c>
      <c r="DA16" s="38">
        <f>IF(OR(DA$2="",$D16=""),"",IF(AND(ISNUMBER($F16),DA$2&gt;=$F16,DA$2&lt;=IF(ISNUMBER($G16),$G16,$F16+$E16-$D16)),2,IF(AND(DA$2&gt;=$D16,DA$2&lt;=$E16),1,"")))</f>
        <v/>
      </c>
      <c r="DB16" s="38">
        <f>IF(OR(DB$2="",$D16=""),"",IF(AND(ISNUMBER($F16),DB$2&gt;=$F16,DB$2&lt;=IF(ISNUMBER($G16),$G16,$F16+$E16-$D16)),2,IF(AND(DB$2&gt;=$D16,DB$2&lt;=$E16),1,"")))</f>
        <v/>
      </c>
      <c r="DC16" s="38">
        <f>IF(OR(DC$2="",$D16=""),"",IF(AND(ISNUMBER($F16),DC$2&gt;=$F16,DC$2&lt;=IF(ISNUMBER($G16),$G16,$F16+$E16-$D16)),2,IF(AND(DC$2&gt;=$D16,DC$2&lt;=$E16),1,"")))</f>
        <v/>
      </c>
      <c r="DD16" s="38">
        <f>IF(OR(DD$2="",$D16=""),"",IF(AND(ISNUMBER($F16),DD$2&gt;=$F16,DD$2&lt;=IF(ISNUMBER($G16),$G16,$F16+$E16-$D16)),2,IF(AND(DD$2&gt;=$D16,DD$2&lt;=$E16),1,"")))</f>
        <v/>
      </c>
      <c r="DE16" s="38">
        <f>IF(OR(DE$2="",$D16=""),"",IF(AND(ISNUMBER($F16),DE$2&gt;=$F16,DE$2&lt;=IF(ISNUMBER($G16),$G16,$F16+$E16-$D16)),2,IF(AND(DE$2&gt;=$D16,DE$2&lt;=$E16),1,"")))</f>
        <v/>
      </c>
      <c r="DF16" s="38">
        <f>IF(OR(DF$2="",$D16=""),"",IF(AND(ISNUMBER($F16),DF$2&gt;=$F16,DF$2&lt;=IF(ISNUMBER($G16),$G16,$F16+$E16-$D16)),2,IF(AND(DF$2&gt;=$D16,DF$2&lt;=$E16),1,"")))</f>
        <v/>
      </c>
      <c r="DG16" s="38">
        <f>IF(OR(DG$2="",$D16=""),"",IF(AND(ISNUMBER($F16),DG$2&gt;=$F16,DG$2&lt;=IF(ISNUMBER($G16),$G16,$F16+$E16-$D16)),2,IF(AND(DG$2&gt;=$D16,DG$2&lt;=$E16),1,"")))</f>
        <v/>
      </c>
      <c r="DH16" s="38">
        <f>IF(OR(DH$2="",$D16=""),"",IF(AND(ISNUMBER($F16),DH$2&gt;=$F16,DH$2&lt;=IF(ISNUMBER($G16),$G16,$F16+$E16-$D16)),2,IF(AND(DH$2&gt;=$D16,DH$2&lt;=$E16),1,"")))</f>
        <v/>
      </c>
      <c r="DI16" s="38">
        <f>IF(OR(DI$2="",$D16=""),"",IF(AND(ISNUMBER($F16),DI$2&gt;=$F16,DI$2&lt;=IF(ISNUMBER($G16),$G16,$F16+$E16-$D16)),2,IF(AND(DI$2&gt;=$D16,DI$2&lt;=$E16),1,"")))</f>
        <v/>
      </c>
      <c r="DJ16" s="38">
        <f>IF(OR(DJ$2="",$D16=""),"",IF(AND(ISNUMBER($F16),DJ$2&gt;=$F16,DJ$2&lt;=IF(ISNUMBER($G16),$G16,$F16+$E16-$D16)),2,IF(AND(DJ$2&gt;=$D16,DJ$2&lt;=$E16),1,"")))</f>
        <v/>
      </c>
      <c r="DK16" s="38">
        <f>IF(OR(DK$2="",$D16=""),"",IF(AND(ISNUMBER($F16),DK$2&gt;=$F16,DK$2&lt;=IF(ISNUMBER($G16),$G16,$F16+$E16-$D16)),2,IF(AND(DK$2&gt;=$D16,DK$2&lt;=$E16),1,"")))</f>
        <v/>
      </c>
      <c r="DL16" s="38">
        <f>IF(OR(DL$2="",$D16=""),"",IF(AND(ISNUMBER($F16),DL$2&gt;=$F16,DL$2&lt;=IF(ISNUMBER($G16),$G16,$F16+$E16-$D16)),2,IF(AND(DL$2&gt;=$D16,DL$2&lt;=$E16),1,"")))</f>
        <v/>
      </c>
      <c r="DM16" s="38">
        <f>IF(OR(DM$2="",$D16=""),"",IF(AND(ISNUMBER($F16),DM$2&gt;=$F16,DM$2&lt;=IF(ISNUMBER($G16),$G16,$F16+$E16-$D16)),2,IF(AND(DM$2&gt;=$D16,DM$2&lt;=$E16),1,"")))</f>
        <v/>
      </c>
      <c r="DN16" s="38">
        <f>IF(OR(DN$2="",$D16=""),"",IF(AND(ISNUMBER($F16),DN$2&gt;=$F16,DN$2&lt;=IF(ISNUMBER($G16),$G16,$F16+$E16-$D16)),2,IF(AND(DN$2&gt;=$D16,DN$2&lt;=$E16),1,"")))</f>
        <v/>
      </c>
      <c r="DO16" s="38">
        <f>IF(OR(DO$2="",$D16=""),"",IF(AND(ISNUMBER($F16),DO$2&gt;=$F16,DO$2&lt;=IF(ISNUMBER($G16),$G16,$F16+$E16-$D16)),2,IF(AND(DO$2&gt;=$D16,DO$2&lt;=$E16),1,"")))</f>
        <v/>
      </c>
      <c r="DP16" s="38">
        <f>IF(OR(DP$2="",$D16=""),"",IF(AND(ISNUMBER($F16),DP$2&gt;=$F16,DP$2&lt;=IF(ISNUMBER($G16),$G16,$F16+$E16-$D16)),2,IF(AND(DP$2&gt;=$D16,DP$2&lt;=$E16),1,"")))</f>
        <v/>
      </c>
      <c r="DQ16" s="38">
        <f>IF(OR(DQ$2="",$D16=""),"",IF(AND(ISNUMBER($F16),DQ$2&gt;=$F16,DQ$2&lt;=IF(ISNUMBER($G16),$G16,$F16+$E16-$D16)),2,IF(AND(DQ$2&gt;=$D16,DQ$2&lt;=$E16),1,"")))</f>
        <v/>
      </c>
      <c r="DR16" s="38">
        <f>IF(OR(DR$2="",$D16=""),"",IF(AND(ISNUMBER($F16),DR$2&gt;=$F16,DR$2&lt;=IF(ISNUMBER($G16),$G16,$F16+$E16-$D16)),2,IF(AND(DR$2&gt;=$D16,DR$2&lt;=$E16),1,"")))</f>
        <v/>
      </c>
      <c r="DS16" s="38">
        <f>IF(OR(DS$2="",$D16=""),"",IF(AND(ISNUMBER($F16),DS$2&gt;=$F16,DS$2&lt;=IF(ISNUMBER($G16),$G16,$F16+$E16-$D16)),2,IF(AND(DS$2&gt;=$D16,DS$2&lt;=$E16),1,"")))</f>
        <v/>
      </c>
      <c r="DT16" s="38">
        <f>IF(OR(DT$2="",$D16=""),"",IF(AND(ISNUMBER($F16),DT$2&gt;=$F16,DT$2&lt;=IF(ISNUMBER($G16),$G16,$F16+$E16-$D16)),2,IF(AND(DT$2&gt;=$D16,DT$2&lt;=$E16),1,"")))</f>
        <v/>
      </c>
      <c r="DU16" s="38">
        <f>IF(OR(DU$2="",$D16=""),"",IF(AND(ISNUMBER($F16),DU$2&gt;=$F16,DU$2&lt;=IF(ISNUMBER($G16),$G16,$F16+$E16-$D16)),2,IF(AND(DU$2&gt;=$D16,DU$2&lt;=$E16),1,"")))</f>
        <v/>
      </c>
      <c r="DV16" s="38">
        <f>IF(OR(DV$2="",$D16=""),"",IF(AND(ISNUMBER($F16),DV$2&gt;=$F16,DV$2&lt;=IF(ISNUMBER($G16),$G16,$F16+$E16-$D16)),2,IF(AND(DV$2&gt;=$D16,DV$2&lt;=$E16),1,"")))</f>
        <v/>
      </c>
      <c r="DW16" s="38">
        <f>IF(OR(DW$2="",$D16=""),"",IF(AND(ISNUMBER($F16),DW$2&gt;=$F16,DW$2&lt;=IF(ISNUMBER($G16),$G16,$F16+$E16-$D16)),2,IF(AND(DW$2&gt;=$D16,DW$2&lt;=$E16),1,"")))</f>
        <v/>
      </c>
      <c r="DX16" s="38">
        <f>IF(OR(DX$2="",$D16=""),"",IF(AND(ISNUMBER($F16),DX$2&gt;=$F16,DX$2&lt;=IF(ISNUMBER($G16),$G16,$F16+$E16-$D16)),2,IF(AND(DX$2&gt;=$D16,DX$2&lt;=$E16),1,"")))</f>
        <v/>
      </c>
      <c r="DY16" s="38">
        <f>IF(OR(DY$2="",$D16=""),"",IF(AND(ISNUMBER($F16),DY$2&gt;=$F16,DY$2&lt;=IF(ISNUMBER($G16),$G16,$F16+$E16-$D16)),2,IF(AND(DY$2&gt;=$D16,DY$2&lt;=$E16),1,"")))</f>
        <v/>
      </c>
      <c r="DZ16" s="38">
        <f>IF(OR(DZ$2="",$D16=""),"",IF(AND(ISNUMBER($F16),DZ$2&gt;=$F16,DZ$2&lt;=IF(ISNUMBER($G16),$G16,$F16+$E16-$D16)),2,IF(AND(DZ$2&gt;=$D16,DZ$2&lt;=$E16),1,"")))</f>
        <v/>
      </c>
      <c r="EA16" s="38">
        <f>IF(OR(EA$2="",$D16=""),"",IF(AND(ISNUMBER($F16),EA$2&gt;=$F16,EA$2&lt;=IF(ISNUMBER($G16),$G16,$F16+$E16-$D16)),2,IF(AND(EA$2&gt;=$D16,EA$2&lt;=$E16),1,"")))</f>
        <v/>
      </c>
      <c r="EB16" s="38">
        <f>IF(OR(EB$2="",$D16=""),"",IF(AND(ISNUMBER($F16),EB$2&gt;=$F16,EB$2&lt;=IF(ISNUMBER($G16),$G16,$F16+$E16-$D16)),2,IF(AND(EB$2&gt;=$D16,EB$2&lt;=$E16),1,"")))</f>
        <v/>
      </c>
      <c r="EC16" s="38">
        <f>IF(OR(EC$2="",$D16=""),"",IF(AND(ISNUMBER($F16),EC$2&gt;=$F16,EC$2&lt;=IF(ISNUMBER($G16),$G16,$F16+$E16-$D16)),2,IF(AND(EC$2&gt;=$D16,EC$2&lt;=$E16),1,"")))</f>
        <v/>
      </c>
      <c r="ED16" s="38">
        <f>IF(OR(ED$2="",$D16=""),"",IF(AND(ISNUMBER($F16),ED$2&gt;=$F16,ED$2&lt;=IF(ISNUMBER($G16),$G16,$F16+$E16-$D16)),2,IF(AND(ED$2&gt;=$D16,ED$2&lt;=$E16),1,"")))</f>
        <v/>
      </c>
      <c r="EE16" s="38">
        <f>IF(OR(EE$2="",$D16=""),"",IF(AND(ISNUMBER($F16),EE$2&gt;=$F16,EE$2&lt;=IF(ISNUMBER($G16),$G16,$F16+$E16-$D16)),2,IF(AND(EE$2&gt;=$D16,EE$2&lt;=$E16),1,"")))</f>
        <v/>
      </c>
      <c r="EF16" s="38">
        <f>IF(OR(EF$2="",$D16=""),"",IF(AND(ISNUMBER($F16),EF$2&gt;=$F16,EF$2&lt;=IF(ISNUMBER($G16),$G16,$F16+$E16-$D16)),2,IF(AND(EF$2&gt;=$D16,EF$2&lt;=$E16),1,"")))</f>
        <v/>
      </c>
      <c r="EG16" s="38">
        <f>IF(OR(EG$2="",$D16=""),"",IF(AND(ISNUMBER($F16),EG$2&gt;=$F16,EG$2&lt;=IF(ISNUMBER($G16),$G16,$F16+$E16-$D16)),2,IF(AND(EG$2&gt;=$D16,EG$2&lt;=$E16),1,"")))</f>
        <v/>
      </c>
      <c r="EH16" s="38">
        <f>IF(OR(EH$2="",$D16=""),"",IF(AND(ISNUMBER($F16),EH$2&gt;=$F16,EH$2&lt;=IF(ISNUMBER($G16),$G16,$F16+$E16-$D16)),2,IF(AND(EH$2&gt;=$D16,EH$2&lt;=$E16),1,"")))</f>
        <v/>
      </c>
      <c r="EI16" s="38">
        <f>IF(OR(EI$2="",$D16=""),"",IF(AND(ISNUMBER($F16),EI$2&gt;=$F16,EI$2&lt;=IF(ISNUMBER($G16),$G16,$F16+$E16-$D16)),2,IF(AND(EI$2&gt;=$D16,EI$2&lt;=$E16),1,"")))</f>
        <v/>
      </c>
      <c r="EJ16" s="38">
        <f>IF(OR(EJ$2="",$D16=""),"",IF(AND(ISNUMBER($F16),EJ$2&gt;=$F16,EJ$2&lt;=IF(ISNUMBER($G16),$G16,$F16+$E16-$D16)),2,IF(AND(EJ$2&gt;=$D16,EJ$2&lt;=$E16),1,"")))</f>
        <v/>
      </c>
      <c r="EK16" s="38">
        <f>IF(OR(EK$2="",$D16=""),"",IF(AND(ISNUMBER($F16),EK$2&gt;=$F16,EK$2&lt;=IF(ISNUMBER($G16),$G16,$F16+$E16-$D16)),2,IF(AND(EK$2&gt;=$D16,EK$2&lt;=$E16),1,"")))</f>
        <v/>
      </c>
      <c r="EL16" s="38">
        <f>IF(OR(EL$2="",$D16=""),"",IF(AND(ISNUMBER($F16),EL$2&gt;=$F16,EL$2&lt;=IF(ISNUMBER($G16),$G16,$F16+$E16-$D16)),2,IF(AND(EL$2&gt;=$D16,EL$2&lt;=$E16),1,"")))</f>
        <v/>
      </c>
      <c r="EM16" s="38">
        <f>IF(OR(EM$2="",$D16=""),"",IF(AND(ISNUMBER($F16),EM$2&gt;=$F16,EM$2&lt;=IF(ISNUMBER($G16),$G16,$F16+$E16-$D16)),2,IF(AND(EM$2&gt;=$D16,EM$2&lt;=$E16),1,"")))</f>
        <v/>
      </c>
      <c r="EN16" s="38">
        <f>IF(OR(EN$2="",$D16=""),"",IF(AND(ISNUMBER($F16),EN$2&gt;=$F16,EN$2&lt;=IF(ISNUMBER($G16),$G16,$F16+$E16-$D16)),2,IF(AND(EN$2&gt;=$D16,EN$2&lt;=$E16),1,"")))</f>
        <v/>
      </c>
      <c r="EO16" s="38">
        <f>IF(OR(EO$2="",$D16=""),"",IF(AND(ISNUMBER($F16),EO$2&gt;=$F16,EO$2&lt;=IF(ISNUMBER($G16),$G16,$F16+$E16-$D16)),2,IF(AND(EO$2&gt;=$D16,EO$2&lt;=$E16),1,"")))</f>
        <v/>
      </c>
      <c r="EP16" s="38">
        <f>IF(OR(EP$2="",$D16=""),"",IF(AND(ISNUMBER($F16),EP$2&gt;=$F16,EP$2&lt;=IF(ISNUMBER($G16),$G16,$F16+$E16-$D16)),2,IF(AND(EP$2&gt;=$D16,EP$2&lt;=$E16),1,"")))</f>
        <v/>
      </c>
      <c r="EQ16" s="38">
        <f>IF(OR(EQ$2="",$D16=""),"",IF(AND(ISNUMBER($F16),EQ$2&gt;=$F16,EQ$2&lt;=IF(ISNUMBER($G16),$G16,$F16+$E16-$D16)),2,IF(AND(EQ$2&gt;=$D16,EQ$2&lt;=$E16),1,"")))</f>
        <v/>
      </c>
      <c r="ER16" s="38">
        <f>IF(OR(ER$2="",$D16=""),"",IF(AND(ISNUMBER($F16),ER$2&gt;=$F16,ER$2&lt;=IF(ISNUMBER($G16),$G16,$F16+$E16-$D16)),2,IF(AND(ER$2&gt;=$D16,ER$2&lt;=$E16),1,"")))</f>
        <v/>
      </c>
      <c r="ES16" s="38">
        <f>IF(OR(ES$2="",$D16=""),"",IF(AND(ISNUMBER($F16),ES$2&gt;=$F16,ES$2&lt;=IF(ISNUMBER($G16),$G16,$F16+$E16-$D16)),2,IF(AND(ES$2&gt;=$D16,ES$2&lt;=$E16),1,"")))</f>
        <v/>
      </c>
      <c r="ET16" s="38">
        <f>IF(OR(ET$2="",$D16=""),"",IF(AND(ISNUMBER($F16),ET$2&gt;=$F16,ET$2&lt;=IF(ISNUMBER($G16),$G16,$F16+$E16-$D16)),2,IF(AND(ET$2&gt;=$D16,ET$2&lt;=$E16),1,"")))</f>
        <v/>
      </c>
      <c r="EU16" s="38">
        <f>IF(OR(EU$2="",$D16=""),"",IF(AND(ISNUMBER($F16),EU$2&gt;=$F16,EU$2&lt;=IF(ISNUMBER($G16),$G16,$F16+$E16-$D16)),2,IF(AND(EU$2&gt;=$D16,EU$2&lt;=$E16),1,"")))</f>
        <v/>
      </c>
      <c r="EV16" s="38">
        <f>IF(OR(EV$2="",$D16=""),"",IF(AND(ISNUMBER($F16),EV$2&gt;=$F16,EV$2&lt;=IF(ISNUMBER($G16),$G16,$F16+$E16-$D16)),2,IF(AND(EV$2&gt;=$D16,EV$2&lt;=$E16),1,"")))</f>
        <v/>
      </c>
      <c r="EW16" s="38">
        <f>IF(OR(EW$2="",$D16=""),"",IF(AND(ISNUMBER($F16),EW$2&gt;=$F16,EW$2&lt;=IF(ISNUMBER($G16),$G16,$F16+$E16-$D16)),2,IF(AND(EW$2&gt;=$D16,EW$2&lt;=$E16),1,"")))</f>
        <v/>
      </c>
      <c r="EX16" s="38">
        <f>IF(OR(EX$2="",$D16=""),"",IF(AND(ISNUMBER($F16),EX$2&gt;=$F16,EX$2&lt;=IF(ISNUMBER($G16),$G16,$F16+$E16-$D16)),2,IF(AND(EX$2&gt;=$D16,EX$2&lt;=$E16),1,"")))</f>
        <v/>
      </c>
      <c r="EY16" s="38">
        <f>IF(OR(EY$2="",$D16=""),"",IF(AND(ISNUMBER($F16),EY$2&gt;=$F16,EY$2&lt;=IF(ISNUMBER($G16),$G16,$F16+$E16-$D16)),2,IF(AND(EY$2&gt;=$D16,EY$2&lt;=$E16),1,"")))</f>
        <v/>
      </c>
      <c r="EZ16" s="38">
        <f>IF(OR(EZ$2="",$D16=""),"",IF(AND(ISNUMBER($F16),EZ$2&gt;=$F16,EZ$2&lt;=IF(ISNUMBER($G16),$G16,$F16+$E16-$D16)),2,IF(AND(EZ$2&gt;=$D16,EZ$2&lt;=$E16),1,"")))</f>
        <v/>
      </c>
      <c r="FA16" s="38">
        <f>IF(OR(FA$2="",$D16=""),"",IF(AND(ISNUMBER($F16),FA$2&gt;=$F16,FA$2&lt;=IF(ISNUMBER($G16),$G16,$F16+$E16-$D16)),2,IF(AND(FA$2&gt;=$D16,FA$2&lt;=$E16),1,"")))</f>
        <v/>
      </c>
      <c r="FB16" s="38">
        <f>IF(OR(FB$2="",$D16=""),"",IF(AND(ISNUMBER($F16),FB$2&gt;=$F16,FB$2&lt;=IF(ISNUMBER($G16),$G16,$F16+$E16-$D16)),2,IF(AND(FB$2&gt;=$D16,FB$2&lt;=$E16),1,"")))</f>
        <v/>
      </c>
      <c r="FC16" s="38">
        <f>IF(OR(FC$2="",$D16=""),"",IF(AND(ISNUMBER($F16),FC$2&gt;=$F16,FC$2&lt;=IF(ISNUMBER($G16),$G16,$F16+$E16-$D16)),2,IF(AND(FC$2&gt;=$D16,FC$2&lt;=$E16),1,"")))</f>
        <v/>
      </c>
      <c r="FD16" s="38">
        <f>IF(OR(FD$2="",$D16=""),"",IF(AND(ISNUMBER($F16),FD$2&gt;=$F16,FD$2&lt;=IF(ISNUMBER($G16),$G16,$F16+$E16-$D16)),2,IF(AND(FD$2&gt;=$D16,FD$2&lt;=$E16),1,"")))</f>
        <v/>
      </c>
      <c r="FE16" s="38">
        <f>IF(OR(FE$2="",$D16=""),"",IF(AND(ISNUMBER($F16),FE$2&gt;=$F16,FE$2&lt;=IF(ISNUMBER($G16),$G16,$F16+$E16-$D16)),2,IF(AND(FE$2&gt;=$D16,FE$2&lt;=$E16),1,"")))</f>
        <v/>
      </c>
      <c r="FF16" s="38">
        <f>IF(OR(FF$2="",$D16=""),"",IF(AND(ISNUMBER($F16),FF$2&gt;=$F16,FF$2&lt;=IF(ISNUMBER($G16),$G16,$F16+$E16-$D16)),2,IF(AND(FF$2&gt;=$D16,FF$2&lt;=$E16),1,"")))</f>
        <v/>
      </c>
      <c r="FG16" s="38">
        <f>IF(OR(FG$2="",$D16=""),"",IF(AND(ISNUMBER($F16),FG$2&gt;=$F16,FG$2&lt;=IF(ISNUMBER($G16),$G16,$F16+$E16-$D16)),2,IF(AND(FG$2&gt;=$D16,FG$2&lt;=$E16),1,"")))</f>
        <v/>
      </c>
      <c r="FH16" s="38">
        <f>IF(OR(FH$2="",$D16=""),"",IF(AND(ISNUMBER($F16),FH$2&gt;=$F16,FH$2&lt;=IF(ISNUMBER($G16),$G16,$F16+$E16-$D16)),2,IF(AND(FH$2&gt;=$D16,FH$2&lt;=$E16),1,"")))</f>
        <v/>
      </c>
      <c r="FI16" s="38">
        <f>IF(OR(FI$2="",$D16=""),"",IF(AND(ISNUMBER($F16),FI$2&gt;=$F16,FI$2&lt;=IF(ISNUMBER($G16),$G16,$F16+$E16-$D16)),2,IF(AND(FI$2&gt;=$D16,FI$2&lt;=$E16),1,"")))</f>
        <v/>
      </c>
      <c r="FJ16" s="38">
        <f>IF(OR(FJ$2="",$D16=""),"",IF(AND(ISNUMBER($F16),FJ$2&gt;=$F16,FJ$2&lt;=IF(ISNUMBER($G16),$G16,$F16+$E16-$D16)),2,IF(AND(FJ$2&gt;=$D16,FJ$2&lt;=$E16),1,"")))</f>
        <v/>
      </c>
      <c r="FK16" s="38">
        <f>IF(OR(FK$2="",$D16=""),"",IF(AND(ISNUMBER($F16),FK$2&gt;=$F16,FK$2&lt;=IF(ISNUMBER($G16),$G16,$F16+$E16-$D16)),2,IF(AND(FK$2&gt;=$D16,FK$2&lt;=$E16),1,"")))</f>
        <v/>
      </c>
      <c r="FL16" s="38">
        <f>IF(OR(FL$2="",$D16=""),"",IF(AND(ISNUMBER($F16),FL$2&gt;=$F16,FL$2&lt;=IF(ISNUMBER($G16),$G16,$F16+$E16-$D16)),2,IF(AND(FL$2&gt;=$D16,FL$2&lt;=$E16),1,"")))</f>
        <v/>
      </c>
      <c r="FM16" s="38">
        <f>IF(OR(FM$2="",$D16=""),"",IF(AND(ISNUMBER($F16),FM$2&gt;=$F16,FM$2&lt;=IF(ISNUMBER($G16),$G16,$F16+$E16-$D16)),2,IF(AND(FM$2&gt;=$D16,FM$2&lt;=$E16),1,"")))</f>
        <v/>
      </c>
      <c r="FN16" s="38">
        <f>IF(OR(FN$2="",$D16=""),"",IF(AND(ISNUMBER($F16),FN$2&gt;=$F16,FN$2&lt;=IF(ISNUMBER($G16),$G16,$F16+$E16-$D16)),2,IF(AND(FN$2&gt;=$D16,FN$2&lt;=$E16),1,"")))</f>
        <v/>
      </c>
      <c r="FO16" s="38">
        <f>IF(OR(FO$2="",$D16=""),"",IF(AND(ISNUMBER($F16),FO$2&gt;=$F16,FO$2&lt;=IF(ISNUMBER($G16),$G16,$F16+$E16-$D16)),2,IF(AND(FO$2&gt;=$D16,FO$2&lt;=$E16),1,"")))</f>
        <v/>
      </c>
      <c r="FP16" s="38">
        <f>IF(OR(FP$2="",$D16=""),"",IF(AND(ISNUMBER($F16),FP$2&gt;=$F16,FP$2&lt;=IF(ISNUMBER($G16),$G16,$F16+$E16-$D16)),2,IF(AND(FP$2&gt;=$D16,FP$2&lt;=$E16),1,"")))</f>
        <v/>
      </c>
      <c r="FQ16" s="38">
        <f>IF(OR(FQ$2="",$D16=""),"",IF(AND(ISNUMBER($F16),FQ$2&gt;=$F16,FQ$2&lt;=IF(ISNUMBER($G16),$G16,$F16+$E16-$D16)),2,IF(AND(FQ$2&gt;=$D16,FQ$2&lt;=$E16),1,"")))</f>
        <v/>
      </c>
      <c r="FR16" s="38">
        <f>IF(OR(FR$2="",$D16=""),"",IF(AND(ISNUMBER($F16),FR$2&gt;=$F16,FR$2&lt;=IF(ISNUMBER($G16),$G16,$F16+$E16-$D16)),2,IF(AND(FR$2&gt;=$D16,FR$2&lt;=$E16),1,"")))</f>
        <v/>
      </c>
      <c r="FS16" s="38">
        <f>IF(OR(FS$2="",$D16=""),"",IF(AND(ISNUMBER($F16),FS$2&gt;=$F16,FS$2&lt;=IF(ISNUMBER($G16),$G16,$F16+$E16-$D16)),2,IF(AND(FS$2&gt;=$D16,FS$2&lt;=$E16),1,"")))</f>
        <v/>
      </c>
      <c r="FT16" s="38">
        <f>IF(OR(FT$2="",$D16=""),"",IF(AND(ISNUMBER($F16),FT$2&gt;=$F16,FT$2&lt;=IF(ISNUMBER($G16),$G16,$F16+$E16-$D16)),2,IF(AND(FT$2&gt;=$D16,FT$2&lt;=$E16),1,"")))</f>
        <v/>
      </c>
      <c r="FU16" s="38">
        <f>IF(OR(FU$2="",$D16=""),"",IF(AND(ISNUMBER($F16),FU$2&gt;=$F16,FU$2&lt;=IF(ISNUMBER($G16),$G16,$F16+$E16-$D16)),2,IF(AND(FU$2&gt;=$D16,FU$2&lt;=$E16),1,"")))</f>
        <v/>
      </c>
      <c r="FV16" s="38">
        <f>IF(OR(FV$2="",$D16=""),"",IF(AND(ISNUMBER($F16),FV$2&gt;=$F16,FV$2&lt;=IF(ISNUMBER($G16),$G16,$F16+$E16-$D16)),2,IF(AND(FV$2&gt;=$D16,FV$2&lt;=$E16),1,"")))</f>
        <v/>
      </c>
      <c r="FW16" s="38">
        <f>IF(OR(FW$2="",$D16=""),"",IF(AND(ISNUMBER($F16),FW$2&gt;=$F16,FW$2&lt;=IF(ISNUMBER($G16),$G16,$F16+$E16-$D16)),2,IF(AND(FW$2&gt;=$D16,FW$2&lt;=$E16),1,"")))</f>
        <v/>
      </c>
      <c r="FX16" s="38">
        <f>IF(OR(FX$2="",$D16=""),"",IF(AND(ISNUMBER($F16),FX$2&gt;=$F16,FX$2&lt;=IF(ISNUMBER($G16),$G16,$F16+$E16-$D16)),2,IF(AND(FX$2&gt;=$D16,FX$2&lt;=$E16),1,"")))</f>
        <v/>
      </c>
      <c r="FY16" s="38">
        <f>IF(OR(FY$2="",$D16=""),"",IF(AND(ISNUMBER($F16),FY$2&gt;=$F16,FY$2&lt;=IF(ISNUMBER($G16),$G16,$F16+$E16-$D16)),2,IF(AND(FY$2&gt;=$D16,FY$2&lt;=$E16),1,"")))</f>
        <v/>
      </c>
      <c r="FZ16" s="38">
        <f>IF(OR(FZ$2="",$D16=""),"",IF(AND(ISNUMBER($F16),FZ$2&gt;=$F16,FZ$2&lt;=IF(ISNUMBER($G16),$G16,$F16+$E16-$D16)),2,IF(AND(FZ$2&gt;=$D16,FZ$2&lt;=$E16),1,"")))</f>
        <v/>
      </c>
      <c r="GA16" s="38">
        <f>IF(OR(GA$2="",$D16=""),"",IF(AND(ISNUMBER($F16),GA$2&gt;=$F16,GA$2&lt;=IF(ISNUMBER($G16),$G16,$F16+$E16-$D16)),2,IF(AND(GA$2&gt;=$D16,GA$2&lt;=$E16),1,"")))</f>
        <v/>
      </c>
      <c r="GB16" s="38">
        <f>IF(OR(GB$2="",$D16=""),"",IF(AND(ISNUMBER($F16),GB$2&gt;=$F16,GB$2&lt;=IF(ISNUMBER($G16),$G16,$F16+$E16-$D16)),2,IF(AND(GB$2&gt;=$D16,GB$2&lt;=$E16),1,"")))</f>
        <v/>
      </c>
      <c r="GC16" s="38">
        <f>IF(OR(GC$2="",$D16=""),"",IF(AND(ISNUMBER($F16),GC$2&gt;=$F16,GC$2&lt;=IF(ISNUMBER($G16),$G16,$F16+$E16-$D16)),2,IF(AND(GC$2&gt;=$D16,GC$2&lt;=$E16),1,"")))</f>
        <v/>
      </c>
      <c r="GD16" s="38">
        <f>IF(OR(GD$2="",$D16=""),"",IF(AND(ISNUMBER($F16),GD$2&gt;=$F16,GD$2&lt;=IF(ISNUMBER($G16),$G16,$F16+$E16-$D16)),2,IF(AND(GD$2&gt;=$D16,GD$2&lt;=$E16),1,"")))</f>
        <v/>
      </c>
      <c r="GE16" s="38">
        <f>IF(OR(GE$2="",$D16=""),"",IF(AND(ISNUMBER($F16),GE$2&gt;=$F16,GE$2&lt;=IF(ISNUMBER($G16),$G16,$F16+$E16-$D16)),2,IF(AND(GE$2&gt;=$D16,GE$2&lt;=$E16),1,"")))</f>
        <v/>
      </c>
    </row>
    <row r="17">
      <c r="A17" s="36" t="inlineStr">
        <is>
          <t>3F4D-2</t>
        </is>
      </c>
      <c r="B17" s="12" t="inlineStr">
        <is>
          <t>৩এফ৪ডি-2</t>
        </is>
      </c>
      <c r="C17" s="12" t="inlineStr">
        <is>
          <t>3F4D+MD</t>
        </is>
      </c>
      <c r="D17" s="7">
        <f>IF(Day_0="","",Day_0+cfg_6-cfg_8+cfg_13*1)</f>
        <v/>
      </c>
      <c r="E17" s="7">
        <f>IF(Day_0="","",Day_0+cfg_6-cfg_8+cfg_13*2)</f>
        <v/>
      </c>
      <c r="F17" s="37" t="n"/>
      <c r="G17" s="37" t="n"/>
      <c r="H17" s="6">
        <f>IF(D17="","no plan",IF(F17&lt;&gt;"",IF(F17-D17&gt;=2,"LATE","OK"),IF(TODAY()&gt;D17+2,"OVERDUE","upcoming")))</f>
        <v/>
      </c>
      <c r="I17" s="6">
        <f>IF(AND(D17&lt;&gt;"",F17&lt;&gt;""),F17-D17,"")</f>
        <v/>
      </c>
      <c r="J17" s="7">
        <f>IF(F17&lt;&gt;"",F17,D17)</f>
        <v/>
      </c>
      <c r="K17" s="7">
        <f>IF(G17&lt;&gt;"",G17,IF(AND(F17&lt;&gt;"",E17=D17),F17,E17))</f>
        <v/>
      </c>
      <c r="L17" s="6">
        <f>IF(AND(D17&lt;&gt;"",F17="",D17&gt;=TODAY()),D17+ROW()/1000,"")</f>
        <v/>
      </c>
      <c r="M17" s="38">
        <f>IF(OR(M$2="",$D17=""),"",IF(AND(ISNUMBER($F17),M$2&gt;=$F17,M$2&lt;=IF(ISNUMBER($G17),$G17,$F17+$E17-$D17)),2,IF(AND(M$2&gt;=$D17,M$2&lt;=$E17),1,"")))</f>
        <v/>
      </c>
      <c r="N17" s="38">
        <f>IF(OR(N$2="",$D17=""),"",IF(AND(ISNUMBER($F17),N$2&gt;=$F17,N$2&lt;=IF(ISNUMBER($G17),$G17,$F17+$E17-$D17)),2,IF(AND(N$2&gt;=$D17,N$2&lt;=$E17),1,"")))</f>
        <v/>
      </c>
      <c r="O17" s="38">
        <f>IF(OR(O$2="",$D17=""),"",IF(AND(ISNUMBER($F17),O$2&gt;=$F17,O$2&lt;=IF(ISNUMBER($G17),$G17,$F17+$E17-$D17)),2,IF(AND(O$2&gt;=$D17,O$2&lt;=$E17),1,"")))</f>
        <v/>
      </c>
      <c r="P17" s="38">
        <f>IF(OR(P$2="",$D17=""),"",IF(AND(ISNUMBER($F17),P$2&gt;=$F17,P$2&lt;=IF(ISNUMBER($G17),$G17,$F17+$E17-$D17)),2,IF(AND(P$2&gt;=$D17,P$2&lt;=$E17),1,"")))</f>
        <v/>
      </c>
      <c r="Q17" s="38">
        <f>IF(OR(Q$2="",$D17=""),"",IF(AND(ISNUMBER($F17),Q$2&gt;=$F17,Q$2&lt;=IF(ISNUMBER($G17),$G17,$F17+$E17-$D17)),2,IF(AND(Q$2&gt;=$D17,Q$2&lt;=$E17),1,"")))</f>
        <v/>
      </c>
      <c r="R17" s="38">
        <f>IF(OR(R$2="",$D17=""),"",IF(AND(ISNUMBER($F17),R$2&gt;=$F17,R$2&lt;=IF(ISNUMBER($G17),$G17,$F17+$E17-$D17)),2,IF(AND(R$2&gt;=$D17,R$2&lt;=$E17),1,"")))</f>
        <v/>
      </c>
      <c r="S17" s="38">
        <f>IF(OR(S$2="",$D17=""),"",IF(AND(ISNUMBER($F17),S$2&gt;=$F17,S$2&lt;=IF(ISNUMBER($G17),$G17,$F17+$E17-$D17)),2,IF(AND(S$2&gt;=$D17,S$2&lt;=$E17),1,"")))</f>
        <v/>
      </c>
      <c r="T17" s="38">
        <f>IF(OR(T$2="",$D17=""),"",IF(AND(ISNUMBER($F17),T$2&gt;=$F17,T$2&lt;=IF(ISNUMBER($G17),$G17,$F17+$E17-$D17)),2,IF(AND(T$2&gt;=$D17,T$2&lt;=$E17),1,"")))</f>
        <v/>
      </c>
      <c r="U17" s="38">
        <f>IF(OR(U$2="",$D17=""),"",IF(AND(ISNUMBER($F17),U$2&gt;=$F17,U$2&lt;=IF(ISNUMBER($G17),$G17,$F17+$E17-$D17)),2,IF(AND(U$2&gt;=$D17,U$2&lt;=$E17),1,"")))</f>
        <v/>
      </c>
      <c r="V17" s="38">
        <f>IF(OR(V$2="",$D17=""),"",IF(AND(ISNUMBER($F17),V$2&gt;=$F17,V$2&lt;=IF(ISNUMBER($G17),$G17,$F17+$E17-$D17)),2,IF(AND(V$2&gt;=$D17,V$2&lt;=$E17),1,"")))</f>
        <v/>
      </c>
      <c r="W17" s="38">
        <f>IF(OR(W$2="",$D17=""),"",IF(AND(ISNUMBER($F17),W$2&gt;=$F17,W$2&lt;=IF(ISNUMBER($G17),$G17,$F17+$E17-$D17)),2,IF(AND(W$2&gt;=$D17,W$2&lt;=$E17),1,"")))</f>
        <v/>
      </c>
      <c r="X17" s="38">
        <f>IF(OR(X$2="",$D17=""),"",IF(AND(ISNUMBER($F17),X$2&gt;=$F17,X$2&lt;=IF(ISNUMBER($G17),$G17,$F17+$E17-$D17)),2,IF(AND(X$2&gt;=$D17,X$2&lt;=$E17),1,"")))</f>
        <v/>
      </c>
      <c r="Y17" s="38">
        <f>IF(OR(Y$2="",$D17=""),"",IF(AND(ISNUMBER($F17),Y$2&gt;=$F17,Y$2&lt;=IF(ISNUMBER($G17),$G17,$F17+$E17-$D17)),2,IF(AND(Y$2&gt;=$D17,Y$2&lt;=$E17),1,"")))</f>
        <v/>
      </c>
      <c r="Z17" s="38">
        <f>IF(OR(Z$2="",$D17=""),"",IF(AND(ISNUMBER($F17),Z$2&gt;=$F17,Z$2&lt;=IF(ISNUMBER($G17),$G17,$F17+$E17-$D17)),2,IF(AND(Z$2&gt;=$D17,Z$2&lt;=$E17),1,"")))</f>
        <v/>
      </c>
      <c r="AA17" s="38">
        <f>IF(OR(AA$2="",$D17=""),"",IF(AND(ISNUMBER($F17),AA$2&gt;=$F17,AA$2&lt;=IF(ISNUMBER($G17),$G17,$F17+$E17-$D17)),2,IF(AND(AA$2&gt;=$D17,AA$2&lt;=$E17),1,"")))</f>
        <v/>
      </c>
      <c r="AB17" s="38">
        <f>IF(OR(AB$2="",$D17=""),"",IF(AND(ISNUMBER($F17),AB$2&gt;=$F17,AB$2&lt;=IF(ISNUMBER($G17),$G17,$F17+$E17-$D17)),2,IF(AND(AB$2&gt;=$D17,AB$2&lt;=$E17),1,"")))</f>
        <v/>
      </c>
      <c r="AC17" s="38">
        <f>IF(OR(AC$2="",$D17=""),"",IF(AND(ISNUMBER($F17),AC$2&gt;=$F17,AC$2&lt;=IF(ISNUMBER($G17),$G17,$F17+$E17-$D17)),2,IF(AND(AC$2&gt;=$D17,AC$2&lt;=$E17),1,"")))</f>
        <v/>
      </c>
      <c r="AD17" s="38">
        <f>IF(OR(AD$2="",$D17=""),"",IF(AND(ISNUMBER($F17),AD$2&gt;=$F17,AD$2&lt;=IF(ISNUMBER($G17),$G17,$F17+$E17-$D17)),2,IF(AND(AD$2&gt;=$D17,AD$2&lt;=$E17),1,"")))</f>
        <v/>
      </c>
      <c r="AE17" s="38">
        <f>IF(OR(AE$2="",$D17=""),"",IF(AND(ISNUMBER($F17),AE$2&gt;=$F17,AE$2&lt;=IF(ISNUMBER($G17),$G17,$F17+$E17-$D17)),2,IF(AND(AE$2&gt;=$D17,AE$2&lt;=$E17),1,"")))</f>
        <v/>
      </c>
      <c r="AF17" s="38">
        <f>IF(OR(AF$2="",$D17=""),"",IF(AND(ISNUMBER($F17),AF$2&gt;=$F17,AF$2&lt;=IF(ISNUMBER($G17),$G17,$F17+$E17-$D17)),2,IF(AND(AF$2&gt;=$D17,AF$2&lt;=$E17),1,"")))</f>
        <v/>
      </c>
      <c r="AG17" s="38">
        <f>IF(OR(AG$2="",$D17=""),"",IF(AND(ISNUMBER($F17),AG$2&gt;=$F17,AG$2&lt;=IF(ISNUMBER($G17),$G17,$F17+$E17-$D17)),2,IF(AND(AG$2&gt;=$D17,AG$2&lt;=$E17),1,"")))</f>
        <v/>
      </c>
      <c r="AH17" s="38">
        <f>IF(OR(AH$2="",$D17=""),"",IF(AND(ISNUMBER($F17),AH$2&gt;=$F17,AH$2&lt;=IF(ISNUMBER($G17),$G17,$F17+$E17-$D17)),2,IF(AND(AH$2&gt;=$D17,AH$2&lt;=$E17),1,"")))</f>
        <v/>
      </c>
      <c r="AI17" s="38">
        <f>IF(OR(AI$2="",$D17=""),"",IF(AND(ISNUMBER($F17),AI$2&gt;=$F17,AI$2&lt;=IF(ISNUMBER($G17),$G17,$F17+$E17-$D17)),2,IF(AND(AI$2&gt;=$D17,AI$2&lt;=$E17),1,"")))</f>
        <v/>
      </c>
      <c r="AJ17" s="38">
        <f>IF(OR(AJ$2="",$D17=""),"",IF(AND(ISNUMBER($F17),AJ$2&gt;=$F17,AJ$2&lt;=IF(ISNUMBER($G17),$G17,$F17+$E17-$D17)),2,IF(AND(AJ$2&gt;=$D17,AJ$2&lt;=$E17),1,"")))</f>
        <v/>
      </c>
      <c r="AK17" s="38">
        <f>IF(OR(AK$2="",$D17=""),"",IF(AND(ISNUMBER($F17),AK$2&gt;=$F17,AK$2&lt;=IF(ISNUMBER($G17),$G17,$F17+$E17-$D17)),2,IF(AND(AK$2&gt;=$D17,AK$2&lt;=$E17),1,"")))</f>
        <v/>
      </c>
      <c r="AL17" s="38">
        <f>IF(OR(AL$2="",$D17=""),"",IF(AND(ISNUMBER($F17),AL$2&gt;=$F17,AL$2&lt;=IF(ISNUMBER($G17),$G17,$F17+$E17-$D17)),2,IF(AND(AL$2&gt;=$D17,AL$2&lt;=$E17),1,"")))</f>
        <v/>
      </c>
      <c r="AM17" s="38">
        <f>IF(OR(AM$2="",$D17=""),"",IF(AND(ISNUMBER($F17),AM$2&gt;=$F17,AM$2&lt;=IF(ISNUMBER($G17),$G17,$F17+$E17-$D17)),2,IF(AND(AM$2&gt;=$D17,AM$2&lt;=$E17),1,"")))</f>
        <v/>
      </c>
      <c r="AN17" s="38">
        <f>IF(OR(AN$2="",$D17=""),"",IF(AND(ISNUMBER($F17),AN$2&gt;=$F17,AN$2&lt;=IF(ISNUMBER($G17),$G17,$F17+$E17-$D17)),2,IF(AND(AN$2&gt;=$D17,AN$2&lt;=$E17),1,"")))</f>
        <v/>
      </c>
      <c r="AO17" s="38">
        <f>IF(OR(AO$2="",$D17=""),"",IF(AND(ISNUMBER($F17),AO$2&gt;=$F17,AO$2&lt;=IF(ISNUMBER($G17),$G17,$F17+$E17-$D17)),2,IF(AND(AO$2&gt;=$D17,AO$2&lt;=$E17),1,"")))</f>
        <v/>
      </c>
      <c r="AP17" s="38">
        <f>IF(OR(AP$2="",$D17=""),"",IF(AND(ISNUMBER($F17),AP$2&gt;=$F17,AP$2&lt;=IF(ISNUMBER($G17),$G17,$F17+$E17-$D17)),2,IF(AND(AP$2&gt;=$D17,AP$2&lt;=$E17),1,"")))</f>
        <v/>
      </c>
      <c r="AQ17" s="38">
        <f>IF(OR(AQ$2="",$D17=""),"",IF(AND(ISNUMBER($F17),AQ$2&gt;=$F17,AQ$2&lt;=IF(ISNUMBER($G17),$G17,$F17+$E17-$D17)),2,IF(AND(AQ$2&gt;=$D17,AQ$2&lt;=$E17),1,"")))</f>
        <v/>
      </c>
      <c r="AR17" s="38">
        <f>IF(OR(AR$2="",$D17=""),"",IF(AND(ISNUMBER($F17),AR$2&gt;=$F17,AR$2&lt;=IF(ISNUMBER($G17),$G17,$F17+$E17-$D17)),2,IF(AND(AR$2&gt;=$D17,AR$2&lt;=$E17),1,"")))</f>
        <v/>
      </c>
      <c r="AS17" s="38">
        <f>IF(OR(AS$2="",$D17=""),"",IF(AND(ISNUMBER($F17),AS$2&gt;=$F17,AS$2&lt;=IF(ISNUMBER($G17),$G17,$F17+$E17-$D17)),2,IF(AND(AS$2&gt;=$D17,AS$2&lt;=$E17),1,"")))</f>
        <v/>
      </c>
      <c r="AT17" s="38">
        <f>IF(OR(AT$2="",$D17=""),"",IF(AND(ISNUMBER($F17),AT$2&gt;=$F17,AT$2&lt;=IF(ISNUMBER($G17),$G17,$F17+$E17-$D17)),2,IF(AND(AT$2&gt;=$D17,AT$2&lt;=$E17),1,"")))</f>
        <v/>
      </c>
      <c r="AU17" s="38">
        <f>IF(OR(AU$2="",$D17=""),"",IF(AND(ISNUMBER($F17),AU$2&gt;=$F17,AU$2&lt;=IF(ISNUMBER($G17),$G17,$F17+$E17-$D17)),2,IF(AND(AU$2&gt;=$D17,AU$2&lt;=$E17),1,"")))</f>
        <v/>
      </c>
      <c r="AV17" s="38">
        <f>IF(OR(AV$2="",$D17=""),"",IF(AND(ISNUMBER($F17),AV$2&gt;=$F17,AV$2&lt;=IF(ISNUMBER($G17),$G17,$F17+$E17-$D17)),2,IF(AND(AV$2&gt;=$D17,AV$2&lt;=$E17),1,"")))</f>
        <v/>
      </c>
      <c r="AW17" s="38">
        <f>IF(OR(AW$2="",$D17=""),"",IF(AND(ISNUMBER($F17),AW$2&gt;=$F17,AW$2&lt;=IF(ISNUMBER($G17),$G17,$F17+$E17-$D17)),2,IF(AND(AW$2&gt;=$D17,AW$2&lt;=$E17),1,"")))</f>
        <v/>
      </c>
      <c r="AX17" s="38">
        <f>IF(OR(AX$2="",$D17=""),"",IF(AND(ISNUMBER($F17),AX$2&gt;=$F17,AX$2&lt;=IF(ISNUMBER($G17),$G17,$F17+$E17-$D17)),2,IF(AND(AX$2&gt;=$D17,AX$2&lt;=$E17),1,"")))</f>
        <v/>
      </c>
      <c r="AY17" s="38">
        <f>IF(OR(AY$2="",$D17=""),"",IF(AND(ISNUMBER($F17),AY$2&gt;=$F17,AY$2&lt;=IF(ISNUMBER($G17),$G17,$F17+$E17-$D17)),2,IF(AND(AY$2&gt;=$D17,AY$2&lt;=$E17),1,"")))</f>
        <v/>
      </c>
      <c r="AZ17" s="38">
        <f>IF(OR(AZ$2="",$D17=""),"",IF(AND(ISNUMBER($F17),AZ$2&gt;=$F17,AZ$2&lt;=IF(ISNUMBER($G17),$G17,$F17+$E17-$D17)),2,IF(AND(AZ$2&gt;=$D17,AZ$2&lt;=$E17),1,"")))</f>
        <v/>
      </c>
      <c r="BA17" s="38">
        <f>IF(OR(BA$2="",$D17=""),"",IF(AND(ISNUMBER($F17),BA$2&gt;=$F17,BA$2&lt;=IF(ISNUMBER($G17),$G17,$F17+$E17-$D17)),2,IF(AND(BA$2&gt;=$D17,BA$2&lt;=$E17),1,"")))</f>
        <v/>
      </c>
      <c r="BB17" s="38">
        <f>IF(OR(BB$2="",$D17=""),"",IF(AND(ISNUMBER($F17),BB$2&gt;=$F17,BB$2&lt;=IF(ISNUMBER($G17),$G17,$F17+$E17-$D17)),2,IF(AND(BB$2&gt;=$D17,BB$2&lt;=$E17),1,"")))</f>
        <v/>
      </c>
      <c r="BC17" s="38">
        <f>IF(OR(BC$2="",$D17=""),"",IF(AND(ISNUMBER($F17),BC$2&gt;=$F17,BC$2&lt;=IF(ISNUMBER($G17),$G17,$F17+$E17-$D17)),2,IF(AND(BC$2&gt;=$D17,BC$2&lt;=$E17),1,"")))</f>
        <v/>
      </c>
      <c r="BD17" s="38">
        <f>IF(OR(BD$2="",$D17=""),"",IF(AND(ISNUMBER($F17),BD$2&gt;=$F17,BD$2&lt;=IF(ISNUMBER($G17),$G17,$F17+$E17-$D17)),2,IF(AND(BD$2&gt;=$D17,BD$2&lt;=$E17),1,"")))</f>
        <v/>
      </c>
      <c r="BE17" s="38">
        <f>IF(OR(BE$2="",$D17=""),"",IF(AND(ISNUMBER($F17),BE$2&gt;=$F17,BE$2&lt;=IF(ISNUMBER($G17),$G17,$F17+$E17-$D17)),2,IF(AND(BE$2&gt;=$D17,BE$2&lt;=$E17),1,"")))</f>
        <v/>
      </c>
      <c r="BF17" s="38">
        <f>IF(OR(BF$2="",$D17=""),"",IF(AND(ISNUMBER($F17),BF$2&gt;=$F17,BF$2&lt;=IF(ISNUMBER($G17),$G17,$F17+$E17-$D17)),2,IF(AND(BF$2&gt;=$D17,BF$2&lt;=$E17),1,"")))</f>
        <v/>
      </c>
      <c r="BG17" s="38">
        <f>IF(OR(BG$2="",$D17=""),"",IF(AND(ISNUMBER($F17),BG$2&gt;=$F17,BG$2&lt;=IF(ISNUMBER($G17),$G17,$F17+$E17-$D17)),2,IF(AND(BG$2&gt;=$D17,BG$2&lt;=$E17),1,"")))</f>
        <v/>
      </c>
      <c r="BH17" s="38">
        <f>IF(OR(BH$2="",$D17=""),"",IF(AND(ISNUMBER($F17),BH$2&gt;=$F17,BH$2&lt;=IF(ISNUMBER($G17),$G17,$F17+$E17-$D17)),2,IF(AND(BH$2&gt;=$D17,BH$2&lt;=$E17),1,"")))</f>
        <v/>
      </c>
      <c r="BI17" s="38">
        <f>IF(OR(BI$2="",$D17=""),"",IF(AND(ISNUMBER($F17),BI$2&gt;=$F17,BI$2&lt;=IF(ISNUMBER($G17),$G17,$F17+$E17-$D17)),2,IF(AND(BI$2&gt;=$D17,BI$2&lt;=$E17),1,"")))</f>
        <v/>
      </c>
      <c r="BJ17" s="38">
        <f>IF(OR(BJ$2="",$D17=""),"",IF(AND(ISNUMBER($F17),BJ$2&gt;=$F17,BJ$2&lt;=IF(ISNUMBER($G17),$G17,$F17+$E17-$D17)),2,IF(AND(BJ$2&gt;=$D17,BJ$2&lt;=$E17),1,"")))</f>
        <v/>
      </c>
      <c r="BK17" s="38">
        <f>IF(OR(BK$2="",$D17=""),"",IF(AND(ISNUMBER($F17),BK$2&gt;=$F17,BK$2&lt;=IF(ISNUMBER($G17),$G17,$F17+$E17-$D17)),2,IF(AND(BK$2&gt;=$D17,BK$2&lt;=$E17),1,"")))</f>
        <v/>
      </c>
      <c r="BL17" s="38">
        <f>IF(OR(BL$2="",$D17=""),"",IF(AND(ISNUMBER($F17),BL$2&gt;=$F17,BL$2&lt;=IF(ISNUMBER($G17),$G17,$F17+$E17-$D17)),2,IF(AND(BL$2&gt;=$D17,BL$2&lt;=$E17),1,"")))</f>
        <v/>
      </c>
      <c r="BM17" s="38">
        <f>IF(OR(BM$2="",$D17=""),"",IF(AND(ISNUMBER($F17),BM$2&gt;=$F17,BM$2&lt;=IF(ISNUMBER($G17),$G17,$F17+$E17-$D17)),2,IF(AND(BM$2&gt;=$D17,BM$2&lt;=$E17),1,"")))</f>
        <v/>
      </c>
      <c r="BN17" s="38">
        <f>IF(OR(BN$2="",$D17=""),"",IF(AND(ISNUMBER($F17),BN$2&gt;=$F17,BN$2&lt;=IF(ISNUMBER($G17),$G17,$F17+$E17-$D17)),2,IF(AND(BN$2&gt;=$D17,BN$2&lt;=$E17),1,"")))</f>
        <v/>
      </c>
      <c r="BO17" s="38">
        <f>IF(OR(BO$2="",$D17=""),"",IF(AND(ISNUMBER($F17),BO$2&gt;=$F17,BO$2&lt;=IF(ISNUMBER($G17),$G17,$F17+$E17-$D17)),2,IF(AND(BO$2&gt;=$D17,BO$2&lt;=$E17),1,"")))</f>
        <v/>
      </c>
      <c r="BP17" s="38">
        <f>IF(OR(BP$2="",$D17=""),"",IF(AND(ISNUMBER($F17),BP$2&gt;=$F17,BP$2&lt;=IF(ISNUMBER($G17),$G17,$F17+$E17-$D17)),2,IF(AND(BP$2&gt;=$D17,BP$2&lt;=$E17),1,"")))</f>
        <v/>
      </c>
      <c r="BQ17" s="38">
        <f>IF(OR(BQ$2="",$D17=""),"",IF(AND(ISNUMBER($F17),BQ$2&gt;=$F17,BQ$2&lt;=IF(ISNUMBER($G17),$G17,$F17+$E17-$D17)),2,IF(AND(BQ$2&gt;=$D17,BQ$2&lt;=$E17),1,"")))</f>
        <v/>
      </c>
      <c r="BR17" s="38">
        <f>IF(OR(BR$2="",$D17=""),"",IF(AND(ISNUMBER($F17),BR$2&gt;=$F17,BR$2&lt;=IF(ISNUMBER($G17),$G17,$F17+$E17-$D17)),2,IF(AND(BR$2&gt;=$D17,BR$2&lt;=$E17),1,"")))</f>
        <v/>
      </c>
      <c r="BS17" s="38">
        <f>IF(OR(BS$2="",$D17=""),"",IF(AND(ISNUMBER($F17),BS$2&gt;=$F17,BS$2&lt;=IF(ISNUMBER($G17),$G17,$F17+$E17-$D17)),2,IF(AND(BS$2&gt;=$D17,BS$2&lt;=$E17),1,"")))</f>
        <v/>
      </c>
      <c r="BT17" s="38">
        <f>IF(OR(BT$2="",$D17=""),"",IF(AND(ISNUMBER($F17),BT$2&gt;=$F17,BT$2&lt;=IF(ISNUMBER($G17),$G17,$F17+$E17-$D17)),2,IF(AND(BT$2&gt;=$D17,BT$2&lt;=$E17),1,"")))</f>
        <v/>
      </c>
      <c r="BU17" s="38">
        <f>IF(OR(BU$2="",$D17=""),"",IF(AND(ISNUMBER($F17),BU$2&gt;=$F17,BU$2&lt;=IF(ISNUMBER($G17),$G17,$F17+$E17-$D17)),2,IF(AND(BU$2&gt;=$D17,BU$2&lt;=$E17),1,"")))</f>
        <v/>
      </c>
      <c r="BV17" s="38">
        <f>IF(OR(BV$2="",$D17=""),"",IF(AND(ISNUMBER($F17),BV$2&gt;=$F17,BV$2&lt;=IF(ISNUMBER($G17),$G17,$F17+$E17-$D17)),2,IF(AND(BV$2&gt;=$D17,BV$2&lt;=$E17),1,"")))</f>
        <v/>
      </c>
      <c r="BW17" s="38">
        <f>IF(OR(BW$2="",$D17=""),"",IF(AND(ISNUMBER($F17),BW$2&gt;=$F17,BW$2&lt;=IF(ISNUMBER($G17),$G17,$F17+$E17-$D17)),2,IF(AND(BW$2&gt;=$D17,BW$2&lt;=$E17),1,"")))</f>
        <v/>
      </c>
      <c r="BX17" s="38">
        <f>IF(OR(BX$2="",$D17=""),"",IF(AND(ISNUMBER($F17),BX$2&gt;=$F17,BX$2&lt;=IF(ISNUMBER($G17),$G17,$F17+$E17-$D17)),2,IF(AND(BX$2&gt;=$D17,BX$2&lt;=$E17),1,"")))</f>
        <v/>
      </c>
      <c r="BY17" s="38">
        <f>IF(OR(BY$2="",$D17=""),"",IF(AND(ISNUMBER($F17),BY$2&gt;=$F17,BY$2&lt;=IF(ISNUMBER($G17),$G17,$F17+$E17-$D17)),2,IF(AND(BY$2&gt;=$D17,BY$2&lt;=$E17),1,"")))</f>
        <v/>
      </c>
      <c r="BZ17" s="38">
        <f>IF(OR(BZ$2="",$D17=""),"",IF(AND(ISNUMBER($F17),BZ$2&gt;=$F17,BZ$2&lt;=IF(ISNUMBER($G17),$G17,$F17+$E17-$D17)),2,IF(AND(BZ$2&gt;=$D17,BZ$2&lt;=$E17),1,"")))</f>
        <v/>
      </c>
      <c r="CA17" s="38">
        <f>IF(OR(CA$2="",$D17=""),"",IF(AND(ISNUMBER($F17),CA$2&gt;=$F17,CA$2&lt;=IF(ISNUMBER($G17),$G17,$F17+$E17-$D17)),2,IF(AND(CA$2&gt;=$D17,CA$2&lt;=$E17),1,"")))</f>
        <v/>
      </c>
      <c r="CB17" s="38">
        <f>IF(OR(CB$2="",$D17=""),"",IF(AND(ISNUMBER($F17),CB$2&gt;=$F17,CB$2&lt;=IF(ISNUMBER($G17),$G17,$F17+$E17-$D17)),2,IF(AND(CB$2&gt;=$D17,CB$2&lt;=$E17),1,"")))</f>
        <v/>
      </c>
      <c r="CC17" s="38">
        <f>IF(OR(CC$2="",$D17=""),"",IF(AND(ISNUMBER($F17),CC$2&gt;=$F17,CC$2&lt;=IF(ISNUMBER($G17),$G17,$F17+$E17-$D17)),2,IF(AND(CC$2&gt;=$D17,CC$2&lt;=$E17),1,"")))</f>
        <v/>
      </c>
      <c r="CD17" s="38">
        <f>IF(OR(CD$2="",$D17=""),"",IF(AND(ISNUMBER($F17),CD$2&gt;=$F17,CD$2&lt;=IF(ISNUMBER($G17),$G17,$F17+$E17-$D17)),2,IF(AND(CD$2&gt;=$D17,CD$2&lt;=$E17),1,"")))</f>
        <v/>
      </c>
      <c r="CE17" s="38">
        <f>IF(OR(CE$2="",$D17=""),"",IF(AND(ISNUMBER($F17),CE$2&gt;=$F17,CE$2&lt;=IF(ISNUMBER($G17),$G17,$F17+$E17-$D17)),2,IF(AND(CE$2&gt;=$D17,CE$2&lt;=$E17),1,"")))</f>
        <v/>
      </c>
      <c r="CF17" s="38">
        <f>IF(OR(CF$2="",$D17=""),"",IF(AND(ISNUMBER($F17),CF$2&gt;=$F17,CF$2&lt;=IF(ISNUMBER($G17),$G17,$F17+$E17-$D17)),2,IF(AND(CF$2&gt;=$D17,CF$2&lt;=$E17),1,"")))</f>
        <v/>
      </c>
      <c r="CG17" s="38">
        <f>IF(OR(CG$2="",$D17=""),"",IF(AND(ISNUMBER($F17),CG$2&gt;=$F17,CG$2&lt;=IF(ISNUMBER($G17),$G17,$F17+$E17-$D17)),2,IF(AND(CG$2&gt;=$D17,CG$2&lt;=$E17),1,"")))</f>
        <v/>
      </c>
      <c r="CH17" s="38">
        <f>IF(OR(CH$2="",$D17=""),"",IF(AND(ISNUMBER($F17),CH$2&gt;=$F17,CH$2&lt;=IF(ISNUMBER($G17),$G17,$F17+$E17-$D17)),2,IF(AND(CH$2&gt;=$D17,CH$2&lt;=$E17),1,"")))</f>
        <v/>
      </c>
      <c r="CI17" s="38">
        <f>IF(OR(CI$2="",$D17=""),"",IF(AND(ISNUMBER($F17),CI$2&gt;=$F17,CI$2&lt;=IF(ISNUMBER($G17),$G17,$F17+$E17-$D17)),2,IF(AND(CI$2&gt;=$D17,CI$2&lt;=$E17),1,"")))</f>
        <v/>
      </c>
      <c r="CJ17" s="38">
        <f>IF(OR(CJ$2="",$D17=""),"",IF(AND(ISNUMBER($F17),CJ$2&gt;=$F17,CJ$2&lt;=IF(ISNUMBER($G17),$G17,$F17+$E17-$D17)),2,IF(AND(CJ$2&gt;=$D17,CJ$2&lt;=$E17),1,"")))</f>
        <v/>
      </c>
      <c r="CK17" s="38">
        <f>IF(OR(CK$2="",$D17=""),"",IF(AND(ISNUMBER($F17),CK$2&gt;=$F17,CK$2&lt;=IF(ISNUMBER($G17),$G17,$F17+$E17-$D17)),2,IF(AND(CK$2&gt;=$D17,CK$2&lt;=$E17),1,"")))</f>
        <v/>
      </c>
      <c r="CL17" s="38">
        <f>IF(OR(CL$2="",$D17=""),"",IF(AND(ISNUMBER($F17),CL$2&gt;=$F17,CL$2&lt;=IF(ISNUMBER($G17),$G17,$F17+$E17-$D17)),2,IF(AND(CL$2&gt;=$D17,CL$2&lt;=$E17),1,"")))</f>
        <v/>
      </c>
      <c r="CM17" s="38">
        <f>IF(OR(CM$2="",$D17=""),"",IF(AND(ISNUMBER($F17),CM$2&gt;=$F17,CM$2&lt;=IF(ISNUMBER($G17),$G17,$F17+$E17-$D17)),2,IF(AND(CM$2&gt;=$D17,CM$2&lt;=$E17),1,"")))</f>
        <v/>
      </c>
      <c r="CN17" s="38">
        <f>IF(OR(CN$2="",$D17=""),"",IF(AND(ISNUMBER($F17),CN$2&gt;=$F17,CN$2&lt;=IF(ISNUMBER($G17),$G17,$F17+$E17-$D17)),2,IF(AND(CN$2&gt;=$D17,CN$2&lt;=$E17),1,"")))</f>
        <v/>
      </c>
      <c r="CO17" s="38">
        <f>IF(OR(CO$2="",$D17=""),"",IF(AND(ISNUMBER($F17),CO$2&gt;=$F17,CO$2&lt;=IF(ISNUMBER($G17),$G17,$F17+$E17-$D17)),2,IF(AND(CO$2&gt;=$D17,CO$2&lt;=$E17),1,"")))</f>
        <v/>
      </c>
      <c r="CP17" s="38">
        <f>IF(OR(CP$2="",$D17=""),"",IF(AND(ISNUMBER($F17),CP$2&gt;=$F17,CP$2&lt;=IF(ISNUMBER($G17),$G17,$F17+$E17-$D17)),2,IF(AND(CP$2&gt;=$D17,CP$2&lt;=$E17),1,"")))</f>
        <v/>
      </c>
      <c r="CQ17" s="38">
        <f>IF(OR(CQ$2="",$D17=""),"",IF(AND(ISNUMBER($F17),CQ$2&gt;=$F17,CQ$2&lt;=IF(ISNUMBER($G17),$G17,$F17+$E17-$D17)),2,IF(AND(CQ$2&gt;=$D17,CQ$2&lt;=$E17),1,"")))</f>
        <v/>
      </c>
      <c r="CR17" s="38">
        <f>IF(OR(CR$2="",$D17=""),"",IF(AND(ISNUMBER($F17),CR$2&gt;=$F17,CR$2&lt;=IF(ISNUMBER($G17),$G17,$F17+$E17-$D17)),2,IF(AND(CR$2&gt;=$D17,CR$2&lt;=$E17),1,"")))</f>
        <v/>
      </c>
      <c r="CS17" s="38">
        <f>IF(OR(CS$2="",$D17=""),"",IF(AND(ISNUMBER($F17),CS$2&gt;=$F17,CS$2&lt;=IF(ISNUMBER($G17),$G17,$F17+$E17-$D17)),2,IF(AND(CS$2&gt;=$D17,CS$2&lt;=$E17),1,"")))</f>
        <v/>
      </c>
      <c r="CT17" s="38">
        <f>IF(OR(CT$2="",$D17=""),"",IF(AND(ISNUMBER($F17),CT$2&gt;=$F17,CT$2&lt;=IF(ISNUMBER($G17),$G17,$F17+$E17-$D17)),2,IF(AND(CT$2&gt;=$D17,CT$2&lt;=$E17),1,"")))</f>
        <v/>
      </c>
      <c r="CU17" s="38">
        <f>IF(OR(CU$2="",$D17=""),"",IF(AND(ISNUMBER($F17),CU$2&gt;=$F17,CU$2&lt;=IF(ISNUMBER($G17),$G17,$F17+$E17-$D17)),2,IF(AND(CU$2&gt;=$D17,CU$2&lt;=$E17),1,"")))</f>
        <v/>
      </c>
      <c r="CV17" s="38">
        <f>IF(OR(CV$2="",$D17=""),"",IF(AND(ISNUMBER($F17),CV$2&gt;=$F17,CV$2&lt;=IF(ISNUMBER($G17),$G17,$F17+$E17-$D17)),2,IF(AND(CV$2&gt;=$D17,CV$2&lt;=$E17),1,"")))</f>
        <v/>
      </c>
      <c r="CW17" s="38">
        <f>IF(OR(CW$2="",$D17=""),"",IF(AND(ISNUMBER($F17),CW$2&gt;=$F17,CW$2&lt;=IF(ISNUMBER($G17),$G17,$F17+$E17-$D17)),2,IF(AND(CW$2&gt;=$D17,CW$2&lt;=$E17),1,"")))</f>
        <v/>
      </c>
      <c r="CX17" s="38">
        <f>IF(OR(CX$2="",$D17=""),"",IF(AND(ISNUMBER($F17),CX$2&gt;=$F17,CX$2&lt;=IF(ISNUMBER($G17),$G17,$F17+$E17-$D17)),2,IF(AND(CX$2&gt;=$D17,CX$2&lt;=$E17),1,"")))</f>
        <v/>
      </c>
      <c r="CY17" s="38">
        <f>IF(OR(CY$2="",$D17=""),"",IF(AND(ISNUMBER($F17),CY$2&gt;=$F17,CY$2&lt;=IF(ISNUMBER($G17),$G17,$F17+$E17-$D17)),2,IF(AND(CY$2&gt;=$D17,CY$2&lt;=$E17),1,"")))</f>
        <v/>
      </c>
      <c r="CZ17" s="38">
        <f>IF(OR(CZ$2="",$D17=""),"",IF(AND(ISNUMBER($F17),CZ$2&gt;=$F17,CZ$2&lt;=IF(ISNUMBER($G17),$G17,$F17+$E17-$D17)),2,IF(AND(CZ$2&gt;=$D17,CZ$2&lt;=$E17),1,"")))</f>
        <v/>
      </c>
      <c r="DA17" s="38">
        <f>IF(OR(DA$2="",$D17=""),"",IF(AND(ISNUMBER($F17),DA$2&gt;=$F17,DA$2&lt;=IF(ISNUMBER($G17),$G17,$F17+$E17-$D17)),2,IF(AND(DA$2&gt;=$D17,DA$2&lt;=$E17),1,"")))</f>
        <v/>
      </c>
      <c r="DB17" s="38">
        <f>IF(OR(DB$2="",$D17=""),"",IF(AND(ISNUMBER($F17),DB$2&gt;=$F17,DB$2&lt;=IF(ISNUMBER($G17),$G17,$F17+$E17-$D17)),2,IF(AND(DB$2&gt;=$D17,DB$2&lt;=$E17),1,"")))</f>
        <v/>
      </c>
      <c r="DC17" s="38">
        <f>IF(OR(DC$2="",$D17=""),"",IF(AND(ISNUMBER($F17),DC$2&gt;=$F17,DC$2&lt;=IF(ISNUMBER($G17),$G17,$F17+$E17-$D17)),2,IF(AND(DC$2&gt;=$D17,DC$2&lt;=$E17),1,"")))</f>
        <v/>
      </c>
      <c r="DD17" s="38">
        <f>IF(OR(DD$2="",$D17=""),"",IF(AND(ISNUMBER($F17),DD$2&gt;=$F17,DD$2&lt;=IF(ISNUMBER($G17),$G17,$F17+$E17-$D17)),2,IF(AND(DD$2&gt;=$D17,DD$2&lt;=$E17),1,"")))</f>
        <v/>
      </c>
      <c r="DE17" s="38">
        <f>IF(OR(DE$2="",$D17=""),"",IF(AND(ISNUMBER($F17),DE$2&gt;=$F17,DE$2&lt;=IF(ISNUMBER($G17),$G17,$F17+$E17-$D17)),2,IF(AND(DE$2&gt;=$D17,DE$2&lt;=$E17),1,"")))</f>
        <v/>
      </c>
      <c r="DF17" s="38">
        <f>IF(OR(DF$2="",$D17=""),"",IF(AND(ISNUMBER($F17),DF$2&gt;=$F17,DF$2&lt;=IF(ISNUMBER($G17),$G17,$F17+$E17-$D17)),2,IF(AND(DF$2&gt;=$D17,DF$2&lt;=$E17),1,"")))</f>
        <v/>
      </c>
      <c r="DG17" s="38">
        <f>IF(OR(DG$2="",$D17=""),"",IF(AND(ISNUMBER($F17),DG$2&gt;=$F17,DG$2&lt;=IF(ISNUMBER($G17),$G17,$F17+$E17-$D17)),2,IF(AND(DG$2&gt;=$D17,DG$2&lt;=$E17),1,"")))</f>
        <v/>
      </c>
      <c r="DH17" s="38">
        <f>IF(OR(DH$2="",$D17=""),"",IF(AND(ISNUMBER($F17),DH$2&gt;=$F17,DH$2&lt;=IF(ISNUMBER($G17),$G17,$F17+$E17-$D17)),2,IF(AND(DH$2&gt;=$D17,DH$2&lt;=$E17),1,"")))</f>
        <v/>
      </c>
      <c r="DI17" s="38">
        <f>IF(OR(DI$2="",$D17=""),"",IF(AND(ISNUMBER($F17),DI$2&gt;=$F17,DI$2&lt;=IF(ISNUMBER($G17),$G17,$F17+$E17-$D17)),2,IF(AND(DI$2&gt;=$D17,DI$2&lt;=$E17),1,"")))</f>
        <v/>
      </c>
      <c r="DJ17" s="38">
        <f>IF(OR(DJ$2="",$D17=""),"",IF(AND(ISNUMBER($F17),DJ$2&gt;=$F17,DJ$2&lt;=IF(ISNUMBER($G17),$G17,$F17+$E17-$D17)),2,IF(AND(DJ$2&gt;=$D17,DJ$2&lt;=$E17),1,"")))</f>
        <v/>
      </c>
      <c r="DK17" s="38">
        <f>IF(OR(DK$2="",$D17=""),"",IF(AND(ISNUMBER($F17),DK$2&gt;=$F17,DK$2&lt;=IF(ISNUMBER($G17),$G17,$F17+$E17-$D17)),2,IF(AND(DK$2&gt;=$D17,DK$2&lt;=$E17),1,"")))</f>
        <v/>
      </c>
      <c r="DL17" s="38">
        <f>IF(OR(DL$2="",$D17=""),"",IF(AND(ISNUMBER($F17),DL$2&gt;=$F17,DL$2&lt;=IF(ISNUMBER($G17),$G17,$F17+$E17-$D17)),2,IF(AND(DL$2&gt;=$D17,DL$2&lt;=$E17),1,"")))</f>
        <v/>
      </c>
      <c r="DM17" s="38">
        <f>IF(OR(DM$2="",$D17=""),"",IF(AND(ISNUMBER($F17),DM$2&gt;=$F17,DM$2&lt;=IF(ISNUMBER($G17),$G17,$F17+$E17-$D17)),2,IF(AND(DM$2&gt;=$D17,DM$2&lt;=$E17),1,"")))</f>
        <v/>
      </c>
      <c r="DN17" s="38">
        <f>IF(OR(DN$2="",$D17=""),"",IF(AND(ISNUMBER($F17),DN$2&gt;=$F17,DN$2&lt;=IF(ISNUMBER($G17),$G17,$F17+$E17-$D17)),2,IF(AND(DN$2&gt;=$D17,DN$2&lt;=$E17),1,"")))</f>
        <v/>
      </c>
      <c r="DO17" s="38">
        <f>IF(OR(DO$2="",$D17=""),"",IF(AND(ISNUMBER($F17),DO$2&gt;=$F17,DO$2&lt;=IF(ISNUMBER($G17),$G17,$F17+$E17-$D17)),2,IF(AND(DO$2&gt;=$D17,DO$2&lt;=$E17),1,"")))</f>
        <v/>
      </c>
      <c r="DP17" s="38">
        <f>IF(OR(DP$2="",$D17=""),"",IF(AND(ISNUMBER($F17),DP$2&gt;=$F17,DP$2&lt;=IF(ISNUMBER($G17),$G17,$F17+$E17-$D17)),2,IF(AND(DP$2&gt;=$D17,DP$2&lt;=$E17),1,"")))</f>
        <v/>
      </c>
      <c r="DQ17" s="38">
        <f>IF(OR(DQ$2="",$D17=""),"",IF(AND(ISNUMBER($F17),DQ$2&gt;=$F17,DQ$2&lt;=IF(ISNUMBER($G17),$G17,$F17+$E17-$D17)),2,IF(AND(DQ$2&gt;=$D17,DQ$2&lt;=$E17),1,"")))</f>
        <v/>
      </c>
      <c r="DR17" s="38">
        <f>IF(OR(DR$2="",$D17=""),"",IF(AND(ISNUMBER($F17),DR$2&gt;=$F17,DR$2&lt;=IF(ISNUMBER($G17),$G17,$F17+$E17-$D17)),2,IF(AND(DR$2&gt;=$D17,DR$2&lt;=$E17),1,"")))</f>
        <v/>
      </c>
      <c r="DS17" s="38">
        <f>IF(OR(DS$2="",$D17=""),"",IF(AND(ISNUMBER($F17),DS$2&gt;=$F17,DS$2&lt;=IF(ISNUMBER($G17),$G17,$F17+$E17-$D17)),2,IF(AND(DS$2&gt;=$D17,DS$2&lt;=$E17),1,"")))</f>
        <v/>
      </c>
      <c r="DT17" s="38">
        <f>IF(OR(DT$2="",$D17=""),"",IF(AND(ISNUMBER($F17),DT$2&gt;=$F17,DT$2&lt;=IF(ISNUMBER($G17),$G17,$F17+$E17-$D17)),2,IF(AND(DT$2&gt;=$D17,DT$2&lt;=$E17),1,"")))</f>
        <v/>
      </c>
      <c r="DU17" s="38">
        <f>IF(OR(DU$2="",$D17=""),"",IF(AND(ISNUMBER($F17),DU$2&gt;=$F17,DU$2&lt;=IF(ISNUMBER($G17),$G17,$F17+$E17-$D17)),2,IF(AND(DU$2&gt;=$D17,DU$2&lt;=$E17),1,"")))</f>
        <v/>
      </c>
      <c r="DV17" s="38">
        <f>IF(OR(DV$2="",$D17=""),"",IF(AND(ISNUMBER($F17),DV$2&gt;=$F17,DV$2&lt;=IF(ISNUMBER($G17),$G17,$F17+$E17-$D17)),2,IF(AND(DV$2&gt;=$D17,DV$2&lt;=$E17),1,"")))</f>
        <v/>
      </c>
      <c r="DW17" s="38">
        <f>IF(OR(DW$2="",$D17=""),"",IF(AND(ISNUMBER($F17),DW$2&gt;=$F17,DW$2&lt;=IF(ISNUMBER($G17),$G17,$F17+$E17-$D17)),2,IF(AND(DW$2&gt;=$D17,DW$2&lt;=$E17),1,"")))</f>
        <v/>
      </c>
      <c r="DX17" s="38">
        <f>IF(OR(DX$2="",$D17=""),"",IF(AND(ISNUMBER($F17),DX$2&gt;=$F17,DX$2&lt;=IF(ISNUMBER($G17),$G17,$F17+$E17-$D17)),2,IF(AND(DX$2&gt;=$D17,DX$2&lt;=$E17),1,"")))</f>
        <v/>
      </c>
      <c r="DY17" s="38">
        <f>IF(OR(DY$2="",$D17=""),"",IF(AND(ISNUMBER($F17),DY$2&gt;=$F17,DY$2&lt;=IF(ISNUMBER($G17),$G17,$F17+$E17-$D17)),2,IF(AND(DY$2&gt;=$D17,DY$2&lt;=$E17),1,"")))</f>
        <v/>
      </c>
      <c r="DZ17" s="38">
        <f>IF(OR(DZ$2="",$D17=""),"",IF(AND(ISNUMBER($F17),DZ$2&gt;=$F17,DZ$2&lt;=IF(ISNUMBER($G17),$G17,$F17+$E17-$D17)),2,IF(AND(DZ$2&gt;=$D17,DZ$2&lt;=$E17),1,"")))</f>
        <v/>
      </c>
      <c r="EA17" s="38">
        <f>IF(OR(EA$2="",$D17=""),"",IF(AND(ISNUMBER($F17),EA$2&gt;=$F17,EA$2&lt;=IF(ISNUMBER($G17),$G17,$F17+$E17-$D17)),2,IF(AND(EA$2&gt;=$D17,EA$2&lt;=$E17),1,"")))</f>
        <v/>
      </c>
      <c r="EB17" s="38">
        <f>IF(OR(EB$2="",$D17=""),"",IF(AND(ISNUMBER($F17),EB$2&gt;=$F17,EB$2&lt;=IF(ISNUMBER($G17),$G17,$F17+$E17-$D17)),2,IF(AND(EB$2&gt;=$D17,EB$2&lt;=$E17),1,"")))</f>
        <v/>
      </c>
      <c r="EC17" s="38">
        <f>IF(OR(EC$2="",$D17=""),"",IF(AND(ISNUMBER($F17),EC$2&gt;=$F17,EC$2&lt;=IF(ISNUMBER($G17),$G17,$F17+$E17-$D17)),2,IF(AND(EC$2&gt;=$D17,EC$2&lt;=$E17),1,"")))</f>
        <v/>
      </c>
      <c r="ED17" s="38">
        <f>IF(OR(ED$2="",$D17=""),"",IF(AND(ISNUMBER($F17),ED$2&gt;=$F17,ED$2&lt;=IF(ISNUMBER($G17),$G17,$F17+$E17-$D17)),2,IF(AND(ED$2&gt;=$D17,ED$2&lt;=$E17),1,"")))</f>
        <v/>
      </c>
      <c r="EE17" s="38">
        <f>IF(OR(EE$2="",$D17=""),"",IF(AND(ISNUMBER($F17),EE$2&gt;=$F17,EE$2&lt;=IF(ISNUMBER($G17),$G17,$F17+$E17-$D17)),2,IF(AND(EE$2&gt;=$D17,EE$2&lt;=$E17),1,"")))</f>
        <v/>
      </c>
      <c r="EF17" s="38">
        <f>IF(OR(EF$2="",$D17=""),"",IF(AND(ISNUMBER($F17),EF$2&gt;=$F17,EF$2&lt;=IF(ISNUMBER($G17),$G17,$F17+$E17-$D17)),2,IF(AND(EF$2&gt;=$D17,EF$2&lt;=$E17),1,"")))</f>
        <v/>
      </c>
      <c r="EG17" s="38">
        <f>IF(OR(EG$2="",$D17=""),"",IF(AND(ISNUMBER($F17),EG$2&gt;=$F17,EG$2&lt;=IF(ISNUMBER($G17),$G17,$F17+$E17-$D17)),2,IF(AND(EG$2&gt;=$D17,EG$2&lt;=$E17),1,"")))</f>
        <v/>
      </c>
      <c r="EH17" s="38">
        <f>IF(OR(EH$2="",$D17=""),"",IF(AND(ISNUMBER($F17),EH$2&gt;=$F17,EH$2&lt;=IF(ISNUMBER($G17),$G17,$F17+$E17-$D17)),2,IF(AND(EH$2&gt;=$D17,EH$2&lt;=$E17),1,"")))</f>
        <v/>
      </c>
      <c r="EI17" s="38">
        <f>IF(OR(EI$2="",$D17=""),"",IF(AND(ISNUMBER($F17),EI$2&gt;=$F17,EI$2&lt;=IF(ISNUMBER($G17),$G17,$F17+$E17-$D17)),2,IF(AND(EI$2&gt;=$D17,EI$2&lt;=$E17),1,"")))</f>
        <v/>
      </c>
      <c r="EJ17" s="38">
        <f>IF(OR(EJ$2="",$D17=""),"",IF(AND(ISNUMBER($F17),EJ$2&gt;=$F17,EJ$2&lt;=IF(ISNUMBER($G17),$G17,$F17+$E17-$D17)),2,IF(AND(EJ$2&gt;=$D17,EJ$2&lt;=$E17),1,"")))</f>
        <v/>
      </c>
      <c r="EK17" s="38">
        <f>IF(OR(EK$2="",$D17=""),"",IF(AND(ISNUMBER($F17),EK$2&gt;=$F17,EK$2&lt;=IF(ISNUMBER($G17),$G17,$F17+$E17-$D17)),2,IF(AND(EK$2&gt;=$D17,EK$2&lt;=$E17),1,"")))</f>
        <v/>
      </c>
      <c r="EL17" s="38">
        <f>IF(OR(EL$2="",$D17=""),"",IF(AND(ISNUMBER($F17),EL$2&gt;=$F17,EL$2&lt;=IF(ISNUMBER($G17),$G17,$F17+$E17-$D17)),2,IF(AND(EL$2&gt;=$D17,EL$2&lt;=$E17),1,"")))</f>
        <v/>
      </c>
      <c r="EM17" s="38">
        <f>IF(OR(EM$2="",$D17=""),"",IF(AND(ISNUMBER($F17),EM$2&gt;=$F17,EM$2&lt;=IF(ISNUMBER($G17),$G17,$F17+$E17-$D17)),2,IF(AND(EM$2&gt;=$D17,EM$2&lt;=$E17),1,"")))</f>
        <v/>
      </c>
      <c r="EN17" s="38">
        <f>IF(OR(EN$2="",$D17=""),"",IF(AND(ISNUMBER($F17),EN$2&gt;=$F17,EN$2&lt;=IF(ISNUMBER($G17),$G17,$F17+$E17-$D17)),2,IF(AND(EN$2&gt;=$D17,EN$2&lt;=$E17),1,"")))</f>
        <v/>
      </c>
      <c r="EO17" s="38">
        <f>IF(OR(EO$2="",$D17=""),"",IF(AND(ISNUMBER($F17),EO$2&gt;=$F17,EO$2&lt;=IF(ISNUMBER($G17),$G17,$F17+$E17-$D17)),2,IF(AND(EO$2&gt;=$D17,EO$2&lt;=$E17),1,"")))</f>
        <v/>
      </c>
      <c r="EP17" s="38">
        <f>IF(OR(EP$2="",$D17=""),"",IF(AND(ISNUMBER($F17),EP$2&gt;=$F17,EP$2&lt;=IF(ISNUMBER($G17),$G17,$F17+$E17-$D17)),2,IF(AND(EP$2&gt;=$D17,EP$2&lt;=$E17),1,"")))</f>
        <v/>
      </c>
      <c r="EQ17" s="38">
        <f>IF(OR(EQ$2="",$D17=""),"",IF(AND(ISNUMBER($F17),EQ$2&gt;=$F17,EQ$2&lt;=IF(ISNUMBER($G17),$G17,$F17+$E17-$D17)),2,IF(AND(EQ$2&gt;=$D17,EQ$2&lt;=$E17),1,"")))</f>
        <v/>
      </c>
      <c r="ER17" s="38">
        <f>IF(OR(ER$2="",$D17=""),"",IF(AND(ISNUMBER($F17),ER$2&gt;=$F17,ER$2&lt;=IF(ISNUMBER($G17),$G17,$F17+$E17-$D17)),2,IF(AND(ER$2&gt;=$D17,ER$2&lt;=$E17),1,"")))</f>
        <v/>
      </c>
      <c r="ES17" s="38">
        <f>IF(OR(ES$2="",$D17=""),"",IF(AND(ISNUMBER($F17),ES$2&gt;=$F17,ES$2&lt;=IF(ISNUMBER($G17),$G17,$F17+$E17-$D17)),2,IF(AND(ES$2&gt;=$D17,ES$2&lt;=$E17),1,"")))</f>
        <v/>
      </c>
      <c r="ET17" s="38">
        <f>IF(OR(ET$2="",$D17=""),"",IF(AND(ISNUMBER($F17),ET$2&gt;=$F17,ET$2&lt;=IF(ISNUMBER($G17),$G17,$F17+$E17-$D17)),2,IF(AND(ET$2&gt;=$D17,ET$2&lt;=$E17),1,"")))</f>
        <v/>
      </c>
      <c r="EU17" s="38">
        <f>IF(OR(EU$2="",$D17=""),"",IF(AND(ISNUMBER($F17),EU$2&gt;=$F17,EU$2&lt;=IF(ISNUMBER($G17),$G17,$F17+$E17-$D17)),2,IF(AND(EU$2&gt;=$D17,EU$2&lt;=$E17),1,"")))</f>
        <v/>
      </c>
      <c r="EV17" s="38">
        <f>IF(OR(EV$2="",$D17=""),"",IF(AND(ISNUMBER($F17),EV$2&gt;=$F17,EV$2&lt;=IF(ISNUMBER($G17),$G17,$F17+$E17-$D17)),2,IF(AND(EV$2&gt;=$D17,EV$2&lt;=$E17),1,"")))</f>
        <v/>
      </c>
      <c r="EW17" s="38">
        <f>IF(OR(EW$2="",$D17=""),"",IF(AND(ISNUMBER($F17),EW$2&gt;=$F17,EW$2&lt;=IF(ISNUMBER($G17),$G17,$F17+$E17-$D17)),2,IF(AND(EW$2&gt;=$D17,EW$2&lt;=$E17),1,"")))</f>
        <v/>
      </c>
      <c r="EX17" s="38">
        <f>IF(OR(EX$2="",$D17=""),"",IF(AND(ISNUMBER($F17),EX$2&gt;=$F17,EX$2&lt;=IF(ISNUMBER($G17),$G17,$F17+$E17-$D17)),2,IF(AND(EX$2&gt;=$D17,EX$2&lt;=$E17),1,"")))</f>
        <v/>
      </c>
      <c r="EY17" s="38">
        <f>IF(OR(EY$2="",$D17=""),"",IF(AND(ISNUMBER($F17),EY$2&gt;=$F17,EY$2&lt;=IF(ISNUMBER($G17),$G17,$F17+$E17-$D17)),2,IF(AND(EY$2&gt;=$D17,EY$2&lt;=$E17),1,"")))</f>
        <v/>
      </c>
      <c r="EZ17" s="38">
        <f>IF(OR(EZ$2="",$D17=""),"",IF(AND(ISNUMBER($F17),EZ$2&gt;=$F17,EZ$2&lt;=IF(ISNUMBER($G17),$G17,$F17+$E17-$D17)),2,IF(AND(EZ$2&gt;=$D17,EZ$2&lt;=$E17),1,"")))</f>
        <v/>
      </c>
      <c r="FA17" s="38">
        <f>IF(OR(FA$2="",$D17=""),"",IF(AND(ISNUMBER($F17),FA$2&gt;=$F17,FA$2&lt;=IF(ISNUMBER($G17),$G17,$F17+$E17-$D17)),2,IF(AND(FA$2&gt;=$D17,FA$2&lt;=$E17),1,"")))</f>
        <v/>
      </c>
      <c r="FB17" s="38">
        <f>IF(OR(FB$2="",$D17=""),"",IF(AND(ISNUMBER($F17),FB$2&gt;=$F17,FB$2&lt;=IF(ISNUMBER($G17),$G17,$F17+$E17-$D17)),2,IF(AND(FB$2&gt;=$D17,FB$2&lt;=$E17),1,"")))</f>
        <v/>
      </c>
      <c r="FC17" s="38">
        <f>IF(OR(FC$2="",$D17=""),"",IF(AND(ISNUMBER($F17),FC$2&gt;=$F17,FC$2&lt;=IF(ISNUMBER($G17),$G17,$F17+$E17-$D17)),2,IF(AND(FC$2&gt;=$D17,FC$2&lt;=$E17),1,"")))</f>
        <v/>
      </c>
      <c r="FD17" s="38">
        <f>IF(OR(FD$2="",$D17=""),"",IF(AND(ISNUMBER($F17),FD$2&gt;=$F17,FD$2&lt;=IF(ISNUMBER($G17),$G17,$F17+$E17-$D17)),2,IF(AND(FD$2&gt;=$D17,FD$2&lt;=$E17),1,"")))</f>
        <v/>
      </c>
      <c r="FE17" s="38">
        <f>IF(OR(FE$2="",$D17=""),"",IF(AND(ISNUMBER($F17),FE$2&gt;=$F17,FE$2&lt;=IF(ISNUMBER($G17),$G17,$F17+$E17-$D17)),2,IF(AND(FE$2&gt;=$D17,FE$2&lt;=$E17),1,"")))</f>
        <v/>
      </c>
      <c r="FF17" s="38">
        <f>IF(OR(FF$2="",$D17=""),"",IF(AND(ISNUMBER($F17),FF$2&gt;=$F17,FF$2&lt;=IF(ISNUMBER($G17),$G17,$F17+$E17-$D17)),2,IF(AND(FF$2&gt;=$D17,FF$2&lt;=$E17),1,"")))</f>
        <v/>
      </c>
      <c r="FG17" s="38">
        <f>IF(OR(FG$2="",$D17=""),"",IF(AND(ISNUMBER($F17),FG$2&gt;=$F17,FG$2&lt;=IF(ISNUMBER($G17),$G17,$F17+$E17-$D17)),2,IF(AND(FG$2&gt;=$D17,FG$2&lt;=$E17),1,"")))</f>
        <v/>
      </c>
      <c r="FH17" s="38">
        <f>IF(OR(FH$2="",$D17=""),"",IF(AND(ISNUMBER($F17),FH$2&gt;=$F17,FH$2&lt;=IF(ISNUMBER($G17),$G17,$F17+$E17-$D17)),2,IF(AND(FH$2&gt;=$D17,FH$2&lt;=$E17),1,"")))</f>
        <v/>
      </c>
      <c r="FI17" s="38">
        <f>IF(OR(FI$2="",$D17=""),"",IF(AND(ISNUMBER($F17),FI$2&gt;=$F17,FI$2&lt;=IF(ISNUMBER($G17),$G17,$F17+$E17-$D17)),2,IF(AND(FI$2&gt;=$D17,FI$2&lt;=$E17),1,"")))</f>
        <v/>
      </c>
      <c r="FJ17" s="38">
        <f>IF(OR(FJ$2="",$D17=""),"",IF(AND(ISNUMBER($F17),FJ$2&gt;=$F17,FJ$2&lt;=IF(ISNUMBER($G17),$G17,$F17+$E17-$D17)),2,IF(AND(FJ$2&gt;=$D17,FJ$2&lt;=$E17),1,"")))</f>
        <v/>
      </c>
      <c r="FK17" s="38">
        <f>IF(OR(FK$2="",$D17=""),"",IF(AND(ISNUMBER($F17),FK$2&gt;=$F17,FK$2&lt;=IF(ISNUMBER($G17),$G17,$F17+$E17-$D17)),2,IF(AND(FK$2&gt;=$D17,FK$2&lt;=$E17),1,"")))</f>
        <v/>
      </c>
      <c r="FL17" s="38">
        <f>IF(OR(FL$2="",$D17=""),"",IF(AND(ISNUMBER($F17),FL$2&gt;=$F17,FL$2&lt;=IF(ISNUMBER($G17),$G17,$F17+$E17-$D17)),2,IF(AND(FL$2&gt;=$D17,FL$2&lt;=$E17),1,"")))</f>
        <v/>
      </c>
      <c r="FM17" s="38">
        <f>IF(OR(FM$2="",$D17=""),"",IF(AND(ISNUMBER($F17),FM$2&gt;=$F17,FM$2&lt;=IF(ISNUMBER($G17),$G17,$F17+$E17-$D17)),2,IF(AND(FM$2&gt;=$D17,FM$2&lt;=$E17),1,"")))</f>
        <v/>
      </c>
      <c r="FN17" s="38">
        <f>IF(OR(FN$2="",$D17=""),"",IF(AND(ISNUMBER($F17),FN$2&gt;=$F17,FN$2&lt;=IF(ISNUMBER($G17),$G17,$F17+$E17-$D17)),2,IF(AND(FN$2&gt;=$D17,FN$2&lt;=$E17),1,"")))</f>
        <v/>
      </c>
      <c r="FO17" s="38">
        <f>IF(OR(FO$2="",$D17=""),"",IF(AND(ISNUMBER($F17),FO$2&gt;=$F17,FO$2&lt;=IF(ISNUMBER($G17),$G17,$F17+$E17-$D17)),2,IF(AND(FO$2&gt;=$D17,FO$2&lt;=$E17),1,"")))</f>
        <v/>
      </c>
      <c r="FP17" s="38">
        <f>IF(OR(FP$2="",$D17=""),"",IF(AND(ISNUMBER($F17),FP$2&gt;=$F17,FP$2&lt;=IF(ISNUMBER($G17),$G17,$F17+$E17-$D17)),2,IF(AND(FP$2&gt;=$D17,FP$2&lt;=$E17),1,"")))</f>
        <v/>
      </c>
      <c r="FQ17" s="38">
        <f>IF(OR(FQ$2="",$D17=""),"",IF(AND(ISNUMBER($F17),FQ$2&gt;=$F17,FQ$2&lt;=IF(ISNUMBER($G17),$G17,$F17+$E17-$D17)),2,IF(AND(FQ$2&gt;=$D17,FQ$2&lt;=$E17),1,"")))</f>
        <v/>
      </c>
      <c r="FR17" s="38">
        <f>IF(OR(FR$2="",$D17=""),"",IF(AND(ISNUMBER($F17),FR$2&gt;=$F17,FR$2&lt;=IF(ISNUMBER($G17),$G17,$F17+$E17-$D17)),2,IF(AND(FR$2&gt;=$D17,FR$2&lt;=$E17),1,"")))</f>
        <v/>
      </c>
      <c r="FS17" s="38">
        <f>IF(OR(FS$2="",$D17=""),"",IF(AND(ISNUMBER($F17),FS$2&gt;=$F17,FS$2&lt;=IF(ISNUMBER($G17),$G17,$F17+$E17-$D17)),2,IF(AND(FS$2&gt;=$D17,FS$2&lt;=$E17),1,"")))</f>
        <v/>
      </c>
      <c r="FT17" s="38">
        <f>IF(OR(FT$2="",$D17=""),"",IF(AND(ISNUMBER($F17),FT$2&gt;=$F17,FT$2&lt;=IF(ISNUMBER($G17),$G17,$F17+$E17-$D17)),2,IF(AND(FT$2&gt;=$D17,FT$2&lt;=$E17),1,"")))</f>
        <v/>
      </c>
      <c r="FU17" s="38">
        <f>IF(OR(FU$2="",$D17=""),"",IF(AND(ISNUMBER($F17),FU$2&gt;=$F17,FU$2&lt;=IF(ISNUMBER($G17),$G17,$F17+$E17-$D17)),2,IF(AND(FU$2&gt;=$D17,FU$2&lt;=$E17),1,"")))</f>
        <v/>
      </c>
      <c r="FV17" s="38">
        <f>IF(OR(FV$2="",$D17=""),"",IF(AND(ISNUMBER($F17),FV$2&gt;=$F17,FV$2&lt;=IF(ISNUMBER($G17),$G17,$F17+$E17-$D17)),2,IF(AND(FV$2&gt;=$D17,FV$2&lt;=$E17),1,"")))</f>
        <v/>
      </c>
      <c r="FW17" s="38">
        <f>IF(OR(FW$2="",$D17=""),"",IF(AND(ISNUMBER($F17),FW$2&gt;=$F17,FW$2&lt;=IF(ISNUMBER($G17),$G17,$F17+$E17-$D17)),2,IF(AND(FW$2&gt;=$D17,FW$2&lt;=$E17),1,"")))</f>
        <v/>
      </c>
      <c r="FX17" s="38">
        <f>IF(OR(FX$2="",$D17=""),"",IF(AND(ISNUMBER($F17),FX$2&gt;=$F17,FX$2&lt;=IF(ISNUMBER($G17),$G17,$F17+$E17-$D17)),2,IF(AND(FX$2&gt;=$D17,FX$2&lt;=$E17),1,"")))</f>
        <v/>
      </c>
      <c r="FY17" s="38">
        <f>IF(OR(FY$2="",$D17=""),"",IF(AND(ISNUMBER($F17),FY$2&gt;=$F17,FY$2&lt;=IF(ISNUMBER($G17),$G17,$F17+$E17-$D17)),2,IF(AND(FY$2&gt;=$D17,FY$2&lt;=$E17),1,"")))</f>
        <v/>
      </c>
      <c r="FZ17" s="38">
        <f>IF(OR(FZ$2="",$D17=""),"",IF(AND(ISNUMBER($F17),FZ$2&gt;=$F17,FZ$2&lt;=IF(ISNUMBER($G17),$G17,$F17+$E17-$D17)),2,IF(AND(FZ$2&gt;=$D17,FZ$2&lt;=$E17),1,"")))</f>
        <v/>
      </c>
      <c r="GA17" s="38">
        <f>IF(OR(GA$2="",$D17=""),"",IF(AND(ISNUMBER($F17),GA$2&gt;=$F17,GA$2&lt;=IF(ISNUMBER($G17),$G17,$F17+$E17-$D17)),2,IF(AND(GA$2&gt;=$D17,GA$2&lt;=$E17),1,"")))</f>
        <v/>
      </c>
      <c r="GB17" s="38">
        <f>IF(OR(GB$2="",$D17=""),"",IF(AND(ISNUMBER($F17),GB$2&gt;=$F17,GB$2&lt;=IF(ISNUMBER($G17),$G17,$F17+$E17-$D17)),2,IF(AND(GB$2&gt;=$D17,GB$2&lt;=$E17),1,"")))</f>
        <v/>
      </c>
      <c r="GC17" s="38">
        <f>IF(OR(GC$2="",$D17=""),"",IF(AND(ISNUMBER($F17),GC$2&gt;=$F17,GC$2&lt;=IF(ISNUMBER($G17),$G17,$F17+$E17-$D17)),2,IF(AND(GC$2&gt;=$D17,GC$2&lt;=$E17),1,"")))</f>
        <v/>
      </c>
      <c r="GD17" s="38">
        <f>IF(OR(GD$2="",$D17=""),"",IF(AND(ISNUMBER($F17),GD$2&gt;=$F17,GD$2&lt;=IF(ISNUMBER($G17),$G17,$F17+$E17-$D17)),2,IF(AND(GD$2&gt;=$D17,GD$2&lt;=$E17),1,"")))</f>
        <v/>
      </c>
      <c r="GE17" s="38">
        <f>IF(OR(GE$2="",$D17=""),"",IF(AND(ISNUMBER($F17),GE$2&gt;=$F17,GE$2&lt;=IF(ISNUMBER($G17),$G17,$F17+$E17-$D17)),2,IF(AND(GE$2&gt;=$D17,GE$2&lt;=$E17),1,"")))</f>
        <v/>
      </c>
    </row>
    <row r="18">
      <c r="A18" s="36" t="inlineStr">
        <is>
          <t>3F4D-3</t>
        </is>
      </c>
      <c r="B18" s="12" t="inlineStr">
        <is>
          <t>৩এফ৪ডি-3</t>
        </is>
      </c>
      <c r="C18" s="12" t="inlineStr">
        <is>
          <t>3F4D+MD</t>
        </is>
      </c>
      <c r="D18" s="7">
        <f>IF(Day_0="","",Day_0+cfg_6-cfg_8+cfg_13*2)</f>
        <v/>
      </c>
      <c r="E18" s="7">
        <f>IF(Day_0="","",Day_0+cfg_6-cfg_8+cfg_13*3)</f>
        <v/>
      </c>
      <c r="F18" s="37" t="n"/>
      <c r="G18" s="37" t="n"/>
      <c r="H18" s="6">
        <f>IF(D18="","no plan",IF(F18&lt;&gt;"",IF(F18-D18&gt;=2,"LATE","OK"),IF(TODAY()&gt;D18+2,"OVERDUE","upcoming")))</f>
        <v/>
      </c>
      <c r="I18" s="6">
        <f>IF(AND(D18&lt;&gt;"",F18&lt;&gt;""),F18-D18,"")</f>
        <v/>
      </c>
      <c r="J18" s="7">
        <f>IF(F18&lt;&gt;"",F18,D18)</f>
        <v/>
      </c>
      <c r="K18" s="7">
        <f>IF(G18&lt;&gt;"",G18,IF(AND(F18&lt;&gt;"",E18=D18),F18,E18))</f>
        <v/>
      </c>
      <c r="L18" s="6">
        <f>IF(AND(D18&lt;&gt;"",F18="",D18&gt;=TODAY()),D18+ROW()/1000,"")</f>
        <v/>
      </c>
      <c r="M18" s="38">
        <f>IF(OR(M$2="",$D18=""),"",IF(AND(ISNUMBER($F18),M$2&gt;=$F18,M$2&lt;=IF(ISNUMBER($G18),$G18,$F18+$E18-$D18)),2,IF(AND(M$2&gt;=$D18,M$2&lt;=$E18),1,"")))</f>
        <v/>
      </c>
      <c r="N18" s="38">
        <f>IF(OR(N$2="",$D18=""),"",IF(AND(ISNUMBER($F18),N$2&gt;=$F18,N$2&lt;=IF(ISNUMBER($G18),$G18,$F18+$E18-$D18)),2,IF(AND(N$2&gt;=$D18,N$2&lt;=$E18),1,"")))</f>
        <v/>
      </c>
      <c r="O18" s="38">
        <f>IF(OR(O$2="",$D18=""),"",IF(AND(ISNUMBER($F18),O$2&gt;=$F18,O$2&lt;=IF(ISNUMBER($G18),$G18,$F18+$E18-$D18)),2,IF(AND(O$2&gt;=$D18,O$2&lt;=$E18),1,"")))</f>
        <v/>
      </c>
      <c r="P18" s="38">
        <f>IF(OR(P$2="",$D18=""),"",IF(AND(ISNUMBER($F18),P$2&gt;=$F18,P$2&lt;=IF(ISNUMBER($G18),$G18,$F18+$E18-$D18)),2,IF(AND(P$2&gt;=$D18,P$2&lt;=$E18),1,"")))</f>
        <v/>
      </c>
      <c r="Q18" s="38">
        <f>IF(OR(Q$2="",$D18=""),"",IF(AND(ISNUMBER($F18),Q$2&gt;=$F18,Q$2&lt;=IF(ISNUMBER($G18),$G18,$F18+$E18-$D18)),2,IF(AND(Q$2&gt;=$D18,Q$2&lt;=$E18),1,"")))</f>
        <v/>
      </c>
      <c r="R18" s="38">
        <f>IF(OR(R$2="",$D18=""),"",IF(AND(ISNUMBER($F18),R$2&gt;=$F18,R$2&lt;=IF(ISNUMBER($G18),$G18,$F18+$E18-$D18)),2,IF(AND(R$2&gt;=$D18,R$2&lt;=$E18),1,"")))</f>
        <v/>
      </c>
      <c r="S18" s="38">
        <f>IF(OR(S$2="",$D18=""),"",IF(AND(ISNUMBER($F18),S$2&gt;=$F18,S$2&lt;=IF(ISNUMBER($G18),$G18,$F18+$E18-$D18)),2,IF(AND(S$2&gt;=$D18,S$2&lt;=$E18),1,"")))</f>
        <v/>
      </c>
      <c r="T18" s="38">
        <f>IF(OR(T$2="",$D18=""),"",IF(AND(ISNUMBER($F18),T$2&gt;=$F18,T$2&lt;=IF(ISNUMBER($G18),$G18,$F18+$E18-$D18)),2,IF(AND(T$2&gt;=$D18,T$2&lt;=$E18),1,"")))</f>
        <v/>
      </c>
      <c r="U18" s="38">
        <f>IF(OR(U$2="",$D18=""),"",IF(AND(ISNUMBER($F18),U$2&gt;=$F18,U$2&lt;=IF(ISNUMBER($G18),$G18,$F18+$E18-$D18)),2,IF(AND(U$2&gt;=$D18,U$2&lt;=$E18),1,"")))</f>
        <v/>
      </c>
      <c r="V18" s="38">
        <f>IF(OR(V$2="",$D18=""),"",IF(AND(ISNUMBER($F18),V$2&gt;=$F18,V$2&lt;=IF(ISNUMBER($G18),$G18,$F18+$E18-$D18)),2,IF(AND(V$2&gt;=$D18,V$2&lt;=$E18),1,"")))</f>
        <v/>
      </c>
      <c r="W18" s="38">
        <f>IF(OR(W$2="",$D18=""),"",IF(AND(ISNUMBER($F18),W$2&gt;=$F18,W$2&lt;=IF(ISNUMBER($G18),$G18,$F18+$E18-$D18)),2,IF(AND(W$2&gt;=$D18,W$2&lt;=$E18),1,"")))</f>
        <v/>
      </c>
      <c r="X18" s="38">
        <f>IF(OR(X$2="",$D18=""),"",IF(AND(ISNUMBER($F18),X$2&gt;=$F18,X$2&lt;=IF(ISNUMBER($G18),$G18,$F18+$E18-$D18)),2,IF(AND(X$2&gt;=$D18,X$2&lt;=$E18),1,"")))</f>
        <v/>
      </c>
      <c r="Y18" s="38">
        <f>IF(OR(Y$2="",$D18=""),"",IF(AND(ISNUMBER($F18),Y$2&gt;=$F18,Y$2&lt;=IF(ISNUMBER($G18),$G18,$F18+$E18-$D18)),2,IF(AND(Y$2&gt;=$D18,Y$2&lt;=$E18),1,"")))</f>
        <v/>
      </c>
      <c r="Z18" s="38">
        <f>IF(OR(Z$2="",$D18=""),"",IF(AND(ISNUMBER($F18),Z$2&gt;=$F18,Z$2&lt;=IF(ISNUMBER($G18),$G18,$F18+$E18-$D18)),2,IF(AND(Z$2&gt;=$D18,Z$2&lt;=$E18),1,"")))</f>
        <v/>
      </c>
      <c r="AA18" s="38">
        <f>IF(OR(AA$2="",$D18=""),"",IF(AND(ISNUMBER($F18),AA$2&gt;=$F18,AA$2&lt;=IF(ISNUMBER($G18),$G18,$F18+$E18-$D18)),2,IF(AND(AA$2&gt;=$D18,AA$2&lt;=$E18),1,"")))</f>
        <v/>
      </c>
      <c r="AB18" s="38">
        <f>IF(OR(AB$2="",$D18=""),"",IF(AND(ISNUMBER($F18),AB$2&gt;=$F18,AB$2&lt;=IF(ISNUMBER($G18),$G18,$F18+$E18-$D18)),2,IF(AND(AB$2&gt;=$D18,AB$2&lt;=$E18),1,"")))</f>
        <v/>
      </c>
      <c r="AC18" s="38">
        <f>IF(OR(AC$2="",$D18=""),"",IF(AND(ISNUMBER($F18),AC$2&gt;=$F18,AC$2&lt;=IF(ISNUMBER($G18),$G18,$F18+$E18-$D18)),2,IF(AND(AC$2&gt;=$D18,AC$2&lt;=$E18),1,"")))</f>
        <v/>
      </c>
      <c r="AD18" s="38">
        <f>IF(OR(AD$2="",$D18=""),"",IF(AND(ISNUMBER($F18),AD$2&gt;=$F18,AD$2&lt;=IF(ISNUMBER($G18),$G18,$F18+$E18-$D18)),2,IF(AND(AD$2&gt;=$D18,AD$2&lt;=$E18),1,"")))</f>
        <v/>
      </c>
      <c r="AE18" s="38">
        <f>IF(OR(AE$2="",$D18=""),"",IF(AND(ISNUMBER($F18),AE$2&gt;=$F18,AE$2&lt;=IF(ISNUMBER($G18),$G18,$F18+$E18-$D18)),2,IF(AND(AE$2&gt;=$D18,AE$2&lt;=$E18),1,"")))</f>
        <v/>
      </c>
      <c r="AF18" s="38">
        <f>IF(OR(AF$2="",$D18=""),"",IF(AND(ISNUMBER($F18),AF$2&gt;=$F18,AF$2&lt;=IF(ISNUMBER($G18),$G18,$F18+$E18-$D18)),2,IF(AND(AF$2&gt;=$D18,AF$2&lt;=$E18),1,"")))</f>
        <v/>
      </c>
      <c r="AG18" s="38">
        <f>IF(OR(AG$2="",$D18=""),"",IF(AND(ISNUMBER($F18),AG$2&gt;=$F18,AG$2&lt;=IF(ISNUMBER($G18),$G18,$F18+$E18-$D18)),2,IF(AND(AG$2&gt;=$D18,AG$2&lt;=$E18),1,"")))</f>
        <v/>
      </c>
      <c r="AH18" s="38">
        <f>IF(OR(AH$2="",$D18=""),"",IF(AND(ISNUMBER($F18),AH$2&gt;=$F18,AH$2&lt;=IF(ISNUMBER($G18),$G18,$F18+$E18-$D18)),2,IF(AND(AH$2&gt;=$D18,AH$2&lt;=$E18),1,"")))</f>
        <v/>
      </c>
      <c r="AI18" s="38">
        <f>IF(OR(AI$2="",$D18=""),"",IF(AND(ISNUMBER($F18),AI$2&gt;=$F18,AI$2&lt;=IF(ISNUMBER($G18),$G18,$F18+$E18-$D18)),2,IF(AND(AI$2&gt;=$D18,AI$2&lt;=$E18),1,"")))</f>
        <v/>
      </c>
      <c r="AJ18" s="38">
        <f>IF(OR(AJ$2="",$D18=""),"",IF(AND(ISNUMBER($F18),AJ$2&gt;=$F18,AJ$2&lt;=IF(ISNUMBER($G18),$G18,$F18+$E18-$D18)),2,IF(AND(AJ$2&gt;=$D18,AJ$2&lt;=$E18),1,"")))</f>
        <v/>
      </c>
      <c r="AK18" s="38">
        <f>IF(OR(AK$2="",$D18=""),"",IF(AND(ISNUMBER($F18),AK$2&gt;=$F18,AK$2&lt;=IF(ISNUMBER($G18),$G18,$F18+$E18-$D18)),2,IF(AND(AK$2&gt;=$D18,AK$2&lt;=$E18),1,"")))</f>
        <v/>
      </c>
      <c r="AL18" s="38">
        <f>IF(OR(AL$2="",$D18=""),"",IF(AND(ISNUMBER($F18),AL$2&gt;=$F18,AL$2&lt;=IF(ISNUMBER($G18),$G18,$F18+$E18-$D18)),2,IF(AND(AL$2&gt;=$D18,AL$2&lt;=$E18),1,"")))</f>
        <v/>
      </c>
      <c r="AM18" s="38">
        <f>IF(OR(AM$2="",$D18=""),"",IF(AND(ISNUMBER($F18),AM$2&gt;=$F18,AM$2&lt;=IF(ISNUMBER($G18),$G18,$F18+$E18-$D18)),2,IF(AND(AM$2&gt;=$D18,AM$2&lt;=$E18),1,"")))</f>
        <v/>
      </c>
      <c r="AN18" s="38">
        <f>IF(OR(AN$2="",$D18=""),"",IF(AND(ISNUMBER($F18),AN$2&gt;=$F18,AN$2&lt;=IF(ISNUMBER($G18),$G18,$F18+$E18-$D18)),2,IF(AND(AN$2&gt;=$D18,AN$2&lt;=$E18),1,"")))</f>
        <v/>
      </c>
      <c r="AO18" s="38">
        <f>IF(OR(AO$2="",$D18=""),"",IF(AND(ISNUMBER($F18),AO$2&gt;=$F18,AO$2&lt;=IF(ISNUMBER($G18),$G18,$F18+$E18-$D18)),2,IF(AND(AO$2&gt;=$D18,AO$2&lt;=$E18),1,"")))</f>
        <v/>
      </c>
      <c r="AP18" s="38">
        <f>IF(OR(AP$2="",$D18=""),"",IF(AND(ISNUMBER($F18),AP$2&gt;=$F18,AP$2&lt;=IF(ISNUMBER($G18),$G18,$F18+$E18-$D18)),2,IF(AND(AP$2&gt;=$D18,AP$2&lt;=$E18),1,"")))</f>
        <v/>
      </c>
      <c r="AQ18" s="38">
        <f>IF(OR(AQ$2="",$D18=""),"",IF(AND(ISNUMBER($F18),AQ$2&gt;=$F18,AQ$2&lt;=IF(ISNUMBER($G18),$G18,$F18+$E18-$D18)),2,IF(AND(AQ$2&gt;=$D18,AQ$2&lt;=$E18),1,"")))</f>
        <v/>
      </c>
      <c r="AR18" s="38">
        <f>IF(OR(AR$2="",$D18=""),"",IF(AND(ISNUMBER($F18),AR$2&gt;=$F18,AR$2&lt;=IF(ISNUMBER($G18),$G18,$F18+$E18-$D18)),2,IF(AND(AR$2&gt;=$D18,AR$2&lt;=$E18),1,"")))</f>
        <v/>
      </c>
      <c r="AS18" s="38">
        <f>IF(OR(AS$2="",$D18=""),"",IF(AND(ISNUMBER($F18),AS$2&gt;=$F18,AS$2&lt;=IF(ISNUMBER($G18),$G18,$F18+$E18-$D18)),2,IF(AND(AS$2&gt;=$D18,AS$2&lt;=$E18),1,"")))</f>
        <v/>
      </c>
      <c r="AT18" s="38">
        <f>IF(OR(AT$2="",$D18=""),"",IF(AND(ISNUMBER($F18),AT$2&gt;=$F18,AT$2&lt;=IF(ISNUMBER($G18),$G18,$F18+$E18-$D18)),2,IF(AND(AT$2&gt;=$D18,AT$2&lt;=$E18),1,"")))</f>
        <v/>
      </c>
      <c r="AU18" s="38">
        <f>IF(OR(AU$2="",$D18=""),"",IF(AND(ISNUMBER($F18),AU$2&gt;=$F18,AU$2&lt;=IF(ISNUMBER($G18),$G18,$F18+$E18-$D18)),2,IF(AND(AU$2&gt;=$D18,AU$2&lt;=$E18),1,"")))</f>
        <v/>
      </c>
      <c r="AV18" s="38">
        <f>IF(OR(AV$2="",$D18=""),"",IF(AND(ISNUMBER($F18),AV$2&gt;=$F18,AV$2&lt;=IF(ISNUMBER($G18),$G18,$F18+$E18-$D18)),2,IF(AND(AV$2&gt;=$D18,AV$2&lt;=$E18),1,"")))</f>
        <v/>
      </c>
      <c r="AW18" s="38">
        <f>IF(OR(AW$2="",$D18=""),"",IF(AND(ISNUMBER($F18),AW$2&gt;=$F18,AW$2&lt;=IF(ISNUMBER($G18),$G18,$F18+$E18-$D18)),2,IF(AND(AW$2&gt;=$D18,AW$2&lt;=$E18),1,"")))</f>
        <v/>
      </c>
      <c r="AX18" s="38">
        <f>IF(OR(AX$2="",$D18=""),"",IF(AND(ISNUMBER($F18),AX$2&gt;=$F18,AX$2&lt;=IF(ISNUMBER($G18),$G18,$F18+$E18-$D18)),2,IF(AND(AX$2&gt;=$D18,AX$2&lt;=$E18),1,"")))</f>
        <v/>
      </c>
      <c r="AY18" s="38">
        <f>IF(OR(AY$2="",$D18=""),"",IF(AND(ISNUMBER($F18),AY$2&gt;=$F18,AY$2&lt;=IF(ISNUMBER($G18),$G18,$F18+$E18-$D18)),2,IF(AND(AY$2&gt;=$D18,AY$2&lt;=$E18),1,"")))</f>
        <v/>
      </c>
      <c r="AZ18" s="38">
        <f>IF(OR(AZ$2="",$D18=""),"",IF(AND(ISNUMBER($F18),AZ$2&gt;=$F18,AZ$2&lt;=IF(ISNUMBER($G18),$G18,$F18+$E18-$D18)),2,IF(AND(AZ$2&gt;=$D18,AZ$2&lt;=$E18),1,"")))</f>
        <v/>
      </c>
      <c r="BA18" s="38">
        <f>IF(OR(BA$2="",$D18=""),"",IF(AND(ISNUMBER($F18),BA$2&gt;=$F18,BA$2&lt;=IF(ISNUMBER($G18),$G18,$F18+$E18-$D18)),2,IF(AND(BA$2&gt;=$D18,BA$2&lt;=$E18),1,"")))</f>
        <v/>
      </c>
      <c r="BB18" s="38">
        <f>IF(OR(BB$2="",$D18=""),"",IF(AND(ISNUMBER($F18),BB$2&gt;=$F18,BB$2&lt;=IF(ISNUMBER($G18),$G18,$F18+$E18-$D18)),2,IF(AND(BB$2&gt;=$D18,BB$2&lt;=$E18),1,"")))</f>
        <v/>
      </c>
      <c r="BC18" s="38">
        <f>IF(OR(BC$2="",$D18=""),"",IF(AND(ISNUMBER($F18),BC$2&gt;=$F18,BC$2&lt;=IF(ISNUMBER($G18),$G18,$F18+$E18-$D18)),2,IF(AND(BC$2&gt;=$D18,BC$2&lt;=$E18),1,"")))</f>
        <v/>
      </c>
      <c r="BD18" s="38">
        <f>IF(OR(BD$2="",$D18=""),"",IF(AND(ISNUMBER($F18),BD$2&gt;=$F18,BD$2&lt;=IF(ISNUMBER($G18),$G18,$F18+$E18-$D18)),2,IF(AND(BD$2&gt;=$D18,BD$2&lt;=$E18),1,"")))</f>
        <v/>
      </c>
      <c r="BE18" s="38">
        <f>IF(OR(BE$2="",$D18=""),"",IF(AND(ISNUMBER($F18),BE$2&gt;=$F18,BE$2&lt;=IF(ISNUMBER($G18),$G18,$F18+$E18-$D18)),2,IF(AND(BE$2&gt;=$D18,BE$2&lt;=$E18),1,"")))</f>
        <v/>
      </c>
      <c r="BF18" s="38">
        <f>IF(OR(BF$2="",$D18=""),"",IF(AND(ISNUMBER($F18),BF$2&gt;=$F18,BF$2&lt;=IF(ISNUMBER($G18),$G18,$F18+$E18-$D18)),2,IF(AND(BF$2&gt;=$D18,BF$2&lt;=$E18),1,"")))</f>
        <v/>
      </c>
      <c r="BG18" s="38">
        <f>IF(OR(BG$2="",$D18=""),"",IF(AND(ISNUMBER($F18),BG$2&gt;=$F18,BG$2&lt;=IF(ISNUMBER($G18),$G18,$F18+$E18-$D18)),2,IF(AND(BG$2&gt;=$D18,BG$2&lt;=$E18),1,"")))</f>
        <v/>
      </c>
      <c r="BH18" s="38">
        <f>IF(OR(BH$2="",$D18=""),"",IF(AND(ISNUMBER($F18),BH$2&gt;=$F18,BH$2&lt;=IF(ISNUMBER($G18),$G18,$F18+$E18-$D18)),2,IF(AND(BH$2&gt;=$D18,BH$2&lt;=$E18),1,"")))</f>
        <v/>
      </c>
      <c r="BI18" s="38">
        <f>IF(OR(BI$2="",$D18=""),"",IF(AND(ISNUMBER($F18),BI$2&gt;=$F18,BI$2&lt;=IF(ISNUMBER($G18),$G18,$F18+$E18-$D18)),2,IF(AND(BI$2&gt;=$D18,BI$2&lt;=$E18),1,"")))</f>
        <v/>
      </c>
      <c r="BJ18" s="38">
        <f>IF(OR(BJ$2="",$D18=""),"",IF(AND(ISNUMBER($F18),BJ$2&gt;=$F18,BJ$2&lt;=IF(ISNUMBER($G18),$G18,$F18+$E18-$D18)),2,IF(AND(BJ$2&gt;=$D18,BJ$2&lt;=$E18),1,"")))</f>
        <v/>
      </c>
      <c r="BK18" s="38">
        <f>IF(OR(BK$2="",$D18=""),"",IF(AND(ISNUMBER($F18),BK$2&gt;=$F18,BK$2&lt;=IF(ISNUMBER($G18),$G18,$F18+$E18-$D18)),2,IF(AND(BK$2&gt;=$D18,BK$2&lt;=$E18),1,"")))</f>
        <v/>
      </c>
      <c r="BL18" s="38">
        <f>IF(OR(BL$2="",$D18=""),"",IF(AND(ISNUMBER($F18),BL$2&gt;=$F18,BL$2&lt;=IF(ISNUMBER($G18),$G18,$F18+$E18-$D18)),2,IF(AND(BL$2&gt;=$D18,BL$2&lt;=$E18),1,"")))</f>
        <v/>
      </c>
      <c r="BM18" s="38">
        <f>IF(OR(BM$2="",$D18=""),"",IF(AND(ISNUMBER($F18),BM$2&gt;=$F18,BM$2&lt;=IF(ISNUMBER($G18),$G18,$F18+$E18-$D18)),2,IF(AND(BM$2&gt;=$D18,BM$2&lt;=$E18),1,"")))</f>
        <v/>
      </c>
      <c r="BN18" s="38">
        <f>IF(OR(BN$2="",$D18=""),"",IF(AND(ISNUMBER($F18),BN$2&gt;=$F18,BN$2&lt;=IF(ISNUMBER($G18),$G18,$F18+$E18-$D18)),2,IF(AND(BN$2&gt;=$D18,BN$2&lt;=$E18),1,"")))</f>
        <v/>
      </c>
      <c r="BO18" s="38">
        <f>IF(OR(BO$2="",$D18=""),"",IF(AND(ISNUMBER($F18),BO$2&gt;=$F18,BO$2&lt;=IF(ISNUMBER($G18),$G18,$F18+$E18-$D18)),2,IF(AND(BO$2&gt;=$D18,BO$2&lt;=$E18),1,"")))</f>
        <v/>
      </c>
      <c r="BP18" s="38">
        <f>IF(OR(BP$2="",$D18=""),"",IF(AND(ISNUMBER($F18),BP$2&gt;=$F18,BP$2&lt;=IF(ISNUMBER($G18),$G18,$F18+$E18-$D18)),2,IF(AND(BP$2&gt;=$D18,BP$2&lt;=$E18),1,"")))</f>
        <v/>
      </c>
      <c r="BQ18" s="38">
        <f>IF(OR(BQ$2="",$D18=""),"",IF(AND(ISNUMBER($F18),BQ$2&gt;=$F18,BQ$2&lt;=IF(ISNUMBER($G18),$G18,$F18+$E18-$D18)),2,IF(AND(BQ$2&gt;=$D18,BQ$2&lt;=$E18),1,"")))</f>
        <v/>
      </c>
      <c r="BR18" s="38">
        <f>IF(OR(BR$2="",$D18=""),"",IF(AND(ISNUMBER($F18),BR$2&gt;=$F18,BR$2&lt;=IF(ISNUMBER($G18),$G18,$F18+$E18-$D18)),2,IF(AND(BR$2&gt;=$D18,BR$2&lt;=$E18),1,"")))</f>
        <v/>
      </c>
      <c r="BS18" s="38">
        <f>IF(OR(BS$2="",$D18=""),"",IF(AND(ISNUMBER($F18),BS$2&gt;=$F18,BS$2&lt;=IF(ISNUMBER($G18),$G18,$F18+$E18-$D18)),2,IF(AND(BS$2&gt;=$D18,BS$2&lt;=$E18),1,"")))</f>
        <v/>
      </c>
      <c r="BT18" s="38">
        <f>IF(OR(BT$2="",$D18=""),"",IF(AND(ISNUMBER($F18),BT$2&gt;=$F18,BT$2&lt;=IF(ISNUMBER($G18),$G18,$F18+$E18-$D18)),2,IF(AND(BT$2&gt;=$D18,BT$2&lt;=$E18),1,"")))</f>
        <v/>
      </c>
      <c r="BU18" s="38">
        <f>IF(OR(BU$2="",$D18=""),"",IF(AND(ISNUMBER($F18),BU$2&gt;=$F18,BU$2&lt;=IF(ISNUMBER($G18),$G18,$F18+$E18-$D18)),2,IF(AND(BU$2&gt;=$D18,BU$2&lt;=$E18),1,"")))</f>
        <v/>
      </c>
      <c r="BV18" s="38">
        <f>IF(OR(BV$2="",$D18=""),"",IF(AND(ISNUMBER($F18),BV$2&gt;=$F18,BV$2&lt;=IF(ISNUMBER($G18),$G18,$F18+$E18-$D18)),2,IF(AND(BV$2&gt;=$D18,BV$2&lt;=$E18),1,"")))</f>
        <v/>
      </c>
      <c r="BW18" s="38">
        <f>IF(OR(BW$2="",$D18=""),"",IF(AND(ISNUMBER($F18),BW$2&gt;=$F18,BW$2&lt;=IF(ISNUMBER($G18),$G18,$F18+$E18-$D18)),2,IF(AND(BW$2&gt;=$D18,BW$2&lt;=$E18),1,"")))</f>
        <v/>
      </c>
      <c r="BX18" s="38">
        <f>IF(OR(BX$2="",$D18=""),"",IF(AND(ISNUMBER($F18),BX$2&gt;=$F18,BX$2&lt;=IF(ISNUMBER($G18),$G18,$F18+$E18-$D18)),2,IF(AND(BX$2&gt;=$D18,BX$2&lt;=$E18),1,"")))</f>
        <v/>
      </c>
      <c r="BY18" s="38">
        <f>IF(OR(BY$2="",$D18=""),"",IF(AND(ISNUMBER($F18),BY$2&gt;=$F18,BY$2&lt;=IF(ISNUMBER($G18),$G18,$F18+$E18-$D18)),2,IF(AND(BY$2&gt;=$D18,BY$2&lt;=$E18),1,"")))</f>
        <v/>
      </c>
      <c r="BZ18" s="38">
        <f>IF(OR(BZ$2="",$D18=""),"",IF(AND(ISNUMBER($F18),BZ$2&gt;=$F18,BZ$2&lt;=IF(ISNUMBER($G18),$G18,$F18+$E18-$D18)),2,IF(AND(BZ$2&gt;=$D18,BZ$2&lt;=$E18),1,"")))</f>
        <v/>
      </c>
      <c r="CA18" s="38">
        <f>IF(OR(CA$2="",$D18=""),"",IF(AND(ISNUMBER($F18),CA$2&gt;=$F18,CA$2&lt;=IF(ISNUMBER($G18),$G18,$F18+$E18-$D18)),2,IF(AND(CA$2&gt;=$D18,CA$2&lt;=$E18),1,"")))</f>
        <v/>
      </c>
      <c r="CB18" s="38">
        <f>IF(OR(CB$2="",$D18=""),"",IF(AND(ISNUMBER($F18),CB$2&gt;=$F18,CB$2&lt;=IF(ISNUMBER($G18),$G18,$F18+$E18-$D18)),2,IF(AND(CB$2&gt;=$D18,CB$2&lt;=$E18),1,"")))</f>
        <v/>
      </c>
      <c r="CC18" s="38">
        <f>IF(OR(CC$2="",$D18=""),"",IF(AND(ISNUMBER($F18),CC$2&gt;=$F18,CC$2&lt;=IF(ISNUMBER($G18),$G18,$F18+$E18-$D18)),2,IF(AND(CC$2&gt;=$D18,CC$2&lt;=$E18),1,"")))</f>
        <v/>
      </c>
      <c r="CD18" s="38">
        <f>IF(OR(CD$2="",$D18=""),"",IF(AND(ISNUMBER($F18),CD$2&gt;=$F18,CD$2&lt;=IF(ISNUMBER($G18),$G18,$F18+$E18-$D18)),2,IF(AND(CD$2&gt;=$D18,CD$2&lt;=$E18),1,"")))</f>
        <v/>
      </c>
      <c r="CE18" s="38">
        <f>IF(OR(CE$2="",$D18=""),"",IF(AND(ISNUMBER($F18),CE$2&gt;=$F18,CE$2&lt;=IF(ISNUMBER($G18),$G18,$F18+$E18-$D18)),2,IF(AND(CE$2&gt;=$D18,CE$2&lt;=$E18),1,"")))</f>
        <v/>
      </c>
      <c r="CF18" s="38">
        <f>IF(OR(CF$2="",$D18=""),"",IF(AND(ISNUMBER($F18),CF$2&gt;=$F18,CF$2&lt;=IF(ISNUMBER($G18),$G18,$F18+$E18-$D18)),2,IF(AND(CF$2&gt;=$D18,CF$2&lt;=$E18),1,"")))</f>
        <v/>
      </c>
      <c r="CG18" s="38">
        <f>IF(OR(CG$2="",$D18=""),"",IF(AND(ISNUMBER($F18),CG$2&gt;=$F18,CG$2&lt;=IF(ISNUMBER($G18),$G18,$F18+$E18-$D18)),2,IF(AND(CG$2&gt;=$D18,CG$2&lt;=$E18),1,"")))</f>
        <v/>
      </c>
      <c r="CH18" s="38">
        <f>IF(OR(CH$2="",$D18=""),"",IF(AND(ISNUMBER($F18),CH$2&gt;=$F18,CH$2&lt;=IF(ISNUMBER($G18),$G18,$F18+$E18-$D18)),2,IF(AND(CH$2&gt;=$D18,CH$2&lt;=$E18),1,"")))</f>
        <v/>
      </c>
      <c r="CI18" s="38">
        <f>IF(OR(CI$2="",$D18=""),"",IF(AND(ISNUMBER($F18),CI$2&gt;=$F18,CI$2&lt;=IF(ISNUMBER($G18),$G18,$F18+$E18-$D18)),2,IF(AND(CI$2&gt;=$D18,CI$2&lt;=$E18),1,"")))</f>
        <v/>
      </c>
      <c r="CJ18" s="38">
        <f>IF(OR(CJ$2="",$D18=""),"",IF(AND(ISNUMBER($F18),CJ$2&gt;=$F18,CJ$2&lt;=IF(ISNUMBER($G18),$G18,$F18+$E18-$D18)),2,IF(AND(CJ$2&gt;=$D18,CJ$2&lt;=$E18),1,"")))</f>
        <v/>
      </c>
      <c r="CK18" s="38">
        <f>IF(OR(CK$2="",$D18=""),"",IF(AND(ISNUMBER($F18),CK$2&gt;=$F18,CK$2&lt;=IF(ISNUMBER($G18),$G18,$F18+$E18-$D18)),2,IF(AND(CK$2&gt;=$D18,CK$2&lt;=$E18),1,"")))</f>
        <v/>
      </c>
      <c r="CL18" s="38">
        <f>IF(OR(CL$2="",$D18=""),"",IF(AND(ISNUMBER($F18),CL$2&gt;=$F18,CL$2&lt;=IF(ISNUMBER($G18),$G18,$F18+$E18-$D18)),2,IF(AND(CL$2&gt;=$D18,CL$2&lt;=$E18),1,"")))</f>
        <v/>
      </c>
      <c r="CM18" s="38">
        <f>IF(OR(CM$2="",$D18=""),"",IF(AND(ISNUMBER($F18),CM$2&gt;=$F18,CM$2&lt;=IF(ISNUMBER($G18),$G18,$F18+$E18-$D18)),2,IF(AND(CM$2&gt;=$D18,CM$2&lt;=$E18),1,"")))</f>
        <v/>
      </c>
      <c r="CN18" s="38">
        <f>IF(OR(CN$2="",$D18=""),"",IF(AND(ISNUMBER($F18),CN$2&gt;=$F18,CN$2&lt;=IF(ISNUMBER($G18),$G18,$F18+$E18-$D18)),2,IF(AND(CN$2&gt;=$D18,CN$2&lt;=$E18),1,"")))</f>
        <v/>
      </c>
      <c r="CO18" s="38">
        <f>IF(OR(CO$2="",$D18=""),"",IF(AND(ISNUMBER($F18),CO$2&gt;=$F18,CO$2&lt;=IF(ISNUMBER($G18),$G18,$F18+$E18-$D18)),2,IF(AND(CO$2&gt;=$D18,CO$2&lt;=$E18),1,"")))</f>
        <v/>
      </c>
      <c r="CP18" s="38">
        <f>IF(OR(CP$2="",$D18=""),"",IF(AND(ISNUMBER($F18),CP$2&gt;=$F18,CP$2&lt;=IF(ISNUMBER($G18),$G18,$F18+$E18-$D18)),2,IF(AND(CP$2&gt;=$D18,CP$2&lt;=$E18),1,"")))</f>
        <v/>
      </c>
      <c r="CQ18" s="38">
        <f>IF(OR(CQ$2="",$D18=""),"",IF(AND(ISNUMBER($F18),CQ$2&gt;=$F18,CQ$2&lt;=IF(ISNUMBER($G18),$G18,$F18+$E18-$D18)),2,IF(AND(CQ$2&gt;=$D18,CQ$2&lt;=$E18),1,"")))</f>
        <v/>
      </c>
      <c r="CR18" s="38">
        <f>IF(OR(CR$2="",$D18=""),"",IF(AND(ISNUMBER($F18),CR$2&gt;=$F18,CR$2&lt;=IF(ISNUMBER($G18),$G18,$F18+$E18-$D18)),2,IF(AND(CR$2&gt;=$D18,CR$2&lt;=$E18),1,"")))</f>
        <v/>
      </c>
      <c r="CS18" s="38">
        <f>IF(OR(CS$2="",$D18=""),"",IF(AND(ISNUMBER($F18),CS$2&gt;=$F18,CS$2&lt;=IF(ISNUMBER($G18),$G18,$F18+$E18-$D18)),2,IF(AND(CS$2&gt;=$D18,CS$2&lt;=$E18),1,"")))</f>
        <v/>
      </c>
      <c r="CT18" s="38">
        <f>IF(OR(CT$2="",$D18=""),"",IF(AND(ISNUMBER($F18),CT$2&gt;=$F18,CT$2&lt;=IF(ISNUMBER($G18),$G18,$F18+$E18-$D18)),2,IF(AND(CT$2&gt;=$D18,CT$2&lt;=$E18),1,"")))</f>
        <v/>
      </c>
      <c r="CU18" s="38">
        <f>IF(OR(CU$2="",$D18=""),"",IF(AND(ISNUMBER($F18),CU$2&gt;=$F18,CU$2&lt;=IF(ISNUMBER($G18),$G18,$F18+$E18-$D18)),2,IF(AND(CU$2&gt;=$D18,CU$2&lt;=$E18),1,"")))</f>
        <v/>
      </c>
      <c r="CV18" s="38">
        <f>IF(OR(CV$2="",$D18=""),"",IF(AND(ISNUMBER($F18),CV$2&gt;=$F18,CV$2&lt;=IF(ISNUMBER($G18),$G18,$F18+$E18-$D18)),2,IF(AND(CV$2&gt;=$D18,CV$2&lt;=$E18),1,"")))</f>
        <v/>
      </c>
      <c r="CW18" s="38">
        <f>IF(OR(CW$2="",$D18=""),"",IF(AND(ISNUMBER($F18),CW$2&gt;=$F18,CW$2&lt;=IF(ISNUMBER($G18),$G18,$F18+$E18-$D18)),2,IF(AND(CW$2&gt;=$D18,CW$2&lt;=$E18),1,"")))</f>
        <v/>
      </c>
      <c r="CX18" s="38">
        <f>IF(OR(CX$2="",$D18=""),"",IF(AND(ISNUMBER($F18),CX$2&gt;=$F18,CX$2&lt;=IF(ISNUMBER($G18),$G18,$F18+$E18-$D18)),2,IF(AND(CX$2&gt;=$D18,CX$2&lt;=$E18),1,"")))</f>
        <v/>
      </c>
      <c r="CY18" s="38">
        <f>IF(OR(CY$2="",$D18=""),"",IF(AND(ISNUMBER($F18),CY$2&gt;=$F18,CY$2&lt;=IF(ISNUMBER($G18),$G18,$F18+$E18-$D18)),2,IF(AND(CY$2&gt;=$D18,CY$2&lt;=$E18),1,"")))</f>
        <v/>
      </c>
      <c r="CZ18" s="38">
        <f>IF(OR(CZ$2="",$D18=""),"",IF(AND(ISNUMBER($F18),CZ$2&gt;=$F18,CZ$2&lt;=IF(ISNUMBER($G18),$G18,$F18+$E18-$D18)),2,IF(AND(CZ$2&gt;=$D18,CZ$2&lt;=$E18),1,"")))</f>
        <v/>
      </c>
      <c r="DA18" s="38">
        <f>IF(OR(DA$2="",$D18=""),"",IF(AND(ISNUMBER($F18),DA$2&gt;=$F18,DA$2&lt;=IF(ISNUMBER($G18),$G18,$F18+$E18-$D18)),2,IF(AND(DA$2&gt;=$D18,DA$2&lt;=$E18),1,"")))</f>
        <v/>
      </c>
      <c r="DB18" s="38">
        <f>IF(OR(DB$2="",$D18=""),"",IF(AND(ISNUMBER($F18),DB$2&gt;=$F18,DB$2&lt;=IF(ISNUMBER($G18),$G18,$F18+$E18-$D18)),2,IF(AND(DB$2&gt;=$D18,DB$2&lt;=$E18),1,"")))</f>
        <v/>
      </c>
      <c r="DC18" s="38">
        <f>IF(OR(DC$2="",$D18=""),"",IF(AND(ISNUMBER($F18),DC$2&gt;=$F18,DC$2&lt;=IF(ISNUMBER($G18),$G18,$F18+$E18-$D18)),2,IF(AND(DC$2&gt;=$D18,DC$2&lt;=$E18),1,"")))</f>
        <v/>
      </c>
      <c r="DD18" s="38">
        <f>IF(OR(DD$2="",$D18=""),"",IF(AND(ISNUMBER($F18),DD$2&gt;=$F18,DD$2&lt;=IF(ISNUMBER($G18),$G18,$F18+$E18-$D18)),2,IF(AND(DD$2&gt;=$D18,DD$2&lt;=$E18),1,"")))</f>
        <v/>
      </c>
      <c r="DE18" s="38">
        <f>IF(OR(DE$2="",$D18=""),"",IF(AND(ISNUMBER($F18),DE$2&gt;=$F18,DE$2&lt;=IF(ISNUMBER($G18),$G18,$F18+$E18-$D18)),2,IF(AND(DE$2&gt;=$D18,DE$2&lt;=$E18),1,"")))</f>
        <v/>
      </c>
      <c r="DF18" s="38">
        <f>IF(OR(DF$2="",$D18=""),"",IF(AND(ISNUMBER($F18),DF$2&gt;=$F18,DF$2&lt;=IF(ISNUMBER($G18),$G18,$F18+$E18-$D18)),2,IF(AND(DF$2&gt;=$D18,DF$2&lt;=$E18),1,"")))</f>
        <v/>
      </c>
      <c r="DG18" s="38">
        <f>IF(OR(DG$2="",$D18=""),"",IF(AND(ISNUMBER($F18),DG$2&gt;=$F18,DG$2&lt;=IF(ISNUMBER($G18),$G18,$F18+$E18-$D18)),2,IF(AND(DG$2&gt;=$D18,DG$2&lt;=$E18),1,"")))</f>
        <v/>
      </c>
      <c r="DH18" s="38">
        <f>IF(OR(DH$2="",$D18=""),"",IF(AND(ISNUMBER($F18),DH$2&gt;=$F18,DH$2&lt;=IF(ISNUMBER($G18),$G18,$F18+$E18-$D18)),2,IF(AND(DH$2&gt;=$D18,DH$2&lt;=$E18),1,"")))</f>
        <v/>
      </c>
      <c r="DI18" s="38">
        <f>IF(OR(DI$2="",$D18=""),"",IF(AND(ISNUMBER($F18),DI$2&gt;=$F18,DI$2&lt;=IF(ISNUMBER($G18),$G18,$F18+$E18-$D18)),2,IF(AND(DI$2&gt;=$D18,DI$2&lt;=$E18),1,"")))</f>
        <v/>
      </c>
      <c r="DJ18" s="38">
        <f>IF(OR(DJ$2="",$D18=""),"",IF(AND(ISNUMBER($F18),DJ$2&gt;=$F18,DJ$2&lt;=IF(ISNUMBER($G18),$G18,$F18+$E18-$D18)),2,IF(AND(DJ$2&gt;=$D18,DJ$2&lt;=$E18),1,"")))</f>
        <v/>
      </c>
      <c r="DK18" s="38">
        <f>IF(OR(DK$2="",$D18=""),"",IF(AND(ISNUMBER($F18),DK$2&gt;=$F18,DK$2&lt;=IF(ISNUMBER($G18),$G18,$F18+$E18-$D18)),2,IF(AND(DK$2&gt;=$D18,DK$2&lt;=$E18),1,"")))</f>
        <v/>
      </c>
      <c r="DL18" s="38">
        <f>IF(OR(DL$2="",$D18=""),"",IF(AND(ISNUMBER($F18),DL$2&gt;=$F18,DL$2&lt;=IF(ISNUMBER($G18),$G18,$F18+$E18-$D18)),2,IF(AND(DL$2&gt;=$D18,DL$2&lt;=$E18),1,"")))</f>
        <v/>
      </c>
      <c r="DM18" s="38">
        <f>IF(OR(DM$2="",$D18=""),"",IF(AND(ISNUMBER($F18),DM$2&gt;=$F18,DM$2&lt;=IF(ISNUMBER($G18),$G18,$F18+$E18-$D18)),2,IF(AND(DM$2&gt;=$D18,DM$2&lt;=$E18),1,"")))</f>
        <v/>
      </c>
      <c r="DN18" s="38">
        <f>IF(OR(DN$2="",$D18=""),"",IF(AND(ISNUMBER($F18),DN$2&gt;=$F18,DN$2&lt;=IF(ISNUMBER($G18),$G18,$F18+$E18-$D18)),2,IF(AND(DN$2&gt;=$D18,DN$2&lt;=$E18),1,"")))</f>
        <v/>
      </c>
      <c r="DO18" s="38">
        <f>IF(OR(DO$2="",$D18=""),"",IF(AND(ISNUMBER($F18),DO$2&gt;=$F18,DO$2&lt;=IF(ISNUMBER($G18),$G18,$F18+$E18-$D18)),2,IF(AND(DO$2&gt;=$D18,DO$2&lt;=$E18),1,"")))</f>
        <v/>
      </c>
      <c r="DP18" s="38">
        <f>IF(OR(DP$2="",$D18=""),"",IF(AND(ISNUMBER($F18),DP$2&gt;=$F18,DP$2&lt;=IF(ISNUMBER($G18),$G18,$F18+$E18-$D18)),2,IF(AND(DP$2&gt;=$D18,DP$2&lt;=$E18),1,"")))</f>
        <v/>
      </c>
      <c r="DQ18" s="38">
        <f>IF(OR(DQ$2="",$D18=""),"",IF(AND(ISNUMBER($F18),DQ$2&gt;=$F18,DQ$2&lt;=IF(ISNUMBER($G18),$G18,$F18+$E18-$D18)),2,IF(AND(DQ$2&gt;=$D18,DQ$2&lt;=$E18),1,"")))</f>
        <v/>
      </c>
      <c r="DR18" s="38">
        <f>IF(OR(DR$2="",$D18=""),"",IF(AND(ISNUMBER($F18),DR$2&gt;=$F18,DR$2&lt;=IF(ISNUMBER($G18),$G18,$F18+$E18-$D18)),2,IF(AND(DR$2&gt;=$D18,DR$2&lt;=$E18),1,"")))</f>
        <v/>
      </c>
      <c r="DS18" s="38">
        <f>IF(OR(DS$2="",$D18=""),"",IF(AND(ISNUMBER($F18),DS$2&gt;=$F18,DS$2&lt;=IF(ISNUMBER($G18),$G18,$F18+$E18-$D18)),2,IF(AND(DS$2&gt;=$D18,DS$2&lt;=$E18),1,"")))</f>
        <v/>
      </c>
      <c r="DT18" s="38">
        <f>IF(OR(DT$2="",$D18=""),"",IF(AND(ISNUMBER($F18),DT$2&gt;=$F18,DT$2&lt;=IF(ISNUMBER($G18),$G18,$F18+$E18-$D18)),2,IF(AND(DT$2&gt;=$D18,DT$2&lt;=$E18),1,"")))</f>
        <v/>
      </c>
      <c r="DU18" s="38">
        <f>IF(OR(DU$2="",$D18=""),"",IF(AND(ISNUMBER($F18),DU$2&gt;=$F18,DU$2&lt;=IF(ISNUMBER($G18),$G18,$F18+$E18-$D18)),2,IF(AND(DU$2&gt;=$D18,DU$2&lt;=$E18),1,"")))</f>
        <v/>
      </c>
      <c r="DV18" s="38">
        <f>IF(OR(DV$2="",$D18=""),"",IF(AND(ISNUMBER($F18),DV$2&gt;=$F18,DV$2&lt;=IF(ISNUMBER($G18),$G18,$F18+$E18-$D18)),2,IF(AND(DV$2&gt;=$D18,DV$2&lt;=$E18),1,"")))</f>
        <v/>
      </c>
      <c r="DW18" s="38">
        <f>IF(OR(DW$2="",$D18=""),"",IF(AND(ISNUMBER($F18),DW$2&gt;=$F18,DW$2&lt;=IF(ISNUMBER($G18),$G18,$F18+$E18-$D18)),2,IF(AND(DW$2&gt;=$D18,DW$2&lt;=$E18),1,"")))</f>
        <v/>
      </c>
      <c r="DX18" s="38">
        <f>IF(OR(DX$2="",$D18=""),"",IF(AND(ISNUMBER($F18),DX$2&gt;=$F18,DX$2&lt;=IF(ISNUMBER($G18),$G18,$F18+$E18-$D18)),2,IF(AND(DX$2&gt;=$D18,DX$2&lt;=$E18),1,"")))</f>
        <v/>
      </c>
      <c r="DY18" s="38">
        <f>IF(OR(DY$2="",$D18=""),"",IF(AND(ISNUMBER($F18),DY$2&gt;=$F18,DY$2&lt;=IF(ISNUMBER($G18),$G18,$F18+$E18-$D18)),2,IF(AND(DY$2&gt;=$D18,DY$2&lt;=$E18),1,"")))</f>
        <v/>
      </c>
      <c r="DZ18" s="38">
        <f>IF(OR(DZ$2="",$D18=""),"",IF(AND(ISNUMBER($F18),DZ$2&gt;=$F18,DZ$2&lt;=IF(ISNUMBER($G18),$G18,$F18+$E18-$D18)),2,IF(AND(DZ$2&gt;=$D18,DZ$2&lt;=$E18),1,"")))</f>
        <v/>
      </c>
      <c r="EA18" s="38">
        <f>IF(OR(EA$2="",$D18=""),"",IF(AND(ISNUMBER($F18),EA$2&gt;=$F18,EA$2&lt;=IF(ISNUMBER($G18),$G18,$F18+$E18-$D18)),2,IF(AND(EA$2&gt;=$D18,EA$2&lt;=$E18),1,"")))</f>
        <v/>
      </c>
      <c r="EB18" s="38">
        <f>IF(OR(EB$2="",$D18=""),"",IF(AND(ISNUMBER($F18),EB$2&gt;=$F18,EB$2&lt;=IF(ISNUMBER($G18),$G18,$F18+$E18-$D18)),2,IF(AND(EB$2&gt;=$D18,EB$2&lt;=$E18),1,"")))</f>
        <v/>
      </c>
      <c r="EC18" s="38">
        <f>IF(OR(EC$2="",$D18=""),"",IF(AND(ISNUMBER($F18),EC$2&gt;=$F18,EC$2&lt;=IF(ISNUMBER($G18),$G18,$F18+$E18-$D18)),2,IF(AND(EC$2&gt;=$D18,EC$2&lt;=$E18),1,"")))</f>
        <v/>
      </c>
      <c r="ED18" s="38">
        <f>IF(OR(ED$2="",$D18=""),"",IF(AND(ISNUMBER($F18),ED$2&gt;=$F18,ED$2&lt;=IF(ISNUMBER($G18),$G18,$F18+$E18-$D18)),2,IF(AND(ED$2&gt;=$D18,ED$2&lt;=$E18),1,"")))</f>
        <v/>
      </c>
      <c r="EE18" s="38">
        <f>IF(OR(EE$2="",$D18=""),"",IF(AND(ISNUMBER($F18),EE$2&gt;=$F18,EE$2&lt;=IF(ISNUMBER($G18),$G18,$F18+$E18-$D18)),2,IF(AND(EE$2&gt;=$D18,EE$2&lt;=$E18),1,"")))</f>
        <v/>
      </c>
      <c r="EF18" s="38">
        <f>IF(OR(EF$2="",$D18=""),"",IF(AND(ISNUMBER($F18),EF$2&gt;=$F18,EF$2&lt;=IF(ISNUMBER($G18),$G18,$F18+$E18-$D18)),2,IF(AND(EF$2&gt;=$D18,EF$2&lt;=$E18),1,"")))</f>
        <v/>
      </c>
      <c r="EG18" s="38">
        <f>IF(OR(EG$2="",$D18=""),"",IF(AND(ISNUMBER($F18),EG$2&gt;=$F18,EG$2&lt;=IF(ISNUMBER($G18),$G18,$F18+$E18-$D18)),2,IF(AND(EG$2&gt;=$D18,EG$2&lt;=$E18),1,"")))</f>
        <v/>
      </c>
      <c r="EH18" s="38">
        <f>IF(OR(EH$2="",$D18=""),"",IF(AND(ISNUMBER($F18),EH$2&gt;=$F18,EH$2&lt;=IF(ISNUMBER($G18),$G18,$F18+$E18-$D18)),2,IF(AND(EH$2&gt;=$D18,EH$2&lt;=$E18),1,"")))</f>
        <v/>
      </c>
      <c r="EI18" s="38">
        <f>IF(OR(EI$2="",$D18=""),"",IF(AND(ISNUMBER($F18),EI$2&gt;=$F18,EI$2&lt;=IF(ISNUMBER($G18),$G18,$F18+$E18-$D18)),2,IF(AND(EI$2&gt;=$D18,EI$2&lt;=$E18),1,"")))</f>
        <v/>
      </c>
      <c r="EJ18" s="38">
        <f>IF(OR(EJ$2="",$D18=""),"",IF(AND(ISNUMBER($F18),EJ$2&gt;=$F18,EJ$2&lt;=IF(ISNUMBER($G18),$G18,$F18+$E18-$D18)),2,IF(AND(EJ$2&gt;=$D18,EJ$2&lt;=$E18),1,"")))</f>
        <v/>
      </c>
      <c r="EK18" s="38">
        <f>IF(OR(EK$2="",$D18=""),"",IF(AND(ISNUMBER($F18),EK$2&gt;=$F18,EK$2&lt;=IF(ISNUMBER($G18),$G18,$F18+$E18-$D18)),2,IF(AND(EK$2&gt;=$D18,EK$2&lt;=$E18),1,"")))</f>
        <v/>
      </c>
      <c r="EL18" s="38">
        <f>IF(OR(EL$2="",$D18=""),"",IF(AND(ISNUMBER($F18),EL$2&gt;=$F18,EL$2&lt;=IF(ISNUMBER($G18),$G18,$F18+$E18-$D18)),2,IF(AND(EL$2&gt;=$D18,EL$2&lt;=$E18),1,"")))</f>
        <v/>
      </c>
      <c r="EM18" s="38">
        <f>IF(OR(EM$2="",$D18=""),"",IF(AND(ISNUMBER($F18),EM$2&gt;=$F18,EM$2&lt;=IF(ISNUMBER($G18),$G18,$F18+$E18-$D18)),2,IF(AND(EM$2&gt;=$D18,EM$2&lt;=$E18),1,"")))</f>
        <v/>
      </c>
      <c r="EN18" s="38">
        <f>IF(OR(EN$2="",$D18=""),"",IF(AND(ISNUMBER($F18),EN$2&gt;=$F18,EN$2&lt;=IF(ISNUMBER($G18),$G18,$F18+$E18-$D18)),2,IF(AND(EN$2&gt;=$D18,EN$2&lt;=$E18),1,"")))</f>
        <v/>
      </c>
      <c r="EO18" s="38">
        <f>IF(OR(EO$2="",$D18=""),"",IF(AND(ISNUMBER($F18),EO$2&gt;=$F18,EO$2&lt;=IF(ISNUMBER($G18),$G18,$F18+$E18-$D18)),2,IF(AND(EO$2&gt;=$D18,EO$2&lt;=$E18),1,"")))</f>
        <v/>
      </c>
      <c r="EP18" s="38">
        <f>IF(OR(EP$2="",$D18=""),"",IF(AND(ISNUMBER($F18),EP$2&gt;=$F18,EP$2&lt;=IF(ISNUMBER($G18),$G18,$F18+$E18-$D18)),2,IF(AND(EP$2&gt;=$D18,EP$2&lt;=$E18),1,"")))</f>
        <v/>
      </c>
      <c r="EQ18" s="38">
        <f>IF(OR(EQ$2="",$D18=""),"",IF(AND(ISNUMBER($F18),EQ$2&gt;=$F18,EQ$2&lt;=IF(ISNUMBER($G18),$G18,$F18+$E18-$D18)),2,IF(AND(EQ$2&gt;=$D18,EQ$2&lt;=$E18),1,"")))</f>
        <v/>
      </c>
      <c r="ER18" s="38">
        <f>IF(OR(ER$2="",$D18=""),"",IF(AND(ISNUMBER($F18),ER$2&gt;=$F18,ER$2&lt;=IF(ISNUMBER($G18),$G18,$F18+$E18-$D18)),2,IF(AND(ER$2&gt;=$D18,ER$2&lt;=$E18),1,"")))</f>
        <v/>
      </c>
      <c r="ES18" s="38">
        <f>IF(OR(ES$2="",$D18=""),"",IF(AND(ISNUMBER($F18),ES$2&gt;=$F18,ES$2&lt;=IF(ISNUMBER($G18),$G18,$F18+$E18-$D18)),2,IF(AND(ES$2&gt;=$D18,ES$2&lt;=$E18),1,"")))</f>
        <v/>
      </c>
      <c r="ET18" s="38">
        <f>IF(OR(ET$2="",$D18=""),"",IF(AND(ISNUMBER($F18),ET$2&gt;=$F18,ET$2&lt;=IF(ISNUMBER($G18),$G18,$F18+$E18-$D18)),2,IF(AND(ET$2&gt;=$D18,ET$2&lt;=$E18),1,"")))</f>
        <v/>
      </c>
      <c r="EU18" s="38">
        <f>IF(OR(EU$2="",$D18=""),"",IF(AND(ISNUMBER($F18),EU$2&gt;=$F18,EU$2&lt;=IF(ISNUMBER($G18),$G18,$F18+$E18-$D18)),2,IF(AND(EU$2&gt;=$D18,EU$2&lt;=$E18),1,"")))</f>
        <v/>
      </c>
      <c r="EV18" s="38">
        <f>IF(OR(EV$2="",$D18=""),"",IF(AND(ISNUMBER($F18),EV$2&gt;=$F18,EV$2&lt;=IF(ISNUMBER($G18),$G18,$F18+$E18-$D18)),2,IF(AND(EV$2&gt;=$D18,EV$2&lt;=$E18),1,"")))</f>
        <v/>
      </c>
      <c r="EW18" s="38">
        <f>IF(OR(EW$2="",$D18=""),"",IF(AND(ISNUMBER($F18),EW$2&gt;=$F18,EW$2&lt;=IF(ISNUMBER($G18),$G18,$F18+$E18-$D18)),2,IF(AND(EW$2&gt;=$D18,EW$2&lt;=$E18),1,"")))</f>
        <v/>
      </c>
      <c r="EX18" s="38">
        <f>IF(OR(EX$2="",$D18=""),"",IF(AND(ISNUMBER($F18),EX$2&gt;=$F18,EX$2&lt;=IF(ISNUMBER($G18),$G18,$F18+$E18-$D18)),2,IF(AND(EX$2&gt;=$D18,EX$2&lt;=$E18),1,"")))</f>
        <v/>
      </c>
      <c r="EY18" s="38">
        <f>IF(OR(EY$2="",$D18=""),"",IF(AND(ISNUMBER($F18),EY$2&gt;=$F18,EY$2&lt;=IF(ISNUMBER($G18),$G18,$F18+$E18-$D18)),2,IF(AND(EY$2&gt;=$D18,EY$2&lt;=$E18),1,"")))</f>
        <v/>
      </c>
      <c r="EZ18" s="38">
        <f>IF(OR(EZ$2="",$D18=""),"",IF(AND(ISNUMBER($F18),EZ$2&gt;=$F18,EZ$2&lt;=IF(ISNUMBER($G18),$G18,$F18+$E18-$D18)),2,IF(AND(EZ$2&gt;=$D18,EZ$2&lt;=$E18),1,"")))</f>
        <v/>
      </c>
      <c r="FA18" s="38">
        <f>IF(OR(FA$2="",$D18=""),"",IF(AND(ISNUMBER($F18),FA$2&gt;=$F18,FA$2&lt;=IF(ISNUMBER($G18),$G18,$F18+$E18-$D18)),2,IF(AND(FA$2&gt;=$D18,FA$2&lt;=$E18),1,"")))</f>
        <v/>
      </c>
      <c r="FB18" s="38">
        <f>IF(OR(FB$2="",$D18=""),"",IF(AND(ISNUMBER($F18),FB$2&gt;=$F18,FB$2&lt;=IF(ISNUMBER($G18),$G18,$F18+$E18-$D18)),2,IF(AND(FB$2&gt;=$D18,FB$2&lt;=$E18),1,"")))</f>
        <v/>
      </c>
      <c r="FC18" s="38">
        <f>IF(OR(FC$2="",$D18=""),"",IF(AND(ISNUMBER($F18),FC$2&gt;=$F18,FC$2&lt;=IF(ISNUMBER($G18),$G18,$F18+$E18-$D18)),2,IF(AND(FC$2&gt;=$D18,FC$2&lt;=$E18),1,"")))</f>
        <v/>
      </c>
      <c r="FD18" s="38">
        <f>IF(OR(FD$2="",$D18=""),"",IF(AND(ISNUMBER($F18),FD$2&gt;=$F18,FD$2&lt;=IF(ISNUMBER($G18),$G18,$F18+$E18-$D18)),2,IF(AND(FD$2&gt;=$D18,FD$2&lt;=$E18),1,"")))</f>
        <v/>
      </c>
      <c r="FE18" s="38">
        <f>IF(OR(FE$2="",$D18=""),"",IF(AND(ISNUMBER($F18),FE$2&gt;=$F18,FE$2&lt;=IF(ISNUMBER($G18),$G18,$F18+$E18-$D18)),2,IF(AND(FE$2&gt;=$D18,FE$2&lt;=$E18),1,"")))</f>
        <v/>
      </c>
      <c r="FF18" s="38">
        <f>IF(OR(FF$2="",$D18=""),"",IF(AND(ISNUMBER($F18),FF$2&gt;=$F18,FF$2&lt;=IF(ISNUMBER($G18),$G18,$F18+$E18-$D18)),2,IF(AND(FF$2&gt;=$D18,FF$2&lt;=$E18),1,"")))</f>
        <v/>
      </c>
      <c r="FG18" s="38">
        <f>IF(OR(FG$2="",$D18=""),"",IF(AND(ISNUMBER($F18),FG$2&gt;=$F18,FG$2&lt;=IF(ISNUMBER($G18),$G18,$F18+$E18-$D18)),2,IF(AND(FG$2&gt;=$D18,FG$2&lt;=$E18),1,"")))</f>
        <v/>
      </c>
      <c r="FH18" s="38">
        <f>IF(OR(FH$2="",$D18=""),"",IF(AND(ISNUMBER($F18),FH$2&gt;=$F18,FH$2&lt;=IF(ISNUMBER($G18),$G18,$F18+$E18-$D18)),2,IF(AND(FH$2&gt;=$D18,FH$2&lt;=$E18),1,"")))</f>
        <v/>
      </c>
      <c r="FI18" s="38">
        <f>IF(OR(FI$2="",$D18=""),"",IF(AND(ISNUMBER($F18),FI$2&gt;=$F18,FI$2&lt;=IF(ISNUMBER($G18),$G18,$F18+$E18-$D18)),2,IF(AND(FI$2&gt;=$D18,FI$2&lt;=$E18),1,"")))</f>
        <v/>
      </c>
      <c r="FJ18" s="38">
        <f>IF(OR(FJ$2="",$D18=""),"",IF(AND(ISNUMBER($F18),FJ$2&gt;=$F18,FJ$2&lt;=IF(ISNUMBER($G18),$G18,$F18+$E18-$D18)),2,IF(AND(FJ$2&gt;=$D18,FJ$2&lt;=$E18),1,"")))</f>
        <v/>
      </c>
      <c r="FK18" s="38">
        <f>IF(OR(FK$2="",$D18=""),"",IF(AND(ISNUMBER($F18),FK$2&gt;=$F18,FK$2&lt;=IF(ISNUMBER($G18),$G18,$F18+$E18-$D18)),2,IF(AND(FK$2&gt;=$D18,FK$2&lt;=$E18),1,"")))</f>
        <v/>
      </c>
      <c r="FL18" s="38">
        <f>IF(OR(FL$2="",$D18=""),"",IF(AND(ISNUMBER($F18),FL$2&gt;=$F18,FL$2&lt;=IF(ISNUMBER($G18),$G18,$F18+$E18-$D18)),2,IF(AND(FL$2&gt;=$D18,FL$2&lt;=$E18),1,"")))</f>
        <v/>
      </c>
      <c r="FM18" s="38">
        <f>IF(OR(FM$2="",$D18=""),"",IF(AND(ISNUMBER($F18),FM$2&gt;=$F18,FM$2&lt;=IF(ISNUMBER($G18),$G18,$F18+$E18-$D18)),2,IF(AND(FM$2&gt;=$D18,FM$2&lt;=$E18),1,"")))</f>
        <v/>
      </c>
      <c r="FN18" s="38">
        <f>IF(OR(FN$2="",$D18=""),"",IF(AND(ISNUMBER($F18),FN$2&gt;=$F18,FN$2&lt;=IF(ISNUMBER($G18),$G18,$F18+$E18-$D18)),2,IF(AND(FN$2&gt;=$D18,FN$2&lt;=$E18),1,"")))</f>
        <v/>
      </c>
      <c r="FO18" s="38">
        <f>IF(OR(FO$2="",$D18=""),"",IF(AND(ISNUMBER($F18),FO$2&gt;=$F18,FO$2&lt;=IF(ISNUMBER($G18),$G18,$F18+$E18-$D18)),2,IF(AND(FO$2&gt;=$D18,FO$2&lt;=$E18),1,"")))</f>
        <v/>
      </c>
      <c r="FP18" s="38">
        <f>IF(OR(FP$2="",$D18=""),"",IF(AND(ISNUMBER($F18),FP$2&gt;=$F18,FP$2&lt;=IF(ISNUMBER($G18),$G18,$F18+$E18-$D18)),2,IF(AND(FP$2&gt;=$D18,FP$2&lt;=$E18),1,"")))</f>
        <v/>
      </c>
      <c r="FQ18" s="38">
        <f>IF(OR(FQ$2="",$D18=""),"",IF(AND(ISNUMBER($F18),FQ$2&gt;=$F18,FQ$2&lt;=IF(ISNUMBER($G18),$G18,$F18+$E18-$D18)),2,IF(AND(FQ$2&gt;=$D18,FQ$2&lt;=$E18),1,"")))</f>
        <v/>
      </c>
      <c r="FR18" s="38">
        <f>IF(OR(FR$2="",$D18=""),"",IF(AND(ISNUMBER($F18),FR$2&gt;=$F18,FR$2&lt;=IF(ISNUMBER($G18),$G18,$F18+$E18-$D18)),2,IF(AND(FR$2&gt;=$D18,FR$2&lt;=$E18),1,"")))</f>
        <v/>
      </c>
      <c r="FS18" s="38">
        <f>IF(OR(FS$2="",$D18=""),"",IF(AND(ISNUMBER($F18),FS$2&gt;=$F18,FS$2&lt;=IF(ISNUMBER($G18),$G18,$F18+$E18-$D18)),2,IF(AND(FS$2&gt;=$D18,FS$2&lt;=$E18),1,"")))</f>
        <v/>
      </c>
      <c r="FT18" s="38">
        <f>IF(OR(FT$2="",$D18=""),"",IF(AND(ISNUMBER($F18),FT$2&gt;=$F18,FT$2&lt;=IF(ISNUMBER($G18),$G18,$F18+$E18-$D18)),2,IF(AND(FT$2&gt;=$D18,FT$2&lt;=$E18),1,"")))</f>
        <v/>
      </c>
      <c r="FU18" s="38">
        <f>IF(OR(FU$2="",$D18=""),"",IF(AND(ISNUMBER($F18),FU$2&gt;=$F18,FU$2&lt;=IF(ISNUMBER($G18),$G18,$F18+$E18-$D18)),2,IF(AND(FU$2&gt;=$D18,FU$2&lt;=$E18),1,"")))</f>
        <v/>
      </c>
      <c r="FV18" s="38">
        <f>IF(OR(FV$2="",$D18=""),"",IF(AND(ISNUMBER($F18),FV$2&gt;=$F18,FV$2&lt;=IF(ISNUMBER($G18),$G18,$F18+$E18-$D18)),2,IF(AND(FV$2&gt;=$D18,FV$2&lt;=$E18),1,"")))</f>
        <v/>
      </c>
      <c r="FW18" s="38">
        <f>IF(OR(FW$2="",$D18=""),"",IF(AND(ISNUMBER($F18),FW$2&gt;=$F18,FW$2&lt;=IF(ISNUMBER($G18),$G18,$F18+$E18-$D18)),2,IF(AND(FW$2&gt;=$D18,FW$2&lt;=$E18),1,"")))</f>
        <v/>
      </c>
      <c r="FX18" s="38">
        <f>IF(OR(FX$2="",$D18=""),"",IF(AND(ISNUMBER($F18),FX$2&gt;=$F18,FX$2&lt;=IF(ISNUMBER($G18),$G18,$F18+$E18-$D18)),2,IF(AND(FX$2&gt;=$D18,FX$2&lt;=$E18),1,"")))</f>
        <v/>
      </c>
      <c r="FY18" s="38">
        <f>IF(OR(FY$2="",$D18=""),"",IF(AND(ISNUMBER($F18),FY$2&gt;=$F18,FY$2&lt;=IF(ISNUMBER($G18),$G18,$F18+$E18-$D18)),2,IF(AND(FY$2&gt;=$D18,FY$2&lt;=$E18),1,"")))</f>
        <v/>
      </c>
      <c r="FZ18" s="38">
        <f>IF(OR(FZ$2="",$D18=""),"",IF(AND(ISNUMBER($F18),FZ$2&gt;=$F18,FZ$2&lt;=IF(ISNUMBER($G18),$G18,$F18+$E18-$D18)),2,IF(AND(FZ$2&gt;=$D18,FZ$2&lt;=$E18),1,"")))</f>
        <v/>
      </c>
      <c r="GA18" s="38">
        <f>IF(OR(GA$2="",$D18=""),"",IF(AND(ISNUMBER($F18),GA$2&gt;=$F18,GA$2&lt;=IF(ISNUMBER($G18),$G18,$F18+$E18-$D18)),2,IF(AND(GA$2&gt;=$D18,GA$2&lt;=$E18),1,"")))</f>
        <v/>
      </c>
      <c r="GB18" s="38">
        <f>IF(OR(GB$2="",$D18=""),"",IF(AND(ISNUMBER($F18),GB$2&gt;=$F18,GB$2&lt;=IF(ISNUMBER($G18),$G18,$F18+$E18-$D18)),2,IF(AND(GB$2&gt;=$D18,GB$2&lt;=$E18),1,"")))</f>
        <v/>
      </c>
      <c r="GC18" s="38">
        <f>IF(OR(GC$2="",$D18=""),"",IF(AND(ISNUMBER($F18),GC$2&gt;=$F18,GC$2&lt;=IF(ISNUMBER($G18),$G18,$F18+$E18-$D18)),2,IF(AND(GC$2&gt;=$D18,GC$2&lt;=$E18),1,"")))</f>
        <v/>
      </c>
      <c r="GD18" s="38">
        <f>IF(OR(GD$2="",$D18=""),"",IF(AND(ISNUMBER($F18),GD$2&gt;=$F18,GD$2&lt;=IF(ISNUMBER($G18),$G18,$F18+$E18-$D18)),2,IF(AND(GD$2&gt;=$D18,GD$2&lt;=$E18),1,"")))</f>
        <v/>
      </c>
      <c r="GE18" s="38">
        <f>IF(OR(GE$2="",$D18=""),"",IF(AND(ISNUMBER($F18),GE$2&gt;=$F18,GE$2&lt;=IF(ISNUMBER($G18),$G18,$F18+$E18-$D18)),2,IF(AND(GE$2&gt;=$D18,GE$2&lt;=$E18),1,"")))</f>
        <v/>
      </c>
    </row>
    <row r="19">
      <c r="A19" s="36" t="inlineStr">
        <is>
          <t>Heading</t>
        </is>
      </c>
      <c r="B19" s="12" t="inlineStr">
        <is>
          <t>শীষ বের হওয়া</t>
        </is>
      </c>
      <c r="C19" s="12" t="inlineStr">
        <is>
          <t>3F4D+MD</t>
        </is>
      </c>
      <c r="D19" s="7">
        <f>IF(Day_0="","",Day_0+cfg_6)</f>
        <v/>
      </c>
      <c r="E19" s="7">
        <f>IF(D19="","",D19)</f>
        <v/>
      </c>
      <c r="F19" s="37" t="n"/>
      <c r="G19" s="7" t="n"/>
      <c r="H19" s="6">
        <f>IF(D19="","no plan",IF(F19&lt;&gt;"",IF(F19-D19&gt;=2,"LATE","OK"),IF(TODAY()&gt;D19+2,"OVERDUE","upcoming")))</f>
        <v/>
      </c>
      <c r="I19" s="6">
        <f>IF(AND(D19&lt;&gt;"",F19&lt;&gt;""),F19-D19,"")</f>
        <v/>
      </c>
      <c r="J19" s="7">
        <f>IF(F19&lt;&gt;"",F19,D19)</f>
        <v/>
      </c>
      <c r="K19" s="7">
        <f>IF(G19&lt;&gt;"",G19,IF(AND(F19&lt;&gt;"",E19=D19),F19,E19))</f>
        <v/>
      </c>
      <c r="L19" s="6">
        <f>IF(AND(D19&lt;&gt;"",F19="",D19&gt;=TODAY()),D19+ROW()/1000,"")</f>
        <v/>
      </c>
      <c r="M19" s="38">
        <f>IF(OR(M$2="",$D19=""),"",IF(AND(ISNUMBER($F19),M$2&gt;=$F19,M$2&lt;=IF(ISNUMBER($G19),$G19,$F19+$E19-$D19)),2,IF(AND(M$2&gt;=$D19,M$2&lt;=$E19),1,"")))</f>
        <v/>
      </c>
      <c r="N19" s="38">
        <f>IF(OR(N$2="",$D19=""),"",IF(AND(ISNUMBER($F19),N$2&gt;=$F19,N$2&lt;=IF(ISNUMBER($G19),$G19,$F19+$E19-$D19)),2,IF(AND(N$2&gt;=$D19,N$2&lt;=$E19),1,"")))</f>
        <v/>
      </c>
      <c r="O19" s="38">
        <f>IF(OR(O$2="",$D19=""),"",IF(AND(ISNUMBER($F19),O$2&gt;=$F19,O$2&lt;=IF(ISNUMBER($G19),$G19,$F19+$E19-$D19)),2,IF(AND(O$2&gt;=$D19,O$2&lt;=$E19),1,"")))</f>
        <v/>
      </c>
      <c r="P19" s="38">
        <f>IF(OR(P$2="",$D19=""),"",IF(AND(ISNUMBER($F19),P$2&gt;=$F19,P$2&lt;=IF(ISNUMBER($G19),$G19,$F19+$E19-$D19)),2,IF(AND(P$2&gt;=$D19,P$2&lt;=$E19),1,"")))</f>
        <v/>
      </c>
      <c r="Q19" s="38">
        <f>IF(OR(Q$2="",$D19=""),"",IF(AND(ISNUMBER($F19),Q$2&gt;=$F19,Q$2&lt;=IF(ISNUMBER($G19),$G19,$F19+$E19-$D19)),2,IF(AND(Q$2&gt;=$D19,Q$2&lt;=$E19),1,"")))</f>
        <v/>
      </c>
      <c r="R19" s="38">
        <f>IF(OR(R$2="",$D19=""),"",IF(AND(ISNUMBER($F19),R$2&gt;=$F19,R$2&lt;=IF(ISNUMBER($G19),$G19,$F19+$E19-$D19)),2,IF(AND(R$2&gt;=$D19,R$2&lt;=$E19),1,"")))</f>
        <v/>
      </c>
      <c r="S19" s="38">
        <f>IF(OR(S$2="",$D19=""),"",IF(AND(ISNUMBER($F19),S$2&gt;=$F19,S$2&lt;=IF(ISNUMBER($G19),$G19,$F19+$E19-$D19)),2,IF(AND(S$2&gt;=$D19,S$2&lt;=$E19),1,"")))</f>
        <v/>
      </c>
      <c r="T19" s="38">
        <f>IF(OR(T$2="",$D19=""),"",IF(AND(ISNUMBER($F19),T$2&gt;=$F19,T$2&lt;=IF(ISNUMBER($G19),$G19,$F19+$E19-$D19)),2,IF(AND(T$2&gt;=$D19,T$2&lt;=$E19),1,"")))</f>
        <v/>
      </c>
      <c r="U19" s="38">
        <f>IF(OR(U$2="",$D19=""),"",IF(AND(ISNUMBER($F19),U$2&gt;=$F19,U$2&lt;=IF(ISNUMBER($G19),$G19,$F19+$E19-$D19)),2,IF(AND(U$2&gt;=$D19,U$2&lt;=$E19),1,"")))</f>
        <v/>
      </c>
      <c r="V19" s="38">
        <f>IF(OR(V$2="",$D19=""),"",IF(AND(ISNUMBER($F19),V$2&gt;=$F19,V$2&lt;=IF(ISNUMBER($G19),$G19,$F19+$E19-$D19)),2,IF(AND(V$2&gt;=$D19,V$2&lt;=$E19),1,"")))</f>
        <v/>
      </c>
      <c r="W19" s="38">
        <f>IF(OR(W$2="",$D19=""),"",IF(AND(ISNUMBER($F19),W$2&gt;=$F19,W$2&lt;=IF(ISNUMBER($G19),$G19,$F19+$E19-$D19)),2,IF(AND(W$2&gt;=$D19,W$2&lt;=$E19),1,"")))</f>
        <v/>
      </c>
      <c r="X19" s="38">
        <f>IF(OR(X$2="",$D19=""),"",IF(AND(ISNUMBER($F19),X$2&gt;=$F19,X$2&lt;=IF(ISNUMBER($G19),$G19,$F19+$E19-$D19)),2,IF(AND(X$2&gt;=$D19,X$2&lt;=$E19),1,"")))</f>
        <v/>
      </c>
      <c r="Y19" s="38">
        <f>IF(OR(Y$2="",$D19=""),"",IF(AND(ISNUMBER($F19),Y$2&gt;=$F19,Y$2&lt;=IF(ISNUMBER($G19),$G19,$F19+$E19-$D19)),2,IF(AND(Y$2&gt;=$D19,Y$2&lt;=$E19),1,"")))</f>
        <v/>
      </c>
      <c r="Z19" s="38">
        <f>IF(OR(Z$2="",$D19=""),"",IF(AND(ISNUMBER($F19),Z$2&gt;=$F19,Z$2&lt;=IF(ISNUMBER($G19),$G19,$F19+$E19-$D19)),2,IF(AND(Z$2&gt;=$D19,Z$2&lt;=$E19),1,"")))</f>
        <v/>
      </c>
      <c r="AA19" s="38">
        <f>IF(OR(AA$2="",$D19=""),"",IF(AND(ISNUMBER($F19),AA$2&gt;=$F19,AA$2&lt;=IF(ISNUMBER($G19),$G19,$F19+$E19-$D19)),2,IF(AND(AA$2&gt;=$D19,AA$2&lt;=$E19),1,"")))</f>
        <v/>
      </c>
      <c r="AB19" s="38">
        <f>IF(OR(AB$2="",$D19=""),"",IF(AND(ISNUMBER($F19),AB$2&gt;=$F19,AB$2&lt;=IF(ISNUMBER($G19),$G19,$F19+$E19-$D19)),2,IF(AND(AB$2&gt;=$D19,AB$2&lt;=$E19),1,"")))</f>
        <v/>
      </c>
      <c r="AC19" s="38">
        <f>IF(OR(AC$2="",$D19=""),"",IF(AND(ISNUMBER($F19),AC$2&gt;=$F19,AC$2&lt;=IF(ISNUMBER($G19),$G19,$F19+$E19-$D19)),2,IF(AND(AC$2&gt;=$D19,AC$2&lt;=$E19),1,"")))</f>
        <v/>
      </c>
      <c r="AD19" s="38">
        <f>IF(OR(AD$2="",$D19=""),"",IF(AND(ISNUMBER($F19),AD$2&gt;=$F19,AD$2&lt;=IF(ISNUMBER($G19),$G19,$F19+$E19-$D19)),2,IF(AND(AD$2&gt;=$D19,AD$2&lt;=$E19),1,"")))</f>
        <v/>
      </c>
      <c r="AE19" s="38">
        <f>IF(OR(AE$2="",$D19=""),"",IF(AND(ISNUMBER($F19),AE$2&gt;=$F19,AE$2&lt;=IF(ISNUMBER($G19),$G19,$F19+$E19-$D19)),2,IF(AND(AE$2&gt;=$D19,AE$2&lt;=$E19),1,"")))</f>
        <v/>
      </c>
      <c r="AF19" s="38">
        <f>IF(OR(AF$2="",$D19=""),"",IF(AND(ISNUMBER($F19),AF$2&gt;=$F19,AF$2&lt;=IF(ISNUMBER($G19),$G19,$F19+$E19-$D19)),2,IF(AND(AF$2&gt;=$D19,AF$2&lt;=$E19),1,"")))</f>
        <v/>
      </c>
      <c r="AG19" s="38">
        <f>IF(OR(AG$2="",$D19=""),"",IF(AND(ISNUMBER($F19),AG$2&gt;=$F19,AG$2&lt;=IF(ISNUMBER($G19),$G19,$F19+$E19-$D19)),2,IF(AND(AG$2&gt;=$D19,AG$2&lt;=$E19),1,"")))</f>
        <v/>
      </c>
      <c r="AH19" s="38">
        <f>IF(OR(AH$2="",$D19=""),"",IF(AND(ISNUMBER($F19),AH$2&gt;=$F19,AH$2&lt;=IF(ISNUMBER($G19),$G19,$F19+$E19-$D19)),2,IF(AND(AH$2&gt;=$D19,AH$2&lt;=$E19),1,"")))</f>
        <v/>
      </c>
      <c r="AI19" s="38">
        <f>IF(OR(AI$2="",$D19=""),"",IF(AND(ISNUMBER($F19),AI$2&gt;=$F19,AI$2&lt;=IF(ISNUMBER($G19),$G19,$F19+$E19-$D19)),2,IF(AND(AI$2&gt;=$D19,AI$2&lt;=$E19),1,"")))</f>
        <v/>
      </c>
      <c r="AJ19" s="38">
        <f>IF(OR(AJ$2="",$D19=""),"",IF(AND(ISNUMBER($F19),AJ$2&gt;=$F19,AJ$2&lt;=IF(ISNUMBER($G19),$G19,$F19+$E19-$D19)),2,IF(AND(AJ$2&gt;=$D19,AJ$2&lt;=$E19),1,"")))</f>
        <v/>
      </c>
      <c r="AK19" s="38">
        <f>IF(OR(AK$2="",$D19=""),"",IF(AND(ISNUMBER($F19),AK$2&gt;=$F19,AK$2&lt;=IF(ISNUMBER($G19),$G19,$F19+$E19-$D19)),2,IF(AND(AK$2&gt;=$D19,AK$2&lt;=$E19),1,"")))</f>
        <v/>
      </c>
      <c r="AL19" s="38">
        <f>IF(OR(AL$2="",$D19=""),"",IF(AND(ISNUMBER($F19),AL$2&gt;=$F19,AL$2&lt;=IF(ISNUMBER($G19),$G19,$F19+$E19-$D19)),2,IF(AND(AL$2&gt;=$D19,AL$2&lt;=$E19),1,"")))</f>
        <v/>
      </c>
      <c r="AM19" s="38">
        <f>IF(OR(AM$2="",$D19=""),"",IF(AND(ISNUMBER($F19),AM$2&gt;=$F19,AM$2&lt;=IF(ISNUMBER($G19),$G19,$F19+$E19-$D19)),2,IF(AND(AM$2&gt;=$D19,AM$2&lt;=$E19),1,"")))</f>
        <v/>
      </c>
      <c r="AN19" s="38">
        <f>IF(OR(AN$2="",$D19=""),"",IF(AND(ISNUMBER($F19),AN$2&gt;=$F19,AN$2&lt;=IF(ISNUMBER($G19),$G19,$F19+$E19-$D19)),2,IF(AND(AN$2&gt;=$D19,AN$2&lt;=$E19),1,"")))</f>
        <v/>
      </c>
      <c r="AO19" s="38">
        <f>IF(OR(AO$2="",$D19=""),"",IF(AND(ISNUMBER($F19),AO$2&gt;=$F19,AO$2&lt;=IF(ISNUMBER($G19),$G19,$F19+$E19-$D19)),2,IF(AND(AO$2&gt;=$D19,AO$2&lt;=$E19),1,"")))</f>
        <v/>
      </c>
      <c r="AP19" s="38">
        <f>IF(OR(AP$2="",$D19=""),"",IF(AND(ISNUMBER($F19),AP$2&gt;=$F19,AP$2&lt;=IF(ISNUMBER($G19),$G19,$F19+$E19-$D19)),2,IF(AND(AP$2&gt;=$D19,AP$2&lt;=$E19),1,"")))</f>
        <v/>
      </c>
      <c r="AQ19" s="38">
        <f>IF(OR(AQ$2="",$D19=""),"",IF(AND(ISNUMBER($F19),AQ$2&gt;=$F19,AQ$2&lt;=IF(ISNUMBER($G19),$G19,$F19+$E19-$D19)),2,IF(AND(AQ$2&gt;=$D19,AQ$2&lt;=$E19),1,"")))</f>
        <v/>
      </c>
      <c r="AR19" s="38">
        <f>IF(OR(AR$2="",$D19=""),"",IF(AND(ISNUMBER($F19),AR$2&gt;=$F19,AR$2&lt;=IF(ISNUMBER($G19),$G19,$F19+$E19-$D19)),2,IF(AND(AR$2&gt;=$D19,AR$2&lt;=$E19),1,"")))</f>
        <v/>
      </c>
      <c r="AS19" s="38">
        <f>IF(OR(AS$2="",$D19=""),"",IF(AND(ISNUMBER($F19),AS$2&gt;=$F19,AS$2&lt;=IF(ISNUMBER($G19),$G19,$F19+$E19-$D19)),2,IF(AND(AS$2&gt;=$D19,AS$2&lt;=$E19),1,"")))</f>
        <v/>
      </c>
      <c r="AT19" s="38">
        <f>IF(OR(AT$2="",$D19=""),"",IF(AND(ISNUMBER($F19),AT$2&gt;=$F19,AT$2&lt;=IF(ISNUMBER($G19),$G19,$F19+$E19-$D19)),2,IF(AND(AT$2&gt;=$D19,AT$2&lt;=$E19),1,"")))</f>
        <v/>
      </c>
      <c r="AU19" s="38">
        <f>IF(OR(AU$2="",$D19=""),"",IF(AND(ISNUMBER($F19),AU$2&gt;=$F19,AU$2&lt;=IF(ISNUMBER($G19),$G19,$F19+$E19-$D19)),2,IF(AND(AU$2&gt;=$D19,AU$2&lt;=$E19),1,"")))</f>
        <v/>
      </c>
      <c r="AV19" s="38">
        <f>IF(OR(AV$2="",$D19=""),"",IF(AND(ISNUMBER($F19),AV$2&gt;=$F19,AV$2&lt;=IF(ISNUMBER($G19),$G19,$F19+$E19-$D19)),2,IF(AND(AV$2&gt;=$D19,AV$2&lt;=$E19),1,"")))</f>
        <v/>
      </c>
      <c r="AW19" s="38">
        <f>IF(OR(AW$2="",$D19=""),"",IF(AND(ISNUMBER($F19),AW$2&gt;=$F19,AW$2&lt;=IF(ISNUMBER($G19),$G19,$F19+$E19-$D19)),2,IF(AND(AW$2&gt;=$D19,AW$2&lt;=$E19),1,"")))</f>
        <v/>
      </c>
      <c r="AX19" s="38">
        <f>IF(OR(AX$2="",$D19=""),"",IF(AND(ISNUMBER($F19),AX$2&gt;=$F19,AX$2&lt;=IF(ISNUMBER($G19),$G19,$F19+$E19-$D19)),2,IF(AND(AX$2&gt;=$D19,AX$2&lt;=$E19),1,"")))</f>
        <v/>
      </c>
      <c r="AY19" s="38">
        <f>IF(OR(AY$2="",$D19=""),"",IF(AND(ISNUMBER($F19),AY$2&gt;=$F19,AY$2&lt;=IF(ISNUMBER($G19),$G19,$F19+$E19-$D19)),2,IF(AND(AY$2&gt;=$D19,AY$2&lt;=$E19),1,"")))</f>
        <v/>
      </c>
      <c r="AZ19" s="38">
        <f>IF(OR(AZ$2="",$D19=""),"",IF(AND(ISNUMBER($F19),AZ$2&gt;=$F19,AZ$2&lt;=IF(ISNUMBER($G19),$G19,$F19+$E19-$D19)),2,IF(AND(AZ$2&gt;=$D19,AZ$2&lt;=$E19),1,"")))</f>
        <v/>
      </c>
      <c r="BA19" s="38">
        <f>IF(OR(BA$2="",$D19=""),"",IF(AND(ISNUMBER($F19),BA$2&gt;=$F19,BA$2&lt;=IF(ISNUMBER($G19),$G19,$F19+$E19-$D19)),2,IF(AND(BA$2&gt;=$D19,BA$2&lt;=$E19),1,"")))</f>
        <v/>
      </c>
      <c r="BB19" s="38">
        <f>IF(OR(BB$2="",$D19=""),"",IF(AND(ISNUMBER($F19),BB$2&gt;=$F19,BB$2&lt;=IF(ISNUMBER($G19),$G19,$F19+$E19-$D19)),2,IF(AND(BB$2&gt;=$D19,BB$2&lt;=$E19),1,"")))</f>
        <v/>
      </c>
      <c r="BC19" s="38">
        <f>IF(OR(BC$2="",$D19=""),"",IF(AND(ISNUMBER($F19),BC$2&gt;=$F19,BC$2&lt;=IF(ISNUMBER($G19),$G19,$F19+$E19-$D19)),2,IF(AND(BC$2&gt;=$D19,BC$2&lt;=$E19),1,"")))</f>
        <v/>
      </c>
      <c r="BD19" s="38">
        <f>IF(OR(BD$2="",$D19=""),"",IF(AND(ISNUMBER($F19),BD$2&gt;=$F19,BD$2&lt;=IF(ISNUMBER($G19),$G19,$F19+$E19-$D19)),2,IF(AND(BD$2&gt;=$D19,BD$2&lt;=$E19),1,"")))</f>
        <v/>
      </c>
      <c r="BE19" s="38">
        <f>IF(OR(BE$2="",$D19=""),"",IF(AND(ISNUMBER($F19),BE$2&gt;=$F19,BE$2&lt;=IF(ISNUMBER($G19),$G19,$F19+$E19-$D19)),2,IF(AND(BE$2&gt;=$D19,BE$2&lt;=$E19),1,"")))</f>
        <v/>
      </c>
      <c r="BF19" s="38">
        <f>IF(OR(BF$2="",$D19=""),"",IF(AND(ISNUMBER($F19),BF$2&gt;=$F19,BF$2&lt;=IF(ISNUMBER($G19),$G19,$F19+$E19-$D19)),2,IF(AND(BF$2&gt;=$D19,BF$2&lt;=$E19),1,"")))</f>
        <v/>
      </c>
      <c r="BG19" s="38">
        <f>IF(OR(BG$2="",$D19=""),"",IF(AND(ISNUMBER($F19),BG$2&gt;=$F19,BG$2&lt;=IF(ISNUMBER($G19),$G19,$F19+$E19-$D19)),2,IF(AND(BG$2&gt;=$D19,BG$2&lt;=$E19),1,"")))</f>
        <v/>
      </c>
      <c r="BH19" s="38">
        <f>IF(OR(BH$2="",$D19=""),"",IF(AND(ISNUMBER($F19),BH$2&gt;=$F19,BH$2&lt;=IF(ISNUMBER($G19),$G19,$F19+$E19-$D19)),2,IF(AND(BH$2&gt;=$D19,BH$2&lt;=$E19),1,"")))</f>
        <v/>
      </c>
      <c r="BI19" s="38">
        <f>IF(OR(BI$2="",$D19=""),"",IF(AND(ISNUMBER($F19),BI$2&gt;=$F19,BI$2&lt;=IF(ISNUMBER($G19),$G19,$F19+$E19-$D19)),2,IF(AND(BI$2&gt;=$D19,BI$2&lt;=$E19),1,"")))</f>
        <v/>
      </c>
      <c r="BJ19" s="38">
        <f>IF(OR(BJ$2="",$D19=""),"",IF(AND(ISNUMBER($F19),BJ$2&gt;=$F19,BJ$2&lt;=IF(ISNUMBER($G19),$G19,$F19+$E19-$D19)),2,IF(AND(BJ$2&gt;=$D19,BJ$2&lt;=$E19),1,"")))</f>
        <v/>
      </c>
      <c r="BK19" s="38">
        <f>IF(OR(BK$2="",$D19=""),"",IF(AND(ISNUMBER($F19),BK$2&gt;=$F19,BK$2&lt;=IF(ISNUMBER($G19),$G19,$F19+$E19-$D19)),2,IF(AND(BK$2&gt;=$D19,BK$2&lt;=$E19),1,"")))</f>
        <v/>
      </c>
      <c r="BL19" s="38">
        <f>IF(OR(BL$2="",$D19=""),"",IF(AND(ISNUMBER($F19),BL$2&gt;=$F19,BL$2&lt;=IF(ISNUMBER($G19),$G19,$F19+$E19-$D19)),2,IF(AND(BL$2&gt;=$D19,BL$2&lt;=$E19),1,"")))</f>
        <v/>
      </c>
      <c r="BM19" s="38">
        <f>IF(OR(BM$2="",$D19=""),"",IF(AND(ISNUMBER($F19),BM$2&gt;=$F19,BM$2&lt;=IF(ISNUMBER($G19),$G19,$F19+$E19-$D19)),2,IF(AND(BM$2&gt;=$D19,BM$2&lt;=$E19),1,"")))</f>
        <v/>
      </c>
      <c r="BN19" s="38">
        <f>IF(OR(BN$2="",$D19=""),"",IF(AND(ISNUMBER($F19),BN$2&gt;=$F19,BN$2&lt;=IF(ISNUMBER($G19),$G19,$F19+$E19-$D19)),2,IF(AND(BN$2&gt;=$D19,BN$2&lt;=$E19),1,"")))</f>
        <v/>
      </c>
      <c r="BO19" s="38">
        <f>IF(OR(BO$2="",$D19=""),"",IF(AND(ISNUMBER($F19),BO$2&gt;=$F19,BO$2&lt;=IF(ISNUMBER($G19),$G19,$F19+$E19-$D19)),2,IF(AND(BO$2&gt;=$D19,BO$2&lt;=$E19),1,"")))</f>
        <v/>
      </c>
      <c r="BP19" s="38">
        <f>IF(OR(BP$2="",$D19=""),"",IF(AND(ISNUMBER($F19),BP$2&gt;=$F19,BP$2&lt;=IF(ISNUMBER($G19),$G19,$F19+$E19-$D19)),2,IF(AND(BP$2&gt;=$D19,BP$2&lt;=$E19),1,"")))</f>
        <v/>
      </c>
      <c r="BQ19" s="38">
        <f>IF(OR(BQ$2="",$D19=""),"",IF(AND(ISNUMBER($F19),BQ$2&gt;=$F19,BQ$2&lt;=IF(ISNUMBER($G19),$G19,$F19+$E19-$D19)),2,IF(AND(BQ$2&gt;=$D19,BQ$2&lt;=$E19),1,"")))</f>
        <v/>
      </c>
      <c r="BR19" s="38">
        <f>IF(OR(BR$2="",$D19=""),"",IF(AND(ISNUMBER($F19),BR$2&gt;=$F19,BR$2&lt;=IF(ISNUMBER($G19),$G19,$F19+$E19-$D19)),2,IF(AND(BR$2&gt;=$D19,BR$2&lt;=$E19),1,"")))</f>
        <v/>
      </c>
      <c r="BS19" s="38">
        <f>IF(OR(BS$2="",$D19=""),"",IF(AND(ISNUMBER($F19),BS$2&gt;=$F19,BS$2&lt;=IF(ISNUMBER($G19),$G19,$F19+$E19-$D19)),2,IF(AND(BS$2&gt;=$D19,BS$2&lt;=$E19),1,"")))</f>
        <v/>
      </c>
      <c r="BT19" s="38">
        <f>IF(OR(BT$2="",$D19=""),"",IF(AND(ISNUMBER($F19),BT$2&gt;=$F19,BT$2&lt;=IF(ISNUMBER($G19),$G19,$F19+$E19-$D19)),2,IF(AND(BT$2&gt;=$D19,BT$2&lt;=$E19),1,"")))</f>
        <v/>
      </c>
      <c r="BU19" s="38">
        <f>IF(OR(BU$2="",$D19=""),"",IF(AND(ISNUMBER($F19),BU$2&gt;=$F19,BU$2&lt;=IF(ISNUMBER($G19),$G19,$F19+$E19-$D19)),2,IF(AND(BU$2&gt;=$D19,BU$2&lt;=$E19),1,"")))</f>
        <v/>
      </c>
      <c r="BV19" s="38">
        <f>IF(OR(BV$2="",$D19=""),"",IF(AND(ISNUMBER($F19),BV$2&gt;=$F19,BV$2&lt;=IF(ISNUMBER($G19),$G19,$F19+$E19-$D19)),2,IF(AND(BV$2&gt;=$D19,BV$2&lt;=$E19),1,"")))</f>
        <v/>
      </c>
      <c r="BW19" s="38">
        <f>IF(OR(BW$2="",$D19=""),"",IF(AND(ISNUMBER($F19),BW$2&gt;=$F19,BW$2&lt;=IF(ISNUMBER($G19),$G19,$F19+$E19-$D19)),2,IF(AND(BW$2&gt;=$D19,BW$2&lt;=$E19),1,"")))</f>
        <v/>
      </c>
      <c r="BX19" s="38">
        <f>IF(OR(BX$2="",$D19=""),"",IF(AND(ISNUMBER($F19),BX$2&gt;=$F19,BX$2&lt;=IF(ISNUMBER($G19),$G19,$F19+$E19-$D19)),2,IF(AND(BX$2&gt;=$D19,BX$2&lt;=$E19),1,"")))</f>
        <v/>
      </c>
      <c r="BY19" s="38">
        <f>IF(OR(BY$2="",$D19=""),"",IF(AND(ISNUMBER($F19),BY$2&gt;=$F19,BY$2&lt;=IF(ISNUMBER($G19),$G19,$F19+$E19-$D19)),2,IF(AND(BY$2&gt;=$D19,BY$2&lt;=$E19),1,"")))</f>
        <v/>
      </c>
      <c r="BZ19" s="38">
        <f>IF(OR(BZ$2="",$D19=""),"",IF(AND(ISNUMBER($F19),BZ$2&gt;=$F19,BZ$2&lt;=IF(ISNUMBER($G19),$G19,$F19+$E19-$D19)),2,IF(AND(BZ$2&gt;=$D19,BZ$2&lt;=$E19),1,"")))</f>
        <v/>
      </c>
      <c r="CA19" s="38">
        <f>IF(OR(CA$2="",$D19=""),"",IF(AND(ISNUMBER($F19),CA$2&gt;=$F19,CA$2&lt;=IF(ISNUMBER($G19),$G19,$F19+$E19-$D19)),2,IF(AND(CA$2&gt;=$D19,CA$2&lt;=$E19),1,"")))</f>
        <v/>
      </c>
      <c r="CB19" s="38">
        <f>IF(OR(CB$2="",$D19=""),"",IF(AND(ISNUMBER($F19),CB$2&gt;=$F19,CB$2&lt;=IF(ISNUMBER($G19),$G19,$F19+$E19-$D19)),2,IF(AND(CB$2&gt;=$D19,CB$2&lt;=$E19),1,"")))</f>
        <v/>
      </c>
      <c r="CC19" s="38">
        <f>IF(OR(CC$2="",$D19=""),"",IF(AND(ISNUMBER($F19),CC$2&gt;=$F19,CC$2&lt;=IF(ISNUMBER($G19),$G19,$F19+$E19-$D19)),2,IF(AND(CC$2&gt;=$D19,CC$2&lt;=$E19),1,"")))</f>
        <v/>
      </c>
      <c r="CD19" s="38">
        <f>IF(OR(CD$2="",$D19=""),"",IF(AND(ISNUMBER($F19),CD$2&gt;=$F19,CD$2&lt;=IF(ISNUMBER($G19),$G19,$F19+$E19-$D19)),2,IF(AND(CD$2&gt;=$D19,CD$2&lt;=$E19),1,"")))</f>
        <v/>
      </c>
      <c r="CE19" s="38">
        <f>IF(OR(CE$2="",$D19=""),"",IF(AND(ISNUMBER($F19),CE$2&gt;=$F19,CE$2&lt;=IF(ISNUMBER($G19),$G19,$F19+$E19-$D19)),2,IF(AND(CE$2&gt;=$D19,CE$2&lt;=$E19),1,"")))</f>
        <v/>
      </c>
      <c r="CF19" s="38">
        <f>IF(OR(CF$2="",$D19=""),"",IF(AND(ISNUMBER($F19),CF$2&gt;=$F19,CF$2&lt;=IF(ISNUMBER($G19),$G19,$F19+$E19-$D19)),2,IF(AND(CF$2&gt;=$D19,CF$2&lt;=$E19),1,"")))</f>
        <v/>
      </c>
      <c r="CG19" s="38">
        <f>IF(OR(CG$2="",$D19=""),"",IF(AND(ISNUMBER($F19),CG$2&gt;=$F19,CG$2&lt;=IF(ISNUMBER($G19),$G19,$F19+$E19-$D19)),2,IF(AND(CG$2&gt;=$D19,CG$2&lt;=$E19),1,"")))</f>
        <v/>
      </c>
      <c r="CH19" s="38">
        <f>IF(OR(CH$2="",$D19=""),"",IF(AND(ISNUMBER($F19),CH$2&gt;=$F19,CH$2&lt;=IF(ISNUMBER($G19),$G19,$F19+$E19-$D19)),2,IF(AND(CH$2&gt;=$D19,CH$2&lt;=$E19),1,"")))</f>
        <v/>
      </c>
      <c r="CI19" s="38">
        <f>IF(OR(CI$2="",$D19=""),"",IF(AND(ISNUMBER($F19),CI$2&gt;=$F19,CI$2&lt;=IF(ISNUMBER($G19),$G19,$F19+$E19-$D19)),2,IF(AND(CI$2&gt;=$D19,CI$2&lt;=$E19),1,"")))</f>
        <v/>
      </c>
      <c r="CJ19" s="38">
        <f>IF(OR(CJ$2="",$D19=""),"",IF(AND(ISNUMBER($F19),CJ$2&gt;=$F19,CJ$2&lt;=IF(ISNUMBER($G19),$G19,$F19+$E19-$D19)),2,IF(AND(CJ$2&gt;=$D19,CJ$2&lt;=$E19),1,"")))</f>
        <v/>
      </c>
      <c r="CK19" s="38">
        <f>IF(OR(CK$2="",$D19=""),"",IF(AND(ISNUMBER($F19),CK$2&gt;=$F19,CK$2&lt;=IF(ISNUMBER($G19),$G19,$F19+$E19-$D19)),2,IF(AND(CK$2&gt;=$D19,CK$2&lt;=$E19),1,"")))</f>
        <v/>
      </c>
      <c r="CL19" s="38">
        <f>IF(OR(CL$2="",$D19=""),"",IF(AND(ISNUMBER($F19),CL$2&gt;=$F19,CL$2&lt;=IF(ISNUMBER($G19),$G19,$F19+$E19-$D19)),2,IF(AND(CL$2&gt;=$D19,CL$2&lt;=$E19),1,"")))</f>
        <v/>
      </c>
      <c r="CM19" s="38">
        <f>IF(OR(CM$2="",$D19=""),"",IF(AND(ISNUMBER($F19),CM$2&gt;=$F19,CM$2&lt;=IF(ISNUMBER($G19),$G19,$F19+$E19-$D19)),2,IF(AND(CM$2&gt;=$D19,CM$2&lt;=$E19),1,"")))</f>
        <v/>
      </c>
      <c r="CN19" s="38">
        <f>IF(OR(CN$2="",$D19=""),"",IF(AND(ISNUMBER($F19),CN$2&gt;=$F19,CN$2&lt;=IF(ISNUMBER($G19),$G19,$F19+$E19-$D19)),2,IF(AND(CN$2&gt;=$D19,CN$2&lt;=$E19),1,"")))</f>
        <v/>
      </c>
      <c r="CO19" s="38">
        <f>IF(OR(CO$2="",$D19=""),"",IF(AND(ISNUMBER($F19),CO$2&gt;=$F19,CO$2&lt;=IF(ISNUMBER($G19),$G19,$F19+$E19-$D19)),2,IF(AND(CO$2&gt;=$D19,CO$2&lt;=$E19),1,"")))</f>
        <v/>
      </c>
      <c r="CP19" s="38">
        <f>IF(OR(CP$2="",$D19=""),"",IF(AND(ISNUMBER($F19),CP$2&gt;=$F19,CP$2&lt;=IF(ISNUMBER($G19),$G19,$F19+$E19-$D19)),2,IF(AND(CP$2&gt;=$D19,CP$2&lt;=$E19),1,"")))</f>
        <v/>
      </c>
      <c r="CQ19" s="38">
        <f>IF(OR(CQ$2="",$D19=""),"",IF(AND(ISNUMBER($F19),CQ$2&gt;=$F19,CQ$2&lt;=IF(ISNUMBER($G19),$G19,$F19+$E19-$D19)),2,IF(AND(CQ$2&gt;=$D19,CQ$2&lt;=$E19),1,"")))</f>
        <v/>
      </c>
      <c r="CR19" s="38">
        <f>IF(OR(CR$2="",$D19=""),"",IF(AND(ISNUMBER($F19),CR$2&gt;=$F19,CR$2&lt;=IF(ISNUMBER($G19),$G19,$F19+$E19-$D19)),2,IF(AND(CR$2&gt;=$D19,CR$2&lt;=$E19),1,"")))</f>
        <v/>
      </c>
      <c r="CS19" s="38">
        <f>IF(OR(CS$2="",$D19=""),"",IF(AND(ISNUMBER($F19),CS$2&gt;=$F19,CS$2&lt;=IF(ISNUMBER($G19),$G19,$F19+$E19-$D19)),2,IF(AND(CS$2&gt;=$D19,CS$2&lt;=$E19),1,"")))</f>
        <v/>
      </c>
      <c r="CT19" s="38">
        <f>IF(OR(CT$2="",$D19=""),"",IF(AND(ISNUMBER($F19),CT$2&gt;=$F19,CT$2&lt;=IF(ISNUMBER($G19),$G19,$F19+$E19-$D19)),2,IF(AND(CT$2&gt;=$D19,CT$2&lt;=$E19),1,"")))</f>
        <v/>
      </c>
      <c r="CU19" s="38">
        <f>IF(OR(CU$2="",$D19=""),"",IF(AND(ISNUMBER($F19),CU$2&gt;=$F19,CU$2&lt;=IF(ISNUMBER($G19),$G19,$F19+$E19-$D19)),2,IF(AND(CU$2&gt;=$D19,CU$2&lt;=$E19),1,"")))</f>
        <v/>
      </c>
      <c r="CV19" s="38">
        <f>IF(OR(CV$2="",$D19=""),"",IF(AND(ISNUMBER($F19),CV$2&gt;=$F19,CV$2&lt;=IF(ISNUMBER($G19),$G19,$F19+$E19-$D19)),2,IF(AND(CV$2&gt;=$D19,CV$2&lt;=$E19),1,"")))</f>
        <v/>
      </c>
      <c r="CW19" s="38">
        <f>IF(OR(CW$2="",$D19=""),"",IF(AND(ISNUMBER($F19),CW$2&gt;=$F19,CW$2&lt;=IF(ISNUMBER($G19),$G19,$F19+$E19-$D19)),2,IF(AND(CW$2&gt;=$D19,CW$2&lt;=$E19),1,"")))</f>
        <v/>
      </c>
      <c r="CX19" s="38">
        <f>IF(OR(CX$2="",$D19=""),"",IF(AND(ISNUMBER($F19),CX$2&gt;=$F19,CX$2&lt;=IF(ISNUMBER($G19),$G19,$F19+$E19-$D19)),2,IF(AND(CX$2&gt;=$D19,CX$2&lt;=$E19),1,"")))</f>
        <v/>
      </c>
      <c r="CY19" s="38">
        <f>IF(OR(CY$2="",$D19=""),"",IF(AND(ISNUMBER($F19),CY$2&gt;=$F19,CY$2&lt;=IF(ISNUMBER($G19),$G19,$F19+$E19-$D19)),2,IF(AND(CY$2&gt;=$D19,CY$2&lt;=$E19),1,"")))</f>
        <v/>
      </c>
      <c r="CZ19" s="38">
        <f>IF(OR(CZ$2="",$D19=""),"",IF(AND(ISNUMBER($F19),CZ$2&gt;=$F19,CZ$2&lt;=IF(ISNUMBER($G19),$G19,$F19+$E19-$D19)),2,IF(AND(CZ$2&gt;=$D19,CZ$2&lt;=$E19),1,"")))</f>
        <v/>
      </c>
      <c r="DA19" s="38">
        <f>IF(OR(DA$2="",$D19=""),"",IF(AND(ISNUMBER($F19),DA$2&gt;=$F19,DA$2&lt;=IF(ISNUMBER($G19),$G19,$F19+$E19-$D19)),2,IF(AND(DA$2&gt;=$D19,DA$2&lt;=$E19),1,"")))</f>
        <v/>
      </c>
      <c r="DB19" s="38">
        <f>IF(OR(DB$2="",$D19=""),"",IF(AND(ISNUMBER($F19),DB$2&gt;=$F19,DB$2&lt;=IF(ISNUMBER($G19),$G19,$F19+$E19-$D19)),2,IF(AND(DB$2&gt;=$D19,DB$2&lt;=$E19),1,"")))</f>
        <v/>
      </c>
      <c r="DC19" s="38">
        <f>IF(OR(DC$2="",$D19=""),"",IF(AND(ISNUMBER($F19),DC$2&gt;=$F19,DC$2&lt;=IF(ISNUMBER($G19),$G19,$F19+$E19-$D19)),2,IF(AND(DC$2&gt;=$D19,DC$2&lt;=$E19),1,"")))</f>
        <v/>
      </c>
      <c r="DD19" s="38">
        <f>IF(OR(DD$2="",$D19=""),"",IF(AND(ISNUMBER($F19),DD$2&gt;=$F19,DD$2&lt;=IF(ISNUMBER($G19),$G19,$F19+$E19-$D19)),2,IF(AND(DD$2&gt;=$D19,DD$2&lt;=$E19),1,"")))</f>
        <v/>
      </c>
      <c r="DE19" s="38">
        <f>IF(OR(DE$2="",$D19=""),"",IF(AND(ISNUMBER($F19),DE$2&gt;=$F19,DE$2&lt;=IF(ISNUMBER($G19),$G19,$F19+$E19-$D19)),2,IF(AND(DE$2&gt;=$D19,DE$2&lt;=$E19),1,"")))</f>
        <v/>
      </c>
      <c r="DF19" s="38">
        <f>IF(OR(DF$2="",$D19=""),"",IF(AND(ISNUMBER($F19),DF$2&gt;=$F19,DF$2&lt;=IF(ISNUMBER($G19),$G19,$F19+$E19-$D19)),2,IF(AND(DF$2&gt;=$D19,DF$2&lt;=$E19),1,"")))</f>
        <v/>
      </c>
      <c r="DG19" s="38">
        <f>IF(OR(DG$2="",$D19=""),"",IF(AND(ISNUMBER($F19),DG$2&gt;=$F19,DG$2&lt;=IF(ISNUMBER($G19),$G19,$F19+$E19-$D19)),2,IF(AND(DG$2&gt;=$D19,DG$2&lt;=$E19),1,"")))</f>
        <v/>
      </c>
      <c r="DH19" s="38">
        <f>IF(OR(DH$2="",$D19=""),"",IF(AND(ISNUMBER($F19),DH$2&gt;=$F19,DH$2&lt;=IF(ISNUMBER($G19),$G19,$F19+$E19-$D19)),2,IF(AND(DH$2&gt;=$D19,DH$2&lt;=$E19),1,"")))</f>
        <v/>
      </c>
      <c r="DI19" s="38">
        <f>IF(OR(DI$2="",$D19=""),"",IF(AND(ISNUMBER($F19),DI$2&gt;=$F19,DI$2&lt;=IF(ISNUMBER($G19),$G19,$F19+$E19-$D19)),2,IF(AND(DI$2&gt;=$D19,DI$2&lt;=$E19),1,"")))</f>
        <v/>
      </c>
      <c r="DJ19" s="38">
        <f>IF(OR(DJ$2="",$D19=""),"",IF(AND(ISNUMBER($F19),DJ$2&gt;=$F19,DJ$2&lt;=IF(ISNUMBER($G19),$G19,$F19+$E19-$D19)),2,IF(AND(DJ$2&gt;=$D19,DJ$2&lt;=$E19),1,"")))</f>
        <v/>
      </c>
      <c r="DK19" s="38">
        <f>IF(OR(DK$2="",$D19=""),"",IF(AND(ISNUMBER($F19),DK$2&gt;=$F19,DK$2&lt;=IF(ISNUMBER($G19),$G19,$F19+$E19-$D19)),2,IF(AND(DK$2&gt;=$D19,DK$2&lt;=$E19),1,"")))</f>
        <v/>
      </c>
      <c r="DL19" s="38">
        <f>IF(OR(DL$2="",$D19=""),"",IF(AND(ISNUMBER($F19),DL$2&gt;=$F19,DL$2&lt;=IF(ISNUMBER($G19),$G19,$F19+$E19-$D19)),2,IF(AND(DL$2&gt;=$D19,DL$2&lt;=$E19),1,"")))</f>
        <v/>
      </c>
      <c r="DM19" s="38">
        <f>IF(OR(DM$2="",$D19=""),"",IF(AND(ISNUMBER($F19),DM$2&gt;=$F19,DM$2&lt;=IF(ISNUMBER($G19),$G19,$F19+$E19-$D19)),2,IF(AND(DM$2&gt;=$D19,DM$2&lt;=$E19),1,"")))</f>
        <v/>
      </c>
      <c r="DN19" s="38">
        <f>IF(OR(DN$2="",$D19=""),"",IF(AND(ISNUMBER($F19),DN$2&gt;=$F19,DN$2&lt;=IF(ISNUMBER($G19),$G19,$F19+$E19-$D19)),2,IF(AND(DN$2&gt;=$D19,DN$2&lt;=$E19),1,"")))</f>
        <v/>
      </c>
      <c r="DO19" s="38">
        <f>IF(OR(DO$2="",$D19=""),"",IF(AND(ISNUMBER($F19),DO$2&gt;=$F19,DO$2&lt;=IF(ISNUMBER($G19),$G19,$F19+$E19-$D19)),2,IF(AND(DO$2&gt;=$D19,DO$2&lt;=$E19),1,"")))</f>
        <v/>
      </c>
      <c r="DP19" s="38">
        <f>IF(OR(DP$2="",$D19=""),"",IF(AND(ISNUMBER($F19),DP$2&gt;=$F19,DP$2&lt;=IF(ISNUMBER($G19),$G19,$F19+$E19-$D19)),2,IF(AND(DP$2&gt;=$D19,DP$2&lt;=$E19),1,"")))</f>
        <v/>
      </c>
      <c r="DQ19" s="38">
        <f>IF(OR(DQ$2="",$D19=""),"",IF(AND(ISNUMBER($F19),DQ$2&gt;=$F19,DQ$2&lt;=IF(ISNUMBER($G19),$G19,$F19+$E19-$D19)),2,IF(AND(DQ$2&gt;=$D19,DQ$2&lt;=$E19),1,"")))</f>
        <v/>
      </c>
      <c r="DR19" s="38">
        <f>IF(OR(DR$2="",$D19=""),"",IF(AND(ISNUMBER($F19),DR$2&gt;=$F19,DR$2&lt;=IF(ISNUMBER($G19),$G19,$F19+$E19-$D19)),2,IF(AND(DR$2&gt;=$D19,DR$2&lt;=$E19),1,"")))</f>
        <v/>
      </c>
      <c r="DS19" s="38">
        <f>IF(OR(DS$2="",$D19=""),"",IF(AND(ISNUMBER($F19),DS$2&gt;=$F19,DS$2&lt;=IF(ISNUMBER($G19),$G19,$F19+$E19-$D19)),2,IF(AND(DS$2&gt;=$D19,DS$2&lt;=$E19),1,"")))</f>
        <v/>
      </c>
      <c r="DT19" s="38">
        <f>IF(OR(DT$2="",$D19=""),"",IF(AND(ISNUMBER($F19),DT$2&gt;=$F19,DT$2&lt;=IF(ISNUMBER($G19),$G19,$F19+$E19-$D19)),2,IF(AND(DT$2&gt;=$D19,DT$2&lt;=$E19),1,"")))</f>
        <v/>
      </c>
      <c r="DU19" s="38">
        <f>IF(OR(DU$2="",$D19=""),"",IF(AND(ISNUMBER($F19),DU$2&gt;=$F19,DU$2&lt;=IF(ISNUMBER($G19),$G19,$F19+$E19-$D19)),2,IF(AND(DU$2&gt;=$D19,DU$2&lt;=$E19),1,"")))</f>
        <v/>
      </c>
      <c r="DV19" s="38">
        <f>IF(OR(DV$2="",$D19=""),"",IF(AND(ISNUMBER($F19),DV$2&gt;=$F19,DV$2&lt;=IF(ISNUMBER($G19),$G19,$F19+$E19-$D19)),2,IF(AND(DV$2&gt;=$D19,DV$2&lt;=$E19),1,"")))</f>
        <v/>
      </c>
      <c r="DW19" s="38">
        <f>IF(OR(DW$2="",$D19=""),"",IF(AND(ISNUMBER($F19),DW$2&gt;=$F19,DW$2&lt;=IF(ISNUMBER($G19),$G19,$F19+$E19-$D19)),2,IF(AND(DW$2&gt;=$D19,DW$2&lt;=$E19),1,"")))</f>
        <v/>
      </c>
      <c r="DX19" s="38">
        <f>IF(OR(DX$2="",$D19=""),"",IF(AND(ISNUMBER($F19),DX$2&gt;=$F19,DX$2&lt;=IF(ISNUMBER($G19),$G19,$F19+$E19-$D19)),2,IF(AND(DX$2&gt;=$D19,DX$2&lt;=$E19),1,"")))</f>
        <v/>
      </c>
      <c r="DY19" s="38">
        <f>IF(OR(DY$2="",$D19=""),"",IF(AND(ISNUMBER($F19),DY$2&gt;=$F19,DY$2&lt;=IF(ISNUMBER($G19),$G19,$F19+$E19-$D19)),2,IF(AND(DY$2&gt;=$D19,DY$2&lt;=$E19),1,"")))</f>
        <v/>
      </c>
      <c r="DZ19" s="38">
        <f>IF(OR(DZ$2="",$D19=""),"",IF(AND(ISNUMBER($F19),DZ$2&gt;=$F19,DZ$2&lt;=IF(ISNUMBER($G19),$G19,$F19+$E19-$D19)),2,IF(AND(DZ$2&gt;=$D19,DZ$2&lt;=$E19),1,"")))</f>
        <v/>
      </c>
      <c r="EA19" s="38">
        <f>IF(OR(EA$2="",$D19=""),"",IF(AND(ISNUMBER($F19),EA$2&gt;=$F19,EA$2&lt;=IF(ISNUMBER($G19),$G19,$F19+$E19-$D19)),2,IF(AND(EA$2&gt;=$D19,EA$2&lt;=$E19),1,"")))</f>
        <v/>
      </c>
      <c r="EB19" s="38">
        <f>IF(OR(EB$2="",$D19=""),"",IF(AND(ISNUMBER($F19),EB$2&gt;=$F19,EB$2&lt;=IF(ISNUMBER($G19),$G19,$F19+$E19-$D19)),2,IF(AND(EB$2&gt;=$D19,EB$2&lt;=$E19),1,"")))</f>
        <v/>
      </c>
      <c r="EC19" s="38">
        <f>IF(OR(EC$2="",$D19=""),"",IF(AND(ISNUMBER($F19),EC$2&gt;=$F19,EC$2&lt;=IF(ISNUMBER($G19),$G19,$F19+$E19-$D19)),2,IF(AND(EC$2&gt;=$D19,EC$2&lt;=$E19),1,"")))</f>
        <v/>
      </c>
      <c r="ED19" s="38">
        <f>IF(OR(ED$2="",$D19=""),"",IF(AND(ISNUMBER($F19),ED$2&gt;=$F19,ED$2&lt;=IF(ISNUMBER($G19),$G19,$F19+$E19-$D19)),2,IF(AND(ED$2&gt;=$D19,ED$2&lt;=$E19),1,"")))</f>
        <v/>
      </c>
      <c r="EE19" s="38">
        <f>IF(OR(EE$2="",$D19=""),"",IF(AND(ISNUMBER($F19),EE$2&gt;=$F19,EE$2&lt;=IF(ISNUMBER($G19),$G19,$F19+$E19-$D19)),2,IF(AND(EE$2&gt;=$D19,EE$2&lt;=$E19),1,"")))</f>
        <v/>
      </c>
      <c r="EF19" s="38">
        <f>IF(OR(EF$2="",$D19=""),"",IF(AND(ISNUMBER($F19),EF$2&gt;=$F19,EF$2&lt;=IF(ISNUMBER($G19),$G19,$F19+$E19-$D19)),2,IF(AND(EF$2&gt;=$D19,EF$2&lt;=$E19),1,"")))</f>
        <v/>
      </c>
      <c r="EG19" s="38">
        <f>IF(OR(EG$2="",$D19=""),"",IF(AND(ISNUMBER($F19),EG$2&gt;=$F19,EG$2&lt;=IF(ISNUMBER($G19),$G19,$F19+$E19-$D19)),2,IF(AND(EG$2&gt;=$D19,EG$2&lt;=$E19),1,"")))</f>
        <v/>
      </c>
      <c r="EH19" s="38">
        <f>IF(OR(EH$2="",$D19=""),"",IF(AND(ISNUMBER($F19),EH$2&gt;=$F19,EH$2&lt;=IF(ISNUMBER($G19),$G19,$F19+$E19-$D19)),2,IF(AND(EH$2&gt;=$D19,EH$2&lt;=$E19),1,"")))</f>
        <v/>
      </c>
      <c r="EI19" s="38">
        <f>IF(OR(EI$2="",$D19=""),"",IF(AND(ISNUMBER($F19),EI$2&gt;=$F19,EI$2&lt;=IF(ISNUMBER($G19),$G19,$F19+$E19-$D19)),2,IF(AND(EI$2&gt;=$D19,EI$2&lt;=$E19),1,"")))</f>
        <v/>
      </c>
      <c r="EJ19" s="38">
        <f>IF(OR(EJ$2="",$D19=""),"",IF(AND(ISNUMBER($F19),EJ$2&gt;=$F19,EJ$2&lt;=IF(ISNUMBER($G19),$G19,$F19+$E19-$D19)),2,IF(AND(EJ$2&gt;=$D19,EJ$2&lt;=$E19),1,"")))</f>
        <v/>
      </c>
      <c r="EK19" s="38">
        <f>IF(OR(EK$2="",$D19=""),"",IF(AND(ISNUMBER($F19),EK$2&gt;=$F19,EK$2&lt;=IF(ISNUMBER($G19),$G19,$F19+$E19-$D19)),2,IF(AND(EK$2&gt;=$D19,EK$2&lt;=$E19),1,"")))</f>
        <v/>
      </c>
      <c r="EL19" s="38">
        <f>IF(OR(EL$2="",$D19=""),"",IF(AND(ISNUMBER($F19),EL$2&gt;=$F19,EL$2&lt;=IF(ISNUMBER($G19),$G19,$F19+$E19-$D19)),2,IF(AND(EL$2&gt;=$D19,EL$2&lt;=$E19),1,"")))</f>
        <v/>
      </c>
      <c r="EM19" s="38">
        <f>IF(OR(EM$2="",$D19=""),"",IF(AND(ISNUMBER($F19),EM$2&gt;=$F19,EM$2&lt;=IF(ISNUMBER($G19),$G19,$F19+$E19-$D19)),2,IF(AND(EM$2&gt;=$D19,EM$2&lt;=$E19),1,"")))</f>
        <v/>
      </c>
      <c r="EN19" s="38">
        <f>IF(OR(EN$2="",$D19=""),"",IF(AND(ISNUMBER($F19),EN$2&gt;=$F19,EN$2&lt;=IF(ISNUMBER($G19),$G19,$F19+$E19-$D19)),2,IF(AND(EN$2&gt;=$D19,EN$2&lt;=$E19),1,"")))</f>
        <v/>
      </c>
      <c r="EO19" s="38">
        <f>IF(OR(EO$2="",$D19=""),"",IF(AND(ISNUMBER($F19),EO$2&gt;=$F19,EO$2&lt;=IF(ISNUMBER($G19),$G19,$F19+$E19-$D19)),2,IF(AND(EO$2&gt;=$D19,EO$2&lt;=$E19),1,"")))</f>
        <v/>
      </c>
      <c r="EP19" s="38">
        <f>IF(OR(EP$2="",$D19=""),"",IF(AND(ISNUMBER($F19),EP$2&gt;=$F19,EP$2&lt;=IF(ISNUMBER($G19),$G19,$F19+$E19-$D19)),2,IF(AND(EP$2&gt;=$D19,EP$2&lt;=$E19),1,"")))</f>
        <v/>
      </c>
      <c r="EQ19" s="38">
        <f>IF(OR(EQ$2="",$D19=""),"",IF(AND(ISNUMBER($F19),EQ$2&gt;=$F19,EQ$2&lt;=IF(ISNUMBER($G19),$G19,$F19+$E19-$D19)),2,IF(AND(EQ$2&gt;=$D19,EQ$2&lt;=$E19),1,"")))</f>
        <v/>
      </c>
      <c r="ER19" s="38">
        <f>IF(OR(ER$2="",$D19=""),"",IF(AND(ISNUMBER($F19),ER$2&gt;=$F19,ER$2&lt;=IF(ISNUMBER($G19),$G19,$F19+$E19-$D19)),2,IF(AND(ER$2&gt;=$D19,ER$2&lt;=$E19),1,"")))</f>
        <v/>
      </c>
      <c r="ES19" s="38">
        <f>IF(OR(ES$2="",$D19=""),"",IF(AND(ISNUMBER($F19),ES$2&gt;=$F19,ES$2&lt;=IF(ISNUMBER($G19),$G19,$F19+$E19-$D19)),2,IF(AND(ES$2&gt;=$D19,ES$2&lt;=$E19),1,"")))</f>
        <v/>
      </c>
      <c r="ET19" s="38">
        <f>IF(OR(ET$2="",$D19=""),"",IF(AND(ISNUMBER($F19),ET$2&gt;=$F19,ET$2&lt;=IF(ISNUMBER($G19),$G19,$F19+$E19-$D19)),2,IF(AND(ET$2&gt;=$D19,ET$2&lt;=$E19),1,"")))</f>
        <v/>
      </c>
      <c r="EU19" s="38">
        <f>IF(OR(EU$2="",$D19=""),"",IF(AND(ISNUMBER($F19),EU$2&gt;=$F19,EU$2&lt;=IF(ISNUMBER($G19),$G19,$F19+$E19-$D19)),2,IF(AND(EU$2&gt;=$D19,EU$2&lt;=$E19),1,"")))</f>
        <v/>
      </c>
      <c r="EV19" s="38">
        <f>IF(OR(EV$2="",$D19=""),"",IF(AND(ISNUMBER($F19),EV$2&gt;=$F19,EV$2&lt;=IF(ISNUMBER($G19),$G19,$F19+$E19-$D19)),2,IF(AND(EV$2&gt;=$D19,EV$2&lt;=$E19),1,"")))</f>
        <v/>
      </c>
      <c r="EW19" s="38">
        <f>IF(OR(EW$2="",$D19=""),"",IF(AND(ISNUMBER($F19),EW$2&gt;=$F19,EW$2&lt;=IF(ISNUMBER($G19),$G19,$F19+$E19-$D19)),2,IF(AND(EW$2&gt;=$D19,EW$2&lt;=$E19),1,"")))</f>
        <v/>
      </c>
      <c r="EX19" s="38">
        <f>IF(OR(EX$2="",$D19=""),"",IF(AND(ISNUMBER($F19),EX$2&gt;=$F19,EX$2&lt;=IF(ISNUMBER($G19),$G19,$F19+$E19-$D19)),2,IF(AND(EX$2&gt;=$D19,EX$2&lt;=$E19),1,"")))</f>
        <v/>
      </c>
      <c r="EY19" s="38">
        <f>IF(OR(EY$2="",$D19=""),"",IF(AND(ISNUMBER($F19),EY$2&gt;=$F19,EY$2&lt;=IF(ISNUMBER($G19),$G19,$F19+$E19-$D19)),2,IF(AND(EY$2&gt;=$D19,EY$2&lt;=$E19),1,"")))</f>
        <v/>
      </c>
      <c r="EZ19" s="38">
        <f>IF(OR(EZ$2="",$D19=""),"",IF(AND(ISNUMBER($F19),EZ$2&gt;=$F19,EZ$2&lt;=IF(ISNUMBER($G19),$G19,$F19+$E19-$D19)),2,IF(AND(EZ$2&gt;=$D19,EZ$2&lt;=$E19),1,"")))</f>
        <v/>
      </c>
      <c r="FA19" s="38">
        <f>IF(OR(FA$2="",$D19=""),"",IF(AND(ISNUMBER($F19),FA$2&gt;=$F19,FA$2&lt;=IF(ISNUMBER($G19),$G19,$F19+$E19-$D19)),2,IF(AND(FA$2&gt;=$D19,FA$2&lt;=$E19),1,"")))</f>
        <v/>
      </c>
      <c r="FB19" s="38">
        <f>IF(OR(FB$2="",$D19=""),"",IF(AND(ISNUMBER($F19),FB$2&gt;=$F19,FB$2&lt;=IF(ISNUMBER($G19),$G19,$F19+$E19-$D19)),2,IF(AND(FB$2&gt;=$D19,FB$2&lt;=$E19),1,"")))</f>
        <v/>
      </c>
      <c r="FC19" s="38">
        <f>IF(OR(FC$2="",$D19=""),"",IF(AND(ISNUMBER($F19),FC$2&gt;=$F19,FC$2&lt;=IF(ISNUMBER($G19),$G19,$F19+$E19-$D19)),2,IF(AND(FC$2&gt;=$D19,FC$2&lt;=$E19),1,"")))</f>
        <v/>
      </c>
      <c r="FD19" s="38">
        <f>IF(OR(FD$2="",$D19=""),"",IF(AND(ISNUMBER($F19),FD$2&gt;=$F19,FD$2&lt;=IF(ISNUMBER($G19),$G19,$F19+$E19-$D19)),2,IF(AND(FD$2&gt;=$D19,FD$2&lt;=$E19),1,"")))</f>
        <v/>
      </c>
      <c r="FE19" s="38">
        <f>IF(OR(FE$2="",$D19=""),"",IF(AND(ISNUMBER($F19),FE$2&gt;=$F19,FE$2&lt;=IF(ISNUMBER($G19),$G19,$F19+$E19-$D19)),2,IF(AND(FE$2&gt;=$D19,FE$2&lt;=$E19),1,"")))</f>
        <v/>
      </c>
      <c r="FF19" s="38">
        <f>IF(OR(FF$2="",$D19=""),"",IF(AND(ISNUMBER($F19),FF$2&gt;=$F19,FF$2&lt;=IF(ISNUMBER($G19),$G19,$F19+$E19-$D19)),2,IF(AND(FF$2&gt;=$D19,FF$2&lt;=$E19),1,"")))</f>
        <v/>
      </c>
      <c r="FG19" s="38">
        <f>IF(OR(FG$2="",$D19=""),"",IF(AND(ISNUMBER($F19),FG$2&gt;=$F19,FG$2&lt;=IF(ISNUMBER($G19),$G19,$F19+$E19-$D19)),2,IF(AND(FG$2&gt;=$D19,FG$2&lt;=$E19),1,"")))</f>
        <v/>
      </c>
      <c r="FH19" s="38">
        <f>IF(OR(FH$2="",$D19=""),"",IF(AND(ISNUMBER($F19),FH$2&gt;=$F19,FH$2&lt;=IF(ISNUMBER($G19),$G19,$F19+$E19-$D19)),2,IF(AND(FH$2&gt;=$D19,FH$2&lt;=$E19),1,"")))</f>
        <v/>
      </c>
      <c r="FI19" s="38">
        <f>IF(OR(FI$2="",$D19=""),"",IF(AND(ISNUMBER($F19),FI$2&gt;=$F19,FI$2&lt;=IF(ISNUMBER($G19),$G19,$F19+$E19-$D19)),2,IF(AND(FI$2&gt;=$D19,FI$2&lt;=$E19),1,"")))</f>
        <v/>
      </c>
      <c r="FJ19" s="38">
        <f>IF(OR(FJ$2="",$D19=""),"",IF(AND(ISNUMBER($F19),FJ$2&gt;=$F19,FJ$2&lt;=IF(ISNUMBER($G19),$G19,$F19+$E19-$D19)),2,IF(AND(FJ$2&gt;=$D19,FJ$2&lt;=$E19),1,"")))</f>
        <v/>
      </c>
      <c r="FK19" s="38">
        <f>IF(OR(FK$2="",$D19=""),"",IF(AND(ISNUMBER($F19),FK$2&gt;=$F19,FK$2&lt;=IF(ISNUMBER($G19),$G19,$F19+$E19-$D19)),2,IF(AND(FK$2&gt;=$D19,FK$2&lt;=$E19),1,"")))</f>
        <v/>
      </c>
      <c r="FL19" s="38">
        <f>IF(OR(FL$2="",$D19=""),"",IF(AND(ISNUMBER($F19),FL$2&gt;=$F19,FL$2&lt;=IF(ISNUMBER($G19),$G19,$F19+$E19-$D19)),2,IF(AND(FL$2&gt;=$D19,FL$2&lt;=$E19),1,"")))</f>
        <v/>
      </c>
      <c r="FM19" s="38">
        <f>IF(OR(FM$2="",$D19=""),"",IF(AND(ISNUMBER($F19),FM$2&gt;=$F19,FM$2&lt;=IF(ISNUMBER($G19),$G19,$F19+$E19-$D19)),2,IF(AND(FM$2&gt;=$D19,FM$2&lt;=$E19),1,"")))</f>
        <v/>
      </c>
      <c r="FN19" s="38">
        <f>IF(OR(FN$2="",$D19=""),"",IF(AND(ISNUMBER($F19),FN$2&gt;=$F19,FN$2&lt;=IF(ISNUMBER($G19),$G19,$F19+$E19-$D19)),2,IF(AND(FN$2&gt;=$D19,FN$2&lt;=$E19),1,"")))</f>
        <v/>
      </c>
      <c r="FO19" s="38">
        <f>IF(OR(FO$2="",$D19=""),"",IF(AND(ISNUMBER($F19),FO$2&gt;=$F19,FO$2&lt;=IF(ISNUMBER($G19),$G19,$F19+$E19-$D19)),2,IF(AND(FO$2&gt;=$D19,FO$2&lt;=$E19),1,"")))</f>
        <v/>
      </c>
      <c r="FP19" s="38">
        <f>IF(OR(FP$2="",$D19=""),"",IF(AND(ISNUMBER($F19),FP$2&gt;=$F19,FP$2&lt;=IF(ISNUMBER($G19),$G19,$F19+$E19-$D19)),2,IF(AND(FP$2&gt;=$D19,FP$2&lt;=$E19),1,"")))</f>
        <v/>
      </c>
      <c r="FQ19" s="38">
        <f>IF(OR(FQ$2="",$D19=""),"",IF(AND(ISNUMBER($F19),FQ$2&gt;=$F19,FQ$2&lt;=IF(ISNUMBER($G19),$G19,$F19+$E19-$D19)),2,IF(AND(FQ$2&gt;=$D19,FQ$2&lt;=$E19),1,"")))</f>
        <v/>
      </c>
      <c r="FR19" s="38">
        <f>IF(OR(FR$2="",$D19=""),"",IF(AND(ISNUMBER($F19),FR$2&gt;=$F19,FR$2&lt;=IF(ISNUMBER($G19),$G19,$F19+$E19-$D19)),2,IF(AND(FR$2&gt;=$D19,FR$2&lt;=$E19),1,"")))</f>
        <v/>
      </c>
      <c r="FS19" s="38">
        <f>IF(OR(FS$2="",$D19=""),"",IF(AND(ISNUMBER($F19),FS$2&gt;=$F19,FS$2&lt;=IF(ISNUMBER($G19),$G19,$F19+$E19-$D19)),2,IF(AND(FS$2&gt;=$D19,FS$2&lt;=$E19),1,"")))</f>
        <v/>
      </c>
      <c r="FT19" s="38">
        <f>IF(OR(FT$2="",$D19=""),"",IF(AND(ISNUMBER($F19),FT$2&gt;=$F19,FT$2&lt;=IF(ISNUMBER($G19),$G19,$F19+$E19-$D19)),2,IF(AND(FT$2&gt;=$D19,FT$2&lt;=$E19),1,"")))</f>
        <v/>
      </c>
      <c r="FU19" s="38">
        <f>IF(OR(FU$2="",$D19=""),"",IF(AND(ISNUMBER($F19),FU$2&gt;=$F19,FU$2&lt;=IF(ISNUMBER($G19),$G19,$F19+$E19-$D19)),2,IF(AND(FU$2&gt;=$D19,FU$2&lt;=$E19),1,"")))</f>
        <v/>
      </c>
      <c r="FV19" s="38">
        <f>IF(OR(FV$2="",$D19=""),"",IF(AND(ISNUMBER($F19),FV$2&gt;=$F19,FV$2&lt;=IF(ISNUMBER($G19),$G19,$F19+$E19-$D19)),2,IF(AND(FV$2&gt;=$D19,FV$2&lt;=$E19),1,"")))</f>
        <v/>
      </c>
      <c r="FW19" s="38">
        <f>IF(OR(FW$2="",$D19=""),"",IF(AND(ISNUMBER($F19),FW$2&gt;=$F19,FW$2&lt;=IF(ISNUMBER($G19),$G19,$F19+$E19-$D19)),2,IF(AND(FW$2&gt;=$D19,FW$2&lt;=$E19),1,"")))</f>
        <v/>
      </c>
      <c r="FX19" s="38">
        <f>IF(OR(FX$2="",$D19=""),"",IF(AND(ISNUMBER($F19),FX$2&gt;=$F19,FX$2&lt;=IF(ISNUMBER($G19),$G19,$F19+$E19-$D19)),2,IF(AND(FX$2&gt;=$D19,FX$2&lt;=$E19),1,"")))</f>
        <v/>
      </c>
      <c r="FY19" s="38">
        <f>IF(OR(FY$2="",$D19=""),"",IF(AND(ISNUMBER($F19),FY$2&gt;=$F19,FY$2&lt;=IF(ISNUMBER($G19),$G19,$F19+$E19-$D19)),2,IF(AND(FY$2&gt;=$D19,FY$2&lt;=$E19),1,"")))</f>
        <v/>
      </c>
      <c r="FZ19" s="38">
        <f>IF(OR(FZ$2="",$D19=""),"",IF(AND(ISNUMBER($F19),FZ$2&gt;=$F19,FZ$2&lt;=IF(ISNUMBER($G19),$G19,$F19+$E19-$D19)),2,IF(AND(FZ$2&gt;=$D19,FZ$2&lt;=$E19),1,"")))</f>
        <v/>
      </c>
      <c r="GA19" s="38">
        <f>IF(OR(GA$2="",$D19=""),"",IF(AND(ISNUMBER($F19),GA$2&gt;=$F19,GA$2&lt;=IF(ISNUMBER($G19),$G19,$F19+$E19-$D19)),2,IF(AND(GA$2&gt;=$D19,GA$2&lt;=$E19),1,"")))</f>
        <v/>
      </c>
      <c r="GB19" s="38">
        <f>IF(OR(GB$2="",$D19=""),"",IF(AND(ISNUMBER($F19),GB$2&gt;=$F19,GB$2&lt;=IF(ISNUMBER($G19),$G19,$F19+$E19-$D19)),2,IF(AND(GB$2&gt;=$D19,GB$2&lt;=$E19),1,"")))</f>
        <v/>
      </c>
      <c r="GC19" s="38">
        <f>IF(OR(GC$2="",$D19=""),"",IF(AND(ISNUMBER($F19),GC$2&gt;=$F19,GC$2&lt;=IF(ISNUMBER($G19),$G19,$F19+$E19-$D19)),2,IF(AND(GC$2&gt;=$D19,GC$2&lt;=$E19),1,"")))</f>
        <v/>
      </c>
      <c r="GD19" s="38">
        <f>IF(OR(GD$2="",$D19=""),"",IF(AND(ISNUMBER($F19),GD$2&gt;=$F19,GD$2&lt;=IF(ISNUMBER($G19),$G19,$F19+$E19-$D19)),2,IF(AND(GD$2&gt;=$D19,GD$2&lt;=$E19),1,"")))</f>
        <v/>
      </c>
      <c r="GE19" s="38">
        <f>IF(OR(GE$2="",$D19=""),"",IF(AND(ISNUMBER($F19),GE$2&gt;=$F19,GE$2&lt;=IF(ISNUMBER($G19),$G19,$F19+$E19-$D19)),2,IF(AND(GE$2&gt;=$D19,GE$2&lt;=$E19),1,"")))</f>
        <v/>
      </c>
    </row>
    <row r="20">
      <c r="A20" s="36" t="inlineStr">
        <is>
          <t>3F4D-4</t>
        </is>
      </c>
      <c r="B20" s="12" t="inlineStr">
        <is>
          <t>৩এফ৪ডি-4</t>
        </is>
      </c>
      <c r="C20" s="12" t="inlineStr">
        <is>
          <t>3F4D+MD</t>
        </is>
      </c>
      <c r="D20" s="7">
        <f>IF(Day_0="","",Day_0+cfg_6-cfg_8+cfg_13*3)</f>
        <v/>
      </c>
      <c r="E20" s="7">
        <f>IF(Day_0="","",Day_0+cfg_6-cfg_8+cfg_13*4)</f>
        <v/>
      </c>
      <c r="F20" s="37" t="n"/>
      <c r="G20" s="37" t="n"/>
      <c r="H20" s="6">
        <f>IF(D20="","no plan",IF(F20&lt;&gt;"",IF(F20-D20&gt;=2,"LATE","OK"),IF(TODAY()&gt;D20+2,"OVERDUE","upcoming")))</f>
        <v/>
      </c>
      <c r="I20" s="6">
        <f>IF(AND(D20&lt;&gt;"",F20&lt;&gt;""),F20-D20,"")</f>
        <v/>
      </c>
      <c r="J20" s="7">
        <f>IF(F20&lt;&gt;"",F20,D20)</f>
        <v/>
      </c>
      <c r="K20" s="7">
        <f>IF(G20&lt;&gt;"",G20,IF(AND(F20&lt;&gt;"",E20=D20),F20,E20))</f>
        <v/>
      </c>
      <c r="L20" s="6">
        <f>IF(AND(D20&lt;&gt;"",F20="",D20&gt;=TODAY()),D20+ROW()/1000,"")</f>
        <v/>
      </c>
      <c r="M20" s="38">
        <f>IF(OR(M$2="",$D20=""),"",IF(AND(ISNUMBER($F20),M$2&gt;=$F20,M$2&lt;=IF(ISNUMBER($G20),$G20,$F20+$E20-$D20)),2,IF(AND(M$2&gt;=$D20,M$2&lt;=$E20),1,"")))</f>
        <v/>
      </c>
      <c r="N20" s="38">
        <f>IF(OR(N$2="",$D20=""),"",IF(AND(ISNUMBER($F20),N$2&gt;=$F20,N$2&lt;=IF(ISNUMBER($G20),$G20,$F20+$E20-$D20)),2,IF(AND(N$2&gt;=$D20,N$2&lt;=$E20),1,"")))</f>
        <v/>
      </c>
      <c r="O20" s="38">
        <f>IF(OR(O$2="",$D20=""),"",IF(AND(ISNUMBER($F20),O$2&gt;=$F20,O$2&lt;=IF(ISNUMBER($G20),$G20,$F20+$E20-$D20)),2,IF(AND(O$2&gt;=$D20,O$2&lt;=$E20),1,"")))</f>
        <v/>
      </c>
      <c r="P20" s="38">
        <f>IF(OR(P$2="",$D20=""),"",IF(AND(ISNUMBER($F20),P$2&gt;=$F20,P$2&lt;=IF(ISNUMBER($G20),$G20,$F20+$E20-$D20)),2,IF(AND(P$2&gt;=$D20,P$2&lt;=$E20),1,"")))</f>
        <v/>
      </c>
      <c r="Q20" s="38">
        <f>IF(OR(Q$2="",$D20=""),"",IF(AND(ISNUMBER($F20),Q$2&gt;=$F20,Q$2&lt;=IF(ISNUMBER($G20),$G20,$F20+$E20-$D20)),2,IF(AND(Q$2&gt;=$D20,Q$2&lt;=$E20),1,"")))</f>
        <v/>
      </c>
      <c r="R20" s="38">
        <f>IF(OR(R$2="",$D20=""),"",IF(AND(ISNUMBER($F20),R$2&gt;=$F20,R$2&lt;=IF(ISNUMBER($G20),$G20,$F20+$E20-$D20)),2,IF(AND(R$2&gt;=$D20,R$2&lt;=$E20),1,"")))</f>
        <v/>
      </c>
      <c r="S20" s="38">
        <f>IF(OR(S$2="",$D20=""),"",IF(AND(ISNUMBER($F20),S$2&gt;=$F20,S$2&lt;=IF(ISNUMBER($G20),$G20,$F20+$E20-$D20)),2,IF(AND(S$2&gt;=$D20,S$2&lt;=$E20),1,"")))</f>
        <v/>
      </c>
      <c r="T20" s="38">
        <f>IF(OR(T$2="",$D20=""),"",IF(AND(ISNUMBER($F20),T$2&gt;=$F20,T$2&lt;=IF(ISNUMBER($G20),$G20,$F20+$E20-$D20)),2,IF(AND(T$2&gt;=$D20,T$2&lt;=$E20),1,"")))</f>
        <v/>
      </c>
      <c r="U20" s="38">
        <f>IF(OR(U$2="",$D20=""),"",IF(AND(ISNUMBER($F20),U$2&gt;=$F20,U$2&lt;=IF(ISNUMBER($G20),$G20,$F20+$E20-$D20)),2,IF(AND(U$2&gt;=$D20,U$2&lt;=$E20),1,"")))</f>
        <v/>
      </c>
      <c r="V20" s="38">
        <f>IF(OR(V$2="",$D20=""),"",IF(AND(ISNUMBER($F20),V$2&gt;=$F20,V$2&lt;=IF(ISNUMBER($G20),$G20,$F20+$E20-$D20)),2,IF(AND(V$2&gt;=$D20,V$2&lt;=$E20),1,"")))</f>
        <v/>
      </c>
      <c r="W20" s="38">
        <f>IF(OR(W$2="",$D20=""),"",IF(AND(ISNUMBER($F20),W$2&gt;=$F20,W$2&lt;=IF(ISNUMBER($G20),$G20,$F20+$E20-$D20)),2,IF(AND(W$2&gt;=$D20,W$2&lt;=$E20),1,"")))</f>
        <v/>
      </c>
      <c r="X20" s="38">
        <f>IF(OR(X$2="",$D20=""),"",IF(AND(ISNUMBER($F20),X$2&gt;=$F20,X$2&lt;=IF(ISNUMBER($G20),$G20,$F20+$E20-$D20)),2,IF(AND(X$2&gt;=$D20,X$2&lt;=$E20),1,"")))</f>
        <v/>
      </c>
      <c r="Y20" s="38">
        <f>IF(OR(Y$2="",$D20=""),"",IF(AND(ISNUMBER($F20),Y$2&gt;=$F20,Y$2&lt;=IF(ISNUMBER($G20),$G20,$F20+$E20-$D20)),2,IF(AND(Y$2&gt;=$D20,Y$2&lt;=$E20),1,"")))</f>
        <v/>
      </c>
      <c r="Z20" s="38">
        <f>IF(OR(Z$2="",$D20=""),"",IF(AND(ISNUMBER($F20),Z$2&gt;=$F20,Z$2&lt;=IF(ISNUMBER($G20),$G20,$F20+$E20-$D20)),2,IF(AND(Z$2&gt;=$D20,Z$2&lt;=$E20),1,"")))</f>
        <v/>
      </c>
      <c r="AA20" s="38">
        <f>IF(OR(AA$2="",$D20=""),"",IF(AND(ISNUMBER($F20),AA$2&gt;=$F20,AA$2&lt;=IF(ISNUMBER($G20),$G20,$F20+$E20-$D20)),2,IF(AND(AA$2&gt;=$D20,AA$2&lt;=$E20),1,"")))</f>
        <v/>
      </c>
      <c r="AB20" s="38">
        <f>IF(OR(AB$2="",$D20=""),"",IF(AND(ISNUMBER($F20),AB$2&gt;=$F20,AB$2&lt;=IF(ISNUMBER($G20),$G20,$F20+$E20-$D20)),2,IF(AND(AB$2&gt;=$D20,AB$2&lt;=$E20),1,"")))</f>
        <v/>
      </c>
      <c r="AC20" s="38">
        <f>IF(OR(AC$2="",$D20=""),"",IF(AND(ISNUMBER($F20),AC$2&gt;=$F20,AC$2&lt;=IF(ISNUMBER($G20),$G20,$F20+$E20-$D20)),2,IF(AND(AC$2&gt;=$D20,AC$2&lt;=$E20),1,"")))</f>
        <v/>
      </c>
      <c r="AD20" s="38">
        <f>IF(OR(AD$2="",$D20=""),"",IF(AND(ISNUMBER($F20),AD$2&gt;=$F20,AD$2&lt;=IF(ISNUMBER($G20),$G20,$F20+$E20-$D20)),2,IF(AND(AD$2&gt;=$D20,AD$2&lt;=$E20),1,"")))</f>
        <v/>
      </c>
      <c r="AE20" s="38">
        <f>IF(OR(AE$2="",$D20=""),"",IF(AND(ISNUMBER($F20),AE$2&gt;=$F20,AE$2&lt;=IF(ISNUMBER($G20),$G20,$F20+$E20-$D20)),2,IF(AND(AE$2&gt;=$D20,AE$2&lt;=$E20),1,"")))</f>
        <v/>
      </c>
      <c r="AF20" s="38">
        <f>IF(OR(AF$2="",$D20=""),"",IF(AND(ISNUMBER($F20),AF$2&gt;=$F20,AF$2&lt;=IF(ISNUMBER($G20),$G20,$F20+$E20-$D20)),2,IF(AND(AF$2&gt;=$D20,AF$2&lt;=$E20),1,"")))</f>
        <v/>
      </c>
      <c r="AG20" s="38">
        <f>IF(OR(AG$2="",$D20=""),"",IF(AND(ISNUMBER($F20),AG$2&gt;=$F20,AG$2&lt;=IF(ISNUMBER($G20),$G20,$F20+$E20-$D20)),2,IF(AND(AG$2&gt;=$D20,AG$2&lt;=$E20),1,"")))</f>
        <v/>
      </c>
      <c r="AH20" s="38">
        <f>IF(OR(AH$2="",$D20=""),"",IF(AND(ISNUMBER($F20),AH$2&gt;=$F20,AH$2&lt;=IF(ISNUMBER($G20),$G20,$F20+$E20-$D20)),2,IF(AND(AH$2&gt;=$D20,AH$2&lt;=$E20),1,"")))</f>
        <v/>
      </c>
      <c r="AI20" s="38">
        <f>IF(OR(AI$2="",$D20=""),"",IF(AND(ISNUMBER($F20),AI$2&gt;=$F20,AI$2&lt;=IF(ISNUMBER($G20),$G20,$F20+$E20-$D20)),2,IF(AND(AI$2&gt;=$D20,AI$2&lt;=$E20),1,"")))</f>
        <v/>
      </c>
      <c r="AJ20" s="38">
        <f>IF(OR(AJ$2="",$D20=""),"",IF(AND(ISNUMBER($F20),AJ$2&gt;=$F20,AJ$2&lt;=IF(ISNUMBER($G20),$G20,$F20+$E20-$D20)),2,IF(AND(AJ$2&gt;=$D20,AJ$2&lt;=$E20),1,"")))</f>
        <v/>
      </c>
      <c r="AK20" s="38">
        <f>IF(OR(AK$2="",$D20=""),"",IF(AND(ISNUMBER($F20),AK$2&gt;=$F20,AK$2&lt;=IF(ISNUMBER($G20),$G20,$F20+$E20-$D20)),2,IF(AND(AK$2&gt;=$D20,AK$2&lt;=$E20),1,"")))</f>
        <v/>
      </c>
      <c r="AL20" s="38">
        <f>IF(OR(AL$2="",$D20=""),"",IF(AND(ISNUMBER($F20),AL$2&gt;=$F20,AL$2&lt;=IF(ISNUMBER($G20),$G20,$F20+$E20-$D20)),2,IF(AND(AL$2&gt;=$D20,AL$2&lt;=$E20),1,"")))</f>
        <v/>
      </c>
      <c r="AM20" s="38">
        <f>IF(OR(AM$2="",$D20=""),"",IF(AND(ISNUMBER($F20),AM$2&gt;=$F20,AM$2&lt;=IF(ISNUMBER($G20),$G20,$F20+$E20-$D20)),2,IF(AND(AM$2&gt;=$D20,AM$2&lt;=$E20),1,"")))</f>
        <v/>
      </c>
      <c r="AN20" s="38">
        <f>IF(OR(AN$2="",$D20=""),"",IF(AND(ISNUMBER($F20),AN$2&gt;=$F20,AN$2&lt;=IF(ISNUMBER($G20),$G20,$F20+$E20-$D20)),2,IF(AND(AN$2&gt;=$D20,AN$2&lt;=$E20),1,"")))</f>
        <v/>
      </c>
      <c r="AO20" s="38">
        <f>IF(OR(AO$2="",$D20=""),"",IF(AND(ISNUMBER($F20),AO$2&gt;=$F20,AO$2&lt;=IF(ISNUMBER($G20),$G20,$F20+$E20-$D20)),2,IF(AND(AO$2&gt;=$D20,AO$2&lt;=$E20),1,"")))</f>
        <v/>
      </c>
      <c r="AP20" s="38">
        <f>IF(OR(AP$2="",$D20=""),"",IF(AND(ISNUMBER($F20),AP$2&gt;=$F20,AP$2&lt;=IF(ISNUMBER($G20),$G20,$F20+$E20-$D20)),2,IF(AND(AP$2&gt;=$D20,AP$2&lt;=$E20),1,"")))</f>
        <v/>
      </c>
      <c r="AQ20" s="38">
        <f>IF(OR(AQ$2="",$D20=""),"",IF(AND(ISNUMBER($F20),AQ$2&gt;=$F20,AQ$2&lt;=IF(ISNUMBER($G20),$G20,$F20+$E20-$D20)),2,IF(AND(AQ$2&gt;=$D20,AQ$2&lt;=$E20),1,"")))</f>
        <v/>
      </c>
      <c r="AR20" s="38">
        <f>IF(OR(AR$2="",$D20=""),"",IF(AND(ISNUMBER($F20),AR$2&gt;=$F20,AR$2&lt;=IF(ISNUMBER($G20),$G20,$F20+$E20-$D20)),2,IF(AND(AR$2&gt;=$D20,AR$2&lt;=$E20),1,"")))</f>
        <v/>
      </c>
      <c r="AS20" s="38">
        <f>IF(OR(AS$2="",$D20=""),"",IF(AND(ISNUMBER($F20),AS$2&gt;=$F20,AS$2&lt;=IF(ISNUMBER($G20),$G20,$F20+$E20-$D20)),2,IF(AND(AS$2&gt;=$D20,AS$2&lt;=$E20),1,"")))</f>
        <v/>
      </c>
      <c r="AT20" s="38">
        <f>IF(OR(AT$2="",$D20=""),"",IF(AND(ISNUMBER($F20),AT$2&gt;=$F20,AT$2&lt;=IF(ISNUMBER($G20),$G20,$F20+$E20-$D20)),2,IF(AND(AT$2&gt;=$D20,AT$2&lt;=$E20),1,"")))</f>
        <v/>
      </c>
      <c r="AU20" s="38">
        <f>IF(OR(AU$2="",$D20=""),"",IF(AND(ISNUMBER($F20),AU$2&gt;=$F20,AU$2&lt;=IF(ISNUMBER($G20),$G20,$F20+$E20-$D20)),2,IF(AND(AU$2&gt;=$D20,AU$2&lt;=$E20),1,"")))</f>
        <v/>
      </c>
      <c r="AV20" s="38">
        <f>IF(OR(AV$2="",$D20=""),"",IF(AND(ISNUMBER($F20),AV$2&gt;=$F20,AV$2&lt;=IF(ISNUMBER($G20),$G20,$F20+$E20-$D20)),2,IF(AND(AV$2&gt;=$D20,AV$2&lt;=$E20),1,"")))</f>
        <v/>
      </c>
      <c r="AW20" s="38">
        <f>IF(OR(AW$2="",$D20=""),"",IF(AND(ISNUMBER($F20),AW$2&gt;=$F20,AW$2&lt;=IF(ISNUMBER($G20),$G20,$F20+$E20-$D20)),2,IF(AND(AW$2&gt;=$D20,AW$2&lt;=$E20),1,"")))</f>
        <v/>
      </c>
      <c r="AX20" s="38">
        <f>IF(OR(AX$2="",$D20=""),"",IF(AND(ISNUMBER($F20),AX$2&gt;=$F20,AX$2&lt;=IF(ISNUMBER($G20),$G20,$F20+$E20-$D20)),2,IF(AND(AX$2&gt;=$D20,AX$2&lt;=$E20),1,"")))</f>
        <v/>
      </c>
      <c r="AY20" s="38">
        <f>IF(OR(AY$2="",$D20=""),"",IF(AND(ISNUMBER($F20),AY$2&gt;=$F20,AY$2&lt;=IF(ISNUMBER($G20),$G20,$F20+$E20-$D20)),2,IF(AND(AY$2&gt;=$D20,AY$2&lt;=$E20),1,"")))</f>
        <v/>
      </c>
      <c r="AZ20" s="38">
        <f>IF(OR(AZ$2="",$D20=""),"",IF(AND(ISNUMBER($F20),AZ$2&gt;=$F20,AZ$2&lt;=IF(ISNUMBER($G20),$G20,$F20+$E20-$D20)),2,IF(AND(AZ$2&gt;=$D20,AZ$2&lt;=$E20),1,"")))</f>
        <v/>
      </c>
      <c r="BA20" s="38">
        <f>IF(OR(BA$2="",$D20=""),"",IF(AND(ISNUMBER($F20),BA$2&gt;=$F20,BA$2&lt;=IF(ISNUMBER($G20),$G20,$F20+$E20-$D20)),2,IF(AND(BA$2&gt;=$D20,BA$2&lt;=$E20),1,"")))</f>
        <v/>
      </c>
      <c r="BB20" s="38">
        <f>IF(OR(BB$2="",$D20=""),"",IF(AND(ISNUMBER($F20),BB$2&gt;=$F20,BB$2&lt;=IF(ISNUMBER($G20),$G20,$F20+$E20-$D20)),2,IF(AND(BB$2&gt;=$D20,BB$2&lt;=$E20),1,"")))</f>
        <v/>
      </c>
      <c r="BC20" s="38">
        <f>IF(OR(BC$2="",$D20=""),"",IF(AND(ISNUMBER($F20),BC$2&gt;=$F20,BC$2&lt;=IF(ISNUMBER($G20),$G20,$F20+$E20-$D20)),2,IF(AND(BC$2&gt;=$D20,BC$2&lt;=$E20),1,"")))</f>
        <v/>
      </c>
      <c r="BD20" s="38">
        <f>IF(OR(BD$2="",$D20=""),"",IF(AND(ISNUMBER($F20),BD$2&gt;=$F20,BD$2&lt;=IF(ISNUMBER($G20),$G20,$F20+$E20-$D20)),2,IF(AND(BD$2&gt;=$D20,BD$2&lt;=$E20),1,"")))</f>
        <v/>
      </c>
      <c r="BE20" s="38">
        <f>IF(OR(BE$2="",$D20=""),"",IF(AND(ISNUMBER($F20),BE$2&gt;=$F20,BE$2&lt;=IF(ISNUMBER($G20),$G20,$F20+$E20-$D20)),2,IF(AND(BE$2&gt;=$D20,BE$2&lt;=$E20),1,"")))</f>
        <v/>
      </c>
      <c r="BF20" s="38">
        <f>IF(OR(BF$2="",$D20=""),"",IF(AND(ISNUMBER($F20),BF$2&gt;=$F20,BF$2&lt;=IF(ISNUMBER($G20),$G20,$F20+$E20-$D20)),2,IF(AND(BF$2&gt;=$D20,BF$2&lt;=$E20),1,"")))</f>
        <v/>
      </c>
      <c r="BG20" s="38">
        <f>IF(OR(BG$2="",$D20=""),"",IF(AND(ISNUMBER($F20),BG$2&gt;=$F20,BG$2&lt;=IF(ISNUMBER($G20),$G20,$F20+$E20-$D20)),2,IF(AND(BG$2&gt;=$D20,BG$2&lt;=$E20),1,"")))</f>
        <v/>
      </c>
      <c r="BH20" s="38">
        <f>IF(OR(BH$2="",$D20=""),"",IF(AND(ISNUMBER($F20),BH$2&gt;=$F20,BH$2&lt;=IF(ISNUMBER($G20),$G20,$F20+$E20-$D20)),2,IF(AND(BH$2&gt;=$D20,BH$2&lt;=$E20),1,"")))</f>
        <v/>
      </c>
      <c r="BI20" s="38">
        <f>IF(OR(BI$2="",$D20=""),"",IF(AND(ISNUMBER($F20),BI$2&gt;=$F20,BI$2&lt;=IF(ISNUMBER($G20),$G20,$F20+$E20-$D20)),2,IF(AND(BI$2&gt;=$D20,BI$2&lt;=$E20),1,"")))</f>
        <v/>
      </c>
      <c r="BJ20" s="38">
        <f>IF(OR(BJ$2="",$D20=""),"",IF(AND(ISNUMBER($F20),BJ$2&gt;=$F20,BJ$2&lt;=IF(ISNUMBER($G20),$G20,$F20+$E20-$D20)),2,IF(AND(BJ$2&gt;=$D20,BJ$2&lt;=$E20),1,"")))</f>
        <v/>
      </c>
      <c r="BK20" s="38">
        <f>IF(OR(BK$2="",$D20=""),"",IF(AND(ISNUMBER($F20),BK$2&gt;=$F20,BK$2&lt;=IF(ISNUMBER($G20),$G20,$F20+$E20-$D20)),2,IF(AND(BK$2&gt;=$D20,BK$2&lt;=$E20),1,"")))</f>
        <v/>
      </c>
      <c r="BL20" s="38">
        <f>IF(OR(BL$2="",$D20=""),"",IF(AND(ISNUMBER($F20),BL$2&gt;=$F20,BL$2&lt;=IF(ISNUMBER($G20),$G20,$F20+$E20-$D20)),2,IF(AND(BL$2&gt;=$D20,BL$2&lt;=$E20),1,"")))</f>
        <v/>
      </c>
      <c r="BM20" s="38">
        <f>IF(OR(BM$2="",$D20=""),"",IF(AND(ISNUMBER($F20),BM$2&gt;=$F20,BM$2&lt;=IF(ISNUMBER($G20),$G20,$F20+$E20-$D20)),2,IF(AND(BM$2&gt;=$D20,BM$2&lt;=$E20),1,"")))</f>
        <v/>
      </c>
      <c r="BN20" s="38">
        <f>IF(OR(BN$2="",$D20=""),"",IF(AND(ISNUMBER($F20),BN$2&gt;=$F20,BN$2&lt;=IF(ISNUMBER($G20),$G20,$F20+$E20-$D20)),2,IF(AND(BN$2&gt;=$D20,BN$2&lt;=$E20),1,"")))</f>
        <v/>
      </c>
      <c r="BO20" s="38">
        <f>IF(OR(BO$2="",$D20=""),"",IF(AND(ISNUMBER($F20),BO$2&gt;=$F20,BO$2&lt;=IF(ISNUMBER($G20),$G20,$F20+$E20-$D20)),2,IF(AND(BO$2&gt;=$D20,BO$2&lt;=$E20),1,"")))</f>
        <v/>
      </c>
      <c r="BP20" s="38">
        <f>IF(OR(BP$2="",$D20=""),"",IF(AND(ISNUMBER($F20),BP$2&gt;=$F20,BP$2&lt;=IF(ISNUMBER($G20),$G20,$F20+$E20-$D20)),2,IF(AND(BP$2&gt;=$D20,BP$2&lt;=$E20),1,"")))</f>
        <v/>
      </c>
      <c r="BQ20" s="38">
        <f>IF(OR(BQ$2="",$D20=""),"",IF(AND(ISNUMBER($F20),BQ$2&gt;=$F20,BQ$2&lt;=IF(ISNUMBER($G20),$G20,$F20+$E20-$D20)),2,IF(AND(BQ$2&gt;=$D20,BQ$2&lt;=$E20),1,"")))</f>
        <v/>
      </c>
      <c r="BR20" s="38">
        <f>IF(OR(BR$2="",$D20=""),"",IF(AND(ISNUMBER($F20),BR$2&gt;=$F20,BR$2&lt;=IF(ISNUMBER($G20),$G20,$F20+$E20-$D20)),2,IF(AND(BR$2&gt;=$D20,BR$2&lt;=$E20),1,"")))</f>
        <v/>
      </c>
      <c r="BS20" s="38">
        <f>IF(OR(BS$2="",$D20=""),"",IF(AND(ISNUMBER($F20),BS$2&gt;=$F20,BS$2&lt;=IF(ISNUMBER($G20),$G20,$F20+$E20-$D20)),2,IF(AND(BS$2&gt;=$D20,BS$2&lt;=$E20),1,"")))</f>
        <v/>
      </c>
      <c r="BT20" s="38">
        <f>IF(OR(BT$2="",$D20=""),"",IF(AND(ISNUMBER($F20),BT$2&gt;=$F20,BT$2&lt;=IF(ISNUMBER($G20),$G20,$F20+$E20-$D20)),2,IF(AND(BT$2&gt;=$D20,BT$2&lt;=$E20),1,"")))</f>
        <v/>
      </c>
      <c r="BU20" s="38">
        <f>IF(OR(BU$2="",$D20=""),"",IF(AND(ISNUMBER($F20),BU$2&gt;=$F20,BU$2&lt;=IF(ISNUMBER($G20),$G20,$F20+$E20-$D20)),2,IF(AND(BU$2&gt;=$D20,BU$2&lt;=$E20),1,"")))</f>
        <v/>
      </c>
      <c r="BV20" s="38">
        <f>IF(OR(BV$2="",$D20=""),"",IF(AND(ISNUMBER($F20),BV$2&gt;=$F20,BV$2&lt;=IF(ISNUMBER($G20),$G20,$F20+$E20-$D20)),2,IF(AND(BV$2&gt;=$D20,BV$2&lt;=$E20),1,"")))</f>
        <v/>
      </c>
      <c r="BW20" s="38">
        <f>IF(OR(BW$2="",$D20=""),"",IF(AND(ISNUMBER($F20),BW$2&gt;=$F20,BW$2&lt;=IF(ISNUMBER($G20),$G20,$F20+$E20-$D20)),2,IF(AND(BW$2&gt;=$D20,BW$2&lt;=$E20),1,"")))</f>
        <v/>
      </c>
      <c r="BX20" s="38">
        <f>IF(OR(BX$2="",$D20=""),"",IF(AND(ISNUMBER($F20),BX$2&gt;=$F20,BX$2&lt;=IF(ISNUMBER($G20),$G20,$F20+$E20-$D20)),2,IF(AND(BX$2&gt;=$D20,BX$2&lt;=$E20),1,"")))</f>
        <v/>
      </c>
      <c r="BY20" s="38">
        <f>IF(OR(BY$2="",$D20=""),"",IF(AND(ISNUMBER($F20),BY$2&gt;=$F20,BY$2&lt;=IF(ISNUMBER($G20),$G20,$F20+$E20-$D20)),2,IF(AND(BY$2&gt;=$D20,BY$2&lt;=$E20),1,"")))</f>
        <v/>
      </c>
      <c r="BZ20" s="38">
        <f>IF(OR(BZ$2="",$D20=""),"",IF(AND(ISNUMBER($F20),BZ$2&gt;=$F20,BZ$2&lt;=IF(ISNUMBER($G20),$G20,$F20+$E20-$D20)),2,IF(AND(BZ$2&gt;=$D20,BZ$2&lt;=$E20),1,"")))</f>
        <v/>
      </c>
      <c r="CA20" s="38">
        <f>IF(OR(CA$2="",$D20=""),"",IF(AND(ISNUMBER($F20),CA$2&gt;=$F20,CA$2&lt;=IF(ISNUMBER($G20),$G20,$F20+$E20-$D20)),2,IF(AND(CA$2&gt;=$D20,CA$2&lt;=$E20),1,"")))</f>
        <v/>
      </c>
      <c r="CB20" s="38">
        <f>IF(OR(CB$2="",$D20=""),"",IF(AND(ISNUMBER($F20),CB$2&gt;=$F20,CB$2&lt;=IF(ISNUMBER($G20),$G20,$F20+$E20-$D20)),2,IF(AND(CB$2&gt;=$D20,CB$2&lt;=$E20),1,"")))</f>
        <v/>
      </c>
      <c r="CC20" s="38">
        <f>IF(OR(CC$2="",$D20=""),"",IF(AND(ISNUMBER($F20),CC$2&gt;=$F20,CC$2&lt;=IF(ISNUMBER($G20),$G20,$F20+$E20-$D20)),2,IF(AND(CC$2&gt;=$D20,CC$2&lt;=$E20),1,"")))</f>
        <v/>
      </c>
      <c r="CD20" s="38">
        <f>IF(OR(CD$2="",$D20=""),"",IF(AND(ISNUMBER($F20),CD$2&gt;=$F20,CD$2&lt;=IF(ISNUMBER($G20),$G20,$F20+$E20-$D20)),2,IF(AND(CD$2&gt;=$D20,CD$2&lt;=$E20),1,"")))</f>
        <v/>
      </c>
      <c r="CE20" s="38">
        <f>IF(OR(CE$2="",$D20=""),"",IF(AND(ISNUMBER($F20),CE$2&gt;=$F20,CE$2&lt;=IF(ISNUMBER($G20),$G20,$F20+$E20-$D20)),2,IF(AND(CE$2&gt;=$D20,CE$2&lt;=$E20),1,"")))</f>
        <v/>
      </c>
      <c r="CF20" s="38">
        <f>IF(OR(CF$2="",$D20=""),"",IF(AND(ISNUMBER($F20),CF$2&gt;=$F20,CF$2&lt;=IF(ISNUMBER($G20),$G20,$F20+$E20-$D20)),2,IF(AND(CF$2&gt;=$D20,CF$2&lt;=$E20),1,"")))</f>
        <v/>
      </c>
      <c r="CG20" s="38">
        <f>IF(OR(CG$2="",$D20=""),"",IF(AND(ISNUMBER($F20),CG$2&gt;=$F20,CG$2&lt;=IF(ISNUMBER($G20),$G20,$F20+$E20-$D20)),2,IF(AND(CG$2&gt;=$D20,CG$2&lt;=$E20),1,"")))</f>
        <v/>
      </c>
      <c r="CH20" s="38">
        <f>IF(OR(CH$2="",$D20=""),"",IF(AND(ISNUMBER($F20),CH$2&gt;=$F20,CH$2&lt;=IF(ISNUMBER($G20),$G20,$F20+$E20-$D20)),2,IF(AND(CH$2&gt;=$D20,CH$2&lt;=$E20),1,"")))</f>
        <v/>
      </c>
      <c r="CI20" s="38">
        <f>IF(OR(CI$2="",$D20=""),"",IF(AND(ISNUMBER($F20),CI$2&gt;=$F20,CI$2&lt;=IF(ISNUMBER($G20),$G20,$F20+$E20-$D20)),2,IF(AND(CI$2&gt;=$D20,CI$2&lt;=$E20),1,"")))</f>
        <v/>
      </c>
      <c r="CJ20" s="38">
        <f>IF(OR(CJ$2="",$D20=""),"",IF(AND(ISNUMBER($F20),CJ$2&gt;=$F20,CJ$2&lt;=IF(ISNUMBER($G20),$G20,$F20+$E20-$D20)),2,IF(AND(CJ$2&gt;=$D20,CJ$2&lt;=$E20),1,"")))</f>
        <v/>
      </c>
      <c r="CK20" s="38">
        <f>IF(OR(CK$2="",$D20=""),"",IF(AND(ISNUMBER($F20),CK$2&gt;=$F20,CK$2&lt;=IF(ISNUMBER($G20),$G20,$F20+$E20-$D20)),2,IF(AND(CK$2&gt;=$D20,CK$2&lt;=$E20),1,"")))</f>
        <v/>
      </c>
      <c r="CL20" s="38">
        <f>IF(OR(CL$2="",$D20=""),"",IF(AND(ISNUMBER($F20),CL$2&gt;=$F20,CL$2&lt;=IF(ISNUMBER($G20),$G20,$F20+$E20-$D20)),2,IF(AND(CL$2&gt;=$D20,CL$2&lt;=$E20),1,"")))</f>
        <v/>
      </c>
      <c r="CM20" s="38">
        <f>IF(OR(CM$2="",$D20=""),"",IF(AND(ISNUMBER($F20),CM$2&gt;=$F20,CM$2&lt;=IF(ISNUMBER($G20),$G20,$F20+$E20-$D20)),2,IF(AND(CM$2&gt;=$D20,CM$2&lt;=$E20),1,"")))</f>
        <v/>
      </c>
      <c r="CN20" s="38">
        <f>IF(OR(CN$2="",$D20=""),"",IF(AND(ISNUMBER($F20),CN$2&gt;=$F20,CN$2&lt;=IF(ISNUMBER($G20),$G20,$F20+$E20-$D20)),2,IF(AND(CN$2&gt;=$D20,CN$2&lt;=$E20),1,"")))</f>
        <v/>
      </c>
      <c r="CO20" s="38">
        <f>IF(OR(CO$2="",$D20=""),"",IF(AND(ISNUMBER($F20),CO$2&gt;=$F20,CO$2&lt;=IF(ISNUMBER($G20),$G20,$F20+$E20-$D20)),2,IF(AND(CO$2&gt;=$D20,CO$2&lt;=$E20),1,"")))</f>
        <v/>
      </c>
      <c r="CP20" s="38">
        <f>IF(OR(CP$2="",$D20=""),"",IF(AND(ISNUMBER($F20),CP$2&gt;=$F20,CP$2&lt;=IF(ISNUMBER($G20),$G20,$F20+$E20-$D20)),2,IF(AND(CP$2&gt;=$D20,CP$2&lt;=$E20),1,"")))</f>
        <v/>
      </c>
      <c r="CQ20" s="38">
        <f>IF(OR(CQ$2="",$D20=""),"",IF(AND(ISNUMBER($F20),CQ$2&gt;=$F20,CQ$2&lt;=IF(ISNUMBER($G20),$G20,$F20+$E20-$D20)),2,IF(AND(CQ$2&gt;=$D20,CQ$2&lt;=$E20),1,"")))</f>
        <v/>
      </c>
      <c r="CR20" s="38">
        <f>IF(OR(CR$2="",$D20=""),"",IF(AND(ISNUMBER($F20),CR$2&gt;=$F20,CR$2&lt;=IF(ISNUMBER($G20),$G20,$F20+$E20-$D20)),2,IF(AND(CR$2&gt;=$D20,CR$2&lt;=$E20),1,"")))</f>
        <v/>
      </c>
      <c r="CS20" s="38">
        <f>IF(OR(CS$2="",$D20=""),"",IF(AND(ISNUMBER($F20),CS$2&gt;=$F20,CS$2&lt;=IF(ISNUMBER($G20),$G20,$F20+$E20-$D20)),2,IF(AND(CS$2&gt;=$D20,CS$2&lt;=$E20),1,"")))</f>
        <v/>
      </c>
      <c r="CT20" s="38">
        <f>IF(OR(CT$2="",$D20=""),"",IF(AND(ISNUMBER($F20),CT$2&gt;=$F20,CT$2&lt;=IF(ISNUMBER($G20),$G20,$F20+$E20-$D20)),2,IF(AND(CT$2&gt;=$D20,CT$2&lt;=$E20),1,"")))</f>
        <v/>
      </c>
      <c r="CU20" s="38">
        <f>IF(OR(CU$2="",$D20=""),"",IF(AND(ISNUMBER($F20),CU$2&gt;=$F20,CU$2&lt;=IF(ISNUMBER($G20),$G20,$F20+$E20-$D20)),2,IF(AND(CU$2&gt;=$D20,CU$2&lt;=$E20),1,"")))</f>
        <v/>
      </c>
      <c r="CV20" s="38">
        <f>IF(OR(CV$2="",$D20=""),"",IF(AND(ISNUMBER($F20),CV$2&gt;=$F20,CV$2&lt;=IF(ISNUMBER($G20),$G20,$F20+$E20-$D20)),2,IF(AND(CV$2&gt;=$D20,CV$2&lt;=$E20),1,"")))</f>
        <v/>
      </c>
      <c r="CW20" s="38">
        <f>IF(OR(CW$2="",$D20=""),"",IF(AND(ISNUMBER($F20),CW$2&gt;=$F20,CW$2&lt;=IF(ISNUMBER($G20),$G20,$F20+$E20-$D20)),2,IF(AND(CW$2&gt;=$D20,CW$2&lt;=$E20),1,"")))</f>
        <v/>
      </c>
      <c r="CX20" s="38">
        <f>IF(OR(CX$2="",$D20=""),"",IF(AND(ISNUMBER($F20),CX$2&gt;=$F20,CX$2&lt;=IF(ISNUMBER($G20),$G20,$F20+$E20-$D20)),2,IF(AND(CX$2&gt;=$D20,CX$2&lt;=$E20),1,"")))</f>
        <v/>
      </c>
      <c r="CY20" s="38">
        <f>IF(OR(CY$2="",$D20=""),"",IF(AND(ISNUMBER($F20),CY$2&gt;=$F20,CY$2&lt;=IF(ISNUMBER($G20),$G20,$F20+$E20-$D20)),2,IF(AND(CY$2&gt;=$D20,CY$2&lt;=$E20),1,"")))</f>
        <v/>
      </c>
      <c r="CZ20" s="38">
        <f>IF(OR(CZ$2="",$D20=""),"",IF(AND(ISNUMBER($F20),CZ$2&gt;=$F20,CZ$2&lt;=IF(ISNUMBER($G20),$G20,$F20+$E20-$D20)),2,IF(AND(CZ$2&gt;=$D20,CZ$2&lt;=$E20),1,"")))</f>
        <v/>
      </c>
      <c r="DA20" s="38">
        <f>IF(OR(DA$2="",$D20=""),"",IF(AND(ISNUMBER($F20),DA$2&gt;=$F20,DA$2&lt;=IF(ISNUMBER($G20),$G20,$F20+$E20-$D20)),2,IF(AND(DA$2&gt;=$D20,DA$2&lt;=$E20),1,"")))</f>
        <v/>
      </c>
      <c r="DB20" s="38">
        <f>IF(OR(DB$2="",$D20=""),"",IF(AND(ISNUMBER($F20),DB$2&gt;=$F20,DB$2&lt;=IF(ISNUMBER($G20),$G20,$F20+$E20-$D20)),2,IF(AND(DB$2&gt;=$D20,DB$2&lt;=$E20),1,"")))</f>
        <v/>
      </c>
      <c r="DC20" s="38">
        <f>IF(OR(DC$2="",$D20=""),"",IF(AND(ISNUMBER($F20),DC$2&gt;=$F20,DC$2&lt;=IF(ISNUMBER($G20),$G20,$F20+$E20-$D20)),2,IF(AND(DC$2&gt;=$D20,DC$2&lt;=$E20),1,"")))</f>
        <v/>
      </c>
      <c r="DD20" s="38">
        <f>IF(OR(DD$2="",$D20=""),"",IF(AND(ISNUMBER($F20),DD$2&gt;=$F20,DD$2&lt;=IF(ISNUMBER($G20),$G20,$F20+$E20-$D20)),2,IF(AND(DD$2&gt;=$D20,DD$2&lt;=$E20),1,"")))</f>
        <v/>
      </c>
      <c r="DE20" s="38">
        <f>IF(OR(DE$2="",$D20=""),"",IF(AND(ISNUMBER($F20),DE$2&gt;=$F20,DE$2&lt;=IF(ISNUMBER($G20),$G20,$F20+$E20-$D20)),2,IF(AND(DE$2&gt;=$D20,DE$2&lt;=$E20),1,"")))</f>
        <v/>
      </c>
      <c r="DF20" s="38">
        <f>IF(OR(DF$2="",$D20=""),"",IF(AND(ISNUMBER($F20),DF$2&gt;=$F20,DF$2&lt;=IF(ISNUMBER($G20),$G20,$F20+$E20-$D20)),2,IF(AND(DF$2&gt;=$D20,DF$2&lt;=$E20),1,"")))</f>
        <v/>
      </c>
      <c r="DG20" s="38">
        <f>IF(OR(DG$2="",$D20=""),"",IF(AND(ISNUMBER($F20),DG$2&gt;=$F20,DG$2&lt;=IF(ISNUMBER($G20),$G20,$F20+$E20-$D20)),2,IF(AND(DG$2&gt;=$D20,DG$2&lt;=$E20),1,"")))</f>
        <v/>
      </c>
      <c r="DH20" s="38">
        <f>IF(OR(DH$2="",$D20=""),"",IF(AND(ISNUMBER($F20),DH$2&gt;=$F20,DH$2&lt;=IF(ISNUMBER($G20),$G20,$F20+$E20-$D20)),2,IF(AND(DH$2&gt;=$D20,DH$2&lt;=$E20),1,"")))</f>
        <v/>
      </c>
      <c r="DI20" s="38">
        <f>IF(OR(DI$2="",$D20=""),"",IF(AND(ISNUMBER($F20),DI$2&gt;=$F20,DI$2&lt;=IF(ISNUMBER($G20),$G20,$F20+$E20-$D20)),2,IF(AND(DI$2&gt;=$D20,DI$2&lt;=$E20),1,"")))</f>
        <v/>
      </c>
      <c r="DJ20" s="38">
        <f>IF(OR(DJ$2="",$D20=""),"",IF(AND(ISNUMBER($F20),DJ$2&gt;=$F20,DJ$2&lt;=IF(ISNUMBER($G20),$G20,$F20+$E20-$D20)),2,IF(AND(DJ$2&gt;=$D20,DJ$2&lt;=$E20),1,"")))</f>
        <v/>
      </c>
      <c r="DK20" s="38">
        <f>IF(OR(DK$2="",$D20=""),"",IF(AND(ISNUMBER($F20),DK$2&gt;=$F20,DK$2&lt;=IF(ISNUMBER($G20),$G20,$F20+$E20-$D20)),2,IF(AND(DK$2&gt;=$D20,DK$2&lt;=$E20),1,"")))</f>
        <v/>
      </c>
      <c r="DL20" s="38">
        <f>IF(OR(DL$2="",$D20=""),"",IF(AND(ISNUMBER($F20),DL$2&gt;=$F20,DL$2&lt;=IF(ISNUMBER($G20),$G20,$F20+$E20-$D20)),2,IF(AND(DL$2&gt;=$D20,DL$2&lt;=$E20),1,"")))</f>
        <v/>
      </c>
      <c r="DM20" s="38">
        <f>IF(OR(DM$2="",$D20=""),"",IF(AND(ISNUMBER($F20),DM$2&gt;=$F20,DM$2&lt;=IF(ISNUMBER($G20),$G20,$F20+$E20-$D20)),2,IF(AND(DM$2&gt;=$D20,DM$2&lt;=$E20),1,"")))</f>
        <v/>
      </c>
      <c r="DN20" s="38">
        <f>IF(OR(DN$2="",$D20=""),"",IF(AND(ISNUMBER($F20),DN$2&gt;=$F20,DN$2&lt;=IF(ISNUMBER($G20),$G20,$F20+$E20-$D20)),2,IF(AND(DN$2&gt;=$D20,DN$2&lt;=$E20),1,"")))</f>
        <v/>
      </c>
      <c r="DO20" s="38">
        <f>IF(OR(DO$2="",$D20=""),"",IF(AND(ISNUMBER($F20),DO$2&gt;=$F20,DO$2&lt;=IF(ISNUMBER($G20),$G20,$F20+$E20-$D20)),2,IF(AND(DO$2&gt;=$D20,DO$2&lt;=$E20),1,"")))</f>
        <v/>
      </c>
      <c r="DP20" s="38">
        <f>IF(OR(DP$2="",$D20=""),"",IF(AND(ISNUMBER($F20),DP$2&gt;=$F20,DP$2&lt;=IF(ISNUMBER($G20),$G20,$F20+$E20-$D20)),2,IF(AND(DP$2&gt;=$D20,DP$2&lt;=$E20),1,"")))</f>
        <v/>
      </c>
      <c r="DQ20" s="38">
        <f>IF(OR(DQ$2="",$D20=""),"",IF(AND(ISNUMBER($F20),DQ$2&gt;=$F20,DQ$2&lt;=IF(ISNUMBER($G20),$G20,$F20+$E20-$D20)),2,IF(AND(DQ$2&gt;=$D20,DQ$2&lt;=$E20),1,"")))</f>
        <v/>
      </c>
      <c r="DR20" s="38">
        <f>IF(OR(DR$2="",$D20=""),"",IF(AND(ISNUMBER($F20),DR$2&gt;=$F20,DR$2&lt;=IF(ISNUMBER($G20),$G20,$F20+$E20-$D20)),2,IF(AND(DR$2&gt;=$D20,DR$2&lt;=$E20),1,"")))</f>
        <v/>
      </c>
      <c r="DS20" s="38">
        <f>IF(OR(DS$2="",$D20=""),"",IF(AND(ISNUMBER($F20),DS$2&gt;=$F20,DS$2&lt;=IF(ISNUMBER($G20),$G20,$F20+$E20-$D20)),2,IF(AND(DS$2&gt;=$D20,DS$2&lt;=$E20),1,"")))</f>
        <v/>
      </c>
      <c r="DT20" s="38">
        <f>IF(OR(DT$2="",$D20=""),"",IF(AND(ISNUMBER($F20),DT$2&gt;=$F20,DT$2&lt;=IF(ISNUMBER($G20),$G20,$F20+$E20-$D20)),2,IF(AND(DT$2&gt;=$D20,DT$2&lt;=$E20),1,"")))</f>
        <v/>
      </c>
      <c r="DU20" s="38">
        <f>IF(OR(DU$2="",$D20=""),"",IF(AND(ISNUMBER($F20),DU$2&gt;=$F20,DU$2&lt;=IF(ISNUMBER($G20),$G20,$F20+$E20-$D20)),2,IF(AND(DU$2&gt;=$D20,DU$2&lt;=$E20),1,"")))</f>
        <v/>
      </c>
      <c r="DV20" s="38">
        <f>IF(OR(DV$2="",$D20=""),"",IF(AND(ISNUMBER($F20),DV$2&gt;=$F20,DV$2&lt;=IF(ISNUMBER($G20),$G20,$F20+$E20-$D20)),2,IF(AND(DV$2&gt;=$D20,DV$2&lt;=$E20),1,"")))</f>
        <v/>
      </c>
      <c r="DW20" s="38">
        <f>IF(OR(DW$2="",$D20=""),"",IF(AND(ISNUMBER($F20),DW$2&gt;=$F20,DW$2&lt;=IF(ISNUMBER($G20),$G20,$F20+$E20-$D20)),2,IF(AND(DW$2&gt;=$D20,DW$2&lt;=$E20),1,"")))</f>
        <v/>
      </c>
      <c r="DX20" s="38">
        <f>IF(OR(DX$2="",$D20=""),"",IF(AND(ISNUMBER($F20),DX$2&gt;=$F20,DX$2&lt;=IF(ISNUMBER($G20),$G20,$F20+$E20-$D20)),2,IF(AND(DX$2&gt;=$D20,DX$2&lt;=$E20),1,"")))</f>
        <v/>
      </c>
      <c r="DY20" s="38">
        <f>IF(OR(DY$2="",$D20=""),"",IF(AND(ISNUMBER($F20),DY$2&gt;=$F20,DY$2&lt;=IF(ISNUMBER($G20),$G20,$F20+$E20-$D20)),2,IF(AND(DY$2&gt;=$D20,DY$2&lt;=$E20),1,"")))</f>
        <v/>
      </c>
      <c r="DZ20" s="38">
        <f>IF(OR(DZ$2="",$D20=""),"",IF(AND(ISNUMBER($F20),DZ$2&gt;=$F20,DZ$2&lt;=IF(ISNUMBER($G20),$G20,$F20+$E20-$D20)),2,IF(AND(DZ$2&gt;=$D20,DZ$2&lt;=$E20),1,"")))</f>
        <v/>
      </c>
      <c r="EA20" s="38">
        <f>IF(OR(EA$2="",$D20=""),"",IF(AND(ISNUMBER($F20),EA$2&gt;=$F20,EA$2&lt;=IF(ISNUMBER($G20),$G20,$F20+$E20-$D20)),2,IF(AND(EA$2&gt;=$D20,EA$2&lt;=$E20),1,"")))</f>
        <v/>
      </c>
      <c r="EB20" s="38">
        <f>IF(OR(EB$2="",$D20=""),"",IF(AND(ISNUMBER($F20),EB$2&gt;=$F20,EB$2&lt;=IF(ISNUMBER($G20),$G20,$F20+$E20-$D20)),2,IF(AND(EB$2&gt;=$D20,EB$2&lt;=$E20),1,"")))</f>
        <v/>
      </c>
      <c r="EC20" s="38">
        <f>IF(OR(EC$2="",$D20=""),"",IF(AND(ISNUMBER($F20),EC$2&gt;=$F20,EC$2&lt;=IF(ISNUMBER($G20),$G20,$F20+$E20-$D20)),2,IF(AND(EC$2&gt;=$D20,EC$2&lt;=$E20),1,"")))</f>
        <v/>
      </c>
      <c r="ED20" s="38">
        <f>IF(OR(ED$2="",$D20=""),"",IF(AND(ISNUMBER($F20),ED$2&gt;=$F20,ED$2&lt;=IF(ISNUMBER($G20),$G20,$F20+$E20-$D20)),2,IF(AND(ED$2&gt;=$D20,ED$2&lt;=$E20),1,"")))</f>
        <v/>
      </c>
      <c r="EE20" s="38">
        <f>IF(OR(EE$2="",$D20=""),"",IF(AND(ISNUMBER($F20),EE$2&gt;=$F20,EE$2&lt;=IF(ISNUMBER($G20),$G20,$F20+$E20-$D20)),2,IF(AND(EE$2&gt;=$D20,EE$2&lt;=$E20),1,"")))</f>
        <v/>
      </c>
      <c r="EF20" s="38">
        <f>IF(OR(EF$2="",$D20=""),"",IF(AND(ISNUMBER($F20),EF$2&gt;=$F20,EF$2&lt;=IF(ISNUMBER($G20),$G20,$F20+$E20-$D20)),2,IF(AND(EF$2&gt;=$D20,EF$2&lt;=$E20),1,"")))</f>
        <v/>
      </c>
      <c r="EG20" s="38">
        <f>IF(OR(EG$2="",$D20=""),"",IF(AND(ISNUMBER($F20),EG$2&gt;=$F20,EG$2&lt;=IF(ISNUMBER($G20),$G20,$F20+$E20-$D20)),2,IF(AND(EG$2&gt;=$D20,EG$2&lt;=$E20),1,"")))</f>
        <v/>
      </c>
      <c r="EH20" s="38">
        <f>IF(OR(EH$2="",$D20=""),"",IF(AND(ISNUMBER($F20),EH$2&gt;=$F20,EH$2&lt;=IF(ISNUMBER($G20),$G20,$F20+$E20-$D20)),2,IF(AND(EH$2&gt;=$D20,EH$2&lt;=$E20),1,"")))</f>
        <v/>
      </c>
      <c r="EI20" s="38">
        <f>IF(OR(EI$2="",$D20=""),"",IF(AND(ISNUMBER($F20),EI$2&gt;=$F20,EI$2&lt;=IF(ISNUMBER($G20),$G20,$F20+$E20-$D20)),2,IF(AND(EI$2&gt;=$D20,EI$2&lt;=$E20),1,"")))</f>
        <v/>
      </c>
      <c r="EJ20" s="38">
        <f>IF(OR(EJ$2="",$D20=""),"",IF(AND(ISNUMBER($F20),EJ$2&gt;=$F20,EJ$2&lt;=IF(ISNUMBER($G20),$G20,$F20+$E20-$D20)),2,IF(AND(EJ$2&gt;=$D20,EJ$2&lt;=$E20),1,"")))</f>
        <v/>
      </c>
      <c r="EK20" s="38">
        <f>IF(OR(EK$2="",$D20=""),"",IF(AND(ISNUMBER($F20),EK$2&gt;=$F20,EK$2&lt;=IF(ISNUMBER($G20),$G20,$F20+$E20-$D20)),2,IF(AND(EK$2&gt;=$D20,EK$2&lt;=$E20),1,"")))</f>
        <v/>
      </c>
      <c r="EL20" s="38">
        <f>IF(OR(EL$2="",$D20=""),"",IF(AND(ISNUMBER($F20),EL$2&gt;=$F20,EL$2&lt;=IF(ISNUMBER($G20),$G20,$F20+$E20-$D20)),2,IF(AND(EL$2&gt;=$D20,EL$2&lt;=$E20),1,"")))</f>
        <v/>
      </c>
      <c r="EM20" s="38">
        <f>IF(OR(EM$2="",$D20=""),"",IF(AND(ISNUMBER($F20),EM$2&gt;=$F20,EM$2&lt;=IF(ISNUMBER($G20),$G20,$F20+$E20-$D20)),2,IF(AND(EM$2&gt;=$D20,EM$2&lt;=$E20),1,"")))</f>
        <v/>
      </c>
      <c r="EN20" s="38">
        <f>IF(OR(EN$2="",$D20=""),"",IF(AND(ISNUMBER($F20),EN$2&gt;=$F20,EN$2&lt;=IF(ISNUMBER($G20),$G20,$F20+$E20-$D20)),2,IF(AND(EN$2&gt;=$D20,EN$2&lt;=$E20),1,"")))</f>
        <v/>
      </c>
      <c r="EO20" s="38">
        <f>IF(OR(EO$2="",$D20=""),"",IF(AND(ISNUMBER($F20),EO$2&gt;=$F20,EO$2&lt;=IF(ISNUMBER($G20),$G20,$F20+$E20-$D20)),2,IF(AND(EO$2&gt;=$D20,EO$2&lt;=$E20),1,"")))</f>
        <v/>
      </c>
      <c r="EP20" s="38">
        <f>IF(OR(EP$2="",$D20=""),"",IF(AND(ISNUMBER($F20),EP$2&gt;=$F20,EP$2&lt;=IF(ISNUMBER($G20),$G20,$F20+$E20-$D20)),2,IF(AND(EP$2&gt;=$D20,EP$2&lt;=$E20),1,"")))</f>
        <v/>
      </c>
      <c r="EQ20" s="38">
        <f>IF(OR(EQ$2="",$D20=""),"",IF(AND(ISNUMBER($F20),EQ$2&gt;=$F20,EQ$2&lt;=IF(ISNUMBER($G20),$G20,$F20+$E20-$D20)),2,IF(AND(EQ$2&gt;=$D20,EQ$2&lt;=$E20),1,"")))</f>
        <v/>
      </c>
      <c r="ER20" s="38">
        <f>IF(OR(ER$2="",$D20=""),"",IF(AND(ISNUMBER($F20),ER$2&gt;=$F20,ER$2&lt;=IF(ISNUMBER($G20),$G20,$F20+$E20-$D20)),2,IF(AND(ER$2&gt;=$D20,ER$2&lt;=$E20),1,"")))</f>
        <v/>
      </c>
      <c r="ES20" s="38">
        <f>IF(OR(ES$2="",$D20=""),"",IF(AND(ISNUMBER($F20),ES$2&gt;=$F20,ES$2&lt;=IF(ISNUMBER($G20),$G20,$F20+$E20-$D20)),2,IF(AND(ES$2&gt;=$D20,ES$2&lt;=$E20),1,"")))</f>
        <v/>
      </c>
      <c r="ET20" s="38">
        <f>IF(OR(ET$2="",$D20=""),"",IF(AND(ISNUMBER($F20),ET$2&gt;=$F20,ET$2&lt;=IF(ISNUMBER($G20),$G20,$F20+$E20-$D20)),2,IF(AND(ET$2&gt;=$D20,ET$2&lt;=$E20),1,"")))</f>
        <v/>
      </c>
      <c r="EU20" s="38">
        <f>IF(OR(EU$2="",$D20=""),"",IF(AND(ISNUMBER($F20),EU$2&gt;=$F20,EU$2&lt;=IF(ISNUMBER($G20),$G20,$F20+$E20-$D20)),2,IF(AND(EU$2&gt;=$D20,EU$2&lt;=$E20),1,"")))</f>
        <v/>
      </c>
      <c r="EV20" s="38">
        <f>IF(OR(EV$2="",$D20=""),"",IF(AND(ISNUMBER($F20),EV$2&gt;=$F20,EV$2&lt;=IF(ISNUMBER($G20),$G20,$F20+$E20-$D20)),2,IF(AND(EV$2&gt;=$D20,EV$2&lt;=$E20),1,"")))</f>
        <v/>
      </c>
      <c r="EW20" s="38">
        <f>IF(OR(EW$2="",$D20=""),"",IF(AND(ISNUMBER($F20),EW$2&gt;=$F20,EW$2&lt;=IF(ISNUMBER($G20),$G20,$F20+$E20-$D20)),2,IF(AND(EW$2&gt;=$D20,EW$2&lt;=$E20),1,"")))</f>
        <v/>
      </c>
      <c r="EX20" s="38">
        <f>IF(OR(EX$2="",$D20=""),"",IF(AND(ISNUMBER($F20),EX$2&gt;=$F20,EX$2&lt;=IF(ISNUMBER($G20),$G20,$F20+$E20-$D20)),2,IF(AND(EX$2&gt;=$D20,EX$2&lt;=$E20),1,"")))</f>
        <v/>
      </c>
      <c r="EY20" s="38">
        <f>IF(OR(EY$2="",$D20=""),"",IF(AND(ISNUMBER($F20),EY$2&gt;=$F20,EY$2&lt;=IF(ISNUMBER($G20),$G20,$F20+$E20-$D20)),2,IF(AND(EY$2&gt;=$D20,EY$2&lt;=$E20),1,"")))</f>
        <v/>
      </c>
      <c r="EZ20" s="38">
        <f>IF(OR(EZ$2="",$D20=""),"",IF(AND(ISNUMBER($F20),EZ$2&gt;=$F20,EZ$2&lt;=IF(ISNUMBER($G20),$G20,$F20+$E20-$D20)),2,IF(AND(EZ$2&gt;=$D20,EZ$2&lt;=$E20),1,"")))</f>
        <v/>
      </c>
      <c r="FA20" s="38">
        <f>IF(OR(FA$2="",$D20=""),"",IF(AND(ISNUMBER($F20),FA$2&gt;=$F20,FA$2&lt;=IF(ISNUMBER($G20),$G20,$F20+$E20-$D20)),2,IF(AND(FA$2&gt;=$D20,FA$2&lt;=$E20),1,"")))</f>
        <v/>
      </c>
      <c r="FB20" s="38">
        <f>IF(OR(FB$2="",$D20=""),"",IF(AND(ISNUMBER($F20),FB$2&gt;=$F20,FB$2&lt;=IF(ISNUMBER($G20),$G20,$F20+$E20-$D20)),2,IF(AND(FB$2&gt;=$D20,FB$2&lt;=$E20),1,"")))</f>
        <v/>
      </c>
      <c r="FC20" s="38">
        <f>IF(OR(FC$2="",$D20=""),"",IF(AND(ISNUMBER($F20),FC$2&gt;=$F20,FC$2&lt;=IF(ISNUMBER($G20),$G20,$F20+$E20-$D20)),2,IF(AND(FC$2&gt;=$D20,FC$2&lt;=$E20),1,"")))</f>
        <v/>
      </c>
      <c r="FD20" s="38">
        <f>IF(OR(FD$2="",$D20=""),"",IF(AND(ISNUMBER($F20),FD$2&gt;=$F20,FD$2&lt;=IF(ISNUMBER($G20),$G20,$F20+$E20-$D20)),2,IF(AND(FD$2&gt;=$D20,FD$2&lt;=$E20),1,"")))</f>
        <v/>
      </c>
      <c r="FE20" s="38">
        <f>IF(OR(FE$2="",$D20=""),"",IF(AND(ISNUMBER($F20),FE$2&gt;=$F20,FE$2&lt;=IF(ISNUMBER($G20),$G20,$F20+$E20-$D20)),2,IF(AND(FE$2&gt;=$D20,FE$2&lt;=$E20),1,"")))</f>
        <v/>
      </c>
      <c r="FF20" s="38">
        <f>IF(OR(FF$2="",$D20=""),"",IF(AND(ISNUMBER($F20),FF$2&gt;=$F20,FF$2&lt;=IF(ISNUMBER($G20),$G20,$F20+$E20-$D20)),2,IF(AND(FF$2&gt;=$D20,FF$2&lt;=$E20),1,"")))</f>
        <v/>
      </c>
      <c r="FG20" s="38">
        <f>IF(OR(FG$2="",$D20=""),"",IF(AND(ISNUMBER($F20),FG$2&gt;=$F20,FG$2&lt;=IF(ISNUMBER($G20),$G20,$F20+$E20-$D20)),2,IF(AND(FG$2&gt;=$D20,FG$2&lt;=$E20),1,"")))</f>
        <v/>
      </c>
      <c r="FH20" s="38">
        <f>IF(OR(FH$2="",$D20=""),"",IF(AND(ISNUMBER($F20),FH$2&gt;=$F20,FH$2&lt;=IF(ISNUMBER($G20),$G20,$F20+$E20-$D20)),2,IF(AND(FH$2&gt;=$D20,FH$2&lt;=$E20),1,"")))</f>
        <v/>
      </c>
      <c r="FI20" s="38">
        <f>IF(OR(FI$2="",$D20=""),"",IF(AND(ISNUMBER($F20),FI$2&gt;=$F20,FI$2&lt;=IF(ISNUMBER($G20),$G20,$F20+$E20-$D20)),2,IF(AND(FI$2&gt;=$D20,FI$2&lt;=$E20),1,"")))</f>
        <v/>
      </c>
      <c r="FJ20" s="38">
        <f>IF(OR(FJ$2="",$D20=""),"",IF(AND(ISNUMBER($F20),FJ$2&gt;=$F20,FJ$2&lt;=IF(ISNUMBER($G20),$G20,$F20+$E20-$D20)),2,IF(AND(FJ$2&gt;=$D20,FJ$2&lt;=$E20),1,"")))</f>
        <v/>
      </c>
      <c r="FK20" s="38">
        <f>IF(OR(FK$2="",$D20=""),"",IF(AND(ISNUMBER($F20),FK$2&gt;=$F20,FK$2&lt;=IF(ISNUMBER($G20),$G20,$F20+$E20-$D20)),2,IF(AND(FK$2&gt;=$D20,FK$2&lt;=$E20),1,"")))</f>
        <v/>
      </c>
      <c r="FL20" s="38">
        <f>IF(OR(FL$2="",$D20=""),"",IF(AND(ISNUMBER($F20),FL$2&gt;=$F20,FL$2&lt;=IF(ISNUMBER($G20),$G20,$F20+$E20-$D20)),2,IF(AND(FL$2&gt;=$D20,FL$2&lt;=$E20),1,"")))</f>
        <v/>
      </c>
      <c r="FM20" s="38">
        <f>IF(OR(FM$2="",$D20=""),"",IF(AND(ISNUMBER($F20),FM$2&gt;=$F20,FM$2&lt;=IF(ISNUMBER($G20),$G20,$F20+$E20-$D20)),2,IF(AND(FM$2&gt;=$D20,FM$2&lt;=$E20),1,"")))</f>
        <v/>
      </c>
      <c r="FN20" s="38">
        <f>IF(OR(FN$2="",$D20=""),"",IF(AND(ISNUMBER($F20),FN$2&gt;=$F20,FN$2&lt;=IF(ISNUMBER($G20),$G20,$F20+$E20-$D20)),2,IF(AND(FN$2&gt;=$D20,FN$2&lt;=$E20),1,"")))</f>
        <v/>
      </c>
      <c r="FO20" s="38">
        <f>IF(OR(FO$2="",$D20=""),"",IF(AND(ISNUMBER($F20),FO$2&gt;=$F20,FO$2&lt;=IF(ISNUMBER($G20),$G20,$F20+$E20-$D20)),2,IF(AND(FO$2&gt;=$D20,FO$2&lt;=$E20),1,"")))</f>
        <v/>
      </c>
      <c r="FP20" s="38">
        <f>IF(OR(FP$2="",$D20=""),"",IF(AND(ISNUMBER($F20),FP$2&gt;=$F20,FP$2&lt;=IF(ISNUMBER($G20),$G20,$F20+$E20-$D20)),2,IF(AND(FP$2&gt;=$D20,FP$2&lt;=$E20),1,"")))</f>
        <v/>
      </c>
      <c r="FQ20" s="38">
        <f>IF(OR(FQ$2="",$D20=""),"",IF(AND(ISNUMBER($F20),FQ$2&gt;=$F20,FQ$2&lt;=IF(ISNUMBER($G20),$G20,$F20+$E20-$D20)),2,IF(AND(FQ$2&gt;=$D20,FQ$2&lt;=$E20),1,"")))</f>
        <v/>
      </c>
      <c r="FR20" s="38">
        <f>IF(OR(FR$2="",$D20=""),"",IF(AND(ISNUMBER($F20),FR$2&gt;=$F20,FR$2&lt;=IF(ISNUMBER($G20),$G20,$F20+$E20-$D20)),2,IF(AND(FR$2&gt;=$D20,FR$2&lt;=$E20),1,"")))</f>
        <v/>
      </c>
      <c r="FS20" s="38">
        <f>IF(OR(FS$2="",$D20=""),"",IF(AND(ISNUMBER($F20),FS$2&gt;=$F20,FS$2&lt;=IF(ISNUMBER($G20),$G20,$F20+$E20-$D20)),2,IF(AND(FS$2&gt;=$D20,FS$2&lt;=$E20),1,"")))</f>
        <v/>
      </c>
      <c r="FT20" s="38">
        <f>IF(OR(FT$2="",$D20=""),"",IF(AND(ISNUMBER($F20),FT$2&gt;=$F20,FT$2&lt;=IF(ISNUMBER($G20),$G20,$F20+$E20-$D20)),2,IF(AND(FT$2&gt;=$D20,FT$2&lt;=$E20),1,"")))</f>
        <v/>
      </c>
      <c r="FU20" s="38">
        <f>IF(OR(FU$2="",$D20=""),"",IF(AND(ISNUMBER($F20),FU$2&gt;=$F20,FU$2&lt;=IF(ISNUMBER($G20),$G20,$F20+$E20-$D20)),2,IF(AND(FU$2&gt;=$D20,FU$2&lt;=$E20),1,"")))</f>
        <v/>
      </c>
      <c r="FV20" s="38">
        <f>IF(OR(FV$2="",$D20=""),"",IF(AND(ISNUMBER($F20),FV$2&gt;=$F20,FV$2&lt;=IF(ISNUMBER($G20),$G20,$F20+$E20-$D20)),2,IF(AND(FV$2&gt;=$D20,FV$2&lt;=$E20),1,"")))</f>
        <v/>
      </c>
      <c r="FW20" s="38">
        <f>IF(OR(FW$2="",$D20=""),"",IF(AND(ISNUMBER($F20),FW$2&gt;=$F20,FW$2&lt;=IF(ISNUMBER($G20),$G20,$F20+$E20-$D20)),2,IF(AND(FW$2&gt;=$D20,FW$2&lt;=$E20),1,"")))</f>
        <v/>
      </c>
      <c r="FX20" s="38">
        <f>IF(OR(FX$2="",$D20=""),"",IF(AND(ISNUMBER($F20),FX$2&gt;=$F20,FX$2&lt;=IF(ISNUMBER($G20),$G20,$F20+$E20-$D20)),2,IF(AND(FX$2&gt;=$D20,FX$2&lt;=$E20),1,"")))</f>
        <v/>
      </c>
      <c r="FY20" s="38">
        <f>IF(OR(FY$2="",$D20=""),"",IF(AND(ISNUMBER($F20),FY$2&gt;=$F20,FY$2&lt;=IF(ISNUMBER($G20),$G20,$F20+$E20-$D20)),2,IF(AND(FY$2&gt;=$D20,FY$2&lt;=$E20),1,"")))</f>
        <v/>
      </c>
      <c r="FZ20" s="38">
        <f>IF(OR(FZ$2="",$D20=""),"",IF(AND(ISNUMBER($F20),FZ$2&gt;=$F20,FZ$2&lt;=IF(ISNUMBER($G20),$G20,$F20+$E20-$D20)),2,IF(AND(FZ$2&gt;=$D20,FZ$2&lt;=$E20),1,"")))</f>
        <v/>
      </c>
      <c r="GA20" s="38">
        <f>IF(OR(GA$2="",$D20=""),"",IF(AND(ISNUMBER($F20),GA$2&gt;=$F20,GA$2&lt;=IF(ISNUMBER($G20),$G20,$F20+$E20-$D20)),2,IF(AND(GA$2&gt;=$D20,GA$2&lt;=$E20),1,"")))</f>
        <v/>
      </c>
      <c r="GB20" s="38">
        <f>IF(OR(GB$2="",$D20=""),"",IF(AND(ISNUMBER($F20),GB$2&gt;=$F20,GB$2&lt;=IF(ISNUMBER($G20),$G20,$F20+$E20-$D20)),2,IF(AND(GB$2&gt;=$D20,GB$2&lt;=$E20),1,"")))</f>
        <v/>
      </c>
      <c r="GC20" s="38">
        <f>IF(OR(GC$2="",$D20=""),"",IF(AND(ISNUMBER($F20),GC$2&gt;=$F20,GC$2&lt;=IF(ISNUMBER($G20),$G20,$F20+$E20-$D20)),2,IF(AND(GC$2&gt;=$D20,GC$2&lt;=$E20),1,"")))</f>
        <v/>
      </c>
      <c r="GD20" s="38">
        <f>IF(OR(GD$2="",$D20=""),"",IF(AND(ISNUMBER($F20),GD$2&gt;=$F20,GD$2&lt;=IF(ISNUMBER($G20),$G20,$F20+$E20-$D20)),2,IF(AND(GD$2&gt;=$D20,GD$2&lt;=$E20),1,"")))</f>
        <v/>
      </c>
      <c r="GE20" s="38">
        <f>IF(OR(GE$2="",$D20=""),"",IF(AND(ISNUMBER($F20),GE$2&gt;=$F20,GE$2&lt;=IF(ISNUMBER($G20),$G20,$F20+$E20-$D20)),2,IF(AND(GE$2&gt;=$D20,GE$2&lt;=$E20),1,"")))</f>
        <v/>
      </c>
    </row>
    <row r="21">
      <c r="A21" s="36" t="inlineStr">
        <is>
          <t>3F4D-5</t>
        </is>
      </c>
      <c r="B21" s="12" t="inlineStr">
        <is>
          <t>৩এফ৪ডি-5</t>
        </is>
      </c>
      <c r="C21" s="12" t="inlineStr">
        <is>
          <t>3F4D+MD</t>
        </is>
      </c>
      <c r="D21" s="7">
        <f>IF(Day_0="","",Day_0+cfg_6-cfg_8+cfg_13*4)</f>
        <v/>
      </c>
      <c r="E21" s="7">
        <f>IF(Day_0="","",Day_0+cfg_6-cfg_8+cfg_13*5)</f>
        <v/>
      </c>
      <c r="F21" s="37" t="n"/>
      <c r="G21" s="37" t="n"/>
      <c r="H21" s="6">
        <f>IF(D21="","no plan",IF(F21&lt;&gt;"",IF(F21-D21&gt;=2,"LATE","OK"),IF(TODAY()&gt;D21+2,"OVERDUE","upcoming")))</f>
        <v/>
      </c>
      <c r="I21" s="6">
        <f>IF(AND(D21&lt;&gt;"",F21&lt;&gt;""),F21-D21,"")</f>
        <v/>
      </c>
      <c r="J21" s="7">
        <f>IF(F21&lt;&gt;"",F21,D21)</f>
        <v/>
      </c>
      <c r="K21" s="7">
        <f>IF(G21&lt;&gt;"",G21,IF(AND(F21&lt;&gt;"",E21=D21),F21,E21))</f>
        <v/>
      </c>
      <c r="L21" s="6">
        <f>IF(AND(D21&lt;&gt;"",F21="",D21&gt;=TODAY()),D21+ROW()/1000,"")</f>
        <v/>
      </c>
      <c r="M21" s="38">
        <f>IF(OR(M$2="",$D21=""),"",IF(AND(ISNUMBER($F21),M$2&gt;=$F21,M$2&lt;=IF(ISNUMBER($G21),$G21,$F21+$E21-$D21)),2,IF(AND(M$2&gt;=$D21,M$2&lt;=$E21),1,"")))</f>
        <v/>
      </c>
      <c r="N21" s="38">
        <f>IF(OR(N$2="",$D21=""),"",IF(AND(ISNUMBER($F21),N$2&gt;=$F21,N$2&lt;=IF(ISNUMBER($G21),$G21,$F21+$E21-$D21)),2,IF(AND(N$2&gt;=$D21,N$2&lt;=$E21),1,"")))</f>
        <v/>
      </c>
      <c r="O21" s="38">
        <f>IF(OR(O$2="",$D21=""),"",IF(AND(ISNUMBER($F21),O$2&gt;=$F21,O$2&lt;=IF(ISNUMBER($G21),$G21,$F21+$E21-$D21)),2,IF(AND(O$2&gt;=$D21,O$2&lt;=$E21),1,"")))</f>
        <v/>
      </c>
      <c r="P21" s="38">
        <f>IF(OR(P$2="",$D21=""),"",IF(AND(ISNUMBER($F21),P$2&gt;=$F21,P$2&lt;=IF(ISNUMBER($G21),$G21,$F21+$E21-$D21)),2,IF(AND(P$2&gt;=$D21,P$2&lt;=$E21),1,"")))</f>
        <v/>
      </c>
      <c r="Q21" s="38">
        <f>IF(OR(Q$2="",$D21=""),"",IF(AND(ISNUMBER($F21),Q$2&gt;=$F21,Q$2&lt;=IF(ISNUMBER($G21),$G21,$F21+$E21-$D21)),2,IF(AND(Q$2&gt;=$D21,Q$2&lt;=$E21),1,"")))</f>
        <v/>
      </c>
      <c r="R21" s="38">
        <f>IF(OR(R$2="",$D21=""),"",IF(AND(ISNUMBER($F21),R$2&gt;=$F21,R$2&lt;=IF(ISNUMBER($G21),$G21,$F21+$E21-$D21)),2,IF(AND(R$2&gt;=$D21,R$2&lt;=$E21),1,"")))</f>
        <v/>
      </c>
      <c r="S21" s="38">
        <f>IF(OR(S$2="",$D21=""),"",IF(AND(ISNUMBER($F21),S$2&gt;=$F21,S$2&lt;=IF(ISNUMBER($G21),$G21,$F21+$E21-$D21)),2,IF(AND(S$2&gt;=$D21,S$2&lt;=$E21),1,"")))</f>
        <v/>
      </c>
      <c r="T21" s="38">
        <f>IF(OR(T$2="",$D21=""),"",IF(AND(ISNUMBER($F21),T$2&gt;=$F21,T$2&lt;=IF(ISNUMBER($G21),$G21,$F21+$E21-$D21)),2,IF(AND(T$2&gt;=$D21,T$2&lt;=$E21),1,"")))</f>
        <v/>
      </c>
      <c r="U21" s="38">
        <f>IF(OR(U$2="",$D21=""),"",IF(AND(ISNUMBER($F21),U$2&gt;=$F21,U$2&lt;=IF(ISNUMBER($G21),$G21,$F21+$E21-$D21)),2,IF(AND(U$2&gt;=$D21,U$2&lt;=$E21),1,"")))</f>
        <v/>
      </c>
      <c r="V21" s="38">
        <f>IF(OR(V$2="",$D21=""),"",IF(AND(ISNUMBER($F21),V$2&gt;=$F21,V$2&lt;=IF(ISNUMBER($G21),$G21,$F21+$E21-$D21)),2,IF(AND(V$2&gt;=$D21,V$2&lt;=$E21),1,"")))</f>
        <v/>
      </c>
      <c r="W21" s="38">
        <f>IF(OR(W$2="",$D21=""),"",IF(AND(ISNUMBER($F21),W$2&gt;=$F21,W$2&lt;=IF(ISNUMBER($G21),$G21,$F21+$E21-$D21)),2,IF(AND(W$2&gt;=$D21,W$2&lt;=$E21),1,"")))</f>
        <v/>
      </c>
      <c r="X21" s="38">
        <f>IF(OR(X$2="",$D21=""),"",IF(AND(ISNUMBER($F21),X$2&gt;=$F21,X$2&lt;=IF(ISNUMBER($G21),$G21,$F21+$E21-$D21)),2,IF(AND(X$2&gt;=$D21,X$2&lt;=$E21),1,"")))</f>
        <v/>
      </c>
      <c r="Y21" s="38">
        <f>IF(OR(Y$2="",$D21=""),"",IF(AND(ISNUMBER($F21),Y$2&gt;=$F21,Y$2&lt;=IF(ISNUMBER($G21),$G21,$F21+$E21-$D21)),2,IF(AND(Y$2&gt;=$D21,Y$2&lt;=$E21),1,"")))</f>
        <v/>
      </c>
      <c r="Z21" s="38">
        <f>IF(OR(Z$2="",$D21=""),"",IF(AND(ISNUMBER($F21),Z$2&gt;=$F21,Z$2&lt;=IF(ISNUMBER($G21),$G21,$F21+$E21-$D21)),2,IF(AND(Z$2&gt;=$D21,Z$2&lt;=$E21),1,"")))</f>
        <v/>
      </c>
      <c r="AA21" s="38">
        <f>IF(OR(AA$2="",$D21=""),"",IF(AND(ISNUMBER($F21),AA$2&gt;=$F21,AA$2&lt;=IF(ISNUMBER($G21),$G21,$F21+$E21-$D21)),2,IF(AND(AA$2&gt;=$D21,AA$2&lt;=$E21),1,"")))</f>
        <v/>
      </c>
      <c r="AB21" s="38">
        <f>IF(OR(AB$2="",$D21=""),"",IF(AND(ISNUMBER($F21),AB$2&gt;=$F21,AB$2&lt;=IF(ISNUMBER($G21),$G21,$F21+$E21-$D21)),2,IF(AND(AB$2&gt;=$D21,AB$2&lt;=$E21),1,"")))</f>
        <v/>
      </c>
      <c r="AC21" s="38">
        <f>IF(OR(AC$2="",$D21=""),"",IF(AND(ISNUMBER($F21),AC$2&gt;=$F21,AC$2&lt;=IF(ISNUMBER($G21),$G21,$F21+$E21-$D21)),2,IF(AND(AC$2&gt;=$D21,AC$2&lt;=$E21),1,"")))</f>
        <v/>
      </c>
      <c r="AD21" s="38">
        <f>IF(OR(AD$2="",$D21=""),"",IF(AND(ISNUMBER($F21),AD$2&gt;=$F21,AD$2&lt;=IF(ISNUMBER($G21),$G21,$F21+$E21-$D21)),2,IF(AND(AD$2&gt;=$D21,AD$2&lt;=$E21),1,"")))</f>
        <v/>
      </c>
      <c r="AE21" s="38">
        <f>IF(OR(AE$2="",$D21=""),"",IF(AND(ISNUMBER($F21),AE$2&gt;=$F21,AE$2&lt;=IF(ISNUMBER($G21),$G21,$F21+$E21-$D21)),2,IF(AND(AE$2&gt;=$D21,AE$2&lt;=$E21),1,"")))</f>
        <v/>
      </c>
      <c r="AF21" s="38">
        <f>IF(OR(AF$2="",$D21=""),"",IF(AND(ISNUMBER($F21),AF$2&gt;=$F21,AF$2&lt;=IF(ISNUMBER($G21),$G21,$F21+$E21-$D21)),2,IF(AND(AF$2&gt;=$D21,AF$2&lt;=$E21),1,"")))</f>
        <v/>
      </c>
      <c r="AG21" s="38">
        <f>IF(OR(AG$2="",$D21=""),"",IF(AND(ISNUMBER($F21),AG$2&gt;=$F21,AG$2&lt;=IF(ISNUMBER($G21),$G21,$F21+$E21-$D21)),2,IF(AND(AG$2&gt;=$D21,AG$2&lt;=$E21),1,"")))</f>
        <v/>
      </c>
      <c r="AH21" s="38">
        <f>IF(OR(AH$2="",$D21=""),"",IF(AND(ISNUMBER($F21),AH$2&gt;=$F21,AH$2&lt;=IF(ISNUMBER($G21),$G21,$F21+$E21-$D21)),2,IF(AND(AH$2&gt;=$D21,AH$2&lt;=$E21),1,"")))</f>
        <v/>
      </c>
      <c r="AI21" s="38">
        <f>IF(OR(AI$2="",$D21=""),"",IF(AND(ISNUMBER($F21),AI$2&gt;=$F21,AI$2&lt;=IF(ISNUMBER($G21),$G21,$F21+$E21-$D21)),2,IF(AND(AI$2&gt;=$D21,AI$2&lt;=$E21),1,"")))</f>
        <v/>
      </c>
      <c r="AJ21" s="38">
        <f>IF(OR(AJ$2="",$D21=""),"",IF(AND(ISNUMBER($F21),AJ$2&gt;=$F21,AJ$2&lt;=IF(ISNUMBER($G21),$G21,$F21+$E21-$D21)),2,IF(AND(AJ$2&gt;=$D21,AJ$2&lt;=$E21),1,"")))</f>
        <v/>
      </c>
      <c r="AK21" s="38">
        <f>IF(OR(AK$2="",$D21=""),"",IF(AND(ISNUMBER($F21),AK$2&gt;=$F21,AK$2&lt;=IF(ISNUMBER($G21),$G21,$F21+$E21-$D21)),2,IF(AND(AK$2&gt;=$D21,AK$2&lt;=$E21),1,"")))</f>
        <v/>
      </c>
      <c r="AL21" s="38">
        <f>IF(OR(AL$2="",$D21=""),"",IF(AND(ISNUMBER($F21),AL$2&gt;=$F21,AL$2&lt;=IF(ISNUMBER($G21),$G21,$F21+$E21-$D21)),2,IF(AND(AL$2&gt;=$D21,AL$2&lt;=$E21),1,"")))</f>
        <v/>
      </c>
      <c r="AM21" s="38">
        <f>IF(OR(AM$2="",$D21=""),"",IF(AND(ISNUMBER($F21),AM$2&gt;=$F21,AM$2&lt;=IF(ISNUMBER($G21),$G21,$F21+$E21-$D21)),2,IF(AND(AM$2&gt;=$D21,AM$2&lt;=$E21),1,"")))</f>
        <v/>
      </c>
      <c r="AN21" s="38">
        <f>IF(OR(AN$2="",$D21=""),"",IF(AND(ISNUMBER($F21),AN$2&gt;=$F21,AN$2&lt;=IF(ISNUMBER($G21),$G21,$F21+$E21-$D21)),2,IF(AND(AN$2&gt;=$D21,AN$2&lt;=$E21),1,"")))</f>
        <v/>
      </c>
      <c r="AO21" s="38">
        <f>IF(OR(AO$2="",$D21=""),"",IF(AND(ISNUMBER($F21),AO$2&gt;=$F21,AO$2&lt;=IF(ISNUMBER($G21),$G21,$F21+$E21-$D21)),2,IF(AND(AO$2&gt;=$D21,AO$2&lt;=$E21),1,"")))</f>
        <v/>
      </c>
      <c r="AP21" s="38">
        <f>IF(OR(AP$2="",$D21=""),"",IF(AND(ISNUMBER($F21),AP$2&gt;=$F21,AP$2&lt;=IF(ISNUMBER($G21),$G21,$F21+$E21-$D21)),2,IF(AND(AP$2&gt;=$D21,AP$2&lt;=$E21),1,"")))</f>
        <v/>
      </c>
      <c r="AQ21" s="38">
        <f>IF(OR(AQ$2="",$D21=""),"",IF(AND(ISNUMBER($F21),AQ$2&gt;=$F21,AQ$2&lt;=IF(ISNUMBER($G21),$G21,$F21+$E21-$D21)),2,IF(AND(AQ$2&gt;=$D21,AQ$2&lt;=$E21),1,"")))</f>
        <v/>
      </c>
      <c r="AR21" s="38">
        <f>IF(OR(AR$2="",$D21=""),"",IF(AND(ISNUMBER($F21),AR$2&gt;=$F21,AR$2&lt;=IF(ISNUMBER($G21),$G21,$F21+$E21-$D21)),2,IF(AND(AR$2&gt;=$D21,AR$2&lt;=$E21),1,"")))</f>
        <v/>
      </c>
      <c r="AS21" s="38">
        <f>IF(OR(AS$2="",$D21=""),"",IF(AND(ISNUMBER($F21),AS$2&gt;=$F21,AS$2&lt;=IF(ISNUMBER($G21),$G21,$F21+$E21-$D21)),2,IF(AND(AS$2&gt;=$D21,AS$2&lt;=$E21),1,"")))</f>
        <v/>
      </c>
      <c r="AT21" s="38">
        <f>IF(OR(AT$2="",$D21=""),"",IF(AND(ISNUMBER($F21),AT$2&gt;=$F21,AT$2&lt;=IF(ISNUMBER($G21),$G21,$F21+$E21-$D21)),2,IF(AND(AT$2&gt;=$D21,AT$2&lt;=$E21),1,"")))</f>
        <v/>
      </c>
      <c r="AU21" s="38">
        <f>IF(OR(AU$2="",$D21=""),"",IF(AND(ISNUMBER($F21),AU$2&gt;=$F21,AU$2&lt;=IF(ISNUMBER($G21),$G21,$F21+$E21-$D21)),2,IF(AND(AU$2&gt;=$D21,AU$2&lt;=$E21),1,"")))</f>
        <v/>
      </c>
      <c r="AV21" s="38">
        <f>IF(OR(AV$2="",$D21=""),"",IF(AND(ISNUMBER($F21),AV$2&gt;=$F21,AV$2&lt;=IF(ISNUMBER($G21),$G21,$F21+$E21-$D21)),2,IF(AND(AV$2&gt;=$D21,AV$2&lt;=$E21),1,"")))</f>
        <v/>
      </c>
      <c r="AW21" s="38">
        <f>IF(OR(AW$2="",$D21=""),"",IF(AND(ISNUMBER($F21),AW$2&gt;=$F21,AW$2&lt;=IF(ISNUMBER($G21),$G21,$F21+$E21-$D21)),2,IF(AND(AW$2&gt;=$D21,AW$2&lt;=$E21),1,"")))</f>
        <v/>
      </c>
      <c r="AX21" s="38">
        <f>IF(OR(AX$2="",$D21=""),"",IF(AND(ISNUMBER($F21),AX$2&gt;=$F21,AX$2&lt;=IF(ISNUMBER($G21),$G21,$F21+$E21-$D21)),2,IF(AND(AX$2&gt;=$D21,AX$2&lt;=$E21),1,"")))</f>
        <v/>
      </c>
      <c r="AY21" s="38">
        <f>IF(OR(AY$2="",$D21=""),"",IF(AND(ISNUMBER($F21),AY$2&gt;=$F21,AY$2&lt;=IF(ISNUMBER($G21),$G21,$F21+$E21-$D21)),2,IF(AND(AY$2&gt;=$D21,AY$2&lt;=$E21),1,"")))</f>
        <v/>
      </c>
      <c r="AZ21" s="38">
        <f>IF(OR(AZ$2="",$D21=""),"",IF(AND(ISNUMBER($F21),AZ$2&gt;=$F21,AZ$2&lt;=IF(ISNUMBER($G21),$G21,$F21+$E21-$D21)),2,IF(AND(AZ$2&gt;=$D21,AZ$2&lt;=$E21),1,"")))</f>
        <v/>
      </c>
      <c r="BA21" s="38">
        <f>IF(OR(BA$2="",$D21=""),"",IF(AND(ISNUMBER($F21),BA$2&gt;=$F21,BA$2&lt;=IF(ISNUMBER($G21),$G21,$F21+$E21-$D21)),2,IF(AND(BA$2&gt;=$D21,BA$2&lt;=$E21),1,"")))</f>
        <v/>
      </c>
      <c r="BB21" s="38">
        <f>IF(OR(BB$2="",$D21=""),"",IF(AND(ISNUMBER($F21),BB$2&gt;=$F21,BB$2&lt;=IF(ISNUMBER($G21),$G21,$F21+$E21-$D21)),2,IF(AND(BB$2&gt;=$D21,BB$2&lt;=$E21),1,"")))</f>
        <v/>
      </c>
      <c r="BC21" s="38">
        <f>IF(OR(BC$2="",$D21=""),"",IF(AND(ISNUMBER($F21),BC$2&gt;=$F21,BC$2&lt;=IF(ISNUMBER($G21),$G21,$F21+$E21-$D21)),2,IF(AND(BC$2&gt;=$D21,BC$2&lt;=$E21),1,"")))</f>
        <v/>
      </c>
      <c r="BD21" s="38">
        <f>IF(OR(BD$2="",$D21=""),"",IF(AND(ISNUMBER($F21),BD$2&gt;=$F21,BD$2&lt;=IF(ISNUMBER($G21),$G21,$F21+$E21-$D21)),2,IF(AND(BD$2&gt;=$D21,BD$2&lt;=$E21),1,"")))</f>
        <v/>
      </c>
      <c r="BE21" s="38">
        <f>IF(OR(BE$2="",$D21=""),"",IF(AND(ISNUMBER($F21),BE$2&gt;=$F21,BE$2&lt;=IF(ISNUMBER($G21),$G21,$F21+$E21-$D21)),2,IF(AND(BE$2&gt;=$D21,BE$2&lt;=$E21),1,"")))</f>
        <v/>
      </c>
      <c r="BF21" s="38">
        <f>IF(OR(BF$2="",$D21=""),"",IF(AND(ISNUMBER($F21),BF$2&gt;=$F21,BF$2&lt;=IF(ISNUMBER($G21),$G21,$F21+$E21-$D21)),2,IF(AND(BF$2&gt;=$D21,BF$2&lt;=$E21),1,"")))</f>
        <v/>
      </c>
      <c r="BG21" s="38">
        <f>IF(OR(BG$2="",$D21=""),"",IF(AND(ISNUMBER($F21),BG$2&gt;=$F21,BG$2&lt;=IF(ISNUMBER($G21),$G21,$F21+$E21-$D21)),2,IF(AND(BG$2&gt;=$D21,BG$2&lt;=$E21),1,"")))</f>
        <v/>
      </c>
      <c r="BH21" s="38">
        <f>IF(OR(BH$2="",$D21=""),"",IF(AND(ISNUMBER($F21),BH$2&gt;=$F21,BH$2&lt;=IF(ISNUMBER($G21),$G21,$F21+$E21-$D21)),2,IF(AND(BH$2&gt;=$D21,BH$2&lt;=$E21),1,"")))</f>
        <v/>
      </c>
      <c r="BI21" s="38">
        <f>IF(OR(BI$2="",$D21=""),"",IF(AND(ISNUMBER($F21),BI$2&gt;=$F21,BI$2&lt;=IF(ISNUMBER($G21),$G21,$F21+$E21-$D21)),2,IF(AND(BI$2&gt;=$D21,BI$2&lt;=$E21),1,"")))</f>
        <v/>
      </c>
      <c r="BJ21" s="38">
        <f>IF(OR(BJ$2="",$D21=""),"",IF(AND(ISNUMBER($F21),BJ$2&gt;=$F21,BJ$2&lt;=IF(ISNUMBER($G21),$G21,$F21+$E21-$D21)),2,IF(AND(BJ$2&gt;=$D21,BJ$2&lt;=$E21),1,"")))</f>
        <v/>
      </c>
      <c r="BK21" s="38">
        <f>IF(OR(BK$2="",$D21=""),"",IF(AND(ISNUMBER($F21),BK$2&gt;=$F21,BK$2&lt;=IF(ISNUMBER($G21),$G21,$F21+$E21-$D21)),2,IF(AND(BK$2&gt;=$D21,BK$2&lt;=$E21),1,"")))</f>
        <v/>
      </c>
      <c r="BL21" s="38">
        <f>IF(OR(BL$2="",$D21=""),"",IF(AND(ISNUMBER($F21),BL$2&gt;=$F21,BL$2&lt;=IF(ISNUMBER($G21),$G21,$F21+$E21-$D21)),2,IF(AND(BL$2&gt;=$D21,BL$2&lt;=$E21),1,"")))</f>
        <v/>
      </c>
      <c r="BM21" s="38">
        <f>IF(OR(BM$2="",$D21=""),"",IF(AND(ISNUMBER($F21),BM$2&gt;=$F21,BM$2&lt;=IF(ISNUMBER($G21),$G21,$F21+$E21-$D21)),2,IF(AND(BM$2&gt;=$D21,BM$2&lt;=$E21),1,"")))</f>
        <v/>
      </c>
      <c r="BN21" s="38">
        <f>IF(OR(BN$2="",$D21=""),"",IF(AND(ISNUMBER($F21),BN$2&gt;=$F21,BN$2&lt;=IF(ISNUMBER($G21),$G21,$F21+$E21-$D21)),2,IF(AND(BN$2&gt;=$D21,BN$2&lt;=$E21),1,"")))</f>
        <v/>
      </c>
      <c r="BO21" s="38">
        <f>IF(OR(BO$2="",$D21=""),"",IF(AND(ISNUMBER($F21),BO$2&gt;=$F21,BO$2&lt;=IF(ISNUMBER($G21),$G21,$F21+$E21-$D21)),2,IF(AND(BO$2&gt;=$D21,BO$2&lt;=$E21),1,"")))</f>
        <v/>
      </c>
      <c r="BP21" s="38">
        <f>IF(OR(BP$2="",$D21=""),"",IF(AND(ISNUMBER($F21),BP$2&gt;=$F21,BP$2&lt;=IF(ISNUMBER($G21),$G21,$F21+$E21-$D21)),2,IF(AND(BP$2&gt;=$D21,BP$2&lt;=$E21),1,"")))</f>
        <v/>
      </c>
      <c r="BQ21" s="38">
        <f>IF(OR(BQ$2="",$D21=""),"",IF(AND(ISNUMBER($F21),BQ$2&gt;=$F21,BQ$2&lt;=IF(ISNUMBER($G21),$G21,$F21+$E21-$D21)),2,IF(AND(BQ$2&gt;=$D21,BQ$2&lt;=$E21),1,"")))</f>
        <v/>
      </c>
      <c r="BR21" s="38">
        <f>IF(OR(BR$2="",$D21=""),"",IF(AND(ISNUMBER($F21),BR$2&gt;=$F21,BR$2&lt;=IF(ISNUMBER($G21),$G21,$F21+$E21-$D21)),2,IF(AND(BR$2&gt;=$D21,BR$2&lt;=$E21),1,"")))</f>
        <v/>
      </c>
      <c r="BS21" s="38">
        <f>IF(OR(BS$2="",$D21=""),"",IF(AND(ISNUMBER($F21),BS$2&gt;=$F21,BS$2&lt;=IF(ISNUMBER($G21),$G21,$F21+$E21-$D21)),2,IF(AND(BS$2&gt;=$D21,BS$2&lt;=$E21),1,"")))</f>
        <v/>
      </c>
      <c r="BT21" s="38">
        <f>IF(OR(BT$2="",$D21=""),"",IF(AND(ISNUMBER($F21),BT$2&gt;=$F21,BT$2&lt;=IF(ISNUMBER($G21),$G21,$F21+$E21-$D21)),2,IF(AND(BT$2&gt;=$D21,BT$2&lt;=$E21),1,"")))</f>
        <v/>
      </c>
      <c r="BU21" s="38">
        <f>IF(OR(BU$2="",$D21=""),"",IF(AND(ISNUMBER($F21),BU$2&gt;=$F21,BU$2&lt;=IF(ISNUMBER($G21),$G21,$F21+$E21-$D21)),2,IF(AND(BU$2&gt;=$D21,BU$2&lt;=$E21),1,"")))</f>
        <v/>
      </c>
      <c r="BV21" s="38">
        <f>IF(OR(BV$2="",$D21=""),"",IF(AND(ISNUMBER($F21),BV$2&gt;=$F21,BV$2&lt;=IF(ISNUMBER($G21),$G21,$F21+$E21-$D21)),2,IF(AND(BV$2&gt;=$D21,BV$2&lt;=$E21),1,"")))</f>
        <v/>
      </c>
      <c r="BW21" s="38">
        <f>IF(OR(BW$2="",$D21=""),"",IF(AND(ISNUMBER($F21),BW$2&gt;=$F21,BW$2&lt;=IF(ISNUMBER($G21),$G21,$F21+$E21-$D21)),2,IF(AND(BW$2&gt;=$D21,BW$2&lt;=$E21),1,"")))</f>
        <v/>
      </c>
      <c r="BX21" s="38">
        <f>IF(OR(BX$2="",$D21=""),"",IF(AND(ISNUMBER($F21),BX$2&gt;=$F21,BX$2&lt;=IF(ISNUMBER($G21),$G21,$F21+$E21-$D21)),2,IF(AND(BX$2&gt;=$D21,BX$2&lt;=$E21),1,"")))</f>
        <v/>
      </c>
      <c r="BY21" s="38">
        <f>IF(OR(BY$2="",$D21=""),"",IF(AND(ISNUMBER($F21),BY$2&gt;=$F21,BY$2&lt;=IF(ISNUMBER($G21),$G21,$F21+$E21-$D21)),2,IF(AND(BY$2&gt;=$D21,BY$2&lt;=$E21),1,"")))</f>
        <v/>
      </c>
      <c r="BZ21" s="38">
        <f>IF(OR(BZ$2="",$D21=""),"",IF(AND(ISNUMBER($F21),BZ$2&gt;=$F21,BZ$2&lt;=IF(ISNUMBER($G21),$G21,$F21+$E21-$D21)),2,IF(AND(BZ$2&gt;=$D21,BZ$2&lt;=$E21),1,"")))</f>
        <v/>
      </c>
      <c r="CA21" s="38">
        <f>IF(OR(CA$2="",$D21=""),"",IF(AND(ISNUMBER($F21),CA$2&gt;=$F21,CA$2&lt;=IF(ISNUMBER($G21),$G21,$F21+$E21-$D21)),2,IF(AND(CA$2&gt;=$D21,CA$2&lt;=$E21),1,"")))</f>
        <v/>
      </c>
      <c r="CB21" s="38">
        <f>IF(OR(CB$2="",$D21=""),"",IF(AND(ISNUMBER($F21),CB$2&gt;=$F21,CB$2&lt;=IF(ISNUMBER($G21),$G21,$F21+$E21-$D21)),2,IF(AND(CB$2&gt;=$D21,CB$2&lt;=$E21),1,"")))</f>
        <v/>
      </c>
      <c r="CC21" s="38">
        <f>IF(OR(CC$2="",$D21=""),"",IF(AND(ISNUMBER($F21),CC$2&gt;=$F21,CC$2&lt;=IF(ISNUMBER($G21),$G21,$F21+$E21-$D21)),2,IF(AND(CC$2&gt;=$D21,CC$2&lt;=$E21),1,"")))</f>
        <v/>
      </c>
      <c r="CD21" s="38">
        <f>IF(OR(CD$2="",$D21=""),"",IF(AND(ISNUMBER($F21),CD$2&gt;=$F21,CD$2&lt;=IF(ISNUMBER($G21),$G21,$F21+$E21-$D21)),2,IF(AND(CD$2&gt;=$D21,CD$2&lt;=$E21),1,"")))</f>
        <v/>
      </c>
      <c r="CE21" s="38">
        <f>IF(OR(CE$2="",$D21=""),"",IF(AND(ISNUMBER($F21),CE$2&gt;=$F21,CE$2&lt;=IF(ISNUMBER($G21),$G21,$F21+$E21-$D21)),2,IF(AND(CE$2&gt;=$D21,CE$2&lt;=$E21),1,"")))</f>
        <v/>
      </c>
      <c r="CF21" s="38">
        <f>IF(OR(CF$2="",$D21=""),"",IF(AND(ISNUMBER($F21),CF$2&gt;=$F21,CF$2&lt;=IF(ISNUMBER($G21),$G21,$F21+$E21-$D21)),2,IF(AND(CF$2&gt;=$D21,CF$2&lt;=$E21),1,"")))</f>
        <v/>
      </c>
      <c r="CG21" s="38">
        <f>IF(OR(CG$2="",$D21=""),"",IF(AND(ISNUMBER($F21),CG$2&gt;=$F21,CG$2&lt;=IF(ISNUMBER($G21),$G21,$F21+$E21-$D21)),2,IF(AND(CG$2&gt;=$D21,CG$2&lt;=$E21),1,"")))</f>
        <v/>
      </c>
      <c r="CH21" s="38">
        <f>IF(OR(CH$2="",$D21=""),"",IF(AND(ISNUMBER($F21),CH$2&gt;=$F21,CH$2&lt;=IF(ISNUMBER($G21),$G21,$F21+$E21-$D21)),2,IF(AND(CH$2&gt;=$D21,CH$2&lt;=$E21),1,"")))</f>
        <v/>
      </c>
      <c r="CI21" s="38">
        <f>IF(OR(CI$2="",$D21=""),"",IF(AND(ISNUMBER($F21),CI$2&gt;=$F21,CI$2&lt;=IF(ISNUMBER($G21),$G21,$F21+$E21-$D21)),2,IF(AND(CI$2&gt;=$D21,CI$2&lt;=$E21),1,"")))</f>
        <v/>
      </c>
      <c r="CJ21" s="38">
        <f>IF(OR(CJ$2="",$D21=""),"",IF(AND(ISNUMBER($F21),CJ$2&gt;=$F21,CJ$2&lt;=IF(ISNUMBER($G21),$G21,$F21+$E21-$D21)),2,IF(AND(CJ$2&gt;=$D21,CJ$2&lt;=$E21),1,"")))</f>
        <v/>
      </c>
      <c r="CK21" s="38">
        <f>IF(OR(CK$2="",$D21=""),"",IF(AND(ISNUMBER($F21),CK$2&gt;=$F21,CK$2&lt;=IF(ISNUMBER($G21),$G21,$F21+$E21-$D21)),2,IF(AND(CK$2&gt;=$D21,CK$2&lt;=$E21),1,"")))</f>
        <v/>
      </c>
      <c r="CL21" s="38">
        <f>IF(OR(CL$2="",$D21=""),"",IF(AND(ISNUMBER($F21),CL$2&gt;=$F21,CL$2&lt;=IF(ISNUMBER($G21),$G21,$F21+$E21-$D21)),2,IF(AND(CL$2&gt;=$D21,CL$2&lt;=$E21),1,"")))</f>
        <v/>
      </c>
      <c r="CM21" s="38">
        <f>IF(OR(CM$2="",$D21=""),"",IF(AND(ISNUMBER($F21),CM$2&gt;=$F21,CM$2&lt;=IF(ISNUMBER($G21),$G21,$F21+$E21-$D21)),2,IF(AND(CM$2&gt;=$D21,CM$2&lt;=$E21),1,"")))</f>
        <v/>
      </c>
      <c r="CN21" s="38">
        <f>IF(OR(CN$2="",$D21=""),"",IF(AND(ISNUMBER($F21),CN$2&gt;=$F21,CN$2&lt;=IF(ISNUMBER($G21),$G21,$F21+$E21-$D21)),2,IF(AND(CN$2&gt;=$D21,CN$2&lt;=$E21),1,"")))</f>
        <v/>
      </c>
      <c r="CO21" s="38">
        <f>IF(OR(CO$2="",$D21=""),"",IF(AND(ISNUMBER($F21),CO$2&gt;=$F21,CO$2&lt;=IF(ISNUMBER($G21),$G21,$F21+$E21-$D21)),2,IF(AND(CO$2&gt;=$D21,CO$2&lt;=$E21),1,"")))</f>
        <v/>
      </c>
      <c r="CP21" s="38">
        <f>IF(OR(CP$2="",$D21=""),"",IF(AND(ISNUMBER($F21),CP$2&gt;=$F21,CP$2&lt;=IF(ISNUMBER($G21),$G21,$F21+$E21-$D21)),2,IF(AND(CP$2&gt;=$D21,CP$2&lt;=$E21),1,"")))</f>
        <v/>
      </c>
      <c r="CQ21" s="38">
        <f>IF(OR(CQ$2="",$D21=""),"",IF(AND(ISNUMBER($F21),CQ$2&gt;=$F21,CQ$2&lt;=IF(ISNUMBER($G21),$G21,$F21+$E21-$D21)),2,IF(AND(CQ$2&gt;=$D21,CQ$2&lt;=$E21),1,"")))</f>
        <v/>
      </c>
      <c r="CR21" s="38">
        <f>IF(OR(CR$2="",$D21=""),"",IF(AND(ISNUMBER($F21),CR$2&gt;=$F21,CR$2&lt;=IF(ISNUMBER($G21),$G21,$F21+$E21-$D21)),2,IF(AND(CR$2&gt;=$D21,CR$2&lt;=$E21),1,"")))</f>
        <v/>
      </c>
      <c r="CS21" s="38">
        <f>IF(OR(CS$2="",$D21=""),"",IF(AND(ISNUMBER($F21),CS$2&gt;=$F21,CS$2&lt;=IF(ISNUMBER($G21),$G21,$F21+$E21-$D21)),2,IF(AND(CS$2&gt;=$D21,CS$2&lt;=$E21),1,"")))</f>
        <v/>
      </c>
      <c r="CT21" s="38">
        <f>IF(OR(CT$2="",$D21=""),"",IF(AND(ISNUMBER($F21),CT$2&gt;=$F21,CT$2&lt;=IF(ISNUMBER($G21),$G21,$F21+$E21-$D21)),2,IF(AND(CT$2&gt;=$D21,CT$2&lt;=$E21),1,"")))</f>
        <v/>
      </c>
      <c r="CU21" s="38">
        <f>IF(OR(CU$2="",$D21=""),"",IF(AND(ISNUMBER($F21),CU$2&gt;=$F21,CU$2&lt;=IF(ISNUMBER($G21),$G21,$F21+$E21-$D21)),2,IF(AND(CU$2&gt;=$D21,CU$2&lt;=$E21),1,"")))</f>
        <v/>
      </c>
      <c r="CV21" s="38">
        <f>IF(OR(CV$2="",$D21=""),"",IF(AND(ISNUMBER($F21),CV$2&gt;=$F21,CV$2&lt;=IF(ISNUMBER($G21),$G21,$F21+$E21-$D21)),2,IF(AND(CV$2&gt;=$D21,CV$2&lt;=$E21),1,"")))</f>
        <v/>
      </c>
      <c r="CW21" s="38">
        <f>IF(OR(CW$2="",$D21=""),"",IF(AND(ISNUMBER($F21),CW$2&gt;=$F21,CW$2&lt;=IF(ISNUMBER($G21),$G21,$F21+$E21-$D21)),2,IF(AND(CW$2&gt;=$D21,CW$2&lt;=$E21),1,"")))</f>
        <v/>
      </c>
      <c r="CX21" s="38">
        <f>IF(OR(CX$2="",$D21=""),"",IF(AND(ISNUMBER($F21),CX$2&gt;=$F21,CX$2&lt;=IF(ISNUMBER($G21),$G21,$F21+$E21-$D21)),2,IF(AND(CX$2&gt;=$D21,CX$2&lt;=$E21),1,"")))</f>
        <v/>
      </c>
      <c r="CY21" s="38">
        <f>IF(OR(CY$2="",$D21=""),"",IF(AND(ISNUMBER($F21),CY$2&gt;=$F21,CY$2&lt;=IF(ISNUMBER($G21),$G21,$F21+$E21-$D21)),2,IF(AND(CY$2&gt;=$D21,CY$2&lt;=$E21),1,"")))</f>
        <v/>
      </c>
      <c r="CZ21" s="38">
        <f>IF(OR(CZ$2="",$D21=""),"",IF(AND(ISNUMBER($F21),CZ$2&gt;=$F21,CZ$2&lt;=IF(ISNUMBER($G21),$G21,$F21+$E21-$D21)),2,IF(AND(CZ$2&gt;=$D21,CZ$2&lt;=$E21),1,"")))</f>
        <v/>
      </c>
      <c r="DA21" s="38">
        <f>IF(OR(DA$2="",$D21=""),"",IF(AND(ISNUMBER($F21),DA$2&gt;=$F21,DA$2&lt;=IF(ISNUMBER($G21),$G21,$F21+$E21-$D21)),2,IF(AND(DA$2&gt;=$D21,DA$2&lt;=$E21),1,"")))</f>
        <v/>
      </c>
      <c r="DB21" s="38">
        <f>IF(OR(DB$2="",$D21=""),"",IF(AND(ISNUMBER($F21),DB$2&gt;=$F21,DB$2&lt;=IF(ISNUMBER($G21),$G21,$F21+$E21-$D21)),2,IF(AND(DB$2&gt;=$D21,DB$2&lt;=$E21),1,"")))</f>
        <v/>
      </c>
      <c r="DC21" s="38">
        <f>IF(OR(DC$2="",$D21=""),"",IF(AND(ISNUMBER($F21),DC$2&gt;=$F21,DC$2&lt;=IF(ISNUMBER($G21),$G21,$F21+$E21-$D21)),2,IF(AND(DC$2&gt;=$D21,DC$2&lt;=$E21),1,"")))</f>
        <v/>
      </c>
      <c r="DD21" s="38">
        <f>IF(OR(DD$2="",$D21=""),"",IF(AND(ISNUMBER($F21),DD$2&gt;=$F21,DD$2&lt;=IF(ISNUMBER($G21),$G21,$F21+$E21-$D21)),2,IF(AND(DD$2&gt;=$D21,DD$2&lt;=$E21),1,"")))</f>
        <v/>
      </c>
      <c r="DE21" s="38">
        <f>IF(OR(DE$2="",$D21=""),"",IF(AND(ISNUMBER($F21),DE$2&gt;=$F21,DE$2&lt;=IF(ISNUMBER($G21),$G21,$F21+$E21-$D21)),2,IF(AND(DE$2&gt;=$D21,DE$2&lt;=$E21),1,"")))</f>
        <v/>
      </c>
      <c r="DF21" s="38">
        <f>IF(OR(DF$2="",$D21=""),"",IF(AND(ISNUMBER($F21),DF$2&gt;=$F21,DF$2&lt;=IF(ISNUMBER($G21),$G21,$F21+$E21-$D21)),2,IF(AND(DF$2&gt;=$D21,DF$2&lt;=$E21),1,"")))</f>
        <v/>
      </c>
      <c r="DG21" s="38">
        <f>IF(OR(DG$2="",$D21=""),"",IF(AND(ISNUMBER($F21),DG$2&gt;=$F21,DG$2&lt;=IF(ISNUMBER($G21),$G21,$F21+$E21-$D21)),2,IF(AND(DG$2&gt;=$D21,DG$2&lt;=$E21),1,"")))</f>
        <v/>
      </c>
      <c r="DH21" s="38">
        <f>IF(OR(DH$2="",$D21=""),"",IF(AND(ISNUMBER($F21),DH$2&gt;=$F21,DH$2&lt;=IF(ISNUMBER($G21),$G21,$F21+$E21-$D21)),2,IF(AND(DH$2&gt;=$D21,DH$2&lt;=$E21),1,"")))</f>
        <v/>
      </c>
      <c r="DI21" s="38">
        <f>IF(OR(DI$2="",$D21=""),"",IF(AND(ISNUMBER($F21),DI$2&gt;=$F21,DI$2&lt;=IF(ISNUMBER($G21),$G21,$F21+$E21-$D21)),2,IF(AND(DI$2&gt;=$D21,DI$2&lt;=$E21),1,"")))</f>
        <v/>
      </c>
      <c r="DJ21" s="38">
        <f>IF(OR(DJ$2="",$D21=""),"",IF(AND(ISNUMBER($F21),DJ$2&gt;=$F21,DJ$2&lt;=IF(ISNUMBER($G21),$G21,$F21+$E21-$D21)),2,IF(AND(DJ$2&gt;=$D21,DJ$2&lt;=$E21),1,"")))</f>
        <v/>
      </c>
      <c r="DK21" s="38">
        <f>IF(OR(DK$2="",$D21=""),"",IF(AND(ISNUMBER($F21),DK$2&gt;=$F21,DK$2&lt;=IF(ISNUMBER($G21),$G21,$F21+$E21-$D21)),2,IF(AND(DK$2&gt;=$D21,DK$2&lt;=$E21),1,"")))</f>
        <v/>
      </c>
      <c r="DL21" s="38">
        <f>IF(OR(DL$2="",$D21=""),"",IF(AND(ISNUMBER($F21),DL$2&gt;=$F21,DL$2&lt;=IF(ISNUMBER($G21),$G21,$F21+$E21-$D21)),2,IF(AND(DL$2&gt;=$D21,DL$2&lt;=$E21),1,"")))</f>
        <v/>
      </c>
      <c r="DM21" s="38">
        <f>IF(OR(DM$2="",$D21=""),"",IF(AND(ISNUMBER($F21),DM$2&gt;=$F21,DM$2&lt;=IF(ISNUMBER($G21),$G21,$F21+$E21-$D21)),2,IF(AND(DM$2&gt;=$D21,DM$2&lt;=$E21),1,"")))</f>
        <v/>
      </c>
      <c r="DN21" s="38">
        <f>IF(OR(DN$2="",$D21=""),"",IF(AND(ISNUMBER($F21),DN$2&gt;=$F21,DN$2&lt;=IF(ISNUMBER($G21),$G21,$F21+$E21-$D21)),2,IF(AND(DN$2&gt;=$D21,DN$2&lt;=$E21),1,"")))</f>
        <v/>
      </c>
      <c r="DO21" s="38">
        <f>IF(OR(DO$2="",$D21=""),"",IF(AND(ISNUMBER($F21),DO$2&gt;=$F21,DO$2&lt;=IF(ISNUMBER($G21),$G21,$F21+$E21-$D21)),2,IF(AND(DO$2&gt;=$D21,DO$2&lt;=$E21),1,"")))</f>
        <v/>
      </c>
      <c r="DP21" s="38">
        <f>IF(OR(DP$2="",$D21=""),"",IF(AND(ISNUMBER($F21),DP$2&gt;=$F21,DP$2&lt;=IF(ISNUMBER($G21),$G21,$F21+$E21-$D21)),2,IF(AND(DP$2&gt;=$D21,DP$2&lt;=$E21),1,"")))</f>
        <v/>
      </c>
      <c r="DQ21" s="38">
        <f>IF(OR(DQ$2="",$D21=""),"",IF(AND(ISNUMBER($F21),DQ$2&gt;=$F21,DQ$2&lt;=IF(ISNUMBER($G21),$G21,$F21+$E21-$D21)),2,IF(AND(DQ$2&gt;=$D21,DQ$2&lt;=$E21),1,"")))</f>
        <v/>
      </c>
      <c r="DR21" s="38">
        <f>IF(OR(DR$2="",$D21=""),"",IF(AND(ISNUMBER($F21),DR$2&gt;=$F21,DR$2&lt;=IF(ISNUMBER($G21),$G21,$F21+$E21-$D21)),2,IF(AND(DR$2&gt;=$D21,DR$2&lt;=$E21),1,"")))</f>
        <v/>
      </c>
      <c r="DS21" s="38">
        <f>IF(OR(DS$2="",$D21=""),"",IF(AND(ISNUMBER($F21),DS$2&gt;=$F21,DS$2&lt;=IF(ISNUMBER($G21),$G21,$F21+$E21-$D21)),2,IF(AND(DS$2&gt;=$D21,DS$2&lt;=$E21),1,"")))</f>
        <v/>
      </c>
      <c r="DT21" s="38">
        <f>IF(OR(DT$2="",$D21=""),"",IF(AND(ISNUMBER($F21),DT$2&gt;=$F21,DT$2&lt;=IF(ISNUMBER($G21),$G21,$F21+$E21-$D21)),2,IF(AND(DT$2&gt;=$D21,DT$2&lt;=$E21),1,"")))</f>
        <v/>
      </c>
      <c r="DU21" s="38">
        <f>IF(OR(DU$2="",$D21=""),"",IF(AND(ISNUMBER($F21),DU$2&gt;=$F21,DU$2&lt;=IF(ISNUMBER($G21),$G21,$F21+$E21-$D21)),2,IF(AND(DU$2&gt;=$D21,DU$2&lt;=$E21),1,"")))</f>
        <v/>
      </c>
      <c r="DV21" s="38">
        <f>IF(OR(DV$2="",$D21=""),"",IF(AND(ISNUMBER($F21),DV$2&gt;=$F21,DV$2&lt;=IF(ISNUMBER($G21),$G21,$F21+$E21-$D21)),2,IF(AND(DV$2&gt;=$D21,DV$2&lt;=$E21),1,"")))</f>
        <v/>
      </c>
      <c r="DW21" s="38">
        <f>IF(OR(DW$2="",$D21=""),"",IF(AND(ISNUMBER($F21),DW$2&gt;=$F21,DW$2&lt;=IF(ISNUMBER($G21),$G21,$F21+$E21-$D21)),2,IF(AND(DW$2&gt;=$D21,DW$2&lt;=$E21),1,"")))</f>
        <v/>
      </c>
      <c r="DX21" s="38">
        <f>IF(OR(DX$2="",$D21=""),"",IF(AND(ISNUMBER($F21),DX$2&gt;=$F21,DX$2&lt;=IF(ISNUMBER($G21),$G21,$F21+$E21-$D21)),2,IF(AND(DX$2&gt;=$D21,DX$2&lt;=$E21),1,"")))</f>
        <v/>
      </c>
      <c r="DY21" s="38">
        <f>IF(OR(DY$2="",$D21=""),"",IF(AND(ISNUMBER($F21),DY$2&gt;=$F21,DY$2&lt;=IF(ISNUMBER($G21),$G21,$F21+$E21-$D21)),2,IF(AND(DY$2&gt;=$D21,DY$2&lt;=$E21),1,"")))</f>
        <v/>
      </c>
      <c r="DZ21" s="38">
        <f>IF(OR(DZ$2="",$D21=""),"",IF(AND(ISNUMBER($F21),DZ$2&gt;=$F21,DZ$2&lt;=IF(ISNUMBER($G21),$G21,$F21+$E21-$D21)),2,IF(AND(DZ$2&gt;=$D21,DZ$2&lt;=$E21),1,"")))</f>
        <v/>
      </c>
      <c r="EA21" s="38">
        <f>IF(OR(EA$2="",$D21=""),"",IF(AND(ISNUMBER($F21),EA$2&gt;=$F21,EA$2&lt;=IF(ISNUMBER($G21),$G21,$F21+$E21-$D21)),2,IF(AND(EA$2&gt;=$D21,EA$2&lt;=$E21),1,"")))</f>
        <v/>
      </c>
      <c r="EB21" s="38">
        <f>IF(OR(EB$2="",$D21=""),"",IF(AND(ISNUMBER($F21),EB$2&gt;=$F21,EB$2&lt;=IF(ISNUMBER($G21),$G21,$F21+$E21-$D21)),2,IF(AND(EB$2&gt;=$D21,EB$2&lt;=$E21),1,"")))</f>
        <v/>
      </c>
      <c r="EC21" s="38">
        <f>IF(OR(EC$2="",$D21=""),"",IF(AND(ISNUMBER($F21),EC$2&gt;=$F21,EC$2&lt;=IF(ISNUMBER($G21),$G21,$F21+$E21-$D21)),2,IF(AND(EC$2&gt;=$D21,EC$2&lt;=$E21),1,"")))</f>
        <v/>
      </c>
      <c r="ED21" s="38">
        <f>IF(OR(ED$2="",$D21=""),"",IF(AND(ISNUMBER($F21),ED$2&gt;=$F21,ED$2&lt;=IF(ISNUMBER($G21),$G21,$F21+$E21-$D21)),2,IF(AND(ED$2&gt;=$D21,ED$2&lt;=$E21),1,"")))</f>
        <v/>
      </c>
      <c r="EE21" s="38">
        <f>IF(OR(EE$2="",$D21=""),"",IF(AND(ISNUMBER($F21),EE$2&gt;=$F21,EE$2&lt;=IF(ISNUMBER($G21),$G21,$F21+$E21-$D21)),2,IF(AND(EE$2&gt;=$D21,EE$2&lt;=$E21),1,"")))</f>
        <v/>
      </c>
      <c r="EF21" s="38">
        <f>IF(OR(EF$2="",$D21=""),"",IF(AND(ISNUMBER($F21),EF$2&gt;=$F21,EF$2&lt;=IF(ISNUMBER($G21),$G21,$F21+$E21-$D21)),2,IF(AND(EF$2&gt;=$D21,EF$2&lt;=$E21),1,"")))</f>
        <v/>
      </c>
      <c r="EG21" s="38">
        <f>IF(OR(EG$2="",$D21=""),"",IF(AND(ISNUMBER($F21),EG$2&gt;=$F21,EG$2&lt;=IF(ISNUMBER($G21),$G21,$F21+$E21-$D21)),2,IF(AND(EG$2&gt;=$D21,EG$2&lt;=$E21),1,"")))</f>
        <v/>
      </c>
      <c r="EH21" s="38">
        <f>IF(OR(EH$2="",$D21=""),"",IF(AND(ISNUMBER($F21),EH$2&gt;=$F21,EH$2&lt;=IF(ISNUMBER($G21),$G21,$F21+$E21-$D21)),2,IF(AND(EH$2&gt;=$D21,EH$2&lt;=$E21),1,"")))</f>
        <v/>
      </c>
      <c r="EI21" s="38">
        <f>IF(OR(EI$2="",$D21=""),"",IF(AND(ISNUMBER($F21),EI$2&gt;=$F21,EI$2&lt;=IF(ISNUMBER($G21),$G21,$F21+$E21-$D21)),2,IF(AND(EI$2&gt;=$D21,EI$2&lt;=$E21),1,"")))</f>
        <v/>
      </c>
      <c r="EJ21" s="38">
        <f>IF(OR(EJ$2="",$D21=""),"",IF(AND(ISNUMBER($F21),EJ$2&gt;=$F21,EJ$2&lt;=IF(ISNUMBER($G21),$G21,$F21+$E21-$D21)),2,IF(AND(EJ$2&gt;=$D21,EJ$2&lt;=$E21),1,"")))</f>
        <v/>
      </c>
      <c r="EK21" s="38">
        <f>IF(OR(EK$2="",$D21=""),"",IF(AND(ISNUMBER($F21),EK$2&gt;=$F21,EK$2&lt;=IF(ISNUMBER($G21),$G21,$F21+$E21-$D21)),2,IF(AND(EK$2&gt;=$D21,EK$2&lt;=$E21),1,"")))</f>
        <v/>
      </c>
      <c r="EL21" s="38">
        <f>IF(OR(EL$2="",$D21=""),"",IF(AND(ISNUMBER($F21),EL$2&gt;=$F21,EL$2&lt;=IF(ISNUMBER($G21),$G21,$F21+$E21-$D21)),2,IF(AND(EL$2&gt;=$D21,EL$2&lt;=$E21),1,"")))</f>
        <v/>
      </c>
      <c r="EM21" s="38">
        <f>IF(OR(EM$2="",$D21=""),"",IF(AND(ISNUMBER($F21),EM$2&gt;=$F21,EM$2&lt;=IF(ISNUMBER($G21),$G21,$F21+$E21-$D21)),2,IF(AND(EM$2&gt;=$D21,EM$2&lt;=$E21),1,"")))</f>
        <v/>
      </c>
      <c r="EN21" s="38">
        <f>IF(OR(EN$2="",$D21=""),"",IF(AND(ISNUMBER($F21),EN$2&gt;=$F21,EN$2&lt;=IF(ISNUMBER($G21),$G21,$F21+$E21-$D21)),2,IF(AND(EN$2&gt;=$D21,EN$2&lt;=$E21),1,"")))</f>
        <v/>
      </c>
      <c r="EO21" s="38">
        <f>IF(OR(EO$2="",$D21=""),"",IF(AND(ISNUMBER($F21),EO$2&gt;=$F21,EO$2&lt;=IF(ISNUMBER($G21),$G21,$F21+$E21-$D21)),2,IF(AND(EO$2&gt;=$D21,EO$2&lt;=$E21),1,"")))</f>
        <v/>
      </c>
      <c r="EP21" s="38">
        <f>IF(OR(EP$2="",$D21=""),"",IF(AND(ISNUMBER($F21),EP$2&gt;=$F21,EP$2&lt;=IF(ISNUMBER($G21),$G21,$F21+$E21-$D21)),2,IF(AND(EP$2&gt;=$D21,EP$2&lt;=$E21),1,"")))</f>
        <v/>
      </c>
      <c r="EQ21" s="38">
        <f>IF(OR(EQ$2="",$D21=""),"",IF(AND(ISNUMBER($F21),EQ$2&gt;=$F21,EQ$2&lt;=IF(ISNUMBER($G21),$G21,$F21+$E21-$D21)),2,IF(AND(EQ$2&gt;=$D21,EQ$2&lt;=$E21),1,"")))</f>
        <v/>
      </c>
      <c r="ER21" s="38">
        <f>IF(OR(ER$2="",$D21=""),"",IF(AND(ISNUMBER($F21),ER$2&gt;=$F21,ER$2&lt;=IF(ISNUMBER($G21),$G21,$F21+$E21-$D21)),2,IF(AND(ER$2&gt;=$D21,ER$2&lt;=$E21),1,"")))</f>
        <v/>
      </c>
      <c r="ES21" s="38">
        <f>IF(OR(ES$2="",$D21=""),"",IF(AND(ISNUMBER($F21),ES$2&gt;=$F21,ES$2&lt;=IF(ISNUMBER($G21),$G21,$F21+$E21-$D21)),2,IF(AND(ES$2&gt;=$D21,ES$2&lt;=$E21),1,"")))</f>
        <v/>
      </c>
      <c r="ET21" s="38">
        <f>IF(OR(ET$2="",$D21=""),"",IF(AND(ISNUMBER($F21),ET$2&gt;=$F21,ET$2&lt;=IF(ISNUMBER($G21),$G21,$F21+$E21-$D21)),2,IF(AND(ET$2&gt;=$D21,ET$2&lt;=$E21),1,"")))</f>
        <v/>
      </c>
      <c r="EU21" s="38">
        <f>IF(OR(EU$2="",$D21=""),"",IF(AND(ISNUMBER($F21),EU$2&gt;=$F21,EU$2&lt;=IF(ISNUMBER($G21),$G21,$F21+$E21-$D21)),2,IF(AND(EU$2&gt;=$D21,EU$2&lt;=$E21),1,"")))</f>
        <v/>
      </c>
      <c r="EV21" s="38">
        <f>IF(OR(EV$2="",$D21=""),"",IF(AND(ISNUMBER($F21),EV$2&gt;=$F21,EV$2&lt;=IF(ISNUMBER($G21),$G21,$F21+$E21-$D21)),2,IF(AND(EV$2&gt;=$D21,EV$2&lt;=$E21),1,"")))</f>
        <v/>
      </c>
      <c r="EW21" s="38">
        <f>IF(OR(EW$2="",$D21=""),"",IF(AND(ISNUMBER($F21),EW$2&gt;=$F21,EW$2&lt;=IF(ISNUMBER($G21),$G21,$F21+$E21-$D21)),2,IF(AND(EW$2&gt;=$D21,EW$2&lt;=$E21),1,"")))</f>
        <v/>
      </c>
      <c r="EX21" s="38">
        <f>IF(OR(EX$2="",$D21=""),"",IF(AND(ISNUMBER($F21),EX$2&gt;=$F21,EX$2&lt;=IF(ISNUMBER($G21),$G21,$F21+$E21-$D21)),2,IF(AND(EX$2&gt;=$D21,EX$2&lt;=$E21),1,"")))</f>
        <v/>
      </c>
      <c r="EY21" s="38">
        <f>IF(OR(EY$2="",$D21=""),"",IF(AND(ISNUMBER($F21),EY$2&gt;=$F21,EY$2&lt;=IF(ISNUMBER($G21),$G21,$F21+$E21-$D21)),2,IF(AND(EY$2&gt;=$D21,EY$2&lt;=$E21),1,"")))</f>
        <v/>
      </c>
      <c r="EZ21" s="38">
        <f>IF(OR(EZ$2="",$D21=""),"",IF(AND(ISNUMBER($F21),EZ$2&gt;=$F21,EZ$2&lt;=IF(ISNUMBER($G21),$G21,$F21+$E21-$D21)),2,IF(AND(EZ$2&gt;=$D21,EZ$2&lt;=$E21),1,"")))</f>
        <v/>
      </c>
      <c r="FA21" s="38">
        <f>IF(OR(FA$2="",$D21=""),"",IF(AND(ISNUMBER($F21),FA$2&gt;=$F21,FA$2&lt;=IF(ISNUMBER($G21),$G21,$F21+$E21-$D21)),2,IF(AND(FA$2&gt;=$D21,FA$2&lt;=$E21),1,"")))</f>
        <v/>
      </c>
      <c r="FB21" s="38">
        <f>IF(OR(FB$2="",$D21=""),"",IF(AND(ISNUMBER($F21),FB$2&gt;=$F21,FB$2&lt;=IF(ISNUMBER($G21),$G21,$F21+$E21-$D21)),2,IF(AND(FB$2&gt;=$D21,FB$2&lt;=$E21),1,"")))</f>
        <v/>
      </c>
      <c r="FC21" s="38">
        <f>IF(OR(FC$2="",$D21=""),"",IF(AND(ISNUMBER($F21),FC$2&gt;=$F21,FC$2&lt;=IF(ISNUMBER($G21),$G21,$F21+$E21-$D21)),2,IF(AND(FC$2&gt;=$D21,FC$2&lt;=$E21),1,"")))</f>
        <v/>
      </c>
      <c r="FD21" s="38">
        <f>IF(OR(FD$2="",$D21=""),"",IF(AND(ISNUMBER($F21),FD$2&gt;=$F21,FD$2&lt;=IF(ISNUMBER($G21),$G21,$F21+$E21-$D21)),2,IF(AND(FD$2&gt;=$D21,FD$2&lt;=$E21),1,"")))</f>
        <v/>
      </c>
      <c r="FE21" s="38">
        <f>IF(OR(FE$2="",$D21=""),"",IF(AND(ISNUMBER($F21),FE$2&gt;=$F21,FE$2&lt;=IF(ISNUMBER($G21),$G21,$F21+$E21-$D21)),2,IF(AND(FE$2&gt;=$D21,FE$2&lt;=$E21),1,"")))</f>
        <v/>
      </c>
      <c r="FF21" s="38">
        <f>IF(OR(FF$2="",$D21=""),"",IF(AND(ISNUMBER($F21),FF$2&gt;=$F21,FF$2&lt;=IF(ISNUMBER($G21),$G21,$F21+$E21-$D21)),2,IF(AND(FF$2&gt;=$D21,FF$2&lt;=$E21),1,"")))</f>
        <v/>
      </c>
      <c r="FG21" s="38">
        <f>IF(OR(FG$2="",$D21=""),"",IF(AND(ISNUMBER($F21),FG$2&gt;=$F21,FG$2&lt;=IF(ISNUMBER($G21),$G21,$F21+$E21-$D21)),2,IF(AND(FG$2&gt;=$D21,FG$2&lt;=$E21),1,"")))</f>
        <v/>
      </c>
      <c r="FH21" s="38">
        <f>IF(OR(FH$2="",$D21=""),"",IF(AND(ISNUMBER($F21),FH$2&gt;=$F21,FH$2&lt;=IF(ISNUMBER($G21),$G21,$F21+$E21-$D21)),2,IF(AND(FH$2&gt;=$D21,FH$2&lt;=$E21),1,"")))</f>
        <v/>
      </c>
      <c r="FI21" s="38">
        <f>IF(OR(FI$2="",$D21=""),"",IF(AND(ISNUMBER($F21),FI$2&gt;=$F21,FI$2&lt;=IF(ISNUMBER($G21),$G21,$F21+$E21-$D21)),2,IF(AND(FI$2&gt;=$D21,FI$2&lt;=$E21),1,"")))</f>
        <v/>
      </c>
      <c r="FJ21" s="38">
        <f>IF(OR(FJ$2="",$D21=""),"",IF(AND(ISNUMBER($F21),FJ$2&gt;=$F21,FJ$2&lt;=IF(ISNUMBER($G21),$G21,$F21+$E21-$D21)),2,IF(AND(FJ$2&gt;=$D21,FJ$2&lt;=$E21),1,"")))</f>
        <v/>
      </c>
      <c r="FK21" s="38">
        <f>IF(OR(FK$2="",$D21=""),"",IF(AND(ISNUMBER($F21),FK$2&gt;=$F21,FK$2&lt;=IF(ISNUMBER($G21),$G21,$F21+$E21-$D21)),2,IF(AND(FK$2&gt;=$D21,FK$2&lt;=$E21),1,"")))</f>
        <v/>
      </c>
      <c r="FL21" s="38">
        <f>IF(OR(FL$2="",$D21=""),"",IF(AND(ISNUMBER($F21),FL$2&gt;=$F21,FL$2&lt;=IF(ISNUMBER($G21),$G21,$F21+$E21-$D21)),2,IF(AND(FL$2&gt;=$D21,FL$2&lt;=$E21),1,"")))</f>
        <v/>
      </c>
      <c r="FM21" s="38">
        <f>IF(OR(FM$2="",$D21=""),"",IF(AND(ISNUMBER($F21),FM$2&gt;=$F21,FM$2&lt;=IF(ISNUMBER($G21),$G21,$F21+$E21-$D21)),2,IF(AND(FM$2&gt;=$D21,FM$2&lt;=$E21),1,"")))</f>
        <v/>
      </c>
      <c r="FN21" s="38">
        <f>IF(OR(FN$2="",$D21=""),"",IF(AND(ISNUMBER($F21),FN$2&gt;=$F21,FN$2&lt;=IF(ISNUMBER($G21),$G21,$F21+$E21-$D21)),2,IF(AND(FN$2&gt;=$D21,FN$2&lt;=$E21),1,"")))</f>
        <v/>
      </c>
      <c r="FO21" s="38">
        <f>IF(OR(FO$2="",$D21=""),"",IF(AND(ISNUMBER($F21),FO$2&gt;=$F21,FO$2&lt;=IF(ISNUMBER($G21),$G21,$F21+$E21-$D21)),2,IF(AND(FO$2&gt;=$D21,FO$2&lt;=$E21),1,"")))</f>
        <v/>
      </c>
      <c r="FP21" s="38">
        <f>IF(OR(FP$2="",$D21=""),"",IF(AND(ISNUMBER($F21),FP$2&gt;=$F21,FP$2&lt;=IF(ISNUMBER($G21),$G21,$F21+$E21-$D21)),2,IF(AND(FP$2&gt;=$D21,FP$2&lt;=$E21),1,"")))</f>
        <v/>
      </c>
      <c r="FQ21" s="38">
        <f>IF(OR(FQ$2="",$D21=""),"",IF(AND(ISNUMBER($F21),FQ$2&gt;=$F21,FQ$2&lt;=IF(ISNUMBER($G21),$G21,$F21+$E21-$D21)),2,IF(AND(FQ$2&gt;=$D21,FQ$2&lt;=$E21),1,"")))</f>
        <v/>
      </c>
      <c r="FR21" s="38">
        <f>IF(OR(FR$2="",$D21=""),"",IF(AND(ISNUMBER($F21),FR$2&gt;=$F21,FR$2&lt;=IF(ISNUMBER($G21),$G21,$F21+$E21-$D21)),2,IF(AND(FR$2&gt;=$D21,FR$2&lt;=$E21),1,"")))</f>
        <v/>
      </c>
      <c r="FS21" s="38">
        <f>IF(OR(FS$2="",$D21=""),"",IF(AND(ISNUMBER($F21),FS$2&gt;=$F21,FS$2&lt;=IF(ISNUMBER($G21),$G21,$F21+$E21-$D21)),2,IF(AND(FS$2&gt;=$D21,FS$2&lt;=$E21),1,"")))</f>
        <v/>
      </c>
      <c r="FT21" s="38">
        <f>IF(OR(FT$2="",$D21=""),"",IF(AND(ISNUMBER($F21),FT$2&gt;=$F21,FT$2&lt;=IF(ISNUMBER($G21),$G21,$F21+$E21-$D21)),2,IF(AND(FT$2&gt;=$D21,FT$2&lt;=$E21),1,"")))</f>
        <v/>
      </c>
      <c r="FU21" s="38">
        <f>IF(OR(FU$2="",$D21=""),"",IF(AND(ISNUMBER($F21),FU$2&gt;=$F21,FU$2&lt;=IF(ISNUMBER($G21),$G21,$F21+$E21-$D21)),2,IF(AND(FU$2&gt;=$D21,FU$2&lt;=$E21),1,"")))</f>
        <v/>
      </c>
      <c r="FV21" s="38">
        <f>IF(OR(FV$2="",$D21=""),"",IF(AND(ISNUMBER($F21),FV$2&gt;=$F21,FV$2&lt;=IF(ISNUMBER($G21),$G21,$F21+$E21-$D21)),2,IF(AND(FV$2&gt;=$D21,FV$2&lt;=$E21),1,"")))</f>
        <v/>
      </c>
      <c r="FW21" s="38">
        <f>IF(OR(FW$2="",$D21=""),"",IF(AND(ISNUMBER($F21),FW$2&gt;=$F21,FW$2&lt;=IF(ISNUMBER($G21),$G21,$F21+$E21-$D21)),2,IF(AND(FW$2&gt;=$D21,FW$2&lt;=$E21),1,"")))</f>
        <v/>
      </c>
      <c r="FX21" s="38">
        <f>IF(OR(FX$2="",$D21=""),"",IF(AND(ISNUMBER($F21),FX$2&gt;=$F21,FX$2&lt;=IF(ISNUMBER($G21),$G21,$F21+$E21-$D21)),2,IF(AND(FX$2&gt;=$D21,FX$2&lt;=$E21),1,"")))</f>
        <v/>
      </c>
      <c r="FY21" s="38">
        <f>IF(OR(FY$2="",$D21=""),"",IF(AND(ISNUMBER($F21),FY$2&gt;=$F21,FY$2&lt;=IF(ISNUMBER($G21),$G21,$F21+$E21-$D21)),2,IF(AND(FY$2&gt;=$D21,FY$2&lt;=$E21),1,"")))</f>
        <v/>
      </c>
      <c r="FZ21" s="38">
        <f>IF(OR(FZ$2="",$D21=""),"",IF(AND(ISNUMBER($F21),FZ$2&gt;=$F21,FZ$2&lt;=IF(ISNUMBER($G21),$G21,$F21+$E21-$D21)),2,IF(AND(FZ$2&gt;=$D21,FZ$2&lt;=$E21),1,"")))</f>
        <v/>
      </c>
      <c r="GA21" s="38">
        <f>IF(OR(GA$2="",$D21=""),"",IF(AND(ISNUMBER($F21),GA$2&gt;=$F21,GA$2&lt;=IF(ISNUMBER($G21),$G21,$F21+$E21-$D21)),2,IF(AND(GA$2&gt;=$D21,GA$2&lt;=$E21),1,"")))</f>
        <v/>
      </c>
      <c r="GB21" s="38">
        <f>IF(OR(GB$2="",$D21=""),"",IF(AND(ISNUMBER($F21),GB$2&gt;=$F21,GB$2&lt;=IF(ISNUMBER($G21),$G21,$F21+$E21-$D21)),2,IF(AND(GB$2&gt;=$D21,GB$2&lt;=$E21),1,"")))</f>
        <v/>
      </c>
      <c r="GC21" s="38">
        <f>IF(OR(GC$2="",$D21=""),"",IF(AND(ISNUMBER($F21),GC$2&gt;=$F21,GC$2&lt;=IF(ISNUMBER($G21),$G21,$F21+$E21-$D21)),2,IF(AND(GC$2&gt;=$D21,GC$2&lt;=$E21),1,"")))</f>
        <v/>
      </c>
      <c r="GD21" s="38">
        <f>IF(OR(GD$2="",$D21=""),"",IF(AND(ISNUMBER($F21),GD$2&gt;=$F21,GD$2&lt;=IF(ISNUMBER($G21),$G21,$F21+$E21-$D21)),2,IF(AND(GD$2&gt;=$D21,GD$2&lt;=$E21),1,"")))</f>
        <v/>
      </c>
      <c r="GE21" s="38">
        <f>IF(OR(GE$2="",$D21=""),"",IF(AND(ISNUMBER($F21),GE$2&gt;=$F21,GE$2&lt;=IF(ISNUMBER($G21),$G21,$F21+$E21-$D21)),2,IF(AND(GE$2&gt;=$D21,GE$2&lt;=$E21),1,"")))</f>
        <v/>
      </c>
    </row>
    <row r="22">
      <c r="A22" s="36" t="inlineStr">
        <is>
          <t>3F4D-6</t>
        </is>
      </c>
      <c r="B22" s="12" t="inlineStr">
        <is>
          <t>৩এফ৪ডি-6</t>
        </is>
      </c>
      <c r="C22" s="12" t="inlineStr">
        <is>
          <t>3F4D+MD</t>
        </is>
      </c>
      <c r="D22" s="7">
        <f>IF(Day_0="","",Day_0+cfg_6-cfg_8+cfg_13*5)</f>
        <v/>
      </c>
      <c r="E22" s="7">
        <f>IF(Day_0="","",Day_0+cfg_6-cfg_8+cfg_13*6)</f>
        <v/>
      </c>
      <c r="F22" s="37" t="n"/>
      <c r="G22" s="37" t="n"/>
      <c r="H22" s="6">
        <f>IF(D22="","no plan",IF(F22&lt;&gt;"",IF(F22-D22&gt;=2,"LATE","OK"),IF(TODAY()&gt;D22+2,"OVERDUE","upcoming")))</f>
        <v/>
      </c>
      <c r="I22" s="6">
        <f>IF(AND(D22&lt;&gt;"",F22&lt;&gt;""),F22-D22,"")</f>
        <v/>
      </c>
      <c r="J22" s="7">
        <f>IF(F22&lt;&gt;"",F22,D22)</f>
        <v/>
      </c>
      <c r="K22" s="7">
        <f>IF(G22&lt;&gt;"",G22,IF(AND(F22&lt;&gt;"",E22=D22),F22,E22))</f>
        <v/>
      </c>
      <c r="L22" s="6">
        <f>IF(AND(D22&lt;&gt;"",F22="",D22&gt;=TODAY()),D22+ROW()/1000,"")</f>
        <v/>
      </c>
      <c r="M22" s="38">
        <f>IF(OR(M$2="",$D22=""),"",IF(AND(ISNUMBER($F22),M$2&gt;=$F22,M$2&lt;=IF(ISNUMBER($G22),$G22,$F22+$E22-$D22)),2,IF(AND(M$2&gt;=$D22,M$2&lt;=$E22),1,"")))</f>
        <v/>
      </c>
      <c r="N22" s="38">
        <f>IF(OR(N$2="",$D22=""),"",IF(AND(ISNUMBER($F22),N$2&gt;=$F22,N$2&lt;=IF(ISNUMBER($G22),$G22,$F22+$E22-$D22)),2,IF(AND(N$2&gt;=$D22,N$2&lt;=$E22),1,"")))</f>
        <v/>
      </c>
      <c r="O22" s="38">
        <f>IF(OR(O$2="",$D22=""),"",IF(AND(ISNUMBER($F22),O$2&gt;=$F22,O$2&lt;=IF(ISNUMBER($G22),$G22,$F22+$E22-$D22)),2,IF(AND(O$2&gt;=$D22,O$2&lt;=$E22),1,"")))</f>
        <v/>
      </c>
      <c r="P22" s="38">
        <f>IF(OR(P$2="",$D22=""),"",IF(AND(ISNUMBER($F22),P$2&gt;=$F22,P$2&lt;=IF(ISNUMBER($G22),$G22,$F22+$E22-$D22)),2,IF(AND(P$2&gt;=$D22,P$2&lt;=$E22),1,"")))</f>
        <v/>
      </c>
      <c r="Q22" s="38">
        <f>IF(OR(Q$2="",$D22=""),"",IF(AND(ISNUMBER($F22),Q$2&gt;=$F22,Q$2&lt;=IF(ISNUMBER($G22),$G22,$F22+$E22-$D22)),2,IF(AND(Q$2&gt;=$D22,Q$2&lt;=$E22),1,"")))</f>
        <v/>
      </c>
      <c r="R22" s="38">
        <f>IF(OR(R$2="",$D22=""),"",IF(AND(ISNUMBER($F22),R$2&gt;=$F22,R$2&lt;=IF(ISNUMBER($G22),$G22,$F22+$E22-$D22)),2,IF(AND(R$2&gt;=$D22,R$2&lt;=$E22),1,"")))</f>
        <v/>
      </c>
      <c r="S22" s="38">
        <f>IF(OR(S$2="",$D22=""),"",IF(AND(ISNUMBER($F22),S$2&gt;=$F22,S$2&lt;=IF(ISNUMBER($G22),$G22,$F22+$E22-$D22)),2,IF(AND(S$2&gt;=$D22,S$2&lt;=$E22),1,"")))</f>
        <v/>
      </c>
      <c r="T22" s="38">
        <f>IF(OR(T$2="",$D22=""),"",IF(AND(ISNUMBER($F22),T$2&gt;=$F22,T$2&lt;=IF(ISNUMBER($G22),$G22,$F22+$E22-$D22)),2,IF(AND(T$2&gt;=$D22,T$2&lt;=$E22),1,"")))</f>
        <v/>
      </c>
      <c r="U22" s="38">
        <f>IF(OR(U$2="",$D22=""),"",IF(AND(ISNUMBER($F22),U$2&gt;=$F22,U$2&lt;=IF(ISNUMBER($G22),$G22,$F22+$E22-$D22)),2,IF(AND(U$2&gt;=$D22,U$2&lt;=$E22),1,"")))</f>
        <v/>
      </c>
      <c r="V22" s="38">
        <f>IF(OR(V$2="",$D22=""),"",IF(AND(ISNUMBER($F22),V$2&gt;=$F22,V$2&lt;=IF(ISNUMBER($G22),$G22,$F22+$E22-$D22)),2,IF(AND(V$2&gt;=$D22,V$2&lt;=$E22),1,"")))</f>
        <v/>
      </c>
      <c r="W22" s="38">
        <f>IF(OR(W$2="",$D22=""),"",IF(AND(ISNUMBER($F22),W$2&gt;=$F22,W$2&lt;=IF(ISNUMBER($G22),$G22,$F22+$E22-$D22)),2,IF(AND(W$2&gt;=$D22,W$2&lt;=$E22),1,"")))</f>
        <v/>
      </c>
      <c r="X22" s="38">
        <f>IF(OR(X$2="",$D22=""),"",IF(AND(ISNUMBER($F22),X$2&gt;=$F22,X$2&lt;=IF(ISNUMBER($G22),$G22,$F22+$E22-$D22)),2,IF(AND(X$2&gt;=$D22,X$2&lt;=$E22),1,"")))</f>
        <v/>
      </c>
      <c r="Y22" s="38">
        <f>IF(OR(Y$2="",$D22=""),"",IF(AND(ISNUMBER($F22),Y$2&gt;=$F22,Y$2&lt;=IF(ISNUMBER($G22),$G22,$F22+$E22-$D22)),2,IF(AND(Y$2&gt;=$D22,Y$2&lt;=$E22),1,"")))</f>
        <v/>
      </c>
      <c r="Z22" s="38">
        <f>IF(OR(Z$2="",$D22=""),"",IF(AND(ISNUMBER($F22),Z$2&gt;=$F22,Z$2&lt;=IF(ISNUMBER($G22),$G22,$F22+$E22-$D22)),2,IF(AND(Z$2&gt;=$D22,Z$2&lt;=$E22),1,"")))</f>
        <v/>
      </c>
      <c r="AA22" s="38">
        <f>IF(OR(AA$2="",$D22=""),"",IF(AND(ISNUMBER($F22),AA$2&gt;=$F22,AA$2&lt;=IF(ISNUMBER($G22),$G22,$F22+$E22-$D22)),2,IF(AND(AA$2&gt;=$D22,AA$2&lt;=$E22),1,"")))</f>
        <v/>
      </c>
      <c r="AB22" s="38">
        <f>IF(OR(AB$2="",$D22=""),"",IF(AND(ISNUMBER($F22),AB$2&gt;=$F22,AB$2&lt;=IF(ISNUMBER($G22),$G22,$F22+$E22-$D22)),2,IF(AND(AB$2&gt;=$D22,AB$2&lt;=$E22),1,"")))</f>
        <v/>
      </c>
      <c r="AC22" s="38">
        <f>IF(OR(AC$2="",$D22=""),"",IF(AND(ISNUMBER($F22),AC$2&gt;=$F22,AC$2&lt;=IF(ISNUMBER($G22),$G22,$F22+$E22-$D22)),2,IF(AND(AC$2&gt;=$D22,AC$2&lt;=$E22),1,"")))</f>
        <v/>
      </c>
      <c r="AD22" s="38">
        <f>IF(OR(AD$2="",$D22=""),"",IF(AND(ISNUMBER($F22),AD$2&gt;=$F22,AD$2&lt;=IF(ISNUMBER($G22),$G22,$F22+$E22-$D22)),2,IF(AND(AD$2&gt;=$D22,AD$2&lt;=$E22),1,"")))</f>
        <v/>
      </c>
      <c r="AE22" s="38">
        <f>IF(OR(AE$2="",$D22=""),"",IF(AND(ISNUMBER($F22),AE$2&gt;=$F22,AE$2&lt;=IF(ISNUMBER($G22),$G22,$F22+$E22-$D22)),2,IF(AND(AE$2&gt;=$D22,AE$2&lt;=$E22),1,"")))</f>
        <v/>
      </c>
      <c r="AF22" s="38">
        <f>IF(OR(AF$2="",$D22=""),"",IF(AND(ISNUMBER($F22),AF$2&gt;=$F22,AF$2&lt;=IF(ISNUMBER($G22),$G22,$F22+$E22-$D22)),2,IF(AND(AF$2&gt;=$D22,AF$2&lt;=$E22),1,"")))</f>
        <v/>
      </c>
      <c r="AG22" s="38">
        <f>IF(OR(AG$2="",$D22=""),"",IF(AND(ISNUMBER($F22),AG$2&gt;=$F22,AG$2&lt;=IF(ISNUMBER($G22),$G22,$F22+$E22-$D22)),2,IF(AND(AG$2&gt;=$D22,AG$2&lt;=$E22),1,"")))</f>
        <v/>
      </c>
      <c r="AH22" s="38">
        <f>IF(OR(AH$2="",$D22=""),"",IF(AND(ISNUMBER($F22),AH$2&gt;=$F22,AH$2&lt;=IF(ISNUMBER($G22),$G22,$F22+$E22-$D22)),2,IF(AND(AH$2&gt;=$D22,AH$2&lt;=$E22),1,"")))</f>
        <v/>
      </c>
      <c r="AI22" s="38">
        <f>IF(OR(AI$2="",$D22=""),"",IF(AND(ISNUMBER($F22),AI$2&gt;=$F22,AI$2&lt;=IF(ISNUMBER($G22),$G22,$F22+$E22-$D22)),2,IF(AND(AI$2&gt;=$D22,AI$2&lt;=$E22),1,"")))</f>
        <v/>
      </c>
      <c r="AJ22" s="38">
        <f>IF(OR(AJ$2="",$D22=""),"",IF(AND(ISNUMBER($F22),AJ$2&gt;=$F22,AJ$2&lt;=IF(ISNUMBER($G22),$G22,$F22+$E22-$D22)),2,IF(AND(AJ$2&gt;=$D22,AJ$2&lt;=$E22),1,"")))</f>
        <v/>
      </c>
      <c r="AK22" s="38">
        <f>IF(OR(AK$2="",$D22=""),"",IF(AND(ISNUMBER($F22),AK$2&gt;=$F22,AK$2&lt;=IF(ISNUMBER($G22),$G22,$F22+$E22-$D22)),2,IF(AND(AK$2&gt;=$D22,AK$2&lt;=$E22),1,"")))</f>
        <v/>
      </c>
      <c r="AL22" s="38">
        <f>IF(OR(AL$2="",$D22=""),"",IF(AND(ISNUMBER($F22),AL$2&gt;=$F22,AL$2&lt;=IF(ISNUMBER($G22),$G22,$F22+$E22-$D22)),2,IF(AND(AL$2&gt;=$D22,AL$2&lt;=$E22),1,"")))</f>
        <v/>
      </c>
      <c r="AM22" s="38">
        <f>IF(OR(AM$2="",$D22=""),"",IF(AND(ISNUMBER($F22),AM$2&gt;=$F22,AM$2&lt;=IF(ISNUMBER($G22),$G22,$F22+$E22-$D22)),2,IF(AND(AM$2&gt;=$D22,AM$2&lt;=$E22),1,"")))</f>
        <v/>
      </c>
      <c r="AN22" s="38">
        <f>IF(OR(AN$2="",$D22=""),"",IF(AND(ISNUMBER($F22),AN$2&gt;=$F22,AN$2&lt;=IF(ISNUMBER($G22),$G22,$F22+$E22-$D22)),2,IF(AND(AN$2&gt;=$D22,AN$2&lt;=$E22),1,"")))</f>
        <v/>
      </c>
      <c r="AO22" s="38">
        <f>IF(OR(AO$2="",$D22=""),"",IF(AND(ISNUMBER($F22),AO$2&gt;=$F22,AO$2&lt;=IF(ISNUMBER($G22),$G22,$F22+$E22-$D22)),2,IF(AND(AO$2&gt;=$D22,AO$2&lt;=$E22),1,"")))</f>
        <v/>
      </c>
      <c r="AP22" s="38">
        <f>IF(OR(AP$2="",$D22=""),"",IF(AND(ISNUMBER($F22),AP$2&gt;=$F22,AP$2&lt;=IF(ISNUMBER($G22),$G22,$F22+$E22-$D22)),2,IF(AND(AP$2&gt;=$D22,AP$2&lt;=$E22),1,"")))</f>
        <v/>
      </c>
      <c r="AQ22" s="38">
        <f>IF(OR(AQ$2="",$D22=""),"",IF(AND(ISNUMBER($F22),AQ$2&gt;=$F22,AQ$2&lt;=IF(ISNUMBER($G22),$G22,$F22+$E22-$D22)),2,IF(AND(AQ$2&gt;=$D22,AQ$2&lt;=$E22),1,"")))</f>
        <v/>
      </c>
      <c r="AR22" s="38">
        <f>IF(OR(AR$2="",$D22=""),"",IF(AND(ISNUMBER($F22),AR$2&gt;=$F22,AR$2&lt;=IF(ISNUMBER($G22),$G22,$F22+$E22-$D22)),2,IF(AND(AR$2&gt;=$D22,AR$2&lt;=$E22),1,"")))</f>
        <v/>
      </c>
      <c r="AS22" s="38">
        <f>IF(OR(AS$2="",$D22=""),"",IF(AND(ISNUMBER($F22),AS$2&gt;=$F22,AS$2&lt;=IF(ISNUMBER($G22),$G22,$F22+$E22-$D22)),2,IF(AND(AS$2&gt;=$D22,AS$2&lt;=$E22),1,"")))</f>
        <v/>
      </c>
      <c r="AT22" s="38">
        <f>IF(OR(AT$2="",$D22=""),"",IF(AND(ISNUMBER($F22),AT$2&gt;=$F22,AT$2&lt;=IF(ISNUMBER($G22),$G22,$F22+$E22-$D22)),2,IF(AND(AT$2&gt;=$D22,AT$2&lt;=$E22),1,"")))</f>
        <v/>
      </c>
      <c r="AU22" s="38">
        <f>IF(OR(AU$2="",$D22=""),"",IF(AND(ISNUMBER($F22),AU$2&gt;=$F22,AU$2&lt;=IF(ISNUMBER($G22),$G22,$F22+$E22-$D22)),2,IF(AND(AU$2&gt;=$D22,AU$2&lt;=$E22),1,"")))</f>
        <v/>
      </c>
      <c r="AV22" s="38">
        <f>IF(OR(AV$2="",$D22=""),"",IF(AND(ISNUMBER($F22),AV$2&gt;=$F22,AV$2&lt;=IF(ISNUMBER($G22),$G22,$F22+$E22-$D22)),2,IF(AND(AV$2&gt;=$D22,AV$2&lt;=$E22),1,"")))</f>
        <v/>
      </c>
      <c r="AW22" s="38">
        <f>IF(OR(AW$2="",$D22=""),"",IF(AND(ISNUMBER($F22),AW$2&gt;=$F22,AW$2&lt;=IF(ISNUMBER($G22),$G22,$F22+$E22-$D22)),2,IF(AND(AW$2&gt;=$D22,AW$2&lt;=$E22),1,"")))</f>
        <v/>
      </c>
      <c r="AX22" s="38">
        <f>IF(OR(AX$2="",$D22=""),"",IF(AND(ISNUMBER($F22),AX$2&gt;=$F22,AX$2&lt;=IF(ISNUMBER($G22),$G22,$F22+$E22-$D22)),2,IF(AND(AX$2&gt;=$D22,AX$2&lt;=$E22),1,"")))</f>
        <v/>
      </c>
      <c r="AY22" s="38">
        <f>IF(OR(AY$2="",$D22=""),"",IF(AND(ISNUMBER($F22),AY$2&gt;=$F22,AY$2&lt;=IF(ISNUMBER($G22),$G22,$F22+$E22-$D22)),2,IF(AND(AY$2&gt;=$D22,AY$2&lt;=$E22),1,"")))</f>
        <v/>
      </c>
      <c r="AZ22" s="38">
        <f>IF(OR(AZ$2="",$D22=""),"",IF(AND(ISNUMBER($F22),AZ$2&gt;=$F22,AZ$2&lt;=IF(ISNUMBER($G22),$G22,$F22+$E22-$D22)),2,IF(AND(AZ$2&gt;=$D22,AZ$2&lt;=$E22),1,"")))</f>
        <v/>
      </c>
      <c r="BA22" s="38">
        <f>IF(OR(BA$2="",$D22=""),"",IF(AND(ISNUMBER($F22),BA$2&gt;=$F22,BA$2&lt;=IF(ISNUMBER($G22),$G22,$F22+$E22-$D22)),2,IF(AND(BA$2&gt;=$D22,BA$2&lt;=$E22),1,"")))</f>
        <v/>
      </c>
      <c r="BB22" s="38">
        <f>IF(OR(BB$2="",$D22=""),"",IF(AND(ISNUMBER($F22),BB$2&gt;=$F22,BB$2&lt;=IF(ISNUMBER($G22),$G22,$F22+$E22-$D22)),2,IF(AND(BB$2&gt;=$D22,BB$2&lt;=$E22),1,"")))</f>
        <v/>
      </c>
      <c r="BC22" s="38">
        <f>IF(OR(BC$2="",$D22=""),"",IF(AND(ISNUMBER($F22),BC$2&gt;=$F22,BC$2&lt;=IF(ISNUMBER($G22),$G22,$F22+$E22-$D22)),2,IF(AND(BC$2&gt;=$D22,BC$2&lt;=$E22),1,"")))</f>
        <v/>
      </c>
      <c r="BD22" s="38">
        <f>IF(OR(BD$2="",$D22=""),"",IF(AND(ISNUMBER($F22),BD$2&gt;=$F22,BD$2&lt;=IF(ISNUMBER($G22),$G22,$F22+$E22-$D22)),2,IF(AND(BD$2&gt;=$D22,BD$2&lt;=$E22),1,"")))</f>
        <v/>
      </c>
      <c r="BE22" s="38">
        <f>IF(OR(BE$2="",$D22=""),"",IF(AND(ISNUMBER($F22),BE$2&gt;=$F22,BE$2&lt;=IF(ISNUMBER($G22),$G22,$F22+$E22-$D22)),2,IF(AND(BE$2&gt;=$D22,BE$2&lt;=$E22),1,"")))</f>
        <v/>
      </c>
      <c r="BF22" s="38">
        <f>IF(OR(BF$2="",$D22=""),"",IF(AND(ISNUMBER($F22),BF$2&gt;=$F22,BF$2&lt;=IF(ISNUMBER($G22),$G22,$F22+$E22-$D22)),2,IF(AND(BF$2&gt;=$D22,BF$2&lt;=$E22),1,"")))</f>
        <v/>
      </c>
      <c r="BG22" s="38">
        <f>IF(OR(BG$2="",$D22=""),"",IF(AND(ISNUMBER($F22),BG$2&gt;=$F22,BG$2&lt;=IF(ISNUMBER($G22),$G22,$F22+$E22-$D22)),2,IF(AND(BG$2&gt;=$D22,BG$2&lt;=$E22),1,"")))</f>
        <v/>
      </c>
      <c r="BH22" s="38">
        <f>IF(OR(BH$2="",$D22=""),"",IF(AND(ISNUMBER($F22),BH$2&gt;=$F22,BH$2&lt;=IF(ISNUMBER($G22),$G22,$F22+$E22-$D22)),2,IF(AND(BH$2&gt;=$D22,BH$2&lt;=$E22),1,"")))</f>
        <v/>
      </c>
      <c r="BI22" s="38">
        <f>IF(OR(BI$2="",$D22=""),"",IF(AND(ISNUMBER($F22),BI$2&gt;=$F22,BI$2&lt;=IF(ISNUMBER($G22),$G22,$F22+$E22-$D22)),2,IF(AND(BI$2&gt;=$D22,BI$2&lt;=$E22),1,"")))</f>
        <v/>
      </c>
      <c r="BJ22" s="38">
        <f>IF(OR(BJ$2="",$D22=""),"",IF(AND(ISNUMBER($F22),BJ$2&gt;=$F22,BJ$2&lt;=IF(ISNUMBER($G22),$G22,$F22+$E22-$D22)),2,IF(AND(BJ$2&gt;=$D22,BJ$2&lt;=$E22),1,"")))</f>
        <v/>
      </c>
      <c r="BK22" s="38">
        <f>IF(OR(BK$2="",$D22=""),"",IF(AND(ISNUMBER($F22),BK$2&gt;=$F22,BK$2&lt;=IF(ISNUMBER($G22),$G22,$F22+$E22-$D22)),2,IF(AND(BK$2&gt;=$D22,BK$2&lt;=$E22),1,"")))</f>
        <v/>
      </c>
      <c r="BL22" s="38">
        <f>IF(OR(BL$2="",$D22=""),"",IF(AND(ISNUMBER($F22),BL$2&gt;=$F22,BL$2&lt;=IF(ISNUMBER($G22),$G22,$F22+$E22-$D22)),2,IF(AND(BL$2&gt;=$D22,BL$2&lt;=$E22),1,"")))</f>
        <v/>
      </c>
      <c r="BM22" s="38">
        <f>IF(OR(BM$2="",$D22=""),"",IF(AND(ISNUMBER($F22),BM$2&gt;=$F22,BM$2&lt;=IF(ISNUMBER($G22),$G22,$F22+$E22-$D22)),2,IF(AND(BM$2&gt;=$D22,BM$2&lt;=$E22),1,"")))</f>
        <v/>
      </c>
      <c r="BN22" s="38">
        <f>IF(OR(BN$2="",$D22=""),"",IF(AND(ISNUMBER($F22),BN$2&gt;=$F22,BN$2&lt;=IF(ISNUMBER($G22),$G22,$F22+$E22-$D22)),2,IF(AND(BN$2&gt;=$D22,BN$2&lt;=$E22),1,"")))</f>
        <v/>
      </c>
      <c r="BO22" s="38">
        <f>IF(OR(BO$2="",$D22=""),"",IF(AND(ISNUMBER($F22),BO$2&gt;=$F22,BO$2&lt;=IF(ISNUMBER($G22),$G22,$F22+$E22-$D22)),2,IF(AND(BO$2&gt;=$D22,BO$2&lt;=$E22),1,"")))</f>
        <v/>
      </c>
      <c r="BP22" s="38">
        <f>IF(OR(BP$2="",$D22=""),"",IF(AND(ISNUMBER($F22),BP$2&gt;=$F22,BP$2&lt;=IF(ISNUMBER($G22),$G22,$F22+$E22-$D22)),2,IF(AND(BP$2&gt;=$D22,BP$2&lt;=$E22),1,"")))</f>
        <v/>
      </c>
      <c r="BQ22" s="38">
        <f>IF(OR(BQ$2="",$D22=""),"",IF(AND(ISNUMBER($F22),BQ$2&gt;=$F22,BQ$2&lt;=IF(ISNUMBER($G22),$G22,$F22+$E22-$D22)),2,IF(AND(BQ$2&gt;=$D22,BQ$2&lt;=$E22),1,"")))</f>
        <v/>
      </c>
      <c r="BR22" s="38">
        <f>IF(OR(BR$2="",$D22=""),"",IF(AND(ISNUMBER($F22),BR$2&gt;=$F22,BR$2&lt;=IF(ISNUMBER($G22),$G22,$F22+$E22-$D22)),2,IF(AND(BR$2&gt;=$D22,BR$2&lt;=$E22),1,"")))</f>
        <v/>
      </c>
      <c r="BS22" s="38">
        <f>IF(OR(BS$2="",$D22=""),"",IF(AND(ISNUMBER($F22),BS$2&gt;=$F22,BS$2&lt;=IF(ISNUMBER($G22),$G22,$F22+$E22-$D22)),2,IF(AND(BS$2&gt;=$D22,BS$2&lt;=$E22),1,"")))</f>
        <v/>
      </c>
      <c r="BT22" s="38">
        <f>IF(OR(BT$2="",$D22=""),"",IF(AND(ISNUMBER($F22),BT$2&gt;=$F22,BT$2&lt;=IF(ISNUMBER($G22),$G22,$F22+$E22-$D22)),2,IF(AND(BT$2&gt;=$D22,BT$2&lt;=$E22),1,"")))</f>
        <v/>
      </c>
      <c r="BU22" s="38">
        <f>IF(OR(BU$2="",$D22=""),"",IF(AND(ISNUMBER($F22),BU$2&gt;=$F22,BU$2&lt;=IF(ISNUMBER($G22),$G22,$F22+$E22-$D22)),2,IF(AND(BU$2&gt;=$D22,BU$2&lt;=$E22),1,"")))</f>
        <v/>
      </c>
      <c r="BV22" s="38">
        <f>IF(OR(BV$2="",$D22=""),"",IF(AND(ISNUMBER($F22),BV$2&gt;=$F22,BV$2&lt;=IF(ISNUMBER($G22),$G22,$F22+$E22-$D22)),2,IF(AND(BV$2&gt;=$D22,BV$2&lt;=$E22),1,"")))</f>
        <v/>
      </c>
      <c r="BW22" s="38">
        <f>IF(OR(BW$2="",$D22=""),"",IF(AND(ISNUMBER($F22),BW$2&gt;=$F22,BW$2&lt;=IF(ISNUMBER($G22),$G22,$F22+$E22-$D22)),2,IF(AND(BW$2&gt;=$D22,BW$2&lt;=$E22),1,"")))</f>
        <v/>
      </c>
      <c r="BX22" s="38">
        <f>IF(OR(BX$2="",$D22=""),"",IF(AND(ISNUMBER($F22),BX$2&gt;=$F22,BX$2&lt;=IF(ISNUMBER($G22),$G22,$F22+$E22-$D22)),2,IF(AND(BX$2&gt;=$D22,BX$2&lt;=$E22),1,"")))</f>
        <v/>
      </c>
      <c r="BY22" s="38">
        <f>IF(OR(BY$2="",$D22=""),"",IF(AND(ISNUMBER($F22),BY$2&gt;=$F22,BY$2&lt;=IF(ISNUMBER($G22),$G22,$F22+$E22-$D22)),2,IF(AND(BY$2&gt;=$D22,BY$2&lt;=$E22),1,"")))</f>
        <v/>
      </c>
      <c r="BZ22" s="38">
        <f>IF(OR(BZ$2="",$D22=""),"",IF(AND(ISNUMBER($F22),BZ$2&gt;=$F22,BZ$2&lt;=IF(ISNUMBER($G22),$G22,$F22+$E22-$D22)),2,IF(AND(BZ$2&gt;=$D22,BZ$2&lt;=$E22),1,"")))</f>
        <v/>
      </c>
      <c r="CA22" s="38">
        <f>IF(OR(CA$2="",$D22=""),"",IF(AND(ISNUMBER($F22),CA$2&gt;=$F22,CA$2&lt;=IF(ISNUMBER($G22),$G22,$F22+$E22-$D22)),2,IF(AND(CA$2&gt;=$D22,CA$2&lt;=$E22),1,"")))</f>
        <v/>
      </c>
      <c r="CB22" s="38">
        <f>IF(OR(CB$2="",$D22=""),"",IF(AND(ISNUMBER($F22),CB$2&gt;=$F22,CB$2&lt;=IF(ISNUMBER($G22),$G22,$F22+$E22-$D22)),2,IF(AND(CB$2&gt;=$D22,CB$2&lt;=$E22),1,"")))</f>
        <v/>
      </c>
      <c r="CC22" s="38">
        <f>IF(OR(CC$2="",$D22=""),"",IF(AND(ISNUMBER($F22),CC$2&gt;=$F22,CC$2&lt;=IF(ISNUMBER($G22),$G22,$F22+$E22-$D22)),2,IF(AND(CC$2&gt;=$D22,CC$2&lt;=$E22),1,"")))</f>
        <v/>
      </c>
      <c r="CD22" s="38">
        <f>IF(OR(CD$2="",$D22=""),"",IF(AND(ISNUMBER($F22),CD$2&gt;=$F22,CD$2&lt;=IF(ISNUMBER($G22),$G22,$F22+$E22-$D22)),2,IF(AND(CD$2&gt;=$D22,CD$2&lt;=$E22),1,"")))</f>
        <v/>
      </c>
      <c r="CE22" s="38">
        <f>IF(OR(CE$2="",$D22=""),"",IF(AND(ISNUMBER($F22),CE$2&gt;=$F22,CE$2&lt;=IF(ISNUMBER($G22),$G22,$F22+$E22-$D22)),2,IF(AND(CE$2&gt;=$D22,CE$2&lt;=$E22),1,"")))</f>
        <v/>
      </c>
      <c r="CF22" s="38">
        <f>IF(OR(CF$2="",$D22=""),"",IF(AND(ISNUMBER($F22),CF$2&gt;=$F22,CF$2&lt;=IF(ISNUMBER($G22),$G22,$F22+$E22-$D22)),2,IF(AND(CF$2&gt;=$D22,CF$2&lt;=$E22),1,"")))</f>
        <v/>
      </c>
      <c r="CG22" s="38">
        <f>IF(OR(CG$2="",$D22=""),"",IF(AND(ISNUMBER($F22),CG$2&gt;=$F22,CG$2&lt;=IF(ISNUMBER($G22),$G22,$F22+$E22-$D22)),2,IF(AND(CG$2&gt;=$D22,CG$2&lt;=$E22),1,"")))</f>
        <v/>
      </c>
      <c r="CH22" s="38">
        <f>IF(OR(CH$2="",$D22=""),"",IF(AND(ISNUMBER($F22),CH$2&gt;=$F22,CH$2&lt;=IF(ISNUMBER($G22),$G22,$F22+$E22-$D22)),2,IF(AND(CH$2&gt;=$D22,CH$2&lt;=$E22),1,"")))</f>
        <v/>
      </c>
      <c r="CI22" s="38">
        <f>IF(OR(CI$2="",$D22=""),"",IF(AND(ISNUMBER($F22),CI$2&gt;=$F22,CI$2&lt;=IF(ISNUMBER($G22),$G22,$F22+$E22-$D22)),2,IF(AND(CI$2&gt;=$D22,CI$2&lt;=$E22),1,"")))</f>
        <v/>
      </c>
      <c r="CJ22" s="38">
        <f>IF(OR(CJ$2="",$D22=""),"",IF(AND(ISNUMBER($F22),CJ$2&gt;=$F22,CJ$2&lt;=IF(ISNUMBER($G22),$G22,$F22+$E22-$D22)),2,IF(AND(CJ$2&gt;=$D22,CJ$2&lt;=$E22),1,"")))</f>
        <v/>
      </c>
      <c r="CK22" s="38">
        <f>IF(OR(CK$2="",$D22=""),"",IF(AND(ISNUMBER($F22),CK$2&gt;=$F22,CK$2&lt;=IF(ISNUMBER($G22),$G22,$F22+$E22-$D22)),2,IF(AND(CK$2&gt;=$D22,CK$2&lt;=$E22),1,"")))</f>
        <v/>
      </c>
      <c r="CL22" s="38">
        <f>IF(OR(CL$2="",$D22=""),"",IF(AND(ISNUMBER($F22),CL$2&gt;=$F22,CL$2&lt;=IF(ISNUMBER($G22),$G22,$F22+$E22-$D22)),2,IF(AND(CL$2&gt;=$D22,CL$2&lt;=$E22),1,"")))</f>
        <v/>
      </c>
      <c r="CM22" s="38">
        <f>IF(OR(CM$2="",$D22=""),"",IF(AND(ISNUMBER($F22),CM$2&gt;=$F22,CM$2&lt;=IF(ISNUMBER($G22),$G22,$F22+$E22-$D22)),2,IF(AND(CM$2&gt;=$D22,CM$2&lt;=$E22),1,"")))</f>
        <v/>
      </c>
      <c r="CN22" s="38">
        <f>IF(OR(CN$2="",$D22=""),"",IF(AND(ISNUMBER($F22),CN$2&gt;=$F22,CN$2&lt;=IF(ISNUMBER($G22),$G22,$F22+$E22-$D22)),2,IF(AND(CN$2&gt;=$D22,CN$2&lt;=$E22),1,"")))</f>
        <v/>
      </c>
      <c r="CO22" s="38">
        <f>IF(OR(CO$2="",$D22=""),"",IF(AND(ISNUMBER($F22),CO$2&gt;=$F22,CO$2&lt;=IF(ISNUMBER($G22),$G22,$F22+$E22-$D22)),2,IF(AND(CO$2&gt;=$D22,CO$2&lt;=$E22),1,"")))</f>
        <v/>
      </c>
      <c r="CP22" s="38">
        <f>IF(OR(CP$2="",$D22=""),"",IF(AND(ISNUMBER($F22),CP$2&gt;=$F22,CP$2&lt;=IF(ISNUMBER($G22),$G22,$F22+$E22-$D22)),2,IF(AND(CP$2&gt;=$D22,CP$2&lt;=$E22),1,"")))</f>
        <v/>
      </c>
      <c r="CQ22" s="38">
        <f>IF(OR(CQ$2="",$D22=""),"",IF(AND(ISNUMBER($F22),CQ$2&gt;=$F22,CQ$2&lt;=IF(ISNUMBER($G22),$G22,$F22+$E22-$D22)),2,IF(AND(CQ$2&gt;=$D22,CQ$2&lt;=$E22),1,"")))</f>
        <v/>
      </c>
      <c r="CR22" s="38">
        <f>IF(OR(CR$2="",$D22=""),"",IF(AND(ISNUMBER($F22),CR$2&gt;=$F22,CR$2&lt;=IF(ISNUMBER($G22),$G22,$F22+$E22-$D22)),2,IF(AND(CR$2&gt;=$D22,CR$2&lt;=$E22),1,"")))</f>
        <v/>
      </c>
      <c r="CS22" s="38">
        <f>IF(OR(CS$2="",$D22=""),"",IF(AND(ISNUMBER($F22),CS$2&gt;=$F22,CS$2&lt;=IF(ISNUMBER($G22),$G22,$F22+$E22-$D22)),2,IF(AND(CS$2&gt;=$D22,CS$2&lt;=$E22),1,"")))</f>
        <v/>
      </c>
      <c r="CT22" s="38">
        <f>IF(OR(CT$2="",$D22=""),"",IF(AND(ISNUMBER($F22),CT$2&gt;=$F22,CT$2&lt;=IF(ISNUMBER($G22),$G22,$F22+$E22-$D22)),2,IF(AND(CT$2&gt;=$D22,CT$2&lt;=$E22),1,"")))</f>
        <v/>
      </c>
      <c r="CU22" s="38">
        <f>IF(OR(CU$2="",$D22=""),"",IF(AND(ISNUMBER($F22),CU$2&gt;=$F22,CU$2&lt;=IF(ISNUMBER($G22),$G22,$F22+$E22-$D22)),2,IF(AND(CU$2&gt;=$D22,CU$2&lt;=$E22),1,"")))</f>
        <v/>
      </c>
      <c r="CV22" s="38">
        <f>IF(OR(CV$2="",$D22=""),"",IF(AND(ISNUMBER($F22),CV$2&gt;=$F22,CV$2&lt;=IF(ISNUMBER($G22),$G22,$F22+$E22-$D22)),2,IF(AND(CV$2&gt;=$D22,CV$2&lt;=$E22),1,"")))</f>
        <v/>
      </c>
      <c r="CW22" s="38">
        <f>IF(OR(CW$2="",$D22=""),"",IF(AND(ISNUMBER($F22),CW$2&gt;=$F22,CW$2&lt;=IF(ISNUMBER($G22),$G22,$F22+$E22-$D22)),2,IF(AND(CW$2&gt;=$D22,CW$2&lt;=$E22),1,"")))</f>
        <v/>
      </c>
      <c r="CX22" s="38">
        <f>IF(OR(CX$2="",$D22=""),"",IF(AND(ISNUMBER($F22),CX$2&gt;=$F22,CX$2&lt;=IF(ISNUMBER($G22),$G22,$F22+$E22-$D22)),2,IF(AND(CX$2&gt;=$D22,CX$2&lt;=$E22),1,"")))</f>
        <v/>
      </c>
      <c r="CY22" s="38">
        <f>IF(OR(CY$2="",$D22=""),"",IF(AND(ISNUMBER($F22),CY$2&gt;=$F22,CY$2&lt;=IF(ISNUMBER($G22),$G22,$F22+$E22-$D22)),2,IF(AND(CY$2&gt;=$D22,CY$2&lt;=$E22),1,"")))</f>
        <v/>
      </c>
      <c r="CZ22" s="38">
        <f>IF(OR(CZ$2="",$D22=""),"",IF(AND(ISNUMBER($F22),CZ$2&gt;=$F22,CZ$2&lt;=IF(ISNUMBER($G22),$G22,$F22+$E22-$D22)),2,IF(AND(CZ$2&gt;=$D22,CZ$2&lt;=$E22),1,"")))</f>
        <v/>
      </c>
      <c r="DA22" s="38">
        <f>IF(OR(DA$2="",$D22=""),"",IF(AND(ISNUMBER($F22),DA$2&gt;=$F22,DA$2&lt;=IF(ISNUMBER($G22),$G22,$F22+$E22-$D22)),2,IF(AND(DA$2&gt;=$D22,DA$2&lt;=$E22),1,"")))</f>
        <v/>
      </c>
      <c r="DB22" s="38">
        <f>IF(OR(DB$2="",$D22=""),"",IF(AND(ISNUMBER($F22),DB$2&gt;=$F22,DB$2&lt;=IF(ISNUMBER($G22),$G22,$F22+$E22-$D22)),2,IF(AND(DB$2&gt;=$D22,DB$2&lt;=$E22),1,"")))</f>
        <v/>
      </c>
      <c r="DC22" s="38">
        <f>IF(OR(DC$2="",$D22=""),"",IF(AND(ISNUMBER($F22),DC$2&gt;=$F22,DC$2&lt;=IF(ISNUMBER($G22),$G22,$F22+$E22-$D22)),2,IF(AND(DC$2&gt;=$D22,DC$2&lt;=$E22),1,"")))</f>
        <v/>
      </c>
      <c r="DD22" s="38">
        <f>IF(OR(DD$2="",$D22=""),"",IF(AND(ISNUMBER($F22),DD$2&gt;=$F22,DD$2&lt;=IF(ISNUMBER($G22),$G22,$F22+$E22-$D22)),2,IF(AND(DD$2&gt;=$D22,DD$2&lt;=$E22),1,"")))</f>
        <v/>
      </c>
      <c r="DE22" s="38">
        <f>IF(OR(DE$2="",$D22=""),"",IF(AND(ISNUMBER($F22),DE$2&gt;=$F22,DE$2&lt;=IF(ISNUMBER($G22),$G22,$F22+$E22-$D22)),2,IF(AND(DE$2&gt;=$D22,DE$2&lt;=$E22),1,"")))</f>
        <v/>
      </c>
      <c r="DF22" s="38">
        <f>IF(OR(DF$2="",$D22=""),"",IF(AND(ISNUMBER($F22),DF$2&gt;=$F22,DF$2&lt;=IF(ISNUMBER($G22),$G22,$F22+$E22-$D22)),2,IF(AND(DF$2&gt;=$D22,DF$2&lt;=$E22),1,"")))</f>
        <v/>
      </c>
      <c r="DG22" s="38">
        <f>IF(OR(DG$2="",$D22=""),"",IF(AND(ISNUMBER($F22),DG$2&gt;=$F22,DG$2&lt;=IF(ISNUMBER($G22),$G22,$F22+$E22-$D22)),2,IF(AND(DG$2&gt;=$D22,DG$2&lt;=$E22),1,"")))</f>
        <v/>
      </c>
      <c r="DH22" s="38">
        <f>IF(OR(DH$2="",$D22=""),"",IF(AND(ISNUMBER($F22),DH$2&gt;=$F22,DH$2&lt;=IF(ISNUMBER($G22),$G22,$F22+$E22-$D22)),2,IF(AND(DH$2&gt;=$D22,DH$2&lt;=$E22),1,"")))</f>
        <v/>
      </c>
      <c r="DI22" s="38">
        <f>IF(OR(DI$2="",$D22=""),"",IF(AND(ISNUMBER($F22),DI$2&gt;=$F22,DI$2&lt;=IF(ISNUMBER($G22),$G22,$F22+$E22-$D22)),2,IF(AND(DI$2&gt;=$D22,DI$2&lt;=$E22),1,"")))</f>
        <v/>
      </c>
      <c r="DJ22" s="38">
        <f>IF(OR(DJ$2="",$D22=""),"",IF(AND(ISNUMBER($F22),DJ$2&gt;=$F22,DJ$2&lt;=IF(ISNUMBER($G22),$G22,$F22+$E22-$D22)),2,IF(AND(DJ$2&gt;=$D22,DJ$2&lt;=$E22),1,"")))</f>
        <v/>
      </c>
      <c r="DK22" s="38">
        <f>IF(OR(DK$2="",$D22=""),"",IF(AND(ISNUMBER($F22),DK$2&gt;=$F22,DK$2&lt;=IF(ISNUMBER($G22),$G22,$F22+$E22-$D22)),2,IF(AND(DK$2&gt;=$D22,DK$2&lt;=$E22),1,"")))</f>
        <v/>
      </c>
      <c r="DL22" s="38">
        <f>IF(OR(DL$2="",$D22=""),"",IF(AND(ISNUMBER($F22),DL$2&gt;=$F22,DL$2&lt;=IF(ISNUMBER($G22),$G22,$F22+$E22-$D22)),2,IF(AND(DL$2&gt;=$D22,DL$2&lt;=$E22),1,"")))</f>
        <v/>
      </c>
      <c r="DM22" s="38">
        <f>IF(OR(DM$2="",$D22=""),"",IF(AND(ISNUMBER($F22),DM$2&gt;=$F22,DM$2&lt;=IF(ISNUMBER($G22),$G22,$F22+$E22-$D22)),2,IF(AND(DM$2&gt;=$D22,DM$2&lt;=$E22),1,"")))</f>
        <v/>
      </c>
      <c r="DN22" s="38">
        <f>IF(OR(DN$2="",$D22=""),"",IF(AND(ISNUMBER($F22),DN$2&gt;=$F22,DN$2&lt;=IF(ISNUMBER($G22),$G22,$F22+$E22-$D22)),2,IF(AND(DN$2&gt;=$D22,DN$2&lt;=$E22),1,"")))</f>
        <v/>
      </c>
      <c r="DO22" s="38">
        <f>IF(OR(DO$2="",$D22=""),"",IF(AND(ISNUMBER($F22),DO$2&gt;=$F22,DO$2&lt;=IF(ISNUMBER($G22),$G22,$F22+$E22-$D22)),2,IF(AND(DO$2&gt;=$D22,DO$2&lt;=$E22),1,"")))</f>
        <v/>
      </c>
      <c r="DP22" s="38">
        <f>IF(OR(DP$2="",$D22=""),"",IF(AND(ISNUMBER($F22),DP$2&gt;=$F22,DP$2&lt;=IF(ISNUMBER($G22),$G22,$F22+$E22-$D22)),2,IF(AND(DP$2&gt;=$D22,DP$2&lt;=$E22),1,"")))</f>
        <v/>
      </c>
      <c r="DQ22" s="38">
        <f>IF(OR(DQ$2="",$D22=""),"",IF(AND(ISNUMBER($F22),DQ$2&gt;=$F22,DQ$2&lt;=IF(ISNUMBER($G22),$G22,$F22+$E22-$D22)),2,IF(AND(DQ$2&gt;=$D22,DQ$2&lt;=$E22),1,"")))</f>
        <v/>
      </c>
      <c r="DR22" s="38">
        <f>IF(OR(DR$2="",$D22=""),"",IF(AND(ISNUMBER($F22),DR$2&gt;=$F22,DR$2&lt;=IF(ISNUMBER($G22),$G22,$F22+$E22-$D22)),2,IF(AND(DR$2&gt;=$D22,DR$2&lt;=$E22),1,"")))</f>
        <v/>
      </c>
      <c r="DS22" s="38">
        <f>IF(OR(DS$2="",$D22=""),"",IF(AND(ISNUMBER($F22),DS$2&gt;=$F22,DS$2&lt;=IF(ISNUMBER($G22),$G22,$F22+$E22-$D22)),2,IF(AND(DS$2&gt;=$D22,DS$2&lt;=$E22),1,"")))</f>
        <v/>
      </c>
      <c r="DT22" s="38">
        <f>IF(OR(DT$2="",$D22=""),"",IF(AND(ISNUMBER($F22),DT$2&gt;=$F22,DT$2&lt;=IF(ISNUMBER($G22),$G22,$F22+$E22-$D22)),2,IF(AND(DT$2&gt;=$D22,DT$2&lt;=$E22),1,"")))</f>
        <v/>
      </c>
      <c r="DU22" s="38">
        <f>IF(OR(DU$2="",$D22=""),"",IF(AND(ISNUMBER($F22),DU$2&gt;=$F22,DU$2&lt;=IF(ISNUMBER($G22),$G22,$F22+$E22-$D22)),2,IF(AND(DU$2&gt;=$D22,DU$2&lt;=$E22),1,"")))</f>
        <v/>
      </c>
      <c r="DV22" s="38">
        <f>IF(OR(DV$2="",$D22=""),"",IF(AND(ISNUMBER($F22),DV$2&gt;=$F22,DV$2&lt;=IF(ISNUMBER($G22),$G22,$F22+$E22-$D22)),2,IF(AND(DV$2&gt;=$D22,DV$2&lt;=$E22),1,"")))</f>
        <v/>
      </c>
      <c r="DW22" s="38">
        <f>IF(OR(DW$2="",$D22=""),"",IF(AND(ISNUMBER($F22),DW$2&gt;=$F22,DW$2&lt;=IF(ISNUMBER($G22),$G22,$F22+$E22-$D22)),2,IF(AND(DW$2&gt;=$D22,DW$2&lt;=$E22),1,"")))</f>
        <v/>
      </c>
      <c r="DX22" s="38">
        <f>IF(OR(DX$2="",$D22=""),"",IF(AND(ISNUMBER($F22),DX$2&gt;=$F22,DX$2&lt;=IF(ISNUMBER($G22),$G22,$F22+$E22-$D22)),2,IF(AND(DX$2&gt;=$D22,DX$2&lt;=$E22),1,"")))</f>
        <v/>
      </c>
      <c r="DY22" s="38">
        <f>IF(OR(DY$2="",$D22=""),"",IF(AND(ISNUMBER($F22),DY$2&gt;=$F22,DY$2&lt;=IF(ISNUMBER($G22),$G22,$F22+$E22-$D22)),2,IF(AND(DY$2&gt;=$D22,DY$2&lt;=$E22),1,"")))</f>
        <v/>
      </c>
      <c r="DZ22" s="38">
        <f>IF(OR(DZ$2="",$D22=""),"",IF(AND(ISNUMBER($F22),DZ$2&gt;=$F22,DZ$2&lt;=IF(ISNUMBER($G22),$G22,$F22+$E22-$D22)),2,IF(AND(DZ$2&gt;=$D22,DZ$2&lt;=$E22),1,"")))</f>
        <v/>
      </c>
      <c r="EA22" s="38">
        <f>IF(OR(EA$2="",$D22=""),"",IF(AND(ISNUMBER($F22),EA$2&gt;=$F22,EA$2&lt;=IF(ISNUMBER($G22),$G22,$F22+$E22-$D22)),2,IF(AND(EA$2&gt;=$D22,EA$2&lt;=$E22),1,"")))</f>
        <v/>
      </c>
      <c r="EB22" s="38">
        <f>IF(OR(EB$2="",$D22=""),"",IF(AND(ISNUMBER($F22),EB$2&gt;=$F22,EB$2&lt;=IF(ISNUMBER($G22),$G22,$F22+$E22-$D22)),2,IF(AND(EB$2&gt;=$D22,EB$2&lt;=$E22),1,"")))</f>
        <v/>
      </c>
      <c r="EC22" s="38">
        <f>IF(OR(EC$2="",$D22=""),"",IF(AND(ISNUMBER($F22),EC$2&gt;=$F22,EC$2&lt;=IF(ISNUMBER($G22),$G22,$F22+$E22-$D22)),2,IF(AND(EC$2&gt;=$D22,EC$2&lt;=$E22),1,"")))</f>
        <v/>
      </c>
      <c r="ED22" s="38">
        <f>IF(OR(ED$2="",$D22=""),"",IF(AND(ISNUMBER($F22),ED$2&gt;=$F22,ED$2&lt;=IF(ISNUMBER($G22),$G22,$F22+$E22-$D22)),2,IF(AND(ED$2&gt;=$D22,ED$2&lt;=$E22),1,"")))</f>
        <v/>
      </c>
      <c r="EE22" s="38">
        <f>IF(OR(EE$2="",$D22=""),"",IF(AND(ISNUMBER($F22),EE$2&gt;=$F22,EE$2&lt;=IF(ISNUMBER($G22),$G22,$F22+$E22-$D22)),2,IF(AND(EE$2&gt;=$D22,EE$2&lt;=$E22),1,"")))</f>
        <v/>
      </c>
      <c r="EF22" s="38">
        <f>IF(OR(EF$2="",$D22=""),"",IF(AND(ISNUMBER($F22),EF$2&gt;=$F22,EF$2&lt;=IF(ISNUMBER($G22),$G22,$F22+$E22-$D22)),2,IF(AND(EF$2&gt;=$D22,EF$2&lt;=$E22),1,"")))</f>
        <v/>
      </c>
      <c r="EG22" s="38">
        <f>IF(OR(EG$2="",$D22=""),"",IF(AND(ISNUMBER($F22),EG$2&gt;=$F22,EG$2&lt;=IF(ISNUMBER($G22),$G22,$F22+$E22-$D22)),2,IF(AND(EG$2&gt;=$D22,EG$2&lt;=$E22),1,"")))</f>
        <v/>
      </c>
      <c r="EH22" s="38">
        <f>IF(OR(EH$2="",$D22=""),"",IF(AND(ISNUMBER($F22),EH$2&gt;=$F22,EH$2&lt;=IF(ISNUMBER($G22),$G22,$F22+$E22-$D22)),2,IF(AND(EH$2&gt;=$D22,EH$2&lt;=$E22),1,"")))</f>
        <v/>
      </c>
      <c r="EI22" s="38">
        <f>IF(OR(EI$2="",$D22=""),"",IF(AND(ISNUMBER($F22),EI$2&gt;=$F22,EI$2&lt;=IF(ISNUMBER($G22),$G22,$F22+$E22-$D22)),2,IF(AND(EI$2&gt;=$D22,EI$2&lt;=$E22),1,"")))</f>
        <v/>
      </c>
      <c r="EJ22" s="38">
        <f>IF(OR(EJ$2="",$D22=""),"",IF(AND(ISNUMBER($F22),EJ$2&gt;=$F22,EJ$2&lt;=IF(ISNUMBER($G22),$G22,$F22+$E22-$D22)),2,IF(AND(EJ$2&gt;=$D22,EJ$2&lt;=$E22),1,"")))</f>
        <v/>
      </c>
      <c r="EK22" s="38">
        <f>IF(OR(EK$2="",$D22=""),"",IF(AND(ISNUMBER($F22),EK$2&gt;=$F22,EK$2&lt;=IF(ISNUMBER($G22),$G22,$F22+$E22-$D22)),2,IF(AND(EK$2&gt;=$D22,EK$2&lt;=$E22),1,"")))</f>
        <v/>
      </c>
      <c r="EL22" s="38">
        <f>IF(OR(EL$2="",$D22=""),"",IF(AND(ISNUMBER($F22),EL$2&gt;=$F22,EL$2&lt;=IF(ISNUMBER($G22),$G22,$F22+$E22-$D22)),2,IF(AND(EL$2&gt;=$D22,EL$2&lt;=$E22),1,"")))</f>
        <v/>
      </c>
      <c r="EM22" s="38">
        <f>IF(OR(EM$2="",$D22=""),"",IF(AND(ISNUMBER($F22),EM$2&gt;=$F22,EM$2&lt;=IF(ISNUMBER($G22),$G22,$F22+$E22-$D22)),2,IF(AND(EM$2&gt;=$D22,EM$2&lt;=$E22),1,"")))</f>
        <v/>
      </c>
      <c r="EN22" s="38">
        <f>IF(OR(EN$2="",$D22=""),"",IF(AND(ISNUMBER($F22),EN$2&gt;=$F22,EN$2&lt;=IF(ISNUMBER($G22),$G22,$F22+$E22-$D22)),2,IF(AND(EN$2&gt;=$D22,EN$2&lt;=$E22),1,"")))</f>
        <v/>
      </c>
      <c r="EO22" s="38">
        <f>IF(OR(EO$2="",$D22=""),"",IF(AND(ISNUMBER($F22),EO$2&gt;=$F22,EO$2&lt;=IF(ISNUMBER($G22),$G22,$F22+$E22-$D22)),2,IF(AND(EO$2&gt;=$D22,EO$2&lt;=$E22),1,"")))</f>
        <v/>
      </c>
      <c r="EP22" s="38">
        <f>IF(OR(EP$2="",$D22=""),"",IF(AND(ISNUMBER($F22),EP$2&gt;=$F22,EP$2&lt;=IF(ISNUMBER($G22),$G22,$F22+$E22-$D22)),2,IF(AND(EP$2&gt;=$D22,EP$2&lt;=$E22),1,"")))</f>
        <v/>
      </c>
      <c r="EQ22" s="38">
        <f>IF(OR(EQ$2="",$D22=""),"",IF(AND(ISNUMBER($F22),EQ$2&gt;=$F22,EQ$2&lt;=IF(ISNUMBER($G22),$G22,$F22+$E22-$D22)),2,IF(AND(EQ$2&gt;=$D22,EQ$2&lt;=$E22),1,"")))</f>
        <v/>
      </c>
      <c r="ER22" s="38">
        <f>IF(OR(ER$2="",$D22=""),"",IF(AND(ISNUMBER($F22),ER$2&gt;=$F22,ER$2&lt;=IF(ISNUMBER($G22),$G22,$F22+$E22-$D22)),2,IF(AND(ER$2&gt;=$D22,ER$2&lt;=$E22),1,"")))</f>
        <v/>
      </c>
      <c r="ES22" s="38">
        <f>IF(OR(ES$2="",$D22=""),"",IF(AND(ISNUMBER($F22),ES$2&gt;=$F22,ES$2&lt;=IF(ISNUMBER($G22),$G22,$F22+$E22-$D22)),2,IF(AND(ES$2&gt;=$D22,ES$2&lt;=$E22),1,"")))</f>
        <v/>
      </c>
      <c r="ET22" s="38">
        <f>IF(OR(ET$2="",$D22=""),"",IF(AND(ISNUMBER($F22),ET$2&gt;=$F22,ET$2&lt;=IF(ISNUMBER($G22),$G22,$F22+$E22-$D22)),2,IF(AND(ET$2&gt;=$D22,ET$2&lt;=$E22),1,"")))</f>
        <v/>
      </c>
      <c r="EU22" s="38">
        <f>IF(OR(EU$2="",$D22=""),"",IF(AND(ISNUMBER($F22),EU$2&gt;=$F22,EU$2&lt;=IF(ISNUMBER($G22),$G22,$F22+$E22-$D22)),2,IF(AND(EU$2&gt;=$D22,EU$2&lt;=$E22),1,"")))</f>
        <v/>
      </c>
      <c r="EV22" s="38">
        <f>IF(OR(EV$2="",$D22=""),"",IF(AND(ISNUMBER($F22),EV$2&gt;=$F22,EV$2&lt;=IF(ISNUMBER($G22),$G22,$F22+$E22-$D22)),2,IF(AND(EV$2&gt;=$D22,EV$2&lt;=$E22),1,"")))</f>
        <v/>
      </c>
      <c r="EW22" s="38">
        <f>IF(OR(EW$2="",$D22=""),"",IF(AND(ISNUMBER($F22),EW$2&gt;=$F22,EW$2&lt;=IF(ISNUMBER($G22),$G22,$F22+$E22-$D22)),2,IF(AND(EW$2&gt;=$D22,EW$2&lt;=$E22),1,"")))</f>
        <v/>
      </c>
      <c r="EX22" s="38">
        <f>IF(OR(EX$2="",$D22=""),"",IF(AND(ISNUMBER($F22),EX$2&gt;=$F22,EX$2&lt;=IF(ISNUMBER($G22),$G22,$F22+$E22-$D22)),2,IF(AND(EX$2&gt;=$D22,EX$2&lt;=$E22),1,"")))</f>
        <v/>
      </c>
      <c r="EY22" s="38">
        <f>IF(OR(EY$2="",$D22=""),"",IF(AND(ISNUMBER($F22),EY$2&gt;=$F22,EY$2&lt;=IF(ISNUMBER($G22),$G22,$F22+$E22-$D22)),2,IF(AND(EY$2&gt;=$D22,EY$2&lt;=$E22),1,"")))</f>
        <v/>
      </c>
      <c r="EZ22" s="38">
        <f>IF(OR(EZ$2="",$D22=""),"",IF(AND(ISNUMBER($F22),EZ$2&gt;=$F22,EZ$2&lt;=IF(ISNUMBER($G22),$G22,$F22+$E22-$D22)),2,IF(AND(EZ$2&gt;=$D22,EZ$2&lt;=$E22),1,"")))</f>
        <v/>
      </c>
      <c r="FA22" s="38">
        <f>IF(OR(FA$2="",$D22=""),"",IF(AND(ISNUMBER($F22),FA$2&gt;=$F22,FA$2&lt;=IF(ISNUMBER($G22),$G22,$F22+$E22-$D22)),2,IF(AND(FA$2&gt;=$D22,FA$2&lt;=$E22),1,"")))</f>
        <v/>
      </c>
      <c r="FB22" s="38">
        <f>IF(OR(FB$2="",$D22=""),"",IF(AND(ISNUMBER($F22),FB$2&gt;=$F22,FB$2&lt;=IF(ISNUMBER($G22),$G22,$F22+$E22-$D22)),2,IF(AND(FB$2&gt;=$D22,FB$2&lt;=$E22),1,"")))</f>
        <v/>
      </c>
      <c r="FC22" s="38">
        <f>IF(OR(FC$2="",$D22=""),"",IF(AND(ISNUMBER($F22),FC$2&gt;=$F22,FC$2&lt;=IF(ISNUMBER($G22),$G22,$F22+$E22-$D22)),2,IF(AND(FC$2&gt;=$D22,FC$2&lt;=$E22),1,"")))</f>
        <v/>
      </c>
      <c r="FD22" s="38">
        <f>IF(OR(FD$2="",$D22=""),"",IF(AND(ISNUMBER($F22),FD$2&gt;=$F22,FD$2&lt;=IF(ISNUMBER($G22),$G22,$F22+$E22-$D22)),2,IF(AND(FD$2&gt;=$D22,FD$2&lt;=$E22),1,"")))</f>
        <v/>
      </c>
      <c r="FE22" s="38">
        <f>IF(OR(FE$2="",$D22=""),"",IF(AND(ISNUMBER($F22),FE$2&gt;=$F22,FE$2&lt;=IF(ISNUMBER($G22),$G22,$F22+$E22-$D22)),2,IF(AND(FE$2&gt;=$D22,FE$2&lt;=$E22),1,"")))</f>
        <v/>
      </c>
      <c r="FF22" s="38">
        <f>IF(OR(FF$2="",$D22=""),"",IF(AND(ISNUMBER($F22),FF$2&gt;=$F22,FF$2&lt;=IF(ISNUMBER($G22),$G22,$F22+$E22-$D22)),2,IF(AND(FF$2&gt;=$D22,FF$2&lt;=$E22),1,"")))</f>
        <v/>
      </c>
      <c r="FG22" s="38">
        <f>IF(OR(FG$2="",$D22=""),"",IF(AND(ISNUMBER($F22),FG$2&gt;=$F22,FG$2&lt;=IF(ISNUMBER($G22),$G22,$F22+$E22-$D22)),2,IF(AND(FG$2&gt;=$D22,FG$2&lt;=$E22),1,"")))</f>
        <v/>
      </c>
      <c r="FH22" s="38">
        <f>IF(OR(FH$2="",$D22=""),"",IF(AND(ISNUMBER($F22),FH$2&gt;=$F22,FH$2&lt;=IF(ISNUMBER($G22),$G22,$F22+$E22-$D22)),2,IF(AND(FH$2&gt;=$D22,FH$2&lt;=$E22),1,"")))</f>
        <v/>
      </c>
      <c r="FI22" s="38">
        <f>IF(OR(FI$2="",$D22=""),"",IF(AND(ISNUMBER($F22),FI$2&gt;=$F22,FI$2&lt;=IF(ISNUMBER($G22),$G22,$F22+$E22-$D22)),2,IF(AND(FI$2&gt;=$D22,FI$2&lt;=$E22),1,"")))</f>
        <v/>
      </c>
      <c r="FJ22" s="38">
        <f>IF(OR(FJ$2="",$D22=""),"",IF(AND(ISNUMBER($F22),FJ$2&gt;=$F22,FJ$2&lt;=IF(ISNUMBER($G22),$G22,$F22+$E22-$D22)),2,IF(AND(FJ$2&gt;=$D22,FJ$2&lt;=$E22),1,"")))</f>
        <v/>
      </c>
      <c r="FK22" s="38">
        <f>IF(OR(FK$2="",$D22=""),"",IF(AND(ISNUMBER($F22),FK$2&gt;=$F22,FK$2&lt;=IF(ISNUMBER($G22),$G22,$F22+$E22-$D22)),2,IF(AND(FK$2&gt;=$D22,FK$2&lt;=$E22),1,"")))</f>
        <v/>
      </c>
      <c r="FL22" s="38">
        <f>IF(OR(FL$2="",$D22=""),"",IF(AND(ISNUMBER($F22),FL$2&gt;=$F22,FL$2&lt;=IF(ISNUMBER($G22),$G22,$F22+$E22-$D22)),2,IF(AND(FL$2&gt;=$D22,FL$2&lt;=$E22),1,"")))</f>
        <v/>
      </c>
      <c r="FM22" s="38">
        <f>IF(OR(FM$2="",$D22=""),"",IF(AND(ISNUMBER($F22),FM$2&gt;=$F22,FM$2&lt;=IF(ISNUMBER($G22),$G22,$F22+$E22-$D22)),2,IF(AND(FM$2&gt;=$D22,FM$2&lt;=$E22),1,"")))</f>
        <v/>
      </c>
      <c r="FN22" s="38">
        <f>IF(OR(FN$2="",$D22=""),"",IF(AND(ISNUMBER($F22),FN$2&gt;=$F22,FN$2&lt;=IF(ISNUMBER($G22),$G22,$F22+$E22-$D22)),2,IF(AND(FN$2&gt;=$D22,FN$2&lt;=$E22),1,"")))</f>
        <v/>
      </c>
      <c r="FO22" s="38">
        <f>IF(OR(FO$2="",$D22=""),"",IF(AND(ISNUMBER($F22),FO$2&gt;=$F22,FO$2&lt;=IF(ISNUMBER($G22),$G22,$F22+$E22-$D22)),2,IF(AND(FO$2&gt;=$D22,FO$2&lt;=$E22),1,"")))</f>
        <v/>
      </c>
      <c r="FP22" s="38">
        <f>IF(OR(FP$2="",$D22=""),"",IF(AND(ISNUMBER($F22),FP$2&gt;=$F22,FP$2&lt;=IF(ISNUMBER($G22),$G22,$F22+$E22-$D22)),2,IF(AND(FP$2&gt;=$D22,FP$2&lt;=$E22),1,"")))</f>
        <v/>
      </c>
      <c r="FQ22" s="38">
        <f>IF(OR(FQ$2="",$D22=""),"",IF(AND(ISNUMBER($F22),FQ$2&gt;=$F22,FQ$2&lt;=IF(ISNUMBER($G22),$G22,$F22+$E22-$D22)),2,IF(AND(FQ$2&gt;=$D22,FQ$2&lt;=$E22),1,"")))</f>
        <v/>
      </c>
      <c r="FR22" s="38">
        <f>IF(OR(FR$2="",$D22=""),"",IF(AND(ISNUMBER($F22),FR$2&gt;=$F22,FR$2&lt;=IF(ISNUMBER($G22),$G22,$F22+$E22-$D22)),2,IF(AND(FR$2&gt;=$D22,FR$2&lt;=$E22),1,"")))</f>
        <v/>
      </c>
      <c r="FS22" s="38">
        <f>IF(OR(FS$2="",$D22=""),"",IF(AND(ISNUMBER($F22),FS$2&gt;=$F22,FS$2&lt;=IF(ISNUMBER($G22),$G22,$F22+$E22-$D22)),2,IF(AND(FS$2&gt;=$D22,FS$2&lt;=$E22),1,"")))</f>
        <v/>
      </c>
      <c r="FT22" s="38">
        <f>IF(OR(FT$2="",$D22=""),"",IF(AND(ISNUMBER($F22),FT$2&gt;=$F22,FT$2&lt;=IF(ISNUMBER($G22),$G22,$F22+$E22-$D22)),2,IF(AND(FT$2&gt;=$D22,FT$2&lt;=$E22),1,"")))</f>
        <v/>
      </c>
      <c r="FU22" s="38">
        <f>IF(OR(FU$2="",$D22=""),"",IF(AND(ISNUMBER($F22),FU$2&gt;=$F22,FU$2&lt;=IF(ISNUMBER($G22),$G22,$F22+$E22-$D22)),2,IF(AND(FU$2&gt;=$D22,FU$2&lt;=$E22),1,"")))</f>
        <v/>
      </c>
      <c r="FV22" s="38">
        <f>IF(OR(FV$2="",$D22=""),"",IF(AND(ISNUMBER($F22),FV$2&gt;=$F22,FV$2&lt;=IF(ISNUMBER($G22),$G22,$F22+$E22-$D22)),2,IF(AND(FV$2&gt;=$D22,FV$2&lt;=$E22),1,"")))</f>
        <v/>
      </c>
      <c r="FW22" s="38">
        <f>IF(OR(FW$2="",$D22=""),"",IF(AND(ISNUMBER($F22),FW$2&gt;=$F22,FW$2&lt;=IF(ISNUMBER($G22),$G22,$F22+$E22-$D22)),2,IF(AND(FW$2&gt;=$D22,FW$2&lt;=$E22),1,"")))</f>
        <v/>
      </c>
      <c r="FX22" s="38">
        <f>IF(OR(FX$2="",$D22=""),"",IF(AND(ISNUMBER($F22),FX$2&gt;=$F22,FX$2&lt;=IF(ISNUMBER($G22),$G22,$F22+$E22-$D22)),2,IF(AND(FX$2&gt;=$D22,FX$2&lt;=$E22),1,"")))</f>
        <v/>
      </c>
      <c r="FY22" s="38">
        <f>IF(OR(FY$2="",$D22=""),"",IF(AND(ISNUMBER($F22),FY$2&gt;=$F22,FY$2&lt;=IF(ISNUMBER($G22),$G22,$F22+$E22-$D22)),2,IF(AND(FY$2&gt;=$D22,FY$2&lt;=$E22),1,"")))</f>
        <v/>
      </c>
      <c r="FZ22" s="38">
        <f>IF(OR(FZ$2="",$D22=""),"",IF(AND(ISNUMBER($F22),FZ$2&gt;=$F22,FZ$2&lt;=IF(ISNUMBER($G22),$G22,$F22+$E22-$D22)),2,IF(AND(FZ$2&gt;=$D22,FZ$2&lt;=$E22),1,"")))</f>
        <v/>
      </c>
      <c r="GA22" s="38">
        <f>IF(OR(GA$2="",$D22=""),"",IF(AND(ISNUMBER($F22),GA$2&gt;=$F22,GA$2&lt;=IF(ISNUMBER($G22),$G22,$F22+$E22-$D22)),2,IF(AND(GA$2&gt;=$D22,GA$2&lt;=$E22),1,"")))</f>
        <v/>
      </c>
      <c r="GB22" s="38">
        <f>IF(OR(GB$2="",$D22=""),"",IF(AND(ISNUMBER($F22),GB$2&gt;=$F22,GB$2&lt;=IF(ISNUMBER($G22),$G22,$F22+$E22-$D22)),2,IF(AND(GB$2&gt;=$D22,GB$2&lt;=$E22),1,"")))</f>
        <v/>
      </c>
      <c r="GC22" s="38">
        <f>IF(OR(GC$2="",$D22=""),"",IF(AND(ISNUMBER($F22),GC$2&gt;=$F22,GC$2&lt;=IF(ISNUMBER($G22),$G22,$F22+$E22-$D22)),2,IF(AND(GC$2&gt;=$D22,GC$2&lt;=$E22),1,"")))</f>
        <v/>
      </c>
      <c r="GD22" s="38">
        <f>IF(OR(GD$2="",$D22=""),"",IF(AND(ISNUMBER($F22),GD$2&gt;=$F22,GD$2&lt;=IF(ISNUMBER($G22),$G22,$F22+$E22-$D22)),2,IF(AND(GD$2&gt;=$D22,GD$2&lt;=$E22),1,"")))</f>
        <v/>
      </c>
      <c r="GE22" s="38">
        <f>IF(OR(GE$2="",$D22=""),"",IF(AND(ISNUMBER($F22),GE$2&gt;=$F22,GE$2&lt;=IF(ISNUMBER($G22),$G22,$F22+$E22-$D22)),2,IF(AND(GE$2&gt;=$D22,GE$2&lt;=$E22),1,"")))</f>
        <v/>
      </c>
    </row>
    <row r="23">
      <c r="A23" s="36" t="inlineStr">
        <is>
          <t>3F4D end</t>
        </is>
      </c>
      <c r="B23" s="12" t="inlineStr">
        <is>
          <t>৩এফ৪ডি শেষ</t>
        </is>
      </c>
      <c r="C23" s="12" t="inlineStr">
        <is>
          <t>3F4D+MD</t>
        </is>
      </c>
      <c r="D23" s="7">
        <f>IF(Day_0="","",Day_0+cfg_6-cfg_8+cfg_13*6)</f>
        <v/>
      </c>
      <c r="E23" s="7">
        <f>IF(D23="","",D23)</f>
        <v/>
      </c>
      <c r="F23" s="37" t="n"/>
      <c r="G23" s="7" t="n"/>
      <c r="H23" s="6">
        <f>IF(D23="","no plan",IF(F23&lt;&gt;"",IF(F23-D23&gt;=2,"LATE","OK"),IF(TODAY()&gt;D23+2,"OVERDUE","upcoming")))</f>
        <v/>
      </c>
      <c r="I23" s="6">
        <f>IF(AND(D23&lt;&gt;"",F23&lt;&gt;""),F23-D23,"")</f>
        <v/>
      </c>
      <c r="J23" s="7">
        <f>IF(F23&lt;&gt;"",F23,D23)</f>
        <v/>
      </c>
      <c r="K23" s="7">
        <f>IF(G23&lt;&gt;"",G23,IF(AND(F23&lt;&gt;"",E23=D23),F23,E23))</f>
        <v/>
      </c>
      <c r="L23" s="6">
        <f>IF(AND(D23&lt;&gt;"",F23="",D23&gt;=TODAY()),D23+ROW()/1000,"")</f>
        <v/>
      </c>
      <c r="M23" s="38">
        <f>IF(OR(M$2="",$D23=""),"",IF(AND(ISNUMBER($F23),M$2&gt;=$F23,M$2&lt;=IF(ISNUMBER($G23),$G23,$F23+$E23-$D23)),2,IF(AND(M$2&gt;=$D23,M$2&lt;=$E23),1,"")))</f>
        <v/>
      </c>
      <c r="N23" s="38">
        <f>IF(OR(N$2="",$D23=""),"",IF(AND(ISNUMBER($F23),N$2&gt;=$F23,N$2&lt;=IF(ISNUMBER($G23),$G23,$F23+$E23-$D23)),2,IF(AND(N$2&gt;=$D23,N$2&lt;=$E23),1,"")))</f>
        <v/>
      </c>
      <c r="O23" s="38">
        <f>IF(OR(O$2="",$D23=""),"",IF(AND(ISNUMBER($F23),O$2&gt;=$F23,O$2&lt;=IF(ISNUMBER($G23),$G23,$F23+$E23-$D23)),2,IF(AND(O$2&gt;=$D23,O$2&lt;=$E23),1,"")))</f>
        <v/>
      </c>
      <c r="P23" s="38">
        <f>IF(OR(P$2="",$D23=""),"",IF(AND(ISNUMBER($F23),P$2&gt;=$F23,P$2&lt;=IF(ISNUMBER($G23),$G23,$F23+$E23-$D23)),2,IF(AND(P$2&gt;=$D23,P$2&lt;=$E23),1,"")))</f>
        <v/>
      </c>
      <c r="Q23" s="38">
        <f>IF(OR(Q$2="",$D23=""),"",IF(AND(ISNUMBER($F23),Q$2&gt;=$F23,Q$2&lt;=IF(ISNUMBER($G23),$G23,$F23+$E23-$D23)),2,IF(AND(Q$2&gt;=$D23,Q$2&lt;=$E23),1,"")))</f>
        <v/>
      </c>
      <c r="R23" s="38">
        <f>IF(OR(R$2="",$D23=""),"",IF(AND(ISNUMBER($F23),R$2&gt;=$F23,R$2&lt;=IF(ISNUMBER($G23),$G23,$F23+$E23-$D23)),2,IF(AND(R$2&gt;=$D23,R$2&lt;=$E23),1,"")))</f>
        <v/>
      </c>
      <c r="S23" s="38">
        <f>IF(OR(S$2="",$D23=""),"",IF(AND(ISNUMBER($F23),S$2&gt;=$F23,S$2&lt;=IF(ISNUMBER($G23),$G23,$F23+$E23-$D23)),2,IF(AND(S$2&gt;=$D23,S$2&lt;=$E23),1,"")))</f>
        <v/>
      </c>
      <c r="T23" s="38">
        <f>IF(OR(T$2="",$D23=""),"",IF(AND(ISNUMBER($F23),T$2&gt;=$F23,T$2&lt;=IF(ISNUMBER($G23),$G23,$F23+$E23-$D23)),2,IF(AND(T$2&gt;=$D23,T$2&lt;=$E23),1,"")))</f>
        <v/>
      </c>
      <c r="U23" s="38">
        <f>IF(OR(U$2="",$D23=""),"",IF(AND(ISNUMBER($F23),U$2&gt;=$F23,U$2&lt;=IF(ISNUMBER($G23),$G23,$F23+$E23-$D23)),2,IF(AND(U$2&gt;=$D23,U$2&lt;=$E23),1,"")))</f>
        <v/>
      </c>
      <c r="V23" s="38">
        <f>IF(OR(V$2="",$D23=""),"",IF(AND(ISNUMBER($F23),V$2&gt;=$F23,V$2&lt;=IF(ISNUMBER($G23),$G23,$F23+$E23-$D23)),2,IF(AND(V$2&gt;=$D23,V$2&lt;=$E23),1,"")))</f>
        <v/>
      </c>
      <c r="W23" s="38">
        <f>IF(OR(W$2="",$D23=""),"",IF(AND(ISNUMBER($F23),W$2&gt;=$F23,W$2&lt;=IF(ISNUMBER($G23),$G23,$F23+$E23-$D23)),2,IF(AND(W$2&gt;=$D23,W$2&lt;=$E23),1,"")))</f>
        <v/>
      </c>
      <c r="X23" s="38">
        <f>IF(OR(X$2="",$D23=""),"",IF(AND(ISNUMBER($F23),X$2&gt;=$F23,X$2&lt;=IF(ISNUMBER($G23),$G23,$F23+$E23-$D23)),2,IF(AND(X$2&gt;=$D23,X$2&lt;=$E23),1,"")))</f>
        <v/>
      </c>
      <c r="Y23" s="38">
        <f>IF(OR(Y$2="",$D23=""),"",IF(AND(ISNUMBER($F23),Y$2&gt;=$F23,Y$2&lt;=IF(ISNUMBER($G23),$G23,$F23+$E23-$D23)),2,IF(AND(Y$2&gt;=$D23,Y$2&lt;=$E23),1,"")))</f>
        <v/>
      </c>
      <c r="Z23" s="38">
        <f>IF(OR(Z$2="",$D23=""),"",IF(AND(ISNUMBER($F23),Z$2&gt;=$F23,Z$2&lt;=IF(ISNUMBER($G23),$G23,$F23+$E23-$D23)),2,IF(AND(Z$2&gt;=$D23,Z$2&lt;=$E23),1,"")))</f>
        <v/>
      </c>
      <c r="AA23" s="38">
        <f>IF(OR(AA$2="",$D23=""),"",IF(AND(ISNUMBER($F23),AA$2&gt;=$F23,AA$2&lt;=IF(ISNUMBER($G23),$G23,$F23+$E23-$D23)),2,IF(AND(AA$2&gt;=$D23,AA$2&lt;=$E23),1,"")))</f>
        <v/>
      </c>
      <c r="AB23" s="38">
        <f>IF(OR(AB$2="",$D23=""),"",IF(AND(ISNUMBER($F23),AB$2&gt;=$F23,AB$2&lt;=IF(ISNUMBER($G23),$G23,$F23+$E23-$D23)),2,IF(AND(AB$2&gt;=$D23,AB$2&lt;=$E23),1,"")))</f>
        <v/>
      </c>
      <c r="AC23" s="38">
        <f>IF(OR(AC$2="",$D23=""),"",IF(AND(ISNUMBER($F23),AC$2&gt;=$F23,AC$2&lt;=IF(ISNUMBER($G23),$G23,$F23+$E23-$D23)),2,IF(AND(AC$2&gt;=$D23,AC$2&lt;=$E23),1,"")))</f>
        <v/>
      </c>
      <c r="AD23" s="38">
        <f>IF(OR(AD$2="",$D23=""),"",IF(AND(ISNUMBER($F23),AD$2&gt;=$F23,AD$2&lt;=IF(ISNUMBER($G23),$G23,$F23+$E23-$D23)),2,IF(AND(AD$2&gt;=$D23,AD$2&lt;=$E23),1,"")))</f>
        <v/>
      </c>
      <c r="AE23" s="38">
        <f>IF(OR(AE$2="",$D23=""),"",IF(AND(ISNUMBER($F23),AE$2&gt;=$F23,AE$2&lt;=IF(ISNUMBER($G23),$G23,$F23+$E23-$D23)),2,IF(AND(AE$2&gt;=$D23,AE$2&lt;=$E23),1,"")))</f>
        <v/>
      </c>
      <c r="AF23" s="38">
        <f>IF(OR(AF$2="",$D23=""),"",IF(AND(ISNUMBER($F23),AF$2&gt;=$F23,AF$2&lt;=IF(ISNUMBER($G23),$G23,$F23+$E23-$D23)),2,IF(AND(AF$2&gt;=$D23,AF$2&lt;=$E23),1,"")))</f>
        <v/>
      </c>
      <c r="AG23" s="38">
        <f>IF(OR(AG$2="",$D23=""),"",IF(AND(ISNUMBER($F23),AG$2&gt;=$F23,AG$2&lt;=IF(ISNUMBER($G23),$G23,$F23+$E23-$D23)),2,IF(AND(AG$2&gt;=$D23,AG$2&lt;=$E23),1,"")))</f>
        <v/>
      </c>
      <c r="AH23" s="38">
        <f>IF(OR(AH$2="",$D23=""),"",IF(AND(ISNUMBER($F23),AH$2&gt;=$F23,AH$2&lt;=IF(ISNUMBER($G23),$G23,$F23+$E23-$D23)),2,IF(AND(AH$2&gt;=$D23,AH$2&lt;=$E23),1,"")))</f>
        <v/>
      </c>
      <c r="AI23" s="38">
        <f>IF(OR(AI$2="",$D23=""),"",IF(AND(ISNUMBER($F23),AI$2&gt;=$F23,AI$2&lt;=IF(ISNUMBER($G23),$G23,$F23+$E23-$D23)),2,IF(AND(AI$2&gt;=$D23,AI$2&lt;=$E23),1,"")))</f>
        <v/>
      </c>
      <c r="AJ23" s="38">
        <f>IF(OR(AJ$2="",$D23=""),"",IF(AND(ISNUMBER($F23),AJ$2&gt;=$F23,AJ$2&lt;=IF(ISNUMBER($G23),$G23,$F23+$E23-$D23)),2,IF(AND(AJ$2&gt;=$D23,AJ$2&lt;=$E23),1,"")))</f>
        <v/>
      </c>
      <c r="AK23" s="38">
        <f>IF(OR(AK$2="",$D23=""),"",IF(AND(ISNUMBER($F23),AK$2&gt;=$F23,AK$2&lt;=IF(ISNUMBER($G23),$G23,$F23+$E23-$D23)),2,IF(AND(AK$2&gt;=$D23,AK$2&lt;=$E23),1,"")))</f>
        <v/>
      </c>
      <c r="AL23" s="38">
        <f>IF(OR(AL$2="",$D23=""),"",IF(AND(ISNUMBER($F23),AL$2&gt;=$F23,AL$2&lt;=IF(ISNUMBER($G23),$G23,$F23+$E23-$D23)),2,IF(AND(AL$2&gt;=$D23,AL$2&lt;=$E23),1,"")))</f>
        <v/>
      </c>
      <c r="AM23" s="38">
        <f>IF(OR(AM$2="",$D23=""),"",IF(AND(ISNUMBER($F23),AM$2&gt;=$F23,AM$2&lt;=IF(ISNUMBER($G23),$G23,$F23+$E23-$D23)),2,IF(AND(AM$2&gt;=$D23,AM$2&lt;=$E23),1,"")))</f>
        <v/>
      </c>
      <c r="AN23" s="38">
        <f>IF(OR(AN$2="",$D23=""),"",IF(AND(ISNUMBER($F23),AN$2&gt;=$F23,AN$2&lt;=IF(ISNUMBER($G23),$G23,$F23+$E23-$D23)),2,IF(AND(AN$2&gt;=$D23,AN$2&lt;=$E23),1,"")))</f>
        <v/>
      </c>
      <c r="AO23" s="38">
        <f>IF(OR(AO$2="",$D23=""),"",IF(AND(ISNUMBER($F23),AO$2&gt;=$F23,AO$2&lt;=IF(ISNUMBER($G23),$G23,$F23+$E23-$D23)),2,IF(AND(AO$2&gt;=$D23,AO$2&lt;=$E23),1,"")))</f>
        <v/>
      </c>
      <c r="AP23" s="38">
        <f>IF(OR(AP$2="",$D23=""),"",IF(AND(ISNUMBER($F23),AP$2&gt;=$F23,AP$2&lt;=IF(ISNUMBER($G23),$G23,$F23+$E23-$D23)),2,IF(AND(AP$2&gt;=$D23,AP$2&lt;=$E23),1,"")))</f>
        <v/>
      </c>
      <c r="AQ23" s="38">
        <f>IF(OR(AQ$2="",$D23=""),"",IF(AND(ISNUMBER($F23),AQ$2&gt;=$F23,AQ$2&lt;=IF(ISNUMBER($G23),$G23,$F23+$E23-$D23)),2,IF(AND(AQ$2&gt;=$D23,AQ$2&lt;=$E23),1,"")))</f>
        <v/>
      </c>
      <c r="AR23" s="38">
        <f>IF(OR(AR$2="",$D23=""),"",IF(AND(ISNUMBER($F23),AR$2&gt;=$F23,AR$2&lt;=IF(ISNUMBER($G23),$G23,$F23+$E23-$D23)),2,IF(AND(AR$2&gt;=$D23,AR$2&lt;=$E23),1,"")))</f>
        <v/>
      </c>
      <c r="AS23" s="38">
        <f>IF(OR(AS$2="",$D23=""),"",IF(AND(ISNUMBER($F23),AS$2&gt;=$F23,AS$2&lt;=IF(ISNUMBER($G23),$G23,$F23+$E23-$D23)),2,IF(AND(AS$2&gt;=$D23,AS$2&lt;=$E23),1,"")))</f>
        <v/>
      </c>
      <c r="AT23" s="38">
        <f>IF(OR(AT$2="",$D23=""),"",IF(AND(ISNUMBER($F23),AT$2&gt;=$F23,AT$2&lt;=IF(ISNUMBER($G23),$G23,$F23+$E23-$D23)),2,IF(AND(AT$2&gt;=$D23,AT$2&lt;=$E23),1,"")))</f>
        <v/>
      </c>
      <c r="AU23" s="38">
        <f>IF(OR(AU$2="",$D23=""),"",IF(AND(ISNUMBER($F23),AU$2&gt;=$F23,AU$2&lt;=IF(ISNUMBER($G23),$G23,$F23+$E23-$D23)),2,IF(AND(AU$2&gt;=$D23,AU$2&lt;=$E23),1,"")))</f>
        <v/>
      </c>
      <c r="AV23" s="38">
        <f>IF(OR(AV$2="",$D23=""),"",IF(AND(ISNUMBER($F23),AV$2&gt;=$F23,AV$2&lt;=IF(ISNUMBER($G23),$G23,$F23+$E23-$D23)),2,IF(AND(AV$2&gt;=$D23,AV$2&lt;=$E23),1,"")))</f>
        <v/>
      </c>
      <c r="AW23" s="38">
        <f>IF(OR(AW$2="",$D23=""),"",IF(AND(ISNUMBER($F23),AW$2&gt;=$F23,AW$2&lt;=IF(ISNUMBER($G23),$G23,$F23+$E23-$D23)),2,IF(AND(AW$2&gt;=$D23,AW$2&lt;=$E23),1,"")))</f>
        <v/>
      </c>
      <c r="AX23" s="38">
        <f>IF(OR(AX$2="",$D23=""),"",IF(AND(ISNUMBER($F23),AX$2&gt;=$F23,AX$2&lt;=IF(ISNUMBER($G23),$G23,$F23+$E23-$D23)),2,IF(AND(AX$2&gt;=$D23,AX$2&lt;=$E23),1,"")))</f>
        <v/>
      </c>
      <c r="AY23" s="38">
        <f>IF(OR(AY$2="",$D23=""),"",IF(AND(ISNUMBER($F23),AY$2&gt;=$F23,AY$2&lt;=IF(ISNUMBER($G23),$G23,$F23+$E23-$D23)),2,IF(AND(AY$2&gt;=$D23,AY$2&lt;=$E23),1,"")))</f>
        <v/>
      </c>
      <c r="AZ23" s="38">
        <f>IF(OR(AZ$2="",$D23=""),"",IF(AND(ISNUMBER($F23),AZ$2&gt;=$F23,AZ$2&lt;=IF(ISNUMBER($G23),$G23,$F23+$E23-$D23)),2,IF(AND(AZ$2&gt;=$D23,AZ$2&lt;=$E23),1,"")))</f>
        <v/>
      </c>
      <c r="BA23" s="38">
        <f>IF(OR(BA$2="",$D23=""),"",IF(AND(ISNUMBER($F23),BA$2&gt;=$F23,BA$2&lt;=IF(ISNUMBER($G23),$G23,$F23+$E23-$D23)),2,IF(AND(BA$2&gt;=$D23,BA$2&lt;=$E23),1,"")))</f>
        <v/>
      </c>
      <c r="BB23" s="38">
        <f>IF(OR(BB$2="",$D23=""),"",IF(AND(ISNUMBER($F23),BB$2&gt;=$F23,BB$2&lt;=IF(ISNUMBER($G23),$G23,$F23+$E23-$D23)),2,IF(AND(BB$2&gt;=$D23,BB$2&lt;=$E23),1,"")))</f>
        <v/>
      </c>
      <c r="BC23" s="38">
        <f>IF(OR(BC$2="",$D23=""),"",IF(AND(ISNUMBER($F23),BC$2&gt;=$F23,BC$2&lt;=IF(ISNUMBER($G23),$G23,$F23+$E23-$D23)),2,IF(AND(BC$2&gt;=$D23,BC$2&lt;=$E23),1,"")))</f>
        <v/>
      </c>
      <c r="BD23" s="38">
        <f>IF(OR(BD$2="",$D23=""),"",IF(AND(ISNUMBER($F23),BD$2&gt;=$F23,BD$2&lt;=IF(ISNUMBER($G23),$G23,$F23+$E23-$D23)),2,IF(AND(BD$2&gt;=$D23,BD$2&lt;=$E23),1,"")))</f>
        <v/>
      </c>
      <c r="BE23" s="38">
        <f>IF(OR(BE$2="",$D23=""),"",IF(AND(ISNUMBER($F23),BE$2&gt;=$F23,BE$2&lt;=IF(ISNUMBER($G23),$G23,$F23+$E23-$D23)),2,IF(AND(BE$2&gt;=$D23,BE$2&lt;=$E23),1,"")))</f>
        <v/>
      </c>
      <c r="BF23" s="38">
        <f>IF(OR(BF$2="",$D23=""),"",IF(AND(ISNUMBER($F23),BF$2&gt;=$F23,BF$2&lt;=IF(ISNUMBER($G23),$G23,$F23+$E23-$D23)),2,IF(AND(BF$2&gt;=$D23,BF$2&lt;=$E23),1,"")))</f>
        <v/>
      </c>
      <c r="BG23" s="38">
        <f>IF(OR(BG$2="",$D23=""),"",IF(AND(ISNUMBER($F23),BG$2&gt;=$F23,BG$2&lt;=IF(ISNUMBER($G23),$G23,$F23+$E23-$D23)),2,IF(AND(BG$2&gt;=$D23,BG$2&lt;=$E23),1,"")))</f>
        <v/>
      </c>
      <c r="BH23" s="38">
        <f>IF(OR(BH$2="",$D23=""),"",IF(AND(ISNUMBER($F23),BH$2&gt;=$F23,BH$2&lt;=IF(ISNUMBER($G23),$G23,$F23+$E23-$D23)),2,IF(AND(BH$2&gt;=$D23,BH$2&lt;=$E23),1,"")))</f>
        <v/>
      </c>
      <c r="BI23" s="38">
        <f>IF(OR(BI$2="",$D23=""),"",IF(AND(ISNUMBER($F23),BI$2&gt;=$F23,BI$2&lt;=IF(ISNUMBER($G23),$G23,$F23+$E23-$D23)),2,IF(AND(BI$2&gt;=$D23,BI$2&lt;=$E23),1,"")))</f>
        <v/>
      </c>
      <c r="BJ23" s="38">
        <f>IF(OR(BJ$2="",$D23=""),"",IF(AND(ISNUMBER($F23),BJ$2&gt;=$F23,BJ$2&lt;=IF(ISNUMBER($G23),$G23,$F23+$E23-$D23)),2,IF(AND(BJ$2&gt;=$D23,BJ$2&lt;=$E23),1,"")))</f>
        <v/>
      </c>
      <c r="BK23" s="38">
        <f>IF(OR(BK$2="",$D23=""),"",IF(AND(ISNUMBER($F23),BK$2&gt;=$F23,BK$2&lt;=IF(ISNUMBER($G23),$G23,$F23+$E23-$D23)),2,IF(AND(BK$2&gt;=$D23,BK$2&lt;=$E23),1,"")))</f>
        <v/>
      </c>
      <c r="BL23" s="38">
        <f>IF(OR(BL$2="",$D23=""),"",IF(AND(ISNUMBER($F23),BL$2&gt;=$F23,BL$2&lt;=IF(ISNUMBER($G23),$G23,$F23+$E23-$D23)),2,IF(AND(BL$2&gt;=$D23,BL$2&lt;=$E23),1,"")))</f>
        <v/>
      </c>
      <c r="BM23" s="38">
        <f>IF(OR(BM$2="",$D23=""),"",IF(AND(ISNUMBER($F23),BM$2&gt;=$F23,BM$2&lt;=IF(ISNUMBER($G23),$G23,$F23+$E23-$D23)),2,IF(AND(BM$2&gt;=$D23,BM$2&lt;=$E23),1,"")))</f>
        <v/>
      </c>
      <c r="BN23" s="38">
        <f>IF(OR(BN$2="",$D23=""),"",IF(AND(ISNUMBER($F23),BN$2&gt;=$F23,BN$2&lt;=IF(ISNUMBER($G23),$G23,$F23+$E23-$D23)),2,IF(AND(BN$2&gt;=$D23,BN$2&lt;=$E23),1,"")))</f>
        <v/>
      </c>
      <c r="BO23" s="38">
        <f>IF(OR(BO$2="",$D23=""),"",IF(AND(ISNUMBER($F23),BO$2&gt;=$F23,BO$2&lt;=IF(ISNUMBER($G23),$G23,$F23+$E23-$D23)),2,IF(AND(BO$2&gt;=$D23,BO$2&lt;=$E23),1,"")))</f>
        <v/>
      </c>
      <c r="BP23" s="38">
        <f>IF(OR(BP$2="",$D23=""),"",IF(AND(ISNUMBER($F23),BP$2&gt;=$F23,BP$2&lt;=IF(ISNUMBER($G23),$G23,$F23+$E23-$D23)),2,IF(AND(BP$2&gt;=$D23,BP$2&lt;=$E23),1,"")))</f>
        <v/>
      </c>
      <c r="BQ23" s="38">
        <f>IF(OR(BQ$2="",$D23=""),"",IF(AND(ISNUMBER($F23),BQ$2&gt;=$F23,BQ$2&lt;=IF(ISNUMBER($G23),$G23,$F23+$E23-$D23)),2,IF(AND(BQ$2&gt;=$D23,BQ$2&lt;=$E23),1,"")))</f>
        <v/>
      </c>
      <c r="BR23" s="38">
        <f>IF(OR(BR$2="",$D23=""),"",IF(AND(ISNUMBER($F23),BR$2&gt;=$F23,BR$2&lt;=IF(ISNUMBER($G23),$G23,$F23+$E23-$D23)),2,IF(AND(BR$2&gt;=$D23,BR$2&lt;=$E23),1,"")))</f>
        <v/>
      </c>
      <c r="BS23" s="38">
        <f>IF(OR(BS$2="",$D23=""),"",IF(AND(ISNUMBER($F23),BS$2&gt;=$F23,BS$2&lt;=IF(ISNUMBER($G23),$G23,$F23+$E23-$D23)),2,IF(AND(BS$2&gt;=$D23,BS$2&lt;=$E23),1,"")))</f>
        <v/>
      </c>
      <c r="BT23" s="38">
        <f>IF(OR(BT$2="",$D23=""),"",IF(AND(ISNUMBER($F23),BT$2&gt;=$F23,BT$2&lt;=IF(ISNUMBER($G23),$G23,$F23+$E23-$D23)),2,IF(AND(BT$2&gt;=$D23,BT$2&lt;=$E23),1,"")))</f>
        <v/>
      </c>
      <c r="BU23" s="38">
        <f>IF(OR(BU$2="",$D23=""),"",IF(AND(ISNUMBER($F23),BU$2&gt;=$F23,BU$2&lt;=IF(ISNUMBER($G23),$G23,$F23+$E23-$D23)),2,IF(AND(BU$2&gt;=$D23,BU$2&lt;=$E23),1,"")))</f>
        <v/>
      </c>
      <c r="BV23" s="38">
        <f>IF(OR(BV$2="",$D23=""),"",IF(AND(ISNUMBER($F23),BV$2&gt;=$F23,BV$2&lt;=IF(ISNUMBER($G23),$G23,$F23+$E23-$D23)),2,IF(AND(BV$2&gt;=$D23,BV$2&lt;=$E23),1,"")))</f>
        <v/>
      </c>
      <c r="BW23" s="38">
        <f>IF(OR(BW$2="",$D23=""),"",IF(AND(ISNUMBER($F23),BW$2&gt;=$F23,BW$2&lt;=IF(ISNUMBER($G23),$G23,$F23+$E23-$D23)),2,IF(AND(BW$2&gt;=$D23,BW$2&lt;=$E23),1,"")))</f>
        <v/>
      </c>
      <c r="BX23" s="38">
        <f>IF(OR(BX$2="",$D23=""),"",IF(AND(ISNUMBER($F23),BX$2&gt;=$F23,BX$2&lt;=IF(ISNUMBER($G23),$G23,$F23+$E23-$D23)),2,IF(AND(BX$2&gt;=$D23,BX$2&lt;=$E23),1,"")))</f>
        <v/>
      </c>
      <c r="BY23" s="38">
        <f>IF(OR(BY$2="",$D23=""),"",IF(AND(ISNUMBER($F23),BY$2&gt;=$F23,BY$2&lt;=IF(ISNUMBER($G23),$G23,$F23+$E23-$D23)),2,IF(AND(BY$2&gt;=$D23,BY$2&lt;=$E23),1,"")))</f>
        <v/>
      </c>
      <c r="BZ23" s="38">
        <f>IF(OR(BZ$2="",$D23=""),"",IF(AND(ISNUMBER($F23),BZ$2&gt;=$F23,BZ$2&lt;=IF(ISNUMBER($G23),$G23,$F23+$E23-$D23)),2,IF(AND(BZ$2&gt;=$D23,BZ$2&lt;=$E23),1,"")))</f>
        <v/>
      </c>
      <c r="CA23" s="38">
        <f>IF(OR(CA$2="",$D23=""),"",IF(AND(ISNUMBER($F23),CA$2&gt;=$F23,CA$2&lt;=IF(ISNUMBER($G23),$G23,$F23+$E23-$D23)),2,IF(AND(CA$2&gt;=$D23,CA$2&lt;=$E23),1,"")))</f>
        <v/>
      </c>
      <c r="CB23" s="38">
        <f>IF(OR(CB$2="",$D23=""),"",IF(AND(ISNUMBER($F23),CB$2&gt;=$F23,CB$2&lt;=IF(ISNUMBER($G23),$G23,$F23+$E23-$D23)),2,IF(AND(CB$2&gt;=$D23,CB$2&lt;=$E23),1,"")))</f>
        <v/>
      </c>
      <c r="CC23" s="38">
        <f>IF(OR(CC$2="",$D23=""),"",IF(AND(ISNUMBER($F23),CC$2&gt;=$F23,CC$2&lt;=IF(ISNUMBER($G23),$G23,$F23+$E23-$D23)),2,IF(AND(CC$2&gt;=$D23,CC$2&lt;=$E23),1,"")))</f>
        <v/>
      </c>
      <c r="CD23" s="38">
        <f>IF(OR(CD$2="",$D23=""),"",IF(AND(ISNUMBER($F23),CD$2&gt;=$F23,CD$2&lt;=IF(ISNUMBER($G23),$G23,$F23+$E23-$D23)),2,IF(AND(CD$2&gt;=$D23,CD$2&lt;=$E23),1,"")))</f>
        <v/>
      </c>
      <c r="CE23" s="38">
        <f>IF(OR(CE$2="",$D23=""),"",IF(AND(ISNUMBER($F23),CE$2&gt;=$F23,CE$2&lt;=IF(ISNUMBER($G23),$G23,$F23+$E23-$D23)),2,IF(AND(CE$2&gt;=$D23,CE$2&lt;=$E23),1,"")))</f>
        <v/>
      </c>
      <c r="CF23" s="38">
        <f>IF(OR(CF$2="",$D23=""),"",IF(AND(ISNUMBER($F23),CF$2&gt;=$F23,CF$2&lt;=IF(ISNUMBER($G23),$G23,$F23+$E23-$D23)),2,IF(AND(CF$2&gt;=$D23,CF$2&lt;=$E23),1,"")))</f>
        <v/>
      </c>
      <c r="CG23" s="38">
        <f>IF(OR(CG$2="",$D23=""),"",IF(AND(ISNUMBER($F23),CG$2&gt;=$F23,CG$2&lt;=IF(ISNUMBER($G23),$G23,$F23+$E23-$D23)),2,IF(AND(CG$2&gt;=$D23,CG$2&lt;=$E23),1,"")))</f>
        <v/>
      </c>
      <c r="CH23" s="38">
        <f>IF(OR(CH$2="",$D23=""),"",IF(AND(ISNUMBER($F23),CH$2&gt;=$F23,CH$2&lt;=IF(ISNUMBER($G23),$G23,$F23+$E23-$D23)),2,IF(AND(CH$2&gt;=$D23,CH$2&lt;=$E23),1,"")))</f>
        <v/>
      </c>
      <c r="CI23" s="38">
        <f>IF(OR(CI$2="",$D23=""),"",IF(AND(ISNUMBER($F23),CI$2&gt;=$F23,CI$2&lt;=IF(ISNUMBER($G23),$G23,$F23+$E23-$D23)),2,IF(AND(CI$2&gt;=$D23,CI$2&lt;=$E23),1,"")))</f>
        <v/>
      </c>
      <c r="CJ23" s="38">
        <f>IF(OR(CJ$2="",$D23=""),"",IF(AND(ISNUMBER($F23),CJ$2&gt;=$F23,CJ$2&lt;=IF(ISNUMBER($G23),$G23,$F23+$E23-$D23)),2,IF(AND(CJ$2&gt;=$D23,CJ$2&lt;=$E23),1,"")))</f>
        <v/>
      </c>
      <c r="CK23" s="38">
        <f>IF(OR(CK$2="",$D23=""),"",IF(AND(ISNUMBER($F23),CK$2&gt;=$F23,CK$2&lt;=IF(ISNUMBER($G23),$G23,$F23+$E23-$D23)),2,IF(AND(CK$2&gt;=$D23,CK$2&lt;=$E23),1,"")))</f>
        <v/>
      </c>
      <c r="CL23" s="38">
        <f>IF(OR(CL$2="",$D23=""),"",IF(AND(ISNUMBER($F23),CL$2&gt;=$F23,CL$2&lt;=IF(ISNUMBER($G23),$G23,$F23+$E23-$D23)),2,IF(AND(CL$2&gt;=$D23,CL$2&lt;=$E23),1,"")))</f>
        <v/>
      </c>
      <c r="CM23" s="38">
        <f>IF(OR(CM$2="",$D23=""),"",IF(AND(ISNUMBER($F23),CM$2&gt;=$F23,CM$2&lt;=IF(ISNUMBER($G23),$G23,$F23+$E23-$D23)),2,IF(AND(CM$2&gt;=$D23,CM$2&lt;=$E23),1,"")))</f>
        <v/>
      </c>
      <c r="CN23" s="38">
        <f>IF(OR(CN$2="",$D23=""),"",IF(AND(ISNUMBER($F23),CN$2&gt;=$F23,CN$2&lt;=IF(ISNUMBER($G23),$G23,$F23+$E23-$D23)),2,IF(AND(CN$2&gt;=$D23,CN$2&lt;=$E23),1,"")))</f>
        <v/>
      </c>
      <c r="CO23" s="38">
        <f>IF(OR(CO$2="",$D23=""),"",IF(AND(ISNUMBER($F23),CO$2&gt;=$F23,CO$2&lt;=IF(ISNUMBER($G23),$G23,$F23+$E23-$D23)),2,IF(AND(CO$2&gt;=$D23,CO$2&lt;=$E23),1,"")))</f>
        <v/>
      </c>
      <c r="CP23" s="38">
        <f>IF(OR(CP$2="",$D23=""),"",IF(AND(ISNUMBER($F23),CP$2&gt;=$F23,CP$2&lt;=IF(ISNUMBER($G23),$G23,$F23+$E23-$D23)),2,IF(AND(CP$2&gt;=$D23,CP$2&lt;=$E23),1,"")))</f>
        <v/>
      </c>
      <c r="CQ23" s="38">
        <f>IF(OR(CQ$2="",$D23=""),"",IF(AND(ISNUMBER($F23),CQ$2&gt;=$F23,CQ$2&lt;=IF(ISNUMBER($G23),$G23,$F23+$E23-$D23)),2,IF(AND(CQ$2&gt;=$D23,CQ$2&lt;=$E23),1,"")))</f>
        <v/>
      </c>
      <c r="CR23" s="38">
        <f>IF(OR(CR$2="",$D23=""),"",IF(AND(ISNUMBER($F23),CR$2&gt;=$F23,CR$2&lt;=IF(ISNUMBER($G23),$G23,$F23+$E23-$D23)),2,IF(AND(CR$2&gt;=$D23,CR$2&lt;=$E23),1,"")))</f>
        <v/>
      </c>
      <c r="CS23" s="38">
        <f>IF(OR(CS$2="",$D23=""),"",IF(AND(ISNUMBER($F23),CS$2&gt;=$F23,CS$2&lt;=IF(ISNUMBER($G23),$G23,$F23+$E23-$D23)),2,IF(AND(CS$2&gt;=$D23,CS$2&lt;=$E23),1,"")))</f>
        <v/>
      </c>
      <c r="CT23" s="38">
        <f>IF(OR(CT$2="",$D23=""),"",IF(AND(ISNUMBER($F23),CT$2&gt;=$F23,CT$2&lt;=IF(ISNUMBER($G23),$G23,$F23+$E23-$D23)),2,IF(AND(CT$2&gt;=$D23,CT$2&lt;=$E23),1,"")))</f>
        <v/>
      </c>
      <c r="CU23" s="38">
        <f>IF(OR(CU$2="",$D23=""),"",IF(AND(ISNUMBER($F23),CU$2&gt;=$F23,CU$2&lt;=IF(ISNUMBER($G23),$G23,$F23+$E23-$D23)),2,IF(AND(CU$2&gt;=$D23,CU$2&lt;=$E23),1,"")))</f>
        <v/>
      </c>
      <c r="CV23" s="38">
        <f>IF(OR(CV$2="",$D23=""),"",IF(AND(ISNUMBER($F23),CV$2&gt;=$F23,CV$2&lt;=IF(ISNUMBER($G23),$G23,$F23+$E23-$D23)),2,IF(AND(CV$2&gt;=$D23,CV$2&lt;=$E23),1,"")))</f>
        <v/>
      </c>
      <c r="CW23" s="38">
        <f>IF(OR(CW$2="",$D23=""),"",IF(AND(ISNUMBER($F23),CW$2&gt;=$F23,CW$2&lt;=IF(ISNUMBER($G23),$G23,$F23+$E23-$D23)),2,IF(AND(CW$2&gt;=$D23,CW$2&lt;=$E23),1,"")))</f>
        <v/>
      </c>
      <c r="CX23" s="38">
        <f>IF(OR(CX$2="",$D23=""),"",IF(AND(ISNUMBER($F23),CX$2&gt;=$F23,CX$2&lt;=IF(ISNUMBER($G23),$G23,$F23+$E23-$D23)),2,IF(AND(CX$2&gt;=$D23,CX$2&lt;=$E23),1,"")))</f>
        <v/>
      </c>
      <c r="CY23" s="38">
        <f>IF(OR(CY$2="",$D23=""),"",IF(AND(ISNUMBER($F23),CY$2&gt;=$F23,CY$2&lt;=IF(ISNUMBER($G23),$G23,$F23+$E23-$D23)),2,IF(AND(CY$2&gt;=$D23,CY$2&lt;=$E23),1,"")))</f>
        <v/>
      </c>
      <c r="CZ23" s="38">
        <f>IF(OR(CZ$2="",$D23=""),"",IF(AND(ISNUMBER($F23),CZ$2&gt;=$F23,CZ$2&lt;=IF(ISNUMBER($G23),$G23,$F23+$E23-$D23)),2,IF(AND(CZ$2&gt;=$D23,CZ$2&lt;=$E23),1,"")))</f>
        <v/>
      </c>
      <c r="DA23" s="38">
        <f>IF(OR(DA$2="",$D23=""),"",IF(AND(ISNUMBER($F23),DA$2&gt;=$F23,DA$2&lt;=IF(ISNUMBER($G23),$G23,$F23+$E23-$D23)),2,IF(AND(DA$2&gt;=$D23,DA$2&lt;=$E23),1,"")))</f>
        <v/>
      </c>
      <c r="DB23" s="38">
        <f>IF(OR(DB$2="",$D23=""),"",IF(AND(ISNUMBER($F23),DB$2&gt;=$F23,DB$2&lt;=IF(ISNUMBER($G23),$G23,$F23+$E23-$D23)),2,IF(AND(DB$2&gt;=$D23,DB$2&lt;=$E23),1,"")))</f>
        <v/>
      </c>
      <c r="DC23" s="38">
        <f>IF(OR(DC$2="",$D23=""),"",IF(AND(ISNUMBER($F23),DC$2&gt;=$F23,DC$2&lt;=IF(ISNUMBER($G23),$G23,$F23+$E23-$D23)),2,IF(AND(DC$2&gt;=$D23,DC$2&lt;=$E23),1,"")))</f>
        <v/>
      </c>
      <c r="DD23" s="38">
        <f>IF(OR(DD$2="",$D23=""),"",IF(AND(ISNUMBER($F23),DD$2&gt;=$F23,DD$2&lt;=IF(ISNUMBER($G23),$G23,$F23+$E23-$D23)),2,IF(AND(DD$2&gt;=$D23,DD$2&lt;=$E23),1,"")))</f>
        <v/>
      </c>
      <c r="DE23" s="38">
        <f>IF(OR(DE$2="",$D23=""),"",IF(AND(ISNUMBER($F23),DE$2&gt;=$F23,DE$2&lt;=IF(ISNUMBER($G23),$G23,$F23+$E23-$D23)),2,IF(AND(DE$2&gt;=$D23,DE$2&lt;=$E23),1,"")))</f>
        <v/>
      </c>
      <c r="DF23" s="38">
        <f>IF(OR(DF$2="",$D23=""),"",IF(AND(ISNUMBER($F23),DF$2&gt;=$F23,DF$2&lt;=IF(ISNUMBER($G23),$G23,$F23+$E23-$D23)),2,IF(AND(DF$2&gt;=$D23,DF$2&lt;=$E23),1,"")))</f>
        <v/>
      </c>
      <c r="DG23" s="38">
        <f>IF(OR(DG$2="",$D23=""),"",IF(AND(ISNUMBER($F23),DG$2&gt;=$F23,DG$2&lt;=IF(ISNUMBER($G23),$G23,$F23+$E23-$D23)),2,IF(AND(DG$2&gt;=$D23,DG$2&lt;=$E23),1,"")))</f>
        <v/>
      </c>
      <c r="DH23" s="38">
        <f>IF(OR(DH$2="",$D23=""),"",IF(AND(ISNUMBER($F23),DH$2&gt;=$F23,DH$2&lt;=IF(ISNUMBER($G23),$G23,$F23+$E23-$D23)),2,IF(AND(DH$2&gt;=$D23,DH$2&lt;=$E23),1,"")))</f>
        <v/>
      </c>
      <c r="DI23" s="38">
        <f>IF(OR(DI$2="",$D23=""),"",IF(AND(ISNUMBER($F23),DI$2&gt;=$F23,DI$2&lt;=IF(ISNUMBER($G23),$G23,$F23+$E23-$D23)),2,IF(AND(DI$2&gt;=$D23,DI$2&lt;=$E23),1,"")))</f>
        <v/>
      </c>
      <c r="DJ23" s="38">
        <f>IF(OR(DJ$2="",$D23=""),"",IF(AND(ISNUMBER($F23),DJ$2&gt;=$F23,DJ$2&lt;=IF(ISNUMBER($G23),$G23,$F23+$E23-$D23)),2,IF(AND(DJ$2&gt;=$D23,DJ$2&lt;=$E23),1,"")))</f>
        <v/>
      </c>
      <c r="DK23" s="38">
        <f>IF(OR(DK$2="",$D23=""),"",IF(AND(ISNUMBER($F23),DK$2&gt;=$F23,DK$2&lt;=IF(ISNUMBER($G23),$G23,$F23+$E23-$D23)),2,IF(AND(DK$2&gt;=$D23,DK$2&lt;=$E23),1,"")))</f>
        <v/>
      </c>
      <c r="DL23" s="38">
        <f>IF(OR(DL$2="",$D23=""),"",IF(AND(ISNUMBER($F23),DL$2&gt;=$F23,DL$2&lt;=IF(ISNUMBER($G23),$G23,$F23+$E23-$D23)),2,IF(AND(DL$2&gt;=$D23,DL$2&lt;=$E23),1,"")))</f>
        <v/>
      </c>
      <c r="DM23" s="38">
        <f>IF(OR(DM$2="",$D23=""),"",IF(AND(ISNUMBER($F23),DM$2&gt;=$F23,DM$2&lt;=IF(ISNUMBER($G23),$G23,$F23+$E23-$D23)),2,IF(AND(DM$2&gt;=$D23,DM$2&lt;=$E23),1,"")))</f>
        <v/>
      </c>
      <c r="DN23" s="38">
        <f>IF(OR(DN$2="",$D23=""),"",IF(AND(ISNUMBER($F23),DN$2&gt;=$F23,DN$2&lt;=IF(ISNUMBER($G23),$G23,$F23+$E23-$D23)),2,IF(AND(DN$2&gt;=$D23,DN$2&lt;=$E23),1,"")))</f>
        <v/>
      </c>
      <c r="DO23" s="38">
        <f>IF(OR(DO$2="",$D23=""),"",IF(AND(ISNUMBER($F23),DO$2&gt;=$F23,DO$2&lt;=IF(ISNUMBER($G23),$G23,$F23+$E23-$D23)),2,IF(AND(DO$2&gt;=$D23,DO$2&lt;=$E23),1,"")))</f>
        <v/>
      </c>
      <c r="DP23" s="38">
        <f>IF(OR(DP$2="",$D23=""),"",IF(AND(ISNUMBER($F23),DP$2&gt;=$F23,DP$2&lt;=IF(ISNUMBER($G23),$G23,$F23+$E23-$D23)),2,IF(AND(DP$2&gt;=$D23,DP$2&lt;=$E23),1,"")))</f>
        <v/>
      </c>
      <c r="DQ23" s="38">
        <f>IF(OR(DQ$2="",$D23=""),"",IF(AND(ISNUMBER($F23),DQ$2&gt;=$F23,DQ$2&lt;=IF(ISNUMBER($G23),$G23,$F23+$E23-$D23)),2,IF(AND(DQ$2&gt;=$D23,DQ$2&lt;=$E23),1,"")))</f>
        <v/>
      </c>
      <c r="DR23" s="38">
        <f>IF(OR(DR$2="",$D23=""),"",IF(AND(ISNUMBER($F23),DR$2&gt;=$F23,DR$2&lt;=IF(ISNUMBER($G23),$G23,$F23+$E23-$D23)),2,IF(AND(DR$2&gt;=$D23,DR$2&lt;=$E23),1,"")))</f>
        <v/>
      </c>
      <c r="DS23" s="38">
        <f>IF(OR(DS$2="",$D23=""),"",IF(AND(ISNUMBER($F23),DS$2&gt;=$F23,DS$2&lt;=IF(ISNUMBER($G23),$G23,$F23+$E23-$D23)),2,IF(AND(DS$2&gt;=$D23,DS$2&lt;=$E23),1,"")))</f>
        <v/>
      </c>
      <c r="DT23" s="38">
        <f>IF(OR(DT$2="",$D23=""),"",IF(AND(ISNUMBER($F23),DT$2&gt;=$F23,DT$2&lt;=IF(ISNUMBER($G23),$G23,$F23+$E23-$D23)),2,IF(AND(DT$2&gt;=$D23,DT$2&lt;=$E23),1,"")))</f>
        <v/>
      </c>
      <c r="DU23" s="38">
        <f>IF(OR(DU$2="",$D23=""),"",IF(AND(ISNUMBER($F23),DU$2&gt;=$F23,DU$2&lt;=IF(ISNUMBER($G23),$G23,$F23+$E23-$D23)),2,IF(AND(DU$2&gt;=$D23,DU$2&lt;=$E23),1,"")))</f>
        <v/>
      </c>
      <c r="DV23" s="38">
        <f>IF(OR(DV$2="",$D23=""),"",IF(AND(ISNUMBER($F23),DV$2&gt;=$F23,DV$2&lt;=IF(ISNUMBER($G23),$G23,$F23+$E23-$D23)),2,IF(AND(DV$2&gt;=$D23,DV$2&lt;=$E23),1,"")))</f>
        <v/>
      </c>
      <c r="DW23" s="38">
        <f>IF(OR(DW$2="",$D23=""),"",IF(AND(ISNUMBER($F23),DW$2&gt;=$F23,DW$2&lt;=IF(ISNUMBER($G23),$G23,$F23+$E23-$D23)),2,IF(AND(DW$2&gt;=$D23,DW$2&lt;=$E23),1,"")))</f>
        <v/>
      </c>
      <c r="DX23" s="38">
        <f>IF(OR(DX$2="",$D23=""),"",IF(AND(ISNUMBER($F23),DX$2&gt;=$F23,DX$2&lt;=IF(ISNUMBER($G23),$G23,$F23+$E23-$D23)),2,IF(AND(DX$2&gt;=$D23,DX$2&lt;=$E23),1,"")))</f>
        <v/>
      </c>
      <c r="DY23" s="38">
        <f>IF(OR(DY$2="",$D23=""),"",IF(AND(ISNUMBER($F23),DY$2&gt;=$F23,DY$2&lt;=IF(ISNUMBER($G23),$G23,$F23+$E23-$D23)),2,IF(AND(DY$2&gt;=$D23,DY$2&lt;=$E23),1,"")))</f>
        <v/>
      </c>
      <c r="DZ23" s="38">
        <f>IF(OR(DZ$2="",$D23=""),"",IF(AND(ISNUMBER($F23),DZ$2&gt;=$F23,DZ$2&lt;=IF(ISNUMBER($G23),$G23,$F23+$E23-$D23)),2,IF(AND(DZ$2&gt;=$D23,DZ$2&lt;=$E23),1,"")))</f>
        <v/>
      </c>
      <c r="EA23" s="38">
        <f>IF(OR(EA$2="",$D23=""),"",IF(AND(ISNUMBER($F23),EA$2&gt;=$F23,EA$2&lt;=IF(ISNUMBER($G23),$G23,$F23+$E23-$D23)),2,IF(AND(EA$2&gt;=$D23,EA$2&lt;=$E23),1,"")))</f>
        <v/>
      </c>
      <c r="EB23" s="38">
        <f>IF(OR(EB$2="",$D23=""),"",IF(AND(ISNUMBER($F23),EB$2&gt;=$F23,EB$2&lt;=IF(ISNUMBER($G23),$G23,$F23+$E23-$D23)),2,IF(AND(EB$2&gt;=$D23,EB$2&lt;=$E23),1,"")))</f>
        <v/>
      </c>
      <c r="EC23" s="38">
        <f>IF(OR(EC$2="",$D23=""),"",IF(AND(ISNUMBER($F23),EC$2&gt;=$F23,EC$2&lt;=IF(ISNUMBER($G23),$G23,$F23+$E23-$D23)),2,IF(AND(EC$2&gt;=$D23,EC$2&lt;=$E23),1,"")))</f>
        <v/>
      </c>
      <c r="ED23" s="38">
        <f>IF(OR(ED$2="",$D23=""),"",IF(AND(ISNUMBER($F23),ED$2&gt;=$F23,ED$2&lt;=IF(ISNUMBER($G23),$G23,$F23+$E23-$D23)),2,IF(AND(ED$2&gt;=$D23,ED$2&lt;=$E23),1,"")))</f>
        <v/>
      </c>
      <c r="EE23" s="38">
        <f>IF(OR(EE$2="",$D23=""),"",IF(AND(ISNUMBER($F23),EE$2&gt;=$F23,EE$2&lt;=IF(ISNUMBER($G23),$G23,$F23+$E23-$D23)),2,IF(AND(EE$2&gt;=$D23,EE$2&lt;=$E23),1,"")))</f>
        <v/>
      </c>
      <c r="EF23" s="38">
        <f>IF(OR(EF$2="",$D23=""),"",IF(AND(ISNUMBER($F23),EF$2&gt;=$F23,EF$2&lt;=IF(ISNUMBER($G23),$G23,$F23+$E23-$D23)),2,IF(AND(EF$2&gt;=$D23,EF$2&lt;=$E23),1,"")))</f>
        <v/>
      </c>
      <c r="EG23" s="38">
        <f>IF(OR(EG$2="",$D23=""),"",IF(AND(ISNUMBER($F23),EG$2&gt;=$F23,EG$2&lt;=IF(ISNUMBER($G23),$G23,$F23+$E23-$D23)),2,IF(AND(EG$2&gt;=$D23,EG$2&lt;=$E23),1,"")))</f>
        <v/>
      </c>
      <c r="EH23" s="38">
        <f>IF(OR(EH$2="",$D23=""),"",IF(AND(ISNUMBER($F23),EH$2&gt;=$F23,EH$2&lt;=IF(ISNUMBER($G23),$G23,$F23+$E23-$D23)),2,IF(AND(EH$2&gt;=$D23,EH$2&lt;=$E23),1,"")))</f>
        <v/>
      </c>
      <c r="EI23" s="38">
        <f>IF(OR(EI$2="",$D23=""),"",IF(AND(ISNUMBER($F23),EI$2&gt;=$F23,EI$2&lt;=IF(ISNUMBER($G23),$G23,$F23+$E23-$D23)),2,IF(AND(EI$2&gt;=$D23,EI$2&lt;=$E23),1,"")))</f>
        <v/>
      </c>
      <c r="EJ23" s="38">
        <f>IF(OR(EJ$2="",$D23=""),"",IF(AND(ISNUMBER($F23),EJ$2&gt;=$F23,EJ$2&lt;=IF(ISNUMBER($G23),$G23,$F23+$E23-$D23)),2,IF(AND(EJ$2&gt;=$D23,EJ$2&lt;=$E23),1,"")))</f>
        <v/>
      </c>
      <c r="EK23" s="38">
        <f>IF(OR(EK$2="",$D23=""),"",IF(AND(ISNUMBER($F23),EK$2&gt;=$F23,EK$2&lt;=IF(ISNUMBER($G23),$G23,$F23+$E23-$D23)),2,IF(AND(EK$2&gt;=$D23,EK$2&lt;=$E23),1,"")))</f>
        <v/>
      </c>
      <c r="EL23" s="38">
        <f>IF(OR(EL$2="",$D23=""),"",IF(AND(ISNUMBER($F23),EL$2&gt;=$F23,EL$2&lt;=IF(ISNUMBER($G23),$G23,$F23+$E23-$D23)),2,IF(AND(EL$2&gt;=$D23,EL$2&lt;=$E23),1,"")))</f>
        <v/>
      </c>
      <c r="EM23" s="38">
        <f>IF(OR(EM$2="",$D23=""),"",IF(AND(ISNUMBER($F23),EM$2&gt;=$F23,EM$2&lt;=IF(ISNUMBER($G23),$G23,$F23+$E23-$D23)),2,IF(AND(EM$2&gt;=$D23,EM$2&lt;=$E23),1,"")))</f>
        <v/>
      </c>
      <c r="EN23" s="38">
        <f>IF(OR(EN$2="",$D23=""),"",IF(AND(ISNUMBER($F23),EN$2&gt;=$F23,EN$2&lt;=IF(ISNUMBER($G23),$G23,$F23+$E23-$D23)),2,IF(AND(EN$2&gt;=$D23,EN$2&lt;=$E23),1,"")))</f>
        <v/>
      </c>
      <c r="EO23" s="38">
        <f>IF(OR(EO$2="",$D23=""),"",IF(AND(ISNUMBER($F23),EO$2&gt;=$F23,EO$2&lt;=IF(ISNUMBER($G23),$G23,$F23+$E23-$D23)),2,IF(AND(EO$2&gt;=$D23,EO$2&lt;=$E23),1,"")))</f>
        <v/>
      </c>
      <c r="EP23" s="38">
        <f>IF(OR(EP$2="",$D23=""),"",IF(AND(ISNUMBER($F23),EP$2&gt;=$F23,EP$2&lt;=IF(ISNUMBER($G23),$G23,$F23+$E23-$D23)),2,IF(AND(EP$2&gt;=$D23,EP$2&lt;=$E23),1,"")))</f>
        <v/>
      </c>
      <c r="EQ23" s="38">
        <f>IF(OR(EQ$2="",$D23=""),"",IF(AND(ISNUMBER($F23),EQ$2&gt;=$F23,EQ$2&lt;=IF(ISNUMBER($G23),$G23,$F23+$E23-$D23)),2,IF(AND(EQ$2&gt;=$D23,EQ$2&lt;=$E23),1,"")))</f>
        <v/>
      </c>
      <c r="ER23" s="38">
        <f>IF(OR(ER$2="",$D23=""),"",IF(AND(ISNUMBER($F23),ER$2&gt;=$F23,ER$2&lt;=IF(ISNUMBER($G23),$G23,$F23+$E23-$D23)),2,IF(AND(ER$2&gt;=$D23,ER$2&lt;=$E23),1,"")))</f>
        <v/>
      </c>
      <c r="ES23" s="38">
        <f>IF(OR(ES$2="",$D23=""),"",IF(AND(ISNUMBER($F23),ES$2&gt;=$F23,ES$2&lt;=IF(ISNUMBER($G23),$G23,$F23+$E23-$D23)),2,IF(AND(ES$2&gt;=$D23,ES$2&lt;=$E23),1,"")))</f>
        <v/>
      </c>
      <c r="ET23" s="38">
        <f>IF(OR(ET$2="",$D23=""),"",IF(AND(ISNUMBER($F23),ET$2&gt;=$F23,ET$2&lt;=IF(ISNUMBER($G23),$G23,$F23+$E23-$D23)),2,IF(AND(ET$2&gt;=$D23,ET$2&lt;=$E23),1,"")))</f>
        <v/>
      </c>
      <c r="EU23" s="38">
        <f>IF(OR(EU$2="",$D23=""),"",IF(AND(ISNUMBER($F23),EU$2&gt;=$F23,EU$2&lt;=IF(ISNUMBER($G23),$G23,$F23+$E23-$D23)),2,IF(AND(EU$2&gt;=$D23,EU$2&lt;=$E23),1,"")))</f>
        <v/>
      </c>
      <c r="EV23" s="38">
        <f>IF(OR(EV$2="",$D23=""),"",IF(AND(ISNUMBER($F23),EV$2&gt;=$F23,EV$2&lt;=IF(ISNUMBER($G23),$G23,$F23+$E23-$D23)),2,IF(AND(EV$2&gt;=$D23,EV$2&lt;=$E23),1,"")))</f>
        <v/>
      </c>
      <c r="EW23" s="38">
        <f>IF(OR(EW$2="",$D23=""),"",IF(AND(ISNUMBER($F23),EW$2&gt;=$F23,EW$2&lt;=IF(ISNUMBER($G23),$G23,$F23+$E23-$D23)),2,IF(AND(EW$2&gt;=$D23,EW$2&lt;=$E23),1,"")))</f>
        <v/>
      </c>
      <c r="EX23" s="38">
        <f>IF(OR(EX$2="",$D23=""),"",IF(AND(ISNUMBER($F23),EX$2&gt;=$F23,EX$2&lt;=IF(ISNUMBER($G23),$G23,$F23+$E23-$D23)),2,IF(AND(EX$2&gt;=$D23,EX$2&lt;=$E23),1,"")))</f>
        <v/>
      </c>
      <c r="EY23" s="38">
        <f>IF(OR(EY$2="",$D23=""),"",IF(AND(ISNUMBER($F23),EY$2&gt;=$F23,EY$2&lt;=IF(ISNUMBER($G23),$G23,$F23+$E23-$D23)),2,IF(AND(EY$2&gt;=$D23,EY$2&lt;=$E23),1,"")))</f>
        <v/>
      </c>
      <c r="EZ23" s="38">
        <f>IF(OR(EZ$2="",$D23=""),"",IF(AND(ISNUMBER($F23),EZ$2&gt;=$F23,EZ$2&lt;=IF(ISNUMBER($G23),$G23,$F23+$E23-$D23)),2,IF(AND(EZ$2&gt;=$D23,EZ$2&lt;=$E23),1,"")))</f>
        <v/>
      </c>
      <c r="FA23" s="38">
        <f>IF(OR(FA$2="",$D23=""),"",IF(AND(ISNUMBER($F23),FA$2&gt;=$F23,FA$2&lt;=IF(ISNUMBER($G23),$G23,$F23+$E23-$D23)),2,IF(AND(FA$2&gt;=$D23,FA$2&lt;=$E23),1,"")))</f>
        <v/>
      </c>
      <c r="FB23" s="38">
        <f>IF(OR(FB$2="",$D23=""),"",IF(AND(ISNUMBER($F23),FB$2&gt;=$F23,FB$2&lt;=IF(ISNUMBER($G23),$G23,$F23+$E23-$D23)),2,IF(AND(FB$2&gt;=$D23,FB$2&lt;=$E23),1,"")))</f>
        <v/>
      </c>
      <c r="FC23" s="38">
        <f>IF(OR(FC$2="",$D23=""),"",IF(AND(ISNUMBER($F23),FC$2&gt;=$F23,FC$2&lt;=IF(ISNUMBER($G23),$G23,$F23+$E23-$D23)),2,IF(AND(FC$2&gt;=$D23,FC$2&lt;=$E23),1,"")))</f>
        <v/>
      </c>
      <c r="FD23" s="38">
        <f>IF(OR(FD$2="",$D23=""),"",IF(AND(ISNUMBER($F23),FD$2&gt;=$F23,FD$2&lt;=IF(ISNUMBER($G23),$G23,$F23+$E23-$D23)),2,IF(AND(FD$2&gt;=$D23,FD$2&lt;=$E23),1,"")))</f>
        <v/>
      </c>
      <c r="FE23" s="38">
        <f>IF(OR(FE$2="",$D23=""),"",IF(AND(ISNUMBER($F23),FE$2&gt;=$F23,FE$2&lt;=IF(ISNUMBER($G23),$G23,$F23+$E23-$D23)),2,IF(AND(FE$2&gt;=$D23,FE$2&lt;=$E23),1,"")))</f>
        <v/>
      </c>
      <c r="FF23" s="38">
        <f>IF(OR(FF$2="",$D23=""),"",IF(AND(ISNUMBER($F23),FF$2&gt;=$F23,FF$2&lt;=IF(ISNUMBER($G23),$G23,$F23+$E23-$D23)),2,IF(AND(FF$2&gt;=$D23,FF$2&lt;=$E23),1,"")))</f>
        <v/>
      </c>
      <c r="FG23" s="38">
        <f>IF(OR(FG$2="",$D23=""),"",IF(AND(ISNUMBER($F23),FG$2&gt;=$F23,FG$2&lt;=IF(ISNUMBER($G23),$G23,$F23+$E23-$D23)),2,IF(AND(FG$2&gt;=$D23,FG$2&lt;=$E23),1,"")))</f>
        <v/>
      </c>
      <c r="FH23" s="38">
        <f>IF(OR(FH$2="",$D23=""),"",IF(AND(ISNUMBER($F23),FH$2&gt;=$F23,FH$2&lt;=IF(ISNUMBER($G23),$G23,$F23+$E23-$D23)),2,IF(AND(FH$2&gt;=$D23,FH$2&lt;=$E23),1,"")))</f>
        <v/>
      </c>
      <c r="FI23" s="38">
        <f>IF(OR(FI$2="",$D23=""),"",IF(AND(ISNUMBER($F23),FI$2&gt;=$F23,FI$2&lt;=IF(ISNUMBER($G23),$G23,$F23+$E23-$D23)),2,IF(AND(FI$2&gt;=$D23,FI$2&lt;=$E23),1,"")))</f>
        <v/>
      </c>
      <c r="FJ23" s="38">
        <f>IF(OR(FJ$2="",$D23=""),"",IF(AND(ISNUMBER($F23),FJ$2&gt;=$F23,FJ$2&lt;=IF(ISNUMBER($G23),$G23,$F23+$E23-$D23)),2,IF(AND(FJ$2&gt;=$D23,FJ$2&lt;=$E23),1,"")))</f>
        <v/>
      </c>
      <c r="FK23" s="38">
        <f>IF(OR(FK$2="",$D23=""),"",IF(AND(ISNUMBER($F23),FK$2&gt;=$F23,FK$2&lt;=IF(ISNUMBER($G23),$G23,$F23+$E23-$D23)),2,IF(AND(FK$2&gt;=$D23,FK$2&lt;=$E23),1,"")))</f>
        <v/>
      </c>
      <c r="FL23" s="38">
        <f>IF(OR(FL$2="",$D23=""),"",IF(AND(ISNUMBER($F23),FL$2&gt;=$F23,FL$2&lt;=IF(ISNUMBER($G23),$G23,$F23+$E23-$D23)),2,IF(AND(FL$2&gt;=$D23,FL$2&lt;=$E23),1,"")))</f>
        <v/>
      </c>
      <c r="FM23" s="38">
        <f>IF(OR(FM$2="",$D23=""),"",IF(AND(ISNUMBER($F23),FM$2&gt;=$F23,FM$2&lt;=IF(ISNUMBER($G23),$G23,$F23+$E23-$D23)),2,IF(AND(FM$2&gt;=$D23,FM$2&lt;=$E23),1,"")))</f>
        <v/>
      </c>
      <c r="FN23" s="38">
        <f>IF(OR(FN$2="",$D23=""),"",IF(AND(ISNUMBER($F23),FN$2&gt;=$F23,FN$2&lt;=IF(ISNUMBER($G23),$G23,$F23+$E23-$D23)),2,IF(AND(FN$2&gt;=$D23,FN$2&lt;=$E23),1,"")))</f>
        <v/>
      </c>
      <c r="FO23" s="38">
        <f>IF(OR(FO$2="",$D23=""),"",IF(AND(ISNUMBER($F23),FO$2&gt;=$F23,FO$2&lt;=IF(ISNUMBER($G23),$G23,$F23+$E23-$D23)),2,IF(AND(FO$2&gt;=$D23,FO$2&lt;=$E23),1,"")))</f>
        <v/>
      </c>
      <c r="FP23" s="38">
        <f>IF(OR(FP$2="",$D23=""),"",IF(AND(ISNUMBER($F23),FP$2&gt;=$F23,FP$2&lt;=IF(ISNUMBER($G23),$G23,$F23+$E23-$D23)),2,IF(AND(FP$2&gt;=$D23,FP$2&lt;=$E23),1,"")))</f>
        <v/>
      </c>
      <c r="FQ23" s="38">
        <f>IF(OR(FQ$2="",$D23=""),"",IF(AND(ISNUMBER($F23),FQ$2&gt;=$F23,FQ$2&lt;=IF(ISNUMBER($G23),$G23,$F23+$E23-$D23)),2,IF(AND(FQ$2&gt;=$D23,FQ$2&lt;=$E23),1,"")))</f>
        <v/>
      </c>
      <c r="FR23" s="38">
        <f>IF(OR(FR$2="",$D23=""),"",IF(AND(ISNUMBER($F23),FR$2&gt;=$F23,FR$2&lt;=IF(ISNUMBER($G23),$G23,$F23+$E23-$D23)),2,IF(AND(FR$2&gt;=$D23,FR$2&lt;=$E23),1,"")))</f>
        <v/>
      </c>
      <c r="FS23" s="38">
        <f>IF(OR(FS$2="",$D23=""),"",IF(AND(ISNUMBER($F23),FS$2&gt;=$F23,FS$2&lt;=IF(ISNUMBER($G23),$G23,$F23+$E23-$D23)),2,IF(AND(FS$2&gt;=$D23,FS$2&lt;=$E23),1,"")))</f>
        <v/>
      </c>
      <c r="FT23" s="38">
        <f>IF(OR(FT$2="",$D23=""),"",IF(AND(ISNUMBER($F23),FT$2&gt;=$F23,FT$2&lt;=IF(ISNUMBER($G23),$G23,$F23+$E23-$D23)),2,IF(AND(FT$2&gt;=$D23,FT$2&lt;=$E23),1,"")))</f>
        <v/>
      </c>
      <c r="FU23" s="38">
        <f>IF(OR(FU$2="",$D23=""),"",IF(AND(ISNUMBER($F23),FU$2&gt;=$F23,FU$2&lt;=IF(ISNUMBER($G23),$G23,$F23+$E23-$D23)),2,IF(AND(FU$2&gt;=$D23,FU$2&lt;=$E23),1,"")))</f>
        <v/>
      </c>
      <c r="FV23" s="38">
        <f>IF(OR(FV$2="",$D23=""),"",IF(AND(ISNUMBER($F23),FV$2&gt;=$F23,FV$2&lt;=IF(ISNUMBER($G23),$G23,$F23+$E23-$D23)),2,IF(AND(FV$2&gt;=$D23,FV$2&lt;=$E23),1,"")))</f>
        <v/>
      </c>
      <c r="FW23" s="38">
        <f>IF(OR(FW$2="",$D23=""),"",IF(AND(ISNUMBER($F23),FW$2&gt;=$F23,FW$2&lt;=IF(ISNUMBER($G23),$G23,$F23+$E23-$D23)),2,IF(AND(FW$2&gt;=$D23,FW$2&lt;=$E23),1,"")))</f>
        <v/>
      </c>
      <c r="FX23" s="38">
        <f>IF(OR(FX$2="",$D23=""),"",IF(AND(ISNUMBER($F23),FX$2&gt;=$F23,FX$2&lt;=IF(ISNUMBER($G23),$G23,$F23+$E23-$D23)),2,IF(AND(FX$2&gt;=$D23,FX$2&lt;=$E23),1,"")))</f>
        <v/>
      </c>
      <c r="FY23" s="38">
        <f>IF(OR(FY$2="",$D23=""),"",IF(AND(ISNUMBER($F23),FY$2&gt;=$F23,FY$2&lt;=IF(ISNUMBER($G23),$G23,$F23+$E23-$D23)),2,IF(AND(FY$2&gt;=$D23,FY$2&lt;=$E23),1,"")))</f>
        <v/>
      </c>
      <c r="FZ23" s="38">
        <f>IF(OR(FZ$2="",$D23=""),"",IF(AND(ISNUMBER($F23),FZ$2&gt;=$F23,FZ$2&lt;=IF(ISNUMBER($G23),$G23,$F23+$E23-$D23)),2,IF(AND(FZ$2&gt;=$D23,FZ$2&lt;=$E23),1,"")))</f>
        <v/>
      </c>
      <c r="GA23" s="38">
        <f>IF(OR(GA$2="",$D23=""),"",IF(AND(ISNUMBER($F23),GA$2&gt;=$F23,GA$2&lt;=IF(ISNUMBER($G23),$G23,$F23+$E23-$D23)),2,IF(AND(GA$2&gt;=$D23,GA$2&lt;=$E23),1,"")))</f>
        <v/>
      </c>
      <c r="GB23" s="38">
        <f>IF(OR(GB$2="",$D23=""),"",IF(AND(ISNUMBER($F23),GB$2&gt;=$F23,GB$2&lt;=IF(ISNUMBER($G23),$G23,$F23+$E23-$D23)),2,IF(AND(GB$2&gt;=$D23,GB$2&lt;=$E23),1,"")))</f>
        <v/>
      </c>
      <c r="GC23" s="38">
        <f>IF(OR(GC$2="",$D23=""),"",IF(AND(ISNUMBER($F23),GC$2&gt;=$F23,GC$2&lt;=IF(ISNUMBER($G23),$G23,$F23+$E23-$D23)),2,IF(AND(GC$2&gt;=$D23,GC$2&lt;=$E23),1,"")))</f>
        <v/>
      </c>
      <c r="GD23" s="38">
        <f>IF(OR(GD$2="",$D23=""),"",IF(AND(ISNUMBER($F23),GD$2&gt;=$F23,GD$2&lt;=IF(ISNUMBER($G23),$G23,$F23+$E23-$D23)),2,IF(AND(GD$2&gt;=$D23,GD$2&lt;=$E23),1,"")))</f>
        <v/>
      </c>
      <c r="GE23" s="38">
        <f>IF(OR(GE$2="",$D23=""),"",IF(AND(ISNUMBER($F23),GE$2&gt;=$F23,GE$2&lt;=IF(ISNUMBER($G23),$G23,$F23+$E23-$D23)),2,IF(AND(GE$2&gt;=$D23,GE$2&lt;=$E23),1,"")))</f>
        <v/>
      </c>
    </row>
    <row r="24">
      <c r="A24" s="36" t="inlineStr">
        <is>
          <t>Last irrigation</t>
        </is>
      </c>
      <c r="B24" s="12" t="inlineStr">
        <is>
          <t>শেষ সেচ</t>
        </is>
      </c>
      <c r="C24" s="12" t="inlineStr">
        <is>
          <t>3F4D+MD</t>
        </is>
      </c>
      <c r="D24" s="7">
        <f>IF(Day_0="","",Day_0+cfg_6-cfg_8+cfg_13*6+1)</f>
        <v/>
      </c>
      <c r="E24" s="7">
        <f>IF(D24="","",D24)</f>
        <v/>
      </c>
      <c r="F24" s="37" t="n"/>
      <c r="G24" s="7" t="n"/>
      <c r="H24" s="6">
        <f>IF(D24="","no plan",IF(F24&lt;&gt;"",IF(F24-D24&gt;=2,"LATE","OK"),IF(TODAY()&gt;D24+2,"OVERDUE","upcoming")))</f>
        <v/>
      </c>
      <c r="I24" s="6">
        <f>IF(AND(D24&lt;&gt;"",F24&lt;&gt;""),F24-D24,"")</f>
        <v/>
      </c>
      <c r="J24" s="7">
        <f>IF(F24&lt;&gt;"",F24,D24)</f>
        <v/>
      </c>
      <c r="K24" s="7">
        <f>IF(G24&lt;&gt;"",G24,IF(AND(F24&lt;&gt;"",E24=D24),F24,E24))</f>
        <v/>
      </c>
      <c r="L24" s="6">
        <f>IF(AND(D24&lt;&gt;"",F24="",D24&gt;=TODAY()),D24+ROW()/1000,"")</f>
        <v/>
      </c>
      <c r="M24" s="38">
        <f>IF(OR(M$2="",$D24=""),"",IF(AND(ISNUMBER($F24),M$2&gt;=$F24,M$2&lt;=IF(ISNUMBER($G24),$G24,$F24+$E24-$D24)),2,IF(AND(M$2&gt;=$D24,M$2&lt;=$E24),1,"")))</f>
        <v/>
      </c>
      <c r="N24" s="38">
        <f>IF(OR(N$2="",$D24=""),"",IF(AND(ISNUMBER($F24),N$2&gt;=$F24,N$2&lt;=IF(ISNUMBER($G24),$G24,$F24+$E24-$D24)),2,IF(AND(N$2&gt;=$D24,N$2&lt;=$E24),1,"")))</f>
        <v/>
      </c>
      <c r="O24" s="38">
        <f>IF(OR(O$2="",$D24=""),"",IF(AND(ISNUMBER($F24),O$2&gt;=$F24,O$2&lt;=IF(ISNUMBER($G24),$G24,$F24+$E24-$D24)),2,IF(AND(O$2&gt;=$D24,O$2&lt;=$E24),1,"")))</f>
        <v/>
      </c>
      <c r="P24" s="38">
        <f>IF(OR(P$2="",$D24=""),"",IF(AND(ISNUMBER($F24),P$2&gt;=$F24,P$2&lt;=IF(ISNUMBER($G24),$G24,$F24+$E24-$D24)),2,IF(AND(P$2&gt;=$D24,P$2&lt;=$E24),1,"")))</f>
        <v/>
      </c>
      <c r="Q24" s="38">
        <f>IF(OR(Q$2="",$D24=""),"",IF(AND(ISNUMBER($F24),Q$2&gt;=$F24,Q$2&lt;=IF(ISNUMBER($G24),$G24,$F24+$E24-$D24)),2,IF(AND(Q$2&gt;=$D24,Q$2&lt;=$E24),1,"")))</f>
        <v/>
      </c>
      <c r="R24" s="38">
        <f>IF(OR(R$2="",$D24=""),"",IF(AND(ISNUMBER($F24),R$2&gt;=$F24,R$2&lt;=IF(ISNUMBER($G24),$G24,$F24+$E24-$D24)),2,IF(AND(R$2&gt;=$D24,R$2&lt;=$E24),1,"")))</f>
        <v/>
      </c>
      <c r="S24" s="38">
        <f>IF(OR(S$2="",$D24=""),"",IF(AND(ISNUMBER($F24),S$2&gt;=$F24,S$2&lt;=IF(ISNUMBER($G24),$G24,$F24+$E24-$D24)),2,IF(AND(S$2&gt;=$D24,S$2&lt;=$E24),1,"")))</f>
        <v/>
      </c>
      <c r="T24" s="38">
        <f>IF(OR(T$2="",$D24=""),"",IF(AND(ISNUMBER($F24),T$2&gt;=$F24,T$2&lt;=IF(ISNUMBER($G24),$G24,$F24+$E24-$D24)),2,IF(AND(T$2&gt;=$D24,T$2&lt;=$E24),1,"")))</f>
        <v/>
      </c>
      <c r="U24" s="38">
        <f>IF(OR(U$2="",$D24=""),"",IF(AND(ISNUMBER($F24),U$2&gt;=$F24,U$2&lt;=IF(ISNUMBER($G24),$G24,$F24+$E24-$D24)),2,IF(AND(U$2&gt;=$D24,U$2&lt;=$E24),1,"")))</f>
        <v/>
      </c>
      <c r="V24" s="38">
        <f>IF(OR(V$2="",$D24=""),"",IF(AND(ISNUMBER($F24),V$2&gt;=$F24,V$2&lt;=IF(ISNUMBER($G24),$G24,$F24+$E24-$D24)),2,IF(AND(V$2&gt;=$D24,V$2&lt;=$E24),1,"")))</f>
        <v/>
      </c>
      <c r="W24" s="38">
        <f>IF(OR(W$2="",$D24=""),"",IF(AND(ISNUMBER($F24),W$2&gt;=$F24,W$2&lt;=IF(ISNUMBER($G24),$G24,$F24+$E24-$D24)),2,IF(AND(W$2&gt;=$D24,W$2&lt;=$E24),1,"")))</f>
        <v/>
      </c>
      <c r="X24" s="38">
        <f>IF(OR(X$2="",$D24=""),"",IF(AND(ISNUMBER($F24),X$2&gt;=$F24,X$2&lt;=IF(ISNUMBER($G24),$G24,$F24+$E24-$D24)),2,IF(AND(X$2&gt;=$D24,X$2&lt;=$E24),1,"")))</f>
        <v/>
      </c>
      <c r="Y24" s="38">
        <f>IF(OR(Y$2="",$D24=""),"",IF(AND(ISNUMBER($F24),Y$2&gt;=$F24,Y$2&lt;=IF(ISNUMBER($G24),$G24,$F24+$E24-$D24)),2,IF(AND(Y$2&gt;=$D24,Y$2&lt;=$E24),1,"")))</f>
        <v/>
      </c>
      <c r="Z24" s="38">
        <f>IF(OR(Z$2="",$D24=""),"",IF(AND(ISNUMBER($F24),Z$2&gt;=$F24,Z$2&lt;=IF(ISNUMBER($G24),$G24,$F24+$E24-$D24)),2,IF(AND(Z$2&gt;=$D24,Z$2&lt;=$E24),1,"")))</f>
        <v/>
      </c>
      <c r="AA24" s="38">
        <f>IF(OR(AA$2="",$D24=""),"",IF(AND(ISNUMBER($F24),AA$2&gt;=$F24,AA$2&lt;=IF(ISNUMBER($G24),$G24,$F24+$E24-$D24)),2,IF(AND(AA$2&gt;=$D24,AA$2&lt;=$E24),1,"")))</f>
        <v/>
      </c>
      <c r="AB24" s="38">
        <f>IF(OR(AB$2="",$D24=""),"",IF(AND(ISNUMBER($F24),AB$2&gt;=$F24,AB$2&lt;=IF(ISNUMBER($G24),$G24,$F24+$E24-$D24)),2,IF(AND(AB$2&gt;=$D24,AB$2&lt;=$E24),1,"")))</f>
        <v/>
      </c>
      <c r="AC24" s="38">
        <f>IF(OR(AC$2="",$D24=""),"",IF(AND(ISNUMBER($F24),AC$2&gt;=$F24,AC$2&lt;=IF(ISNUMBER($G24),$G24,$F24+$E24-$D24)),2,IF(AND(AC$2&gt;=$D24,AC$2&lt;=$E24),1,"")))</f>
        <v/>
      </c>
      <c r="AD24" s="38">
        <f>IF(OR(AD$2="",$D24=""),"",IF(AND(ISNUMBER($F24),AD$2&gt;=$F24,AD$2&lt;=IF(ISNUMBER($G24),$G24,$F24+$E24-$D24)),2,IF(AND(AD$2&gt;=$D24,AD$2&lt;=$E24),1,"")))</f>
        <v/>
      </c>
      <c r="AE24" s="38">
        <f>IF(OR(AE$2="",$D24=""),"",IF(AND(ISNUMBER($F24),AE$2&gt;=$F24,AE$2&lt;=IF(ISNUMBER($G24),$G24,$F24+$E24-$D24)),2,IF(AND(AE$2&gt;=$D24,AE$2&lt;=$E24),1,"")))</f>
        <v/>
      </c>
      <c r="AF24" s="38">
        <f>IF(OR(AF$2="",$D24=""),"",IF(AND(ISNUMBER($F24),AF$2&gt;=$F24,AF$2&lt;=IF(ISNUMBER($G24),$G24,$F24+$E24-$D24)),2,IF(AND(AF$2&gt;=$D24,AF$2&lt;=$E24),1,"")))</f>
        <v/>
      </c>
      <c r="AG24" s="38">
        <f>IF(OR(AG$2="",$D24=""),"",IF(AND(ISNUMBER($F24),AG$2&gt;=$F24,AG$2&lt;=IF(ISNUMBER($G24),$G24,$F24+$E24-$D24)),2,IF(AND(AG$2&gt;=$D24,AG$2&lt;=$E24),1,"")))</f>
        <v/>
      </c>
      <c r="AH24" s="38">
        <f>IF(OR(AH$2="",$D24=""),"",IF(AND(ISNUMBER($F24),AH$2&gt;=$F24,AH$2&lt;=IF(ISNUMBER($G24),$G24,$F24+$E24-$D24)),2,IF(AND(AH$2&gt;=$D24,AH$2&lt;=$E24),1,"")))</f>
        <v/>
      </c>
      <c r="AI24" s="38">
        <f>IF(OR(AI$2="",$D24=""),"",IF(AND(ISNUMBER($F24),AI$2&gt;=$F24,AI$2&lt;=IF(ISNUMBER($G24),$G24,$F24+$E24-$D24)),2,IF(AND(AI$2&gt;=$D24,AI$2&lt;=$E24),1,"")))</f>
        <v/>
      </c>
      <c r="AJ24" s="38">
        <f>IF(OR(AJ$2="",$D24=""),"",IF(AND(ISNUMBER($F24),AJ$2&gt;=$F24,AJ$2&lt;=IF(ISNUMBER($G24),$G24,$F24+$E24-$D24)),2,IF(AND(AJ$2&gt;=$D24,AJ$2&lt;=$E24),1,"")))</f>
        <v/>
      </c>
      <c r="AK24" s="38">
        <f>IF(OR(AK$2="",$D24=""),"",IF(AND(ISNUMBER($F24),AK$2&gt;=$F24,AK$2&lt;=IF(ISNUMBER($G24),$G24,$F24+$E24-$D24)),2,IF(AND(AK$2&gt;=$D24,AK$2&lt;=$E24),1,"")))</f>
        <v/>
      </c>
      <c r="AL24" s="38">
        <f>IF(OR(AL$2="",$D24=""),"",IF(AND(ISNUMBER($F24),AL$2&gt;=$F24,AL$2&lt;=IF(ISNUMBER($G24),$G24,$F24+$E24-$D24)),2,IF(AND(AL$2&gt;=$D24,AL$2&lt;=$E24),1,"")))</f>
        <v/>
      </c>
      <c r="AM24" s="38">
        <f>IF(OR(AM$2="",$D24=""),"",IF(AND(ISNUMBER($F24),AM$2&gt;=$F24,AM$2&lt;=IF(ISNUMBER($G24),$G24,$F24+$E24-$D24)),2,IF(AND(AM$2&gt;=$D24,AM$2&lt;=$E24),1,"")))</f>
        <v/>
      </c>
      <c r="AN24" s="38">
        <f>IF(OR(AN$2="",$D24=""),"",IF(AND(ISNUMBER($F24),AN$2&gt;=$F24,AN$2&lt;=IF(ISNUMBER($G24),$G24,$F24+$E24-$D24)),2,IF(AND(AN$2&gt;=$D24,AN$2&lt;=$E24),1,"")))</f>
        <v/>
      </c>
      <c r="AO24" s="38">
        <f>IF(OR(AO$2="",$D24=""),"",IF(AND(ISNUMBER($F24),AO$2&gt;=$F24,AO$2&lt;=IF(ISNUMBER($G24),$G24,$F24+$E24-$D24)),2,IF(AND(AO$2&gt;=$D24,AO$2&lt;=$E24),1,"")))</f>
        <v/>
      </c>
      <c r="AP24" s="38">
        <f>IF(OR(AP$2="",$D24=""),"",IF(AND(ISNUMBER($F24),AP$2&gt;=$F24,AP$2&lt;=IF(ISNUMBER($G24),$G24,$F24+$E24-$D24)),2,IF(AND(AP$2&gt;=$D24,AP$2&lt;=$E24),1,"")))</f>
        <v/>
      </c>
      <c r="AQ24" s="38">
        <f>IF(OR(AQ$2="",$D24=""),"",IF(AND(ISNUMBER($F24),AQ$2&gt;=$F24,AQ$2&lt;=IF(ISNUMBER($G24),$G24,$F24+$E24-$D24)),2,IF(AND(AQ$2&gt;=$D24,AQ$2&lt;=$E24),1,"")))</f>
        <v/>
      </c>
      <c r="AR24" s="38">
        <f>IF(OR(AR$2="",$D24=""),"",IF(AND(ISNUMBER($F24),AR$2&gt;=$F24,AR$2&lt;=IF(ISNUMBER($G24),$G24,$F24+$E24-$D24)),2,IF(AND(AR$2&gt;=$D24,AR$2&lt;=$E24),1,"")))</f>
        <v/>
      </c>
      <c r="AS24" s="38">
        <f>IF(OR(AS$2="",$D24=""),"",IF(AND(ISNUMBER($F24),AS$2&gt;=$F24,AS$2&lt;=IF(ISNUMBER($G24),$G24,$F24+$E24-$D24)),2,IF(AND(AS$2&gt;=$D24,AS$2&lt;=$E24),1,"")))</f>
        <v/>
      </c>
      <c r="AT24" s="38">
        <f>IF(OR(AT$2="",$D24=""),"",IF(AND(ISNUMBER($F24),AT$2&gt;=$F24,AT$2&lt;=IF(ISNUMBER($G24),$G24,$F24+$E24-$D24)),2,IF(AND(AT$2&gt;=$D24,AT$2&lt;=$E24),1,"")))</f>
        <v/>
      </c>
      <c r="AU24" s="38">
        <f>IF(OR(AU$2="",$D24=""),"",IF(AND(ISNUMBER($F24),AU$2&gt;=$F24,AU$2&lt;=IF(ISNUMBER($G24),$G24,$F24+$E24-$D24)),2,IF(AND(AU$2&gt;=$D24,AU$2&lt;=$E24),1,"")))</f>
        <v/>
      </c>
      <c r="AV24" s="38">
        <f>IF(OR(AV$2="",$D24=""),"",IF(AND(ISNUMBER($F24),AV$2&gt;=$F24,AV$2&lt;=IF(ISNUMBER($G24),$G24,$F24+$E24-$D24)),2,IF(AND(AV$2&gt;=$D24,AV$2&lt;=$E24),1,"")))</f>
        <v/>
      </c>
      <c r="AW24" s="38">
        <f>IF(OR(AW$2="",$D24=""),"",IF(AND(ISNUMBER($F24),AW$2&gt;=$F24,AW$2&lt;=IF(ISNUMBER($G24),$G24,$F24+$E24-$D24)),2,IF(AND(AW$2&gt;=$D24,AW$2&lt;=$E24),1,"")))</f>
        <v/>
      </c>
      <c r="AX24" s="38">
        <f>IF(OR(AX$2="",$D24=""),"",IF(AND(ISNUMBER($F24),AX$2&gt;=$F24,AX$2&lt;=IF(ISNUMBER($G24),$G24,$F24+$E24-$D24)),2,IF(AND(AX$2&gt;=$D24,AX$2&lt;=$E24),1,"")))</f>
        <v/>
      </c>
      <c r="AY24" s="38">
        <f>IF(OR(AY$2="",$D24=""),"",IF(AND(ISNUMBER($F24),AY$2&gt;=$F24,AY$2&lt;=IF(ISNUMBER($G24),$G24,$F24+$E24-$D24)),2,IF(AND(AY$2&gt;=$D24,AY$2&lt;=$E24),1,"")))</f>
        <v/>
      </c>
      <c r="AZ24" s="38">
        <f>IF(OR(AZ$2="",$D24=""),"",IF(AND(ISNUMBER($F24),AZ$2&gt;=$F24,AZ$2&lt;=IF(ISNUMBER($G24),$G24,$F24+$E24-$D24)),2,IF(AND(AZ$2&gt;=$D24,AZ$2&lt;=$E24),1,"")))</f>
        <v/>
      </c>
      <c r="BA24" s="38">
        <f>IF(OR(BA$2="",$D24=""),"",IF(AND(ISNUMBER($F24),BA$2&gt;=$F24,BA$2&lt;=IF(ISNUMBER($G24),$G24,$F24+$E24-$D24)),2,IF(AND(BA$2&gt;=$D24,BA$2&lt;=$E24),1,"")))</f>
        <v/>
      </c>
      <c r="BB24" s="38">
        <f>IF(OR(BB$2="",$D24=""),"",IF(AND(ISNUMBER($F24),BB$2&gt;=$F24,BB$2&lt;=IF(ISNUMBER($G24),$G24,$F24+$E24-$D24)),2,IF(AND(BB$2&gt;=$D24,BB$2&lt;=$E24),1,"")))</f>
        <v/>
      </c>
      <c r="BC24" s="38">
        <f>IF(OR(BC$2="",$D24=""),"",IF(AND(ISNUMBER($F24),BC$2&gt;=$F24,BC$2&lt;=IF(ISNUMBER($G24),$G24,$F24+$E24-$D24)),2,IF(AND(BC$2&gt;=$D24,BC$2&lt;=$E24),1,"")))</f>
        <v/>
      </c>
      <c r="BD24" s="38">
        <f>IF(OR(BD$2="",$D24=""),"",IF(AND(ISNUMBER($F24),BD$2&gt;=$F24,BD$2&lt;=IF(ISNUMBER($G24),$G24,$F24+$E24-$D24)),2,IF(AND(BD$2&gt;=$D24,BD$2&lt;=$E24),1,"")))</f>
        <v/>
      </c>
      <c r="BE24" s="38">
        <f>IF(OR(BE$2="",$D24=""),"",IF(AND(ISNUMBER($F24),BE$2&gt;=$F24,BE$2&lt;=IF(ISNUMBER($G24),$G24,$F24+$E24-$D24)),2,IF(AND(BE$2&gt;=$D24,BE$2&lt;=$E24),1,"")))</f>
        <v/>
      </c>
      <c r="BF24" s="38">
        <f>IF(OR(BF$2="",$D24=""),"",IF(AND(ISNUMBER($F24),BF$2&gt;=$F24,BF$2&lt;=IF(ISNUMBER($G24),$G24,$F24+$E24-$D24)),2,IF(AND(BF$2&gt;=$D24,BF$2&lt;=$E24),1,"")))</f>
        <v/>
      </c>
      <c r="BG24" s="38">
        <f>IF(OR(BG$2="",$D24=""),"",IF(AND(ISNUMBER($F24),BG$2&gt;=$F24,BG$2&lt;=IF(ISNUMBER($G24),$G24,$F24+$E24-$D24)),2,IF(AND(BG$2&gt;=$D24,BG$2&lt;=$E24),1,"")))</f>
        <v/>
      </c>
      <c r="BH24" s="38">
        <f>IF(OR(BH$2="",$D24=""),"",IF(AND(ISNUMBER($F24),BH$2&gt;=$F24,BH$2&lt;=IF(ISNUMBER($G24),$G24,$F24+$E24-$D24)),2,IF(AND(BH$2&gt;=$D24,BH$2&lt;=$E24),1,"")))</f>
        <v/>
      </c>
      <c r="BI24" s="38">
        <f>IF(OR(BI$2="",$D24=""),"",IF(AND(ISNUMBER($F24),BI$2&gt;=$F24,BI$2&lt;=IF(ISNUMBER($G24),$G24,$F24+$E24-$D24)),2,IF(AND(BI$2&gt;=$D24,BI$2&lt;=$E24),1,"")))</f>
        <v/>
      </c>
      <c r="BJ24" s="38">
        <f>IF(OR(BJ$2="",$D24=""),"",IF(AND(ISNUMBER($F24),BJ$2&gt;=$F24,BJ$2&lt;=IF(ISNUMBER($G24),$G24,$F24+$E24-$D24)),2,IF(AND(BJ$2&gt;=$D24,BJ$2&lt;=$E24),1,"")))</f>
        <v/>
      </c>
      <c r="BK24" s="38">
        <f>IF(OR(BK$2="",$D24=""),"",IF(AND(ISNUMBER($F24),BK$2&gt;=$F24,BK$2&lt;=IF(ISNUMBER($G24),$G24,$F24+$E24-$D24)),2,IF(AND(BK$2&gt;=$D24,BK$2&lt;=$E24),1,"")))</f>
        <v/>
      </c>
      <c r="BL24" s="38">
        <f>IF(OR(BL$2="",$D24=""),"",IF(AND(ISNUMBER($F24),BL$2&gt;=$F24,BL$2&lt;=IF(ISNUMBER($G24),$G24,$F24+$E24-$D24)),2,IF(AND(BL$2&gt;=$D24,BL$2&lt;=$E24),1,"")))</f>
        <v/>
      </c>
      <c r="BM24" s="38">
        <f>IF(OR(BM$2="",$D24=""),"",IF(AND(ISNUMBER($F24),BM$2&gt;=$F24,BM$2&lt;=IF(ISNUMBER($G24),$G24,$F24+$E24-$D24)),2,IF(AND(BM$2&gt;=$D24,BM$2&lt;=$E24),1,"")))</f>
        <v/>
      </c>
      <c r="BN24" s="38">
        <f>IF(OR(BN$2="",$D24=""),"",IF(AND(ISNUMBER($F24),BN$2&gt;=$F24,BN$2&lt;=IF(ISNUMBER($G24),$G24,$F24+$E24-$D24)),2,IF(AND(BN$2&gt;=$D24,BN$2&lt;=$E24),1,"")))</f>
        <v/>
      </c>
      <c r="BO24" s="38">
        <f>IF(OR(BO$2="",$D24=""),"",IF(AND(ISNUMBER($F24),BO$2&gt;=$F24,BO$2&lt;=IF(ISNUMBER($G24),$G24,$F24+$E24-$D24)),2,IF(AND(BO$2&gt;=$D24,BO$2&lt;=$E24),1,"")))</f>
        <v/>
      </c>
      <c r="BP24" s="38">
        <f>IF(OR(BP$2="",$D24=""),"",IF(AND(ISNUMBER($F24),BP$2&gt;=$F24,BP$2&lt;=IF(ISNUMBER($G24),$G24,$F24+$E24-$D24)),2,IF(AND(BP$2&gt;=$D24,BP$2&lt;=$E24),1,"")))</f>
        <v/>
      </c>
      <c r="BQ24" s="38">
        <f>IF(OR(BQ$2="",$D24=""),"",IF(AND(ISNUMBER($F24),BQ$2&gt;=$F24,BQ$2&lt;=IF(ISNUMBER($G24),$G24,$F24+$E24-$D24)),2,IF(AND(BQ$2&gt;=$D24,BQ$2&lt;=$E24),1,"")))</f>
        <v/>
      </c>
      <c r="BR24" s="38">
        <f>IF(OR(BR$2="",$D24=""),"",IF(AND(ISNUMBER($F24),BR$2&gt;=$F24,BR$2&lt;=IF(ISNUMBER($G24),$G24,$F24+$E24-$D24)),2,IF(AND(BR$2&gt;=$D24,BR$2&lt;=$E24),1,"")))</f>
        <v/>
      </c>
      <c r="BS24" s="38">
        <f>IF(OR(BS$2="",$D24=""),"",IF(AND(ISNUMBER($F24),BS$2&gt;=$F24,BS$2&lt;=IF(ISNUMBER($G24),$G24,$F24+$E24-$D24)),2,IF(AND(BS$2&gt;=$D24,BS$2&lt;=$E24),1,"")))</f>
        <v/>
      </c>
      <c r="BT24" s="38">
        <f>IF(OR(BT$2="",$D24=""),"",IF(AND(ISNUMBER($F24),BT$2&gt;=$F24,BT$2&lt;=IF(ISNUMBER($G24),$G24,$F24+$E24-$D24)),2,IF(AND(BT$2&gt;=$D24,BT$2&lt;=$E24),1,"")))</f>
        <v/>
      </c>
      <c r="BU24" s="38">
        <f>IF(OR(BU$2="",$D24=""),"",IF(AND(ISNUMBER($F24),BU$2&gt;=$F24,BU$2&lt;=IF(ISNUMBER($G24),$G24,$F24+$E24-$D24)),2,IF(AND(BU$2&gt;=$D24,BU$2&lt;=$E24),1,"")))</f>
        <v/>
      </c>
      <c r="BV24" s="38">
        <f>IF(OR(BV$2="",$D24=""),"",IF(AND(ISNUMBER($F24),BV$2&gt;=$F24,BV$2&lt;=IF(ISNUMBER($G24),$G24,$F24+$E24-$D24)),2,IF(AND(BV$2&gt;=$D24,BV$2&lt;=$E24),1,"")))</f>
        <v/>
      </c>
      <c r="BW24" s="38">
        <f>IF(OR(BW$2="",$D24=""),"",IF(AND(ISNUMBER($F24),BW$2&gt;=$F24,BW$2&lt;=IF(ISNUMBER($G24),$G24,$F24+$E24-$D24)),2,IF(AND(BW$2&gt;=$D24,BW$2&lt;=$E24),1,"")))</f>
        <v/>
      </c>
      <c r="BX24" s="38">
        <f>IF(OR(BX$2="",$D24=""),"",IF(AND(ISNUMBER($F24),BX$2&gt;=$F24,BX$2&lt;=IF(ISNUMBER($G24),$G24,$F24+$E24-$D24)),2,IF(AND(BX$2&gt;=$D24,BX$2&lt;=$E24),1,"")))</f>
        <v/>
      </c>
      <c r="BY24" s="38">
        <f>IF(OR(BY$2="",$D24=""),"",IF(AND(ISNUMBER($F24),BY$2&gt;=$F24,BY$2&lt;=IF(ISNUMBER($G24),$G24,$F24+$E24-$D24)),2,IF(AND(BY$2&gt;=$D24,BY$2&lt;=$E24),1,"")))</f>
        <v/>
      </c>
      <c r="BZ24" s="38">
        <f>IF(OR(BZ$2="",$D24=""),"",IF(AND(ISNUMBER($F24),BZ$2&gt;=$F24,BZ$2&lt;=IF(ISNUMBER($G24),$G24,$F24+$E24-$D24)),2,IF(AND(BZ$2&gt;=$D24,BZ$2&lt;=$E24),1,"")))</f>
        <v/>
      </c>
      <c r="CA24" s="38">
        <f>IF(OR(CA$2="",$D24=""),"",IF(AND(ISNUMBER($F24),CA$2&gt;=$F24,CA$2&lt;=IF(ISNUMBER($G24),$G24,$F24+$E24-$D24)),2,IF(AND(CA$2&gt;=$D24,CA$2&lt;=$E24),1,"")))</f>
        <v/>
      </c>
      <c r="CB24" s="38">
        <f>IF(OR(CB$2="",$D24=""),"",IF(AND(ISNUMBER($F24),CB$2&gt;=$F24,CB$2&lt;=IF(ISNUMBER($G24),$G24,$F24+$E24-$D24)),2,IF(AND(CB$2&gt;=$D24,CB$2&lt;=$E24),1,"")))</f>
        <v/>
      </c>
      <c r="CC24" s="38">
        <f>IF(OR(CC$2="",$D24=""),"",IF(AND(ISNUMBER($F24),CC$2&gt;=$F24,CC$2&lt;=IF(ISNUMBER($G24),$G24,$F24+$E24-$D24)),2,IF(AND(CC$2&gt;=$D24,CC$2&lt;=$E24),1,"")))</f>
        <v/>
      </c>
      <c r="CD24" s="38">
        <f>IF(OR(CD$2="",$D24=""),"",IF(AND(ISNUMBER($F24),CD$2&gt;=$F24,CD$2&lt;=IF(ISNUMBER($G24),$G24,$F24+$E24-$D24)),2,IF(AND(CD$2&gt;=$D24,CD$2&lt;=$E24),1,"")))</f>
        <v/>
      </c>
      <c r="CE24" s="38">
        <f>IF(OR(CE$2="",$D24=""),"",IF(AND(ISNUMBER($F24),CE$2&gt;=$F24,CE$2&lt;=IF(ISNUMBER($G24),$G24,$F24+$E24-$D24)),2,IF(AND(CE$2&gt;=$D24,CE$2&lt;=$E24),1,"")))</f>
        <v/>
      </c>
      <c r="CF24" s="38">
        <f>IF(OR(CF$2="",$D24=""),"",IF(AND(ISNUMBER($F24),CF$2&gt;=$F24,CF$2&lt;=IF(ISNUMBER($G24),$G24,$F24+$E24-$D24)),2,IF(AND(CF$2&gt;=$D24,CF$2&lt;=$E24),1,"")))</f>
        <v/>
      </c>
      <c r="CG24" s="38">
        <f>IF(OR(CG$2="",$D24=""),"",IF(AND(ISNUMBER($F24),CG$2&gt;=$F24,CG$2&lt;=IF(ISNUMBER($G24),$G24,$F24+$E24-$D24)),2,IF(AND(CG$2&gt;=$D24,CG$2&lt;=$E24),1,"")))</f>
        <v/>
      </c>
      <c r="CH24" s="38">
        <f>IF(OR(CH$2="",$D24=""),"",IF(AND(ISNUMBER($F24),CH$2&gt;=$F24,CH$2&lt;=IF(ISNUMBER($G24),$G24,$F24+$E24-$D24)),2,IF(AND(CH$2&gt;=$D24,CH$2&lt;=$E24),1,"")))</f>
        <v/>
      </c>
      <c r="CI24" s="38">
        <f>IF(OR(CI$2="",$D24=""),"",IF(AND(ISNUMBER($F24),CI$2&gt;=$F24,CI$2&lt;=IF(ISNUMBER($G24),$G24,$F24+$E24-$D24)),2,IF(AND(CI$2&gt;=$D24,CI$2&lt;=$E24),1,"")))</f>
        <v/>
      </c>
      <c r="CJ24" s="38">
        <f>IF(OR(CJ$2="",$D24=""),"",IF(AND(ISNUMBER($F24),CJ$2&gt;=$F24,CJ$2&lt;=IF(ISNUMBER($G24),$G24,$F24+$E24-$D24)),2,IF(AND(CJ$2&gt;=$D24,CJ$2&lt;=$E24),1,"")))</f>
        <v/>
      </c>
      <c r="CK24" s="38">
        <f>IF(OR(CK$2="",$D24=""),"",IF(AND(ISNUMBER($F24),CK$2&gt;=$F24,CK$2&lt;=IF(ISNUMBER($G24),$G24,$F24+$E24-$D24)),2,IF(AND(CK$2&gt;=$D24,CK$2&lt;=$E24),1,"")))</f>
        <v/>
      </c>
      <c r="CL24" s="38">
        <f>IF(OR(CL$2="",$D24=""),"",IF(AND(ISNUMBER($F24),CL$2&gt;=$F24,CL$2&lt;=IF(ISNUMBER($G24),$G24,$F24+$E24-$D24)),2,IF(AND(CL$2&gt;=$D24,CL$2&lt;=$E24),1,"")))</f>
        <v/>
      </c>
      <c r="CM24" s="38">
        <f>IF(OR(CM$2="",$D24=""),"",IF(AND(ISNUMBER($F24),CM$2&gt;=$F24,CM$2&lt;=IF(ISNUMBER($G24),$G24,$F24+$E24-$D24)),2,IF(AND(CM$2&gt;=$D24,CM$2&lt;=$E24),1,"")))</f>
        <v/>
      </c>
      <c r="CN24" s="38">
        <f>IF(OR(CN$2="",$D24=""),"",IF(AND(ISNUMBER($F24),CN$2&gt;=$F24,CN$2&lt;=IF(ISNUMBER($G24),$G24,$F24+$E24-$D24)),2,IF(AND(CN$2&gt;=$D24,CN$2&lt;=$E24),1,"")))</f>
        <v/>
      </c>
      <c r="CO24" s="38">
        <f>IF(OR(CO$2="",$D24=""),"",IF(AND(ISNUMBER($F24),CO$2&gt;=$F24,CO$2&lt;=IF(ISNUMBER($G24),$G24,$F24+$E24-$D24)),2,IF(AND(CO$2&gt;=$D24,CO$2&lt;=$E24),1,"")))</f>
        <v/>
      </c>
      <c r="CP24" s="38">
        <f>IF(OR(CP$2="",$D24=""),"",IF(AND(ISNUMBER($F24),CP$2&gt;=$F24,CP$2&lt;=IF(ISNUMBER($G24),$G24,$F24+$E24-$D24)),2,IF(AND(CP$2&gt;=$D24,CP$2&lt;=$E24),1,"")))</f>
        <v/>
      </c>
      <c r="CQ24" s="38">
        <f>IF(OR(CQ$2="",$D24=""),"",IF(AND(ISNUMBER($F24),CQ$2&gt;=$F24,CQ$2&lt;=IF(ISNUMBER($G24),$G24,$F24+$E24-$D24)),2,IF(AND(CQ$2&gt;=$D24,CQ$2&lt;=$E24),1,"")))</f>
        <v/>
      </c>
      <c r="CR24" s="38">
        <f>IF(OR(CR$2="",$D24=""),"",IF(AND(ISNUMBER($F24),CR$2&gt;=$F24,CR$2&lt;=IF(ISNUMBER($G24),$G24,$F24+$E24-$D24)),2,IF(AND(CR$2&gt;=$D24,CR$2&lt;=$E24),1,"")))</f>
        <v/>
      </c>
      <c r="CS24" s="38">
        <f>IF(OR(CS$2="",$D24=""),"",IF(AND(ISNUMBER($F24),CS$2&gt;=$F24,CS$2&lt;=IF(ISNUMBER($G24),$G24,$F24+$E24-$D24)),2,IF(AND(CS$2&gt;=$D24,CS$2&lt;=$E24),1,"")))</f>
        <v/>
      </c>
      <c r="CT24" s="38">
        <f>IF(OR(CT$2="",$D24=""),"",IF(AND(ISNUMBER($F24),CT$2&gt;=$F24,CT$2&lt;=IF(ISNUMBER($G24),$G24,$F24+$E24-$D24)),2,IF(AND(CT$2&gt;=$D24,CT$2&lt;=$E24),1,"")))</f>
        <v/>
      </c>
      <c r="CU24" s="38">
        <f>IF(OR(CU$2="",$D24=""),"",IF(AND(ISNUMBER($F24),CU$2&gt;=$F24,CU$2&lt;=IF(ISNUMBER($G24),$G24,$F24+$E24-$D24)),2,IF(AND(CU$2&gt;=$D24,CU$2&lt;=$E24),1,"")))</f>
        <v/>
      </c>
      <c r="CV24" s="38">
        <f>IF(OR(CV$2="",$D24=""),"",IF(AND(ISNUMBER($F24),CV$2&gt;=$F24,CV$2&lt;=IF(ISNUMBER($G24),$G24,$F24+$E24-$D24)),2,IF(AND(CV$2&gt;=$D24,CV$2&lt;=$E24),1,"")))</f>
        <v/>
      </c>
      <c r="CW24" s="38">
        <f>IF(OR(CW$2="",$D24=""),"",IF(AND(ISNUMBER($F24),CW$2&gt;=$F24,CW$2&lt;=IF(ISNUMBER($G24),$G24,$F24+$E24-$D24)),2,IF(AND(CW$2&gt;=$D24,CW$2&lt;=$E24),1,"")))</f>
        <v/>
      </c>
      <c r="CX24" s="38">
        <f>IF(OR(CX$2="",$D24=""),"",IF(AND(ISNUMBER($F24),CX$2&gt;=$F24,CX$2&lt;=IF(ISNUMBER($G24),$G24,$F24+$E24-$D24)),2,IF(AND(CX$2&gt;=$D24,CX$2&lt;=$E24),1,"")))</f>
        <v/>
      </c>
      <c r="CY24" s="38">
        <f>IF(OR(CY$2="",$D24=""),"",IF(AND(ISNUMBER($F24),CY$2&gt;=$F24,CY$2&lt;=IF(ISNUMBER($G24),$G24,$F24+$E24-$D24)),2,IF(AND(CY$2&gt;=$D24,CY$2&lt;=$E24),1,"")))</f>
        <v/>
      </c>
      <c r="CZ24" s="38">
        <f>IF(OR(CZ$2="",$D24=""),"",IF(AND(ISNUMBER($F24),CZ$2&gt;=$F24,CZ$2&lt;=IF(ISNUMBER($G24),$G24,$F24+$E24-$D24)),2,IF(AND(CZ$2&gt;=$D24,CZ$2&lt;=$E24),1,"")))</f>
        <v/>
      </c>
      <c r="DA24" s="38">
        <f>IF(OR(DA$2="",$D24=""),"",IF(AND(ISNUMBER($F24),DA$2&gt;=$F24,DA$2&lt;=IF(ISNUMBER($G24),$G24,$F24+$E24-$D24)),2,IF(AND(DA$2&gt;=$D24,DA$2&lt;=$E24),1,"")))</f>
        <v/>
      </c>
      <c r="DB24" s="38">
        <f>IF(OR(DB$2="",$D24=""),"",IF(AND(ISNUMBER($F24),DB$2&gt;=$F24,DB$2&lt;=IF(ISNUMBER($G24),$G24,$F24+$E24-$D24)),2,IF(AND(DB$2&gt;=$D24,DB$2&lt;=$E24),1,"")))</f>
        <v/>
      </c>
      <c r="DC24" s="38">
        <f>IF(OR(DC$2="",$D24=""),"",IF(AND(ISNUMBER($F24),DC$2&gt;=$F24,DC$2&lt;=IF(ISNUMBER($G24),$G24,$F24+$E24-$D24)),2,IF(AND(DC$2&gt;=$D24,DC$2&lt;=$E24),1,"")))</f>
        <v/>
      </c>
      <c r="DD24" s="38">
        <f>IF(OR(DD$2="",$D24=""),"",IF(AND(ISNUMBER($F24),DD$2&gt;=$F24,DD$2&lt;=IF(ISNUMBER($G24),$G24,$F24+$E24-$D24)),2,IF(AND(DD$2&gt;=$D24,DD$2&lt;=$E24),1,"")))</f>
        <v/>
      </c>
      <c r="DE24" s="38">
        <f>IF(OR(DE$2="",$D24=""),"",IF(AND(ISNUMBER($F24),DE$2&gt;=$F24,DE$2&lt;=IF(ISNUMBER($G24),$G24,$F24+$E24-$D24)),2,IF(AND(DE$2&gt;=$D24,DE$2&lt;=$E24),1,"")))</f>
        <v/>
      </c>
      <c r="DF24" s="38">
        <f>IF(OR(DF$2="",$D24=""),"",IF(AND(ISNUMBER($F24),DF$2&gt;=$F24,DF$2&lt;=IF(ISNUMBER($G24),$G24,$F24+$E24-$D24)),2,IF(AND(DF$2&gt;=$D24,DF$2&lt;=$E24),1,"")))</f>
        <v/>
      </c>
      <c r="DG24" s="38">
        <f>IF(OR(DG$2="",$D24=""),"",IF(AND(ISNUMBER($F24),DG$2&gt;=$F24,DG$2&lt;=IF(ISNUMBER($G24),$G24,$F24+$E24-$D24)),2,IF(AND(DG$2&gt;=$D24,DG$2&lt;=$E24),1,"")))</f>
        <v/>
      </c>
      <c r="DH24" s="38">
        <f>IF(OR(DH$2="",$D24=""),"",IF(AND(ISNUMBER($F24),DH$2&gt;=$F24,DH$2&lt;=IF(ISNUMBER($G24),$G24,$F24+$E24-$D24)),2,IF(AND(DH$2&gt;=$D24,DH$2&lt;=$E24),1,"")))</f>
        <v/>
      </c>
      <c r="DI24" s="38">
        <f>IF(OR(DI$2="",$D24=""),"",IF(AND(ISNUMBER($F24),DI$2&gt;=$F24,DI$2&lt;=IF(ISNUMBER($G24),$G24,$F24+$E24-$D24)),2,IF(AND(DI$2&gt;=$D24,DI$2&lt;=$E24),1,"")))</f>
        <v/>
      </c>
      <c r="DJ24" s="38">
        <f>IF(OR(DJ$2="",$D24=""),"",IF(AND(ISNUMBER($F24),DJ$2&gt;=$F24,DJ$2&lt;=IF(ISNUMBER($G24),$G24,$F24+$E24-$D24)),2,IF(AND(DJ$2&gt;=$D24,DJ$2&lt;=$E24),1,"")))</f>
        <v/>
      </c>
      <c r="DK24" s="38">
        <f>IF(OR(DK$2="",$D24=""),"",IF(AND(ISNUMBER($F24),DK$2&gt;=$F24,DK$2&lt;=IF(ISNUMBER($G24),$G24,$F24+$E24-$D24)),2,IF(AND(DK$2&gt;=$D24,DK$2&lt;=$E24),1,"")))</f>
        <v/>
      </c>
      <c r="DL24" s="38">
        <f>IF(OR(DL$2="",$D24=""),"",IF(AND(ISNUMBER($F24),DL$2&gt;=$F24,DL$2&lt;=IF(ISNUMBER($G24),$G24,$F24+$E24-$D24)),2,IF(AND(DL$2&gt;=$D24,DL$2&lt;=$E24),1,"")))</f>
        <v/>
      </c>
      <c r="DM24" s="38">
        <f>IF(OR(DM$2="",$D24=""),"",IF(AND(ISNUMBER($F24),DM$2&gt;=$F24,DM$2&lt;=IF(ISNUMBER($G24),$G24,$F24+$E24-$D24)),2,IF(AND(DM$2&gt;=$D24,DM$2&lt;=$E24),1,"")))</f>
        <v/>
      </c>
      <c r="DN24" s="38">
        <f>IF(OR(DN$2="",$D24=""),"",IF(AND(ISNUMBER($F24),DN$2&gt;=$F24,DN$2&lt;=IF(ISNUMBER($G24),$G24,$F24+$E24-$D24)),2,IF(AND(DN$2&gt;=$D24,DN$2&lt;=$E24),1,"")))</f>
        <v/>
      </c>
      <c r="DO24" s="38">
        <f>IF(OR(DO$2="",$D24=""),"",IF(AND(ISNUMBER($F24),DO$2&gt;=$F24,DO$2&lt;=IF(ISNUMBER($G24),$G24,$F24+$E24-$D24)),2,IF(AND(DO$2&gt;=$D24,DO$2&lt;=$E24),1,"")))</f>
        <v/>
      </c>
      <c r="DP24" s="38">
        <f>IF(OR(DP$2="",$D24=""),"",IF(AND(ISNUMBER($F24),DP$2&gt;=$F24,DP$2&lt;=IF(ISNUMBER($G24),$G24,$F24+$E24-$D24)),2,IF(AND(DP$2&gt;=$D24,DP$2&lt;=$E24),1,"")))</f>
        <v/>
      </c>
      <c r="DQ24" s="38">
        <f>IF(OR(DQ$2="",$D24=""),"",IF(AND(ISNUMBER($F24),DQ$2&gt;=$F24,DQ$2&lt;=IF(ISNUMBER($G24),$G24,$F24+$E24-$D24)),2,IF(AND(DQ$2&gt;=$D24,DQ$2&lt;=$E24),1,"")))</f>
        <v/>
      </c>
      <c r="DR24" s="38">
        <f>IF(OR(DR$2="",$D24=""),"",IF(AND(ISNUMBER($F24),DR$2&gt;=$F24,DR$2&lt;=IF(ISNUMBER($G24),$G24,$F24+$E24-$D24)),2,IF(AND(DR$2&gt;=$D24,DR$2&lt;=$E24),1,"")))</f>
        <v/>
      </c>
      <c r="DS24" s="38">
        <f>IF(OR(DS$2="",$D24=""),"",IF(AND(ISNUMBER($F24),DS$2&gt;=$F24,DS$2&lt;=IF(ISNUMBER($G24),$G24,$F24+$E24-$D24)),2,IF(AND(DS$2&gt;=$D24,DS$2&lt;=$E24),1,"")))</f>
        <v/>
      </c>
      <c r="DT24" s="38">
        <f>IF(OR(DT$2="",$D24=""),"",IF(AND(ISNUMBER($F24),DT$2&gt;=$F24,DT$2&lt;=IF(ISNUMBER($G24),$G24,$F24+$E24-$D24)),2,IF(AND(DT$2&gt;=$D24,DT$2&lt;=$E24),1,"")))</f>
        <v/>
      </c>
      <c r="DU24" s="38">
        <f>IF(OR(DU$2="",$D24=""),"",IF(AND(ISNUMBER($F24),DU$2&gt;=$F24,DU$2&lt;=IF(ISNUMBER($G24),$G24,$F24+$E24-$D24)),2,IF(AND(DU$2&gt;=$D24,DU$2&lt;=$E24),1,"")))</f>
        <v/>
      </c>
      <c r="DV24" s="38">
        <f>IF(OR(DV$2="",$D24=""),"",IF(AND(ISNUMBER($F24),DV$2&gt;=$F24,DV$2&lt;=IF(ISNUMBER($G24),$G24,$F24+$E24-$D24)),2,IF(AND(DV$2&gt;=$D24,DV$2&lt;=$E24),1,"")))</f>
        <v/>
      </c>
      <c r="DW24" s="38">
        <f>IF(OR(DW$2="",$D24=""),"",IF(AND(ISNUMBER($F24),DW$2&gt;=$F24,DW$2&lt;=IF(ISNUMBER($G24),$G24,$F24+$E24-$D24)),2,IF(AND(DW$2&gt;=$D24,DW$2&lt;=$E24),1,"")))</f>
        <v/>
      </c>
      <c r="DX24" s="38">
        <f>IF(OR(DX$2="",$D24=""),"",IF(AND(ISNUMBER($F24),DX$2&gt;=$F24,DX$2&lt;=IF(ISNUMBER($G24),$G24,$F24+$E24-$D24)),2,IF(AND(DX$2&gt;=$D24,DX$2&lt;=$E24),1,"")))</f>
        <v/>
      </c>
      <c r="DY24" s="38">
        <f>IF(OR(DY$2="",$D24=""),"",IF(AND(ISNUMBER($F24),DY$2&gt;=$F24,DY$2&lt;=IF(ISNUMBER($G24),$G24,$F24+$E24-$D24)),2,IF(AND(DY$2&gt;=$D24,DY$2&lt;=$E24),1,"")))</f>
        <v/>
      </c>
      <c r="DZ24" s="38">
        <f>IF(OR(DZ$2="",$D24=""),"",IF(AND(ISNUMBER($F24),DZ$2&gt;=$F24,DZ$2&lt;=IF(ISNUMBER($G24),$G24,$F24+$E24-$D24)),2,IF(AND(DZ$2&gt;=$D24,DZ$2&lt;=$E24),1,"")))</f>
        <v/>
      </c>
      <c r="EA24" s="38">
        <f>IF(OR(EA$2="",$D24=""),"",IF(AND(ISNUMBER($F24),EA$2&gt;=$F24,EA$2&lt;=IF(ISNUMBER($G24),$G24,$F24+$E24-$D24)),2,IF(AND(EA$2&gt;=$D24,EA$2&lt;=$E24),1,"")))</f>
        <v/>
      </c>
      <c r="EB24" s="38">
        <f>IF(OR(EB$2="",$D24=""),"",IF(AND(ISNUMBER($F24),EB$2&gt;=$F24,EB$2&lt;=IF(ISNUMBER($G24),$G24,$F24+$E24-$D24)),2,IF(AND(EB$2&gt;=$D24,EB$2&lt;=$E24),1,"")))</f>
        <v/>
      </c>
      <c r="EC24" s="38">
        <f>IF(OR(EC$2="",$D24=""),"",IF(AND(ISNUMBER($F24),EC$2&gt;=$F24,EC$2&lt;=IF(ISNUMBER($G24),$G24,$F24+$E24-$D24)),2,IF(AND(EC$2&gt;=$D24,EC$2&lt;=$E24),1,"")))</f>
        <v/>
      </c>
      <c r="ED24" s="38">
        <f>IF(OR(ED$2="",$D24=""),"",IF(AND(ISNUMBER($F24),ED$2&gt;=$F24,ED$2&lt;=IF(ISNUMBER($G24),$G24,$F24+$E24-$D24)),2,IF(AND(ED$2&gt;=$D24,ED$2&lt;=$E24),1,"")))</f>
        <v/>
      </c>
      <c r="EE24" s="38">
        <f>IF(OR(EE$2="",$D24=""),"",IF(AND(ISNUMBER($F24),EE$2&gt;=$F24,EE$2&lt;=IF(ISNUMBER($G24),$G24,$F24+$E24-$D24)),2,IF(AND(EE$2&gt;=$D24,EE$2&lt;=$E24),1,"")))</f>
        <v/>
      </c>
      <c r="EF24" s="38">
        <f>IF(OR(EF$2="",$D24=""),"",IF(AND(ISNUMBER($F24),EF$2&gt;=$F24,EF$2&lt;=IF(ISNUMBER($G24),$G24,$F24+$E24-$D24)),2,IF(AND(EF$2&gt;=$D24,EF$2&lt;=$E24),1,"")))</f>
        <v/>
      </c>
      <c r="EG24" s="38">
        <f>IF(OR(EG$2="",$D24=""),"",IF(AND(ISNUMBER($F24),EG$2&gt;=$F24,EG$2&lt;=IF(ISNUMBER($G24),$G24,$F24+$E24-$D24)),2,IF(AND(EG$2&gt;=$D24,EG$2&lt;=$E24),1,"")))</f>
        <v/>
      </c>
      <c r="EH24" s="38">
        <f>IF(OR(EH$2="",$D24=""),"",IF(AND(ISNUMBER($F24),EH$2&gt;=$F24,EH$2&lt;=IF(ISNUMBER($G24),$G24,$F24+$E24-$D24)),2,IF(AND(EH$2&gt;=$D24,EH$2&lt;=$E24),1,"")))</f>
        <v/>
      </c>
      <c r="EI24" s="38">
        <f>IF(OR(EI$2="",$D24=""),"",IF(AND(ISNUMBER($F24),EI$2&gt;=$F24,EI$2&lt;=IF(ISNUMBER($G24),$G24,$F24+$E24-$D24)),2,IF(AND(EI$2&gt;=$D24,EI$2&lt;=$E24),1,"")))</f>
        <v/>
      </c>
      <c r="EJ24" s="38">
        <f>IF(OR(EJ$2="",$D24=""),"",IF(AND(ISNUMBER($F24),EJ$2&gt;=$F24,EJ$2&lt;=IF(ISNUMBER($G24),$G24,$F24+$E24-$D24)),2,IF(AND(EJ$2&gt;=$D24,EJ$2&lt;=$E24),1,"")))</f>
        <v/>
      </c>
      <c r="EK24" s="38">
        <f>IF(OR(EK$2="",$D24=""),"",IF(AND(ISNUMBER($F24),EK$2&gt;=$F24,EK$2&lt;=IF(ISNUMBER($G24),$G24,$F24+$E24-$D24)),2,IF(AND(EK$2&gt;=$D24,EK$2&lt;=$E24),1,"")))</f>
        <v/>
      </c>
      <c r="EL24" s="38">
        <f>IF(OR(EL$2="",$D24=""),"",IF(AND(ISNUMBER($F24),EL$2&gt;=$F24,EL$2&lt;=IF(ISNUMBER($G24),$G24,$F24+$E24-$D24)),2,IF(AND(EL$2&gt;=$D24,EL$2&lt;=$E24),1,"")))</f>
        <v/>
      </c>
      <c r="EM24" s="38">
        <f>IF(OR(EM$2="",$D24=""),"",IF(AND(ISNUMBER($F24),EM$2&gt;=$F24,EM$2&lt;=IF(ISNUMBER($G24),$G24,$F24+$E24-$D24)),2,IF(AND(EM$2&gt;=$D24,EM$2&lt;=$E24),1,"")))</f>
        <v/>
      </c>
      <c r="EN24" s="38">
        <f>IF(OR(EN$2="",$D24=""),"",IF(AND(ISNUMBER($F24),EN$2&gt;=$F24,EN$2&lt;=IF(ISNUMBER($G24),$G24,$F24+$E24-$D24)),2,IF(AND(EN$2&gt;=$D24,EN$2&lt;=$E24),1,"")))</f>
        <v/>
      </c>
      <c r="EO24" s="38">
        <f>IF(OR(EO$2="",$D24=""),"",IF(AND(ISNUMBER($F24),EO$2&gt;=$F24,EO$2&lt;=IF(ISNUMBER($G24),$G24,$F24+$E24-$D24)),2,IF(AND(EO$2&gt;=$D24,EO$2&lt;=$E24),1,"")))</f>
        <v/>
      </c>
      <c r="EP24" s="38">
        <f>IF(OR(EP$2="",$D24=""),"",IF(AND(ISNUMBER($F24),EP$2&gt;=$F24,EP$2&lt;=IF(ISNUMBER($G24),$G24,$F24+$E24-$D24)),2,IF(AND(EP$2&gt;=$D24,EP$2&lt;=$E24),1,"")))</f>
        <v/>
      </c>
      <c r="EQ24" s="38">
        <f>IF(OR(EQ$2="",$D24=""),"",IF(AND(ISNUMBER($F24),EQ$2&gt;=$F24,EQ$2&lt;=IF(ISNUMBER($G24),$G24,$F24+$E24-$D24)),2,IF(AND(EQ$2&gt;=$D24,EQ$2&lt;=$E24),1,"")))</f>
        <v/>
      </c>
      <c r="ER24" s="38">
        <f>IF(OR(ER$2="",$D24=""),"",IF(AND(ISNUMBER($F24),ER$2&gt;=$F24,ER$2&lt;=IF(ISNUMBER($G24),$G24,$F24+$E24-$D24)),2,IF(AND(ER$2&gt;=$D24,ER$2&lt;=$E24),1,"")))</f>
        <v/>
      </c>
      <c r="ES24" s="38">
        <f>IF(OR(ES$2="",$D24=""),"",IF(AND(ISNUMBER($F24),ES$2&gt;=$F24,ES$2&lt;=IF(ISNUMBER($G24),$G24,$F24+$E24-$D24)),2,IF(AND(ES$2&gt;=$D24,ES$2&lt;=$E24),1,"")))</f>
        <v/>
      </c>
      <c r="ET24" s="38">
        <f>IF(OR(ET$2="",$D24=""),"",IF(AND(ISNUMBER($F24),ET$2&gt;=$F24,ET$2&lt;=IF(ISNUMBER($G24),$G24,$F24+$E24-$D24)),2,IF(AND(ET$2&gt;=$D24,ET$2&lt;=$E24),1,"")))</f>
        <v/>
      </c>
      <c r="EU24" s="38">
        <f>IF(OR(EU$2="",$D24=""),"",IF(AND(ISNUMBER($F24),EU$2&gt;=$F24,EU$2&lt;=IF(ISNUMBER($G24),$G24,$F24+$E24-$D24)),2,IF(AND(EU$2&gt;=$D24,EU$2&lt;=$E24),1,"")))</f>
        <v/>
      </c>
      <c r="EV24" s="38">
        <f>IF(OR(EV$2="",$D24=""),"",IF(AND(ISNUMBER($F24),EV$2&gt;=$F24,EV$2&lt;=IF(ISNUMBER($G24),$G24,$F24+$E24-$D24)),2,IF(AND(EV$2&gt;=$D24,EV$2&lt;=$E24),1,"")))</f>
        <v/>
      </c>
      <c r="EW24" s="38">
        <f>IF(OR(EW$2="",$D24=""),"",IF(AND(ISNUMBER($F24),EW$2&gt;=$F24,EW$2&lt;=IF(ISNUMBER($G24),$G24,$F24+$E24-$D24)),2,IF(AND(EW$2&gt;=$D24,EW$2&lt;=$E24),1,"")))</f>
        <v/>
      </c>
      <c r="EX24" s="38">
        <f>IF(OR(EX$2="",$D24=""),"",IF(AND(ISNUMBER($F24),EX$2&gt;=$F24,EX$2&lt;=IF(ISNUMBER($G24),$G24,$F24+$E24-$D24)),2,IF(AND(EX$2&gt;=$D24,EX$2&lt;=$E24),1,"")))</f>
        <v/>
      </c>
      <c r="EY24" s="38">
        <f>IF(OR(EY$2="",$D24=""),"",IF(AND(ISNUMBER($F24),EY$2&gt;=$F24,EY$2&lt;=IF(ISNUMBER($G24),$G24,$F24+$E24-$D24)),2,IF(AND(EY$2&gt;=$D24,EY$2&lt;=$E24),1,"")))</f>
        <v/>
      </c>
      <c r="EZ24" s="38">
        <f>IF(OR(EZ$2="",$D24=""),"",IF(AND(ISNUMBER($F24),EZ$2&gt;=$F24,EZ$2&lt;=IF(ISNUMBER($G24),$G24,$F24+$E24-$D24)),2,IF(AND(EZ$2&gt;=$D24,EZ$2&lt;=$E24),1,"")))</f>
        <v/>
      </c>
      <c r="FA24" s="38">
        <f>IF(OR(FA$2="",$D24=""),"",IF(AND(ISNUMBER($F24),FA$2&gt;=$F24,FA$2&lt;=IF(ISNUMBER($G24),$G24,$F24+$E24-$D24)),2,IF(AND(FA$2&gt;=$D24,FA$2&lt;=$E24),1,"")))</f>
        <v/>
      </c>
      <c r="FB24" s="38">
        <f>IF(OR(FB$2="",$D24=""),"",IF(AND(ISNUMBER($F24),FB$2&gt;=$F24,FB$2&lt;=IF(ISNUMBER($G24),$G24,$F24+$E24-$D24)),2,IF(AND(FB$2&gt;=$D24,FB$2&lt;=$E24),1,"")))</f>
        <v/>
      </c>
      <c r="FC24" s="38">
        <f>IF(OR(FC$2="",$D24=""),"",IF(AND(ISNUMBER($F24),FC$2&gt;=$F24,FC$2&lt;=IF(ISNUMBER($G24),$G24,$F24+$E24-$D24)),2,IF(AND(FC$2&gt;=$D24,FC$2&lt;=$E24),1,"")))</f>
        <v/>
      </c>
      <c r="FD24" s="38">
        <f>IF(OR(FD$2="",$D24=""),"",IF(AND(ISNUMBER($F24),FD$2&gt;=$F24,FD$2&lt;=IF(ISNUMBER($G24),$G24,$F24+$E24-$D24)),2,IF(AND(FD$2&gt;=$D24,FD$2&lt;=$E24),1,"")))</f>
        <v/>
      </c>
      <c r="FE24" s="38">
        <f>IF(OR(FE$2="",$D24=""),"",IF(AND(ISNUMBER($F24),FE$2&gt;=$F24,FE$2&lt;=IF(ISNUMBER($G24),$G24,$F24+$E24-$D24)),2,IF(AND(FE$2&gt;=$D24,FE$2&lt;=$E24),1,"")))</f>
        <v/>
      </c>
      <c r="FF24" s="38">
        <f>IF(OR(FF$2="",$D24=""),"",IF(AND(ISNUMBER($F24),FF$2&gt;=$F24,FF$2&lt;=IF(ISNUMBER($G24),$G24,$F24+$E24-$D24)),2,IF(AND(FF$2&gt;=$D24,FF$2&lt;=$E24),1,"")))</f>
        <v/>
      </c>
      <c r="FG24" s="38">
        <f>IF(OR(FG$2="",$D24=""),"",IF(AND(ISNUMBER($F24),FG$2&gt;=$F24,FG$2&lt;=IF(ISNUMBER($G24),$G24,$F24+$E24-$D24)),2,IF(AND(FG$2&gt;=$D24,FG$2&lt;=$E24),1,"")))</f>
        <v/>
      </c>
      <c r="FH24" s="38">
        <f>IF(OR(FH$2="",$D24=""),"",IF(AND(ISNUMBER($F24),FH$2&gt;=$F24,FH$2&lt;=IF(ISNUMBER($G24),$G24,$F24+$E24-$D24)),2,IF(AND(FH$2&gt;=$D24,FH$2&lt;=$E24),1,"")))</f>
        <v/>
      </c>
      <c r="FI24" s="38">
        <f>IF(OR(FI$2="",$D24=""),"",IF(AND(ISNUMBER($F24),FI$2&gt;=$F24,FI$2&lt;=IF(ISNUMBER($G24),$G24,$F24+$E24-$D24)),2,IF(AND(FI$2&gt;=$D24,FI$2&lt;=$E24),1,"")))</f>
        <v/>
      </c>
      <c r="FJ24" s="38">
        <f>IF(OR(FJ$2="",$D24=""),"",IF(AND(ISNUMBER($F24),FJ$2&gt;=$F24,FJ$2&lt;=IF(ISNUMBER($G24),$G24,$F24+$E24-$D24)),2,IF(AND(FJ$2&gt;=$D24,FJ$2&lt;=$E24),1,"")))</f>
        <v/>
      </c>
      <c r="FK24" s="38">
        <f>IF(OR(FK$2="",$D24=""),"",IF(AND(ISNUMBER($F24),FK$2&gt;=$F24,FK$2&lt;=IF(ISNUMBER($G24),$G24,$F24+$E24-$D24)),2,IF(AND(FK$2&gt;=$D24,FK$2&lt;=$E24),1,"")))</f>
        <v/>
      </c>
      <c r="FL24" s="38">
        <f>IF(OR(FL$2="",$D24=""),"",IF(AND(ISNUMBER($F24),FL$2&gt;=$F24,FL$2&lt;=IF(ISNUMBER($G24),$G24,$F24+$E24-$D24)),2,IF(AND(FL$2&gt;=$D24,FL$2&lt;=$E24),1,"")))</f>
        <v/>
      </c>
      <c r="FM24" s="38">
        <f>IF(OR(FM$2="",$D24=""),"",IF(AND(ISNUMBER($F24),FM$2&gt;=$F24,FM$2&lt;=IF(ISNUMBER($G24),$G24,$F24+$E24-$D24)),2,IF(AND(FM$2&gt;=$D24,FM$2&lt;=$E24),1,"")))</f>
        <v/>
      </c>
      <c r="FN24" s="38">
        <f>IF(OR(FN$2="",$D24=""),"",IF(AND(ISNUMBER($F24),FN$2&gt;=$F24,FN$2&lt;=IF(ISNUMBER($G24),$G24,$F24+$E24-$D24)),2,IF(AND(FN$2&gt;=$D24,FN$2&lt;=$E24),1,"")))</f>
        <v/>
      </c>
      <c r="FO24" s="38">
        <f>IF(OR(FO$2="",$D24=""),"",IF(AND(ISNUMBER($F24),FO$2&gt;=$F24,FO$2&lt;=IF(ISNUMBER($G24),$G24,$F24+$E24-$D24)),2,IF(AND(FO$2&gt;=$D24,FO$2&lt;=$E24),1,"")))</f>
        <v/>
      </c>
      <c r="FP24" s="38">
        <f>IF(OR(FP$2="",$D24=""),"",IF(AND(ISNUMBER($F24),FP$2&gt;=$F24,FP$2&lt;=IF(ISNUMBER($G24),$G24,$F24+$E24-$D24)),2,IF(AND(FP$2&gt;=$D24,FP$2&lt;=$E24),1,"")))</f>
        <v/>
      </c>
      <c r="FQ24" s="38">
        <f>IF(OR(FQ$2="",$D24=""),"",IF(AND(ISNUMBER($F24),FQ$2&gt;=$F24,FQ$2&lt;=IF(ISNUMBER($G24),$G24,$F24+$E24-$D24)),2,IF(AND(FQ$2&gt;=$D24,FQ$2&lt;=$E24),1,"")))</f>
        <v/>
      </c>
      <c r="FR24" s="38">
        <f>IF(OR(FR$2="",$D24=""),"",IF(AND(ISNUMBER($F24),FR$2&gt;=$F24,FR$2&lt;=IF(ISNUMBER($G24),$G24,$F24+$E24-$D24)),2,IF(AND(FR$2&gt;=$D24,FR$2&lt;=$E24),1,"")))</f>
        <v/>
      </c>
      <c r="FS24" s="38">
        <f>IF(OR(FS$2="",$D24=""),"",IF(AND(ISNUMBER($F24),FS$2&gt;=$F24,FS$2&lt;=IF(ISNUMBER($G24),$G24,$F24+$E24-$D24)),2,IF(AND(FS$2&gt;=$D24,FS$2&lt;=$E24),1,"")))</f>
        <v/>
      </c>
      <c r="FT24" s="38">
        <f>IF(OR(FT$2="",$D24=""),"",IF(AND(ISNUMBER($F24),FT$2&gt;=$F24,FT$2&lt;=IF(ISNUMBER($G24),$G24,$F24+$E24-$D24)),2,IF(AND(FT$2&gt;=$D24,FT$2&lt;=$E24),1,"")))</f>
        <v/>
      </c>
      <c r="FU24" s="38">
        <f>IF(OR(FU$2="",$D24=""),"",IF(AND(ISNUMBER($F24),FU$2&gt;=$F24,FU$2&lt;=IF(ISNUMBER($G24),$G24,$F24+$E24-$D24)),2,IF(AND(FU$2&gt;=$D24,FU$2&lt;=$E24),1,"")))</f>
        <v/>
      </c>
      <c r="FV24" s="38">
        <f>IF(OR(FV$2="",$D24=""),"",IF(AND(ISNUMBER($F24),FV$2&gt;=$F24,FV$2&lt;=IF(ISNUMBER($G24),$G24,$F24+$E24-$D24)),2,IF(AND(FV$2&gt;=$D24,FV$2&lt;=$E24),1,"")))</f>
        <v/>
      </c>
      <c r="FW24" s="38">
        <f>IF(OR(FW$2="",$D24=""),"",IF(AND(ISNUMBER($F24),FW$2&gt;=$F24,FW$2&lt;=IF(ISNUMBER($G24),$G24,$F24+$E24-$D24)),2,IF(AND(FW$2&gt;=$D24,FW$2&lt;=$E24),1,"")))</f>
        <v/>
      </c>
      <c r="FX24" s="38">
        <f>IF(OR(FX$2="",$D24=""),"",IF(AND(ISNUMBER($F24),FX$2&gt;=$F24,FX$2&lt;=IF(ISNUMBER($G24),$G24,$F24+$E24-$D24)),2,IF(AND(FX$2&gt;=$D24,FX$2&lt;=$E24),1,"")))</f>
        <v/>
      </c>
      <c r="FY24" s="38">
        <f>IF(OR(FY$2="",$D24=""),"",IF(AND(ISNUMBER($F24),FY$2&gt;=$F24,FY$2&lt;=IF(ISNUMBER($G24),$G24,$F24+$E24-$D24)),2,IF(AND(FY$2&gt;=$D24,FY$2&lt;=$E24),1,"")))</f>
        <v/>
      </c>
      <c r="FZ24" s="38">
        <f>IF(OR(FZ$2="",$D24=""),"",IF(AND(ISNUMBER($F24),FZ$2&gt;=$F24,FZ$2&lt;=IF(ISNUMBER($G24),$G24,$F24+$E24-$D24)),2,IF(AND(FZ$2&gt;=$D24,FZ$2&lt;=$E24),1,"")))</f>
        <v/>
      </c>
      <c r="GA24" s="38">
        <f>IF(OR(GA$2="",$D24=""),"",IF(AND(ISNUMBER($F24),GA$2&gt;=$F24,GA$2&lt;=IF(ISNUMBER($G24),$G24,$F24+$E24-$D24)),2,IF(AND(GA$2&gt;=$D24,GA$2&lt;=$E24),1,"")))</f>
        <v/>
      </c>
      <c r="GB24" s="38">
        <f>IF(OR(GB$2="",$D24=""),"",IF(AND(ISNUMBER($F24),GB$2&gt;=$F24,GB$2&lt;=IF(ISNUMBER($G24),$G24,$F24+$E24-$D24)),2,IF(AND(GB$2&gt;=$D24,GB$2&lt;=$E24),1,"")))</f>
        <v/>
      </c>
      <c r="GC24" s="38">
        <f>IF(OR(GC$2="",$D24=""),"",IF(AND(ISNUMBER($F24),GC$2&gt;=$F24,GC$2&lt;=IF(ISNUMBER($G24),$G24,$F24+$E24-$D24)),2,IF(AND(GC$2&gt;=$D24,GC$2&lt;=$E24),1,"")))</f>
        <v/>
      </c>
      <c r="GD24" s="38">
        <f>IF(OR(GD$2="",$D24=""),"",IF(AND(ISNUMBER($F24),GD$2&gt;=$F24,GD$2&lt;=IF(ISNUMBER($G24),$G24,$F24+$E24-$D24)),2,IF(AND(GD$2&gt;=$D24,GD$2&lt;=$E24),1,"")))</f>
        <v/>
      </c>
      <c r="GE24" s="38">
        <f>IF(OR(GE$2="",$D24=""),"",IF(AND(ISNUMBER($F24),GE$2&gt;=$F24,GE$2&lt;=IF(ISNUMBER($G24),$G24,$F24+$E24-$D24)),2,IF(AND(GE$2&gt;=$D24,GE$2&lt;=$E24),1,"")))</f>
        <v/>
      </c>
    </row>
    <row r="25">
      <c r="A25" s="36" t="inlineStr">
        <is>
          <t>Harvest</t>
        </is>
      </c>
      <c r="B25" s="12" t="inlineStr">
        <is>
          <t>ধান কাটা</t>
        </is>
      </c>
      <c r="C25" s="12" t="inlineStr">
        <is>
          <t>3F4D+MD</t>
        </is>
      </c>
      <c r="D25" s="7">
        <f>IF(Day_0="","",Day_0+cfg_6+cfg_9)</f>
        <v/>
      </c>
      <c r="E25" s="7">
        <f>IF(D25="","",D25)</f>
        <v/>
      </c>
      <c r="F25" s="37" t="n"/>
      <c r="G25" s="7" t="n"/>
      <c r="H25" s="6">
        <f>IF(D25="","no plan",IF(F25&lt;&gt;"",IF(F25-D25&gt;=2,"LATE","OK"),IF(TODAY()&gt;D25+2,"OVERDUE","upcoming")))</f>
        <v/>
      </c>
      <c r="I25" s="6">
        <f>IF(AND(D25&lt;&gt;"",F25&lt;&gt;""),F25-D25,"")</f>
        <v/>
      </c>
      <c r="J25" s="7">
        <f>IF(F25&lt;&gt;"",F25,D25)</f>
        <v/>
      </c>
      <c r="K25" s="7">
        <f>IF(G25&lt;&gt;"",G25,IF(AND(F25&lt;&gt;"",E25=D25),F25,E25))</f>
        <v/>
      </c>
      <c r="L25" s="6">
        <f>IF(AND(D25&lt;&gt;"",F25="",D25&gt;=TODAY()),D25+ROW()/1000,"")</f>
        <v/>
      </c>
      <c r="M25" s="38">
        <f>IF(OR(M$2="",$D25=""),"",IF(AND(ISNUMBER($F25),M$2&gt;=$F25,M$2&lt;=IF(ISNUMBER($G25),$G25,$F25+$E25-$D25)),2,IF(AND(M$2&gt;=$D25,M$2&lt;=$E25),1,"")))</f>
        <v/>
      </c>
      <c r="N25" s="38">
        <f>IF(OR(N$2="",$D25=""),"",IF(AND(ISNUMBER($F25),N$2&gt;=$F25,N$2&lt;=IF(ISNUMBER($G25),$G25,$F25+$E25-$D25)),2,IF(AND(N$2&gt;=$D25,N$2&lt;=$E25),1,"")))</f>
        <v/>
      </c>
      <c r="O25" s="38">
        <f>IF(OR(O$2="",$D25=""),"",IF(AND(ISNUMBER($F25),O$2&gt;=$F25,O$2&lt;=IF(ISNUMBER($G25),$G25,$F25+$E25-$D25)),2,IF(AND(O$2&gt;=$D25,O$2&lt;=$E25),1,"")))</f>
        <v/>
      </c>
      <c r="P25" s="38">
        <f>IF(OR(P$2="",$D25=""),"",IF(AND(ISNUMBER($F25),P$2&gt;=$F25,P$2&lt;=IF(ISNUMBER($G25),$G25,$F25+$E25-$D25)),2,IF(AND(P$2&gt;=$D25,P$2&lt;=$E25),1,"")))</f>
        <v/>
      </c>
      <c r="Q25" s="38">
        <f>IF(OR(Q$2="",$D25=""),"",IF(AND(ISNUMBER($F25),Q$2&gt;=$F25,Q$2&lt;=IF(ISNUMBER($G25),$G25,$F25+$E25-$D25)),2,IF(AND(Q$2&gt;=$D25,Q$2&lt;=$E25),1,"")))</f>
        <v/>
      </c>
      <c r="R25" s="38">
        <f>IF(OR(R$2="",$D25=""),"",IF(AND(ISNUMBER($F25),R$2&gt;=$F25,R$2&lt;=IF(ISNUMBER($G25),$G25,$F25+$E25-$D25)),2,IF(AND(R$2&gt;=$D25,R$2&lt;=$E25),1,"")))</f>
        <v/>
      </c>
      <c r="S25" s="38">
        <f>IF(OR(S$2="",$D25=""),"",IF(AND(ISNUMBER($F25),S$2&gt;=$F25,S$2&lt;=IF(ISNUMBER($G25),$G25,$F25+$E25-$D25)),2,IF(AND(S$2&gt;=$D25,S$2&lt;=$E25),1,"")))</f>
        <v/>
      </c>
      <c r="T25" s="38">
        <f>IF(OR(T$2="",$D25=""),"",IF(AND(ISNUMBER($F25),T$2&gt;=$F25,T$2&lt;=IF(ISNUMBER($G25),$G25,$F25+$E25-$D25)),2,IF(AND(T$2&gt;=$D25,T$2&lt;=$E25),1,"")))</f>
        <v/>
      </c>
      <c r="U25" s="38">
        <f>IF(OR(U$2="",$D25=""),"",IF(AND(ISNUMBER($F25),U$2&gt;=$F25,U$2&lt;=IF(ISNUMBER($G25),$G25,$F25+$E25-$D25)),2,IF(AND(U$2&gt;=$D25,U$2&lt;=$E25),1,"")))</f>
        <v/>
      </c>
      <c r="V25" s="38">
        <f>IF(OR(V$2="",$D25=""),"",IF(AND(ISNUMBER($F25),V$2&gt;=$F25,V$2&lt;=IF(ISNUMBER($G25),$G25,$F25+$E25-$D25)),2,IF(AND(V$2&gt;=$D25,V$2&lt;=$E25),1,"")))</f>
        <v/>
      </c>
      <c r="W25" s="38">
        <f>IF(OR(W$2="",$D25=""),"",IF(AND(ISNUMBER($F25),W$2&gt;=$F25,W$2&lt;=IF(ISNUMBER($G25),$G25,$F25+$E25-$D25)),2,IF(AND(W$2&gt;=$D25,W$2&lt;=$E25),1,"")))</f>
        <v/>
      </c>
      <c r="X25" s="38">
        <f>IF(OR(X$2="",$D25=""),"",IF(AND(ISNUMBER($F25),X$2&gt;=$F25,X$2&lt;=IF(ISNUMBER($G25),$G25,$F25+$E25-$D25)),2,IF(AND(X$2&gt;=$D25,X$2&lt;=$E25),1,"")))</f>
        <v/>
      </c>
      <c r="Y25" s="38">
        <f>IF(OR(Y$2="",$D25=""),"",IF(AND(ISNUMBER($F25),Y$2&gt;=$F25,Y$2&lt;=IF(ISNUMBER($G25),$G25,$F25+$E25-$D25)),2,IF(AND(Y$2&gt;=$D25,Y$2&lt;=$E25),1,"")))</f>
        <v/>
      </c>
      <c r="Z25" s="38">
        <f>IF(OR(Z$2="",$D25=""),"",IF(AND(ISNUMBER($F25),Z$2&gt;=$F25,Z$2&lt;=IF(ISNUMBER($G25),$G25,$F25+$E25-$D25)),2,IF(AND(Z$2&gt;=$D25,Z$2&lt;=$E25),1,"")))</f>
        <v/>
      </c>
      <c r="AA25" s="38">
        <f>IF(OR(AA$2="",$D25=""),"",IF(AND(ISNUMBER($F25),AA$2&gt;=$F25,AA$2&lt;=IF(ISNUMBER($G25),$G25,$F25+$E25-$D25)),2,IF(AND(AA$2&gt;=$D25,AA$2&lt;=$E25),1,"")))</f>
        <v/>
      </c>
      <c r="AB25" s="38">
        <f>IF(OR(AB$2="",$D25=""),"",IF(AND(ISNUMBER($F25),AB$2&gt;=$F25,AB$2&lt;=IF(ISNUMBER($G25),$G25,$F25+$E25-$D25)),2,IF(AND(AB$2&gt;=$D25,AB$2&lt;=$E25),1,"")))</f>
        <v/>
      </c>
      <c r="AC25" s="38">
        <f>IF(OR(AC$2="",$D25=""),"",IF(AND(ISNUMBER($F25),AC$2&gt;=$F25,AC$2&lt;=IF(ISNUMBER($G25),$G25,$F25+$E25-$D25)),2,IF(AND(AC$2&gt;=$D25,AC$2&lt;=$E25),1,"")))</f>
        <v/>
      </c>
      <c r="AD25" s="38">
        <f>IF(OR(AD$2="",$D25=""),"",IF(AND(ISNUMBER($F25),AD$2&gt;=$F25,AD$2&lt;=IF(ISNUMBER($G25),$G25,$F25+$E25-$D25)),2,IF(AND(AD$2&gt;=$D25,AD$2&lt;=$E25),1,"")))</f>
        <v/>
      </c>
      <c r="AE25" s="38">
        <f>IF(OR(AE$2="",$D25=""),"",IF(AND(ISNUMBER($F25),AE$2&gt;=$F25,AE$2&lt;=IF(ISNUMBER($G25),$G25,$F25+$E25-$D25)),2,IF(AND(AE$2&gt;=$D25,AE$2&lt;=$E25),1,"")))</f>
        <v/>
      </c>
      <c r="AF25" s="38">
        <f>IF(OR(AF$2="",$D25=""),"",IF(AND(ISNUMBER($F25),AF$2&gt;=$F25,AF$2&lt;=IF(ISNUMBER($G25),$G25,$F25+$E25-$D25)),2,IF(AND(AF$2&gt;=$D25,AF$2&lt;=$E25),1,"")))</f>
        <v/>
      </c>
      <c r="AG25" s="38">
        <f>IF(OR(AG$2="",$D25=""),"",IF(AND(ISNUMBER($F25),AG$2&gt;=$F25,AG$2&lt;=IF(ISNUMBER($G25),$G25,$F25+$E25-$D25)),2,IF(AND(AG$2&gt;=$D25,AG$2&lt;=$E25),1,"")))</f>
        <v/>
      </c>
      <c r="AH25" s="38">
        <f>IF(OR(AH$2="",$D25=""),"",IF(AND(ISNUMBER($F25),AH$2&gt;=$F25,AH$2&lt;=IF(ISNUMBER($G25),$G25,$F25+$E25-$D25)),2,IF(AND(AH$2&gt;=$D25,AH$2&lt;=$E25),1,"")))</f>
        <v/>
      </c>
      <c r="AI25" s="38">
        <f>IF(OR(AI$2="",$D25=""),"",IF(AND(ISNUMBER($F25),AI$2&gt;=$F25,AI$2&lt;=IF(ISNUMBER($G25),$G25,$F25+$E25-$D25)),2,IF(AND(AI$2&gt;=$D25,AI$2&lt;=$E25),1,"")))</f>
        <v/>
      </c>
      <c r="AJ25" s="38">
        <f>IF(OR(AJ$2="",$D25=""),"",IF(AND(ISNUMBER($F25),AJ$2&gt;=$F25,AJ$2&lt;=IF(ISNUMBER($G25),$G25,$F25+$E25-$D25)),2,IF(AND(AJ$2&gt;=$D25,AJ$2&lt;=$E25),1,"")))</f>
        <v/>
      </c>
      <c r="AK25" s="38">
        <f>IF(OR(AK$2="",$D25=""),"",IF(AND(ISNUMBER($F25),AK$2&gt;=$F25,AK$2&lt;=IF(ISNUMBER($G25),$G25,$F25+$E25-$D25)),2,IF(AND(AK$2&gt;=$D25,AK$2&lt;=$E25),1,"")))</f>
        <v/>
      </c>
      <c r="AL25" s="38">
        <f>IF(OR(AL$2="",$D25=""),"",IF(AND(ISNUMBER($F25),AL$2&gt;=$F25,AL$2&lt;=IF(ISNUMBER($G25),$G25,$F25+$E25-$D25)),2,IF(AND(AL$2&gt;=$D25,AL$2&lt;=$E25),1,"")))</f>
        <v/>
      </c>
      <c r="AM25" s="38">
        <f>IF(OR(AM$2="",$D25=""),"",IF(AND(ISNUMBER($F25),AM$2&gt;=$F25,AM$2&lt;=IF(ISNUMBER($G25),$G25,$F25+$E25-$D25)),2,IF(AND(AM$2&gt;=$D25,AM$2&lt;=$E25),1,"")))</f>
        <v/>
      </c>
      <c r="AN25" s="38">
        <f>IF(OR(AN$2="",$D25=""),"",IF(AND(ISNUMBER($F25),AN$2&gt;=$F25,AN$2&lt;=IF(ISNUMBER($G25),$G25,$F25+$E25-$D25)),2,IF(AND(AN$2&gt;=$D25,AN$2&lt;=$E25),1,"")))</f>
        <v/>
      </c>
      <c r="AO25" s="38">
        <f>IF(OR(AO$2="",$D25=""),"",IF(AND(ISNUMBER($F25),AO$2&gt;=$F25,AO$2&lt;=IF(ISNUMBER($G25),$G25,$F25+$E25-$D25)),2,IF(AND(AO$2&gt;=$D25,AO$2&lt;=$E25),1,"")))</f>
        <v/>
      </c>
      <c r="AP25" s="38">
        <f>IF(OR(AP$2="",$D25=""),"",IF(AND(ISNUMBER($F25),AP$2&gt;=$F25,AP$2&lt;=IF(ISNUMBER($G25),$G25,$F25+$E25-$D25)),2,IF(AND(AP$2&gt;=$D25,AP$2&lt;=$E25),1,"")))</f>
        <v/>
      </c>
      <c r="AQ25" s="38">
        <f>IF(OR(AQ$2="",$D25=""),"",IF(AND(ISNUMBER($F25),AQ$2&gt;=$F25,AQ$2&lt;=IF(ISNUMBER($G25),$G25,$F25+$E25-$D25)),2,IF(AND(AQ$2&gt;=$D25,AQ$2&lt;=$E25),1,"")))</f>
        <v/>
      </c>
      <c r="AR25" s="38">
        <f>IF(OR(AR$2="",$D25=""),"",IF(AND(ISNUMBER($F25),AR$2&gt;=$F25,AR$2&lt;=IF(ISNUMBER($G25),$G25,$F25+$E25-$D25)),2,IF(AND(AR$2&gt;=$D25,AR$2&lt;=$E25),1,"")))</f>
        <v/>
      </c>
      <c r="AS25" s="38">
        <f>IF(OR(AS$2="",$D25=""),"",IF(AND(ISNUMBER($F25),AS$2&gt;=$F25,AS$2&lt;=IF(ISNUMBER($G25),$G25,$F25+$E25-$D25)),2,IF(AND(AS$2&gt;=$D25,AS$2&lt;=$E25),1,"")))</f>
        <v/>
      </c>
      <c r="AT25" s="38">
        <f>IF(OR(AT$2="",$D25=""),"",IF(AND(ISNUMBER($F25),AT$2&gt;=$F25,AT$2&lt;=IF(ISNUMBER($G25),$G25,$F25+$E25-$D25)),2,IF(AND(AT$2&gt;=$D25,AT$2&lt;=$E25),1,"")))</f>
        <v/>
      </c>
      <c r="AU25" s="38">
        <f>IF(OR(AU$2="",$D25=""),"",IF(AND(ISNUMBER($F25),AU$2&gt;=$F25,AU$2&lt;=IF(ISNUMBER($G25),$G25,$F25+$E25-$D25)),2,IF(AND(AU$2&gt;=$D25,AU$2&lt;=$E25),1,"")))</f>
        <v/>
      </c>
      <c r="AV25" s="38">
        <f>IF(OR(AV$2="",$D25=""),"",IF(AND(ISNUMBER($F25),AV$2&gt;=$F25,AV$2&lt;=IF(ISNUMBER($G25),$G25,$F25+$E25-$D25)),2,IF(AND(AV$2&gt;=$D25,AV$2&lt;=$E25),1,"")))</f>
        <v/>
      </c>
      <c r="AW25" s="38">
        <f>IF(OR(AW$2="",$D25=""),"",IF(AND(ISNUMBER($F25),AW$2&gt;=$F25,AW$2&lt;=IF(ISNUMBER($G25),$G25,$F25+$E25-$D25)),2,IF(AND(AW$2&gt;=$D25,AW$2&lt;=$E25),1,"")))</f>
        <v/>
      </c>
      <c r="AX25" s="38">
        <f>IF(OR(AX$2="",$D25=""),"",IF(AND(ISNUMBER($F25),AX$2&gt;=$F25,AX$2&lt;=IF(ISNUMBER($G25),$G25,$F25+$E25-$D25)),2,IF(AND(AX$2&gt;=$D25,AX$2&lt;=$E25),1,"")))</f>
        <v/>
      </c>
      <c r="AY25" s="38">
        <f>IF(OR(AY$2="",$D25=""),"",IF(AND(ISNUMBER($F25),AY$2&gt;=$F25,AY$2&lt;=IF(ISNUMBER($G25),$G25,$F25+$E25-$D25)),2,IF(AND(AY$2&gt;=$D25,AY$2&lt;=$E25),1,"")))</f>
        <v/>
      </c>
      <c r="AZ25" s="38">
        <f>IF(OR(AZ$2="",$D25=""),"",IF(AND(ISNUMBER($F25),AZ$2&gt;=$F25,AZ$2&lt;=IF(ISNUMBER($G25),$G25,$F25+$E25-$D25)),2,IF(AND(AZ$2&gt;=$D25,AZ$2&lt;=$E25),1,"")))</f>
        <v/>
      </c>
      <c r="BA25" s="38">
        <f>IF(OR(BA$2="",$D25=""),"",IF(AND(ISNUMBER($F25),BA$2&gt;=$F25,BA$2&lt;=IF(ISNUMBER($G25),$G25,$F25+$E25-$D25)),2,IF(AND(BA$2&gt;=$D25,BA$2&lt;=$E25),1,"")))</f>
        <v/>
      </c>
      <c r="BB25" s="38">
        <f>IF(OR(BB$2="",$D25=""),"",IF(AND(ISNUMBER($F25),BB$2&gt;=$F25,BB$2&lt;=IF(ISNUMBER($G25),$G25,$F25+$E25-$D25)),2,IF(AND(BB$2&gt;=$D25,BB$2&lt;=$E25),1,"")))</f>
        <v/>
      </c>
      <c r="BC25" s="38">
        <f>IF(OR(BC$2="",$D25=""),"",IF(AND(ISNUMBER($F25),BC$2&gt;=$F25,BC$2&lt;=IF(ISNUMBER($G25),$G25,$F25+$E25-$D25)),2,IF(AND(BC$2&gt;=$D25,BC$2&lt;=$E25),1,"")))</f>
        <v/>
      </c>
      <c r="BD25" s="38">
        <f>IF(OR(BD$2="",$D25=""),"",IF(AND(ISNUMBER($F25),BD$2&gt;=$F25,BD$2&lt;=IF(ISNUMBER($G25),$G25,$F25+$E25-$D25)),2,IF(AND(BD$2&gt;=$D25,BD$2&lt;=$E25),1,"")))</f>
        <v/>
      </c>
      <c r="BE25" s="38">
        <f>IF(OR(BE$2="",$D25=""),"",IF(AND(ISNUMBER($F25),BE$2&gt;=$F25,BE$2&lt;=IF(ISNUMBER($G25),$G25,$F25+$E25-$D25)),2,IF(AND(BE$2&gt;=$D25,BE$2&lt;=$E25),1,"")))</f>
        <v/>
      </c>
      <c r="BF25" s="38">
        <f>IF(OR(BF$2="",$D25=""),"",IF(AND(ISNUMBER($F25),BF$2&gt;=$F25,BF$2&lt;=IF(ISNUMBER($G25),$G25,$F25+$E25-$D25)),2,IF(AND(BF$2&gt;=$D25,BF$2&lt;=$E25),1,"")))</f>
        <v/>
      </c>
      <c r="BG25" s="38">
        <f>IF(OR(BG$2="",$D25=""),"",IF(AND(ISNUMBER($F25),BG$2&gt;=$F25,BG$2&lt;=IF(ISNUMBER($G25),$G25,$F25+$E25-$D25)),2,IF(AND(BG$2&gt;=$D25,BG$2&lt;=$E25),1,"")))</f>
        <v/>
      </c>
      <c r="BH25" s="38">
        <f>IF(OR(BH$2="",$D25=""),"",IF(AND(ISNUMBER($F25),BH$2&gt;=$F25,BH$2&lt;=IF(ISNUMBER($G25),$G25,$F25+$E25-$D25)),2,IF(AND(BH$2&gt;=$D25,BH$2&lt;=$E25),1,"")))</f>
        <v/>
      </c>
      <c r="BI25" s="38">
        <f>IF(OR(BI$2="",$D25=""),"",IF(AND(ISNUMBER($F25),BI$2&gt;=$F25,BI$2&lt;=IF(ISNUMBER($G25),$G25,$F25+$E25-$D25)),2,IF(AND(BI$2&gt;=$D25,BI$2&lt;=$E25),1,"")))</f>
        <v/>
      </c>
      <c r="BJ25" s="38">
        <f>IF(OR(BJ$2="",$D25=""),"",IF(AND(ISNUMBER($F25),BJ$2&gt;=$F25,BJ$2&lt;=IF(ISNUMBER($G25),$G25,$F25+$E25-$D25)),2,IF(AND(BJ$2&gt;=$D25,BJ$2&lt;=$E25),1,"")))</f>
        <v/>
      </c>
      <c r="BK25" s="38">
        <f>IF(OR(BK$2="",$D25=""),"",IF(AND(ISNUMBER($F25),BK$2&gt;=$F25,BK$2&lt;=IF(ISNUMBER($G25),$G25,$F25+$E25-$D25)),2,IF(AND(BK$2&gt;=$D25,BK$2&lt;=$E25),1,"")))</f>
        <v/>
      </c>
      <c r="BL25" s="38">
        <f>IF(OR(BL$2="",$D25=""),"",IF(AND(ISNUMBER($F25),BL$2&gt;=$F25,BL$2&lt;=IF(ISNUMBER($G25),$G25,$F25+$E25-$D25)),2,IF(AND(BL$2&gt;=$D25,BL$2&lt;=$E25),1,"")))</f>
        <v/>
      </c>
      <c r="BM25" s="38">
        <f>IF(OR(BM$2="",$D25=""),"",IF(AND(ISNUMBER($F25),BM$2&gt;=$F25,BM$2&lt;=IF(ISNUMBER($G25),$G25,$F25+$E25-$D25)),2,IF(AND(BM$2&gt;=$D25,BM$2&lt;=$E25),1,"")))</f>
        <v/>
      </c>
      <c r="BN25" s="38">
        <f>IF(OR(BN$2="",$D25=""),"",IF(AND(ISNUMBER($F25),BN$2&gt;=$F25,BN$2&lt;=IF(ISNUMBER($G25),$G25,$F25+$E25-$D25)),2,IF(AND(BN$2&gt;=$D25,BN$2&lt;=$E25),1,"")))</f>
        <v/>
      </c>
      <c r="BO25" s="38">
        <f>IF(OR(BO$2="",$D25=""),"",IF(AND(ISNUMBER($F25),BO$2&gt;=$F25,BO$2&lt;=IF(ISNUMBER($G25),$G25,$F25+$E25-$D25)),2,IF(AND(BO$2&gt;=$D25,BO$2&lt;=$E25),1,"")))</f>
        <v/>
      </c>
      <c r="BP25" s="38">
        <f>IF(OR(BP$2="",$D25=""),"",IF(AND(ISNUMBER($F25),BP$2&gt;=$F25,BP$2&lt;=IF(ISNUMBER($G25),$G25,$F25+$E25-$D25)),2,IF(AND(BP$2&gt;=$D25,BP$2&lt;=$E25),1,"")))</f>
        <v/>
      </c>
      <c r="BQ25" s="38">
        <f>IF(OR(BQ$2="",$D25=""),"",IF(AND(ISNUMBER($F25),BQ$2&gt;=$F25,BQ$2&lt;=IF(ISNUMBER($G25),$G25,$F25+$E25-$D25)),2,IF(AND(BQ$2&gt;=$D25,BQ$2&lt;=$E25),1,"")))</f>
        <v/>
      </c>
      <c r="BR25" s="38">
        <f>IF(OR(BR$2="",$D25=""),"",IF(AND(ISNUMBER($F25),BR$2&gt;=$F25,BR$2&lt;=IF(ISNUMBER($G25),$G25,$F25+$E25-$D25)),2,IF(AND(BR$2&gt;=$D25,BR$2&lt;=$E25),1,"")))</f>
        <v/>
      </c>
      <c r="BS25" s="38">
        <f>IF(OR(BS$2="",$D25=""),"",IF(AND(ISNUMBER($F25),BS$2&gt;=$F25,BS$2&lt;=IF(ISNUMBER($G25),$G25,$F25+$E25-$D25)),2,IF(AND(BS$2&gt;=$D25,BS$2&lt;=$E25),1,"")))</f>
        <v/>
      </c>
      <c r="BT25" s="38">
        <f>IF(OR(BT$2="",$D25=""),"",IF(AND(ISNUMBER($F25),BT$2&gt;=$F25,BT$2&lt;=IF(ISNUMBER($G25),$G25,$F25+$E25-$D25)),2,IF(AND(BT$2&gt;=$D25,BT$2&lt;=$E25),1,"")))</f>
        <v/>
      </c>
      <c r="BU25" s="38">
        <f>IF(OR(BU$2="",$D25=""),"",IF(AND(ISNUMBER($F25),BU$2&gt;=$F25,BU$2&lt;=IF(ISNUMBER($G25),$G25,$F25+$E25-$D25)),2,IF(AND(BU$2&gt;=$D25,BU$2&lt;=$E25),1,"")))</f>
        <v/>
      </c>
      <c r="BV25" s="38">
        <f>IF(OR(BV$2="",$D25=""),"",IF(AND(ISNUMBER($F25),BV$2&gt;=$F25,BV$2&lt;=IF(ISNUMBER($G25),$G25,$F25+$E25-$D25)),2,IF(AND(BV$2&gt;=$D25,BV$2&lt;=$E25),1,"")))</f>
        <v/>
      </c>
      <c r="BW25" s="38">
        <f>IF(OR(BW$2="",$D25=""),"",IF(AND(ISNUMBER($F25),BW$2&gt;=$F25,BW$2&lt;=IF(ISNUMBER($G25),$G25,$F25+$E25-$D25)),2,IF(AND(BW$2&gt;=$D25,BW$2&lt;=$E25),1,"")))</f>
        <v/>
      </c>
      <c r="BX25" s="38">
        <f>IF(OR(BX$2="",$D25=""),"",IF(AND(ISNUMBER($F25),BX$2&gt;=$F25,BX$2&lt;=IF(ISNUMBER($G25),$G25,$F25+$E25-$D25)),2,IF(AND(BX$2&gt;=$D25,BX$2&lt;=$E25),1,"")))</f>
        <v/>
      </c>
      <c r="BY25" s="38">
        <f>IF(OR(BY$2="",$D25=""),"",IF(AND(ISNUMBER($F25),BY$2&gt;=$F25,BY$2&lt;=IF(ISNUMBER($G25),$G25,$F25+$E25-$D25)),2,IF(AND(BY$2&gt;=$D25,BY$2&lt;=$E25),1,"")))</f>
        <v/>
      </c>
      <c r="BZ25" s="38">
        <f>IF(OR(BZ$2="",$D25=""),"",IF(AND(ISNUMBER($F25),BZ$2&gt;=$F25,BZ$2&lt;=IF(ISNUMBER($G25),$G25,$F25+$E25-$D25)),2,IF(AND(BZ$2&gt;=$D25,BZ$2&lt;=$E25),1,"")))</f>
        <v/>
      </c>
      <c r="CA25" s="38">
        <f>IF(OR(CA$2="",$D25=""),"",IF(AND(ISNUMBER($F25),CA$2&gt;=$F25,CA$2&lt;=IF(ISNUMBER($G25),$G25,$F25+$E25-$D25)),2,IF(AND(CA$2&gt;=$D25,CA$2&lt;=$E25),1,"")))</f>
        <v/>
      </c>
      <c r="CB25" s="38">
        <f>IF(OR(CB$2="",$D25=""),"",IF(AND(ISNUMBER($F25),CB$2&gt;=$F25,CB$2&lt;=IF(ISNUMBER($G25),$G25,$F25+$E25-$D25)),2,IF(AND(CB$2&gt;=$D25,CB$2&lt;=$E25),1,"")))</f>
        <v/>
      </c>
      <c r="CC25" s="38">
        <f>IF(OR(CC$2="",$D25=""),"",IF(AND(ISNUMBER($F25),CC$2&gt;=$F25,CC$2&lt;=IF(ISNUMBER($G25),$G25,$F25+$E25-$D25)),2,IF(AND(CC$2&gt;=$D25,CC$2&lt;=$E25),1,"")))</f>
        <v/>
      </c>
      <c r="CD25" s="38">
        <f>IF(OR(CD$2="",$D25=""),"",IF(AND(ISNUMBER($F25),CD$2&gt;=$F25,CD$2&lt;=IF(ISNUMBER($G25),$G25,$F25+$E25-$D25)),2,IF(AND(CD$2&gt;=$D25,CD$2&lt;=$E25),1,"")))</f>
        <v/>
      </c>
      <c r="CE25" s="38">
        <f>IF(OR(CE$2="",$D25=""),"",IF(AND(ISNUMBER($F25),CE$2&gt;=$F25,CE$2&lt;=IF(ISNUMBER($G25),$G25,$F25+$E25-$D25)),2,IF(AND(CE$2&gt;=$D25,CE$2&lt;=$E25),1,"")))</f>
        <v/>
      </c>
      <c r="CF25" s="38">
        <f>IF(OR(CF$2="",$D25=""),"",IF(AND(ISNUMBER($F25),CF$2&gt;=$F25,CF$2&lt;=IF(ISNUMBER($G25),$G25,$F25+$E25-$D25)),2,IF(AND(CF$2&gt;=$D25,CF$2&lt;=$E25),1,"")))</f>
        <v/>
      </c>
      <c r="CG25" s="38">
        <f>IF(OR(CG$2="",$D25=""),"",IF(AND(ISNUMBER($F25),CG$2&gt;=$F25,CG$2&lt;=IF(ISNUMBER($G25),$G25,$F25+$E25-$D25)),2,IF(AND(CG$2&gt;=$D25,CG$2&lt;=$E25),1,"")))</f>
        <v/>
      </c>
      <c r="CH25" s="38">
        <f>IF(OR(CH$2="",$D25=""),"",IF(AND(ISNUMBER($F25),CH$2&gt;=$F25,CH$2&lt;=IF(ISNUMBER($G25),$G25,$F25+$E25-$D25)),2,IF(AND(CH$2&gt;=$D25,CH$2&lt;=$E25),1,"")))</f>
        <v/>
      </c>
      <c r="CI25" s="38">
        <f>IF(OR(CI$2="",$D25=""),"",IF(AND(ISNUMBER($F25),CI$2&gt;=$F25,CI$2&lt;=IF(ISNUMBER($G25),$G25,$F25+$E25-$D25)),2,IF(AND(CI$2&gt;=$D25,CI$2&lt;=$E25),1,"")))</f>
        <v/>
      </c>
      <c r="CJ25" s="38">
        <f>IF(OR(CJ$2="",$D25=""),"",IF(AND(ISNUMBER($F25),CJ$2&gt;=$F25,CJ$2&lt;=IF(ISNUMBER($G25),$G25,$F25+$E25-$D25)),2,IF(AND(CJ$2&gt;=$D25,CJ$2&lt;=$E25),1,"")))</f>
        <v/>
      </c>
      <c r="CK25" s="38">
        <f>IF(OR(CK$2="",$D25=""),"",IF(AND(ISNUMBER($F25),CK$2&gt;=$F25,CK$2&lt;=IF(ISNUMBER($G25),$G25,$F25+$E25-$D25)),2,IF(AND(CK$2&gt;=$D25,CK$2&lt;=$E25),1,"")))</f>
        <v/>
      </c>
      <c r="CL25" s="38">
        <f>IF(OR(CL$2="",$D25=""),"",IF(AND(ISNUMBER($F25),CL$2&gt;=$F25,CL$2&lt;=IF(ISNUMBER($G25),$G25,$F25+$E25-$D25)),2,IF(AND(CL$2&gt;=$D25,CL$2&lt;=$E25),1,"")))</f>
        <v/>
      </c>
      <c r="CM25" s="38">
        <f>IF(OR(CM$2="",$D25=""),"",IF(AND(ISNUMBER($F25),CM$2&gt;=$F25,CM$2&lt;=IF(ISNUMBER($G25),$G25,$F25+$E25-$D25)),2,IF(AND(CM$2&gt;=$D25,CM$2&lt;=$E25),1,"")))</f>
        <v/>
      </c>
      <c r="CN25" s="38">
        <f>IF(OR(CN$2="",$D25=""),"",IF(AND(ISNUMBER($F25),CN$2&gt;=$F25,CN$2&lt;=IF(ISNUMBER($G25),$G25,$F25+$E25-$D25)),2,IF(AND(CN$2&gt;=$D25,CN$2&lt;=$E25),1,"")))</f>
        <v/>
      </c>
      <c r="CO25" s="38">
        <f>IF(OR(CO$2="",$D25=""),"",IF(AND(ISNUMBER($F25),CO$2&gt;=$F25,CO$2&lt;=IF(ISNUMBER($G25),$G25,$F25+$E25-$D25)),2,IF(AND(CO$2&gt;=$D25,CO$2&lt;=$E25),1,"")))</f>
        <v/>
      </c>
      <c r="CP25" s="38">
        <f>IF(OR(CP$2="",$D25=""),"",IF(AND(ISNUMBER($F25),CP$2&gt;=$F25,CP$2&lt;=IF(ISNUMBER($G25),$G25,$F25+$E25-$D25)),2,IF(AND(CP$2&gt;=$D25,CP$2&lt;=$E25),1,"")))</f>
        <v/>
      </c>
      <c r="CQ25" s="38">
        <f>IF(OR(CQ$2="",$D25=""),"",IF(AND(ISNUMBER($F25),CQ$2&gt;=$F25,CQ$2&lt;=IF(ISNUMBER($G25),$G25,$F25+$E25-$D25)),2,IF(AND(CQ$2&gt;=$D25,CQ$2&lt;=$E25),1,"")))</f>
        <v/>
      </c>
      <c r="CR25" s="38">
        <f>IF(OR(CR$2="",$D25=""),"",IF(AND(ISNUMBER($F25),CR$2&gt;=$F25,CR$2&lt;=IF(ISNUMBER($G25),$G25,$F25+$E25-$D25)),2,IF(AND(CR$2&gt;=$D25,CR$2&lt;=$E25),1,"")))</f>
        <v/>
      </c>
      <c r="CS25" s="38">
        <f>IF(OR(CS$2="",$D25=""),"",IF(AND(ISNUMBER($F25),CS$2&gt;=$F25,CS$2&lt;=IF(ISNUMBER($G25),$G25,$F25+$E25-$D25)),2,IF(AND(CS$2&gt;=$D25,CS$2&lt;=$E25),1,"")))</f>
        <v/>
      </c>
      <c r="CT25" s="38">
        <f>IF(OR(CT$2="",$D25=""),"",IF(AND(ISNUMBER($F25),CT$2&gt;=$F25,CT$2&lt;=IF(ISNUMBER($G25),$G25,$F25+$E25-$D25)),2,IF(AND(CT$2&gt;=$D25,CT$2&lt;=$E25),1,"")))</f>
        <v/>
      </c>
      <c r="CU25" s="38">
        <f>IF(OR(CU$2="",$D25=""),"",IF(AND(ISNUMBER($F25),CU$2&gt;=$F25,CU$2&lt;=IF(ISNUMBER($G25),$G25,$F25+$E25-$D25)),2,IF(AND(CU$2&gt;=$D25,CU$2&lt;=$E25),1,"")))</f>
        <v/>
      </c>
      <c r="CV25" s="38">
        <f>IF(OR(CV$2="",$D25=""),"",IF(AND(ISNUMBER($F25),CV$2&gt;=$F25,CV$2&lt;=IF(ISNUMBER($G25),$G25,$F25+$E25-$D25)),2,IF(AND(CV$2&gt;=$D25,CV$2&lt;=$E25),1,"")))</f>
        <v/>
      </c>
      <c r="CW25" s="38">
        <f>IF(OR(CW$2="",$D25=""),"",IF(AND(ISNUMBER($F25),CW$2&gt;=$F25,CW$2&lt;=IF(ISNUMBER($G25),$G25,$F25+$E25-$D25)),2,IF(AND(CW$2&gt;=$D25,CW$2&lt;=$E25),1,"")))</f>
        <v/>
      </c>
      <c r="CX25" s="38">
        <f>IF(OR(CX$2="",$D25=""),"",IF(AND(ISNUMBER($F25),CX$2&gt;=$F25,CX$2&lt;=IF(ISNUMBER($G25),$G25,$F25+$E25-$D25)),2,IF(AND(CX$2&gt;=$D25,CX$2&lt;=$E25),1,"")))</f>
        <v/>
      </c>
      <c r="CY25" s="38">
        <f>IF(OR(CY$2="",$D25=""),"",IF(AND(ISNUMBER($F25),CY$2&gt;=$F25,CY$2&lt;=IF(ISNUMBER($G25),$G25,$F25+$E25-$D25)),2,IF(AND(CY$2&gt;=$D25,CY$2&lt;=$E25),1,"")))</f>
        <v/>
      </c>
      <c r="CZ25" s="38">
        <f>IF(OR(CZ$2="",$D25=""),"",IF(AND(ISNUMBER($F25),CZ$2&gt;=$F25,CZ$2&lt;=IF(ISNUMBER($G25),$G25,$F25+$E25-$D25)),2,IF(AND(CZ$2&gt;=$D25,CZ$2&lt;=$E25),1,"")))</f>
        <v/>
      </c>
      <c r="DA25" s="38">
        <f>IF(OR(DA$2="",$D25=""),"",IF(AND(ISNUMBER($F25),DA$2&gt;=$F25,DA$2&lt;=IF(ISNUMBER($G25),$G25,$F25+$E25-$D25)),2,IF(AND(DA$2&gt;=$D25,DA$2&lt;=$E25),1,"")))</f>
        <v/>
      </c>
      <c r="DB25" s="38">
        <f>IF(OR(DB$2="",$D25=""),"",IF(AND(ISNUMBER($F25),DB$2&gt;=$F25,DB$2&lt;=IF(ISNUMBER($G25),$G25,$F25+$E25-$D25)),2,IF(AND(DB$2&gt;=$D25,DB$2&lt;=$E25),1,"")))</f>
        <v/>
      </c>
      <c r="DC25" s="38">
        <f>IF(OR(DC$2="",$D25=""),"",IF(AND(ISNUMBER($F25),DC$2&gt;=$F25,DC$2&lt;=IF(ISNUMBER($G25),$G25,$F25+$E25-$D25)),2,IF(AND(DC$2&gt;=$D25,DC$2&lt;=$E25),1,"")))</f>
        <v/>
      </c>
      <c r="DD25" s="38">
        <f>IF(OR(DD$2="",$D25=""),"",IF(AND(ISNUMBER($F25),DD$2&gt;=$F25,DD$2&lt;=IF(ISNUMBER($G25),$G25,$F25+$E25-$D25)),2,IF(AND(DD$2&gt;=$D25,DD$2&lt;=$E25),1,"")))</f>
        <v/>
      </c>
      <c r="DE25" s="38">
        <f>IF(OR(DE$2="",$D25=""),"",IF(AND(ISNUMBER($F25),DE$2&gt;=$F25,DE$2&lt;=IF(ISNUMBER($G25),$G25,$F25+$E25-$D25)),2,IF(AND(DE$2&gt;=$D25,DE$2&lt;=$E25),1,"")))</f>
        <v/>
      </c>
      <c r="DF25" s="38">
        <f>IF(OR(DF$2="",$D25=""),"",IF(AND(ISNUMBER($F25),DF$2&gt;=$F25,DF$2&lt;=IF(ISNUMBER($G25),$G25,$F25+$E25-$D25)),2,IF(AND(DF$2&gt;=$D25,DF$2&lt;=$E25),1,"")))</f>
        <v/>
      </c>
      <c r="DG25" s="38">
        <f>IF(OR(DG$2="",$D25=""),"",IF(AND(ISNUMBER($F25),DG$2&gt;=$F25,DG$2&lt;=IF(ISNUMBER($G25),$G25,$F25+$E25-$D25)),2,IF(AND(DG$2&gt;=$D25,DG$2&lt;=$E25),1,"")))</f>
        <v/>
      </c>
      <c r="DH25" s="38">
        <f>IF(OR(DH$2="",$D25=""),"",IF(AND(ISNUMBER($F25),DH$2&gt;=$F25,DH$2&lt;=IF(ISNUMBER($G25),$G25,$F25+$E25-$D25)),2,IF(AND(DH$2&gt;=$D25,DH$2&lt;=$E25),1,"")))</f>
        <v/>
      </c>
      <c r="DI25" s="38">
        <f>IF(OR(DI$2="",$D25=""),"",IF(AND(ISNUMBER($F25),DI$2&gt;=$F25,DI$2&lt;=IF(ISNUMBER($G25),$G25,$F25+$E25-$D25)),2,IF(AND(DI$2&gt;=$D25,DI$2&lt;=$E25),1,"")))</f>
        <v/>
      </c>
      <c r="DJ25" s="38">
        <f>IF(OR(DJ$2="",$D25=""),"",IF(AND(ISNUMBER($F25),DJ$2&gt;=$F25,DJ$2&lt;=IF(ISNUMBER($G25),$G25,$F25+$E25-$D25)),2,IF(AND(DJ$2&gt;=$D25,DJ$2&lt;=$E25),1,"")))</f>
        <v/>
      </c>
      <c r="DK25" s="38">
        <f>IF(OR(DK$2="",$D25=""),"",IF(AND(ISNUMBER($F25),DK$2&gt;=$F25,DK$2&lt;=IF(ISNUMBER($G25),$G25,$F25+$E25-$D25)),2,IF(AND(DK$2&gt;=$D25,DK$2&lt;=$E25),1,"")))</f>
        <v/>
      </c>
      <c r="DL25" s="38">
        <f>IF(OR(DL$2="",$D25=""),"",IF(AND(ISNUMBER($F25),DL$2&gt;=$F25,DL$2&lt;=IF(ISNUMBER($G25),$G25,$F25+$E25-$D25)),2,IF(AND(DL$2&gt;=$D25,DL$2&lt;=$E25),1,"")))</f>
        <v/>
      </c>
      <c r="DM25" s="38">
        <f>IF(OR(DM$2="",$D25=""),"",IF(AND(ISNUMBER($F25),DM$2&gt;=$F25,DM$2&lt;=IF(ISNUMBER($G25),$G25,$F25+$E25-$D25)),2,IF(AND(DM$2&gt;=$D25,DM$2&lt;=$E25),1,"")))</f>
        <v/>
      </c>
      <c r="DN25" s="38">
        <f>IF(OR(DN$2="",$D25=""),"",IF(AND(ISNUMBER($F25),DN$2&gt;=$F25,DN$2&lt;=IF(ISNUMBER($G25),$G25,$F25+$E25-$D25)),2,IF(AND(DN$2&gt;=$D25,DN$2&lt;=$E25),1,"")))</f>
        <v/>
      </c>
      <c r="DO25" s="38">
        <f>IF(OR(DO$2="",$D25=""),"",IF(AND(ISNUMBER($F25),DO$2&gt;=$F25,DO$2&lt;=IF(ISNUMBER($G25),$G25,$F25+$E25-$D25)),2,IF(AND(DO$2&gt;=$D25,DO$2&lt;=$E25),1,"")))</f>
        <v/>
      </c>
      <c r="DP25" s="38">
        <f>IF(OR(DP$2="",$D25=""),"",IF(AND(ISNUMBER($F25),DP$2&gt;=$F25,DP$2&lt;=IF(ISNUMBER($G25),$G25,$F25+$E25-$D25)),2,IF(AND(DP$2&gt;=$D25,DP$2&lt;=$E25),1,"")))</f>
        <v/>
      </c>
      <c r="DQ25" s="38">
        <f>IF(OR(DQ$2="",$D25=""),"",IF(AND(ISNUMBER($F25),DQ$2&gt;=$F25,DQ$2&lt;=IF(ISNUMBER($G25),$G25,$F25+$E25-$D25)),2,IF(AND(DQ$2&gt;=$D25,DQ$2&lt;=$E25),1,"")))</f>
        <v/>
      </c>
      <c r="DR25" s="38">
        <f>IF(OR(DR$2="",$D25=""),"",IF(AND(ISNUMBER($F25),DR$2&gt;=$F25,DR$2&lt;=IF(ISNUMBER($G25),$G25,$F25+$E25-$D25)),2,IF(AND(DR$2&gt;=$D25,DR$2&lt;=$E25),1,"")))</f>
        <v/>
      </c>
      <c r="DS25" s="38">
        <f>IF(OR(DS$2="",$D25=""),"",IF(AND(ISNUMBER($F25),DS$2&gt;=$F25,DS$2&lt;=IF(ISNUMBER($G25),$G25,$F25+$E25-$D25)),2,IF(AND(DS$2&gt;=$D25,DS$2&lt;=$E25),1,"")))</f>
        <v/>
      </c>
      <c r="DT25" s="38">
        <f>IF(OR(DT$2="",$D25=""),"",IF(AND(ISNUMBER($F25),DT$2&gt;=$F25,DT$2&lt;=IF(ISNUMBER($G25),$G25,$F25+$E25-$D25)),2,IF(AND(DT$2&gt;=$D25,DT$2&lt;=$E25),1,"")))</f>
        <v/>
      </c>
      <c r="DU25" s="38">
        <f>IF(OR(DU$2="",$D25=""),"",IF(AND(ISNUMBER($F25),DU$2&gt;=$F25,DU$2&lt;=IF(ISNUMBER($G25),$G25,$F25+$E25-$D25)),2,IF(AND(DU$2&gt;=$D25,DU$2&lt;=$E25),1,"")))</f>
        <v/>
      </c>
      <c r="DV25" s="38">
        <f>IF(OR(DV$2="",$D25=""),"",IF(AND(ISNUMBER($F25),DV$2&gt;=$F25,DV$2&lt;=IF(ISNUMBER($G25),$G25,$F25+$E25-$D25)),2,IF(AND(DV$2&gt;=$D25,DV$2&lt;=$E25),1,"")))</f>
        <v/>
      </c>
      <c r="DW25" s="38">
        <f>IF(OR(DW$2="",$D25=""),"",IF(AND(ISNUMBER($F25),DW$2&gt;=$F25,DW$2&lt;=IF(ISNUMBER($G25),$G25,$F25+$E25-$D25)),2,IF(AND(DW$2&gt;=$D25,DW$2&lt;=$E25),1,"")))</f>
        <v/>
      </c>
      <c r="DX25" s="38">
        <f>IF(OR(DX$2="",$D25=""),"",IF(AND(ISNUMBER($F25),DX$2&gt;=$F25,DX$2&lt;=IF(ISNUMBER($G25),$G25,$F25+$E25-$D25)),2,IF(AND(DX$2&gt;=$D25,DX$2&lt;=$E25),1,"")))</f>
        <v/>
      </c>
      <c r="DY25" s="38">
        <f>IF(OR(DY$2="",$D25=""),"",IF(AND(ISNUMBER($F25),DY$2&gt;=$F25,DY$2&lt;=IF(ISNUMBER($G25),$G25,$F25+$E25-$D25)),2,IF(AND(DY$2&gt;=$D25,DY$2&lt;=$E25),1,"")))</f>
        <v/>
      </c>
      <c r="DZ25" s="38">
        <f>IF(OR(DZ$2="",$D25=""),"",IF(AND(ISNUMBER($F25),DZ$2&gt;=$F25,DZ$2&lt;=IF(ISNUMBER($G25),$G25,$F25+$E25-$D25)),2,IF(AND(DZ$2&gt;=$D25,DZ$2&lt;=$E25),1,"")))</f>
        <v/>
      </c>
      <c r="EA25" s="38">
        <f>IF(OR(EA$2="",$D25=""),"",IF(AND(ISNUMBER($F25),EA$2&gt;=$F25,EA$2&lt;=IF(ISNUMBER($G25),$G25,$F25+$E25-$D25)),2,IF(AND(EA$2&gt;=$D25,EA$2&lt;=$E25),1,"")))</f>
        <v/>
      </c>
      <c r="EB25" s="38">
        <f>IF(OR(EB$2="",$D25=""),"",IF(AND(ISNUMBER($F25),EB$2&gt;=$F25,EB$2&lt;=IF(ISNUMBER($G25),$G25,$F25+$E25-$D25)),2,IF(AND(EB$2&gt;=$D25,EB$2&lt;=$E25),1,"")))</f>
        <v/>
      </c>
      <c r="EC25" s="38">
        <f>IF(OR(EC$2="",$D25=""),"",IF(AND(ISNUMBER($F25),EC$2&gt;=$F25,EC$2&lt;=IF(ISNUMBER($G25),$G25,$F25+$E25-$D25)),2,IF(AND(EC$2&gt;=$D25,EC$2&lt;=$E25),1,"")))</f>
        <v/>
      </c>
      <c r="ED25" s="38">
        <f>IF(OR(ED$2="",$D25=""),"",IF(AND(ISNUMBER($F25),ED$2&gt;=$F25,ED$2&lt;=IF(ISNUMBER($G25),$G25,$F25+$E25-$D25)),2,IF(AND(ED$2&gt;=$D25,ED$2&lt;=$E25),1,"")))</f>
        <v/>
      </c>
      <c r="EE25" s="38">
        <f>IF(OR(EE$2="",$D25=""),"",IF(AND(ISNUMBER($F25),EE$2&gt;=$F25,EE$2&lt;=IF(ISNUMBER($G25),$G25,$F25+$E25-$D25)),2,IF(AND(EE$2&gt;=$D25,EE$2&lt;=$E25),1,"")))</f>
        <v/>
      </c>
      <c r="EF25" s="38">
        <f>IF(OR(EF$2="",$D25=""),"",IF(AND(ISNUMBER($F25),EF$2&gt;=$F25,EF$2&lt;=IF(ISNUMBER($G25),$G25,$F25+$E25-$D25)),2,IF(AND(EF$2&gt;=$D25,EF$2&lt;=$E25),1,"")))</f>
        <v/>
      </c>
      <c r="EG25" s="38">
        <f>IF(OR(EG$2="",$D25=""),"",IF(AND(ISNUMBER($F25),EG$2&gt;=$F25,EG$2&lt;=IF(ISNUMBER($G25),$G25,$F25+$E25-$D25)),2,IF(AND(EG$2&gt;=$D25,EG$2&lt;=$E25),1,"")))</f>
        <v/>
      </c>
      <c r="EH25" s="38">
        <f>IF(OR(EH$2="",$D25=""),"",IF(AND(ISNUMBER($F25),EH$2&gt;=$F25,EH$2&lt;=IF(ISNUMBER($G25),$G25,$F25+$E25-$D25)),2,IF(AND(EH$2&gt;=$D25,EH$2&lt;=$E25),1,"")))</f>
        <v/>
      </c>
      <c r="EI25" s="38">
        <f>IF(OR(EI$2="",$D25=""),"",IF(AND(ISNUMBER($F25),EI$2&gt;=$F25,EI$2&lt;=IF(ISNUMBER($G25),$G25,$F25+$E25-$D25)),2,IF(AND(EI$2&gt;=$D25,EI$2&lt;=$E25),1,"")))</f>
        <v/>
      </c>
      <c r="EJ25" s="38">
        <f>IF(OR(EJ$2="",$D25=""),"",IF(AND(ISNUMBER($F25),EJ$2&gt;=$F25,EJ$2&lt;=IF(ISNUMBER($G25),$G25,$F25+$E25-$D25)),2,IF(AND(EJ$2&gt;=$D25,EJ$2&lt;=$E25),1,"")))</f>
        <v/>
      </c>
      <c r="EK25" s="38">
        <f>IF(OR(EK$2="",$D25=""),"",IF(AND(ISNUMBER($F25),EK$2&gt;=$F25,EK$2&lt;=IF(ISNUMBER($G25),$G25,$F25+$E25-$D25)),2,IF(AND(EK$2&gt;=$D25,EK$2&lt;=$E25),1,"")))</f>
        <v/>
      </c>
      <c r="EL25" s="38">
        <f>IF(OR(EL$2="",$D25=""),"",IF(AND(ISNUMBER($F25),EL$2&gt;=$F25,EL$2&lt;=IF(ISNUMBER($G25),$G25,$F25+$E25-$D25)),2,IF(AND(EL$2&gt;=$D25,EL$2&lt;=$E25),1,"")))</f>
        <v/>
      </c>
      <c r="EM25" s="38">
        <f>IF(OR(EM$2="",$D25=""),"",IF(AND(ISNUMBER($F25),EM$2&gt;=$F25,EM$2&lt;=IF(ISNUMBER($G25),$G25,$F25+$E25-$D25)),2,IF(AND(EM$2&gt;=$D25,EM$2&lt;=$E25),1,"")))</f>
        <v/>
      </c>
      <c r="EN25" s="38">
        <f>IF(OR(EN$2="",$D25=""),"",IF(AND(ISNUMBER($F25),EN$2&gt;=$F25,EN$2&lt;=IF(ISNUMBER($G25),$G25,$F25+$E25-$D25)),2,IF(AND(EN$2&gt;=$D25,EN$2&lt;=$E25),1,"")))</f>
        <v/>
      </c>
      <c r="EO25" s="38">
        <f>IF(OR(EO$2="",$D25=""),"",IF(AND(ISNUMBER($F25),EO$2&gt;=$F25,EO$2&lt;=IF(ISNUMBER($G25),$G25,$F25+$E25-$D25)),2,IF(AND(EO$2&gt;=$D25,EO$2&lt;=$E25),1,"")))</f>
        <v/>
      </c>
      <c r="EP25" s="38">
        <f>IF(OR(EP$2="",$D25=""),"",IF(AND(ISNUMBER($F25),EP$2&gt;=$F25,EP$2&lt;=IF(ISNUMBER($G25),$G25,$F25+$E25-$D25)),2,IF(AND(EP$2&gt;=$D25,EP$2&lt;=$E25),1,"")))</f>
        <v/>
      </c>
      <c r="EQ25" s="38">
        <f>IF(OR(EQ$2="",$D25=""),"",IF(AND(ISNUMBER($F25),EQ$2&gt;=$F25,EQ$2&lt;=IF(ISNUMBER($G25),$G25,$F25+$E25-$D25)),2,IF(AND(EQ$2&gt;=$D25,EQ$2&lt;=$E25),1,"")))</f>
        <v/>
      </c>
      <c r="ER25" s="38">
        <f>IF(OR(ER$2="",$D25=""),"",IF(AND(ISNUMBER($F25),ER$2&gt;=$F25,ER$2&lt;=IF(ISNUMBER($G25),$G25,$F25+$E25-$D25)),2,IF(AND(ER$2&gt;=$D25,ER$2&lt;=$E25),1,"")))</f>
        <v/>
      </c>
      <c r="ES25" s="38">
        <f>IF(OR(ES$2="",$D25=""),"",IF(AND(ISNUMBER($F25),ES$2&gt;=$F25,ES$2&lt;=IF(ISNUMBER($G25),$G25,$F25+$E25-$D25)),2,IF(AND(ES$2&gt;=$D25,ES$2&lt;=$E25),1,"")))</f>
        <v/>
      </c>
      <c r="ET25" s="38">
        <f>IF(OR(ET$2="",$D25=""),"",IF(AND(ISNUMBER($F25),ET$2&gt;=$F25,ET$2&lt;=IF(ISNUMBER($G25),$G25,$F25+$E25-$D25)),2,IF(AND(ET$2&gt;=$D25,ET$2&lt;=$E25),1,"")))</f>
        <v/>
      </c>
      <c r="EU25" s="38">
        <f>IF(OR(EU$2="",$D25=""),"",IF(AND(ISNUMBER($F25),EU$2&gt;=$F25,EU$2&lt;=IF(ISNUMBER($G25),$G25,$F25+$E25-$D25)),2,IF(AND(EU$2&gt;=$D25,EU$2&lt;=$E25),1,"")))</f>
        <v/>
      </c>
      <c r="EV25" s="38">
        <f>IF(OR(EV$2="",$D25=""),"",IF(AND(ISNUMBER($F25),EV$2&gt;=$F25,EV$2&lt;=IF(ISNUMBER($G25),$G25,$F25+$E25-$D25)),2,IF(AND(EV$2&gt;=$D25,EV$2&lt;=$E25),1,"")))</f>
        <v/>
      </c>
      <c r="EW25" s="38">
        <f>IF(OR(EW$2="",$D25=""),"",IF(AND(ISNUMBER($F25),EW$2&gt;=$F25,EW$2&lt;=IF(ISNUMBER($G25),$G25,$F25+$E25-$D25)),2,IF(AND(EW$2&gt;=$D25,EW$2&lt;=$E25),1,"")))</f>
        <v/>
      </c>
      <c r="EX25" s="38">
        <f>IF(OR(EX$2="",$D25=""),"",IF(AND(ISNUMBER($F25),EX$2&gt;=$F25,EX$2&lt;=IF(ISNUMBER($G25),$G25,$F25+$E25-$D25)),2,IF(AND(EX$2&gt;=$D25,EX$2&lt;=$E25),1,"")))</f>
        <v/>
      </c>
      <c r="EY25" s="38">
        <f>IF(OR(EY$2="",$D25=""),"",IF(AND(ISNUMBER($F25),EY$2&gt;=$F25,EY$2&lt;=IF(ISNUMBER($G25),$G25,$F25+$E25-$D25)),2,IF(AND(EY$2&gt;=$D25,EY$2&lt;=$E25),1,"")))</f>
        <v/>
      </c>
      <c r="EZ25" s="38">
        <f>IF(OR(EZ$2="",$D25=""),"",IF(AND(ISNUMBER($F25),EZ$2&gt;=$F25,EZ$2&lt;=IF(ISNUMBER($G25),$G25,$F25+$E25-$D25)),2,IF(AND(EZ$2&gt;=$D25,EZ$2&lt;=$E25),1,"")))</f>
        <v/>
      </c>
      <c r="FA25" s="38">
        <f>IF(OR(FA$2="",$D25=""),"",IF(AND(ISNUMBER($F25),FA$2&gt;=$F25,FA$2&lt;=IF(ISNUMBER($G25),$G25,$F25+$E25-$D25)),2,IF(AND(FA$2&gt;=$D25,FA$2&lt;=$E25),1,"")))</f>
        <v/>
      </c>
      <c r="FB25" s="38">
        <f>IF(OR(FB$2="",$D25=""),"",IF(AND(ISNUMBER($F25),FB$2&gt;=$F25,FB$2&lt;=IF(ISNUMBER($G25),$G25,$F25+$E25-$D25)),2,IF(AND(FB$2&gt;=$D25,FB$2&lt;=$E25),1,"")))</f>
        <v/>
      </c>
      <c r="FC25" s="38">
        <f>IF(OR(FC$2="",$D25=""),"",IF(AND(ISNUMBER($F25),FC$2&gt;=$F25,FC$2&lt;=IF(ISNUMBER($G25),$G25,$F25+$E25-$D25)),2,IF(AND(FC$2&gt;=$D25,FC$2&lt;=$E25),1,"")))</f>
        <v/>
      </c>
      <c r="FD25" s="38">
        <f>IF(OR(FD$2="",$D25=""),"",IF(AND(ISNUMBER($F25),FD$2&gt;=$F25,FD$2&lt;=IF(ISNUMBER($G25),$G25,$F25+$E25-$D25)),2,IF(AND(FD$2&gt;=$D25,FD$2&lt;=$E25),1,"")))</f>
        <v/>
      </c>
      <c r="FE25" s="38">
        <f>IF(OR(FE$2="",$D25=""),"",IF(AND(ISNUMBER($F25),FE$2&gt;=$F25,FE$2&lt;=IF(ISNUMBER($G25),$G25,$F25+$E25-$D25)),2,IF(AND(FE$2&gt;=$D25,FE$2&lt;=$E25),1,"")))</f>
        <v/>
      </c>
      <c r="FF25" s="38">
        <f>IF(OR(FF$2="",$D25=""),"",IF(AND(ISNUMBER($F25),FF$2&gt;=$F25,FF$2&lt;=IF(ISNUMBER($G25),$G25,$F25+$E25-$D25)),2,IF(AND(FF$2&gt;=$D25,FF$2&lt;=$E25),1,"")))</f>
        <v/>
      </c>
      <c r="FG25" s="38">
        <f>IF(OR(FG$2="",$D25=""),"",IF(AND(ISNUMBER($F25),FG$2&gt;=$F25,FG$2&lt;=IF(ISNUMBER($G25),$G25,$F25+$E25-$D25)),2,IF(AND(FG$2&gt;=$D25,FG$2&lt;=$E25),1,"")))</f>
        <v/>
      </c>
      <c r="FH25" s="38">
        <f>IF(OR(FH$2="",$D25=""),"",IF(AND(ISNUMBER($F25),FH$2&gt;=$F25,FH$2&lt;=IF(ISNUMBER($G25),$G25,$F25+$E25-$D25)),2,IF(AND(FH$2&gt;=$D25,FH$2&lt;=$E25),1,"")))</f>
        <v/>
      </c>
      <c r="FI25" s="38">
        <f>IF(OR(FI$2="",$D25=""),"",IF(AND(ISNUMBER($F25),FI$2&gt;=$F25,FI$2&lt;=IF(ISNUMBER($G25),$G25,$F25+$E25-$D25)),2,IF(AND(FI$2&gt;=$D25,FI$2&lt;=$E25),1,"")))</f>
        <v/>
      </c>
      <c r="FJ25" s="38">
        <f>IF(OR(FJ$2="",$D25=""),"",IF(AND(ISNUMBER($F25),FJ$2&gt;=$F25,FJ$2&lt;=IF(ISNUMBER($G25),$G25,$F25+$E25-$D25)),2,IF(AND(FJ$2&gt;=$D25,FJ$2&lt;=$E25),1,"")))</f>
        <v/>
      </c>
      <c r="FK25" s="38">
        <f>IF(OR(FK$2="",$D25=""),"",IF(AND(ISNUMBER($F25),FK$2&gt;=$F25,FK$2&lt;=IF(ISNUMBER($G25),$G25,$F25+$E25-$D25)),2,IF(AND(FK$2&gt;=$D25,FK$2&lt;=$E25),1,"")))</f>
        <v/>
      </c>
      <c r="FL25" s="38">
        <f>IF(OR(FL$2="",$D25=""),"",IF(AND(ISNUMBER($F25),FL$2&gt;=$F25,FL$2&lt;=IF(ISNUMBER($G25),$G25,$F25+$E25-$D25)),2,IF(AND(FL$2&gt;=$D25,FL$2&lt;=$E25),1,"")))</f>
        <v/>
      </c>
      <c r="FM25" s="38">
        <f>IF(OR(FM$2="",$D25=""),"",IF(AND(ISNUMBER($F25),FM$2&gt;=$F25,FM$2&lt;=IF(ISNUMBER($G25),$G25,$F25+$E25-$D25)),2,IF(AND(FM$2&gt;=$D25,FM$2&lt;=$E25),1,"")))</f>
        <v/>
      </c>
      <c r="FN25" s="38">
        <f>IF(OR(FN$2="",$D25=""),"",IF(AND(ISNUMBER($F25),FN$2&gt;=$F25,FN$2&lt;=IF(ISNUMBER($G25),$G25,$F25+$E25-$D25)),2,IF(AND(FN$2&gt;=$D25,FN$2&lt;=$E25),1,"")))</f>
        <v/>
      </c>
      <c r="FO25" s="38">
        <f>IF(OR(FO$2="",$D25=""),"",IF(AND(ISNUMBER($F25),FO$2&gt;=$F25,FO$2&lt;=IF(ISNUMBER($G25),$G25,$F25+$E25-$D25)),2,IF(AND(FO$2&gt;=$D25,FO$2&lt;=$E25),1,"")))</f>
        <v/>
      </c>
      <c r="FP25" s="38">
        <f>IF(OR(FP$2="",$D25=""),"",IF(AND(ISNUMBER($F25),FP$2&gt;=$F25,FP$2&lt;=IF(ISNUMBER($G25),$G25,$F25+$E25-$D25)),2,IF(AND(FP$2&gt;=$D25,FP$2&lt;=$E25),1,"")))</f>
        <v/>
      </c>
      <c r="FQ25" s="38">
        <f>IF(OR(FQ$2="",$D25=""),"",IF(AND(ISNUMBER($F25),FQ$2&gt;=$F25,FQ$2&lt;=IF(ISNUMBER($G25),$G25,$F25+$E25-$D25)),2,IF(AND(FQ$2&gt;=$D25,FQ$2&lt;=$E25),1,"")))</f>
        <v/>
      </c>
      <c r="FR25" s="38">
        <f>IF(OR(FR$2="",$D25=""),"",IF(AND(ISNUMBER($F25),FR$2&gt;=$F25,FR$2&lt;=IF(ISNUMBER($G25),$G25,$F25+$E25-$D25)),2,IF(AND(FR$2&gt;=$D25,FR$2&lt;=$E25),1,"")))</f>
        <v/>
      </c>
      <c r="FS25" s="38">
        <f>IF(OR(FS$2="",$D25=""),"",IF(AND(ISNUMBER($F25),FS$2&gt;=$F25,FS$2&lt;=IF(ISNUMBER($G25),$G25,$F25+$E25-$D25)),2,IF(AND(FS$2&gt;=$D25,FS$2&lt;=$E25),1,"")))</f>
        <v/>
      </c>
      <c r="FT25" s="38">
        <f>IF(OR(FT$2="",$D25=""),"",IF(AND(ISNUMBER($F25),FT$2&gt;=$F25,FT$2&lt;=IF(ISNUMBER($G25),$G25,$F25+$E25-$D25)),2,IF(AND(FT$2&gt;=$D25,FT$2&lt;=$E25),1,"")))</f>
        <v/>
      </c>
      <c r="FU25" s="38">
        <f>IF(OR(FU$2="",$D25=""),"",IF(AND(ISNUMBER($F25),FU$2&gt;=$F25,FU$2&lt;=IF(ISNUMBER($G25),$G25,$F25+$E25-$D25)),2,IF(AND(FU$2&gt;=$D25,FU$2&lt;=$E25),1,"")))</f>
        <v/>
      </c>
      <c r="FV25" s="38">
        <f>IF(OR(FV$2="",$D25=""),"",IF(AND(ISNUMBER($F25),FV$2&gt;=$F25,FV$2&lt;=IF(ISNUMBER($G25),$G25,$F25+$E25-$D25)),2,IF(AND(FV$2&gt;=$D25,FV$2&lt;=$E25),1,"")))</f>
        <v/>
      </c>
      <c r="FW25" s="38">
        <f>IF(OR(FW$2="",$D25=""),"",IF(AND(ISNUMBER($F25),FW$2&gt;=$F25,FW$2&lt;=IF(ISNUMBER($G25),$G25,$F25+$E25-$D25)),2,IF(AND(FW$2&gt;=$D25,FW$2&lt;=$E25),1,"")))</f>
        <v/>
      </c>
      <c r="FX25" s="38">
        <f>IF(OR(FX$2="",$D25=""),"",IF(AND(ISNUMBER($F25),FX$2&gt;=$F25,FX$2&lt;=IF(ISNUMBER($G25),$G25,$F25+$E25-$D25)),2,IF(AND(FX$2&gt;=$D25,FX$2&lt;=$E25),1,"")))</f>
        <v/>
      </c>
      <c r="FY25" s="38">
        <f>IF(OR(FY$2="",$D25=""),"",IF(AND(ISNUMBER($F25),FY$2&gt;=$F25,FY$2&lt;=IF(ISNUMBER($G25),$G25,$F25+$E25-$D25)),2,IF(AND(FY$2&gt;=$D25,FY$2&lt;=$E25),1,"")))</f>
        <v/>
      </c>
      <c r="FZ25" s="38">
        <f>IF(OR(FZ$2="",$D25=""),"",IF(AND(ISNUMBER($F25),FZ$2&gt;=$F25,FZ$2&lt;=IF(ISNUMBER($G25),$G25,$F25+$E25-$D25)),2,IF(AND(FZ$2&gt;=$D25,FZ$2&lt;=$E25),1,"")))</f>
        <v/>
      </c>
      <c r="GA25" s="38">
        <f>IF(OR(GA$2="",$D25=""),"",IF(AND(ISNUMBER($F25),GA$2&gt;=$F25,GA$2&lt;=IF(ISNUMBER($G25),$G25,$F25+$E25-$D25)),2,IF(AND(GA$2&gt;=$D25,GA$2&lt;=$E25),1,"")))</f>
        <v/>
      </c>
      <c r="GB25" s="38">
        <f>IF(OR(GB$2="",$D25=""),"",IF(AND(ISNUMBER($F25),GB$2&gt;=$F25,GB$2&lt;=IF(ISNUMBER($G25),$G25,$F25+$E25-$D25)),2,IF(AND(GB$2&gt;=$D25,GB$2&lt;=$E25),1,"")))</f>
        <v/>
      </c>
      <c r="GC25" s="38">
        <f>IF(OR(GC$2="",$D25=""),"",IF(AND(ISNUMBER($F25),GC$2&gt;=$F25,GC$2&lt;=IF(ISNUMBER($G25),$G25,$F25+$E25-$D25)),2,IF(AND(GC$2&gt;=$D25,GC$2&lt;=$E25),1,"")))</f>
        <v/>
      </c>
      <c r="GD25" s="38">
        <f>IF(OR(GD$2="",$D25=""),"",IF(AND(ISNUMBER($F25),GD$2&gt;=$F25,GD$2&lt;=IF(ISNUMBER($G25),$G25,$F25+$E25-$D25)),2,IF(AND(GD$2&gt;=$D25,GD$2&lt;=$E25),1,"")))</f>
        <v/>
      </c>
      <c r="GE25" s="38">
        <f>IF(OR(GE$2="",$D25=""),"",IF(AND(ISNUMBER($F25),GE$2&gt;=$F25,GE$2&lt;=IF(ISNUMBER($G25),$G25,$F25+$E25-$D25)),2,IF(AND(GE$2&gt;=$D25,GE$2&lt;=$E25),1,"")))</f>
        <v/>
      </c>
    </row>
    <row r="27">
      <c r="A27" s="15" t="inlineStr">
        <is>
          <t>FP plot (farmers practice)</t>
        </is>
      </c>
    </row>
    <row r="28">
      <c r="A28" s="36" t="inlineStr">
        <is>
          <t>Seed wetting</t>
        </is>
      </c>
      <c r="B28" s="12" t="inlineStr">
        <is>
          <t>বীজ ভেজানো</t>
        </is>
      </c>
      <c r="C28" s="12" t="inlineStr">
        <is>
          <t>FP</t>
        </is>
      </c>
      <c r="D28" s="7">
        <f>IF(D5="","",D5)</f>
        <v/>
      </c>
      <c r="E28" s="7">
        <f>IF(D28="","",D28)</f>
        <v/>
      </c>
      <c r="F28" s="37" t="n"/>
      <c r="G28" s="7" t="n"/>
      <c r="H28" s="6">
        <f>IF(D28="","no plan",IF(F28&lt;&gt;"",IF(F28-D28&gt;=2,"LATE","OK"),IF(TODAY()&gt;D28+2,"OVERDUE","upcoming")))</f>
        <v/>
      </c>
      <c r="I28" s="6">
        <f>IF(AND(D28&lt;&gt;"",F28&lt;&gt;""),F28-D28,"")</f>
        <v/>
      </c>
      <c r="J28" s="7">
        <f>IF(F28&lt;&gt;"",F28,D28)</f>
        <v/>
      </c>
      <c r="K28" s="7">
        <f>IF(G28&lt;&gt;"",G28,IF(AND(F28&lt;&gt;"",E28=D28),F28,E28))</f>
        <v/>
      </c>
      <c r="L28" s="6">
        <f>IF(AND(D28&lt;&gt;"",F28="",D28&gt;=TODAY()),D28+ROW()/1000,"")</f>
        <v/>
      </c>
      <c r="M28" s="38">
        <f>IF(OR(M$2="",$D28=""),"",IF(AND(ISNUMBER($F28),M$2&gt;=$F28,M$2&lt;=IF(ISNUMBER($G28),$G28,$F28+$E28-$D28)),2,IF(AND(M$2&gt;=$D28,M$2&lt;=$E28),1,"")))</f>
        <v/>
      </c>
      <c r="N28" s="38">
        <f>IF(OR(N$2="",$D28=""),"",IF(AND(ISNUMBER($F28),N$2&gt;=$F28,N$2&lt;=IF(ISNUMBER($G28),$G28,$F28+$E28-$D28)),2,IF(AND(N$2&gt;=$D28,N$2&lt;=$E28),1,"")))</f>
        <v/>
      </c>
      <c r="O28" s="38">
        <f>IF(OR(O$2="",$D28=""),"",IF(AND(ISNUMBER($F28),O$2&gt;=$F28,O$2&lt;=IF(ISNUMBER($G28),$G28,$F28+$E28-$D28)),2,IF(AND(O$2&gt;=$D28,O$2&lt;=$E28),1,"")))</f>
        <v/>
      </c>
      <c r="P28" s="38">
        <f>IF(OR(P$2="",$D28=""),"",IF(AND(ISNUMBER($F28),P$2&gt;=$F28,P$2&lt;=IF(ISNUMBER($G28),$G28,$F28+$E28-$D28)),2,IF(AND(P$2&gt;=$D28,P$2&lt;=$E28),1,"")))</f>
        <v/>
      </c>
      <c r="Q28" s="38">
        <f>IF(OR(Q$2="",$D28=""),"",IF(AND(ISNUMBER($F28),Q$2&gt;=$F28,Q$2&lt;=IF(ISNUMBER($G28),$G28,$F28+$E28-$D28)),2,IF(AND(Q$2&gt;=$D28,Q$2&lt;=$E28),1,"")))</f>
        <v/>
      </c>
      <c r="R28" s="38">
        <f>IF(OR(R$2="",$D28=""),"",IF(AND(ISNUMBER($F28),R$2&gt;=$F28,R$2&lt;=IF(ISNUMBER($G28),$G28,$F28+$E28-$D28)),2,IF(AND(R$2&gt;=$D28,R$2&lt;=$E28),1,"")))</f>
        <v/>
      </c>
      <c r="S28" s="38">
        <f>IF(OR(S$2="",$D28=""),"",IF(AND(ISNUMBER($F28),S$2&gt;=$F28,S$2&lt;=IF(ISNUMBER($G28),$G28,$F28+$E28-$D28)),2,IF(AND(S$2&gt;=$D28,S$2&lt;=$E28),1,"")))</f>
        <v/>
      </c>
      <c r="T28" s="38">
        <f>IF(OR(T$2="",$D28=""),"",IF(AND(ISNUMBER($F28),T$2&gt;=$F28,T$2&lt;=IF(ISNUMBER($G28),$G28,$F28+$E28-$D28)),2,IF(AND(T$2&gt;=$D28,T$2&lt;=$E28),1,"")))</f>
        <v/>
      </c>
      <c r="U28" s="38">
        <f>IF(OR(U$2="",$D28=""),"",IF(AND(ISNUMBER($F28),U$2&gt;=$F28,U$2&lt;=IF(ISNUMBER($G28),$G28,$F28+$E28-$D28)),2,IF(AND(U$2&gt;=$D28,U$2&lt;=$E28),1,"")))</f>
        <v/>
      </c>
      <c r="V28" s="38">
        <f>IF(OR(V$2="",$D28=""),"",IF(AND(ISNUMBER($F28),V$2&gt;=$F28,V$2&lt;=IF(ISNUMBER($G28),$G28,$F28+$E28-$D28)),2,IF(AND(V$2&gt;=$D28,V$2&lt;=$E28),1,"")))</f>
        <v/>
      </c>
      <c r="W28" s="38">
        <f>IF(OR(W$2="",$D28=""),"",IF(AND(ISNUMBER($F28),W$2&gt;=$F28,W$2&lt;=IF(ISNUMBER($G28),$G28,$F28+$E28-$D28)),2,IF(AND(W$2&gt;=$D28,W$2&lt;=$E28),1,"")))</f>
        <v/>
      </c>
      <c r="X28" s="38">
        <f>IF(OR(X$2="",$D28=""),"",IF(AND(ISNUMBER($F28),X$2&gt;=$F28,X$2&lt;=IF(ISNUMBER($G28),$G28,$F28+$E28-$D28)),2,IF(AND(X$2&gt;=$D28,X$2&lt;=$E28),1,"")))</f>
        <v/>
      </c>
      <c r="Y28" s="38">
        <f>IF(OR(Y$2="",$D28=""),"",IF(AND(ISNUMBER($F28),Y$2&gt;=$F28,Y$2&lt;=IF(ISNUMBER($G28),$G28,$F28+$E28-$D28)),2,IF(AND(Y$2&gt;=$D28,Y$2&lt;=$E28),1,"")))</f>
        <v/>
      </c>
      <c r="Z28" s="38">
        <f>IF(OR(Z$2="",$D28=""),"",IF(AND(ISNUMBER($F28),Z$2&gt;=$F28,Z$2&lt;=IF(ISNUMBER($G28),$G28,$F28+$E28-$D28)),2,IF(AND(Z$2&gt;=$D28,Z$2&lt;=$E28),1,"")))</f>
        <v/>
      </c>
      <c r="AA28" s="38">
        <f>IF(OR(AA$2="",$D28=""),"",IF(AND(ISNUMBER($F28),AA$2&gt;=$F28,AA$2&lt;=IF(ISNUMBER($G28),$G28,$F28+$E28-$D28)),2,IF(AND(AA$2&gt;=$D28,AA$2&lt;=$E28),1,"")))</f>
        <v/>
      </c>
      <c r="AB28" s="38">
        <f>IF(OR(AB$2="",$D28=""),"",IF(AND(ISNUMBER($F28),AB$2&gt;=$F28,AB$2&lt;=IF(ISNUMBER($G28),$G28,$F28+$E28-$D28)),2,IF(AND(AB$2&gt;=$D28,AB$2&lt;=$E28),1,"")))</f>
        <v/>
      </c>
      <c r="AC28" s="38">
        <f>IF(OR(AC$2="",$D28=""),"",IF(AND(ISNUMBER($F28),AC$2&gt;=$F28,AC$2&lt;=IF(ISNUMBER($G28),$G28,$F28+$E28-$D28)),2,IF(AND(AC$2&gt;=$D28,AC$2&lt;=$E28),1,"")))</f>
        <v/>
      </c>
      <c r="AD28" s="38">
        <f>IF(OR(AD$2="",$D28=""),"",IF(AND(ISNUMBER($F28),AD$2&gt;=$F28,AD$2&lt;=IF(ISNUMBER($G28),$G28,$F28+$E28-$D28)),2,IF(AND(AD$2&gt;=$D28,AD$2&lt;=$E28),1,"")))</f>
        <v/>
      </c>
      <c r="AE28" s="38">
        <f>IF(OR(AE$2="",$D28=""),"",IF(AND(ISNUMBER($F28),AE$2&gt;=$F28,AE$2&lt;=IF(ISNUMBER($G28),$G28,$F28+$E28-$D28)),2,IF(AND(AE$2&gt;=$D28,AE$2&lt;=$E28),1,"")))</f>
        <v/>
      </c>
      <c r="AF28" s="38">
        <f>IF(OR(AF$2="",$D28=""),"",IF(AND(ISNUMBER($F28),AF$2&gt;=$F28,AF$2&lt;=IF(ISNUMBER($G28),$G28,$F28+$E28-$D28)),2,IF(AND(AF$2&gt;=$D28,AF$2&lt;=$E28),1,"")))</f>
        <v/>
      </c>
      <c r="AG28" s="38">
        <f>IF(OR(AG$2="",$D28=""),"",IF(AND(ISNUMBER($F28),AG$2&gt;=$F28,AG$2&lt;=IF(ISNUMBER($G28),$G28,$F28+$E28-$D28)),2,IF(AND(AG$2&gt;=$D28,AG$2&lt;=$E28),1,"")))</f>
        <v/>
      </c>
      <c r="AH28" s="38">
        <f>IF(OR(AH$2="",$D28=""),"",IF(AND(ISNUMBER($F28),AH$2&gt;=$F28,AH$2&lt;=IF(ISNUMBER($G28),$G28,$F28+$E28-$D28)),2,IF(AND(AH$2&gt;=$D28,AH$2&lt;=$E28),1,"")))</f>
        <v/>
      </c>
      <c r="AI28" s="38">
        <f>IF(OR(AI$2="",$D28=""),"",IF(AND(ISNUMBER($F28),AI$2&gt;=$F28,AI$2&lt;=IF(ISNUMBER($G28),$G28,$F28+$E28-$D28)),2,IF(AND(AI$2&gt;=$D28,AI$2&lt;=$E28),1,"")))</f>
        <v/>
      </c>
      <c r="AJ28" s="38">
        <f>IF(OR(AJ$2="",$D28=""),"",IF(AND(ISNUMBER($F28),AJ$2&gt;=$F28,AJ$2&lt;=IF(ISNUMBER($G28),$G28,$F28+$E28-$D28)),2,IF(AND(AJ$2&gt;=$D28,AJ$2&lt;=$E28),1,"")))</f>
        <v/>
      </c>
      <c r="AK28" s="38">
        <f>IF(OR(AK$2="",$D28=""),"",IF(AND(ISNUMBER($F28),AK$2&gt;=$F28,AK$2&lt;=IF(ISNUMBER($G28),$G28,$F28+$E28-$D28)),2,IF(AND(AK$2&gt;=$D28,AK$2&lt;=$E28),1,"")))</f>
        <v/>
      </c>
      <c r="AL28" s="38">
        <f>IF(OR(AL$2="",$D28=""),"",IF(AND(ISNUMBER($F28),AL$2&gt;=$F28,AL$2&lt;=IF(ISNUMBER($G28),$G28,$F28+$E28-$D28)),2,IF(AND(AL$2&gt;=$D28,AL$2&lt;=$E28),1,"")))</f>
        <v/>
      </c>
      <c r="AM28" s="38">
        <f>IF(OR(AM$2="",$D28=""),"",IF(AND(ISNUMBER($F28),AM$2&gt;=$F28,AM$2&lt;=IF(ISNUMBER($G28),$G28,$F28+$E28-$D28)),2,IF(AND(AM$2&gt;=$D28,AM$2&lt;=$E28),1,"")))</f>
        <v/>
      </c>
      <c r="AN28" s="38">
        <f>IF(OR(AN$2="",$D28=""),"",IF(AND(ISNUMBER($F28),AN$2&gt;=$F28,AN$2&lt;=IF(ISNUMBER($G28),$G28,$F28+$E28-$D28)),2,IF(AND(AN$2&gt;=$D28,AN$2&lt;=$E28),1,"")))</f>
        <v/>
      </c>
      <c r="AO28" s="38">
        <f>IF(OR(AO$2="",$D28=""),"",IF(AND(ISNUMBER($F28),AO$2&gt;=$F28,AO$2&lt;=IF(ISNUMBER($G28),$G28,$F28+$E28-$D28)),2,IF(AND(AO$2&gt;=$D28,AO$2&lt;=$E28),1,"")))</f>
        <v/>
      </c>
      <c r="AP28" s="38">
        <f>IF(OR(AP$2="",$D28=""),"",IF(AND(ISNUMBER($F28),AP$2&gt;=$F28,AP$2&lt;=IF(ISNUMBER($G28),$G28,$F28+$E28-$D28)),2,IF(AND(AP$2&gt;=$D28,AP$2&lt;=$E28),1,"")))</f>
        <v/>
      </c>
      <c r="AQ28" s="38">
        <f>IF(OR(AQ$2="",$D28=""),"",IF(AND(ISNUMBER($F28),AQ$2&gt;=$F28,AQ$2&lt;=IF(ISNUMBER($G28),$G28,$F28+$E28-$D28)),2,IF(AND(AQ$2&gt;=$D28,AQ$2&lt;=$E28),1,"")))</f>
        <v/>
      </c>
      <c r="AR28" s="38">
        <f>IF(OR(AR$2="",$D28=""),"",IF(AND(ISNUMBER($F28),AR$2&gt;=$F28,AR$2&lt;=IF(ISNUMBER($G28),$G28,$F28+$E28-$D28)),2,IF(AND(AR$2&gt;=$D28,AR$2&lt;=$E28),1,"")))</f>
        <v/>
      </c>
      <c r="AS28" s="38">
        <f>IF(OR(AS$2="",$D28=""),"",IF(AND(ISNUMBER($F28),AS$2&gt;=$F28,AS$2&lt;=IF(ISNUMBER($G28),$G28,$F28+$E28-$D28)),2,IF(AND(AS$2&gt;=$D28,AS$2&lt;=$E28),1,"")))</f>
        <v/>
      </c>
      <c r="AT28" s="38">
        <f>IF(OR(AT$2="",$D28=""),"",IF(AND(ISNUMBER($F28),AT$2&gt;=$F28,AT$2&lt;=IF(ISNUMBER($G28),$G28,$F28+$E28-$D28)),2,IF(AND(AT$2&gt;=$D28,AT$2&lt;=$E28),1,"")))</f>
        <v/>
      </c>
      <c r="AU28" s="38">
        <f>IF(OR(AU$2="",$D28=""),"",IF(AND(ISNUMBER($F28),AU$2&gt;=$F28,AU$2&lt;=IF(ISNUMBER($G28),$G28,$F28+$E28-$D28)),2,IF(AND(AU$2&gt;=$D28,AU$2&lt;=$E28),1,"")))</f>
        <v/>
      </c>
      <c r="AV28" s="38">
        <f>IF(OR(AV$2="",$D28=""),"",IF(AND(ISNUMBER($F28),AV$2&gt;=$F28,AV$2&lt;=IF(ISNUMBER($G28),$G28,$F28+$E28-$D28)),2,IF(AND(AV$2&gt;=$D28,AV$2&lt;=$E28),1,"")))</f>
        <v/>
      </c>
      <c r="AW28" s="38">
        <f>IF(OR(AW$2="",$D28=""),"",IF(AND(ISNUMBER($F28),AW$2&gt;=$F28,AW$2&lt;=IF(ISNUMBER($G28),$G28,$F28+$E28-$D28)),2,IF(AND(AW$2&gt;=$D28,AW$2&lt;=$E28),1,"")))</f>
        <v/>
      </c>
      <c r="AX28" s="38">
        <f>IF(OR(AX$2="",$D28=""),"",IF(AND(ISNUMBER($F28),AX$2&gt;=$F28,AX$2&lt;=IF(ISNUMBER($G28),$G28,$F28+$E28-$D28)),2,IF(AND(AX$2&gt;=$D28,AX$2&lt;=$E28),1,"")))</f>
        <v/>
      </c>
      <c r="AY28" s="38">
        <f>IF(OR(AY$2="",$D28=""),"",IF(AND(ISNUMBER($F28),AY$2&gt;=$F28,AY$2&lt;=IF(ISNUMBER($G28),$G28,$F28+$E28-$D28)),2,IF(AND(AY$2&gt;=$D28,AY$2&lt;=$E28),1,"")))</f>
        <v/>
      </c>
      <c r="AZ28" s="38">
        <f>IF(OR(AZ$2="",$D28=""),"",IF(AND(ISNUMBER($F28),AZ$2&gt;=$F28,AZ$2&lt;=IF(ISNUMBER($G28),$G28,$F28+$E28-$D28)),2,IF(AND(AZ$2&gt;=$D28,AZ$2&lt;=$E28),1,"")))</f>
        <v/>
      </c>
      <c r="BA28" s="38">
        <f>IF(OR(BA$2="",$D28=""),"",IF(AND(ISNUMBER($F28),BA$2&gt;=$F28,BA$2&lt;=IF(ISNUMBER($G28),$G28,$F28+$E28-$D28)),2,IF(AND(BA$2&gt;=$D28,BA$2&lt;=$E28),1,"")))</f>
        <v/>
      </c>
      <c r="BB28" s="38">
        <f>IF(OR(BB$2="",$D28=""),"",IF(AND(ISNUMBER($F28),BB$2&gt;=$F28,BB$2&lt;=IF(ISNUMBER($G28),$G28,$F28+$E28-$D28)),2,IF(AND(BB$2&gt;=$D28,BB$2&lt;=$E28),1,"")))</f>
        <v/>
      </c>
      <c r="BC28" s="38">
        <f>IF(OR(BC$2="",$D28=""),"",IF(AND(ISNUMBER($F28),BC$2&gt;=$F28,BC$2&lt;=IF(ISNUMBER($G28),$G28,$F28+$E28-$D28)),2,IF(AND(BC$2&gt;=$D28,BC$2&lt;=$E28),1,"")))</f>
        <v/>
      </c>
      <c r="BD28" s="38">
        <f>IF(OR(BD$2="",$D28=""),"",IF(AND(ISNUMBER($F28),BD$2&gt;=$F28,BD$2&lt;=IF(ISNUMBER($G28),$G28,$F28+$E28-$D28)),2,IF(AND(BD$2&gt;=$D28,BD$2&lt;=$E28),1,"")))</f>
        <v/>
      </c>
      <c r="BE28" s="38">
        <f>IF(OR(BE$2="",$D28=""),"",IF(AND(ISNUMBER($F28),BE$2&gt;=$F28,BE$2&lt;=IF(ISNUMBER($G28),$G28,$F28+$E28-$D28)),2,IF(AND(BE$2&gt;=$D28,BE$2&lt;=$E28),1,"")))</f>
        <v/>
      </c>
      <c r="BF28" s="38">
        <f>IF(OR(BF$2="",$D28=""),"",IF(AND(ISNUMBER($F28),BF$2&gt;=$F28,BF$2&lt;=IF(ISNUMBER($G28),$G28,$F28+$E28-$D28)),2,IF(AND(BF$2&gt;=$D28,BF$2&lt;=$E28),1,"")))</f>
        <v/>
      </c>
      <c r="BG28" s="38">
        <f>IF(OR(BG$2="",$D28=""),"",IF(AND(ISNUMBER($F28),BG$2&gt;=$F28,BG$2&lt;=IF(ISNUMBER($G28),$G28,$F28+$E28-$D28)),2,IF(AND(BG$2&gt;=$D28,BG$2&lt;=$E28),1,"")))</f>
        <v/>
      </c>
      <c r="BH28" s="38">
        <f>IF(OR(BH$2="",$D28=""),"",IF(AND(ISNUMBER($F28),BH$2&gt;=$F28,BH$2&lt;=IF(ISNUMBER($G28),$G28,$F28+$E28-$D28)),2,IF(AND(BH$2&gt;=$D28,BH$2&lt;=$E28),1,"")))</f>
        <v/>
      </c>
      <c r="BI28" s="38">
        <f>IF(OR(BI$2="",$D28=""),"",IF(AND(ISNUMBER($F28),BI$2&gt;=$F28,BI$2&lt;=IF(ISNUMBER($G28),$G28,$F28+$E28-$D28)),2,IF(AND(BI$2&gt;=$D28,BI$2&lt;=$E28),1,"")))</f>
        <v/>
      </c>
      <c r="BJ28" s="38">
        <f>IF(OR(BJ$2="",$D28=""),"",IF(AND(ISNUMBER($F28),BJ$2&gt;=$F28,BJ$2&lt;=IF(ISNUMBER($G28),$G28,$F28+$E28-$D28)),2,IF(AND(BJ$2&gt;=$D28,BJ$2&lt;=$E28),1,"")))</f>
        <v/>
      </c>
      <c r="BK28" s="38">
        <f>IF(OR(BK$2="",$D28=""),"",IF(AND(ISNUMBER($F28),BK$2&gt;=$F28,BK$2&lt;=IF(ISNUMBER($G28),$G28,$F28+$E28-$D28)),2,IF(AND(BK$2&gt;=$D28,BK$2&lt;=$E28),1,"")))</f>
        <v/>
      </c>
      <c r="BL28" s="38">
        <f>IF(OR(BL$2="",$D28=""),"",IF(AND(ISNUMBER($F28),BL$2&gt;=$F28,BL$2&lt;=IF(ISNUMBER($G28),$G28,$F28+$E28-$D28)),2,IF(AND(BL$2&gt;=$D28,BL$2&lt;=$E28),1,"")))</f>
        <v/>
      </c>
      <c r="BM28" s="38">
        <f>IF(OR(BM$2="",$D28=""),"",IF(AND(ISNUMBER($F28),BM$2&gt;=$F28,BM$2&lt;=IF(ISNUMBER($G28),$G28,$F28+$E28-$D28)),2,IF(AND(BM$2&gt;=$D28,BM$2&lt;=$E28),1,"")))</f>
        <v/>
      </c>
      <c r="BN28" s="38">
        <f>IF(OR(BN$2="",$D28=""),"",IF(AND(ISNUMBER($F28),BN$2&gt;=$F28,BN$2&lt;=IF(ISNUMBER($G28),$G28,$F28+$E28-$D28)),2,IF(AND(BN$2&gt;=$D28,BN$2&lt;=$E28),1,"")))</f>
        <v/>
      </c>
      <c r="BO28" s="38">
        <f>IF(OR(BO$2="",$D28=""),"",IF(AND(ISNUMBER($F28),BO$2&gt;=$F28,BO$2&lt;=IF(ISNUMBER($G28),$G28,$F28+$E28-$D28)),2,IF(AND(BO$2&gt;=$D28,BO$2&lt;=$E28),1,"")))</f>
        <v/>
      </c>
      <c r="BP28" s="38">
        <f>IF(OR(BP$2="",$D28=""),"",IF(AND(ISNUMBER($F28),BP$2&gt;=$F28,BP$2&lt;=IF(ISNUMBER($G28),$G28,$F28+$E28-$D28)),2,IF(AND(BP$2&gt;=$D28,BP$2&lt;=$E28),1,"")))</f>
        <v/>
      </c>
      <c r="BQ28" s="38">
        <f>IF(OR(BQ$2="",$D28=""),"",IF(AND(ISNUMBER($F28),BQ$2&gt;=$F28,BQ$2&lt;=IF(ISNUMBER($G28),$G28,$F28+$E28-$D28)),2,IF(AND(BQ$2&gt;=$D28,BQ$2&lt;=$E28),1,"")))</f>
        <v/>
      </c>
      <c r="BR28" s="38">
        <f>IF(OR(BR$2="",$D28=""),"",IF(AND(ISNUMBER($F28),BR$2&gt;=$F28,BR$2&lt;=IF(ISNUMBER($G28),$G28,$F28+$E28-$D28)),2,IF(AND(BR$2&gt;=$D28,BR$2&lt;=$E28),1,"")))</f>
        <v/>
      </c>
      <c r="BS28" s="38">
        <f>IF(OR(BS$2="",$D28=""),"",IF(AND(ISNUMBER($F28),BS$2&gt;=$F28,BS$2&lt;=IF(ISNUMBER($G28),$G28,$F28+$E28-$D28)),2,IF(AND(BS$2&gt;=$D28,BS$2&lt;=$E28),1,"")))</f>
        <v/>
      </c>
      <c r="BT28" s="38">
        <f>IF(OR(BT$2="",$D28=""),"",IF(AND(ISNUMBER($F28),BT$2&gt;=$F28,BT$2&lt;=IF(ISNUMBER($G28),$G28,$F28+$E28-$D28)),2,IF(AND(BT$2&gt;=$D28,BT$2&lt;=$E28),1,"")))</f>
        <v/>
      </c>
      <c r="BU28" s="38">
        <f>IF(OR(BU$2="",$D28=""),"",IF(AND(ISNUMBER($F28),BU$2&gt;=$F28,BU$2&lt;=IF(ISNUMBER($G28),$G28,$F28+$E28-$D28)),2,IF(AND(BU$2&gt;=$D28,BU$2&lt;=$E28),1,"")))</f>
        <v/>
      </c>
      <c r="BV28" s="38">
        <f>IF(OR(BV$2="",$D28=""),"",IF(AND(ISNUMBER($F28),BV$2&gt;=$F28,BV$2&lt;=IF(ISNUMBER($G28),$G28,$F28+$E28-$D28)),2,IF(AND(BV$2&gt;=$D28,BV$2&lt;=$E28),1,"")))</f>
        <v/>
      </c>
      <c r="BW28" s="38">
        <f>IF(OR(BW$2="",$D28=""),"",IF(AND(ISNUMBER($F28),BW$2&gt;=$F28,BW$2&lt;=IF(ISNUMBER($G28),$G28,$F28+$E28-$D28)),2,IF(AND(BW$2&gt;=$D28,BW$2&lt;=$E28),1,"")))</f>
        <v/>
      </c>
      <c r="BX28" s="38">
        <f>IF(OR(BX$2="",$D28=""),"",IF(AND(ISNUMBER($F28),BX$2&gt;=$F28,BX$2&lt;=IF(ISNUMBER($G28),$G28,$F28+$E28-$D28)),2,IF(AND(BX$2&gt;=$D28,BX$2&lt;=$E28),1,"")))</f>
        <v/>
      </c>
      <c r="BY28" s="38">
        <f>IF(OR(BY$2="",$D28=""),"",IF(AND(ISNUMBER($F28),BY$2&gt;=$F28,BY$2&lt;=IF(ISNUMBER($G28),$G28,$F28+$E28-$D28)),2,IF(AND(BY$2&gt;=$D28,BY$2&lt;=$E28),1,"")))</f>
        <v/>
      </c>
      <c r="BZ28" s="38">
        <f>IF(OR(BZ$2="",$D28=""),"",IF(AND(ISNUMBER($F28),BZ$2&gt;=$F28,BZ$2&lt;=IF(ISNUMBER($G28),$G28,$F28+$E28-$D28)),2,IF(AND(BZ$2&gt;=$D28,BZ$2&lt;=$E28),1,"")))</f>
        <v/>
      </c>
      <c r="CA28" s="38">
        <f>IF(OR(CA$2="",$D28=""),"",IF(AND(ISNUMBER($F28),CA$2&gt;=$F28,CA$2&lt;=IF(ISNUMBER($G28),$G28,$F28+$E28-$D28)),2,IF(AND(CA$2&gt;=$D28,CA$2&lt;=$E28),1,"")))</f>
        <v/>
      </c>
      <c r="CB28" s="38">
        <f>IF(OR(CB$2="",$D28=""),"",IF(AND(ISNUMBER($F28),CB$2&gt;=$F28,CB$2&lt;=IF(ISNUMBER($G28),$G28,$F28+$E28-$D28)),2,IF(AND(CB$2&gt;=$D28,CB$2&lt;=$E28),1,"")))</f>
        <v/>
      </c>
      <c r="CC28" s="38">
        <f>IF(OR(CC$2="",$D28=""),"",IF(AND(ISNUMBER($F28),CC$2&gt;=$F28,CC$2&lt;=IF(ISNUMBER($G28),$G28,$F28+$E28-$D28)),2,IF(AND(CC$2&gt;=$D28,CC$2&lt;=$E28),1,"")))</f>
        <v/>
      </c>
      <c r="CD28" s="38">
        <f>IF(OR(CD$2="",$D28=""),"",IF(AND(ISNUMBER($F28),CD$2&gt;=$F28,CD$2&lt;=IF(ISNUMBER($G28),$G28,$F28+$E28-$D28)),2,IF(AND(CD$2&gt;=$D28,CD$2&lt;=$E28),1,"")))</f>
        <v/>
      </c>
      <c r="CE28" s="38">
        <f>IF(OR(CE$2="",$D28=""),"",IF(AND(ISNUMBER($F28),CE$2&gt;=$F28,CE$2&lt;=IF(ISNUMBER($G28),$G28,$F28+$E28-$D28)),2,IF(AND(CE$2&gt;=$D28,CE$2&lt;=$E28),1,"")))</f>
        <v/>
      </c>
      <c r="CF28" s="38">
        <f>IF(OR(CF$2="",$D28=""),"",IF(AND(ISNUMBER($F28),CF$2&gt;=$F28,CF$2&lt;=IF(ISNUMBER($G28),$G28,$F28+$E28-$D28)),2,IF(AND(CF$2&gt;=$D28,CF$2&lt;=$E28),1,"")))</f>
        <v/>
      </c>
      <c r="CG28" s="38">
        <f>IF(OR(CG$2="",$D28=""),"",IF(AND(ISNUMBER($F28),CG$2&gt;=$F28,CG$2&lt;=IF(ISNUMBER($G28),$G28,$F28+$E28-$D28)),2,IF(AND(CG$2&gt;=$D28,CG$2&lt;=$E28),1,"")))</f>
        <v/>
      </c>
      <c r="CH28" s="38">
        <f>IF(OR(CH$2="",$D28=""),"",IF(AND(ISNUMBER($F28),CH$2&gt;=$F28,CH$2&lt;=IF(ISNUMBER($G28),$G28,$F28+$E28-$D28)),2,IF(AND(CH$2&gt;=$D28,CH$2&lt;=$E28),1,"")))</f>
        <v/>
      </c>
      <c r="CI28" s="38">
        <f>IF(OR(CI$2="",$D28=""),"",IF(AND(ISNUMBER($F28),CI$2&gt;=$F28,CI$2&lt;=IF(ISNUMBER($G28),$G28,$F28+$E28-$D28)),2,IF(AND(CI$2&gt;=$D28,CI$2&lt;=$E28),1,"")))</f>
        <v/>
      </c>
      <c r="CJ28" s="38">
        <f>IF(OR(CJ$2="",$D28=""),"",IF(AND(ISNUMBER($F28),CJ$2&gt;=$F28,CJ$2&lt;=IF(ISNUMBER($G28),$G28,$F28+$E28-$D28)),2,IF(AND(CJ$2&gt;=$D28,CJ$2&lt;=$E28),1,"")))</f>
        <v/>
      </c>
      <c r="CK28" s="38">
        <f>IF(OR(CK$2="",$D28=""),"",IF(AND(ISNUMBER($F28),CK$2&gt;=$F28,CK$2&lt;=IF(ISNUMBER($G28),$G28,$F28+$E28-$D28)),2,IF(AND(CK$2&gt;=$D28,CK$2&lt;=$E28),1,"")))</f>
        <v/>
      </c>
      <c r="CL28" s="38">
        <f>IF(OR(CL$2="",$D28=""),"",IF(AND(ISNUMBER($F28),CL$2&gt;=$F28,CL$2&lt;=IF(ISNUMBER($G28),$G28,$F28+$E28-$D28)),2,IF(AND(CL$2&gt;=$D28,CL$2&lt;=$E28),1,"")))</f>
        <v/>
      </c>
      <c r="CM28" s="38">
        <f>IF(OR(CM$2="",$D28=""),"",IF(AND(ISNUMBER($F28),CM$2&gt;=$F28,CM$2&lt;=IF(ISNUMBER($G28),$G28,$F28+$E28-$D28)),2,IF(AND(CM$2&gt;=$D28,CM$2&lt;=$E28),1,"")))</f>
        <v/>
      </c>
      <c r="CN28" s="38">
        <f>IF(OR(CN$2="",$D28=""),"",IF(AND(ISNUMBER($F28),CN$2&gt;=$F28,CN$2&lt;=IF(ISNUMBER($G28),$G28,$F28+$E28-$D28)),2,IF(AND(CN$2&gt;=$D28,CN$2&lt;=$E28),1,"")))</f>
        <v/>
      </c>
      <c r="CO28" s="38">
        <f>IF(OR(CO$2="",$D28=""),"",IF(AND(ISNUMBER($F28),CO$2&gt;=$F28,CO$2&lt;=IF(ISNUMBER($G28),$G28,$F28+$E28-$D28)),2,IF(AND(CO$2&gt;=$D28,CO$2&lt;=$E28),1,"")))</f>
        <v/>
      </c>
      <c r="CP28" s="38">
        <f>IF(OR(CP$2="",$D28=""),"",IF(AND(ISNUMBER($F28),CP$2&gt;=$F28,CP$2&lt;=IF(ISNUMBER($G28),$G28,$F28+$E28-$D28)),2,IF(AND(CP$2&gt;=$D28,CP$2&lt;=$E28),1,"")))</f>
        <v/>
      </c>
      <c r="CQ28" s="38">
        <f>IF(OR(CQ$2="",$D28=""),"",IF(AND(ISNUMBER($F28),CQ$2&gt;=$F28,CQ$2&lt;=IF(ISNUMBER($G28),$G28,$F28+$E28-$D28)),2,IF(AND(CQ$2&gt;=$D28,CQ$2&lt;=$E28),1,"")))</f>
        <v/>
      </c>
      <c r="CR28" s="38">
        <f>IF(OR(CR$2="",$D28=""),"",IF(AND(ISNUMBER($F28),CR$2&gt;=$F28,CR$2&lt;=IF(ISNUMBER($G28),$G28,$F28+$E28-$D28)),2,IF(AND(CR$2&gt;=$D28,CR$2&lt;=$E28),1,"")))</f>
        <v/>
      </c>
      <c r="CS28" s="38">
        <f>IF(OR(CS$2="",$D28=""),"",IF(AND(ISNUMBER($F28),CS$2&gt;=$F28,CS$2&lt;=IF(ISNUMBER($G28),$G28,$F28+$E28-$D28)),2,IF(AND(CS$2&gt;=$D28,CS$2&lt;=$E28),1,"")))</f>
        <v/>
      </c>
      <c r="CT28" s="38">
        <f>IF(OR(CT$2="",$D28=""),"",IF(AND(ISNUMBER($F28),CT$2&gt;=$F28,CT$2&lt;=IF(ISNUMBER($G28),$G28,$F28+$E28-$D28)),2,IF(AND(CT$2&gt;=$D28,CT$2&lt;=$E28),1,"")))</f>
        <v/>
      </c>
      <c r="CU28" s="38">
        <f>IF(OR(CU$2="",$D28=""),"",IF(AND(ISNUMBER($F28),CU$2&gt;=$F28,CU$2&lt;=IF(ISNUMBER($G28),$G28,$F28+$E28-$D28)),2,IF(AND(CU$2&gt;=$D28,CU$2&lt;=$E28),1,"")))</f>
        <v/>
      </c>
      <c r="CV28" s="38">
        <f>IF(OR(CV$2="",$D28=""),"",IF(AND(ISNUMBER($F28),CV$2&gt;=$F28,CV$2&lt;=IF(ISNUMBER($G28),$G28,$F28+$E28-$D28)),2,IF(AND(CV$2&gt;=$D28,CV$2&lt;=$E28),1,"")))</f>
        <v/>
      </c>
      <c r="CW28" s="38">
        <f>IF(OR(CW$2="",$D28=""),"",IF(AND(ISNUMBER($F28),CW$2&gt;=$F28,CW$2&lt;=IF(ISNUMBER($G28),$G28,$F28+$E28-$D28)),2,IF(AND(CW$2&gt;=$D28,CW$2&lt;=$E28),1,"")))</f>
        <v/>
      </c>
      <c r="CX28" s="38">
        <f>IF(OR(CX$2="",$D28=""),"",IF(AND(ISNUMBER($F28),CX$2&gt;=$F28,CX$2&lt;=IF(ISNUMBER($G28),$G28,$F28+$E28-$D28)),2,IF(AND(CX$2&gt;=$D28,CX$2&lt;=$E28),1,"")))</f>
        <v/>
      </c>
      <c r="CY28" s="38">
        <f>IF(OR(CY$2="",$D28=""),"",IF(AND(ISNUMBER($F28),CY$2&gt;=$F28,CY$2&lt;=IF(ISNUMBER($G28),$G28,$F28+$E28-$D28)),2,IF(AND(CY$2&gt;=$D28,CY$2&lt;=$E28),1,"")))</f>
        <v/>
      </c>
      <c r="CZ28" s="38">
        <f>IF(OR(CZ$2="",$D28=""),"",IF(AND(ISNUMBER($F28),CZ$2&gt;=$F28,CZ$2&lt;=IF(ISNUMBER($G28),$G28,$F28+$E28-$D28)),2,IF(AND(CZ$2&gt;=$D28,CZ$2&lt;=$E28),1,"")))</f>
        <v/>
      </c>
      <c r="DA28" s="38">
        <f>IF(OR(DA$2="",$D28=""),"",IF(AND(ISNUMBER($F28),DA$2&gt;=$F28,DA$2&lt;=IF(ISNUMBER($G28),$G28,$F28+$E28-$D28)),2,IF(AND(DA$2&gt;=$D28,DA$2&lt;=$E28),1,"")))</f>
        <v/>
      </c>
      <c r="DB28" s="38">
        <f>IF(OR(DB$2="",$D28=""),"",IF(AND(ISNUMBER($F28),DB$2&gt;=$F28,DB$2&lt;=IF(ISNUMBER($G28),$G28,$F28+$E28-$D28)),2,IF(AND(DB$2&gt;=$D28,DB$2&lt;=$E28),1,"")))</f>
        <v/>
      </c>
      <c r="DC28" s="38">
        <f>IF(OR(DC$2="",$D28=""),"",IF(AND(ISNUMBER($F28),DC$2&gt;=$F28,DC$2&lt;=IF(ISNUMBER($G28),$G28,$F28+$E28-$D28)),2,IF(AND(DC$2&gt;=$D28,DC$2&lt;=$E28),1,"")))</f>
        <v/>
      </c>
      <c r="DD28" s="38">
        <f>IF(OR(DD$2="",$D28=""),"",IF(AND(ISNUMBER($F28),DD$2&gt;=$F28,DD$2&lt;=IF(ISNUMBER($G28),$G28,$F28+$E28-$D28)),2,IF(AND(DD$2&gt;=$D28,DD$2&lt;=$E28),1,"")))</f>
        <v/>
      </c>
      <c r="DE28" s="38">
        <f>IF(OR(DE$2="",$D28=""),"",IF(AND(ISNUMBER($F28),DE$2&gt;=$F28,DE$2&lt;=IF(ISNUMBER($G28),$G28,$F28+$E28-$D28)),2,IF(AND(DE$2&gt;=$D28,DE$2&lt;=$E28),1,"")))</f>
        <v/>
      </c>
      <c r="DF28" s="38">
        <f>IF(OR(DF$2="",$D28=""),"",IF(AND(ISNUMBER($F28),DF$2&gt;=$F28,DF$2&lt;=IF(ISNUMBER($G28),$G28,$F28+$E28-$D28)),2,IF(AND(DF$2&gt;=$D28,DF$2&lt;=$E28),1,"")))</f>
        <v/>
      </c>
      <c r="DG28" s="38">
        <f>IF(OR(DG$2="",$D28=""),"",IF(AND(ISNUMBER($F28),DG$2&gt;=$F28,DG$2&lt;=IF(ISNUMBER($G28),$G28,$F28+$E28-$D28)),2,IF(AND(DG$2&gt;=$D28,DG$2&lt;=$E28),1,"")))</f>
        <v/>
      </c>
      <c r="DH28" s="38">
        <f>IF(OR(DH$2="",$D28=""),"",IF(AND(ISNUMBER($F28),DH$2&gt;=$F28,DH$2&lt;=IF(ISNUMBER($G28),$G28,$F28+$E28-$D28)),2,IF(AND(DH$2&gt;=$D28,DH$2&lt;=$E28),1,"")))</f>
        <v/>
      </c>
      <c r="DI28" s="38">
        <f>IF(OR(DI$2="",$D28=""),"",IF(AND(ISNUMBER($F28),DI$2&gt;=$F28,DI$2&lt;=IF(ISNUMBER($G28),$G28,$F28+$E28-$D28)),2,IF(AND(DI$2&gt;=$D28,DI$2&lt;=$E28),1,"")))</f>
        <v/>
      </c>
      <c r="DJ28" s="38">
        <f>IF(OR(DJ$2="",$D28=""),"",IF(AND(ISNUMBER($F28),DJ$2&gt;=$F28,DJ$2&lt;=IF(ISNUMBER($G28),$G28,$F28+$E28-$D28)),2,IF(AND(DJ$2&gt;=$D28,DJ$2&lt;=$E28),1,"")))</f>
        <v/>
      </c>
      <c r="DK28" s="38">
        <f>IF(OR(DK$2="",$D28=""),"",IF(AND(ISNUMBER($F28),DK$2&gt;=$F28,DK$2&lt;=IF(ISNUMBER($G28),$G28,$F28+$E28-$D28)),2,IF(AND(DK$2&gt;=$D28,DK$2&lt;=$E28),1,"")))</f>
        <v/>
      </c>
      <c r="DL28" s="38">
        <f>IF(OR(DL$2="",$D28=""),"",IF(AND(ISNUMBER($F28),DL$2&gt;=$F28,DL$2&lt;=IF(ISNUMBER($G28),$G28,$F28+$E28-$D28)),2,IF(AND(DL$2&gt;=$D28,DL$2&lt;=$E28),1,"")))</f>
        <v/>
      </c>
      <c r="DM28" s="38">
        <f>IF(OR(DM$2="",$D28=""),"",IF(AND(ISNUMBER($F28),DM$2&gt;=$F28,DM$2&lt;=IF(ISNUMBER($G28),$G28,$F28+$E28-$D28)),2,IF(AND(DM$2&gt;=$D28,DM$2&lt;=$E28),1,"")))</f>
        <v/>
      </c>
      <c r="DN28" s="38">
        <f>IF(OR(DN$2="",$D28=""),"",IF(AND(ISNUMBER($F28),DN$2&gt;=$F28,DN$2&lt;=IF(ISNUMBER($G28),$G28,$F28+$E28-$D28)),2,IF(AND(DN$2&gt;=$D28,DN$2&lt;=$E28),1,"")))</f>
        <v/>
      </c>
      <c r="DO28" s="38">
        <f>IF(OR(DO$2="",$D28=""),"",IF(AND(ISNUMBER($F28),DO$2&gt;=$F28,DO$2&lt;=IF(ISNUMBER($G28),$G28,$F28+$E28-$D28)),2,IF(AND(DO$2&gt;=$D28,DO$2&lt;=$E28),1,"")))</f>
        <v/>
      </c>
      <c r="DP28" s="38">
        <f>IF(OR(DP$2="",$D28=""),"",IF(AND(ISNUMBER($F28),DP$2&gt;=$F28,DP$2&lt;=IF(ISNUMBER($G28),$G28,$F28+$E28-$D28)),2,IF(AND(DP$2&gt;=$D28,DP$2&lt;=$E28),1,"")))</f>
        <v/>
      </c>
      <c r="DQ28" s="38">
        <f>IF(OR(DQ$2="",$D28=""),"",IF(AND(ISNUMBER($F28),DQ$2&gt;=$F28,DQ$2&lt;=IF(ISNUMBER($G28),$G28,$F28+$E28-$D28)),2,IF(AND(DQ$2&gt;=$D28,DQ$2&lt;=$E28),1,"")))</f>
        <v/>
      </c>
      <c r="DR28" s="38">
        <f>IF(OR(DR$2="",$D28=""),"",IF(AND(ISNUMBER($F28),DR$2&gt;=$F28,DR$2&lt;=IF(ISNUMBER($G28),$G28,$F28+$E28-$D28)),2,IF(AND(DR$2&gt;=$D28,DR$2&lt;=$E28),1,"")))</f>
        <v/>
      </c>
      <c r="DS28" s="38">
        <f>IF(OR(DS$2="",$D28=""),"",IF(AND(ISNUMBER($F28),DS$2&gt;=$F28,DS$2&lt;=IF(ISNUMBER($G28),$G28,$F28+$E28-$D28)),2,IF(AND(DS$2&gt;=$D28,DS$2&lt;=$E28),1,"")))</f>
        <v/>
      </c>
      <c r="DT28" s="38">
        <f>IF(OR(DT$2="",$D28=""),"",IF(AND(ISNUMBER($F28),DT$2&gt;=$F28,DT$2&lt;=IF(ISNUMBER($G28),$G28,$F28+$E28-$D28)),2,IF(AND(DT$2&gt;=$D28,DT$2&lt;=$E28),1,"")))</f>
        <v/>
      </c>
      <c r="DU28" s="38">
        <f>IF(OR(DU$2="",$D28=""),"",IF(AND(ISNUMBER($F28),DU$2&gt;=$F28,DU$2&lt;=IF(ISNUMBER($G28),$G28,$F28+$E28-$D28)),2,IF(AND(DU$2&gt;=$D28,DU$2&lt;=$E28),1,"")))</f>
        <v/>
      </c>
      <c r="DV28" s="38">
        <f>IF(OR(DV$2="",$D28=""),"",IF(AND(ISNUMBER($F28),DV$2&gt;=$F28,DV$2&lt;=IF(ISNUMBER($G28),$G28,$F28+$E28-$D28)),2,IF(AND(DV$2&gt;=$D28,DV$2&lt;=$E28),1,"")))</f>
        <v/>
      </c>
      <c r="DW28" s="38">
        <f>IF(OR(DW$2="",$D28=""),"",IF(AND(ISNUMBER($F28),DW$2&gt;=$F28,DW$2&lt;=IF(ISNUMBER($G28),$G28,$F28+$E28-$D28)),2,IF(AND(DW$2&gt;=$D28,DW$2&lt;=$E28),1,"")))</f>
        <v/>
      </c>
      <c r="DX28" s="38">
        <f>IF(OR(DX$2="",$D28=""),"",IF(AND(ISNUMBER($F28),DX$2&gt;=$F28,DX$2&lt;=IF(ISNUMBER($G28),$G28,$F28+$E28-$D28)),2,IF(AND(DX$2&gt;=$D28,DX$2&lt;=$E28),1,"")))</f>
        <v/>
      </c>
      <c r="DY28" s="38">
        <f>IF(OR(DY$2="",$D28=""),"",IF(AND(ISNUMBER($F28),DY$2&gt;=$F28,DY$2&lt;=IF(ISNUMBER($G28),$G28,$F28+$E28-$D28)),2,IF(AND(DY$2&gt;=$D28,DY$2&lt;=$E28),1,"")))</f>
        <v/>
      </c>
      <c r="DZ28" s="38">
        <f>IF(OR(DZ$2="",$D28=""),"",IF(AND(ISNUMBER($F28),DZ$2&gt;=$F28,DZ$2&lt;=IF(ISNUMBER($G28),$G28,$F28+$E28-$D28)),2,IF(AND(DZ$2&gt;=$D28,DZ$2&lt;=$E28),1,"")))</f>
        <v/>
      </c>
      <c r="EA28" s="38">
        <f>IF(OR(EA$2="",$D28=""),"",IF(AND(ISNUMBER($F28),EA$2&gt;=$F28,EA$2&lt;=IF(ISNUMBER($G28),$G28,$F28+$E28-$D28)),2,IF(AND(EA$2&gt;=$D28,EA$2&lt;=$E28),1,"")))</f>
        <v/>
      </c>
      <c r="EB28" s="38">
        <f>IF(OR(EB$2="",$D28=""),"",IF(AND(ISNUMBER($F28),EB$2&gt;=$F28,EB$2&lt;=IF(ISNUMBER($G28),$G28,$F28+$E28-$D28)),2,IF(AND(EB$2&gt;=$D28,EB$2&lt;=$E28),1,"")))</f>
        <v/>
      </c>
      <c r="EC28" s="38">
        <f>IF(OR(EC$2="",$D28=""),"",IF(AND(ISNUMBER($F28),EC$2&gt;=$F28,EC$2&lt;=IF(ISNUMBER($G28),$G28,$F28+$E28-$D28)),2,IF(AND(EC$2&gt;=$D28,EC$2&lt;=$E28),1,"")))</f>
        <v/>
      </c>
      <c r="ED28" s="38">
        <f>IF(OR(ED$2="",$D28=""),"",IF(AND(ISNUMBER($F28),ED$2&gt;=$F28,ED$2&lt;=IF(ISNUMBER($G28),$G28,$F28+$E28-$D28)),2,IF(AND(ED$2&gt;=$D28,ED$2&lt;=$E28),1,"")))</f>
        <v/>
      </c>
      <c r="EE28" s="38">
        <f>IF(OR(EE$2="",$D28=""),"",IF(AND(ISNUMBER($F28),EE$2&gt;=$F28,EE$2&lt;=IF(ISNUMBER($G28),$G28,$F28+$E28-$D28)),2,IF(AND(EE$2&gt;=$D28,EE$2&lt;=$E28),1,"")))</f>
        <v/>
      </c>
      <c r="EF28" s="38">
        <f>IF(OR(EF$2="",$D28=""),"",IF(AND(ISNUMBER($F28),EF$2&gt;=$F28,EF$2&lt;=IF(ISNUMBER($G28),$G28,$F28+$E28-$D28)),2,IF(AND(EF$2&gt;=$D28,EF$2&lt;=$E28),1,"")))</f>
        <v/>
      </c>
      <c r="EG28" s="38">
        <f>IF(OR(EG$2="",$D28=""),"",IF(AND(ISNUMBER($F28),EG$2&gt;=$F28,EG$2&lt;=IF(ISNUMBER($G28),$G28,$F28+$E28-$D28)),2,IF(AND(EG$2&gt;=$D28,EG$2&lt;=$E28),1,"")))</f>
        <v/>
      </c>
      <c r="EH28" s="38">
        <f>IF(OR(EH$2="",$D28=""),"",IF(AND(ISNUMBER($F28),EH$2&gt;=$F28,EH$2&lt;=IF(ISNUMBER($G28),$G28,$F28+$E28-$D28)),2,IF(AND(EH$2&gt;=$D28,EH$2&lt;=$E28),1,"")))</f>
        <v/>
      </c>
      <c r="EI28" s="38">
        <f>IF(OR(EI$2="",$D28=""),"",IF(AND(ISNUMBER($F28),EI$2&gt;=$F28,EI$2&lt;=IF(ISNUMBER($G28),$G28,$F28+$E28-$D28)),2,IF(AND(EI$2&gt;=$D28,EI$2&lt;=$E28),1,"")))</f>
        <v/>
      </c>
      <c r="EJ28" s="38">
        <f>IF(OR(EJ$2="",$D28=""),"",IF(AND(ISNUMBER($F28),EJ$2&gt;=$F28,EJ$2&lt;=IF(ISNUMBER($G28),$G28,$F28+$E28-$D28)),2,IF(AND(EJ$2&gt;=$D28,EJ$2&lt;=$E28),1,"")))</f>
        <v/>
      </c>
      <c r="EK28" s="38">
        <f>IF(OR(EK$2="",$D28=""),"",IF(AND(ISNUMBER($F28),EK$2&gt;=$F28,EK$2&lt;=IF(ISNUMBER($G28),$G28,$F28+$E28-$D28)),2,IF(AND(EK$2&gt;=$D28,EK$2&lt;=$E28),1,"")))</f>
        <v/>
      </c>
      <c r="EL28" s="38">
        <f>IF(OR(EL$2="",$D28=""),"",IF(AND(ISNUMBER($F28),EL$2&gt;=$F28,EL$2&lt;=IF(ISNUMBER($G28),$G28,$F28+$E28-$D28)),2,IF(AND(EL$2&gt;=$D28,EL$2&lt;=$E28),1,"")))</f>
        <v/>
      </c>
      <c r="EM28" s="38">
        <f>IF(OR(EM$2="",$D28=""),"",IF(AND(ISNUMBER($F28),EM$2&gt;=$F28,EM$2&lt;=IF(ISNUMBER($G28),$G28,$F28+$E28-$D28)),2,IF(AND(EM$2&gt;=$D28,EM$2&lt;=$E28),1,"")))</f>
        <v/>
      </c>
      <c r="EN28" s="38">
        <f>IF(OR(EN$2="",$D28=""),"",IF(AND(ISNUMBER($F28),EN$2&gt;=$F28,EN$2&lt;=IF(ISNUMBER($G28),$G28,$F28+$E28-$D28)),2,IF(AND(EN$2&gt;=$D28,EN$2&lt;=$E28),1,"")))</f>
        <v/>
      </c>
      <c r="EO28" s="38">
        <f>IF(OR(EO$2="",$D28=""),"",IF(AND(ISNUMBER($F28),EO$2&gt;=$F28,EO$2&lt;=IF(ISNUMBER($G28),$G28,$F28+$E28-$D28)),2,IF(AND(EO$2&gt;=$D28,EO$2&lt;=$E28),1,"")))</f>
        <v/>
      </c>
      <c r="EP28" s="38">
        <f>IF(OR(EP$2="",$D28=""),"",IF(AND(ISNUMBER($F28),EP$2&gt;=$F28,EP$2&lt;=IF(ISNUMBER($G28),$G28,$F28+$E28-$D28)),2,IF(AND(EP$2&gt;=$D28,EP$2&lt;=$E28),1,"")))</f>
        <v/>
      </c>
      <c r="EQ28" s="38">
        <f>IF(OR(EQ$2="",$D28=""),"",IF(AND(ISNUMBER($F28),EQ$2&gt;=$F28,EQ$2&lt;=IF(ISNUMBER($G28),$G28,$F28+$E28-$D28)),2,IF(AND(EQ$2&gt;=$D28,EQ$2&lt;=$E28),1,"")))</f>
        <v/>
      </c>
      <c r="ER28" s="38">
        <f>IF(OR(ER$2="",$D28=""),"",IF(AND(ISNUMBER($F28),ER$2&gt;=$F28,ER$2&lt;=IF(ISNUMBER($G28),$G28,$F28+$E28-$D28)),2,IF(AND(ER$2&gt;=$D28,ER$2&lt;=$E28),1,"")))</f>
        <v/>
      </c>
      <c r="ES28" s="38">
        <f>IF(OR(ES$2="",$D28=""),"",IF(AND(ISNUMBER($F28),ES$2&gt;=$F28,ES$2&lt;=IF(ISNUMBER($G28),$G28,$F28+$E28-$D28)),2,IF(AND(ES$2&gt;=$D28,ES$2&lt;=$E28),1,"")))</f>
        <v/>
      </c>
      <c r="ET28" s="38">
        <f>IF(OR(ET$2="",$D28=""),"",IF(AND(ISNUMBER($F28),ET$2&gt;=$F28,ET$2&lt;=IF(ISNUMBER($G28),$G28,$F28+$E28-$D28)),2,IF(AND(ET$2&gt;=$D28,ET$2&lt;=$E28),1,"")))</f>
        <v/>
      </c>
      <c r="EU28" s="38">
        <f>IF(OR(EU$2="",$D28=""),"",IF(AND(ISNUMBER($F28),EU$2&gt;=$F28,EU$2&lt;=IF(ISNUMBER($G28),$G28,$F28+$E28-$D28)),2,IF(AND(EU$2&gt;=$D28,EU$2&lt;=$E28),1,"")))</f>
        <v/>
      </c>
      <c r="EV28" s="38">
        <f>IF(OR(EV$2="",$D28=""),"",IF(AND(ISNUMBER($F28),EV$2&gt;=$F28,EV$2&lt;=IF(ISNUMBER($G28),$G28,$F28+$E28-$D28)),2,IF(AND(EV$2&gt;=$D28,EV$2&lt;=$E28),1,"")))</f>
        <v/>
      </c>
      <c r="EW28" s="38">
        <f>IF(OR(EW$2="",$D28=""),"",IF(AND(ISNUMBER($F28),EW$2&gt;=$F28,EW$2&lt;=IF(ISNUMBER($G28),$G28,$F28+$E28-$D28)),2,IF(AND(EW$2&gt;=$D28,EW$2&lt;=$E28),1,"")))</f>
        <v/>
      </c>
      <c r="EX28" s="38">
        <f>IF(OR(EX$2="",$D28=""),"",IF(AND(ISNUMBER($F28),EX$2&gt;=$F28,EX$2&lt;=IF(ISNUMBER($G28),$G28,$F28+$E28-$D28)),2,IF(AND(EX$2&gt;=$D28,EX$2&lt;=$E28),1,"")))</f>
        <v/>
      </c>
      <c r="EY28" s="38">
        <f>IF(OR(EY$2="",$D28=""),"",IF(AND(ISNUMBER($F28),EY$2&gt;=$F28,EY$2&lt;=IF(ISNUMBER($G28),$G28,$F28+$E28-$D28)),2,IF(AND(EY$2&gt;=$D28,EY$2&lt;=$E28),1,"")))</f>
        <v/>
      </c>
      <c r="EZ28" s="38">
        <f>IF(OR(EZ$2="",$D28=""),"",IF(AND(ISNUMBER($F28),EZ$2&gt;=$F28,EZ$2&lt;=IF(ISNUMBER($G28),$G28,$F28+$E28-$D28)),2,IF(AND(EZ$2&gt;=$D28,EZ$2&lt;=$E28),1,"")))</f>
        <v/>
      </c>
      <c r="FA28" s="38">
        <f>IF(OR(FA$2="",$D28=""),"",IF(AND(ISNUMBER($F28),FA$2&gt;=$F28,FA$2&lt;=IF(ISNUMBER($G28),$G28,$F28+$E28-$D28)),2,IF(AND(FA$2&gt;=$D28,FA$2&lt;=$E28),1,"")))</f>
        <v/>
      </c>
      <c r="FB28" s="38">
        <f>IF(OR(FB$2="",$D28=""),"",IF(AND(ISNUMBER($F28),FB$2&gt;=$F28,FB$2&lt;=IF(ISNUMBER($G28),$G28,$F28+$E28-$D28)),2,IF(AND(FB$2&gt;=$D28,FB$2&lt;=$E28),1,"")))</f>
        <v/>
      </c>
      <c r="FC28" s="38">
        <f>IF(OR(FC$2="",$D28=""),"",IF(AND(ISNUMBER($F28),FC$2&gt;=$F28,FC$2&lt;=IF(ISNUMBER($G28),$G28,$F28+$E28-$D28)),2,IF(AND(FC$2&gt;=$D28,FC$2&lt;=$E28),1,"")))</f>
        <v/>
      </c>
      <c r="FD28" s="38">
        <f>IF(OR(FD$2="",$D28=""),"",IF(AND(ISNUMBER($F28),FD$2&gt;=$F28,FD$2&lt;=IF(ISNUMBER($G28),$G28,$F28+$E28-$D28)),2,IF(AND(FD$2&gt;=$D28,FD$2&lt;=$E28),1,"")))</f>
        <v/>
      </c>
      <c r="FE28" s="38">
        <f>IF(OR(FE$2="",$D28=""),"",IF(AND(ISNUMBER($F28),FE$2&gt;=$F28,FE$2&lt;=IF(ISNUMBER($G28),$G28,$F28+$E28-$D28)),2,IF(AND(FE$2&gt;=$D28,FE$2&lt;=$E28),1,"")))</f>
        <v/>
      </c>
      <c r="FF28" s="38">
        <f>IF(OR(FF$2="",$D28=""),"",IF(AND(ISNUMBER($F28),FF$2&gt;=$F28,FF$2&lt;=IF(ISNUMBER($G28),$G28,$F28+$E28-$D28)),2,IF(AND(FF$2&gt;=$D28,FF$2&lt;=$E28),1,"")))</f>
        <v/>
      </c>
      <c r="FG28" s="38">
        <f>IF(OR(FG$2="",$D28=""),"",IF(AND(ISNUMBER($F28),FG$2&gt;=$F28,FG$2&lt;=IF(ISNUMBER($G28),$G28,$F28+$E28-$D28)),2,IF(AND(FG$2&gt;=$D28,FG$2&lt;=$E28),1,"")))</f>
        <v/>
      </c>
      <c r="FH28" s="38">
        <f>IF(OR(FH$2="",$D28=""),"",IF(AND(ISNUMBER($F28),FH$2&gt;=$F28,FH$2&lt;=IF(ISNUMBER($G28),$G28,$F28+$E28-$D28)),2,IF(AND(FH$2&gt;=$D28,FH$2&lt;=$E28),1,"")))</f>
        <v/>
      </c>
      <c r="FI28" s="38">
        <f>IF(OR(FI$2="",$D28=""),"",IF(AND(ISNUMBER($F28),FI$2&gt;=$F28,FI$2&lt;=IF(ISNUMBER($G28),$G28,$F28+$E28-$D28)),2,IF(AND(FI$2&gt;=$D28,FI$2&lt;=$E28),1,"")))</f>
        <v/>
      </c>
      <c r="FJ28" s="38">
        <f>IF(OR(FJ$2="",$D28=""),"",IF(AND(ISNUMBER($F28),FJ$2&gt;=$F28,FJ$2&lt;=IF(ISNUMBER($G28),$G28,$F28+$E28-$D28)),2,IF(AND(FJ$2&gt;=$D28,FJ$2&lt;=$E28),1,"")))</f>
        <v/>
      </c>
      <c r="FK28" s="38">
        <f>IF(OR(FK$2="",$D28=""),"",IF(AND(ISNUMBER($F28),FK$2&gt;=$F28,FK$2&lt;=IF(ISNUMBER($G28),$G28,$F28+$E28-$D28)),2,IF(AND(FK$2&gt;=$D28,FK$2&lt;=$E28),1,"")))</f>
        <v/>
      </c>
      <c r="FL28" s="38">
        <f>IF(OR(FL$2="",$D28=""),"",IF(AND(ISNUMBER($F28),FL$2&gt;=$F28,FL$2&lt;=IF(ISNUMBER($G28),$G28,$F28+$E28-$D28)),2,IF(AND(FL$2&gt;=$D28,FL$2&lt;=$E28),1,"")))</f>
        <v/>
      </c>
      <c r="FM28" s="38">
        <f>IF(OR(FM$2="",$D28=""),"",IF(AND(ISNUMBER($F28),FM$2&gt;=$F28,FM$2&lt;=IF(ISNUMBER($G28),$G28,$F28+$E28-$D28)),2,IF(AND(FM$2&gt;=$D28,FM$2&lt;=$E28),1,"")))</f>
        <v/>
      </c>
      <c r="FN28" s="38">
        <f>IF(OR(FN$2="",$D28=""),"",IF(AND(ISNUMBER($F28),FN$2&gt;=$F28,FN$2&lt;=IF(ISNUMBER($G28),$G28,$F28+$E28-$D28)),2,IF(AND(FN$2&gt;=$D28,FN$2&lt;=$E28),1,"")))</f>
        <v/>
      </c>
      <c r="FO28" s="38">
        <f>IF(OR(FO$2="",$D28=""),"",IF(AND(ISNUMBER($F28),FO$2&gt;=$F28,FO$2&lt;=IF(ISNUMBER($G28),$G28,$F28+$E28-$D28)),2,IF(AND(FO$2&gt;=$D28,FO$2&lt;=$E28),1,"")))</f>
        <v/>
      </c>
      <c r="FP28" s="38">
        <f>IF(OR(FP$2="",$D28=""),"",IF(AND(ISNUMBER($F28),FP$2&gt;=$F28,FP$2&lt;=IF(ISNUMBER($G28),$G28,$F28+$E28-$D28)),2,IF(AND(FP$2&gt;=$D28,FP$2&lt;=$E28),1,"")))</f>
        <v/>
      </c>
      <c r="FQ28" s="38">
        <f>IF(OR(FQ$2="",$D28=""),"",IF(AND(ISNUMBER($F28),FQ$2&gt;=$F28,FQ$2&lt;=IF(ISNUMBER($G28),$G28,$F28+$E28-$D28)),2,IF(AND(FQ$2&gt;=$D28,FQ$2&lt;=$E28),1,"")))</f>
        <v/>
      </c>
      <c r="FR28" s="38">
        <f>IF(OR(FR$2="",$D28=""),"",IF(AND(ISNUMBER($F28),FR$2&gt;=$F28,FR$2&lt;=IF(ISNUMBER($G28),$G28,$F28+$E28-$D28)),2,IF(AND(FR$2&gt;=$D28,FR$2&lt;=$E28),1,"")))</f>
        <v/>
      </c>
      <c r="FS28" s="38">
        <f>IF(OR(FS$2="",$D28=""),"",IF(AND(ISNUMBER($F28),FS$2&gt;=$F28,FS$2&lt;=IF(ISNUMBER($G28),$G28,$F28+$E28-$D28)),2,IF(AND(FS$2&gt;=$D28,FS$2&lt;=$E28),1,"")))</f>
        <v/>
      </c>
      <c r="FT28" s="38">
        <f>IF(OR(FT$2="",$D28=""),"",IF(AND(ISNUMBER($F28),FT$2&gt;=$F28,FT$2&lt;=IF(ISNUMBER($G28),$G28,$F28+$E28-$D28)),2,IF(AND(FT$2&gt;=$D28,FT$2&lt;=$E28),1,"")))</f>
        <v/>
      </c>
      <c r="FU28" s="38">
        <f>IF(OR(FU$2="",$D28=""),"",IF(AND(ISNUMBER($F28),FU$2&gt;=$F28,FU$2&lt;=IF(ISNUMBER($G28),$G28,$F28+$E28-$D28)),2,IF(AND(FU$2&gt;=$D28,FU$2&lt;=$E28),1,"")))</f>
        <v/>
      </c>
      <c r="FV28" s="38">
        <f>IF(OR(FV$2="",$D28=""),"",IF(AND(ISNUMBER($F28),FV$2&gt;=$F28,FV$2&lt;=IF(ISNUMBER($G28),$G28,$F28+$E28-$D28)),2,IF(AND(FV$2&gt;=$D28,FV$2&lt;=$E28),1,"")))</f>
        <v/>
      </c>
      <c r="FW28" s="38">
        <f>IF(OR(FW$2="",$D28=""),"",IF(AND(ISNUMBER($F28),FW$2&gt;=$F28,FW$2&lt;=IF(ISNUMBER($G28),$G28,$F28+$E28-$D28)),2,IF(AND(FW$2&gt;=$D28,FW$2&lt;=$E28),1,"")))</f>
        <v/>
      </c>
      <c r="FX28" s="38">
        <f>IF(OR(FX$2="",$D28=""),"",IF(AND(ISNUMBER($F28),FX$2&gt;=$F28,FX$2&lt;=IF(ISNUMBER($G28),$G28,$F28+$E28-$D28)),2,IF(AND(FX$2&gt;=$D28,FX$2&lt;=$E28),1,"")))</f>
        <v/>
      </c>
      <c r="FY28" s="38">
        <f>IF(OR(FY$2="",$D28=""),"",IF(AND(ISNUMBER($F28),FY$2&gt;=$F28,FY$2&lt;=IF(ISNUMBER($G28),$G28,$F28+$E28-$D28)),2,IF(AND(FY$2&gt;=$D28,FY$2&lt;=$E28),1,"")))</f>
        <v/>
      </c>
      <c r="FZ28" s="38">
        <f>IF(OR(FZ$2="",$D28=""),"",IF(AND(ISNUMBER($F28),FZ$2&gt;=$F28,FZ$2&lt;=IF(ISNUMBER($G28),$G28,$F28+$E28-$D28)),2,IF(AND(FZ$2&gt;=$D28,FZ$2&lt;=$E28),1,"")))</f>
        <v/>
      </c>
      <c r="GA28" s="38">
        <f>IF(OR(GA$2="",$D28=""),"",IF(AND(ISNUMBER($F28),GA$2&gt;=$F28,GA$2&lt;=IF(ISNUMBER($G28),$G28,$F28+$E28-$D28)),2,IF(AND(GA$2&gt;=$D28,GA$2&lt;=$E28),1,"")))</f>
        <v/>
      </c>
      <c r="GB28" s="38">
        <f>IF(OR(GB$2="",$D28=""),"",IF(AND(ISNUMBER($F28),GB$2&gt;=$F28,GB$2&lt;=IF(ISNUMBER($G28),$G28,$F28+$E28-$D28)),2,IF(AND(GB$2&gt;=$D28,GB$2&lt;=$E28),1,"")))</f>
        <v/>
      </c>
      <c r="GC28" s="38">
        <f>IF(OR(GC$2="",$D28=""),"",IF(AND(ISNUMBER($F28),GC$2&gt;=$F28,GC$2&lt;=IF(ISNUMBER($G28),$G28,$F28+$E28-$D28)),2,IF(AND(GC$2&gt;=$D28,GC$2&lt;=$E28),1,"")))</f>
        <v/>
      </c>
      <c r="GD28" s="38">
        <f>IF(OR(GD$2="",$D28=""),"",IF(AND(ISNUMBER($F28),GD$2&gt;=$F28,GD$2&lt;=IF(ISNUMBER($G28),$G28,$F28+$E28-$D28)),2,IF(AND(GD$2&gt;=$D28,GD$2&lt;=$E28),1,"")))</f>
        <v/>
      </c>
      <c r="GE28" s="38">
        <f>IF(OR(GE$2="",$D28=""),"",IF(AND(ISNUMBER($F28),GE$2&gt;=$F28,GE$2&lt;=IF(ISNUMBER($G28),$G28,$F28+$E28-$D28)),2,IF(AND(GE$2&gt;=$D28,GE$2&lt;=$E28),1,"")))</f>
        <v/>
      </c>
    </row>
    <row r="29">
      <c r="A29" s="36" t="inlineStr">
        <is>
          <t>Sowing</t>
        </is>
      </c>
      <c r="B29" s="12" t="inlineStr">
        <is>
          <t>বপন</t>
        </is>
      </c>
      <c r="C29" s="12" t="inlineStr">
        <is>
          <t>FP</t>
        </is>
      </c>
      <c r="D29" s="7">
        <f>IF(D6="","",D6)</f>
        <v/>
      </c>
      <c r="E29" s="7">
        <f>IF(D29="","",D29)</f>
        <v/>
      </c>
      <c r="F29" s="37" t="n"/>
      <c r="G29" s="7" t="n"/>
      <c r="H29" s="6">
        <f>IF(D29="","no plan",IF(F29&lt;&gt;"",IF(F29-D29&gt;=2,"LATE","OK"),IF(TODAY()&gt;D29+2,"OVERDUE","upcoming")))</f>
        <v/>
      </c>
      <c r="I29" s="6">
        <f>IF(AND(D29&lt;&gt;"",F29&lt;&gt;""),F29-D29,"")</f>
        <v/>
      </c>
      <c r="J29" s="7">
        <f>IF(F29&lt;&gt;"",F29,D29)</f>
        <v/>
      </c>
      <c r="K29" s="7">
        <f>IF(G29&lt;&gt;"",G29,IF(AND(F29&lt;&gt;"",E29=D29),F29,E29))</f>
        <v/>
      </c>
      <c r="L29" s="6">
        <f>IF(AND(D29&lt;&gt;"",F29="",D29&gt;=TODAY()),D29+ROW()/1000,"")</f>
        <v/>
      </c>
      <c r="M29" s="38">
        <f>IF(OR(M$2="",$D29=""),"",IF(AND(ISNUMBER($F29),M$2&gt;=$F29,M$2&lt;=IF(ISNUMBER($G29),$G29,$F29+$E29-$D29)),2,IF(AND(M$2&gt;=$D29,M$2&lt;=$E29),1,"")))</f>
        <v/>
      </c>
      <c r="N29" s="38">
        <f>IF(OR(N$2="",$D29=""),"",IF(AND(ISNUMBER($F29),N$2&gt;=$F29,N$2&lt;=IF(ISNUMBER($G29),$G29,$F29+$E29-$D29)),2,IF(AND(N$2&gt;=$D29,N$2&lt;=$E29),1,"")))</f>
        <v/>
      </c>
      <c r="O29" s="38">
        <f>IF(OR(O$2="",$D29=""),"",IF(AND(ISNUMBER($F29),O$2&gt;=$F29,O$2&lt;=IF(ISNUMBER($G29),$G29,$F29+$E29-$D29)),2,IF(AND(O$2&gt;=$D29,O$2&lt;=$E29),1,"")))</f>
        <v/>
      </c>
      <c r="P29" s="38">
        <f>IF(OR(P$2="",$D29=""),"",IF(AND(ISNUMBER($F29),P$2&gt;=$F29,P$2&lt;=IF(ISNUMBER($G29),$G29,$F29+$E29-$D29)),2,IF(AND(P$2&gt;=$D29,P$2&lt;=$E29),1,"")))</f>
        <v/>
      </c>
      <c r="Q29" s="38">
        <f>IF(OR(Q$2="",$D29=""),"",IF(AND(ISNUMBER($F29),Q$2&gt;=$F29,Q$2&lt;=IF(ISNUMBER($G29),$G29,$F29+$E29-$D29)),2,IF(AND(Q$2&gt;=$D29,Q$2&lt;=$E29),1,"")))</f>
        <v/>
      </c>
      <c r="R29" s="38">
        <f>IF(OR(R$2="",$D29=""),"",IF(AND(ISNUMBER($F29),R$2&gt;=$F29,R$2&lt;=IF(ISNUMBER($G29),$G29,$F29+$E29-$D29)),2,IF(AND(R$2&gt;=$D29,R$2&lt;=$E29),1,"")))</f>
        <v/>
      </c>
      <c r="S29" s="38">
        <f>IF(OR(S$2="",$D29=""),"",IF(AND(ISNUMBER($F29),S$2&gt;=$F29,S$2&lt;=IF(ISNUMBER($G29),$G29,$F29+$E29-$D29)),2,IF(AND(S$2&gt;=$D29,S$2&lt;=$E29),1,"")))</f>
        <v/>
      </c>
      <c r="T29" s="38">
        <f>IF(OR(T$2="",$D29=""),"",IF(AND(ISNUMBER($F29),T$2&gt;=$F29,T$2&lt;=IF(ISNUMBER($G29),$G29,$F29+$E29-$D29)),2,IF(AND(T$2&gt;=$D29,T$2&lt;=$E29),1,"")))</f>
        <v/>
      </c>
      <c r="U29" s="38">
        <f>IF(OR(U$2="",$D29=""),"",IF(AND(ISNUMBER($F29),U$2&gt;=$F29,U$2&lt;=IF(ISNUMBER($G29),$G29,$F29+$E29-$D29)),2,IF(AND(U$2&gt;=$D29,U$2&lt;=$E29),1,"")))</f>
        <v/>
      </c>
      <c r="V29" s="38">
        <f>IF(OR(V$2="",$D29=""),"",IF(AND(ISNUMBER($F29),V$2&gt;=$F29,V$2&lt;=IF(ISNUMBER($G29),$G29,$F29+$E29-$D29)),2,IF(AND(V$2&gt;=$D29,V$2&lt;=$E29),1,"")))</f>
        <v/>
      </c>
      <c r="W29" s="38">
        <f>IF(OR(W$2="",$D29=""),"",IF(AND(ISNUMBER($F29),W$2&gt;=$F29,W$2&lt;=IF(ISNUMBER($G29),$G29,$F29+$E29-$D29)),2,IF(AND(W$2&gt;=$D29,W$2&lt;=$E29),1,"")))</f>
        <v/>
      </c>
      <c r="X29" s="38">
        <f>IF(OR(X$2="",$D29=""),"",IF(AND(ISNUMBER($F29),X$2&gt;=$F29,X$2&lt;=IF(ISNUMBER($G29),$G29,$F29+$E29-$D29)),2,IF(AND(X$2&gt;=$D29,X$2&lt;=$E29),1,"")))</f>
        <v/>
      </c>
      <c r="Y29" s="38">
        <f>IF(OR(Y$2="",$D29=""),"",IF(AND(ISNUMBER($F29),Y$2&gt;=$F29,Y$2&lt;=IF(ISNUMBER($G29),$G29,$F29+$E29-$D29)),2,IF(AND(Y$2&gt;=$D29,Y$2&lt;=$E29),1,"")))</f>
        <v/>
      </c>
      <c r="Z29" s="38">
        <f>IF(OR(Z$2="",$D29=""),"",IF(AND(ISNUMBER($F29),Z$2&gt;=$F29,Z$2&lt;=IF(ISNUMBER($G29),$G29,$F29+$E29-$D29)),2,IF(AND(Z$2&gt;=$D29,Z$2&lt;=$E29),1,"")))</f>
        <v/>
      </c>
      <c r="AA29" s="38">
        <f>IF(OR(AA$2="",$D29=""),"",IF(AND(ISNUMBER($F29),AA$2&gt;=$F29,AA$2&lt;=IF(ISNUMBER($G29),$G29,$F29+$E29-$D29)),2,IF(AND(AA$2&gt;=$D29,AA$2&lt;=$E29),1,"")))</f>
        <v/>
      </c>
      <c r="AB29" s="38">
        <f>IF(OR(AB$2="",$D29=""),"",IF(AND(ISNUMBER($F29),AB$2&gt;=$F29,AB$2&lt;=IF(ISNUMBER($G29),$G29,$F29+$E29-$D29)),2,IF(AND(AB$2&gt;=$D29,AB$2&lt;=$E29),1,"")))</f>
        <v/>
      </c>
      <c r="AC29" s="38">
        <f>IF(OR(AC$2="",$D29=""),"",IF(AND(ISNUMBER($F29),AC$2&gt;=$F29,AC$2&lt;=IF(ISNUMBER($G29),$G29,$F29+$E29-$D29)),2,IF(AND(AC$2&gt;=$D29,AC$2&lt;=$E29),1,"")))</f>
        <v/>
      </c>
      <c r="AD29" s="38">
        <f>IF(OR(AD$2="",$D29=""),"",IF(AND(ISNUMBER($F29),AD$2&gt;=$F29,AD$2&lt;=IF(ISNUMBER($G29),$G29,$F29+$E29-$D29)),2,IF(AND(AD$2&gt;=$D29,AD$2&lt;=$E29),1,"")))</f>
        <v/>
      </c>
      <c r="AE29" s="38">
        <f>IF(OR(AE$2="",$D29=""),"",IF(AND(ISNUMBER($F29),AE$2&gt;=$F29,AE$2&lt;=IF(ISNUMBER($G29),$G29,$F29+$E29-$D29)),2,IF(AND(AE$2&gt;=$D29,AE$2&lt;=$E29),1,"")))</f>
        <v/>
      </c>
      <c r="AF29" s="38">
        <f>IF(OR(AF$2="",$D29=""),"",IF(AND(ISNUMBER($F29),AF$2&gt;=$F29,AF$2&lt;=IF(ISNUMBER($G29),$G29,$F29+$E29-$D29)),2,IF(AND(AF$2&gt;=$D29,AF$2&lt;=$E29),1,"")))</f>
        <v/>
      </c>
      <c r="AG29" s="38">
        <f>IF(OR(AG$2="",$D29=""),"",IF(AND(ISNUMBER($F29),AG$2&gt;=$F29,AG$2&lt;=IF(ISNUMBER($G29),$G29,$F29+$E29-$D29)),2,IF(AND(AG$2&gt;=$D29,AG$2&lt;=$E29),1,"")))</f>
        <v/>
      </c>
      <c r="AH29" s="38">
        <f>IF(OR(AH$2="",$D29=""),"",IF(AND(ISNUMBER($F29),AH$2&gt;=$F29,AH$2&lt;=IF(ISNUMBER($G29),$G29,$F29+$E29-$D29)),2,IF(AND(AH$2&gt;=$D29,AH$2&lt;=$E29),1,"")))</f>
        <v/>
      </c>
      <c r="AI29" s="38">
        <f>IF(OR(AI$2="",$D29=""),"",IF(AND(ISNUMBER($F29),AI$2&gt;=$F29,AI$2&lt;=IF(ISNUMBER($G29),$G29,$F29+$E29-$D29)),2,IF(AND(AI$2&gt;=$D29,AI$2&lt;=$E29),1,"")))</f>
        <v/>
      </c>
      <c r="AJ29" s="38">
        <f>IF(OR(AJ$2="",$D29=""),"",IF(AND(ISNUMBER($F29),AJ$2&gt;=$F29,AJ$2&lt;=IF(ISNUMBER($G29),$G29,$F29+$E29-$D29)),2,IF(AND(AJ$2&gt;=$D29,AJ$2&lt;=$E29),1,"")))</f>
        <v/>
      </c>
      <c r="AK29" s="38">
        <f>IF(OR(AK$2="",$D29=""),"",IF(AND(ISNUMBER($F29),AK$2&gt;=$F29,AK$2&lt;=IF(ISNUMBER($G29),$G29,$F29+$E29-$D29)),2,IF(AND(AK$2&gt;=$D29,AK$2&lt;=$E29),1,"")))</f>
        <v/>
      </c>
      <c r="AL29" s="38">
        <f>IF(OR(AL$2="",$D29=""),"",IF(AND(ISNUMBER($F29),AL$2&gt;=$F29,AL$2&lt;=IF(ISNUMBER($G29),$G29,$F29+$E29-$D29)),2,IF(AND(AL$2&gt;=$D29,AL$2&lt;=$E29),1,"")))</f>
        <v/>
      </c>
      <c r="AM29" s="38">
        <f>IF(OR(AM$2="",$D29=""),"",IF(AND(ISNUMBER($F29),AM$2&gt;=$F29,AM$2&lt;=IF(ISNUMBER($G29),$G29,$F29+$E29-$D29)),2,IF(AND(AM$2&gt;=$D29,AM$2&lt;=$E29),1,"")))</f>
        <v/>
      </c>
      <c r="AN29" s="38">
        <f>IF(OR(AN$2="",$D29=""),"",IF(AND(ISNUMBER($F29),AN$2&gt;=$F29,AN$2&lt;=IF(ISNUMBER($G29),$G29,$F29+$E29-$D29)),2,IF(AND(AN$2&gt;=$D29,AN$2&lt;=$E29),1,"")))</f>
        <v/>
      </c>
      <c r="AO29" s="38">
        <f>IF(OR(AO$2="",$D29=""),"",IF(AND(ISNUMBER($F29),AO$2&gt;=$F29,AO$2&lt;=IF(ISNUMBER($G29),$G29,$F29+$E29-$D29)),2,IF(AND(AO$2&gt;=$D29,AO$2&lt;=$E29),1,"")))</f>
        <v/>
      </c>
      <c r="AP29" s="38">
        <f>IF(OR(AP$2="",$D29=""),"",IF(AND(ISNUMBER($F29),AP$2&gt;=$F29,AP$2&lt;=IF(ISNUMBER($G29),$G29,$F29+$E29-$D29)),2,IF(AND(AP$2&gt;=$D29,AP$2&lt;=$E29),1,"")))</f>
        <v/>
      </c>
      <c r="AQ29" s="38">
        <f>IF(OR(AQ$2="",$D29=""),"",IF(AND(ISNUMBER($F29),AQ$2&gt;=$F29,AQ$2&lt;=IF(ISNUMBER($G29),$G29,$F29+$E29-$D29)),2,IF(AND(AQ$2&gt;=$D29,AQ$2&lt;=$E29),1,"")))</f>
        <v/>
      </c>
      <c r="AR29" s="38">
        <f>IF(OR(AR$2="",$D29=""),"",IF(AND(ISNUMBER($F29),AR$2&gt;=$F29,AR$2&lt;=IF(ISNUMBER($G29),$G29,$F29+$E29-$D29)),2,IF(AND(AR$2&gt;=$D29,AR$2&lt;=$E29),1,"")))</f>
        <v/>
      </c>
      <c r="AS29" s="38">
        <f>IF(OR(AS$2="",$D29=""),"",IF(AND(ISNUMBER($F29),AS$2&gt;=$F29,AS$2&lt;=IF(ISNUMBER($G29),$G29,$F29+$E29-$D29)),2,IF(AND(AS$2&gt;=$D29,AS$2&lt;=$E29),1,"")))</f>
        <v/>
      </c>
      <c r="AT29" s="38">
        <f>IF(OR(AT$2="",$D29=""),"",IF(AND(ISNUMBER($F29),AT$2&gt;=$F29,AT$2&lt;=IF(ISNUMBER($G29),$G29,$F29+$E29-$D29)),2,IF(AND(AT$2&gt;=$D29,AT$2&lt;=$E29),1,"")))</f>
        <v/>
      </c>
      <c r="AU29" s="38">
        <f>IF(OR(AU$2="",$D29=""),"",IF(AND(ISNUMBER($F29),AU$2&gt;=$F29,AU$2&lt;=IF(ISNUMBER($G29),$G29,$F29+$E29-$D29)),2,IF(AND(AU$2&gt;=$D29,AU$2&lt;=$E29),1,"")))</f>
        <v/>
      </c>
      <c r="AV29" s="38">
        <f>IF(OR(AV$2="",$D29=""),"",IF(AND(ISNUMBER($F29),AV$2&gt;=$F29,AV$2&lt;=IF(ISNUMBER($G29),$G29,$F29+$E29-$D29)),2,IF(AND(AV$2&gt;=$D29,AV$2&lt;=$E29),1,"")))</f>
        <v/>
      </c>
      <c r="AW29" s="38">
        <f>IF(OR(AW$2="",$D29=""),"",IF(AND(ISNUMBER($F29),AW$2&gt;=$F29,AW$2&lt;=IF(ISNUMBER($G29),$G29,$F29+$E29-$D29)),2,IF(AND(AW$2&gt;=$D29,AW$2&lt;=$E29),1,"")))</f>
        <v/>
      </c>
      <c r="AX29" s="38">
        <f>IF(OR(AX$2="",$D29=""),"",IF(AND(ISNUMBER($F29),AX$2&gt;=$F29,AX$2&lt;=IF(ISNUMBER($G29),$G29,$F29+$E29-$D29)),2,IF(AND(AX$2&gt;=$D29,AX$2&lt;=$E29),1,"")))</f>
        <v/>
      </c>
      <c r="AY29" s="38">
        <f>IF(OR(AY$2="",$D29=""),"",IF(AND(ISNUMBER($F29),AY$2&gt;=$F29,AY$2&lt;=IF(ISNUMBER($G29),$G29,$F29+$E29-$D29)),2,IF(AND(AY$2&gt;=$D29,AY$2&lt;=$E29),1,"")))</f>
        <v/>
      </c>
      <c r="AZ29" s="38">
        <f>IF(OR(AZ$2="",$D29=""),"",IF(AND(ISNUMBER($F29),AZ$2&gt;=$F29,AZ$2&lt;=IF(ISNUMBER($G29),$G29,$F29+$E29-$D29)),2,IF(AND(AZ$2&gt;=$D29,AZ$2&lt;=$E29),1,"")))</f>
        <v/>
      </c>
      <c r="BA29" s="38">
        <f>IF(OR(BA$2="",$D29=""),"",IF(AND(ISNUMBER($F29),BA$2&gt;=$F29,BA$2&lt;=IF(ISNUMBER($G29),$G29,$F29+$E29-$D29)),2,IF(AND(BA$2&gt;=$D29,BA$2&lt;=$E29),1,"")))</f>
        <v/>
      </c>
      <c r="BB29" s="38">
        <f>IF(OR(BB$2="",$D29=""),"",IF(AND(ISNUMBER($F29),BB$2&gt;=$F29,BB$2&lt;=IF(ISNUMBER($G29),$G29,$F29+$E29-$D29)),2,IF(AND(BB$2&gt;=$D29,BB$2&lt;=$E29),1,"")))</f>
        <v/>
      </c>
      <c r="BC29" s="38">
        <f>IF(OR(BC$2="",$D29=""),"",IF(AND(ISNUMBER($F29),BC$2&gt;=$F29,BC$2&lt;=IF(ISNUMBER($G29),$G29,$F29+$E29-$D29)),2,IF(AND(BC$2&gt;=$D29,BC$2&lt;=$E29),1,"")))</f>
        <v/>
      </c>
      <c r="BD29" s="38">
        <f>IF(OR(BD$2="",$D29=""),"",IF(AND(ISNUMBER($F29),BD$2&gt;=$F29,BD$2&lt;=IF(ISNUMBER($G29),$G29,$F29+$E29-$D29)),2,IF(AND(BD$2&gt;=$D29,BD$2&lt;=$E29),1,"")))</f>
        <v/>
      </c>
      <c r="BE29" s="38">
        <f>IF(OR(BE$2="",$D29=""),"",IF(AND(ISNUMBER($F29),BE$2&gt;=$F29,BE$2&lt;=IF(ISNUMBER($G29),$G29,$F29+$E29-$D29)),2,IF(AND(BE$2&gt;=$D29,BE$2&lt;=$E29),1,"")))</f>
        <v/>
      </c>
      <c r="BF29" s="38">
        <f>IF(OR(BF$2="",$D29=""),"",IF(AND(ISNUMBER($F29),BF$2&gt;=$F29,BF$2&lt;=IF(ISNUMBER($G29),$G29,$F29+$E29-$D29)),2,IF(AND(BF$2&gt;=$D29,BF$2&lt;=$E29),1,"")))</f>
        <v/>
      </c>
      <c r="BG29" s="38">
        <f>IF(OR(BG$2="",$D29=""),"",IF(AND(ISNUMBER($F29),BG$2&gt;=$F29,BG$2&lt;=IF(ISNUMBER($G29),$G29,$F29+$E29-$D29)),2,IF(AND(BG$2&gt;=$D29,BG$2&lt;=$E29),1,"")))</f>
        <v/>
      </c>
      <c r="BH29" s="38">
        <f>IF(OR(BH$2="",$D29=""),"",IF(AND(ISNUMBER($F29),BH$2&gt;=$F29,BH$2&lt;=IF(ISNUMBER($G29),$G29,$F29+$E29-$D29)),2,IF(AND(BH$2&gt;=$D29,BH$2&lt;=$E29),1,"")))</f>
        <v/>
      </c>
      <c r="BI29" s="38">
        <f>IF(OR(BI$2="",$D29=""),"",IF(AND(ISNUMBER($F29),BI$2&gt;=$F29,BI$2&lt;=IF(ISNUMBER($G29),$G29,$F29+$E29-$D29)),2,IF(AND(BI$2&gt;=$D29,BI$2&lt;=$E29),1,"")))</f>
        <v/>
      </c>
      <c r="BJ29" s="38">
        <f>IF(OR(BJ$2="",$D29=""),"",IF(AND(ISNUMBER($F29),BJ$2&gt;=$F29,BJ$2&lt;=IF(ISNUMBER($G29),$G29,$F29+$E29-$D29)),2,IF(AND(BJ$2&gt;=$D29,BJ$2&lt;=$E29),1,"")))</f>
        <v/>
      </c>
      <c r="BK29" s="38">
        <f>IF(OR(BK$2="",$D29=""),"",IF(AND(ISNUMBER($F29),BK$2&gt;=$F29,BK$2&lt;=IF(ISNUMBER($G29),$G29,$F29+$E29-$D29)),2,IF(AND(BK$2&gt;=$D29,BK$2&lt;=$E29),1,"")))</f>
        <v/>
      </c>
      <c r="BL29" s="38">
        <f>IF(OR(BL$2="",$D29=""),"",IF(AND(ISNUMBER($F29),BL$2&gt;=$F29,BL$2&lt;=IF(ISNUMBER($G29),$G29,$F29+$E29-$D29)),2,IF(AND(BL$2&gt;=$D29,BL$2&lt;=$E29),1,"")))</f>
        <v/>
      </c>
      <c r="BM29" s="38">
        <f>IF(OR(BM$2="",$D29=""),"",IF(AND(ISNUMBER($F29),BM$2&gt;=$F29,BM$2&lt;=IF(ISNUMBER($G29),$G29,$F29+$E29-$D29)),2,IF(AND(BM$2&gt;=$D29,BM$2&lt;=$E29),1,"")))</f>
        <v/>
      </c>
      <c r="BN29" s="38">
        <f>IF(OR(BN$2="",$D29=""),"",IF(AND(ISNUMBER($F29),BN$2&gt;=$F29,BN$2&lt;=IF(ISNUMBER($G29),$G29,$F29+$E29-$D29)),2,IF(AND(BN$2&gt;=$D29,BN$2&lt;=$E29),1,"")))</f>
        <v/>
      </c>
      <c r="BO29" s="38">
        <f>IF(OR(BO$2="",$D29=""),"",IF(AND(ISNUMBER($F29),BO$2&gt;=$F29,BO$2&lt;=IF(ISNUMBER($G29),$G29,$F29+$E29-$D29)),2,IF(AND(BO$2&gt;=$D29,BO$2&lt;=$E29),1,"")))</f>
        <v/>
      </c>
      <c r="BP29" s="38">
        <f>IF(OR(BP$2="",$D29=""),"",IF(AND(ISNUMBER($F29),BP$2&gt;=$F29,BP$2&lt;=IF(ISNUMBER($G29),$G29,$F29+$E29-$D29)),2,IF(AND(BP$2&gt;=$D29,BP$2&lt;=$E29),1,"")))</f>
        <v/>
      </c>
      <c r="BQ29" s="38">
        <f>IF(OR(BQ$2="",$D29=""),"",IF(AND(ISNUMBER($F29),BQ$2&gt;=$F29,BQ$2&lt;=IF(ISNUMBER($G29),$G29,$F29+$E29-$D29)),2,IF(AND(BQ$2&gt;=$D29,BQ$2&lt;=$E29),1,"")))</f>
        <v/>
      </c>
      <c r="BR29" s="38">
        <f>IF(OR(BR$2="",$D29=""),"",IF(AND(ISNUMBER($F29),BR$2&gt;=$F29,BR$2&lt;=IF(ISNUMBER($G29),$G29,$F29+$E29-$D29)),2,IF(AND(BR$2&gt;=$D29,BR$2&lt;=$E29),1,"")))</f>
        <v/>
      </c>
      <c r="BS29" s="38">
        <f>IF(OR(BS$2="",$D29=""),"",IF(AND(ISNUMBER($F29),BS$2&gt;=$F29,BS$2&lt;=IF(ISNUMBER($G29),$G29,$F29+$E29-$D29)),2,IF(AND(BS$2&gt;=$D29,BS$2&lt;=$E29),1,"")))</f>
        <v/>
      </c>
      <c r="BT29" s="38">
        <f>IF(OR(BT$2="",$D29=""),"",IF(AND(ISNUMBER($F29),BT$2&gt;=$F29,BT$2&lt;=IF(ISNUMBER($G29),$G29,$F29+$E29-$D29)),2,IF(AND(BT$2&gt;=$D29,BT$2&lt;=$E29),1,"")))</f>
        <v/>
      </c>
      <c r="BU29" s="38">
        <f>IF(OR(BU$2="",$D29=""),"",IF(AND(ISNUMBER($F29),BU$2&gt;=$F29,BU$2&lt;=IF(ISNUMBER($G29),$G29,$F29+$E29-$D29)),2,IF(AND(BU$2&gt;=$D29,BU$2&lt;=$E29),1,"")))</f>
        <v/>
      </c>
      <c r="BV29" s="38">
        <f>IF(OR(BV$2="",$D29=""),"",IF(AND(ISNUMBER($F29),BV$2&gt;=$F29,BV$2&lt;=IF(ISNUMBER($G29),$G29,$F29+$E29-$D29)),2,IF(AND(BV$2&gt;=$D29,BV$2&lt;=$E29),1,"")))</f>
        <v/>
      </c>
      <c r="BW29" s="38">
        <f>IF(OR(BW$2="",$D29=""),"",IF(AND(ISNUMBER($F29),BW$2&gt;=$F29,BW$2&lt;=IF(ISNUMBER($G29),$G29,$F29+$E29-$D29)),2,IF(AND(BW$2&gt;=$D29,BW$2&lt;=$E29),1,"")))</f>
        <v/>
      </c>
      <c r="BX29" s="38">
        <f>IF(OR(BX$2="",$D29=""),"",IF(AND(ISNUMBER($F29),BX$2&gt;=$F29,BX$2&lt;=IF(ISNUMBER($G29),$G29,$F29+$E29-$D29)),2,IF(AND(BX$2&gt;=$D29,BX$2&lt;=$E29),1,"")))</f>
        <v/>
      </c>
      <c r="BY29" s="38">
        <f>IF(OR(BY$2="",$D29=""),"",IF(AND(ISNUMBER($F29),BY$2&gt;=$F29,BY$2&lt;=IF(ISNUMBER($G29),$G29,$F29+$E29-$D29)),2,IF(AND(BY$2&gt;=$D29,BY$2&lt;=$E29),1,"")))</f>
        <v/>
      </c>
      <c r="BZ29" s="38">
        <f>IF(OR(BZ$2="",$D29=""),"",IF(AND(ISNUMBER($F29),BZ$2&gt;=$F29,BZ$2&lt;=IF(ISNUMBER($G29),$G29,$F29+$E29-$D29)),2,IF(AND(BZ$2&gt;=$D29,BZ$2&lt;=$E29),1,"")))</f>
        <v/>
      </c>
      <c r="CA29" s="38">
        <f>IF(OR(CA$2="",$D29=""),"",IF(AND(ISNUMBER($F29),CA$2&gt;=$F29,CA$2&lt;=IF(ISNUMBER($G29),$G29,$F29+$E29-$D29)),2,IF(AND(CA$2&gt;=$D29,CA$2&lt;=$E29),1,"")))</f>
        <v/>
      </c>
      <c r="CB29" s="38">
        <f>IF(OR(CB$2="",$D29=""),"",IF(AND(ISNUMBER($F29),CB$2&gt;=$F29,CB$2&lt;=IF(ISNUMBER($G29),$G29,$F29+$E29-$D29)),2,IF(AND(CB$2&gt;=$D29,CB$2&lt;=$E29),1,"")))</f>
        <v/>
      </c>
      <c r="CC29" s="38">
        <f>IF(OR(CC$2="",$D29=""),"",IF(AND(ISNUMBER($F29),CC$2&gt;=$F29,CC$2&lt;=IF(ISNUMBER($G29),$G29,$F29+$E29-$D29)),2,IF(AND(CC$2&gt;=$D29,CC$2&lt;=$E29),1,"")))</f>
        <v/>
      </c>
      <c r="CD29" s="38">
        <f>IF(OR(CD$2="",$D29=""),"",IF(AND(ISNUMBER($F29),CD$2&gt;=$F29,CD$2&lt;=IF(ISNUMBER($G29),$G29,$F29+$E29-$D29)),2,IF(AND(CD$2&gt;=$D29,CD$2&lt;=$E29),1,"")))</f>
        <v/>
      </c>
      <c r="CE29" s="38">
        <f>IF(OR(CE$2="",$D29=""),"",IF(AND(ISNUMBER($F29),CE$2&gt;=$F29,CE$2&lt;=IF(ISNUMBER($G29),$G29,$F29+$E29-$D29)),2,IF(AND(CE$2&gt;=$D29,CE$2&lt;=$E29),1,"")))</f>
        <v/>
      </c>
      <c r="CF29" s="38">
        <f>IF(OR(CF$2="",$D29=""),"",IF(AND(ISNUMBER($F29),CF$2&gt;=$F29,CF$2&lt;=IF(ISNUMBER($G29),$G29,$F29+$E29-$D29)),2,IF(AND(CF$2&gt;=$D29,CF$2&lt;=$E29),1,"")))</f>
        <v/>
      </c>
      <c r="CG29" s="38">
        <f>IF(OR(CG$2="",$D29=""),"",IF(AND(ISNUMBER($F29),CG$2&gt;=$F29,CG$2&lt;=IF(ISNUMBER($G29),$G29,$F29+$E29-$D29)),2,IF(AND(CG$2&gt;=$D29,CG$2&lt;=$E29),1,"")))</f>
        <v/>
      </c>
      <c r="CH29" s="38">
        <f>IF(OR(CH$2="",$D29=""),"",IF(AND(ISNUMBER($F29),CH$2&gt;=$F29,CH$2&lt;=IF(ISNUMBER($G29),$G29,$F29+$E29-$D29)),2,IF(AND(CH$2&gt;=$D29,CH$2&lt;=$E29),1,"")))</f>
        <v/>
      </c>
      <c r="CI29" s="38">
        <f>IF(OR(CI$2="",$D29=""),"",IF(AND(ISNUMBER($F29),CI$2&gt;=$F29,CI$2&lt;=IF(ISNUMBER($G29),$G29,$F29+$E29-$D29)),2,IF(AND(CI$2&gt;=$D29,CI$2&lt;=$E29),1,"")))</f>
        <v/>
      </c>
      <c r="CJ29" s="38">
        <f>IF(OR(CJ$2="",$D29=""),"",IF(AND(ISNUMBER($F29),CJ$2&gt;=$F29,CJ$2&lt;=IF(ISNUMBER($G29),$G29,$F29+$E29-$D29)),2,IF(AND(CJ$2&gt;=$D29,CJ$2&lt;=$E29),1,"")))</f>
        <v/>
      </c>
      <c r="CK29" s="38">
        <f>IF(OR(CK$2="",$D29=""),"",IF(AND(ISNUMBER($F29),CK$2&gt;=$F29,CK$2&lt;=IF(ISNUMBER($G29),$G29,$F29+$E29-$D29)),2,IF(AND(CK$2&gt;=$D29,CK$2&lt;=$E29),1,"")))</f>
        <v/>
      </c>
      <c r="CL29" s="38">
        <f>IF(OR(CL$2="",$D29=""),"",IF(AND(ISNUMBER($F29),CL$2&gt;=$F29,CL$2&lt;=IF(ISNUMBER($G29),$G29,$F29+$E29-$D29)),2,IF(AND(CL$2&gt;=$D29,CL$2&lt;=$E29),1,"")))</f>
        <v/>
      </c>
      <c r="CM29" s="38">
        <f>IF(OR(CM$2="",$D29=""),"",IF(AND(ISNUMBER($F29),CM$2&gt;=$F29,CM$2&lt;=IF(ISNUMBER($G29),$G29,$F29+$E29-$D29)),2,IF(AND(CM$2&gt;=$D29,CM$2&lt;=$E29),1,"")))</f>
        <v/>
      </c>
      <c r="CN29" s="38">
        <f>IF(OR(CN$2="",$D29=""),"",IF(AND(ISNUMBER($F29),CN$2&gt;=$F29,CN$2&lt;=IF(ISNUMBER($G29),$G29,$F29+$E29-$D29)),2,IF(AND(CN$2&gt;=$D29,CN$2&lt;=$E29),1,"")))</f>
        <v/>
      </c>
      <c r="CO29" s="38">
        <f>IF(OR(CO$2="",$D29=""),"",IF(AND(ISNUMBER($F29),CO$2&gt;=$F29,CO$2&lt;=IF(ISNUMBER($G29),$G29,$F29+$E29-$D29)),2,IF(AND(CO$2&gt;=$D29,CO$2&lt;=$E29),1,"")))</f>
        <v/>
      </c>
      <c r="CP29" s="38">
        <f>IF(OR(CP$2="",$D29=""),"",IF(AND(ISNUMBER($F29),CP$2&gt;=$F29,CP$2&lt;=IF(ISNUMBER($G29),$G29,$F29+$E29-$D29)),2,IF(AND(CP$2&gt;=$D29,CP$2&lt;=$E29),1,"")))</f>
        <v/>
      </c>
      <c r="CQ29" s="38">
        <f>IF(OR(CQ$2="",$D29=""),"",IF(AND(ISNUMBER($F29),CQ$2&gt;=$F29,CQ$2&lt;=IF(ISNUMBER($G29),$G29,$F29+$E29-$D29)),2,IF(AND(CQ$2&gt;=$D29,CQ$2&lt;=$E29),1,"")))</f>
        <v/>
      </c>
      <c r="CR29" s="38">
        <f>IF(OR(CR$2="",$D29=""),"",IF(AND(ISNUMBER($F29),CR$2&gt;=$F29,CR$2&lt;=IF(ISNUMBER($G29),$G29,$F29+$E29-$D29)),2,IF(AND(CR$2&gt;=$D29,CR$2&lt;=$E29),1,"")))</f>
        <v/>
      </c>
      <c r="CS29" s="38">
        <f>IF(OR(CS$2="",$D29=""),"",IF(AND(ISNUMBER($F29),CS$2&gt;=$F29,CS$2&lt;=IF(ISNUMBER($G29),$G29,$F29+$E29-$D29)),2,IF(AND(CS$2&gt;=$D29,CS$2&lt;=$E29),1,"")))</f>
        <v/>
      </c>
      <c r="CT29" s="38">
        <f>IF(OR(CT$2="",$D29=""),"",IF(AND(ISNUMBER($F29),CT$2&gt;=$F29,CT$2&lt;=IF(ISNUMBER($G29),$G29,$F29+$E29-$D29)),2,IF(AND(CT$2&gt;=$D29,CT$2&lt;=$E29),1,"")))</f>
        <v/>
      </c>
      <c r="CU29" s="38">
        <f>IF(OR(CU$2="",$D29=""),"",IF(AND(ISNUMBER($F29),CU$2&gt;=$F29,CU$2&lt;=IF(ISNUMBER($G29),$G29,$F29+$E29-$D29)),2,IF(AND(CU$2&gt;=$D29,CU$2&lt;=$E29),1,"")))</f>
        <v/>
      </c>
      <c r="CV29" s="38">
        <f>IF(OR(CV$2="",$D29=""),"",IF(AND(ISNUMBER($F29),CV$2&gt;=$F29,CV$2&lt;=IF(ISNUMBER($G29),$G29,$F29+$E29-$D29)),2,IF(AND(CV$2&gt;=$D29,CV$2&lt;=$E29),1,"")))</f>
        <v/>
      </c>
      <c r="CW29" s="38">
        <f>IF(OR(CW$2="",$D29=""),"",IF(AND(ISNUMBER($F29),CW$2&gt;=$F29,CW$2&lt;=IF(ISNUMBER($G29),$G29,$F29+$E29-$D29)),2,IF(AND(CW$2&gt;=$D29,CW$2&lt;=$E29),1,"")))</f>
        <v/>
      </c>
      <c r="CX29" s="38">
        <f>IF(OR(CX$2="",$D29=""),"",IF(AND(ISNUMBER($F29),CX$2&gt;=$F29,CX$2&lt;=IF(ISNUMBER($G29),$G29,$F29+$E29-$D29)),2,IF(AND(CX$2&gt;=$D29,CX$2&lt;=$E29),1,"")))</f>
        <v/>
      </c>
      <c r="CY29" s="38">
        <f>IF(OR(CY$2="",$D29=""),"",IF(AND(ISNUMBER($F29),CY$2&gt;=$F29,CY$2&lt;=IF(ISNUMBER($G29),$G29,$F29+$E29-$D29)),2,IF(AND(CY$2&gt;=$D29,CY$2&lt;=$E29),1,"")))</f>
        <v/>
      </c>
      <c r="CZ29" s="38">
        <f>IF(OR(CZ$2="",$D29=""),"",IF(AND(ISNUMBER($F29),CZ$2&gt;=$F29,CZ$2&lt;=IF(ISNUMBER($G29),$G29,$F29+$E29-$D29)),2,IF(AND(CZ$2&gt;=$D29,CZ$2&lt;=$E29),1,"")))</f>
        <v/>
      </c>
      <c r="DA29" s="38">
        <f>IF(OR(DA$2="",$D29=""),"",IF(AND(ISNUMBER($F29),DA$2&gt;=$F29,DA$2&lt;=IF(ISNUMBER($G29),$G29,$F29+$E29-$D29)),2,IF(AND(DA$2&gt;=$D29,DA$2&lt;=$E29),1,"")))</f>
        <v/>
      </c>
      <c r="DB29" s="38">
        <f>IF(OR(DB$2="",$D29=""),"",IF(AND(ISNUMBER($F29),DB$2&gt;=$F29,DB$2&lt;=IF(ISNUMBER($G29),$G29,$F29+$E29-$D29)),2,IF(AND(DB$2&gt;=$D29,DB$2&lt;=$E29),1,"")))</f>
        <v/>
      </c>
      <c r="DC29" s="38">
        <f>IF(OR(DC$2="",$D29=""),"",IF(AND(ISNUMBER($F29),DC$2&gt;=$F29,DC$2&lt;=IF(ISNUMBER($G29),$G29,$F29+$E29-$D29)),2,IF(AND(DC$2&gt;=$D29,DC$2&lt;=$E29),1,"")))</f>
        <v/>
      </c>
      <c r="DD29" s="38">
        <f>IF(OR(DD$2="",$D29=""),"",IF(AND(ISNUMBER($F29),DD$2&gt;=$F29,DD$2&lt;=IF(ISNUMBER($G29),$G29,$F29+$E29-$D29)),2,IF(AND(DD$2&gt;=$D29,DD$2&lt;=$E29),1,"")))</f>
        <v/>
      </c>
      <c r="DE29" s="38">
        <f>IF(OR(DE$2="",$D29=""),"",IF(AND(ISNUMBER($F29),DE$2&gt;=$F29,DE$2&lt;=IF(ISNUMBER($G29),$G29,$F29+$E29-$D29)),2,IF(AND(DE$2&gt;=$D29,DE$2&lt;=$E29),1,"")))</f>
        <v/>
      </c>
      <c r="DF29" s="38">
        <f>IF(OR(DF$2="",$D29=""),"",IF(AND(ISNUMBER($F29),DF$2&gt;=$F29,DF$2&lt;=IF(ISNUMBER($G29),$G29,$F29+$E29-$D29)),2,IF(AND(DF$2&gt;=$D29,DF$2&lt;=$E29),1,"")))</f>
        <v/>
      </c>
      <c r="DG29" s="38">
        <f>IF(OR(DG$2="",$D29=""),"",IF(AND(ISNUMBER($F29),DG$2&gt;=$F29,DG$2&lt;=IF(ISNUMBER($G29),$G29,$F29+$E29-$D29)),2,IF(AND(DG$2&gt;=$D29,DG$2&lt;=$E29),1,"")))</f>
        <v/>
      </c>
      <c r="DH29" s="38">
        <f>IF(OR(DH$2="",$D29=""),"",IF(AND(ISNUMBER($F29),DH$2&gt;=$F29,DH$2&lt;=IF(ISNUMBER($G29),$G29,$F29+$E29-$D29)),2,IF(AND(DH$2&gt;=$D29,DH$2&lt;=$E29),1,"")))</f>
        <v/>
      </c>
      <c r="DI29" s="38">
        <f>IF(OR(DI$2="",$D29=""),"",IF(AND(ISNUMBER($F29),DI$2&gt;=$F29,DI$2&lt;=IF(ISNUMBER($G29),$G29,$F29+$E29-$D29)),2,IF(AND(DI$2&gt;=$D29,DI$2&lt;=$E29),1,"")))</f>
        <v/>
      </c>
      <c r="DJ29" s="38">
        <f>IF(OR(DJ$2="",$D29=""),"",IF(AND(ISNUMBER($F29),DJ$2&gt;=$F29,DJ$2&lt;=IF(ISNUMBER($G29),$G29,$F29+$E29-$D29)),2,IF(AND(DJ$2&gt;=$D29,DJ$2&lt;=$E29),1,"")))</f>
        <v/>
      </c>
      <c r="DK29" s="38">
        <f>IF(OR(DK$2="",$D29=""),"",IF(AND(ISNUMBER($F29),DK$2&gt;=$F29,DK$2&lt;=IF(ISNUMBER($G29),$G29,$F29+$E29-$D29)),2,IF(AND(DK$2&gt;=$D29,DK$2&lt;=$E29),1,"")))</f>
        <v/>
      </c>
      <c r="DL29" s="38">
        <f>IF(OR(DL$2="",$D29=""),"",IF(AND(ISNUMBER($F29),DL$2&gt;=$F29,DL$2&lt;=IF(ISNUMBER($G29),$G29,$F29+$E29-$D29)),2,IF(AND(DL$2&gt;=$D29,DL$2&lt;=$E29),1,"")))</f>
        <v/>
      </c>
      <c r="DM29" s="38">
        <f>IF(OR(DM$2="",$D29=""),"",IF(AND(ISNUMBER($F29),DM$2&gt;=$F29,DM$2&lt;=IF(ISNUMBER($G29),$G29,$F29+$E29-$D29)),2,IF(AND(DM$2&gt;=$D29,DM$2&lt;=$E29),1,"")))</f>
        <v/>
      </c>
      <c r="DN29" s="38">
        <f>IF(OR(DN$2="",$D29=""),"",IF(AND(ISNUMBER($F29),DN$2&gt;=$F29,DN$2&lt;=IF(ISNUMBER($G29),$G29,$F29+$E29-$D29)),2,IF(AND(DN$2&gt;=$D29,DN$2&lt;=$E29),1,"")))</f>
        <v/>
      </c>
      <c r="DO29" s="38">
        <f>IF(OR(DO$2="",$D29=""),"",IF(AND(ISNUMBER($F29),DO$2&gt;=$F29,DO$2&lt;=IF(ISNUMBER($G29),$G29,$F29+$E29-$D29)),2,IF(AND(DO$2&gt;=$D29,DO$2&lt;=$E29),1,"")))</f>
        <v/>
      </c>
      <c r="DP29" s="38">
        <f>IF(OR(DP$2="",$D29=""),"",IF(AND(ISNUMBER($F29),DP$2&gt;=$F29,DP$2&lt;=IF(ISNUMBER($G29),$G29,$F29+$E29-$D29)),2,IF(AND(DP$2&gt;=$D29,DP$2&lt;=$E29),1,"")))</f>
        <v/>
      </c>
      <c r="DQ29" s="38">
        <f>IF(OR(DQ$2="",$D29=""),"",IF(AND(ISNUMBER($F29),DQ$2&gt;=$F29,DQ$2&lt;=IF(ISNUMBER($G29),$G29,$F29+$E29-$D29)),2,IF(AND(DQ$2&gt;=$D29,DQ$2&lt;=$E29),1,"")))</f>
        <v/>
      </c>
      <c r="DR29" s="38">
        <f>IF(OR(DR$2="",$D29=""),"",IF(AND(ISNUMBER($F29),DR$2&gt;=$F29,DR$2&lt;=IF(ISNUMBER($G29),$G29,$F29+$E29-$D29)),2,IF(AND(DR$2&gt;=$D29,DR$2&lt;=$E29),1,"")))</f>
        <v/>
      </c>
      <c r="DS29" s="38">
        <f>IF(OR(DS$2="",$D29=""),"",IF(AND(ISNUMBER($F29),DS$2&gt;=$F29,DS$2&lt;=IF(ISNUMBER($G29),$G29,$F29+$E29-$D29)),2,IF(AND(DS$2&gt;=$D29,DS$2&lt;=$E29),1,"")))</f>
        <v/>
      </c>
      <c r="DT29" s="38">
        <f>IF(OR(DT$2="",$D29=""),"",IF(AND(ISNUMBER($F29),DT$2&gt;=$F29,DT$2&lt;=IF(ISNUMBER($G29),$G29,$F29+$E29-$D29)),2,IF(AND(DT$2&gt;=$D29,DT$2&lt;=$E29),1,"")))</f>
        <v/>
      </c>
      <c r="DU29" s="38">
        <f>IF(OR(DU$2="",$D29=""),"",IF(AND(ISNUMBER($F29),DU$2&gt;=$F29,DU$2&lt;=IF(ISNUMBER($G29),$G29,$F29+$E29-$D29)),2,IF(AND(DU$2&gt;=$D29,DU$2&lt;=$E29),1,"")))</f>
        <v/>
      </c>
      <c r="DV29" s="38">
        <f>IF(OR(DV$2="",$D29=""),"",IF(AND(ISNUMBER($F29),DV$2&gt;=$F29,DV$2&lt;=IF(ISNUMBER($G29),$G29,$F29+$E29-$D29)),2,IF(AND(DV$2&gt;=$D29,DV$2&lt;=$E29),1,"")))</f>
        <v/>
      </c>
      <c r="DW29" s="38">
        <f>IF(OR(DW$2="",$D29=""),"",IF(AND(ISNUMBER($F29),DW$2&gt;=$F29,DW$2&lt;=IF(ISNUMBER($G29),$G29,$F29+$E29-$D29)),2,IF(AND(DW$2&gt;=$D29,DW$2&lt;=$E29),1,"")))</f>
        <v/>
      </c>
      <c r="DX29" s="38">
        <f>IF(OR(DX$2="",$D29=""),"",IF(AND(ISNUMBER($F29),DX$2&gt;=$F29,DX$2&lt;=IF(ISNUMBER($G29),$G29,$F29+$E29-$D29)),2,IF(AND(DX$2&gt;=$D29,DX$2&lt;=$E29),1,"")))</f>
        <v/>
      </c>
      <c r="DY29" s="38">
        <f>IF(OR(DY$2="",$D29=""),"",IF(AND(ISNUMBER($F29),DY$2&gt;=$F29,DY$2&lt;=IF(ISNUMBER($G29),$G29,$F29+$E29-$D29)),2,IF(AND(DY$2&gt;=$D29,DY$2&lt;=$E29),1,"")))</f>
        <v/>
      </c>
      <c r="DZ29" s="38">
        <f>IF(OR(DZ$2="",$D29=""),"",IF(AND(ISNUMBER($F29),DZ$2&gt;=$F29,DZ$2&lt;=IF(ISNUMBER($G29),$G29,$F29+$E29-$D29)),2,IF(AND(DZ$2&gt;=$D29,DZ$2&lt;=$E29),1,"")))</f>
        <v/>
      </c>
      <c r="EA29" s="38">
        <f>IF(OR(EA$2="",$D29=""),"",IF(AND(ISNUMBER($F29),EA$2&gt;=$F29,EA$2&lt;=IF(ISNUMBER($G29),$G29,$F29+$E29-$D29)),2,IF(AND(EA$2&gt;=$D29,EA$2&lt;=$E29),1,"")))</f>
        <v/>
      </c>
      <c r="EB29" s="38">
        <f>IF(OR(EB$2="",$D29=""),"",IF(AND(ISNUMBER($F29),EB$2&gt;=$F29,EB$2&lt;=IF(ISNUMBER($G29),$G29,$F29+$E29-$D29)),2,IF(AND(EB$2&gt;=$D29,EB$2&lt;=$E29),1,"")))</f>
        <v/>
      </c>
      <c r="EC29" s="38">
        <f>IF(OR(EC$2="",$D29=""),"",IF(AND(ISNUMBER($F29),EC$2&gt;=$F29,EC$2&lt;=IF(ISNUMBER($G29),$G29,$F29+$E29-$D29)),2,IF(AND(EC$2&gt;=$D29,EC$2&lt;=$E29),1,"")))</f>
        <v/>
      </c>
      <c r="ED29" s="38">
        <f>IF(OR(ED$2="",$D29=""),"",IF(AND(ISNUMBER($F29),ED$2&gt;=$F29,ED$2&lt;=IF(ISNUMBER($G29),$G29,$F29+$E29-$D29)),2,IF(AND(ED$2&gt;=$D29,ED$2&lt;=$E29),1,"")))</f>
        <v/>
      </c>
      <c r="EE29" s="38">
        <f>IF(OR(EE$2="",$D29=""),"",IF(AND(ISNUMBER($F29),EE$2&gt;=$F29,EE$2&lt;=IF(ISNUMBER($G29),$G29,$F29+$E29-$D29)),2,IF(AND(EE$2&gt;=$D29,EE$2&lt;=$E29),1,"")))</f>
        <v/>
      </c>
      <c r="EF29" s="38">
        <f>IF(OR(EF$2="",$D29=""),"",IF(AND(ISNUMBER($F29),EF$2&gt;=$F29,EF$2&lt;=IF(ISNUMBER($G29),$G29,$F29+$E29-$D29)),2,IF(AND(EF$2&gt;=$D29,EF$2&lt;=$E29),1,"")))</f>
        <v/>
      </c>
      <c r="EG29" s="38">
        <f>IF(OR(EG$2="",$D29=""),"",IF(AND(ISNUMBER($F29),EG$2&gt;=$F29,EG$2&lt;=IF(ISNUMBER($G29),$G29,$F29+$E29-$D29)),2,IF(AND(EG$2&gt;=$D29,EG$2&lt;=$E29),1,"")))</f>
        <v/>
      </c>
      <c r="EH29" s="38">
        <f>IF(OR(EH$2="",$D29=""),"",IF(AND(ISNUMBER($F29),EH$2&gt;=$F29,EH$2&lt;=IF(ISNUMBER($G29),$G29,$F29+$E29-$D29)),2,IF(AND(EH$2&gt;=$D29,EH$2&lt;=$E29),1,"")))</f>
        <v/>
      </c>
      <c r="EI29" s="38">
        <f>IF(OR(EI$2="",$D29=""),"",IF(AND(ISNUMBER($F29),EI$2&gt;=$F29,EI$2&lt;=IF(ISNUMBER($G29),$G29,$F29+$E29-$D29)),2,IF(AND(EI$2&gt;=$D29,EI$2&lt;=$E29),1,"")))</f>
        <v/>
      </c>
      <c r="EJ29" s="38">
        <f>IF(OR(EJ$2="",$D29=""),"",IF(AND(ISNUMBER($F29),EJ$2&gt;=$F29,EJ$2&lt;=IF(ISNUMBER($G29),$G29,$F29+$E29-$D29)),2,IF(AND(EJ$2&gt;=$D29,EJ$2&lt;=$E29),1,"")))</f>
        <v/>
      </c>
      <c r="EK29" s="38">
        <f>IF(OR(EK$2="",$D29=""),"",IF(AND(ISNUMBER($F29),EK$2&gt;=$F29,EK$2&lt;=IF(ISNUMBER($G29),$G29,$F29+$E29-$D29)),2,IF(AND(EK$2&gt;=$D29,EK$2&lt;=$E29),1,"")))</f>
        <v/>
      </c>
      <c r="EL29" s="38">
        <f>IF(OR(EL$2="",$D29=""),"",IF(AND(ISNUMBER($F29),EL$2&gt;=$F29,EL$2&lt;=IF(ISNUMBER($G29),$G29,$F29+$E29-$D29)),2,IF(AND(EL$2&gt;=$D29,EL$2&lt;=$E29),1,"")))</f>
        <v/>
      </c>
      <c r="EM29" s="38">
        <f>IF(OR(EM$2="",$D29=""),"",IF(AND(ISNUMBER($F29),EM$2&gt;=$F29,EM$2&lt;=IF(ISNUMBER($G29),$G29,$F29+$E29-$D29)),2,IF(AND(EM$2&gt;=$D29,EM$2&lt;=$E29),1,"")))</f>
        <v/>
      </c>
      <c r="EN29" s="38">
        <f>IF(OR(EN$2="",$D29=""),"",IF(AND(ISNUMBER($F29),EN$2&gt;=$F29,EN$2&lt;=IF(ISNUMBER($G29),$G29,$F29+$E29-$D29)),2,IF(AND(EN$2&gt;=$D29,EN$2&lt;=$E29),1,"")))</f>
        <v/>
      </c>
      <c r="EO29" s="38">
        <f>IF(OR(EO$2="",$D29=""),"",IF(AND(ISNUMBER($F29),EO$2&gt;=$F29,EO$2&lt;=IF(ISNUMBER($G29),$G29,$F29+$E29-$D29)),2,IF(AND(EO$2&gt;=$D29,EO$2&lt;=$E29),1,"")))</f>
        <v/>
      </c>
      <c r="EP29" s="38">
        <f>IF(OR(EP$2="",$D29=""),"",IF(AND(ISNUMBER($F29),EP$2&gt;=$F29,EP$2&lt;=IF(ISNUMBER($G29),$G29,$F29+$E29-$D29)),2,IF(AND(EP$2&gt;=$D29,EP$2&lt;=$E29),1,"")))</f>
        <v/>
      </c>
      <c r="EQ29" s="38">
        <f>IF(OR(EQ$2="",$D29=""),"",IF(AND(ISNUMBER($F29),EQ$2&gt;=$F29,EQ$2&lt;=IF(ISNUMBER($G29),$G29,$F29+$E29-$D29)),2,IF(AND(EQ$2&gt;=$D29,EQ$2&lt;=$E29),1,"")))</f>
        <v/>
      </c>
      <c r="ER29" s="38">
        <f>IF(OR(ER$2="",$D29=""),"",IF(AND(ISNUMBER($F29),ER$2&gt;=$F29,ER$2&lt;=IF(ISNUMBER($G29),$G29,$F29+$E29-$D29)),2,IF(AND(ER$2&gt;=$D29,ER$2&lt;=$E29),1,"")))</f>
        <v/>
      </c>
      <c r="ES29" s="38">
        <f>IF(OR(ES$2="",$D29=""),"",IF(AND(ISNUMBER($F29),ES$2&gt;=$F29,ES$2&lt;=IF(ISNUMBER($G29),$G29,$F29+$E29-$D29)),2,IF(AND(ES$2&gt;=$D29,ES$2&lt;=$E29),1,"")))</f>
        <v/>
      </c>
      <c r="ET29" s="38">
        <f>IF(OR(ET$2="",$D29=""),"",IF(AND(ISNUMBER($F29),ET$2&gt;=$F29,ET$2&lt;=IF(ISNUMBER($G29),$G29,$F29+$E29-$D29)),2,IF(AND(ET$2&gt;=$D29,ET$2&lt;=$E29),1,"")))</f>
        <v/>
      </c>
      <c r="EU29" s="38">
        <f>IF(OR(EU$2="",$D29=""),"",IF(AND(ISNUMBER($F29),EU$2&gt;=$F29,EU$2&lt;=IF(ISNUMBER($G29),$G29,$F29+$E29-$D29)),2,IF(AND(EU$2&gt;=$D29,EU$2&lt;=$E29),1,"")))</f>
        <v/>
      </c>
      <c r="EV29" s="38">
        <f>IF(OR(EV$2="",$D29=""),"",IF(AND(ISNUMBER($F29),EV$2&gt;=$F29,EV$2&lt;=IF(ISNUMBER($G29),$G29,$F29+$E29-$D29)),2,IF(AND(EV$2&gt;=$D29,EV$2&lt;=$E29),1,"")))</f>
        <v/>
      </c>
      <c r="EW29" s="38">
        <f>IF(OR(EW$2="",$D29=""),"",IF(AND(ISNUMBER($F29),EW$2&gt;=$F29,EW$2&lt;=IF(ISNUMBER($G29),$G29,$F29+$E29-$D29)),2,IF(AND(EW$2&gt;=$D29,EW$2&lt;=$E29),1,"")))</f>
        <v/>
      </c>
      <c r="EX29" s="38">
        <f>IF(OR(EX$2="",$D29=""),"",IF(AND(ISNUMBER($F29),EX$2&gt;=$F29,EX$2&lt;=IF(ISNUMBER($G29),$G29,$F29+$E29-$D29)),2,IF(AND(EX$2&gt;=$D29,EX$2&lt;=$E29),1,"")))</f>
        <v/>
      </c>
      <c r="EY29" s="38">
        <f>IF(OR(EY$2="",$D29=""),"",IF(AND(ISNUMBER($F29),EY$2&gt;=$F29,EY$2&lt;=IF(ISNUMBER($G29),$G29,$F29+$E29-$D29)),2,IF(AND(EY$2&gt;=$D29,EY$2&lt;=$E29),1,"")))</f>
        <v/>
      </c>
      <c r="EZ29" s="38">
        <f>IF(OR(EZ$2="",$D29=""),"",IF(AND(ISNUMBER($F29),EZ$2&gt;=$F29,EZ$2&lt;=IF(ISNUMBER($G29),$G29,$F29+$E29-$D29)),2,IF(AND(EZ$2&gt;=$D29,EZ$2&lt;=$E29),1,"")))</f>
        <v/>
      </c>
      <c r="FA29" s="38">
        <f>IF(OR(FA$2="",$D29=""),"",IF(AND(ISNUMBER($F29),FA$2&gt;=$F29,FA$2&lt;=IF(ISNUMBER($G29),$G29,$F29+$E29-$D29)),2,IF(AND(FA$2&gt;=$D29,FA$2&lt;=$E29),1,"")))</f>
        <v/>
      </c>
      <c r="FB29" s="38">
        <f>IF(OR(FB$2="",$D29=""),"",IF(AND(ISNUMBER($F29),FB$2&gt;=$F29,FB$2&lt;=IF(ISNUMBER($G29),$G29,$F29+$E29-$D29)),2,IF(AND(FB$2&gt;=$D29,FB$2&lt;=$E29),1,"")))</f>
        <v/>
      </c>
      <c r="FC29" s="38">
        <f>IF(OR(FC$2="",$D29=""),"",IF(AND(ISNUMBER($F29),FC$2&gt;=$F29,FC$2&lt;=IF(ISNUMBER($G29),$G29,$F29+$E29-$D29)),2,IF(AND(FC$2&gt;=$D29,FC$2&lt;=$E29),1,"")))</f>
        <v/>
      </c>
      <c r="FD29" s="38">
        <f>IF(OR(FD$2="",$D29=""),"",IF(AND(ISNUMBER($F29),FD$2&gt;=$F29,FD$2&lt;=IF(ISNUMBER($G29),$G29,$F29+$E29-$D29)),2,IF(AND(FD$2&gt;=$D29,FD$2&lt;=$E29),1,"")))</f>
        <v/>
      </c>
      <c r="FE29" s="38">
        <f>IF(OR(FE$2="",$D29=""),"",IF(AND(ISNUMBER($F29),FE$2&gt;=$F29,FE$2&lt;=IF(ISNUMBER($G29),$G29,$F29+$E29-$D29)),2,IF(AND(FE$2&gt;=$D29,FE$2&lt;=$E29),1,"")))</f>
        <v/>
      </c>
      <c r="FF29" s="38">
        <f>IF(OR(FF$2="",$D29=""),"",IF(AND(ISNUMBER($F29),FF$2&gt;=$F29,FF$2&lt;=IF(ISNUMBER($G29),$G29,$F29+$E29-$D29)),2,IF(AND(FF$2&gt;=$D29,FF$2&lt;=$E29),1,"")))</f>
        <v/>
      </c>
      <c r="FG29" s="38">
        <f>IF(OR(FG$2="",$D29=""),"",IF(AND(ISNUMBER($F29),FG$2&gt;=$F29,FG$2&lt;=IF(ISNUMBER($G29),$G29,$F29+$E29-$D29)),2,IF(AND(FG$2&gt;=$D29,FG$2&lt;=$E29),1,"")))</f>
        <v/>
      </c>
      <c r="FH29" s="38">
        <f>IF(OR(FH$2="",$D29=""),"",IF(AND(ISNUMBER($F29),FH$2&gt;=$F29,FH$2&lt;=IF(ISNUMBER($G29),$G29,$F29+$E29-$D29)),2,IF(AND(FH$2&gt;=$D29,FH$2&lt;=$E29),1,"")))</f>
        <v/>
      </c>
      <c r="FI29" s="38">
        <f>IF(OR(FI$2="",$D29=""),"",IF(AND(ISNUMBER($F29),FI$2&gt;=$F29,FI$2&lt;=IF(ISNUMBER($G29),$G29,$F29+$E29-$D29)),2,IF(AND(FI$2&gt;=$D29,FI$2&lt;=$E29),1,"")))</f>
        <v/>
      </c>
      <c r="FJ29" s="38">
        <f>IF(OR(FJ$2="",$D29=""),"",IF(AND(ISNUMBER($F29),FJ$2&gt;=$F29,FJ$2&lt;=IF(ISNUMBER($G29),$G29,$F29+$E29-$D29)),2,IF(AND(FJ$2&gt;=$D29,FJ$2&lt;=$E29),1,"")))</f>
        <v/>
      </c>
      <c r="FK29" s="38">
        <f>IF(OR(FK$2="",$D29=""),"",IF(AND(ISNUMBER($F29),FK$2&gt;=$F29,FK$2&lt;=IF(ISNUMBER($G29),$G29,$F29+$E29-$D29)),2,IF(AND(FK$2&gt;=$D29,FK$2&lt;=$E29),1,"")))</f>
        <v/>
      </c>
      <c r="FL29" s="38">
        <f>IF(OR(FL$2="",$D29=""),"",IF(AND(ISNUMBER($F29),FL$2&gt;=$F29,FL$2&lt;=IF(ISNUMBER($G29),$G29,$F29+$E29-$D29)),2,IF(AND(FL$2&gt;=$D29,FL$2&lt;=$E29),1,"")))</f>
        <v/>
      </c>
      <c r="FM29" s="38">
        <f>IF(OR(FM$2="",$D29=""),"",IF(AND(ISNUMBER($F29),FM$2&gt;=$F29,FM$2&lt;=IF(ISNUMBER($G29),$G29,$F29+$E29-$D29)),2,IF(AND(FM$2&gt;=$D29,FM$2&lt;=$E29),1,"")))</f>
        <v/>
      </c>
      <c r="FN29" s="38">
        <f>IF(OR(FN$2="",$D29=""),"",IF(AND(ISNUMBER($F29),FN$2&gt;=$F29,FN$2&lt;=IF(ISNUMBER($G29),$G29,$F29+$E29-$D29)),2,IF(AND(FN$2&gt;=$D29,FN$2&lt;=$E29),1,"")))</f>
        <v/>
      </c>
      <c r="FO29" s="38">
        <f>IF(OR(FO$2="",$D29=""),"",IF(AND(ISNUMBER($F29),FO$2&gt;=$F29,FO$2&lt;=IF(ISNUMBER($G29),$G29,$F29+$E29-$D29)),2,IF(AND(FO$2&gt;=$D29,FO$2&lt;=$E29),1,"")))</f>
        <v/>
      </c>
      <c r="FP29" s="38">
        <f>IF(OR(FP$2="",$D29=""),"",IF(AND(ISNUMBER($F29),FP$2&gt;=$F29,FP$2&lt;=IF(ISNUMBER($G29),$G29,$F29+$E29-$D29)),2,IF(AND(FP$2&gt;=$D29,FP$2&lt;=$E29),1,"")))</f>
        <v/>
      </c>
      <c r="FQ29" s="38">
        <f>IF(OR(FQ$2="",$D29=""),"",IF(AND(ISNUMBER($F29),FQ$2&gt;=$F29,FQ$2&lt;=IF(ISNUMBER($G29),$G29,$F29+$E29-$D29)),2,IF(AND(FQ$2&gt;=$D29,FQ$2&lt;=$E29),1,"")))</f>
        <v/>
      </c>
      <c r="FR29" s="38">
        <f>IF(OR(FR$2="",$D29=""),"",IF(AND(ISNUMBER($F29),FR$2&gt;=$F29,FR$2&lt;=IF(ISNUMBER($G29),$G29,$F29+$E29-$D29)),2,IF(AND(FR$2&gt;=$D29,FR$2&lt;=$E29),1,"")))</f>
        <v/>
      </c>
      <c r="FS29" s="38">
        <f>IF(OR(FS$2="",$D29=""),"",IF(AND(ISNUMBER($F29),FS$2&gt;=$F29,FS$2&lt;=IF(ISNUMBER($G29),$G29,$F29+$E29-$D29)),2,IF(AND(FS$2&gt;=$D29,FS$2&lt;=$E29),1,"")))</f>
        <v/>
      </c>
      <c r="FT29" s="38">
        <f>IF(OR(FT$2="",$D29=""),"",IF(AND(ISNUMBER($F29),FT$2&gt;=$F29,FT$2&lt;=IF(ISNUMBER($G29),$G29,$F29+$E29-$D29)),2,IF(AND(FT$2&gt;=$D29,FT$2&lt;=$E29),1,"")))</f>
        <v/>
      </c>
      <c r="FU29" s="38">
        <f>IF(OR(FU$2="",$D29=""),"",IF(AND(ISNUMBER($F29),FU$2&gt;=$F29,FU$2&lt;=IF(ISNUMBER($G29),$G29,$F29+$E29-$D29)),2,IF(AND(FU$2&gt;=$D29,FU$2&lt;=$E29),1,"")))</f>
        <v/>
      </c>
      <c r="FV29" s="38">
        <f>IF(OR(FV$2="",$D29=""),"",IF(AND(ISNUMBER($F29),FV$2&gt;=$F29,FV$2&lt;=IF(ISNUMBER($G29),$G29,$F29+$E29-$D29)),2,IF(AND(FV$2&gt;=$D29,FV$2&lt;=$E29),1,"")))</f>
        <v/>
      </c>
      <c r="FW29" s="38">
        <f>IF(OR(FW$2="",$D29=""),"",IF(AND(ISNUMBER($F29),FW$2&gt;=$F29,FW$2&lt;=IF(ISNUMBER($G29),$G29,$F29+$E29-$D29)),2,IF(AND(FW$2&gt;=$D29,FW$2&lt;=$E29),1,"")))</f>
        <v/>
      </c>
      <c r="FX29" s="38">
        <f>IF(OR(FX$2="",$D29=""),"",IF(AND(ISNUMBER($F29),FX$2&gt;=$F29,FX$2&lt;=IF(ISNUMBER($G29),$G29,$F29+$E29-$D29)),2,IF(AND(FX$2&gt;=$D29,FX$2&lt;=$E29),1,"")))</f>
        <v/>
      </c>
      <c r="FY29" s="38">
        <f>IF(OR(FY$2="",$D29=""),"",IF(AND(ISNUMBER($F29),FY$2&gt;=$F29,FY$2&lt;=IF(ISNUMBER($G29),$G29,$F29+$E29-$D29)),2,IF(AND(FY$2&gt;=$D29,FY$2&lt;=$E29),1,"")))</f>
        <v/>
      </c>
      <c r="FZ29" s="38">
        <f>IF(OR(FZ$2="",$D29=""),"",IF(AND(ISNUMBER($F29),FZ$2&gt;=$F29,FZ$2&lt;=IF(ISNUMBER($G29),$G29,$F29+$E29-$D29)),2,IF(AND(FZ$2&gt;=$D29,FZ$2&lt;=$E29),1,"")))</f>
        <v/>
      </c>
      <c r="GA29" s="38">
        <f>IF(OR(GA$2="",$D29=""),"",IF(AND(ISNUMBER($F29),GA$2&gt;=$F29,GA$2&lt;=IF(ISNUMBER($G29),$G29,$F29+$E29-$D29)),2,IF(AND(GA$2&gt;=$D29,GA$2&lt;=$E29),1,"")))</f>
        <v/>
      </c>
      <c r="GB29" s="38">
        <f>IF(OR(GB$2="",$D29=""),"",IF(AND(ISNUMBER($F29),GB$2&gt;=$F29,GB$2&lt;=IF(ISNUMBER($G29),$G29,$F29+$E29-$D29)),2,IF(AND(GB$2&gt;=$D29,GB$2&lt;=$E29),1,"")))</f>
        <v/>
      </c>
      <c r="GC29" s="38">
        <f>IF(OR(GC$2="",$D29=""),"",IF(AND(ISNUMBER($F29),GC$2&gt;=$F29,GC$2&lt;=IF(ISNUMBER($G29),$G29,$F29+$E29-$D29)),2,IF(AND(GC$2&gt;=$D29,GC$2&lt;=$E29),1,"")))</f>
        <v/>
      </c>
      <c r="GD29" s="38">
        <f>IF(OR(GD$2="",$D29=""),"",IF(AND(ISNUMBER($F29),GD$2&gt;=$F29,GD$2&lt;=IF(ISNUMBER($G29),$G29,$F29+$E29-$D29)),2,IF(AND(GD$2&gt;=$D29,GD$2&lt;=$E29),1,"")))</f>
        <v/>
      </c>
      <c r="GE29" s="38">
        <f>IF(OR(GE$2="",$D29=""),"",IF(AND(ISNUMBER($F29),GE$2&gt;=$F29,GE$2&lt;=IF(ISNUMBER($G29),$G29,$F29+$E29-$D29)),2,IF(AND(GE$2&gt;=$D29,GE$2&lt;=$E29),1,"")))</f>
        <v/>
      </c>
    </row>
    <row r="30">
      <c r="A30" s="36" t="inlineStr">
        <is>
          <t>Plowing</t>
        </is>
      </c>
      <c r="B30" s="12" t="inlineStr">
        <is>
          <t>চাষ</t>
        </is>
      </c>
      <c r="C30" s="12" t="inlineStr">
        <is>
          <t>FP</t>
        </is>
      </c>
      <c r="D30" s="7">
        <f>IF(D7="","",D7)</f>
        <v/>
      </c>
      <c r="E30" s="7">
        <f>IF(D30="","",D30)</f>
        <v/>
      </c>
      <c r="F30" s="37" t="n"/>
      <c r="G30" s="7" t="n"/>
      <c r="H30" s="6">
        <f>IF(D30="","no plan",IF(F30&lt;&gt;"",IF(F30-D30&gt;=2,"LATE","OK"),IF(TODAY()&gt;D30+2,"OVERDUE","upcoming")))</f>
        <v/>
      </c>
      <c r="I30" s="6">
        <f>IF(AND(D30&lt;&gt;"",F30&lt;&gt;""),F30-D30,"")</f>
        <v/>
      </c>
      <c r="J30" s="7">
        <f>IF(F30&lt;&gt;"",F30,D30)</f>
        <v/>
      </c>
      <c r="K30" s="7">
        <f>IF(G30&lt;&gt;"",G30,IF(AND(F30&lt;&gt;"",E30=D30),F30,E30))</f>
        <v/>
      </c>
      <c r="L30" s="6">
        <f>IF(AND(D30&lt;&gt;"",F30="",D30&gt;=TODAY()),D30+ROW()/1000,"")</f>
        <v/>
      </c>
      <c r="M30" s="38">
        <f>IF(OR(M$2="",$D30=""),"",IF(AND(ISNUMBER($F30),M$2&gt;=$F30,M$2&lt;=IF(ISNUMBER($G30),$G30,$F30+$E30-$D30)),2,IF(AND(M$2&gt;=$D30,M$2&lt;=$E30),1,"")))</f>
        <v/>
      </c>
      <c r="N30" s="38">
        <f>IF(OR(N$2="",$D30=""),"",IF(AND(ISNUMBER($F30),N$2&gt;=$F30,N$2&lt;=IF(ISNUMBER($G30),$G30,$F30+$E30-$D30)),2,IF(AND(N$2&gt;=$D30,N$2&lt;=$E30),1,"")))</f>
        <v/>
      </c>
      <c r="O30" s="38">
        <f>IF(OR(O$2="",$D30=""),"",IF(AND(ISNUMBER($F30),O$2&gt;=$F30,O$2&lt;=IF(ISNUMBER($G30),$G30,$F30+$E30-$D30)),2,IF(AND(O$2&gt;=$D30,O$2&lt;=$E30),1,"")))</f>
        <v/>
      </c>
      <c r="P30" s="38">
        <f>IF(OR(P$2="",$D30=""),"",IF(AND(ISNUMBER($F30),P$2&gt;=$F30,P$2&lt;=IF(ISNUMBER($G30),$G30,$F30+$E30-$D30)),2,IF(AND(P$2&gt;=$D30,P$2&lt;=$E30),1,"")))</f>
        <v/>
      </c>
      <c r="Q30" s="38">
        <f>IF(OR(Q$2="",$D30=""),"",IF(AND(ISNUMBER($F30),Q$2&gt;=$F30,Q$2&lt;=IF(ISNUMBER($G30),$G30,$F30+$E30-$D30)),2,IF(AND(Q$2&gt;=$D30,Q$2&lt;=$E30),1,"")))</f>
        <v/>
      </c>
      <c r="R30" s="38">
        <f>IF(OR(R$2="",$D30=""),"",IF(AND(ISNUMBER($F30),R$2&gt;=$F30,R$2&lt;=IF(ISNUMBER($G30),$G30,$F30+$E30-$D30)),2,IF(AND(R$2&gt;=$D30,R$2&lt;=$E30),1,"")))</f>
        <v/>
      </c>
      <c r="S30" s="38">
        <f>IF(OR(S$2="",$D30=""),"",IF(AND(ISNUMBER($F30),S$2&gt;=$F30,S$2&lt;=IF(ISNUMBER($G30),$G30,$F30+$E30-$D30)),2,IF(AND(S$2&gt;=$D30,S$2&lt;=$E30),1,"")))</f>
        <v/>
      </c>
      <c r="T30" s="38">
        <f>IF(OR(T$2="",$D30=""),"",IF(AND(ISNUMBER($F30),T$2&gt;=$F30,T$2&lt;=IF(ISNUMBER($G30),$G30,$F30+$E30-$D30)),2,IF(AND(T$2&gt;=$D30,T$2&lt;=$E30),1,"")))</f>
        <v/>
      </c>
      <c r="U30" s="38">
        <f>IF(OR(U$2="",$D30=""),"",IF(AND(ISNUMBER($F30),U$2&gt;=$F30,U$2&lt;=IF(ISNUMBER($G30),$G30,$F30+$E30-$D30)),2,IF(AND(U$2&gt;=$D30,U$2&lt;=$E30),1,"")))</f>
        <v/>
      </c>
      <c r="V30" s="38">
        <f>IF(OR(V$2="",$D30=""),"",IF(AND(ISNUMBER($F30),V$2&gt;=$F30,V$2&lt;=IF(ISNUMBER($G30),$G30,$F30+$E30-$D30)),2,IF(AND(V$2&gt;=$D30,V$2&lt;=$E30),1,"")))</f>
        <v/>
      </c>
      <c r="W30" s="38">
        <f>IF(OR(W$2="",$D30=""),"",IF(AND(ISNUMBER($F30),W$2&gt;=$F30,W$2&lt;=IF(ISNUMBER($G30),$G30,$F30+$E30-$D30)),2,IF(AND(W$2&gt;=$D30,W$2&lt;=$E30),1,"")))</f>
        <v/>
      </c>
      <c r="X30" s="38">
        <f>IF(OR(X$2="",$D30=""),"",IF(AND(ISNUMBER($F30),X$2&gt;=$F30,X$2&lt;=IF(ISNUMBER($G30),$G30,$F30+$E30-$D30)),2,IF(AND(X$2&gt;=$D30,X$2&lt;=$E30),1,"")))</f>
        <v/>
      </c>
      <c r="Y30" s="38">
        <f>IF(OR(Y$2="",$D30=""),"",IF(AND(ISNUMBER($F30),Y$2&gt;=$F30,Y$2&lt;=IF(ISNUMBER($G30),$G30,$F30+$E30-$D30)),2,IF(AND(Y$2&gt;=$D30,Y$2&lt;=$E30),1,"")))</f>
        <v/>
      </c>
      <c r="Z30" s="38">
        <f>IF(OR(Z$2="",$D30=""),"",IF(AND(ISNUMBER($F30),Z$2&gt;=$F30,Z$2&lt;=IF(ISNUMBER($G30),$G30,$F30+$E30-$D30)),2,IF(AND(Z$2&gt;=$D30,Z$2&lt;=$E30),1,"")))</f>
        <v/>
      </c>
      <c r="AA30" s="38">
        <f>IF(OR(AA$2="",$D30=""),"",IF(AND(ISNUMBER($F30),AA$2&gt;=$F30,AA$2&lt;=IF(ISNUMBER($G30),$G30,$F30+$E30-$D30)),2,IF(AND(AA$2&gt;=$D30,AA$2&lt;=$E30),1,"")))</f>
        <v/>
      </c>
      <c r="AB30" s="38">
        <f>IF(OR(AB$2="",$D30=""),"",IF(AND(ISNUMBER($F30),AB$2&gt;=$F30,AB$2&lt;=IF(ISNUMBER($G30),$G30,$F30+$E30-$D30)),2,IF(AND(AB$2&gt;=$D30,AB$2&lt;=$E30),1,"")))</f>
        <v/>
      </c>
      <c r="AC30" s="38">
        <f>IF(OR(AC$2="",$D30=""),"",IF(AND(ISNUMBER($F30),AC$2&gt;=$F30,AC$2&lt;=IF(ISNUMBER($G30),$G30,$F30+$E30-$D30)),2,IF(AND(AC$2&gt;=$D30,AC$2&lt;=$E30),1,"")))</f>
        <v/>
      </c>
      <c r="AD30" s="38">
        <f>IF(OR(AD$2="",$D30=""),"",IF(AND(ISNUMBER($F30),AD$2&gt;=$F30,AD$2&lt;=IF(ISNUMBER($G30),$G30,$F30+$E30-$D30)),2,IF(AND(AD$2&gt;=$D30,AD$2&lt;=$E30),1,"")))</f>
        <v/>
      </c>
      <c r="AE30" s="38">
        <f>IF(OR(AE$2="",$D30=""),"",IF(AND(ISNUMBER($F30),AE$2&gt;=$F30,AE$2&lt;=IF(ISNUMBER($G30),$G30,$F30+$E30-$D30)),2,IF(AND(AE$2&gt;=$D30,AE$2&lt;=$E30),1,"")))</f>
        <v/>
      </c>
      <c r="AF30" s="38">
        <f>IF(OR(AF$2="",$D30=""),"",IF(AND(ISNUMBER($F30),AF$2&gt;=$F30,AF$2&lt;=IF(ISNUMBER($G30),$G30,$F30+$E30-$D30)),2,IF(AND(AF$2&gt;=$D30,AF$2&lt;=$E30),1,"")))</f>
        <v/>
      </c>
      <c r="AG30" s="38">
        <f>IF(OR(AG$2="",$D30=""),"",IF(AND(ISNUMBER($F30),AG$2&gt;=$F30,AG$2&lt;=IF(ISNUMBER($G30),$G30,$F30+$E30-$D30)),2,IF(AND(AG$2&gt;=$D30,AG$2&lt;=$E30),1,"")))</f>
        <v/>
      </c>
      <c r="AH30" s="38">
        <f>IF(OR(AH$2="",$D30=""),"",IF(AND(ISNUMBER($F30),AH$2&gt;=$F30,AH$2&lt;=IF(ISNUMBER($G30),$G30,$F30+$E30-$D30)),2,IF(AND(AH$2&gt;=$D30,AH$2&lt;=$E30),1,"")))</f>
        <v/>
      </c>
      <c r="AI30" s="38">
        <f>IF(OR(AI$2="",$D30=""),"",IF(AND(ISNUMBER($F30),AI$2&gt;=$F30,AI$2&lt;=IF(ISNUMBER($G30),$G30,$F30+$E30-$D30)),2,IF(AND(AI$2&gt;=$D30,AI$2&lt;=$E30),1,"")))</f>
        <v/>
      </c>
      <c r="AJ30" s="38">
        <f>IF(OR(AJ$2="",$D30=""),"",IF(AND(ISNUMBER($F30),AJ$2&gt;=$F30,AJ$2&lt;=IF(ISNUMBER($G30),$G30,$F30+$E30-$D30)),2,IF(AND(AJ$2&gt;=$D30,AJ$2&lt;=$E30),1,"")))</f>
        <v/>
      </c>
      <c r="AK30" s="38">
        <f>IF(OR(AK$2="",$D30=""),"",IF(AND(ISNUMBER($F30),AK$2&gt;=$F30,AK$2&lt;=IF(ISNUMBER($G30),$G30,$F30+$E30-$D30)),2,IF(AND(AK$2&gt;=$D30,AK$2&lt;=$E30),1,"")))</f>
        <v/>
      </c>
      <c r="AL30" s="38">
        <f>IF(OR(AL$2="",$D30=""),"",IF(AND(ISNUMBER($F30),AL$2&gt;=$F30,AL$2&lt;=IF(ISNUMBER($G30),$G30,$F30+$E30-$D30)),2,IF(AND(AL$2&gt;=$D30,AL$2&lt;=$E30),1,"")))</f>
        <v/>
      </c>
      <c r="AM30" s="38">
        <f>IF(OR(AM$2="",$D30=""),"",IF(AND(ISNUMBER($F30),AM$2&gt;=$F30,AM$2&lt;=IF(ISNUMBER($G30),$G30,$F30+$E30-$D30)),2,IF(AND(AM$2&gt;=$D30,AM$2&lt;=$E30),1,"")))</f>
        <v/>
      </c>
      <c r="AN30" s="38">
        <f>IF(OR(AN$2="",$D30=""),"",IF(AND(ISNUMBER($F30),AN$2&gt;=$F30,AN$2&lt;=IF(ISNUMBER($G30),$G30,$F30+$E30-$D30)),2,IF(AND(AN$2&gt;=$D30,AN$2&lt;=$E30),1,"")))</f>
        <v/>
      </c>
      <c r="AO30" s="38">
        <f>IF(OR(AO$2="",$D30=""),"",IF(AND(ISNUMBER($F30),AO$2&gt;=$F30,AO$2&lt;=IF(ISNUMBER($G30),$G30,$F30+$E30-$D30)),2,IF(AND(AO$2&gt;=$D30,AO$2&lt;=$E30),1,"")))</f>
        <v/>
      </c>
      <c r="AP30" s="38">
        <f>IF(OR(AP$2="",$D30=""),"",IF(AND(ISNUMBER($F30),AP$2&gt;=$F30,AP$2&lt;=IF(ISNUMBER($G30),$G30,$F30+$E30-$D30)),2,IF(AND(AP$2&gt;=$D30,AP$2&lt;=$E30),1,"")))</f>
        <v/>
      </c>
      <c r="AQ30" s="38">
        <f>IF(OR(AQ$2="",$D30=""),"",IF(AND(ISNUMBER($F30),AQ$2&gt;=$F30,AQ$2&lt;=IF(ISNUMBER($G30),$G30,$F30+$E30-$D30)),2,IF(AND(AQ$2&gt;=$D30,AQ$2&lt;=$E30),1,"")))</f>
        <v/>
      </c>
      <c r="AR30" s="38">
        <f>IF(OR(AR$2="",$D30=""),"",IF(AND(ISNUMBER($F30),AR$2&gt;=$F30,AR$2&lt;=IF(ISNUMBER($G30),$G30,$F30+$E30-$D30)),2,IF(AND(AR$2&gt;=$D30,AR$2&lt;=$E30),1,"")))</f>
        <v/>
      </c>
      <c r="AS30" s="38">
        <f>IF(OR(AS$2="",$D30=""),"",IF(AND(ISNUMBER($F30),AS$2&gt;=$F30,AS$2&lt;=IF(ISNUMBER($G30),$G30,$F30+$E30-$D30)),2,IF(AND(AS$2&gt;=$D30,AS$2&lt;=$E30),1,"")))</f>
        <v/>
      </c>
      <c r="AT30" s="38">
        <f>IF(OR(AT$2="",$D30=""),"",IF(AND(ISNUMBER($F30),AT$2&gt;=$F30,AT$2&lt;=IF(ISNUMBER($G30),$G30,$F30+$E30-$D30)),2,IF(AND(AT$2&gt;=$D30,AT$2&lt;=$E30),1,"")))</f>
        <v/>
      </c>
      <c r="AU30" s="38">
        <f>IF(OR(AU$2="",$D30=""),"",IF(AND(ISNUMBER($F30),AU$2&gt;=$F30,AU$2&lt;=IF(ISNUMBER($G30),$G30,$F30+$E30-$D30)),2,IF(AND(AU$2&gt;=$D30,AU$2&lt;=$E30),1,"")))</f>
        <v/>
      </c>
      <c r="AV30" s="38">
        <f>IF(OR(AV$2="",$D30=""),"",IF(AND(ISNUMBER($F30),AV$2&gt;=$F30,AV$2&lt;=IF(ISNUMBER($G30),$G30,$F30+$E30-$D30)),2,IF(AND(AV$2&gt;=$D30,AV$2&lt;=$E30),1,"")))</f>
        <v/>
      </c>
      <c r="AW30" s="38">
        <f>IF(OR(AW$2="",$D30=""),"",IF(AND(ISNUMBER($F30),AW$2&gt;=$F30,AW$2&lt;=IF(ISNUMBER($G30),$G30,$F30+$E30-$D30)),2,IF(AND(AW$2&gt;=$D30,AW$2&lt;=$E30),1,"")))</f>
        <v/>
      </c>
      <c r="AX30" s="38">
        <f>IF(OR(AX$2="",$D30=""),"",IF(AND(ISNUMBER($F30),AX$2&gt;=$F30,AX$2&lt;=IF(ISNUMBER($G30),$G30,$F30+$E30-$D30)),2,IF(AND(AX$2&gt;=$D30,AX$2&lt;=$E30),1,"")))</f>
        <v/>
      </c>
      <c r="AY30" s="38">
        <f>IF(OR(AY$2="",$D30=""),"",IF(AND(ISNUMBER($F30),AY$2&gt;=$F30,AY$2&lt;=IF(ISNUMBER($G30),$G30,$F30+$E30-$D30)),2,IF(AND(AY$2&gt;=$D30,AY$2&lt;=$E30),1,"")))</f>
        <v/>
      </c>
      <c r="AZ30" s="38">
        <f>IF(OR(AZ$2="",$D30=""),"",IF(AND(ISNUMBER($F30),AZ$2&gt;=$F30,AZ$2&lt;=IF(ISNUMBER($G30),$G30,$F30+$E30-$D30)),2,IF(AND(AZ$2&gt;=$D30,AZ$2&lt;=$E30),1,"")))</f>
        <v/>
      </c>
      <c r="BA30" s="38">
        <f>IF(OR(BA$2="",$D30=""),"",IF(AND(ISNUMBER($F30),BA$2&gt;=$F30,BA$2&lt;=IF(ISNUMBER($G30),$G30,$F30+$E30-$D30)),2,IF(AND(BA$2&gt;=$D30,BA$2&lt;=$E30),1,"")))</f>
        <v/>
      </c>
      <c r="BB30" s="38">
        <f>IF(OR(BB$2="",$D30=""),"",IF(AND(ISNUMBER($F30),BB$2&gt;=$F30,BB$2&lt;=IF(ISNUMBER($G30),$G30,$F30+$E30-$D30)),2,IF(AND(BB$2&gt;=$D30,BB$2&lt;=$E30),1,"")))</f>
        <v/>
      </c>
      <c r="BC30" s="38">
        <f>IF(OR(BC$2="",$D30=""),"",IF(AND(ISNUMBER($F30),BC$2&gt;=$F30,BC$2&lt;=IF(ISNUMBER($G30),$G30,$F30+$E30-$D30)),2,IF(AND(BC$2&gt;=$D30,BC$2&lt;=$E30),1,"")))</f>
        <v/>
      </c>
      <c r="BD30" s="38">
        <f>IF(OR(BD$2="",$D30=""),"",IF(AND(ISNUMBER($F30),BD$2&gt;=$F30,BD$2&lt;=IF(ISNUMBER($G30),$G30,$F30+$E30-$D30)),2,IF(AND(BD$2&gt;=$D30,BD$2&lt;=$E30),1,"")))</f>
        <v/>
      </c>
      <c r="BE30" s="38">
        <f>IF(OR(BE$2="",$D30=""),"",IF(AND(ISNUMBER($F30),BE$2&gt;=$F30,BE$2&lt;=IF(ISNUMBER($G30),$G30,$F30+$E30-$D30)),2,IF(AND(BE$2&gt;=$D30,BE$2&lt;=$E30),1,"")))</f>
        <v/>
      </c>
      <c r="BF30" s="38">
        <f>IF(OR(BF$2="",$D30=""),"",IF(AND(ISNUMBER($F30),BF$2&gt;=$F30,BF$2&lt;=IF(ISNUMBER($G30),$G30,$F30+$E30-$D30)),2,IF(AND(BF$2&gt;=$D30,BF$2&lt;=$E30),1,"")))</f>
        <v/>
      </c>
      <c r="BG30" s="38">
        <f>IF(OR(BG$2="",$D30=""),"",IF(AND(ISNUMBER($F30),BG$2&gt;=$F30,BG$2&lt;=IF(ISNUMBER($G30),$G30,$F30+$E30-$D30)),2,IF(AND(BG$2&gt;=$D30,BG$2&lt;=$E30),1,"")))</f>
        <v/>
      </c>
      <c r="BH30" s="38">
        <f>IF(OR(BH$2="",$D30=""),"",IF(AND(ISNUMBER($F30),BH$2&gt;=$F30,BH$2&lt;=IF(ISNUMBER($G30),$G30,$F30+$E30-$D30)),2,IF(AND(BH$2&gt;=$D30,BH$2&lt;=$E30),1,"")))</f>
        <v/>
      </c>
      <c r="BI30" s="38">
        <f>IF(OR(BI$2="",$D30=""),"",IF(AND(ISNUMBER($F30),BI$2&gt;=$F30,BI$2&lt;=IF(ISNUMBER($G30),$G30,$F30+$E30-$D30)),2,IF(AND(BI$2&gt;=$D30,BI$2&lt;=$E30),1,"")))</f>
        <v/>
      </c>
      <c r="BJ30" s="38">
        <f>IF(OR(BJ$2="",$D30=""),"",IF(AND(ISNUMBER($F30),BJ$2&gt;=$F30,BJ$2&lt;=IF(ISNUMBER($G30),$G30,$F30+$E30-$D30)),2,IF(AND(BJ$2&gt;=$D30,BJ$2&lt;=$E30),1,"")))</f>
        <v/>
      </c>
      <c r="BK30" s="38">
        <f>IF(OR(BK$2="",$D30=""),"",IF(AND(ISNUMBER($F30),BK$2&gt;=$F30,BK$2&lt;=IF(ISNUMBER($G30),$G30,$F30+$E30-$D30)),2,IF(AND(BK$2&gt;=$D30,BK$2&lt;=$E30),1,"")))</f>
        <v/>
      </c>
      <c r="BL30" s="38">
        <f>IF(OR(BL$2="",$D30=""),"",IF(AND(ISNUMBER($F30),BL$2&gt;=$F30,BL$2&lt;=IF(ISNUMBER($G30),$G30,$F30+$E30-$D30)),2,IF(AND(BL$2&gt;=$D30,BL$2&lt;=$E30),1,"")))</f>
        <v/>
      </c>
      <c r="BM30" s="38">
        <f>IF(OR(BM$2="",$D30=""),"",IF(AND(ISNUMBER($F30),BM$2&gt;=$F30,BM$2&lt;=IF(ISNUMBER($G30),$G30,$F30+$E30-$D30)),2,IF(AND(BM$2&gt;=$D30,BM$2&lt;=$E30),1,"")))</f>
        <v/>
      </c>
      <c r="BN30" s="38">
        <f>IF(OR(BN$2="",$D30=""),"",IF(AND(ISNUMBER($F30),BN$2&gt;=$F30,BN$2&lt;=IF(ISNUMBER($G30),$G30,$F30+$E30-$D30)),2,IF(AND(BN$2&gt;=$D30,BN$2&lt;=$E30),1,"")))</f>
        <v/>
      </c>
      <c r="BO30" s="38">
        <f>IF(OR(BO$2="",$D30=""),"",IF(AND(ISNUMBER($F30),BO$2&gt;=$F30,BO$2&lt;=IF(ISNUMBER($G30),$G30,$F30+$E30-$D30)),2,IF(AND(BO$2&gt;=$D30,BO$2&lt;=$E30),1,"")))</f>
        <v/>
      </c>
      <c r="BP30" s="38">
        <f>IF(OR(BP$2="",$D30=""),"",IF(AND(ISNUMBER($F30),BP$2&gt;=$F30,BP$2&lt;=IF(ISNUMBER($G30),$G30,$F30+$E30-$D30)),2,IF(AND(BP$2&gt;=$D30,BP$2&lt;=$E30),1,"")))</f>
        <v/>
      </c>
      <c r="BQ30" s="38">
        <f>IF(OR(BQ$2="",$D30=""),"",IF(AND(ISNUMBER($F30),BQ$2&gt;=$F30,BQ$2&lt;=IF(ISNUMBER($G30),$G30,$F30+$E30-$D30)),2,IF(AND(BQ$2&gt;=$D30,BQ$2&lt;=$E30),1,"")))</f>
        <v/>
      </c>
      <c r="BR30" s="38">
        <f>IF(OR(BR$2="",$D30=""),"",IF(AND(ISNUMBER($F30),BR$2&gt;=$F30,BR$2&lt;=IF(ISNUMBER($G30),$G30,$F30+$E30-$D30)),2,IF(AND(BR$2&gt;=$D30,BR$2&lt;=$E30),1,"")))</f>
        <v/>
      </c>
      <c r="BS30" s="38">
        <f>IF(OR(BS$2="",$D30=""),"",IF(AND(ISNUMBER($F30),BS$2&gt;=$F30,BS$2&lt;=IF(ISNUMBER($G30),$G30,$F30+$E30-$D30)),2,IF(AND(BS$2&gt;=$D30,BS$2&lt;=$E30),1,"")))</f>
        <v/>
      </c>
      <c r="BT30" s="38">
        <f>IF(OR(BT$2="",$D30=""),"",IF(AND(ISNUMBER($F30),BT$2&gt;=$F30,BT$2&lt;=IF(ISNUMBER($G30),$G30,$F30+$E30-$D30)),2,IF(AND(BT$2&gt;=$D30,BT$2&lt;=$E30),1,"")))</f>
        <v/>
      </c>
      <c r="BU30" s="38">
        <f>IF(OR(BU$2="",$D30=""),"",IF(AND(ISNUMBER($F30),BU$2&gt;=$F30,BU$2&lt;=IF(ISNUMBER($G30),$G30,$F30+$E30-$D30)),2,IF(AND(BU$2&gt;=$D30,BU$2&lt;=$E30),1,"")))</f>
        <v/>
      </c>
      <c r="BV30" s="38">
        <f>IF(OR(BV$2="",$D30=""),"",IF(AND(ISNUMBER($F30),BV$2&gt;=$F30,BV$2&lt;=IF(ISNUMBER($G30),$G30,$F30+$E30-$D30)),2,IF(AND(BV$2&gt;=$D30,BV$2&lt;=$E30),1,"")))</f>
        <v/>
      </c>
      <c r="BW30" s="38">
        <f>IF(OR(BW$2="",$D30=""),"",IF(AND(ISNUMBER($F30),BW$2&gt;=$F30,BW$2&lt;=IF(ISNUMBER($G30),$G30,$F30+$E30-$D30)),2,IF(AND(BW$2&gt;=$D30,BW$2&lt;=$E30),1,"")))</f>
        <v/>
      </c>
      <c r="BX30" s="38">
        <f>IF(OR(BX$2="",$D30=""),"",IF(AND(ISNUMBER($F30),BX$2&gt;=$F30,BX$2&lt;=IF(ISNUMBER($G30),$G30,$F30+$E30-$D30)),2,IF(AND(BX$2&gt;=$D30,BX$2&lt;=$E30),1,"")))</f>
        <v/>
      </c>
      <c r="BY30" s="38">
        <f>IF(OR(BY$2="",$D30=""),"",IF(AND(ISNUMBER($F30),BY$2&gt;=$F30,BY$2&lt;=IF(ISNUMBER($G30),$G30,$F30+$E30-$D30)),2,IF(AND(BY$2&gt;=$D30,BY$2&lt;=$E30),1,"")))</f>
        <v/>
      </c>
      <c r="BZ30" s="38">
        <f>IF(OR(BZ$2="",$D30=""),"",IF(AND(ISNUMBER($F30),BZ$2&gt;=$F30,BZ$2&lt;=IF(ISNUMBER($G30),$G30,$F30+$E30-$D30)),2,IF(AND(BZ$2&gt;=$D30,BZ$2&lt;=$E30),1,"")))</f>
        <v/>
      </c>
      <c r="CA30" s="38">
        <f>IF(OR(CA$2="",$D30=""),"",IF(AND(ISNUMBER($F30),CA$2&gt;=$F30,CA$2&lt;=IF(ISNUMBER($G30),$G30,$F30+$E30-$D30)),2,IF(AND(CA$2&gt;=$D30,CA$2&lt;=$E30),1,"")))</f>
        <v/>
      </c>
      <c r="CB30" s="38">
        <f>IF(OR(CB$2="",$D30=""),"",IF(AND(ISNUMBER($F30),CB$2&gt;=$F30,CB$2&lt;=IF(ISNUMBER($G30),$G30,$F30+$E30-$D30)),2,IF(AND(CB$2&gt;=$D30,CB$2&lt;=$E30),1,"")))</f>
        <v/>
      </c>
      <c r="CC30" s="38">
        <f>IF(OR(CC$2="",$D30=""),"",IF(AND(ISNUMBER($F30),CC$2&gt;=$F30,CC$2&lt;=IF(ISNUMBER($G30),$G30,$F30+$E30-$D30)),2,IF(AND(CC$2&gt;=$D30,CC$2&lt;=$E30),1,"")))</f>
        <v/>
      </c>
      <c r="CD30" s="38">
        <f>IF(OR(CD$2="",$D30=""),"",IF(AND(ISNUMBER($F30),CD$2&gt;=$F30,CD$2&lt;=IF(ISNUMBER($G30),$G30,$F30+$E30-$D30)),2,IF(AND(CD$2&gt;=$D30,CD$2&lt;=$E30),1,"")))</f>
        <v/>
      </c>
      <c r="CE30" s="38">
        <f>IF(OR(CE$2="",$D30=""),"",IF(AND(ISNUMBER($F30),CE$2&gt;=$F30,CE$2&lt;=IF(ISNUMBER($G30),$G30,$F30+$E30-$D30)),2,IF(AND(CE$2&gt;=$D30,CE$2&lt;=$E30),1,"")))</f>
        <v/>
      </c>
      <c r="CF30" s="38">
        <f>IF(OR(CF$2="",$D30=""),"",IF(AND(ISNUMBER($F30),CF$2&gt;=$F30,CF$2&lt;=IF(ISNUMBER($G30),$G30,$F30+$E30-$D30)),2,IF(AND(CF$2&gt;=$D30,CF$2&lt;=$E30),1,"")))</f>
        <v/>
      </c>
      <c r="CG30" s="38">
        <f>IF(OR(CG$2="",$D30=""),"",IF(AND(ISNUMBER($F30),CG$2&gt;=$F30,CG$2&lt;=IF(ISNUMBER($G30),$G30,$F30+$E30-$D30)),2,IF(AND(CG$2&gt;=$D30,CG$2&lt;=$E30),1,"")))</f>
        <v/>
      </c>
      <c r="CH30" s="38">
        <f>IF(OR(CH$2="",$D30=""),"",IF(AND(ISNUMBER($F30),CH$2&gt;=$F30,CH$2&lt;=IF(ISNUMBER($G30),$G30,$F30+$E30-$D30)),2,IF(AND(CH$2&gt;=$D30,CH$2&lt;=$E30),1,"")))</f>
        <v/>
      </c>
      <c r="CI30" s="38">
        <f>IF(OR(CI$2="",$D30=""),"",IF(AND(ISNUMBER($F30),CI$2&gt;=$F30,CI$2&lt;=IF(ISNUMBER($G30),$G30,$F30+$E30-$D30)),2,IF(AND(CI$2&gt;=$D30,CI$2&lt;=$E30),1,"")))</f>
        <v/>
      </c>
      <c r="CJ30" s="38">
        <f>IF(OR(CJ$2="",$D30=""),"",IF(AND(ISNUMBER($F30),CJ$2&gt;=$F30,CJ$2&lt;=IF(ISNUMBER($G30),$G30,$F30+$E30-$D30)),2,IF(AND(CJ$2&gt;=$D30,CJ$2&lt;=$E30),1,"")))</f>
        <v/>
      </c>
      <c r="CK30" s="38">
        <f>IF(OR(CK$2="",$D30=""),"",IF(AND(ISNUMBER($F30),CK$2&gt;=$F30,CK$2&lt;=IF(ISNUMBER($G30),$G30,$F30+$E30-$D30)),2,IF(AND(CK$2&gt;=$D30,CK$2&lt;=$E30),1,"")))</f>
        <v/>
      </c>
      <c r="CL30" s="38">
        <f>IF(OR(CL$2="",$D30=""),"",IF(AND(ISNUMBER($F30),CL$2&gt;=$F30,CL$2&lt;=IF(ISNUMBER($G30),$G30,$F30+$E30-$D30)),2,IF(AND(CL$2&gt;=$D30,CL$2&lt;=$E30),1,"")))</f>
        <v/>
      </c>
      <c r="CM30" s="38">
        <f>IF(OR(CM$2="",$D30=""),"",IF(AND(ISNUMBER($F30),CM$2&gt;=$F30,CM$2&lt;=IF(ISNUMBER($G30),$G30,$F30+$E30-$D30)),2,IF(AND(CM$2&gt;=$D30,CM$2&lt;=$E30),1,"")))</f>
        <v/>
      </c>
      <c r="CN30" s="38">
        <f>IF(OR(CN$2="",$D30=""),"",IF(AND(ISNUMBER($F30),CN$2&gt;=$F30,CN$2&lt;=IF(ISNUMBER($G30),$G30,$F30+$E30-$D30)),2,IF(AND(CN$2&gt;=$D30,CN$2&lt;=$E30),1,"")))</f>
        <v/>
      </c>
      <c r="CO30" s="38">
        <f>IF(OR(CO$2="",$D30=""),"",IF(AND(ISNUMBER($F30),CO$2&gt;=$F30,CO$2&lt;=IF(ISNUMBER($G30),$G30,$F30+$E30-$D30)),2,IF(AND(CO$2&gt;=$D30,CO$2&lt;=$E30),1,"")))</f>
        <v/>
      </c>
      <c r="CP30" s="38">
        <f>IF(OR(CP$2="",$D30=""),"",IF(AND(ISNUMBER($F30),CP$2&gt;=$F30,CP$2&lt;=IF(ISNUMBER($G30),$G30,$F30+$E30-$D30)),2,IF(AND(CP$2&gt;=$D30,CP$2&lt;=$E30),1,"")))</f>
        <v/>
      </c>
      <c r="CQ30" s="38">
        <f>IF(OR(CQ$2="",$D30=""),"",IF(AND(ISNUMBER($F30),CQ$2&gt;=$F30,CQ$2&lt;=IF(ISNUMBER($G30),$G30,$F30+$E30-$D30)),2,IF(AND(CQ$2&gt;=$D30,CQ$2&lt;=$E30),1,"")))</f>
        <v/>
      </c>
      <c r="CR30" s="38">
        <f>IF(OR(CR$2="",$D30=""),"",IF(AND(ISNUMBER($F30),CR$2&gt;=$F30,CR$2&lt;=IF(ISNUMBER($G30),$G30,$F30+$E30-$D30)),2,IF(AND(CR$2&gt;=$D30,CR$2&lt;=$E30),1,"")))</f>
        <v/>
      </c>
      <c r="CS30" s="38">
        <f>IF(OR(CS$2="",$D30=""),"",IF(AND(ISNUMBER($F30),CS$2&gt;=$F30,CS$2&lt;=IF(ISNUMBER($G30),$G30,$F30+$E30-$D30)),2,IF(AND(CS$2&gt;=$D30,CS$2&lt;=$E30),1,"")))</f>
        <v/>
      </c>
      <c r="CT30" s="38">
        <f>IF(OR(CT$2="",$D30=""),"",IF(AND(ISNUMBER($F30),CT$2&gt;=$F30,CT$2&lt;=IF(ISNUMBER($G30),$G30,$F30+$E30-$D30)),2,IF(AND(CT$2&gt;=$D30,CT$2&lt;=$E30),1,"")))</f>
        <v/>
      </c>
      <c r="CU30" s="38">
        <f>IF(OR(CU$2="",$D30=""),"",IF(AND(ISNUMBER($F30),CU$2&gt;=$F30,CU$2&lt;=IF(ISNUMBER($G30),$G30,$F30+$E30-$D30)),2,IF(AND(CU$2&gt;=$D30,CU$2&lt;=$E30),1,"")))</f>
        <v/>
      </c>
      <c r="CV30" s="38">
        <f>IF(OR(CV$2="",$D30=""),"",IF(AND(ISNUMBER($F30),CV$2&gt;=$F30,CV$2&lt;=IF(ISNUMBER($G30),$G30,$F30+$E30-$D30)),2,IF(AND(CV$2&gt;=$D30,CV$2&lt;=$E30),1,"")))</f>
        <v/>
      </c>
      <c r="CW30" s="38">
        <f>IF(OR(CW$2="",$D30=""),"",IF(AND(ISNUMBER($F30),CW$2&gt;=$F30,CW$2&lt;=IF(ISNUMBER($G30),$G30,$F30+$E30-$D30)),2,IF(AND(CW$2&gt;=$D30,CW$2&lt;=$E30),1,"")))</f>
        <v/>
      </c>
      <c r="CX30" s="38">
        <f>IF(OR(CX$2="",$D30=""),"",IF(AND(ISNUMBER($F30),CX$2&gt;=$F30,CX$2&lt;=IF(ISNUMBER($G30),$G30,$F30+$E30-$D30)),2,IF(AND(CX$2&gt;=$D30,CX$2&lt;=$E30),1,"")))</f>
        <v/>
      </c>
      <c r="CY30" s="38">
        <f>IF(OR(CY$2="",$D30=""),"",IF(AND(ISNUMBER($F30),CY$2&gt;=$F30,CY$2&lt;=IF(ISNUMBER($G30),$G30,$F30+$E30-$D30)),2,IF(AND(CY$2&gt;=$D30,CY$2&lt;=$E30),1,"")))</f>
        <v/>
      </c>
      <c r="CZ30" s="38">
        <f>IF(OR(CZ$2="",$D30=""),"",IF(AND(ISNUMBER($F30),CZ$2&gt;=$F30,CZ$2&lt;=IF(ISNUMBER($G30),$G30,$F30+$E30-$D30)),2,IF(AND(CZ$2&gt;=$D30,CZ$2&lt;=$E30),1,"")))</f>
        <v/>
      </c>
      <c r="DA30" s="38">
        <f>IF(OR(DA$2="",$D30=""),"",IF(AND(ISNUMBER($F30),DA$2&gt;=$F30,DA$2&lt;=IF(ISNUMBER($G30),$G30,$F30+$E30-$D30)),2,IF(AND(DA$2&gt;=$D30,DA$2&lt;=$E30),1,"")))</f>
        <v/>
      </c>
      <c r="DB30" s="38">
        <f>IF(OR(DB$2="",$D30=""),"",IF(AND(ISNUMBER($F30),DB$2&gt;=$F30,DB$2&lt;=IF(ISNUMBER($G30),$G30,$F30+$E30-$D30)),2,IF(AND(DB$2&gt;=$D30,DB$2&lt;=$E30),1,"")))</f>
        <v/>
      </c>
      <c r="DC30" s="38">
        <f>IF(OR(DC$2="",$D30=""),"",IF(AND(ISNUMBER($F30),DC$2&gt;=$F30,DC$2&lt;=IF(ISNUMBER($G30),$G30,$F30+$E30-$D30)),2,IF(AND(DC$2&gt;=$D30,DC$2&lt;=$E30),1,"")))</f>
        <v/>
      </c>
      <c r="DD30" s="38">
        <f>IF(OR(DD$2="",$D30=""),"",IF(AND(ISNUMBER($F30),DD$2&gt;=$F30,DD$2&lt;=IF(ISNUMBER($G30),$G30,$F30+$E30-$D30)),2,IF(AND(DD$2&gt;=$D30,DD$2&lt;=$E30),1,"")))</f>
        <v/>
      </c>
      <c r="DE30" s="38">
        <f>IF(OR(DE$2="",$D30=""),"",IF(AND(ISNUMBER($F30),DE$2&gt;=$F30,DE$2&lt;=IF(ISNUMBER($G30),$G30,$F30+$E30-$D30)),2,IF(AND(DE$2&gt;=$D30,DE$2&lt;=$E30),1,"")))</f>
        <v/>
      </c>
      <c r="DF30" s="38">
        <f>IF(OR(DF$2="",$D30=""),"",IF(AND(ISNUMBER($F30),DF$2&gt;=$F30,DF$2&lt;=IF(ISNUMBER($G30),$G30,$F30+$E30-$D30)),2,IF(AND(DF$2&gt;=$D30,DF$2&lt;=$E30),1,"")))</f>
        <v/>
      </c>
      <c r="DG30" s="38">
        <f>IF(OR(DG$2="",$D30=""),"",IF(AND(ISNUMBER($F30),DG$2&gt;=$F30,DG$2&lt;=IF(ISNUMBER($G30),$G30,$F30+$E30-$D30)),2,IF(AND(DG$2&gt;=$D30,DG$2&lt;=$E30),1,"")))</f>
        <v/>
      </c>
      <c r="DH30" s="38">
        <f>IF(OR(DH$2="",$D30=""),"",IF(AND(ISNUMBER($F30),DH$2&gt;=$F30,DH$2&lt;=IF(ISNUMBER($G30),$G30,$F30+$E30-$D30)),2,IF(AND(DH$2&gt;=$D30,DH$2&lt;=$E30),1,"")))</f>
        <v/>
      </c>
      <c r="DI30" s="38">
        <f>IF(OR(DI$2="",$D30=""),"",IF(AND(ISNUMBER($F30),DI$2&gt;=$F30,DI$2&lt;=IF(ISNUMBER($G30),$G30,$F30+$E30-$D30)),2,IF(AND(DI$2&gt;=$D30,DI$2&lt;=$E30),1,"")))</f>
        <v/>
      </c>
      <c r="DJ30" s="38">
        <f>IF(OR(DJ$2="",$D30=""),"",IF(AND(ISNUMBER($F30),DJ$2&gt;=$F30,DJ$2&lt;=IF(ISNUMBER($G30),$G30,$F30+$E30-$D30)),2,IF(AND(DJ$2&gt;=$D30,DJ$2&lt;=$E30),1,"")))</f>
        <v/>
      </c>
      <c r="DK30" s="38">
        <f>IF(OR(DK$2="",$D30=""),"",IF(AND(ISNUMBER($F30),DK$2&gt;=$F30,DK$2&lt;=IF(ISNUMBER($G30),$G30,$F30+$E30-$D30)),2,IF(AND(DK$2&gt;=$D30,DK$2&lt;=$E30),1,"")))</f>
        <v/>
      </c>
      <c r="DL30" s="38">
        <f>IF(OR(DL$2="",$D30=""),"",IF(AND(ISNUMBER($F30),DL$2&gt;=$F30,DL$2&lt;=IF(ISNUMBER($G30),$G30,$F30+$E30-$D30)),2,IF(AND(DL$2&gt;=$D30,DL$2&lt;=$E30),1,"")))</f>
        <v/>
      </c>
      <c r="DM30" s="38">
        <f>IF(OR(DM$2="",$D30=""),"",IF(AND(ISNUMBER($F30),DM$2&gt;=$F30,DM$2&lt;=IF(ISNUMBER($G30),$G30,$F30+$E30-$D30)),2,IF(AND(DM$2&gt;=$D30,DM$2&lt;=$E30),1,"")))</f>
        <v/>
      </c>
      <c r="DN30" s="38">
        <f>IF(OR(DN$2="",$D30=""),"",IF(AND(ISNUMBER($F30),DN$2&gt;=$F30,DN$2&lt;=IF(ISNUMBER($G30),$G30,$F30+$E30-$D30)),2,IF(AND(DN$2&gt;=$D30,DN$2&lt;=$E30),1,"")))</f>
        <v/>
      </c>
      <c r="DO30" s="38">
        <f>IF(OR(DO$2="",$D30=""),"",IF(AND(ISNUMBER($F30),DO$2&gt;=$F30,DO$2&lt;=IF(ISNUMBER($G30),$G30,$F30+$E30-$D30)),2,IF(AND(DO$2&gt;=$D30,DO$2&lt;=$E30),1,"")))</f>
        <v/>
      </c>
      <c r="DP30" s="38">
        <f>IF(OR(DP$2="",$D30=""),"",IF(AND(ISNUMBER($F30),DP$2&gt;=$F30,DP$2&lt;=IF(ISNUMBER($G30),$G30,$F30+$E30-$D30)),2,IF(AND(DP$2&gt;=$D30,DP$2&lt;=$E30),1,"")))</f>
        <v/>
      </c>
      <c r="DQ30" s="38">
        <f>IF(OR(DQ$2="",$D30=""),"",IF(AND(ISNUMBER($F30),DQ$2&gt;=$F30,DQ$2&lt;=IF(ISNUMBER($G30),$G30,$F30+$E30-$D30)),2,IF(AND(DQ$2&gt;=$D30,DQ$2&lt;=$E30),1,"")))</f>
        <v/>
      </c>
      <c r="DR30" s="38">
        <f>IF(OR(DR$2="",$D30=""),"",IF(AND(ISNUMBER($F30),DR$2&gt;=$F30,DR$2&lt;=IF(ISNUMBER($G30),$G30,$F30+$E30-$D30)),2,IF(AND(DR$2&gt;=$D30,DR$2&lt;=$E30),1,"")))</f>
        <v/>
      </c>
      <c r="DS30" s="38">
        <f>IF(OR(DS$2="",$D30=""),"",IF(AND(ISNUMBER($F30),DS$2&gt;=$F30,DS$2&lt;=IF(ISNUMBER($G30),$G30,$F30+$E30-$D30)),2,IF(AND(DS$2&gt;=$D30,DS$2&lt;=$E30),1,"")))</f>
        <v/>
      </c>
      <c r="DT30" s="38">
        <f>IF(OR(DT$2="",$D30=""),"",IF(AND(ISNUMBER($F30),DT$2&gt;=$F30,DT$2&lt;=IF(ISNUMBER($G30),$G30,$F30+$E30-$D30)),2,IF(AND(DT$2&gt;=$D30,DT$2&lt;=$E30),1,"")))</f>
        <v/>
      </c>
      <c r="DU30" s="38">
        <f>IF(OR(DU$2="",$D30=""),"",IF(AND(ISNUMBER($F30),DU$2&gt;=$F30,DU$2&lt;=IF(ISNUMBER($G30),$G30,$F30+$E30-$D30)),2,IF(AND(DU$2&gt;=$D30,DU$2&lt;=$E30),1,"")))</f>
        <v/>
      </c>
      <c r="DV30" s="38">
        <f>IF(OR(DV$2="",$D30=""),"",IF(AND(ISNUMBER($F30),DV$2&gt;=$F30,DV$2&lt;=IF(ISNUMBER($G30),$G30,$F30+$E30-$D30)),2,IF(AND(DV$2&gt;=$D30,DV$2&lt;=$E30),1,"")))</f>
        <v/>
      </c>
      <c r="DW30" s="38">
        <f>IF(OR(DW$2="",$D30=""),"",IF(AND(ISNUMBER($F30),DW$2&gt;=$F30,DW$2&lt;=IF(ISNUMBER($G30),$G30,$F30+$E30-$D30)),2,IF(AND(DW$2&gt;=$D30,DW$2&lt;=$E30),1,"")))</f>
        <v/>
      </c>
      <c r="DX30" s="38">
        <f>IF(OR(DX$2="",$D30=""),"",IF(AND(ISNUMBER($F30),DX$2&gt;=$F30,DX$2&lt;=IF(ISNUMBER($G30),$G30,$F30+$E30-$D30)),2,IF(AND(DX$2&gt;=$D30,DX$2&lt;=$E30),1,"")))</f>
        <v/>
      </c>
      <c r="DY30" s="38">
        <f>IF(OR(DY$2="",$D30=""),"",IF(AND(ISNUMBER($F30),DY$2&gt;=$F30,DY$2&lt;=IF(ISNUMBER($G30),$G30,$F30+$E30-$D30)),2,IF(AND(DY$2&gt;=$D30,DY$2&lt;=$E30),1,"")))</f>
        <v/>
      </c>
      <c r="DZ30" s="38">
        <f>IF(OR(DZ$2="",$D30=""),"",IF(AND(ISNUMBER($F30),DZ$2&gt;=$F30,DZ$2&lt;=IF(ISNUMBER($G30),$G30,$F30+$E30-$D30)),2,IF(AND(DZ$2&gt;=$D30,DZ$2&lt;=$E30),1,"")))</f>
        <v/>
      </c>
      <c r="EA30" s="38">
        <f>IF(OR(EA$2="",$D30=""),"",IF(AND(ISNUMBER($F30),EA$2&gt;=$F30,EA$2&lt;=IF(ISNUMBER($G30),$G30,$F30+$E30-$D30)),2,IF(AND(EA$2&gt;=$D30,EA$2&lt;=$E30),1,"")))</f>
        <v/>
      </c>
      <c r="EB30" s="38">
        <f>IF(OR(EB$2="",$D30=""),"",IF(AND(ISNUMBER($F30),EB$2&gt;=$F30,EB$2&lt;=IF(ISNUMBER($G30),$G30,$F30+$E30-$D30)),2,IF(AND(EB$2&gt;=$D30,EB$2&lt;=$E30),1,"")))</f>
        <v/>
      </c>
      <c r="EC30" s="38">
        <f>IF(OR(EC$2="",$D30=""),"",IF(AND(ISNUMBER($F30),EC$2&gt;=$F30,EC$2&lt;=IF(ISNUMBER($G30),$G30,$F30+$E30-$D30)),2,IF(AND(EC$2&gt;=$D30,EC$2&lt;=$E30),1,"")))</f>
        <v/>
      </c>
      <c r="ED30" s="38">
        <f>IF(OR(ED$2="",$D30=""),"",IF(AND(ISNUMBER($F30),ED$2&gt;=$F30,ED$2&lt;=IF(ISNUMBER($G30),$G30,$F30+$E30-$D30)),2,IF(AND(ED$2&gt;=$D30,ED$2&lt;=$E30),1,"")))</f>
        <v/>
      </c>
      <c r="EE30" s="38">
        <f>IF(OR(EE$2="",$D30=""),"",IF(AND(ISNUMBER($F30),EE$2&gt;=$F30,EE$2&lt;=IF(ISNUMBER($G30),$G30,$F30+$E30-$D30)),2,IF(AND(EE$2&gt;=$D30,EE$2&lt;=$E30),1,"")))</f>
        <v/>
      </c>
      <c r="EF30" s="38">
        <f>IF(OR(EF$2="",$D30=""),"",IF(AND(ISNUMBER($F30),EF$2&gt;=$F30,EF$2&lt;=IF(ISNUMBER($G30),$G30,$F30+$E30-$D30)),2,IF(AND(EF$2&gt;=$D30,EF$2&lt;=$E30),1,"")))</f>
        <v/>
      </c>
      <c r="EG30" s="38">
        <f>IF(OR(EG$2="",$D30=""),"",IF(AND(ISNUMBER($F30),EG$2&gt;=$F30,EG$2&lt;=IF(ISNUMBER($G30),$G30,$F30+$E30-$D30)),2,IF(AND(EG$2&gt;=$D30,EG$2&lt;=$E30),1,"")))</f>
        <v/>
      </c>
      <c r="EH30" s="38">
        <f>IF(OR(EH$2="",$D30=""),"",IF(AND(ISNUMBER($F30),EH$2&gt;=$F30,EH$2&lt;=IF(ISNUMBER($G30),$G30,$F30+$E30-$D30)),2,IF(AND(EH$2&gt;=$D30,EH$2&lt;=$E30),1,"")))</f>
        <v/>
      </c>
      <c r="EI30" s="38">
        <f>IF(OR(EI$2="",$D30=""),"",IF(AND(ISNUMBER($F30),EI$2&gt;=$F30,EI$2&lt;=IF(ISNUMBER($G30),$G30,$F30+$E30-$D30)),2,IF(AND(EI$2&gt;=$D30,EI$2&lt;=$E30),1,"")))</f>
        <v/>
      </c>
      <c r="EJ30" s="38">
        <f>IF(OR(EJ$2="",$D30=""),"",IF(AND(ISNUMBER($F30),EJ$2&gt;=$F30,EJ$2&lt;=IF(ISNUMBER($G30),$G30,$F30+$E30-$D30)),2,IF(AND(EJ$2&gt;=$D30,EJ$2&lt;=$E30),1,"")))</f>
        <v/>
      </c>
      <c r="EK30" s="38">
        <f>IF(OR(EK$2="",$D30=""),"",IF(AND(ISNUMBER($F30),EK$2&gt;=$F30,EK$2&lt;=IF(ISNUMBER($G30),$G30,$F30+$E30-$D30)),2,IF(AND(EK$2&gt;=$D30,EK$2&lt;=$E30),1,"")))</f>
        <v/>
      </c>
      <c r="EL30" s="38">
        <f>IF(OR(EL$2="",$D30=""),"",IF(AND(ISNUMBER($F30),EL$2&gt;=$F30,EL$2&lt;=IF(ISNUMBER($G30),$G30,$F30+$E30-$D30)),2,IF(AND(EL$2&gt;=$D30,EL$2&lt;=$E30),1,"")))</f>
        <v/>
      </c>
      <c r="EM30" s="38">
        <f>IF(OR(EM$2="",$D30=""),"",IF(AND(ISNUMBER($F30),EM$2&gt;=$F30,EM$2&lt;=IF(ISNUMBER($G30),$G30,$F30+$E30-$D30)),2,IF(AND(EM$2&gt;=$D30,EM$2&lt;=$E30),1,"")))</f>
        <v/>
      </c>
      <c r="EN30" s="38">
        <f>IF(OR(EN$2="",$D30=""),"",IF(AND(ISNUMBER($F30),EN$2&gt;=$F30,EN$2&lt;=IF(ISNUMBER($G30),$G30,$F30+$E30-$D30)),2,IF(AND(EN$2&gt;=$D30,EN$2&lt;=$E30),1,"")))</f>
        <v/>
      </c>
      <c r="EO30" s="38">
        <f>IF(OR(EO$2="",$D30=""),"",IF(AND(ISNUMBER($F30),EO$2&gt;=$F30,EO$2&lt;=IF(ISNUMBER($G30),$G30,$F30+$E30-$D30)),2,IF(AND(EO$2&gt;=$D30,EO$2&lt;=$E30),1,"")))</f>
        <v/>
      </c>
      <c r="EP30" s="38">
        <f>IF(OR(EP$2="",$D30=""),"",IF(AND(ISNUMBER($F30),EP$2&gt;=$F30,EP$2&lt;=IF(ISNUMBER($G30),$G30,$F30+$E30-$D30)),2,IF(AND(EP$2&gt;=$D30,EP$2&lt;=$E30),1,"")))</f>
        <v/>
      </c>
      <c r="EQ30" s="38">
        <f>IF(OR(EQ$2="",$D30=""),"",IF(AND(ISNUMBER($F30),EQ$2&gt;=$F30,EQ$2&lt;=IF(ISNUMBER($G30),$G30,$F30+$E30-$D30)),2,IF(AND(EQ$2&gt;=$D30,EQ$2&lt;=$E30),1,"")))</f>
        <v/>
      </c>
      <c r="ER30" s="38">
        <f>IF(OR(ER$2="",$D30=""),"",IF(AND(ISNUMBER($F30),ER$2&gt;=$F30,ER$2&lt;=IF(ISNUMBER($G30),$G30,$F30+$E30-$D30)),2,IF(AND(ER$2&gt;=$D30,ER$2&lt;=$E30),1,"")))</f>
        <v/>
      </c>
      <c r="ES30" s="38">
        <f>IF(OR(ES$2="",$D30=""),"",IF(AND(ISNUMBER($F30),ES$2&gt;=$F30,ES$2&lt;=IF(ISNUMBER($G30),$G30,$F30+$E30-$D30)),2,IF(AND(ES$2&gt;=$D30,ES$2&lt;=$E30),1,"")))</f>
        <v/>
      </c>
      <c r="ET30" s="38">
        <f>IF(OR(ET$2="",$D30=""),"",IF(AND(ISNUMBER($F30),ET$2&gt;=$F30,ET$2&lt;=IF(ISNUMBER($G30),$G30,$F30+$E30-$D30)),2,IF(AND(ET$2&gt;=$D30,ET$2&lt;=$E30),1,"")))</f>
        <v/>
      </c>
      <c r="EU30" s="38">
        <f>IF(OR(EU$2="",$D30=""),"",IF(AND(ISNUMBER($F30),EU$2&gt;=$F30,EU$2&lt;=IF(ISNUMBER($G30),$G30,$F30+$E30-$D30)),2,IF(AND(EU$2&gt;=$D30,EU$2&lt;=$E30),1,"")))</f>
        <v/>
      </c>
      <c r="EV30" s="38">
        <f>IF(OR(EV$2="",$D30=""),"",IF(AND(ISNUMBER($F30),EV$2&gt;=$F30,EV$2&lt;=IF(ISNUMBER($G30),$G30,$F30+$E30-$D30)),2,IF(AND(EV$2&gt;=$D30,EV$2&lt;=$E30),1,"")))</f>
        <v/>
      </c>
      <c r="EW30" s="38">
        <f>IF(OR(EW$2="",$D30=""),"",IF(AND(ISNUMBER($F30),EW$2&gt;=$F30,EW$2&lt;=IF(ISNUMBER($G30),$G30,$F30+$E30-$D30)),2,IF(AND(EW$2&gt;=$D30,EW$2&lt;=$E30),1,"")))</f>
        <v/>
      </c>
      <c r="EX30" s="38">
        <f>IF(OR(EX$2="",$D30=""),"",IF(AND(ISNUMBER($F30),EX$2&gt;=$F30,EX$2&lt;=IF(ISNUMBER($G30),$G30,$F30+$E30-$D30)),2,IF(AND(EX$2&gt;=$D30,EX$2&lt;=$E30),1,"")))</f>
        <v/>
      </c>
      <c r="EY30" s="38">
        <f>IF(OR(EY$2="",$D30=""),"",IF(AND(ISNUMBER($F30),EY$2&gt;=$F30,EY$2&lt;=IF(ISNUMBER($G30),$G30,$F30+$E30-$D30)),2,IF(AND(EY$2&gt;=$D30,EY$2&lt;=$E30),1,"")))</f>
        <v/>
      </c>
      <c r="EZ30" s="38">
        <f>IF(OR(EZ$2="",$D30=""),"",IF(AND(ISNUMBER($F30),EZ$2&gt;=$F30,EZ$2&lt;=IF(ISNUMBER($G30),$G30,$F30+$E30-$D30)),2,IF(AND(EZ$2&gt;=$D30,EZ$2&lt;=$E30),1,"")))</f>
        <v/>
      </c>
      <c r="FA30" s="38">
        <f>IF(OR(FA$2="",$D30=""),"",IF(AND(ISNUMBER($F30),FA$2&gt;=$F30,FA$2&lt;=IF(ISNUMBER($G30),$G30,$F30+$E30-$D30)),2,IF(AND(FA$2&gt;=$D30,FA$2&lt;=$E30),1,"")))</f>
        <v/>
      </c>
      <c r="FB30" s="38">
        <f>IF(OR(FB$2="",$D30=""),"",IF(AND(ISNUMBER($F30),FB$2&gt;=$F30,FB$2&lt;=IF(ISNUMBER($G30),$G30,$F30+$E30-$D30)),2,IF(AND(FB$2&gt;=$D30,FB$2&lt;=$E30),1,"")))</f>
        <v/>
      </c>
      <c r="FC30" s="38">
        <f>IF(OR(FC$2="",$D30=""),"",IF(AND(ISNUMBER($F30),FC$2&gt;=$F30,FC$2&lt;=IF(ISNUMBER($G30),$G30,$F30+$E30-$D30)),2,IF(AND(FC$2&gt;=$D30,FC$2&lt;=$E30),1,"")))</f>
        <v/>
      </c>
      <c r="FD30" s="38">
        <f>IF(OR(FD$2="",$D30=""),"",IF(AND(ISNUMBER($F30),FD$2&gt;=$F30,FD$2&lt;=IF(ISNUMBER($G30),$G30,$F30+$E30-$D30)),2,IF(AND(FD$2&gt;=$D30,FD$2&lt;=$E30),1,"")))</f>
        <v/>
      </c>
      <c r="FE30" s="38">
        <f>IF(OR(FE$2="",$D30=""),"",IF(AND(ISNUMBER($F30),FE$2&gt;=$F30,FE$2&lt;=IF(ISNUMBER($G30),$G30,$F30+$E30-$D30)),2,IF(AND(FE$2&gt;=$D30,FE$2&lt;=$E30),1,"")))</f>
        <v/>
      </c>
      <c r="FF30" s="38">
        <f>IF(OR(FF$2="",$D30=""),"",IF(AND(ISNUMBER($F30),FF$2&gt;=$F30,FF$2&lt;=IF(ISNUMBER($G30),$G30,$F30+$E30-$D30)),2,IF(AND(FF$2&gt;=$D30,FF$2&lt;=$E30),1,"")))</f>
        <v/>
      </c>
      <c r="FG30" s="38">
        <f>IF(OR(FG$2="",$D30=""),"",IF(AND(ISNUMBER($F30),FG$2&gt;=$F30,FG$2&lt;=IF(ISNUMBER($G30),$G30,$F30+$E30-$D30)),2,IF(AND(FG$2&gt;=$D30,FG$2&lt;=$E30),1,"")))</f>
        <v/>
      </c>
      <c r="FH30" s="38">
        <f>IF(OR(FH$2="",$D30=""),"",IF(AND(ISNUMBER($F30),FH$2&gt;=$F30,FH$2&lt;=IF(ISNUMBER($G30),$G30,$F30+$E30-$D30)),2,IF(AND(FH$2&gt;=$D30,FH$2&lt;=$E30),1,"")))</f>
        <v/>
      </c>
      <c r="FI30" s="38">
        <f>IF(OR(FI$2="",$D30=""),"",IF(AND(ISNUMBER($F30),FI$2&gt;=$F30,FI$2&lt;=IF(ISNUMBER($G30),$G30,$F30+$E30-$D30)),2,IF(AND(FI$2&gt;=$D30,FI$2&lt;=$E30),1,"")))</f>
        <v/>
      </c>
      <c r="FJ30" s="38">
        <f>IF(OR(FJ$2="",$D30=""),"",IF(AND(ISNUMBER($F30),FJ$2&gt;=$F30,FJ$2&lt;=IF(ISNUMBER($G30),$G30,$F30+$E30-$D30)),2,IF(AND(FJ$2&gt;=$D30,FJ$2&lt;=$E30),1,"")))</f>
        <v/>
      </c>
      <c r="FK30" s="38">
        <f>IF(OR(FK$2="",$D30=""),"",IF(AND(ISNUMBER($F30),FK$2&gt;=$F30,FK$2&lt;=IF(ISNUMBER($G30),$G30,$F30+$E30-$D30)),2,IF(AND(FK$2&gt;=$D30,FK$2&lt;=$E30),1,"")))</f>
        <v/>
      </c>
      <c r="FL30" s="38">
        <f>IF(OR(FL$2="",$D30=""),"",IF(AND(ISNUMBER($F30),FL$2&gt;=$F30,FL$2&lt;=IF(ISNUMBER($G30),$G30,$F30+$E30-$D30)),2,IF(AND(FL$2&gt;=$D30,FL$2&lt;=$E30),1,"")))</f>
        <v/>
      </c>
      <c r="FM30" s="38">
        <f>IF(OR(FM$2="",$D30=""),"",IF(AND(ISNUMBER($F30),FM$2&gt;=$F30,FM$2&lt;=IF(ISNUMBER($G30),$G30,$F30+$E30-$D30)),2,IF(AND(FM$2&gt;=$D30,FM$2&lt;=$E30),1,"")))</f>
        <v/>
      </c>
      <c r="FN30" s="38">
        <f>IF(OR(FN$2="",$D30=""),"",IF(AND(ISNUMBER($F30),FN$2&gt;=$F30,FN$2&lt;=IF(ISNUMBER($G30),$G30,$F30+$E30-$D30)),2,IF(AND(FN$2&gt;=$D30,FN$2&lt;=$E30),1,"")))</f>
        <v/>
      </c>
      <c r="FO30" s="38">
        <f>IF(OR(FO$2="",$D30=""),"",IF(AND(ISNUMBER($F30),FO$2&gt;=$F30,FO$2&lt;=IF(ISNUMBER($G30),$G30,$F30+$E30-$D30)),2,IF(AND(FO$2&gt;=$D30,FO$2&lt;=$E30),1,"")))</f>
        <v/>
      </c>
      <c r="FP30" s="38">
        <f>IF(OR(FP$2="",$D30=""),"",IF(AND(ISNUMBER($F30),FP$2&gt;=$F30,FP$2&lt;=IF(ISNUMBER($G30),$G30,$F30+$E30-$D30)),2,IF(AND(FP$2&gt;=$D30,FP$2&lt;=$E30),1,"")))</f>
        <v/>
      </c>
      <c r="FQ30" s="38">
        <f>IF(OR(FQ$2="",$D30=""),"",IF(AND(ISNUMBER($F30),FQ$2&gt;=$F30,FQ$2&lt;=IF(ISNUMBER($G30),$G30,$F30+$E30-$D30)),2,IF(AND(FQ$2&gt;=$D30,FQ$2&lt;=$E30),1,"")))</f>
        <v/>
      </c>
      <c r="FR30" s="38">
        <f>IF(OR(FR$2="",$D30=""),"",IF(AND(ISNUMBER($F30),FR$2&gt;=$F30,FR$2&lt;=IF(ISNUMBER($G30),$G30,$F30+$E30-$D30)),2,IF(AND(FR$2&gt;=$D30,FR$2&lt;=$E30),1,"")))</f>
        <v/>
      </c>
      <c r="FS30" s="38">
        <f>IF(OR(FS$2="",$D30=""),"",IF(AND(ISNUMBER($F30),FS$2&gt;=$F30,FS$2&lt;=IF(ISNUMBER($G30),$G30,$F30+$E30-$D30)),2,IF(AND(FS$2&gt;=$D30,FS$2&lt;=$E30),1,"")))</f>
        <v/>
      </c>
      <c r="FT30" s="38">
        <f>IF(OR(FT$2="",$D30=""),"",IF(AND(ISNUMBER($F30),FT$2&gt;=$F30,FT$2&lt;=IF(ISNUMBER($G30),$G30,$F30+$E30-$D30)),2,IF(AND(FT$2&gt;=$D30,FT$2&lt;=$E30),1,"")))</f>
        <v/>
      </c>
      <c r="FU30" s="38">
        <f>IF(OR(FU$2="",$D30=""),"",IF(AND(ISNUMBER($F30),FU$2&gt;=$F30,FU$2&lt;=IF(ISNUMBER($G30),$G30,$F30+$E30-$D30)),2,IF(AND(FU$2&gt;=$D30,FU$2&lt;=$E30),1,"")))</f>
        <v/>
      </c>
      <c r="FV30" s="38">
        <f>IF(OR(FV$2="",$D30=""),"",IF(AND(ISNUMBER($F30),FV$2&gt;=$F30,FV$2&lt;=IF(ISNUMBER($G30),$G30,$F30+$E30-$D30)),2,IF(AND(FV$2&gt;=$D30,FV$2&lt;=$E30),1,"")))</f>
        <v/>
      </c>
      <c r="FW30" s="38">
        <f>IF(OR(FW$2="",$D30=""),"",IF(AND(ISNUMBER($F30),FW$2&gt;=$F30,FW$2&lt;=IF(ISNUMBER($G30),$G30,$F30+$E30-$D30)),2,IF(AND(FW$2&gt;=$D30,FW$2&lt;=$E30),1,"")))</f>
        <v/>
      </c>
      <c r="FX30" s="38">
        <f>IF(OR(FX$2="",$D30=""),"",IF(AND(ISNUMBER($F30),FX$2&gt;=$F30,FX$2&lt;=IF(ISNUMBER($G30),$G30,$F30+$E30-$D30)),2,IF(AND(FX$2&gt;=$D30,FX$2&lt;=$E30),1,"")))</f>
        <v/>
      </c>
      <c r="FY30" s="38">
        <f>IF(OR(FY$2="",$D30=""),"",IF(AND(ISNUMBER($F30),FY$2&gt;=$F30,FY$2&lt;=IF(ISNUMBER($G30),$G30,$F30+$E30-$D30)),2,IF(AND(FY$2&gt;=$D30,FY$2&lt;=$E30),1,"")))</f>
        <v/>
      </c>
      <c r="FZ30" s="38">
        <f>IF(OR(FZ$2="",$D30=""),"",IF(AND(ISNUMBER($F30),FZ$2&gt;=$F30,FZ$2&lt;=IF(ISNUMBER($G30),$G30,$F30+$E30-$D30)),2,IF(AND(FZ$2&gt;=$D30,FZ$2&lt;=$E30),1,"")))</f>
        <v/>
      </c>
      <c r="GA30" s="38">
        <f>IF(OR(GA$2="",$D30=""),"",IF(AND(ISNUMBER($F30),GA$2&gt;=$F30,GA$2&lt;=IF(ISNUMBER($G30),$G30,$F30+$E30-$D30)),2,IF(AND(GA$2&gt;=$D30,GA$2&lt;=$E30),1,"")))</f>
        <v/>
      </c>
      <c r="GB30" s="38">
        <f>IF(OR(GB$2="",$D30=""),"",IF(AND(ISNUMBER($F30),GB$2&gt;=$F30,GB$2&lt;=IF(ISNUMBER($G30),$G30,$F30+$E30-$D30)),2,IF(AND(GB$2&gt;=$D30,GB$2&lt;=$E30),1,"")))</f>
        <v/>
      </c>
      <c r="GC30" s="38">
        <f>IF(OR(GC$2="",$D30=""),"",IF(AND(ISNUMBER($F30),GC$2&gt;=$F30,GC$2&lt;=IF(ISNUMBER($G30),$G30,$F30+$E30-$D30)),2,IF(AND(GC$2&gt;=$D30,GC$2&lt;=$E30),1,"")))</f>
        <v/>
      </c>
      <c r="GD30" s="38">
        <f>IF(OR(GD$2="",$D30=""),"",IF(AND(ISNUMBER($F30),GD$2&gt;=$F30,GD$2&lt;=IF(ISNUMBER($G30),$G30,$F30+$E30-$D30)),2,IF(AND(GD$2&gt;=$D30,GD$2&lt;=$E30),1,"")))</f>
        <v/>
      </c>
      <c r="GE30" s="38">
        <f>IF(OR(GE$2="",$D30=""),"",IF(AND(ISNUMBER($F30),GE$2&gt;=$F30,GE$2&lt;=IF(ISNUMBER($G30),$G30,$F30+$E30-$D30)),2,IF(AND(GE$2&gt;=$D30,GE$2&lt;=$E30),1,"")))</f>
        <v/>
      </c>
    </row>
    <row r="31">
      <c r="A31" s="36" t="inlineStr">
        <is>
          <t>Puddling</t>
        </is>
      </c>
      <c r="B31" s="12" t="inlineStr">
        <is>
          <t>কাদা করা</t>
        </is>
      </c>
      <c r="C31" s="12" t="inlineStr">
        <is>
          <t>FP</t>
        </is>
      </c>
      <c r="D31" s="7">
        <f>IF(D8="","",D8)</f>
        <v/>
      </c>
      <c r="E31" s="7">
        <f>IF(D31="","",D31)</f>
        <v/>
      </c>
      <c r="F31" s="37" t="n"/>
      <c r="G31" s="7" t="n"/>
      <c r="H31" s="6">
        <f>IF(D31="","no plan",IF(F31&lt;&gt;"",IF(F31-D31&gt;=2,"LATE","OK"),IF(TODAY()&gt;D31+2,"OVERDUE","upcoming")))</f>
        <v/>
      </c>
      <c r="I31" s="6">
        <f>IF(AND(D31&lt;&gt;"",F31&lt;&gt;""),F31-D31,"")</f>
        <v/>
      </c>
      <c r="J31" s="7">
        <f>IF(F31&lt;&gt;"",F31,D31)</f>
        <v/>
      </c>
      <c r="K31" s="7">
        <f>IF(G31&lt;&gt;"",G31,IF(AND(F31&lt;&gt;"",E31=D31),F31,E31))</f>
        <v/>
      </c>
      <c r="L31" s="6">
        <f>IF(AND(D31&lt;&gt;"",F31="",D31&gt;=TODAY()),D31+ROW()/1000,"")</f>
        <v/>
      </c>
      <c r="M31" s="38">
        <f>IF(OR(M$2="",$D31=""),"",IF(AND(ISNUMBER($F31),M$2&gt;=$F31,M$2&lt;=IF(ISNUMBER($G31),$G31,$F31+$E31-$D31)),2,IF(AND(M$2&gt;=$D31,M$2&lt;=$E31),1,"")))</f>
        <v/>
      </c>
      <c r="N31" s="38">
        <f>IF(OR(N$2="",$D31=""),"",IF(AND(ISNUMBER($F31),N$2&gt;=$F31,N$2&lt;=IF(ISNUMBER($G31),$G31,$F31+$E31-$D31)),2,IF(AND(N$2&gt;=$D31,N$2&lt;=$E31),1,"")))</f>
        <v/>
      </c>
      <c r="O31" s="38">
        <f>IF(OR(O$2="",$D31=""),"",IF(AND(ISNUMBER($F31),O$2&gt;=$F31,O$2&lt;=IF(ISNUMBER($G31),$G31,$F31+$E31-$D31)),2,IF(AND(O$2&gt;=$D31,O$2&lt;=$E31),1,"")))</f>
        <v/>
      </c>
      <c r="P31" s="38">
        <f>IF(OR(P$2="",$D31=""),"",IF(AND(ISNUMBER($F31),P$2&gt;=$F31,P$2&lt;=IF(ISNUMBER($G31),$G31,$F31+$E31-$D31)),2,IF(AND(P$2&gt;=$D31,P$2&lt;=$E31),1,"")))</f>
        <v/>
      </c>
      <c r="Q31" s="38">
        <f>IF(OR(Q$2="",$D31=""),"",IF(AND(ISNUMBER($F31),Q$2&gt;=$F31,Q$2&lt;=IF(ISNUMBER($G31),$G31,$F31+$E31-$D31)),2,IF(AND(Q$2&gt;=$D31,Q$2&lt;=$E31),1,"")))</f>
        <v/>
      </c>
      <c r="R31" s="38">
        <f>IF(OR(R$2="",$D31=""),"",IF(AND(ISNUMBER($F31),R$2&gt;=$F31,R$2&lt;=IF(ISNUMBER($G31),$G31,$F31+$E31-$D31)),2,IF(AND(R$2&gt;=$D31,R$2&lt;=$E31),1,"")))</f>
        <v/>
      </c>
      <c r="S31" s="38">
        <f>IF(OR(S$2="",$D31=""),"",IF(AND(ISNUMBER($F31),S$2&gt;=$F31,S$2&lt;=IF(ISNUMBER($G31),$G31,$F31+$E31-$D31)),2,IF(AND(S$2&gt;=$D31,S$2&lt;=$E31),1,"")))</f>
        <v/>
      </c>
      <c r="T31" s="38">
        <f>IF(OR(T$2="",$D31=""),"",IF(AND(ISNUMBER($F31),T$2&gt;=$F31,T$2&lt;=IF(ISNUMBER($G31),$G31,$F31+$E31-$D31)),2,IF(AND(T$2&gt;=$D31,T$2&lt;=$E31),1,"")))</f>
        <v/>
      </c>
      <c r="U31" s="38">
        <f>IF(OR(U$2="",$D31=""),"",IF(AND(ISNUMBER($F31),U$2&gt;=$F31,U$2&lt;=IF(ISNUMBER($G31),$G31,$F31+$E31-$D31)),2,IF(AND(U$2&gt;=$D31,U$2&lt;=$E31),1,"")))</f>
        <v/>
      </c>
      <c r="V31" s="38">
        <f>IF(OR(V$2="",$D31=""),"",IF(AND(ISNUMBER($F31),V$2&gt;=$F31,V$2&lt;=IF(ISNUMBER($G31),$G31,$F31+$E31-$D31)),2,IF(AND(V$2&gt;=$D31,V$2&lt;=$E31),1,"")))</f>
        <v/>
      </c>
      <c r="W31" s="38">
        <f>IF(OR(W$2="",$D31=""),"",IF(AND(ISNUMBER($F31),W$2&gt;=$F31,W$2&lt;=IF(ISNUMBER($G31),$G31,$F31+$E31-$D31)),2,IF(AND(W$2&gt;=$D31,W$2&lt;=$E31),1,"")))</f>
        <v/>
      </c>
      <c r="X31" s="38">
        <f>IF(OR(X$2="",$D31=""),"",IF(AND(ISNUMBER($F31),X$2&gt;=$F31,X$2&lt;=IF(ISNUMBER($G31),$G31,$F31+$E31-$D31)),2,IF(AND(X$2&gt;=$D31,X$2&lt;=$E31),1,"")))</f>
        <v/>
      </c>
      <c r="Y31" s="38">
        <f>IF(OR(Y$2="",$D31=""),"",IF(AND(ISNUMBER($F31),Y$2&gt;=$F31,Y$2&lt;=IF(ISNUMBER($G31),$G31,$F31+$E31-$D31)),2,IF(AND(Y$2&gt;=$D31,Y$2&lt;=$E31),1,"")))</f>
        <v/>
      </c>
      <c r="Z31" s="38">
        <f>IF(OR(Z$2="",$D31=""),"",IF(AND(ISNUMBER($F31),Z$2&gt;=$F31,Z$2&lt;=IF(ISNUMBER($G31),$G31,$F31+$E31-$D31)),2,IF(AND(Z$2&gt;=$D31,Z$2&lt;=$E31),1,"")))</f>
        <v/>
      </c>
      <c r="AA31" s="38">
        <f>IF(OR(AA$2="",$D31=""),"",IF(AND(ISNUMBER($F31),AA$2&gt;=$F31,AA$2&lt;=IF(ISNUMBER($G31),$G31,$F31+$E31-$D31)),2,IF(AND(AA$2&gt;=$D31,AA$2&lt;=$E31),1,"")))</f>
        <v/>
      </c>
      <c r="AB31" s="38">
        <f>IF(OR(AB$2="",$D31=""),"",IF(AND(ISNUMBER($F31),AB$2&gt;=$F31,AB$2&lt;=IF(ISNUMBER($G31),$G31,$F31+$E31-$D31)),2,IF(AND(AB$2&gt;=$D31,AB$2&lt;=$E31),1,"")))</f>
        <v/>
      </c>
      <c r="AC31" s="38">
        <f>IF(OR(AC$2="",$D31=""),"",IF(AND(ISNUMBER($F31),AC$2&gt;=$F31,AC$2&lt;=IF(ISNUMBER($G31),$G31,$F31+$E31-$D31)),2,IF(AND(AC$2&gt;=$D31,AC$2&lt;=$E31),1,"")))</f>
        <v/>
      </c>
      <c r="AD31" s="38">
        <f>IF(OR(AD$2="",$D31=""),"",IF(AND(ISNUMBER($F31),AD$2&gt;=$F31,AD$2&lt;=IF(ISNUMBER($G31),$G31,$F31+$E31-$D31)),2,IF(AND(AD$2&gt;=$D31,AD$2&lt;=$E31),1,"")))</f>
        <v/>
      </c>
      <c r="AE31" s="38">
        <f>IF(OR(AE$2="",$D31=""),"",IF(AND(ISNUMBER($F31),AE$2&gt;=$F31,AE$2&lt;=IF(ISNUMBER($G31),$G31,$F31+$E31-$D31)),2,IF(AND(AE$2&gt;=$D31,AE$2&lt;=$E31),1,"")))</f>
        <v/>
      </c>
      <c r="AF31" s="38">
        <f>IF(OR(AF$2="",$D31=""),"",IF(AND(ISNUMBER($F31),AF$2&gt;=$F31,AF$2&lt;=IF(ISNUMBER($G31),$G31,$F31+$E31-$D31)),2,IF(AND(AF$2&gt;=$D31,AF$2&lt;=$E31),1,"")))</f>
        <v/>
      </c>
      <c r="AG31" s="38">
        <f>IF(OR(AG$2="",$D31=""),"",IF(AND(ISNUMBER($F31),AG$2&gt;=$F31,AG$2&lt;=IF(ISNUMBER($G31),$G31,$F31+$E31-$D31)),2,IF(AND(AG$2&gt;=$D31,AG$2&lt;=$E31),1,"")))</f>
        <v/>
      </c>
      <c r="AH31" s="38">
        <f>IF(OR(AH$2="",$D31=""),"",IF(AND(ISNUMBER($F31),AH$2&gt;=$F31,AH$2&lt;=IF(ISNUMBER($G31),$G31,$F31+$E31-$D31)),2,IF(AND(AH$2&gt;=$D31,AH$2&lt;=$E31),1,"")))</f>
        <v/>
      </c>
      <c r="AI31" s="38">
        <f>IF(OR(AI$2="",$D31=""),"",IF(AND(ISNUMBER($F31),AI$2&gt;=$F31,AI$2&lt;=IF(ISNUMBER($G31),$G31,$F31+$E31-$D31)),2,IF(AND(AI$2&gt;=$D31,AI$2&lt;=$E31),1,"")))</f>
        <v/>
      </c>
      <c r="AJ31" s="38">
        <f>IF(OR(AJ$2="",$D31=""),"",IF(AND(ISNUMBER($F31),AJ$2&gt;=$F31,AJ$2&lt;=IF(ISNUMBER($G31),$G31,$F31+$E31-$D31)),2,IF(AND(AJ$2&gt;=$D31,AJ$2&lt;=$E31),1,"")))</f>
        <v/>
      </c>
      <c r="AK31" s="38">
        <f>IF(OR(AK$2="",$D31=""),"",IF(AND(ISNUMBER($F31),AK$2&gt;=$F31,AK$2&lt;=IF(ISNUMBER($G31),$G31,$F31+$E31-$D31)),2,IF(AND(AK$2&gt;=$D31,AK$2&lt;=$E31),1,"")))</f>
        <v/>
      </c>
      <c r="AL31" s="38">
        <f>IF(OR(AL$2="",$D31=""),"",IF(AND(ISNUMBER($F31),AL$2&gt;=$F31,AL$2&lt;=IF(ISNUMBER($G31),$G31,$F31+$E31-$D31)),2,IF(AND(AL$2&gt;=$D31,AL$2&lt;=$E31),1,"")))</f>
        <v/>
      </c>
      <c r="AM31" s="38">
        <f>IF(OR(AM$2="",$D31=""),"",IF(AND(ISNUMBER($F31),AM$2&gt;=$F31,AM$2&lt;=IF(ISNUMBER($G31),$G31,$F31+$E31-$D31)),2,IF(AND(AM$2&gt;=$D31,AM$2&lt;=$E31),1,"")))</f>
        <v/>
      </c>
      <c r="AN31" s="38">
        <f>IF(OR(AN$2="",$D31=""),"",IF(AND(ISNUMBER($F31),AN$2&gt;=$F31,AN$2&lt;=IF(ISNUMBER($G31),$G31,$F31+$E31-$D31)),2,IF(AND(AN$2&gt;=$D31,AN$2&lt;=$E31),1,"")))</f>
        <v/>
      </c>
      <c r="AO31" s="38">
        <f>IF(OR(AO$2="",$D31=""),"",IF(AND(ISNUMBER($F31),AO$2&gt;=$F31,AO$2&lt;=IF(ISNUMBER($G31),$G31,$F31+$E31-$D31)),2,IF(AND(AO$2&gt;=$D31,AO$2&lt;=$E31),1,"")))</f>
        <v/>
      </c>
      <c r="AP31" s="38">
        <f>IF(OR(AP$2="",$D31=""),"",IF(AND(ISNUMBER($F31),AP$2&gt;=$F31,AP$2&lt;=IF(ISNUMBER($G31),$G31,$F31+$E31-$D31)),2,IF(AND(AP$2&gt;=$D31,AP$2&lt;=$E31),1,"")))</f>
        <v/>
      </c>
      <c r="AQ31" s="38">
        <f>IF(OR(AQ$2="",$D31=""),"",IF(AND(ISNUMBER($F31),AQ$2&gt;=$F31,AQ$2&lt;=IF(ISNUMBER($G31),$G31,$F31+$E31-$D31)),2,IF(AND(AQ$2&gt;=$D31,AQ$2&lt;=$E31),1,"")))</f>
        <v/>
      </c>
      <c r="AR31" s="38">
        <f>IF(OR(AR$2="",$D31=""),"",IF(AND(ISNUMBER($F31),AR$2&gt;=$F31,AR$2&lt;=IF(ISNUMBER($G31),$G31,$F31+$E31-$D31)),2,IF(AND(AR$2&gt;=$D31,AR$2&lt;=$E31),1,"")))</f>
        <v/>
      </c>
      <c r="AS31" s="38">
        <f>IF(OR(AS$2="",$D31=""),"",IF(AND(ISNUMBER($F31),AS$2&gt;=$F31,AS$2&lt;=IF(ISNUMBER($G31),$G31,$F31+$E31-$D31)),2,IF(AND(AS$2&gt;=$D31,AS$2&lt;=$E31),1,"")))</f>
        <v/>
      </c>
      <c r="AT31" s="38">
        <f>IF(OR(AT$2="",$D31=""),"",IF(AND(ISNUMBER($F31),AT$2&gt;=$F31,AT$2&lt;=IF(ISNUMBER($G31),$G31,$F31+$E31-$D31)),2,IF(AND(AT$2&gt;=$D31,AT$2&lt;=$E31),1,"")))</f>
        <v/>
      </c>
      <c r="AU31" s="38">
        <f>IF(OR(AU$2="",$D31=""),"",IF(AND(ISNUMBER($F31),AU$2&gt;=$F31,AU$2&lt;=IF(ISNUMBER($G31),$G31,$F31+$E31-$D31)),2,IF(AND(AU$2&gt;=$D31,AU$2&lt;=$E31),1,"")))</f>
        <v/>
      </c>
      <c r="AV31" s="38">
        <f>IF(OR(AV$2="",$D31=""),"",IF(AND(ISNUMBER($F31),AV$2&gt;=$F31,AV$2&lt;=IF(ISNUMBER($G31),$G31,$F31+$E31-$D31)),2,IF(AND(AV$2&gt;=$D31,AV$2&lt;=$E31),1,"")))</f>
        <v/>
      </c>
      <c r="AW31" s="38">
        <f>IF(OR(AW$2="",$D31=""),"",IF(AND(ISNUMBER($F31),AW$2&gt;=$F31,AW$2&lt;=IF(ISNUMBER($G31),$G31,$F31+$E31-$D31)),2,IF(AND(AW$2&gt;=$D31,AW$2&lt;=$E31),1,"")))</f>
        <v/>
      </c>
      <c r="AX31" s="38">
        <f>IF(OR(AX$2="",$D31=""),"",IF(AND(ISNUMBER($F31),AX$2&gt;=$F31,AX$2&lt;=IF(ISNUMBER($G31),$G31,$F31+$E31-$D31)),2,IF(AND(AX$2&gt;=$D31,AX$2&lt;=$E31),1,"")))</f>
        <v/>
      </c>
      <c r="AY31" s="38">
        <f>IF(OR(AY$2="",$D31=""),"",IF(AND(ISNUMBER($F31),AY$2&gt;=$F31,AY$2&lt;=IF(ISNUMBER($G31),$G31,$F31+$E31-$D31)),2,IF(AND(AY$2&gt;=$D31,AY$2&lt;=$E31),1,"")))</f>
        <v/>
      </c>
      <c r="AZ31" s="38">
        <f>IF(OR(AZ$2="",$D31=""),"",IF(AND(ISNUMBER($F31),AZ$2&gt;=$F31,AZ$2&lt;=IF(ISNUMBER($G31),$G31,$F31+$E31-$D31)),2,IF(AND(AZ$2&gt;=$D31,AZ$2&lt;=$E31),1,"")))</f>
        <v/>
      </c>
      <c r="BA31" s="38">
        <f>IF(OR(BA$2="",$D31=""),"",IF(AND(ISNUMBER($F31),BA$2&gt;=$F31,BA$2&lt;=IF(ISNUMBER($G31),$G31,$F31+$E31-$D31)),2,IF(AND(BA$2&gt;=$D31,BA$2&lt;=$E31),1,"")))</f>
        <v/>
      </c>
      <c r="BB31" s="38">
        <f>IF(OR(BB$2="",$D31=""),"",IF(AND(ISNUMBER($F31),BB$2&gt;=$F31,BB$2&lt;=IF(ISNUMBER($G31),$G31,$F31+$E31-$D31)),2,IF(AND(BB$2&gt;=$D31,BB$2&lt;=$E31),1,"")))</f>
        <v/>
      </c>
      <c r="BC31" s="38">
        <f>IF(OR(BC$2="",$D31=""),"",IF(AND(ISNUMBER($F31),BC$2&gt;=$F31,BC$2&lt;=IF(ISNUMBER($G31),$G31,$F31+$E31-$D31)),2,IF(AND(BC$2&gt;=$D31,BC$2&lt;=$E31),1,"")))</f>
        <v/>
      </c>
      <c r="BD31" s="38">
        <f>IF(OR(BD$2="",$D31=""),"",IF(AND(ISNUMBER($F31),BD$2&gt;=$F31,BD$2&lt;=IF(ISNUMBER($G31),$G31,$F31+$E31-$D31)),2,IF(AND(BD$2&gt;=$D31,BD$2&lt;=$E31),1,"")))</f>
        <v/>
      </c>
      <c r="BE31" s="38">
        <f>IF(OR(BE$2="",$D31=""),"",IF(AND(ISNUMBER($F31),BE$2&gt;=$F31,BE$2&lt;=IF(ISNUMBER($G31),$G31,$F31+$E31-$D31)),2,IF(AND(BE$2&gt;=$D31,BE$2&lt;=$E31),1,"")))</f>
        <v/>
      </c>
      <c r="BF31" s="38">
        <f>IF(OR(BF$2="",$D31=""),"",IF(AND(ISNUMBER($F31),BF$2&gt;=$F31,BF$2&lt;=IF(ISNUMBER($G31),$G31,$F31+$E31-$D31)),2,IF(AND(BF$2&gt;=$D31,BF$2&lt;=$E31),1,"")))</f>
        <v/>
      </c>
      <c r="BG31" s="38">
        <f>IF(OR(BG$2="",$D31=""),"",IF(AND(ISNUMBER($F31),BG$2&gt;=$F31,BG$2&lt;=IF(ISNUMBER($G31),$G31,$F31+$E31-$D31)),2,IF(AND(BG$2&gt;=$D31,BG$2&lt;=$E31),1,"")))</f>
        <v/>
      </c>
      <c r="BH31" s="38">
        <f>IF(OR(BH$2="",$D31=""),"",IF(AND(ISNUMBER($F31),BH$2&gt;=$F31,BH$2&lt;=IF(ISNUMBER($G31),$G31,$F31+$E31-$D31)),2,IF(AND(BH$2&gt;=$D31,BH$2&lt;=$E31),1,"")))</f>
        <v/>
      </c>
      <c r="BI31" s="38">
        <f>IF(OR(BI$2="",$D31=""),"",IF(AND(ISNUMBER($F31),BI$2&gt;=$F31,BI$2&lt;=IF(ISNUMBER($G31),$G31,$F31+$E31-$D31)),2,IF(AND(BI$2&gt;=$D31,BI$2&lt;=$E31),1,"")))</f>
        <v/>
      </c>
      <c r="BJ31" s="38">
        <f>IF(OR(BJ$2="",$D31=""),"",IF(AND(ISNUMBER($F31),BJ$2&gt;=$F31,BJ$2&lt;=IF(ISNUMBER($G31),$G31,$F31+$E31-$D31)),2,IF(AND(BJ$2&gt;=$D31,BJ$2&lt;=$E31),1,"")))</f>
        <v/>
      </c>
      <c r="BK31" s="38">
        <f>IF(OR(BK$2="",$D31=""),"",IF(AND(ISNUMBER($F31),BK$2&gt;=$F31,BK$2&lt;=IF(ISNUMBER($G31),$G31,$F31+$E31-$D31)),2,IF(AND(BK$2&gt;=$D31,BK$2&lt;=$E31),1,"")))</f>
        <v/>
      </c>
      <c r="BL31" s="38">
        <f>IF(OR(BL$2="",$D31=""),"",IF(AND(ISNUMBER($F31),BL$2&gt;=$F31,BL$2&lt;=IF(ISNUMBER($G31),$G31,$F31+$E31-$D31)),2,IF(AND(BL$2&gt;=$D31,BL$2&lt;=$E31),1,"")))</f>
        <v/>
      </c>
      <c r="BM31" s="38">
        <f>IF(OR(BM$2="",$D31=""),"",IF(AND(ISNUMBER($F31),BM$2&gt;=$F31,BM$2&lt;=IF(ISNUMBER($G31),$G31,$F31+$E31-$D31)),2,IF(AND(BM$2&gt;=$D31,BM$2&lt;=$E31),1,"")))</f>
        <v/>
      </c>
      <c r="BN31" s="38">
        <f>IF(OR(BN$2="",$D31=""),"",IF(AND(ISNUMBER($F31),BN$2&gt;=$F31,BN$2&lt;=IF(ISNUMBER($G31),$G31,$F31+$E31-$D31)),2,IF(AND(BN$2&gt;=$D31,BN$2&lt;=$E31),1,"")))</f>
        <v/>
      </c>
      <c r="BO31" s="38">
        <f>IF(OR(BO$2="",$D31=""),"",IF(AND(ISNUMBER($F31),BO$2&gt;=$F31,BO$2&lt;=IF(ISNUMBER($G31),$G31,$F31+$E31-$D31)),2,IF(AND(BO$2&gt;=$D31,BO$2&lt;=$E31),1,"")))</f>
        <v/>
      </c>
      <c r="BP31" s="38">
        <f>IF(OR(BP$2="",$D31=""),"",IF(AND(ISNUMBER($F31),BP$2&gt;=$F31,BP$2&lt;=IF(ISNUMBER($G31),$G31,$F31+$E31-$D31)),2,IF(AND(BP$2&gt;=$D31,BP$2&lt;=$E31),1,"")))</f>
        <v/>
      </c>
      <c r="BQ31" s="38">
        <f>IF(OR(BQ$2="",$D31=""),"",IF(AND(ISNUMBER($F31),BQ$2&gt;=$F31,BQ$2&lt;=IF(ISNUMBER($G31),$G31,$F31+$E31-$D31)),2,IF(AND(BQ$2&gt;=$D31,BQ$2&lt;=$E31),1,"")))</f>
        <v/>
      </c>
      <c r="BR31" s="38">
        <f>IF(OR(BR$2="",$D31=""),"",IF(AND(ISNUMBER($F31),BR$2&gt;=$F31,BR$2&lt;=IF(ISNUMBER($G31),$G31,$F31+$E31-$D31)),2,IF(AND(BR$2&gt;=$D31,BR$2&lt;=$E31),1,"")))</f>
        <v/>
      </c>
      <c r="BS31" s="38">
        <f>IF(OR(BS$2="",$D31=""),"",IF(AND(ISNUMBER($F31),BS$2&gt;=$F31,BS$2&lt;=IF(ISNUMBER($G31),$G31,$F31+$E31-$D31)),2,IF(AND(BS$2&gt;=$D31,BS$2&lt;=$E31),1,"")))</f>
        <v/>
      </c>
      <c r="BT31" s="38">
        <f>IF(OR(BT$2="",$D31=""),"",IF(AND(ISNUMBER($F31),BT$2&gt;=$F31,BT$2&lt;=IF(ISNUMBER($G31),$G31,$F31+$E31-$D31)),2,IF(AND(BT$2&gt;=$D31,BT$2&lt;=$E31),1,"")))</f>
        <v/>
      </c>
      <c r="BU31" s="38">
        <f>IF(OR(BU$2="",$D31=""),"",IF(AND(ISNUMBER($F31),BU$2&gt;=$F31,BU$2&lt;=IF(ISNUMBER($G31),$G31,$F31+$E31-$D31)),2,IF(AND(BU$2&gt;=$D31,BU$2&lt;=$E31),1,"")))</f>
        <v/>
      </c>
      <c r="BV31" s="38">
        <f>IF(OR(BV$2="",$D31=""),"",IF(AND(ISNUMBER($F31),BV$2&gt;=$F31,BV$2&lt;=IF(ISNUMBER($G31),$G31,$F31+$E31-$D31)),2,IF(AND(BV$2&gt;=$D31,BV$2&lt;=$E31),1,"")))</f>
        <v/>
      </c>
      <c r="BW31" s="38">
        <f>IF(OR(BW$2="",$D31=""),"",IF(AND(ISNUMBER($F31),BW$2&gt;=$F31,BW$2&lt;=IF(ISNUMBER($G31),$G31,$F31+$E31-$D31)),2,IF(AND(BW$2&gt;=$D31,BW$2&lt;=$E31),1,"")))</f>
        <v/>
      </c>
      <c r="BX31" s="38">
        <f>IF(OR(BX$2="",$D31=""),"",IF(AND(ISNUMBER($F31),BX$2&gt;=$F31,BX$2&lt;=IF(ISNUMBER($G31),$G31,$F31+$E31-$D31)),2,IF(AND(BX$2&gt;=$D31,BX$2&lt;=$E31),1,"")))</f>
        <v/>
      </c>
      <c r="BY31" s="38">
        <f>IF(OR(BY$2="",$D31=""),"",IF(AND(ISNUMBER($F31),BY$2&gt;=$F31,BY$2&lt;=IF(ISNUMBER($G31),$G31,$F31+$E31-$D31)),2,IF(AND(BY$2&gt;=$D31,BY$2&lt;=$E31),1,"")))</f>
        <v/>
      </c>
      <c r="BZ31" s="38">
        <f>IF(OR(BZ$2="",$D31=""),"",IF(AND(ISNUMBER($F31),BZ$2&gt;=$F31,BZ$2&lt;=IF(ISNUMBER($G31),$G31,$F31+$E31-$D31)),2,IF(AND(BZ$2&gt;=$D31,BZ$2&lt;=$E31),1,"")))</f>
        <v/>
      </c>
      <c r="CA31" s="38">
        <f>IF(OR(CA$2="",$D31=""),"",IF(AND(ISNUMBER($F31),CA$2&gt;=$F31,CA$2&lt;=IF(ISNUMBER($G31),$G31,$F31+$E31-$D31)),2,IF(AND(CA$2&gt;=$D31,CA$2&lt;=$E31),1,"")))</f>
        <v/>
      </c>
      <c r="CB31" s="38">
        <f>IF(OR(CB$2="",$D31=""),"",IF(AND(ISNUMBER($F31),CB$2&gt;=$F31,CB$2&lt;=IF(ISNUMBER($G31),$G31,$F31+$E31-$D31)),2,IF(AND(CB$2&gt;=$D31,CB$2&lt;=$E31),1,"")))</f>
        <v/>
      </c>
      <c r="CC31" s="38">
        <f>IF(OR(CC$2="",$D31=""),"",IF(AND(ISNUMBER($F31),CC$2&gt;=$F31,CC$2&lt;=IF(ISNUMBER($G31),$G31,$F31+$E31-$D31)),2,IF(AND(CC$2&gt;=$D31,CC$2&lt;=$E31),1,"")))</f>
        <v/>
      </c>
      <c r="CD31" s="38">
        <f>IF(OR(CD$2="",$D31=""),"",IF(AND(ISNUMBER($F31),CD$2&gt;=$F31,CD$2&lt;=IF(ISNUMBER($G31),$G31,$F31+$E31-$D31)),2,IF(AND(CD$2&gt;=$D31,CD$2&lt;=$E31),1,"")))</f>
        <v/>
      </c>
      <c r="CE31" s="38">
        <f>IF(OR(CE$2="",$D31=""),"",IF(AND(ISNUMBER($F31),CE$2&gt;=$F31,CE$2&lt;=IF(ISNUMBER($G31),$G31,$F31+$E31-$D31)),2,IF(AND(CE$2&gt;=$D31,CE$2&lt;=$E31),1,"")))</f>
        <v/>
      </c>
      <c r="CF31" s="38">
        <f>IF(OR(CF$2="",$D31=""),"",IF(AND(ISNUMBER($F31),CF$2&gt;=$F31,CF$2&lt;=IF(ISNUMBER($G31),$G31,$F31+$E31-$D31)),2,IF(AND(CF$2&gt;=$D31,CF$2&lt;=$E31),1,"")))</f>
        <v/>
      </c>
      <c r="CG31" s="38">
        <f>IF(OR(CG$2="",$D31=""),"",IF(AND(ISNUMBER($F31),CG$2&gt;=$F31,CG$2&lt;=IF(ISNUMBER($G31),$G31,$F31+$E31-$D31)),2,IF(AND(CG$2&gt;=$D31,CG$2&lt;=$E31),1,"")))</f>
        <v/>
      </c>
      <c r="CH31" s="38">
        <f>IF(OR(CH$2="",$D31=""),"",IF(AND(ISNUMBER($F31),CH$2&gt;=$F31,CH$2&lt;=IF(ISNUMBER($G31),$G31,$F31+$E31-$D31)),2,IF(AND(CH$2&gt;=$D31,CH$2&lt;=$E31),1,"")))</f>
        <v/>
      </c>
      <c r="CI31" s="38">
        <f>IF(OR(CI$2="",$D31=""),"",IF(AND(ISNUMBER($F31),CI$2&gt;=$F31,CI$2&lt;=IF(ISNUMBER($G31),$G31,$F31+$E31-$D31)),2,IF(AND(CI$2&gt;=$D31,CI$2&lt;=$E31),1,"")))</f>
        <v/>
      </c>
      <c r="CJ31" s="38">
        <f>IF(OR(CJ$2="",$D31=""),"",IF(AND(ISNUMBER($F31),CJ$2&gt;=$F31,CJ$2&lt;=IF(ISNUMBER($G31),$G31,$F31+$E31-$D31)),2,IF(AND(CJ$2&gt;=$D31,CJ$2&lt;=$E31),1,"")))</f>
        <v/>
      </c>
      <c r="CK31" s="38">
        <f>IF(OR(CK$2="",$D31=""),"",IF(AND(ISNUMBER($F31),CK$2&gt;=$F31,CK$2&lt;=IF(ISNUMBER($G31),$G31,$F31+$E31-$D31)),2,IF(AND(CK$2&gt;=$D31,CK$2&lt;=$E31),1,"")))</f>
        <v/>
      </c>
      <c r="CL31" s="38">
        <f>IF(OR(CL$2="",$D31=""),"",IF(AND(ISNUMBER($F31),CL$2&gt;=$F31,CL$2&lt;=IF(ISNUMBER($G31),$G31,$F31+$E31-$D31)),2,IF(AND(CL$2&gt;=$D31,CL$2&lt;=$E31),1,"")))</f>
        <v/>
      </c>
      <c r="CM31" s="38">
        <f>IF(OR(CM$2="",$D31=""),"",IF(AND(ISNUMBER($F31),CM$2&gt;=$F31,CM$2&lt;=IF(ISNUMBER($G31),$G31,$F31+$E31-$D31)),2,IF(AND(CM$2&gt;=$D31,CM$2&lt;=$E31),1,"")))</f>
        <v/>
      </c>
      <c r="CN31" s="38">
        <f>IF(OR(CN$2="",$D31=""),"",IF(AND(ISNUMBER($F31),CN$2&gt;=$F31,CN$2&lt;=IF(ISNUMBER($G31),$G31,$F31+$E31-$D31)),2,IF(AND(CN$2&gt;=$D31,CN$2&lt;=$E31),1,"")))</f>
        <v/>
      </c>
      <c r="CO31" s="38">
        <f>IF(OR(CO$2="",$D31=""),"",IF(AND(ISNUMBER($F31),CO$2&gt;=$F31,CO$2&lt;=IF(ISNUMBER($G31),$G31,$F31+$E31-$D31)),2,IF(AND(CO$2&gt;=$D31,CO$2&lt;=$E31),1,"")))</f>
        <v/>
      </c>
      <c r="CP31" s="38">
        <f>IF(OR(CP$2="",$D31=""),"",IF(AND(ISNUMBER($F31),CP$2&gt;=$F31,CP$2&lt;=IF(ISNUMBER($G31),$G31,$F31+$E31-$D31)),2,IF(AND(CP$2&gt;=$D31,CP$2&lt;=$E31),1,"")))</f>
        <v/>
      </c>
      <c r="CQ31" s="38">
        <f>IF(OR(CQ$2="",$D31=""),"",IF(AND(ISNUMBER($F31),CQ$2&gt;=$F31,CQ$2&lt;=IF(ISNUMBER($G31),$G31,$F31+$E31-$D31)),2,IF(AND(CQ$2&gt;=$D31,CQ$2&lt;=$E31),1,"")))</f>
        <v/>
      </c>
      <c r="CR31" s="38">
        <f>IF(OR(CR$2="",$D31=""),"",IF(AND(ISNUMBER($F31),CR$2&gt;=$F31,CR$2&lt;=IF(ISNUMBER($G31),$G31,$F31+$E31-$D31)),2,IF(AND(CR$2&gt;=$D31,CR$2&lt;=$E31),1,"")))</f>
        <v/>
      </c>
      <c r="CS31" s="38">
        <f>IF(OR(CS$2="",$D31=""),"",IF(AND(ISNUMBER($F31),CS$2&gt;=$F31,CS$2&lt;=IF(ISNUMBER($G31),$G31,$F31+$E31-$D31)),2,IF(AND(CS$2&gt;=$D31,CS$2&lt;=$E31),1,"")))</f>
        <v/>
      </c>
      <c r="CT31" s="38">
        <f>IF(OR(CT$2="",$D31=""),"",IF(AND(ISNUMBER($F31),CT$2&gt;=$F31,CT$2&lt;=IF(ISNUMBER($G31),$G31,$F31+$E31-$D31)),2,IF(AND(CT$2&gt;=$D31,CT$2&lt;=$E31),1,"")))</f>
        <v/>
      </c>
      <c r="CU31" s="38">
        <f>IF(OR(CU$2="",$D31=""),"",IF(AND(ISNUMBER($F31),CU$2&gt;=$F31,CU$2&lt;=IF(ISNUMBER($G31),$G31,$F31+$E31-$D31)),2,IF(AND(CU$2&gt;=$D31,CU$2&lt;=$E31),1,"")))</f>
        <v/>
      </c>
      <c r="CV31" s="38">
        <f>IF(OR(CV$2="",$D31=""),"",IF(AND(ISNUMBER($F31),CV$2&gt;=$F31,CV$2&lt;=IF(ISNUMBER($G31),$G31,$F31+$E31-$D31)),2,IF(AND(CV$2&gt;=$D31,CV$2&lt;=$E31),1,"")))</f>
        <v/>
      </c>
      <c r="CW31" s="38">
        <f>IF(OR(CW$2="",$D31=""),"",IF(AND(ISNUMBER($F31),CW$2&gt;=$F31,CW$2&lt;=IF(ISNUMBER($G31),$G31,$F31+$E31-$D31)),2,IF(AND(CW$2&gt;=$D31,CW$2&lt;=$E31),1,"")))</f>
        <v/>
      </c>
      <c r="CX31" s="38">
        <f>IF(OR(CX$2="",$D31=""),"",IF(AND(ISNUMBER($F31),CX$2&gt;=$F31,CX$2&lt;=IF(ISNUMBER($G31),$G31,$F31+$E31-$D31)),2,IF(AND(CX$2&gt;=$D31,CX$2&lt;=$E31),1,"")))</f>
        <v/>
      </c>
      <c r="CY31" s="38">
        <f>IF(OR(CY$2="",$D31=""),"",IF(AND(ISNUMBER($F31),CY$2&gt;=$F31,CY$2&lt;=IF(ISNUMBER($G31),$G31,$F31+$E31-$D31)),2,IF(AND(CY$2&gt;=$D31,CY$2&lt;=$E31),1,"")))</f>
        <v/>
      </c>
      <c r="CZ31" s="38">
        <f>IF(OR(CZ$2="",$D31=""),"",IF(AND(ISNUMBER($F31),CZ$2&gt;=$F31,CZ$2&lt;=IF(ISNUMBER($G31),$G31,$F31+$E31-$D31)),2,IF(AND(CZ$2&gt;=$D31,CZ$2&lt;=$E31),1,"")))</f>
        <v/>
      </c>
      <c r="DA31" s="38">
        <f>IF(OR(DA$2="",$D31=""),"",IF(AND(ISNUMBER($F31),DA$2&gt;=$F31,DA$2&lt;=IF(ISNUMBER($G31),$G31,$F31+$E31-$D31)),2,IF(AND(DA$2&gt;=$D31,DA$2&lt;=$E31),1,"")))</f>
        <v/>
      </c>
      <c r="DB31" s="38">
        <f>IF(OR(DB$2="",$D31=""),"",IF(AND(ISNUMBER($F31),DB$2&gt;=$F31,DB$2&lt;=IF(ISNUMBER($G31),$G31,$F31+$E31-$D31)),2,IF(AND(DB$2&gt;=$D31,DB$2&lt;=$E31),1,"")))</f>
        <v/>
      </c>
      <c r="DC31" s="38">
        <f>IF(OR(DC$2="",$D31=""),"",IF(AND(ISNUMBER($F31),DC$2&gt;=$F31,DC$2&lt;=IF(ISNUMBER($G31),$G31,$F31+$E31-$D31)),2,IF(AND(DC$2&gt;=$D31,DC$2&lt;=$E31),1,"")))</f>
        <v/>
      </c>
      <c r="DD31" s="38">
        <f>IF(OR(DD$2="",$D31=""),"",IF(AND(ISNUMBER($F31),DD$2&gt;=$F31,DD$2&lt;=IF(ISNUMBER($G31),$G31,$F31+$E31-$D31)),2,IF(AND(DD$2&gt;=$D31,DD$2&lt;=$E31),1,"")))</f>
        <v/>
      </c>
      <c r="DE31" s="38">
        <f>IF(OR(DE$2="",$D31=""),"",IF(AND(ISNUMBER($F31),DE$2&gt;=$F31,DE$2&lt;=IF(ISNUMBER($G31),$G31,$F31+$E31-$D31)),2,IF(AND(DE$2&gt;=$D31,DE$2&lt;=$E31),1,"")))</f>
        <v/>
      </c>
      <c r="DF31" s="38">
        <f>IF(OR(DF$2="",$D31=""),"",IF(AND(ISNUMBER($F31),DF$2&gt;=$F31,DF$2&lt;=IF(ISNUMBER($G31),$G31,$F31+$E31-$D31)),2,IF(AND(DF$2&gt;=$D31,DF$2&lt;=$E31),1,"")))</f>
        <v/>
      </c>
      <c r="DG31" s="38">
        <f>IF(OR(DG$2="",$D31=""),"",IF(AND(ISNUMBER($F31),DG$2&gt;=$F31,DG$2&lt;=IF(ISNUMBER($G31),$G31,$F31+$E31-$D31)),2,IF(AND(DG$2&gt;=$D31,DG$2&lt;=$E31),1,"")))</f>
        <v/>
      </c>
      <c r="DH31" s="38">
        <f>IF(OR(DH$2="",$D31=""),"",IF(AND(ISNUMBER($F31),DH$2&gt;=$F31,DH$2&lt;=IF(ISNUMBER($G31),$G31,$F31+$E31-$D31)),2,IF(AND(DH$2&gt;=$D31,DH$2&lt;=$E31),1,"")))</f>
        <v/>
      </c>
      <c r="DI31" s="38">
        <f>IF(OR(DI$2="",$D31=""),"",IF(AND(ISNUMBER($F31),DI$2&gt;=$F31,DI$2&lt;=IF(ISNUMBER($G31),$G31,$F31+$E31-$D31)),2,IF(AND(DI$2&gt;=$D31,DI$2&lt;=$E31),1,"")))</f>
        <v/>
      </c>
      <c r="DJ31" s="38">
        <f>IF(OR(DJ$2="",$D31=""),"",IF(AND(ISNUMBER($F31),DJ$2&gt;=$F31,DJ$2&lt;=IF(ISNUMBER($G31),$G31,$F31+$E31-$D31)),2,IF(AND(DJ$2&gt;=$D31,DJ$2&lt;=$E31),1,"")))</f>
        <v/>
      </c>
      <c r="DK31" s="38">
        <f>IF(OR(DK$2="",$D31=""),"",IF(AND(ISNUMBER($F31),DK$2&gt;=$F31,DK$2&lt;=IF(ISNUMBER($G31),$G31,$F31+$E31-$D31)),2,IF(AND(DK$2&gt;=$D31,DK$2&lt;=$E31),1,"")))</f>
        <v/>
      </c>
      <c r="DL31" s="38">
        <f>IF(OR(DL$2="",$D31=""),"",IF(AND(ISNUMBER($F31),DL$2&gt;=$F31,DL$2&lt;=IF(ISNUMBER($G31),$G31,$F31+$E31-$D31)),2,IF(AND(DL$2&gt;=$D31,DL$2&lt;=$E31),1,"")))</f>
        <v/>
      </c>
      <c r="DM31" s="38">
        <f>IF(OR(DM$2="",$D31=""),"",IF(AND(ISNUMBER($F31),DM$2&gt;=$F31,DM$2&lt;=IF(ISNUMBER($G31),$G31,$F31+$E31-$D31)),2,IF(AND(DM$2&gt;=$D31,DM$2&lt;=$E31),1,"")))</f>
        <v/>
      </c>
      <c r="DN31" s="38">
        <f>IF(OR(DN$2="",$D31=""),"",IF(AND(ISNUMBER($F31),DN$2&gt;=$F31,DN$2&lt;=IF(ISNUMBER($G31),$G31,$F31+$E31-$D31)),2,IF(AND(DN$2&gt;=$D31,DN$2&lt;=$E31),1,"")))</f>
        <v/>
      </c>
      <c r="DO31" s="38">
        <f>IF(OR(DO$2="",$D31=""),"",IF(AND(ISNUMBER($F31),DO$2&gt;=$F31,DO$2&lt;=IF(ISNUMBER($G31),$G31,$F31+$E31-$D31)),2,IF(AND(DO$2&gt;=$D31,DO$2&lt;=$E31),1,"")))</f>
        <v/>
      </c>
      <c r="DP31" s="38">
        <f>IF(OR(DP$2="",$D31=""),"",IF(AND(ISNUMBER($F31),DP$2&gt;=$F31,DP$2&lt;=IF(ISNUMBER($G31),$G31,$F31+$E31-$D31)),2,IF(AND(DP$2&gt;=$D31,DP$2&lt;=$E31),1,"")))</f>
        <v/>
      </c>
      <c r="DQ31" s="38">
        <f>IF(OR(DQ$2="",$D31=""),"",IF(AND(ISNUMBER($F31),DQ$2&gt;=$F31,DQ$2&lt;=IF(ISNUMBER($G31),$G31,$F31+$E31-$D31)),2,IF(AND(DQ$2&gt;=$D31,DQ$2&lt;=$E31),1,"")))</f>
        <v/>
      </c>
      <c r="DR31" s="38">
        <f>IF(OR(DR$2="",$D31=""),"",IF(AND(ISNUMBER($F31),DR$2&gt;=$F31,DR$2&lt;=IF(ISNUMBER($G31),$G31,$F31+$E31-$D31)),2,IF(AND(DR$2&gt;=$D31,DR$2&lt;=$E31),1,"")))</f>
        <v/>
      </c>
      <c r="DS31" s="38">
        <f>IF(OR(DS$2="",$D31=""),"",IF(AND(ISNUMBER($F31),DS$2&gt;=$F31,DS$2&lt;=IF(ISNUMBER($G31),$G31,$F31+$E31-$D31)),2,IF(AND(DS$2&gt;=$D31,DS$2&lt;=$E31),1,"")))</f>
        <v/>
      </c>
      <c r="DT31" s="38">
        <f>IF(OR(DT$2="",$D31=""),"",IF(AND(ISNUMBER($F31),DT$2&gt;=$F31,DT$2&lt;=IF(ISNUMBER($G31),$G31,$F31+$E31-$D31)),2,IF(AND(DT$2&gt;=$D31,DT$2&lt;=$E31),1,"")))</f>
        <v/>
      </c>
      <c r="DU31" s="38">
        <f>IF(OR(DU$2="",$D31=""),"",IF(AND(ISNUMBER($F31),DU$2&gt;=$F31,DU$2&lt;=IF(ISNUMBER($G31),$G31,$F31+$E31-$D31)),2,IF(AND(DU$2&gt;=$D31,DU$2&lt;=$E31),1,"")))</f>
        <v/>
      </c>
      <c r="DV31" s="38">
        <f>IF(OR(DV$2="",$D31=""),"",IF(AND(ISNUMBER($F31),DV$2&gt;=$F31,DV$2&lt;=IF(ISNUMBER($G31),$G31,$F31+$E31-$D31)),2,IF(AND(DV$2&gt;=$D31,DV$2&lt;=$E31),1,"")))</f>
        <v/>
      </c>
      <c r="DW31" s="38">
        <f>IF(OR(DW$2="",$D31=""),"",IF(AND(ISNUMBER($F31),DW$2&gt;=$F31,DW$2&lt;=IF(ISNUMBER($G31),$G31,$F31+$E31-$D31)),2,IF(AND(DW$2&gt;=$D31,DW$2&lt;=$E31),1,"")))</f>
        <v/>
      </c>
      <c r="DX31" s="38">
        <f>IF(OR(DX$2="",$D31=""),"",IF(AND(ISNUMBER($F31),DX$2&gt;=$F31,DX$2&lt;=IF(ISNUMBER($G31),$G31,$F31+$E31-$D31)),2,IF(AND(DX$2&gt;=$D31,DX$2&lt;=$E31),1,"")))</f>
        <v/>
      </c>
      <c r="DY31" s="38">
        <f>IF(OR(DY$2="",$D31=""),"",IF(AND(ISNUMBER($F31),DY$2&gt;=$F31,DY$2&lt;=IF(ISNUMBER($G31),$G31,$F31+$E31-$D31)),2,IF(AND(DY$2&gt;=$D31,DY$2&lt;=$E31),1,"")))</f>
        <v/>
      </c>
      <c r="DZ31" s="38">
        <f>IF(OR(DZ$2="",$D31=""),"",IF(AND(ISNUMBER($F31),DZ$2&gt;=$F31,DZ$2&lt;=IF(ISNUMBER($G31),$G31,$F31+$E31-$D31)),2,IF(AND(DZ$2&gt;=$D31,DZ$2&lt;=$E31),1,"")))</f>
        <v/>
      </c>
      <c r="EA31" s="38">
        <f>IF(OR(EA$2="",$D31=""),"",IF(AND(ISNUMBER($F31),EA$2&gt;=$F31,EA$2&lt;=IF(ISNUMBER($G31),$G31,$F31+$E31-$D31)),2,IF(AND(EA$2&gt;=$D31,EA$2&lt;=$E31),1,"")))</f>
        <v/>
      </c>
      <c r="EB31" s="38">
        <f>IF(OR(EB$2="",$D31=""),"",IF(AND(ISNUMBER($F31),EB$2&gt;=$F31,EB$2&lt;=IF(ISNUMBER($G31),$G31,$F31+$E31-$D31)),2,IF(AND(EB$2&gt;=$D31,EB$2&lt;=$E31),1,"")))</f>
        <v/>
      </c>
      <c r="EC31" s="38">
        <f>IF(OR(EC$2="",$D31=""),"",IF(AND(ISNUMBER($F31),EC$2&gt;=$F31,EC$2&lt;=IF(ISNUMBER($G31),$G31,$F31+$E31-$D31)),2,IF(AND(EC$2&gt;=$D31,EC$2&lt;=$E31),1,"")))</f>
        <v/>
      </c>
      <c r="ED31" s="38">
        <f>IF(OR(ED$2="",$D31=""),"",IF(AND(ISNUMBER($F31),ED$2&gt;=$F31,ED$2&lt;=IF(ISNUMBER($G31),$G31,$F31+$E31-$D31)),2,IF(AND(ED$2&gt;=$D31,ED$2&lt;=$E31),1,"")))</f>
        <v/>
      </c>
      <c r="EE31" s="38">
        <f>IF(OR(EE$2="",$D31=""),"",IF(AND(ISNUMBER($F31),EE$2&gt;=$F31,EE$2&lt;=IF(ISNUMBER($G31),$G31,$F31+$E31-$D31)),2,IF(AND(EE$2&gt;=$D31,EE$2&lt;=$E31),1,"")))</f>
        <v/>
      </c>
      <c r="EF31" s="38">
        <f>IF(OR(EF$2="",$D31=""),"",IF(AND(ISNUMBER($F31),EF$2&gt;=$F31,EF$2&lt;=IF(ISNUMBER($G31),$G31,$F31+$E31-$D31)),2,IF(AND(EF$2&gt;=$D31,EF$2&lt;=$E31),1,"")))</f>
        <v/>
      </c>
      <c r="EG31" s="38">
        <f>IF(OR(EG$2="",$D31=""),"",IF(AND(ISNUMBER($F31),EG$2&gt;=$F31,EG$2&lt;=IF(ISNUMBER($G31),$G31,$F31+$E31-$D31)),2,IF(AND(EG$2&gt;=$D31,EG$2&lt;=$E31),1,"")))</f>
        <v/>
      </c>
      <c r="EH31" s="38">
        <f>IF(OR(EH$2="",$D31=""),"",IF(AND(ISNUMBER($F31),EH$2&gt;=$F31,EH$2&lt;=IF(ISNUMBER($G31),$G31,$F31+$E31-$D31)),2,IF(AND(EH$2&gt;=$D31,EH$2&lt;=$E31),1,"")))</f>
        <v/>
      </c>
      <c r="EI31" s="38">
        <f>IF(OR(EI$2="",$D31=""),"",IF(AND(ISNUMBER($F31),EI$2&gt;=$F31,EI$2&lt;=IF(ISNUMBER($G31),$G31,$F31+$E31-$D31)),2,IF(AND(EI$2&gt;=$D31,EI$2&lt;=$E31),1,"")))</f>
        <v/>
      </c>
      <c r="EJ31" s="38">
        <f>IF(OR(EJ$2="",$D31=""),"",IF(AND(ISNUMBER($F31),EJ$2&gt;=$F31,EJ$2&lt;=IF(ISNUMBER($G31),$G31,$F31+$E31-$D31)),2,IF(AND(EJ$2&gt;=$D31,EJ$2&lt;=$E31),1,"")))</f>
        <v/>
      </c>
      <c r="EK31" s="38">
        <f>IF(OR(EK$2="",$D31=""),"",IF(AND(ISNUMBER($F31),EK$2&gt;=$F31,EK$2&lt;=IF(ISNUMBER($G31),$G31,$F31+$E31-$D31)),2,IF(AND(EK$2&gt;=$D31,EK$2&lt;=$E31),1,"")))</f>
        <v/>
      </c>
      <c r="EL31" s="38">
        <f>IF(OR(EL$2="",$D31=""),"",IF(AND(ISNUMBER($F31),EL$2&gt;=$F31,EL$2&lt;=IF(ISNUMBER($G31),$G31,$F31+$E31-$D31)),2,IF(AND(EL$2&gt;=$D31,EL$2&lt;=$E31),1,"")))</f>
        <v/>
      </c>
      <c r="EM31" s="38">
        <f>IF(OR(EM$2="",$D31=""),"",IF(AND(ISNUMBER($F31),EM$2&gt;=$F31,EM$2&lt;=IF(ISNUMBER($G31),$G31,$F31+$E31-$D31)),2,IF(AND(EM$2&gt;=$D31,EM$2&lt;=$E31),1,"")))</f>
        <v/>
      </c>
      <c r="EN31" s="38">
        <f>IF(OR(EN$2="",$D31=""),"",IF(AND(ISNUMBER($F31),EN$2&gt;=$F31,EN$2&lt;=IF(ISNUMBER($G31),$G31,$F31+$E31-$D31)),2,IF(AND(EN$2&gt;=$D31,EN$2&lt;=$E31),1,"")))</f>
        <v/>
      </c>
      <c r="EO31" s="38">
        <f>IF(OR(EO$2="",$D31=""),"",IF(AND(ISNUMBER($F31),EO$2&gt;=$F31,EO$2&lt;=IF(ISNUMBER($G31),$G31,$F31+$E31-$D31)),2,IF(AND(EO$2&gt;=$D31,EO$2&lt;=$E31),1,"")))</f>
        <v/>
      </c>
      <c r="EP31" s="38">
        <f>IF(OR(EP$2="",$D31=""),"",IF(AND(ISNUMBER($F31),EP$2&gt;=$F31,EP$2&lt;=IF(ISNUMBER($G31),$G31,$F31+$E31-$D31)),2,IF(AND(EP$2&gt;=$D31,EP$2&lt;=$E31),1,"")))</f>
        <v/>
      </c>
      <c r="EQ31" s="38">
        <f>IF(OR(EQ$2="",$D31=""),"",IF(AND(ISNUMBER($F31),EQ$2&gt;=$F31,EQ$2&lt;=IF(ISNUMBER($G31),$G31,$F31+$E31-$D31)),2,IF(AND(EQ$2&gt;=$D31,EQ$2&lt;=$E31),1,"")))</f>
        <v/>
      </c>
      <c r="ER31" s="38">
        <f>IF(OR(ER$2="",$D31=""),"",IF(AND(ISNUMBER($F31),ER$2&gt;=$F31,ER$2&lt;=IF(ISNUMBER($G31),$G31,$F31+$E31-$D31)),2,IF(AND(ER$2&gt;=$D31,ER$2&lt;=$E31),1,"")))</f>
        <v/>
      </c>
      <c r="ES31" s="38">
        <f>IF(OR(ES$2="",$D31=""),"",IF(AND(ISNUMBER($F31),ES$2&gt;=$F31,ES$2&lt;=IF(ISNUMBER($G31),$G31,$F31+$E31-$D31)),2,IF(AND(ES$2&gt;=$D31,ES$2&lt;=$E31),1,"")))</f>
        <v/>
      </c>
      <c r="ET31" s="38">
        <f>IF(OR(ET$2="",$D31=""),"",IF(AND(ISNUMBER($F31),ET$2&gt;=$F31,ET$2&lt;=IF(ISNUMBER($G31),$G31,$F31+$E31-$D31)),2,IF(AND(ET$2&gt;=$D31,ET$2&lt;=$E31),1,"")))</f>
        <v/>
      </c>
      <c r="EU31" s="38">
        <f>IF(OR(EU$2="",$D31=""),"",IF(AND(ISNUMBER($F31),EU$2&gt;=$F31,EU$2&lt;=IF(ISNUMBER($G31),$G31,$F31+$E31-$D31)),2,IF(AND(EU$2&gt;=$D31,EU$2&lt;=$E31),1,"")))</f>
        <v/>
      </c>
      <c r="EV31" s="38">
        <f>IF(OR(EV$2="",$D31=""),"",IF(AND(ISNUMBER($F31),EV$2&gt;=$F31,EV$2&lt;=IF(ISNUMBER($G31),$G31,$F31+$E31-$D31)),2,IF(AND(EV$2&gt;=$D31,EV$2&lt;=$E31),1,"")))</f>
        <v/>
      </c>
      <c r="EW31" s="38">
        <f>IF(OR(EW$2="",$D31=""),"",IF(AND(ISNUMBER($F31),EW$2&gt;=$F31,EW$2&lt;=IF(ISNUMBER($G31),$G31,$F31+$E31-$D31)),2,IF(AND(EW$2&gt;=$D31,EW$2&lt;=$E31),1,"")))</f>
        <v/>
      </c>
      <c r="EX31" s="38">
        <f>IF(OR(EX$2="",$D31=""),"",IF(AND(ISNUMBER($F31),EX$2&gt;=$F31,EX$2&lt;=IF(ISNUMBER($G31),$G31,$F31+$E31-$D31)),2,IF(AND(EX$2&gt;=$D31,EX$2&lt;=$E31),1,"")))</f>
        <v/>
      </c>
      <c r="EY31" s="38">
        <f>IF(OR(EY$2="",$D31=""),"",IF(AND(ISNUMBER($F31),EY$2&gt;=$F31,EY$2&lt;=IF(ISNUMBER($G31),$G31,$F31+$E31-$D31)),2,IF(AND(EY$2&gt;=$D31,EY$2&lt;=$E31),1,"")))</f>
        <v/>
      </c>
      <c r="EZ31" s="38">
        <f>IF(OR(EZ$2="",$D31=""),"",IF(AND(ISNUMBER($F31),EZ$2&gt;=$F31,EZ$2&lt;=IF(ISNUMBER($G31),$G31,$F31+$E31-$D31)),2,IF(AND(EZ$2&gt;=$D31,EZ$2&lt;=$E31),1,"")))</f>
        <v/>
      </c>
      <c r="FA31" s="38">
        <f>IF(OR(FA$2="",$D31=""),"",IF(AND(ISNUMBER($F31),FA$2&gt;=$F31,FA$2&lt;=IF(ISNUMBER($G31),$G31,$F31+$E31-$D31)),2,IF(AND(FA$2&gt;=$D31,FA$2&lt;=$E31),1,"")))</f>
        <v/>
      </c>
      <c r="FB31" s="38">
        <f>IF(OR(FB$2="",$D31=""),"",IF(AND(ISNUMBER($F31),FB$2&gt;=$F31,FB$2&lt;=IF(ISNUMBER($G31),$G31,$F31+$E31-$D31)),2,IF(AND(FB$2&gt;=$D31,FB$2&lt;=$E31),1,"")))</f>
        <v/>
      </c>
      <c r="FC31" s="38">
        <f>IF(OR(FC$2="",$D31=""),"",IF(AND(ISNUMBER($F31),FC$2&gt;=$F31,FC$2&lt;=IF(ISNUMBER($G31),$G31,$F31+$E31-$D31)),2,IF(AND(FC$2&gt;=$D31,FC$2&lt;=$E31),1,"")))</f>
        <v/>
      </c>
      <c r="FD31" s="38">
        <f>IF(OR(FD$2="",$D31=""),"",IF(AND(ISNUMBER($F31),FD$2&gt;=$F31,FD$2&lt;=IF(ISNUMBER($G31),$G31,$F31+$E31-$D31)),2,IF(AND(FD$2&gt;=$D31,FD$2&lt;=$E31),1,"")))</f>
        <v/>
      </c>
      <c r="FE31" s="38">
        <f>IF(OR(FE$2="",$D31=""),"",IF(AND(ISNUMBER($F31),FE$2&gt;=$F31,FE$2&lt;=IF(ISNUMBER($G31),$G31,$F31+$E31-$D31)),2,IF(AND(FE$2&gt;=$D31,FE$2&lt;=$E31),1,"")))</f>
        <v/>
      </c>
      <c r="FF31" s="38">
        <f>IF(OR(FF$2="",$D31=""),"",IF(AND(ISNUMBER($F31),FF$2&gt;=$F31,FF$2&lt;=IF(ISNUMBER($G31),$G31,$F31+$E31-$D31)),2,IF(AND(FF$2&gt;=$D31,FF$2&lt;=$E31),1,"")))</f>
        <v/>
      </c>
      <c r="FG31" s="38">
        <f>IF(OR(FG$2="",$D31=""),"",IF(AND(ISNUMBER($F31),FG$2&gt;=$F31,FG$2&lt;=IF(ISNUMBER($G31),$G31,$F31+$E31-$D31)),2,IF(AND(FG$2&gt;=$D31,FG$2&lt;=$E31),1,"")))</f>
        <v/>
      </c>
      <c r="FH31" s="38">
        <f>IF(OR(FH$2="",$D31=""),"",IF(AND(ISNUMBER($F31),FH$2&gt;=$F31,FH$2&lt;=IF(ISNUMBER($G31),$G31,$F31+$E31-$D31)),2,IF(AND(FH$2&gt;=$D31,FH$2&lt;=$E31),1,"")))</f>
        <v/>
      </c>
      <c r="FI31" s="38">
        <f>IF(OR(FI$2="",$D31=""),"",IF(AND(ISNUMBER($F31),FI$2&gt;=$F31,FI$2&lt;=IF(ISNUMBER($G31),$G31,$F31+$E31-$D31)),2,IF(AND(FI$2&gt;=$D31,FI$2&lt;=$E31),1,"")))</f>
        <v/>
      </c>
      <c r="FJ31" s="38">
        <f>IF(OR(FJ$2="",$D31=""),"",IF(AND(ISNUMBER($F31),FJ$2&gt;=$F31,FJ$2&lt;=IF(ISNUMBER($G31),$G31,$F31+$E31-$D31)),2,IF(AND(FJ$2&gt;=$D31,FJ$2&lt;=$E31),1,"")))</f>
        <v/>
      </c>
      <c r="FK31" s="38">
        <f>IF(OR(FK$2="",$D31=""),"",IF(AND(ISNUMBER($F31),FK$2&gt;=$F31,FK$2&lt;=IF(ISNUMBER($G31),$G31,$F31+$E31-$D31)),2,IF(AND(FK$2&gt;=$D31,FK$2&lt;=$E31),1,"")))</f>
        <v/>
      </c>
      <c r="FL31" s="38">
        <f>IF(OR(FL$2="",$D31=""),"",IF(AND(ISNUMBER($F31),FL$2&gt;=$F31,FL$2&lt;=IF(ISNUMBER($G31),$G31,$F31+$E31-$D31)),2,IF(AND(FL$2&gt;=$D31,FL$2&lt;=$E31),1,"")))</f>
        <v/>
      </c>
      <c r="FM31" s="38">
        <f>IF(OR(FM$2="",$D31=""),"",IF(AND(ISNUMBER($F31),FM$2&gt;=$F31,FM$2&lt;=IF(ISNUMBER($G31),$G31,$F31+$E31-$D31)),2,IF(AND(FM$2&gt;=$D31,FM$2&lt;=$E31),1,"")))</f>
        <v/>
      </c>
      <c r="FN31" s="38">
        <f>IF(OR(FN$2="",$D31=""),"",IF(AND(ISNUMBER($F31),FN$2&gt;=$F31,FN$2&lt;=IF(ISNUMBER($G31),$G31,$F31+$E31-$D31)),2,IF(AND(FN$2&gt;=$D31,FN$2&lt;=$E31),1,"")))</f>
        <v/>
      </c>
      <c r="FO31" s="38">
        <f>IF(OR(FO$2="",$D31=""),"",IF(AND(ISNUMBER($F31),FO$2&gt;=$F31,FO$2&lt;=IF(ISNUMBER($G31),$G31,$F31+$E31-$D31)),2,IF(AND(FO$2&gt;=$D31,FO$2&lt;=$E31),1,"")))</f>
        <v/>
      </c>
      <c r="FP31" s="38">
        <f>IF(OR(FP$2="",$D31=""),"",IF(AND(ISNUMBER($F31),FP$2&gt;=$F31,FP$2&lt;=IF(ISNUMBER($G31),$G31,$F31+$E31-$D31)),2,IF(AND(FP$2&gt;=$D31,FP$2&lt;=$E31),1,"")))</f>
        <v/>
      </c>
      <c r="FQ31" s="38">
        <f>IF(OR(FQ$2="",$D31=""),"",IF(AND(ISNUMBER($F31),FQ$2&gt;=$F31,FQ$2&lt;=IF(ISNUMBER($G31),$G31,$F31+$E31-$D31)),2,IF(AND(FQ$2&gt;=$D31,FQ$2&lt;=$E31),1,"")))</f>
        <v/>
      </c>
      <c r="FR31" s="38">
        <f>IF(OR(FR$2="",$D31=""),"",IF(AND(ISNUMBER($F31),FR$2&gt;=$F31,FR$2&lt;=IF(ISNUMBER($G31),$G31,$F31+$E31-$D31)),2,IF(AND(FR$2&gt;=$D31,FR$2&lt;=$E31),1,"")))</f>
        <v/>
      </c>
      <c r="FS31" s="38">
        <f>IF(OR(FS$2="",$D31=""),"",IF(AND(ISNUMBER($F31),FS$2&gt;=$F31,FS$2&lt;=IF(ISNUMBER($G31),$G31,$F31+$E31-$D31)),2,IF(AND(FS$2&gt;=$D31,FS$2&lt;=$E31),1,"")))</f>
        <v/>
      </c>
      <c r="FT31" s="38">
        <f>IF(OR(FT$2="",$D31=""),"",IF(AND(ISNUMBER($F31),FT$2&gt;=$F31,FT$2&lt;=IF(ISNUMBER($G31),$G31,$F31+$E31-$D31)),2,IF(AND(FT$2&gt;=$D31,FT$2&lt;=$E31),1,"")))</f>
        <v/>
      </c>
      <c r="FU31" s="38">
        <f>IF(OR(FU$2="",$D31=""),"",IF(AND(ISNUMBER($F31),FU$2&gt;=$F31,FU$2&lt;=IF(ISNUMBER($G31),$G31,$F31+$E31-$D31)),2,IF(AND(FU$2&gt;=$D31,FU$2&lt;=$E31),1,"")))</f>
        <v/>
      </c>
      <c r="FV31" s="38">
        <f>IF(OR(FV$2="",$D31=""),"",IF(AND(ISNUMBER($F31),FV$2&gt;=$F31,FV$2&lt;=IF(ISNUMBER($G31),$G31,$F31+$E31-$D31)),2,IF(AND(FV$2&gt;=$D31,FV$2&lt;=$E31),1,"")))</f>
        <v/>
      </c>
      <c r="FW31" s="38">
        <f>IF(OR(FW$2="",$D31=""),"",IF(AND(ISNUMBER($F31),FW$2&gt;=$F31,FW$2&lt;=IF(ISNUMBER($G31),$G31,$F31+$E31-$D31)),2,IF(AND(FW$2&gt;=$D31,FW$2&lt;=$E31),1,"")))</f>
        <v/>
      </c>
      <c r="FX31" s="38">
        <f>IF(OR(FX$2="",$D31=""),"",IF(AND(ISNUMBER($F31),FX$2&gt;=$F31,FX$2&lt;=IF(ISNUMBER($G31),$G31,$F31+$E31-$D31)),2,IF(AND(FX$2&gt;=$D31,FX$2&lt;=$E31),1,"")))</f>
        <v/>
      </c>
      <c r="FY31" s="38">
        <f>IF(OR(FY$2="",$D31=""),"",IF(AND(ISNUMBER($F31),FY$2&gt;=$F31,FY$2&lt;=IF(ISNUMBER($G31),$G31,$F31+$E31-$D31)),2,IF(AND(FY$2&gt;=$D31,FY$2&lt;=$E31),1,"")))</f>
        <v/>
      </c>
      <c r="FZ31" s="38">
        <f>IF(OR(FZ$2="",$D31=""),"",IF(AND(ISNUMBER($F31),FZ$2&gt;=$F31,FZ$2&lt;=IF(ISNUMBER($G31),$G31,$F31+$E31-$D31)),2,IF(AND(FZ$2&gt;=$D31,FZ$2&lt;=$E31),1,"")))</f>
        <v/>
      </c>
      <c r="GA31" s="38">
        <f>IF(OR(GA$2="",$D31=""),"",IF(AND(ISNUMBER($F31),GA$2&gt;=$F31,GA$2&lt;=IF(ISNUMBER($G31),$G31,$F31+$E31-$D31)),2,IF(AND(GA$2&gt;=$D31,GA$2&lt;=$E31),1,"")))</f>
        <v/>
      </c>
      <c r="GB31" s="38">
        <f>IF(OR(GB$2="",$D31=""),"",IF(AND(ISNUMBER($F31),GB$2&gt;=$F31,GB$2&lt;=IF(ISNUMBER($G31),$G31,$F31+$E31-$D31)),2,IF(AND(GB$2&gt;=$D31,GB$2&lt;=$E31),1,"")))</f>
        <v/>
      </c>
      <c r="GC31" s="38">
        <f>IF(OR(GC$2="",$D31=""),"",IF(AND(ISNUMBER($F31),GC$2&gt;=$F31,GC$2&lt;=IF(ISNUMBER($G31),$G31,$F31+$E31-$D31)),2,IF(AND(GC$2&gt;=$D31,GC$2&lt;=$E31),1,"")))</f>
        <v/>
      </c>
      <c r="GD31" s="38">
        <f>IF(OR(GD$2="",$D31=""),"",IF(AND(ISNUMBER($F31),GD$2&gt;=$F31,GD$2&lt;=IF(ISNUMBER($G31),$G31,$F31+$E31-$D31)),2,IF(AND(GD$2&gt;=$D31,GD$2&lt;=$E31),1,"")))</f>
        <v/>
      </c>
      <c r="GE31" s="38">
        <f>IF(OR(GE$2="",$D31=""),"",IF(AND(ISNUMBER($F31),GE$2&gt;=$F31,GE$2&lt;=IF(ISNUMBER($G31),$G31,$F31+$E31-$D31)),2,IF(AND(GE$2&gt;=$D31,GE$2&lt;=$E31),1,"")))</f>
        <v/>
      </c>
    </row>
    <row r="32">
      <c r="A32" s="36" t="inlineStr">
        <is>
          <t>Transplanting</t>
        </is>
      </c>
      <c r="B32" s="12" t="inlineStr">
        <is>
          <t>রোপণ</t>
        </is>
      </c>
      <c r="C32" s="12" t="inlineStr">
        <is>
          <t>FP</t>
        </is>
      </c>
      <c r="D32" s="7">
        <f>IF(D9="","",D9)</f>
        <v/>
      </c>
      <c r="E32" s="7">
        <f>IF(D32="","",D32)</f>
        <v/>
      </c>
      <c r="F32" s="37" t="n"/>
      <c r="G32" s="7" t="n"/>
      <c r="H32" s="6">
        <f>IF(D32="","no plan",IF(F32&lt;&gt;"",IF(F32-D32&gt;=2,"LATE","OK"),IF(TODAY()&gt;D32+2,"OVERDUE","upcoming")))</f>
        <v/>
      </c>
      <c r="I32" s="6">
        <f>IF(AND(D32&lt;&gt;"",F32&lt;&gt;""),F32-D32,"")</f>
        <v/>
      </c>
      <c r="J32" s="7">
        <f>IF(F32&lt;&gt;"",F32,D32)</f>
        <v/>
      </c>
      <c r="K32" s="7">
        <f>IF(G32&lt;&gt;"",G32,IF(AND(F32&lt;&gt;"",E32=D32),F32,E32))</f>
        <v/>
      </c>
      <c r="L32" s="6">
        <f>IF(AND(D32&lt;&gt;"",F32="",D32&gt;=TODAY()),D32+ROW()/1000,"")</f>
        <v/>
      </c>
      <c r="M32" s="38">
        <f>IF(OR(M$2="",$D32=""),"",IF(AND(ISNUMBER($F32),M$2&gt;=$F32,M$2&lt;=IF(ISNUMBER($G32),$G32,$F32+$E32-$D32)),2,IF(AND(M$2&gt;=$D32,M$2&lt;=$E32),1,"")))</f>
        <v/>
      </c>
      <c r="N32" s="38">
        <f>IF(OR(N$2="",$D32=""),"",IF(AND(ISNUMBER($F32),N$2&gt;=$F32,N$2&lt;=IF(ISNUMBER($G32),$G32,$F32+$E32-$D32)),2,IF(AND(N$2&gt;=$D32,N$2&lt;=$E32),1,"")))</f>
        <v/>
      </c>
      <c r="O32" s="38">
        <f>IF(OR(O$2="",$D32=""),"",IF(AND(ISNUMBER($F32),O$2&gt;=$F32,O$2&lt;=IF(ISNUMBER($G32),$G32,$F32+$E32-$D32)),2,IF(AND(O$2&gt;=$D32,O$2&lt;=$E32),1,"")))</f>
        <v/>
      </c>
      <c r="P32" s="38">
        <f>IF(OR(P$2="",$D32=""),"",IF(AND(ISNUMBER($F32),P$2&gt;=$F32,P$2&lt;=IF(ISNUMBER($G32),$G32,$F32+$E32-$D32)),2,IF(AND(P$2&gt;=$D32,P$2&lt;=$E32),1,"")))</f>
        <v/>
      </c>
      <c r="Q32" s="38">
        <f>IF(OR(Q$2="",$D32=""),"",IF(AND(ISNUMBER($F32),Q$2&gt;=$F32,Q$2&lt;=IF(ISNUMBER($G32),$G32,$F32+$E32-$D32)),2,IF(AND(Q$2&gt;=$D32,Q$2&lt;=$E32),1,"")))</f>
        <v/>
      </c>
      <c r="R32" s="38">
        <f>IF(OR(R$2="",$D32=""),"",IF(AND(ISNUMBER($F32),R$2&gt;=$F32,R$2&lt;=IF(ISNUMBER($G32),$G32,$F32+$E32-$D32)),2,IF(AND(R$2&gt;=$D32,R$2&lt;=$E32),1,"")))</f>
        <v/>
      </c>
      <c r="S32" s="38">
        <f>IF(OR(S$2="",$D32=""),"",IF(AND(ISNUMBER($F32),S$2&gt;=$F32,S$2&lt;=IF(ISNUMBER($G32),$G32,$F32+$E32-$D32)),2,IF(AND(S$2&gt;=$D32,S$2&lt;=$E32),1,"")))</f>
        <v/>
      </c>
      <c r="T32" s="38">
        <f>IF(OR(T$2="",$D32=""),"",IF(AND(ISNUMBER($F32),T$2&gt;=$F32,T$2&lt;=IF(ISNUMBER($G32),$G32,$F32+$E32-$D32)),2,IF(AND(T$2&gt;=$D32,T$2&lt;=$E32),1,"")))</f>
        <v/>
      </c>
      <c r="U32" s="38">
        <f>IF(OR(U$2="",$D32=""),"",IF(AND(ISNUMBER($F32),U$2&gt;=$F32,U$2&lt;=IF(ISNUMBER($G32),$G32,$F32+$E32-$D32)),2,IF(AND(U$2&gt;=$D32,U$2&lt;=$E32),1,"")))</f>
        <v/>
      </c>
      <c r="V32" s="38">
        <f>IF(OR(V$2="",$D32=""),"",IF(AND(ISNUMBER($F32),V$2&gt;=$F32,V$2&lt;=IF(ISNUMBER($G32),$G32,$F32+$E32-$D32)),2,IF(AND(V$2&gt;=$D32,V$2&lt;=$E32),1,"")))</f>
        <v/>
      </c>
      <c r="W32" s="38">
        <f>IF(OR(W$2="",$D32=""),"",IF(AND(ISNUMBER($F32),W$2&gt;=$F32,W$2&lt;=IF(ISNUMBER($G32),$G32,$F32+$E32-$D32)),2,IF(AND(W$2&gt;=$D32,W$2&lt;=$E32),1,"")))</f>
        <v/>
      </c>
      <c r="X32" s="38">
        <f>IF(OR(X$2="",$D32=""),"",IF(AND(ISNUMBER($F32),X$2&gt;=$F32,X$2&lt;=IF(ISNUMBER($G32),$G32,$F32+$E32-$D32)),2,IF(AND(X$2&gt;=$D32,X$2&lt;=$E32),1,"")))</f>
        <v/>
      </c>
      <c r="Y32" s="38">
        <f>IF(OR(Y$2="",$D32=""),"",IF(AND(ISNUMBER($F32),Y$2&gt;=$F32,Y$2&lt;=IF(ISNUMBER($G32),$G32,$F32+$E32-$D32)),2,IF(AND(Y$2&gt;=$D32,Y$2&lt;=$E32),1,"")))</f>
        <v/>
      </c>
      <c r="Z32" s="38">
        <f>IF(OR(Z$2="",$D32=""),"",IF(AND(ISNUMBER($F32),Z$2&gt;=$F32,Z$2&lt;=IF(ISNUMBER($G32),$G32,$F32+$E32-$D32)),2,IF(AND(Z$2&gt;=$D32,Z$2&lt;=$E32),1,"")))</f>
        <v/>
      </c>
      <c r="AA32" s="38">
        <f>IF(OR(AA$2="",$D32=""),"",IF(AND(ISNUMBER($F32),AA$2&gt;=$F32,AA$2&lt;=IF(ISNUMBER($G32),$G32,$F32+$E32-$D32)),2,IF(AND(AA$2&gt;=$D32,AA$2&lt;=$E32),1,"")))</f>
        <v/>
      </c>
      <c r="AB32" s="38">
        <f>IF(OR(AB$2="",$D32=""),"",IF(AND(ISNUMBER($F32),AB$2&gt;=$F32,AB$2&lt;=IF(ISNUMBER($G32),$G32,$F32+$E32-$D32)),2,IF(AND(AB$2&gt;=$D32,AB$2&lt;=$E32),1,"")))</f>
        <v/>
      </c>
      <c r="AC32" s="38">
        <f>IF(OR(AC$2="",$D32=""),"",IF(AND(ISNUMBER($F32),AC$2&gt;=$F32,AC$2&lt;=IF(ISNUMBER($G32),$G32,$F32+$E32-$D32)),2,IF(AND(AC$2&gt;=$D32,AC$2&lt;=$E32),1,"")))</f>
        <v/>
      </c>
      <c r="AD32" s="38">
        <f>IF(OR(AD$2="",$D32=""),"",IF(AND(ISNUMBER($F32),AD$2&gt;=$F32,AD$2&lt;=IF(ISNUMBER($G32),$G32,$F32+$E32-$D32)),2,IF(AND(AD$2&gt;=$D32,AD$2&lt;=$E32),1,"")))</f>
        <v/>
      </c>
      <c r="AE32" s="38">
        <f>IF(OR(AE$2="",$D32=""),"",IF(AND(ISNUMBER($F32),AE$2&gt;=$F32,AE$2&lt;=IF(ISNUMBER($G32),$G32,$F32+$E32-$D32)),2,IF(AND(AE$2&gt;=$D32,AE$2&lt;=$E32),1,"")))</f>
        <v/>
      </c>
      <c r="AF32" s="38">
        <f>IF(OR(AF$2="",$D32=""),"",IF(AND(ISNUMBER($F32),AF$2&gt;=$F32,AF$2&lt;=IF(ISNUMBER($G32),$G32,$F32+$E32-$D32)),2,IF(AND(AF$2&gt;=$D32,AF$2&lt;=$E32),1,"")))</f>
        <v/>
      </c>
      <c r="AG32" s="38">
        <f>IF(OR(AG$2="",$D32=""),"",IF(AND(ISNUMBER($F32),AG$2&gt;=$F32,AG$2&lt;=IF(ISNUMBER($G32),$G32,$F32+$E32-$D32)),2,IF(AND(AG$2&gt;=$D32,AG$2&lt;=$E32),1,"")))</f>
        <v/>
      </c>
      <c r="AH32" s="38">
        <f>IF(OR(AH$2="",$D32=""),"",IF(AND(ISNUMBER($F32),AH$2&gt;=$F32,AH$2&lt;=IF(ISNUMBER($G32),$G32,$F32+$E32-$D32)),2,IF(AND(AH$2&gt;=$D32,AH$2&lt;=$E32),1,"")))</f>
        <v/>
      </c>
      <c r="AI32" s="38">
        <f>IF(OR(AI$2="",$D32=""),"",IF(AND(ISNUMBER($F32),AI$2&gt;=$F32,AI$2&lt;=IF(ISNUMBER($G32),$G32,$F32+$E32-$D32)),2,IF(AND(AI$2&gt;=$D32,AI$2&lt;=$E32),1,"")))</f>
        <v/>
      </c>
      <c r="AJ32" s="38">
        <f>IF(OR(AJ$2="",$D32=""),"",IF(AND(ISNUMBER($F32),AJ$2&gt;=$F32,AJ$2&lt;=IF(ISNUMBER($G32),$G32,$F32+$E32-$D32)),2,IF(AND(AJ$2&gt;=$D32,AJ$2&lt;=$E32),1,"")))</f>
        <v/>
      </c>
      <c r="AK32" s="38">
        <f>IF(OR(AK$2="",$D32=""),"",IF(AND(ISNUMBER($F32),AK$2&gt;=$F32,AK$2&lt;=IF(ISNUMBER($G32),$G32,$F32+$E32-$D32)),2,IF(AND(AK$2&gt;=$D32,AK$2&lt;=$E32),1,"")))</f>
        <v/>
      </c>
      <c r="AL32" s="38">
        <f>IF(OR(AL$2="",$D32=""),"",IF(AND(ISNUMBER($F32),AL$2&gt;=$F32,AL$2&lt;=IF(ISNUMBER($G32),$G32,$F32+$E32-$D32)),2,IF(AND(AL$2&gt;=$D32,AL$2&lt;=$E32),1,"")))</f>
        <v/>
      </c>
      <c r="AM32" s="38">
        <f>IF(OR(AM$2="",$D32=""),"",IF(AND(ISNUMBER($F32),AM$2&gt;=$F32,AM$2&lt;=IF(ISNUMBER($G32),$G32,$F32+$E32-$D32)),2,IF(AND(AM$2&gt;=$D32,AM$2&lt;=$E32),1,"")))</f>
        <v/>
      </c>
      <c r="AN32" s="38">
        <f>IF(OR(AN$2="",$D32=""),"",IF(AND(ISNUMBER($F32),AN$2&gt;=$F32,AN$2&lt;=IF(ISNUMBER($G32),$G32,$F32+$E32-$D32)),2,IF(AND(AN$2&gt;=$D32,AN$2&lt;=$E32),1,"")))</f>
        <v/>
      </c>
      <c r="AO32" s="38">
        <f>IF(OR(AO$2="",$D32=""),"",IF(AND(ISNUMBER($F32),AO$2&gt;=$F32,AO$2&lt;=IF(ISNUMBER($G32),$G32,$F32+$E32-$D32)),2,IF(AND(AO$2&gt;=$D32,AO$2&lt;=$E32),1,"")))</f>
        <v/>
      </c>
      <c r="AP32" s="38">
        <f>IF(OR(AP$2="",$D32=""),"",IF(AND(ISNUMBER($F32),AP$2&gt;=$F32,AP$2&lt;=IF(ISNUMBER($G32),$G32,$F32+$E32-$D32)),2,IF(AND(AP$2&gt;=$D32,AP$2&lt;=$E32),1,"")))</f>
        <v/>
      </c>
      <c r="AQ32" s="38">
        <f>IF(OR(AQ$2="",$D32=""),"",IF(AND(ISNUMBER($F32),AQ$2&gt;=$F32,AQ$2&lt;=IF(ISNUMBER($G32),$G32,$F32+$E32-$D32)),2,IF(AND(AQ$2&gt;=$D32,AQ$2&lt;=$E32),1,"")))</f>
        <v/>
      </c>
      <c r="AR32" s="38">
        <f>IF(OR(AR$2="",$D32=""),"",IF(AND(ISNUMBER($F32),AR$2&gt;=$F32,AR$2&lt;=IF(ISNUMBER($G32),$G32,$F32+$E32-$D32)),2,IF(AND(AR$2&gt;=$D32,AR$2&lt;=$E32),1,"")))</f>
        <v/>
      </c>
      <c r="AS32" s="38">
        <f>IF(OR(AS$2="",$D32=""),"",IF(AND(ISNUMBER($F32),AS$2&gt;=$F32,AS$2&lt;=IF(ISNUMBER($G32),$G32,$F32+$E32-$D32)),2,IF(AND(AS$2&gt;=$D32,AS$2&lt;=$E32),1,"")))</f>
        <v/>
      </c>
      <c r="AT32" s="38">
        <f>IF(OR(AT$2="",$D32=""),"",IF(AND(ISNUMBER($F32),AT$2&gt;=$F32,AT$2&lt;=IF(ISNUMBER($G32),$G32,$F32+$E32-$D32)),2,IF(AND(AT$2&gt;=$D32,AT$2&lt;=$E32),1,"")))</f>
        <v/>
      </c>
      <c r="AU32" s="38">
        <f>IF(OR(AU$2="",$D32=""),"",IF(AND(ISNUMBER($F32),AU$2&gt;=$F32,AU$2&lt;=IF(ISNUMBER($G32),$G32,$F32+$E32-$D32)),2,IF(AND(AU$2&gt;=$D32,AU$2&lt;=$E32),1,"")))</f>
        <v/>
      </c>
      <c r="AV32" s="38">
        <f>IF(OR(AV$2="",$D32=""),"",IF(AND(ISNUMBER($F32),AV$2&gt;=$F32,AV$2&lt;=IF(ISNUMBER($G32),$G32,$F32+$E32-$D32)),2,IF(AND(AV$2&gt;=$D32,AV$2&lt;=$E32),1,"")))</f>
        <v/>
      </c>
      <c r="AW32" s="38">
        <f>IF(OR(AW$2="",$D32=""),"",IF(AND(ISNUMBER($F32),AW$2&gt;=$F32,AW$2&lt;=IF(ISNUMBER($G32),$G32,$F32+$E32-$D32)),2,IF(AND(AW$2&gt;=$D32,AW$2&lt;=$E32),1,"")))</f>
        <v/>
      </c>
      <c r="AX32" s="38">
        <f>IF(OR(AX$2="",$D32=""),"",IF(AND(ISNUMBER($F32),AX$2&gt;=$F32,AX$2&lt;=IF(ISNUMBER($G32),$G32,$F32+$E32-$D32)),2,IF(AND(AX$2&gt;=$D32,AX$2&lt;=$E32),1,"")))</f>
        <v/>
      </c>
      <c r="AY32" s="38">
        <f>IF(OR(AY$2="",$D32=""),"",IF(AND(ISNUMBER($F32),AY$2&gt;=$F32,AY$2&lt;=IF(ISNUMBER($G32),$G32,$F32+$E32-$D32)),2,IF(AND(AY$2&gt;=$D32,AY$2&lt;=$E32),1,"")))</f>
        <v/>
      </c>
      <c r="AZ32" s="38">
        <f>IF(OR(AZ$2="",$D32=""),"",IF(AND(ISNUMBER($F32),AZ$2&gt;=$F32,AZ$2&lt;=IF(ISNUMBER($G32),$G32,$F32+$E32-$D32)),2,IF(AND(AZ$2&gt;=$D32,AZ$2&lt;=$E32),1,"")))</f>
        <v/>
      </c>
      <c r="BA32" s="38">
        <f>IF(OR(BA$2="",$D32=""),"",IF(AND(ISNUMBER($F32),BA$2&gt;=$F32,BA$2&lt;=IF(ISNUMBER($G32),$G32,$F32+$E32-$D32)),2,IF(AND(BA$2&gt;=$D32,BA$2&lt;=$E32),1,"")))</f>
        <v/>
      </c>
      <c r="BB32" s="38">
        <f>IF(OR(BB$2="",$D32=""),"",IF(AND(ISNUMBER($F32),BB$2&gt;=$F32,BB$2&lt;=IF(ISNUMBER($G32),$G32,$F32+$E32-$D32)),2,IF(AND(BB$2&gt;=$D32,BB$2&lt;=$E32),1,"")))</f>
        <v/>
      </c>
      <c r="BC32" s="38">
        <f>IF(OR(BC$2="",$D32=""),"",IF(AND(ISNUMBER($F32),BC$2&gt;=$F32,BC$2&lt;=IF(ISNUMBER($G32),$G32,$F32+$E32-$D32)),2,IF(AND(BC$2&gt;=$D32,BC$2&lt;=$E32),1,"")))</f>
        <v/>
      </c>
      <c r="BD32" s="38">
        <f>IF(OR(BD$2="",$D32=""),"",IF(AND(ISNUMBER($F32),BD$2&gt;=$F32,BD$2&lt;=IF(ISNUMBER($G32),$G32,$F32+$E32-$D32)),2,IF(AND(BD$2&gt;=$D32,BD$2&lt;=$E32),1,"")))</f>
        <v/>
      </c>
      <c r="BE32" s="38">
        <f>IF(OR(BE$2="",$D32=""),"",IF(AND(ISNUMBER($F32),BE$2&gt;=$F32,BE$2&lt;=IF(ISNUMBER($G32),$G32,$F32+$E32-$D32)),2,IF(AND(BE$2&gt;=$D32,BE$2&lt;=$E32),1,"")))</f>
        <v/>
      </c>
      <c r="BF32" s="38">
        <f>IF(OR(BF$2="",$D32=""),"",IF(AND(ISNUMBER($F32),BF$2&gt;=$F32,BF$2&lt;=IF(ISNUMBER($G32),$G32,$F32+$E32-$D32)),2,IF(AND(BF$2&gt;=$D32,BF$2&lt;=$E32),1,"")))</f>
        <v/>
      </c>
      <c r="BG32" s="38">
        <f>IF(OR(BG$2="",$D32=""),"",IF(AND(ISNUMBER($F32),BG$2&gt;=$F32,BG$2&lt;=IF(ISNUMBER($G32),$G32,$F32+$E32-$D32)),2,IF(AND(BG$2&gt;=$D32,BG$2&lt;=$E32),1,"")))</f>
        <v/>
      </c>
      <c r="BH32" s="38">
        <f>IF(OR(BH$2="",$D32=""),"",IF(AND(ISNUMBER($F32),BH$2&gt;=$F32,BH$2&lt;=IF(ISNUMBER($G32),$G32,$F32+$E32-$D32)),2,IF(AND(BH$2&gt;=$D32,BH$2&lt;=$E32),1,"")))</f>
        <v/>
      </c>
      <c r="BI32" s="38">
        <f>IF(OR(BI$2="",$D32=""),"",IF(AND(ISNUMBER($F32),BI$2&gt;=$F32,BI$2&lt;=IF(ISNUMBER($G32),$G32,$F32+$E32-$D32)),2,IF(AND(BI$2&gt;=$D32,BI$2&lt;=$E32),1,"")))</f>
        <v/>
      </c>
      <c r="BJ32" s="38">
        <f>IF(OR(BJ$2="",$D32=""),"",IF(AND(ISNUMBER($F32),BJ$2&gt;=$F32,BJ$2&lt;=IF(ISNUMBER($G32),$G32,$F32+$E32-$D32)),2,IF(AND(BJ$2&gt;=$D32,BJ$2&lt;=$E32),1,"")))</f>
        <v/>
      </c>
      <c r="BK32" s="38">
        <f>IF(OR(BK$2="",$D32=""),"",IF(AND(ISNUMBER($F32),BK$2&gt;=$F32,BK$2&lt;=IF(ISNUMBER($G32),$G32,$F32+$E32-$D32)),2,IF(AND(BK$2&gt;=$D32,BK$2&lt;=$E32),1,"")))</f>
        <v/>
      </c>
      <c r="BL32" s="38">
        <f>IF(OR(BL$2="",$D32=""),"",IF(AND(ISNUMBER($F32),BL$2&gt;=$F32,BL$2&lt;=IF(ISNUMBER($G32),$G32,$F32+$E32-$D32)),2,IF(AND(BL$2&gt;=$D32,BL$2&lt;=$E32),1,"")))</f>
        <v/>
      </c>
      <c r="BM32" s="38">
        <f>IF(OR(BM$2="",$D32=""),"",IF(AND(ISNUMBER($F32),BM$2&gt;=$F32,BM$2&lt;=IF(ISNUMBER($G32),$G32,$F32+$E32-$D32)),2,IF(AND(BM$2&gt;=$D32,BM$2&lt;=$E32),1,"")))</f>
        <v/>
      </c>
      <c r="BN32" s="38">
        <f>IF(OR(BN$2="",$D32=""),"",IF(AND(ISNUMBER($F32),BN$2&gt;=$F32,BN$2&lt;=IF(ISNUMBER($G32),$G32,$F32+$E32-$D32)),2,IF(AND(BN$2&gt;=$D32,BN$2&lt;=$E32),1,"")))</f>
        <v/>
      </c>
      <c r="BO32" s="38">
        <f>IF(OR(BO$2="",$D32=""),"",IF(AND(ISNUMBER($F32),BO$2&gt;=$F32,BO$2&lt;=IF(ISNUMBER($G32),$G32,$F32+$E32-$D32)),2,IF(AND(BO$2&gt;=$D32,BO$2&lt;=$E32),1,"")))</f>
        <v/>
      </c>
      <c r="BP32" s="38">
        <f>IF(OR(BP$2="",$D32=""),"",IF(AND(ISNUMBER($F32),BP$2&gt;=$F32,BP$2&lt;=IF(ISNUMBER($G32),$G32,$F32+$E32-$D32)),2,IF(AND(BP$2&gt;=$D32,BP$2&lt;=$E32),1,"")))</f>
        <v/>
      </c>
      <c r="BQ32" s="38">
        <f>IF(OR(BQ$2="",$D32=""),"",IF(AND(ISNUMBER($F32),BQ$2&gt;=$F32,BQ$2&lt;=IF(ISNUMBER($G32),$G32,$F32+$E32-$D32)),2,IF(AND(BQ$2&gt;=$D32,BQ$2&lt;=$E32),1,"")))</f>
        <v/>
      </c>
      <c r="BR32" s="38">
        <f>IF(OR(BR$2="",$D32=""),"",IF(AND(ISNUMBER($F32),BR$2&gt;=$F32,BR$2&lt;=IF(ISNUMBER($G32),$G32,$F32+$E32-$D32)),2,IF(AND(BR$2&gt;=$D32,BR$2&lt;=$E32),1,"")))</f>
        <v/>
      </c>
      <c r="BS32" s="38">
        <f>IF(OR(BS$2="",$D32=""),"",IF(AND(ISNUMBER($F32),BS$2&gt;=$F32,BS$2&lt;=IF(ISNUMBER($G32),$G32,$F32+$E32-$D32)),2,IF(AND(BS$2&gt;=$D32,BS$2&lt;=$E32),1,"")))</f>
        <v/>
      </c>
      <c r="BT32" s="38">
        <f>IF(OR(BT$2="",$D32=""),"",IF(AND(ISNUMBER($F32),BT$2&gt;=$F32,BT$2&lt;=IF(ISNUMBER($G32),$G32,$F32+$E32-$D32)),2,IF(AND(BT$2&gt;=$D32,BT$2&lt;=$E32),1,"")))</f>
        <v/>
      </c>
      <c r="BU32" s="38">
        <f>IF(OR(BU$2="",$D32=""),"",IF(AND(ISNUMBER($F32),BU$2&gt;=$F32,BU$2&lt;=IF(ISNUMBER($G32),$G32,$F32+$E32-$D32)),2,IF(AND(BU$2&gt;=$D32,BU$2&lt;=$E32),1,"")))</f>
        <v/>
      </c>
      <c r="BV32" s="38">
        <f>IF(OR(BV$2="",$D32=""),"",IF(AND(ISNUMBER($F32),BV$2&gt;=$F32,BV$2&lt;=IF(ISNUMBER($G32),$G32,$F32+$E32-$D32)),2,IF(AND(BV$2&gt;=$D32,BV$2&lt;=$E32),1,"")))</f>
        <v/>
      </c>
      <c r="BW32" s="38">
        <f>IF(OR(BW$2="",$D32=""),"",IF(AND(ISNUMBER($F32),BW$2&gt;=$F32,BW$2&lt;=IF(ISNUMBER($G32),$G32,$F32+$E32-$D32)),2,IF(AND(BW$2&gt;=$D32,BW$2&lt;=$E32),1,"")))</f>
        <v/>
      </c>
      <c r="BX32" s="38">
        <f>IF(OR(BX$2="",$D32=""),"",IF(AND(ISNUMBER($F32),BX$2&gt;=$F32,BX$2&lt;=IF(ISNUMBER($G32),$G32,$F32+$E32-$D32)),2,IF(AND(BX$2&gt;=$D32,BX$2&lt;=$E32),1,"")))</f>
        <v/>
      </c>
      <c r="BY32" s="38">
        <f>IF(OR(BY$2="",$D32=""),"",IF(AND(ISNUMBER($F32),BY$2&gt;=$F32,BY$2&lt;=IF(ISNUMBER($G32),$G32,$F32+$E32-$D32)),2,IF(AND(BY$2&gt;=$D32,BY$2&lt;=$E32),1,"")))</f>
        <v/>
      </c>
      <c r="BZ32" s="38">
        <f>IF(OR(BZ$2="",$D32=""),"",IF(AND(ISNUMBER($F32),BZ$2&gt;=$F32,BZ$2&lt;=IF(ISNUMBER($G32),$G32,$F32+$E32-$D32)),2,IF(AND(BZ$2&gt;=$D32,BZ$2&lt;=$E32),1,"")))</f>
        <v/>
      </c>
      <c r="CA32" s="38">
        <f>IF(OR(CA$2="",$D32=""),"",IF(AND(ISNUMBER($F32),CA$2&gt;=$F32,CA$2&lt;=IF(ISNUMBER($G32),$G32,$F32+$E32-$D32)),2,IF(AND(CA$2&gt;=$D32,CA$2&lt;=$E32),1,"")))</f>
        <v/>
      </c>
      <c r="CB32" s="38">
        <f>IF(OR(CB$2="",$D32=""),"",IF(AND(ISNUMBER($F32),CB$2&gt;=$F32,CB$2&lt;=IF(ISNUMBER($G32),$G32,$F32+$E32-$D32)),2,IF(AND(CB$2&gt;=$D32,CB$2&lt;=$E32),1,"")))</f>
        <v/>
      </c>
      <c r="CC32" s="38">
        <f>IF(OR(CC$2="",$D32=""),"",IF(AND(ISNUMBER($F32),CC$2&gt;=$F32,CC$2&lt;=IF(ISNUMBER($G32),$G32,$F32+$E32-$D32)),2,IF(AND(CC$2&gt;=$D32,CC$2&lt;=$E32),1,"")))</f>
        <v/>
      </c>
      <c r="CD32" s="38">
        <f>IF(OR(CD$2="",$D32=""),"",IF(AND(ISNUMBER($F32),CD$2&gt;=$F32,CD$2&lt;=IF(ISNUMBER($G32),$G32,$F32+$E32-$D32)),2,IF(AND(CD$2&gt;=$D32,CD$2&lt;=$E32),1,"")))</f>
        <v/>
      </c>
      <c r="CE32" s="38">
        <f>IF(OR(CE$2="",$D32=""),"",IF(AND(ISNUMBER($F32),CE$2&gt;=$F32,CE$2&lt;=IF(ISNUMBER($G32),$G32,$F32+$E32-$D32)),2,IF(AND(CE$2&gt;=$D32,CE$2&lt;=$E32),1,"")))</f>
        <v/>
      </c>
      <c r="CF32" s="38">
        <f>IF(OR(CF$2="",$D32=""),"",IF(AND(ISNUMBER($F32),CF$2&gt;=$F32,CF$2&lt;=IF(ISNUMBER($G32),$G32,$F32+$E32-$D32)),2,IF(AND(CF$2&gt;=$D32,CF$2&lt;=$E32),1,"")))</f>
        <v/>
      </c>
      <c r="CG32" s="38">
        <f>IF(OR(CG$2="",$D32=""),"",IF(AND(ISNUMBER($F32),CG$2&gt;=$F32,CG$2&lt;=IF(ISNUMBER($G32),$G32,$F32+$E32-$D32)),2,IF(AND(CG$2&gt;=$D32,CG$2&lt;=$E32),1,"")))</f>
        <v/>
      </c>
      <c r="CH32" s="38">
        <f>IF(OR(CH$2="",$D32=""),"",IF(AND(ISNUMBER($F32),CH$2&gt;=$F32,CH$2&lt;=IF(ISNUMBER($G32),$G32,$F32+$E32-$D32)),2,IF(AND(CH$2&gt;=$D32,CH$2&lt;=$E32),1,"")))</f>
        <v/>
      </c>
      <c r="CI32" s="38">
        <f>IF(OR(CI$2="",$D32=""),"",IF(AND(ISNUMBER($F32),CI$2&gt;=$F32,CI$2&lt;=IF(ISNUMBER($G32),$G32,$F32+$E32-$D32)),2,IF(AND(CI$2&gt;=$D32,CI$2&lt;=$E32),1,"")))</f>
        <v/>
      </c>
      <c r="CJ32" s="38">
        <f>IF(OR(CJ$2="",$D32=""),"",IF(AND(ISNUMBER($F32),CJ$2&gt;=$F32,CJ$2&lt;=IF(ISNUMBER($G32),$G32,$F32+$E32-$D32)),2,IF(AND(CJ$2&gt;=$D32,CJ$2&lt;=$E32),1,"")))</f>
        <v/>
      </c>
      <c r="CK32" s="38">
        <f>IF(OR(CK$2="",$D32=""),"",IF(AND(ISNUMBER($F32),CK$2&gt;=$F32,CK$2&lt;=IF(ISNUMBER($G32),$G32,$F32+$E32-$D32)),2,IF(AND(CK$2&gt;=$D32,CK$2&lt;=$E32),1,"")))</f>
        <v/>
      </c>
      <c r="CL32" s="38">
        <f>IF(OR(CL$2="",$D32=""),"",IF(AND(ISNUMBER($F32),CL$2&gt;=$F32,CL$2&lt;=IF(ISNUMBER($G32),$G32,$F32+$E32-$D32)),2,IF(AND(CL$2&gt;=$D32,CL$2&lt;=$E32),1,"")))</f>
        <v/>
      </c>
      <c r="CM32" s="38">
        <f>IF(OR(CM$2="",$D32=""),"",IF(AND(ISNUMBER($F32),CM$2&gt;=$F32,CM$2&lt;=IF(ISNUMBER($G32),$G32,$F32+$E32-$D32)),2,IF(AND(CM$2&gt;=$D32,CM$2&lt;=$E32),1,"")))</f>
        <v/>
      </c>
      <c r="CN32" s="38">
        <f>IF(OR(CN$2="",$D32=""),"",IF(AND(ISNUMBER($F32),CN$2&gt;=$F32,CN$2&lt;=IF(ISNUMBER($G32),$G32,$F32+$E32-$D32)),2,IF(AND(CN$2&gt;=$D32,CN$2&lt;=$E32),1,"")))</f>
        <v/>
      </c>
      <c r="CO32" s="38">
        <f>IF(OR(CO$2="",$D32=""),"",IF(AND(ISNUMBER($F32),CO$2&gt;=$F32,CO$2&lt;=IF(ISNUMBER($G32),$G32,$F32+$E32-$D32)),2,IF(AND(CO$2&gt;=$D32,CO$2&lt;=$E32),1,"")))</f>
        <v/>
      </c>
      <c r="CP32" s="38">
        <f>IF(OR(CP$2="",$D32=""),"",IF(AND(ISNUMBER($F32),CP$2&gt;=$F32,CP$2&lt;=IF(ISNUMBER($G32),$G32,$F32+$E32-$D32)),2,IF(AND(CP$2&gt;=$D32,CP$2&lt;=$E32),1,"")))</f>
        <v/>
      </c>
      <c r="CQ32" s="38">
        <f>IF(OR(CQ$2="",$D32=""),"",IF(AND(ISNUMBER($F32),CQ$2&gt;=$F32,CQ$2&lt;=IF(ISNUMBER($G32),$G32,$F32+$E32-$D32)),2,IF(AND(CQ$2&gt;=$D32,CQ$2&lt;=$E32),1,"")))</f>
        <v/>
      </c>
      <c r="CR32" s="38">
        <f>IF(OR(CR$2="",$D32=""),"",IF(AND(ISNUMBER($F32),CR$2&gt;=$F32,CR$2&lt;=IF(ISNUMBER($G32),$G32,$F32+$E32-$D32)),2,IF(AND(CR$2&gt;=$D32,CR$2&lt;=$E32),1,"")))</f>
        <v/>
      </c>
      <c r="CS32" s="38">
        <f>IF(OR(CS$2="",$D32=""),"",IF(AND(ISNUMBER($F32),CS$2&gt;=$F32,CS$2&lt;=IF(ISNUMBER($G32),$G32,$F32+$E32-$D32)),2,IF(AND(CS$2&gt;=$D32,CS$2&lt;=$E32),1,"")))</f>
        <v/>
      </c>
      <c r="CT32" s="38">
        <f>IF(OR(CT$2="",$D32=""),"",IF(AND(ISNUMBER($F32),CT$2&gt;=$F32,CT$2&lt;=IF(ISNUMBER($G32),$G32,$F32+$E32-$D32)),2,IF(AND(CT$2&gt;=$D32,CT$2&lt;=$E32),1,"")))</f>
        <v/>
      </c>
      <c r="CU32" s="38">
        <f>IF(OR(CU$2="",$D32=""),"",IF(AND(ISNUMBER($F32),CU$2&gt;=$F32,CU$2&lt;=IF(ISNUMBER($G32),$G32,$F32+$E32-$D32)),2,IF(AND(CU$2&gt;=$D32,CU$2&lt;=$E32),1,"")))</f>
        <v/>
      </c>
      <c r="CV32" s="38">
        <f>IF(OR(CV$2="",$D32=""),"",IF(AND(ISNUMBER($F32),CV$2&gt;=$F32,CV$2&lt;=IF(ISNUMBER($G32),$G32,$F32+$E32-$D32)),2,IF(AND(CV$2&gt;=$D32,CV$2&lt;=$E32),1,"")))</f>
        <v/>
      </c>
      <c r="CW32" s="38">
        <f>IF(OR(CW$2="",$D32=""),"",IF(AND(ISNUMBER($F32),CW$2&gt;=$F32,CW$2&lt;=IF(ISNUMBER($G32),$G32,$F32+$E32-$D32)),2,IF(AND(CW$2&gt;=$D32,CW$2&lt;=$E32),1,"")))</f>
        <v/>
      </c>
      <c r="CX32" s="38">
        <f>IF(OR(CX$2="",$D32=""),"",IF(AND(ISNUMBER($F32),CX$2&gt;=$F32,CX$2&lt;=IF(ISNUMBER($G32),$G32,$F32+$E32-$D32)),2,IF(AND(CX$2&gt;=$D32,CX$2&lt;=$E32),1,"")))</f>
        <v/>
      </c>
      <c r="CY32" s="38">
        <f>IF(OR(CY$2="",$D32=""),"",IF(AND(ISNUMBER($F32),CY$2&gt;=$F32,CY$2&lt;=IF(ISNUMBER($G32),$G32,$F32+$E32-$D32)),2,IF(AND(CY$2&gt;=$D32,CY$2&lt;=$E32),1,"")))</f>
        <v/>
      </c>
      <c r="CZ32" s="38">
        <f>IF(OR(CZ$2="",$D32=""),"",IF(AND(ISNUMBER($F32),CZ$2&gt;=$F32,CZ$2&lt;=IF(ISNUMBER($G32),$G32,$F32+$E32-$D32)),2,IF(AND(CZ$2&gt;=$D32,CZ$2&lt;=$E32),1,"")))</f>
        <v/>
      </c>
      <c r="DA32" s="38">
        <f>IF(OR(DA$2="",$D32=""),"",IF(AND(ISNUMBER($F32),DA$2&gt;=$F32,DA$2&lt;=IF(ISNUMBER($G32),$G32,$F32+$E32-$D32)),2,IF(AND(DA$2&gt;=$D32,DA$2&lt;=$E32),1,"")))</f>
        <v/>
      </c>
      <c r="DB32" s="38">
        <f>IF(OR(DB$2="",$D32=""),"",IF(AND(ISNUMBER($F32),DB$2&gt;=$F32,DB$2&lt;=IF(ISNUMBER($G32),$G32,$F32+$E32-$D32)),2,IF(AND(DB$2&gt;=$D32,DB$2&lt;=$E32),1,"")))</f>
        <v/>
      </c>
      <c r="DC32" s="38">
        <f>IF(OR(DC$2="",$D32=""),"",IF(AND(ISNUMBER($F32),DC$2&gt;=$F32,DC$2&lt;=IF(ISNUMBER($G32),$G32,$F32+$E32-$D32)),2,IF(AND(DC$2&gt;=$D32,DC$2&lt;=$E32),1,"")))</f>
        <v/>
      </c>
      <c r="DD32" s="38">
        <f>IF(OR(DD$2="",$D32=""),"",IF(AND(ISNUMBER($F32),DD$2&gt;=$F32,DD$2&lt;=IF(ISNUMBER($G32),$G32,$F32+$E32-$D32)),2,IF(AND(DD$2&gt;=$D32,DD$2&lt;=$E32),1,"")))</f>
        <v/>
      </c>
      <c r="DE32" s="38">
        <f>IF(OR(DE$2="",$D32=""),"",IF(AND(ISNUMBER($F32),DE$2&gt;=$F32,DE$2&lt;=IF(ISNUMBER($G32),$G32,$F32+$E32-$D32)),2,IF(AND(DE$2&gt;=$D32,DE$2&lt;=$E32),1,"")))</f>
        <v/>
      </c>
      <c r="DF32" s="38">
        <f>IF(OR(DF$2="",$D32=""),"",IF(AND(ISNUMBER($F32),DF$2&gt;=$F32,DF$2&lt;=IF(ISNUMBER($G32),$G32,$F32+$E32-$D32)),2,IF(AND(DF$2&gt;=$D32,DF$2&lt;=$E32),1,"")))</f>
        <v/>
      </c>
      <c r="DG32" s="38">
        <f>IF(OR(DG$2="",$D32=""),"",IF(AND(ISNUMBER($F32),DG$2&gt;=$F32,DG$2&lt;=IF(ISNUMBER($G32),$G32,$F32+$E32-$D32)),2,IF(AND(DG$2&gt;=$D32,DG$2&lt;=$E32),1,"")))</f>
        <v/>
      </c>
      <c r="DH32" s="38">
        <f>IF(OR(DH$2="",$D32=""),"",IF(AND(ISNUMBER($F32),DH$2&gt;=$F32,DH$2&lt;=IF(ISNUMBER($G32),$G32,$F32+$E32-$D32)),2,IF(AND(DH$2&gt;=$D32,DH$2&lt;=$E32),1,"")))</f>
        <v/>
      </c>
      <c r="DI32" s="38">
        <f>IF(OR(DI$2="",$D32=""),"",IF(AND(ISNUMBER($F32),DI$2&gt;=$F32,DI$2&lt;=IF(ISNUMBER($G32),$G32,$F32+$E32-$D32)),2,IF(AND(DI$2&gt;=$D32,DI$2&lt;=$E32),1,"")))</f>
        <v/>
      </c>
      <c r="DJ32" s="38">
        <f>IF(OR(DJ$2="",$D32=""),"",IF(AND(ISNUMBER($F32),DJ$2&gt;=$F32,DJ$2&lt;=IF(ISNUMBER($G32),$G32,$F32+$E32-$D32)),2,IF(AND(DJ$2&gt;=$D32,DJ$2&lt;=$E32),1,"")))</f>
        <v/>
      </c>
      <c r="DK32" s="38">
        <f>IF(OR(DK$2="",$D32=""),"",IF(AND(ISNUMBER($F32),DK$2&gt;=$F32,DK$2&lt;=IF(ISNUMBER($G32),$G32,$F32+$E32-$D32)),2,IF(AND(DK$2&gt;=$D32,DK$2&lt;=$E32),1,"")))</f>
        <v/>
      </c>
      <c r="DL32" s="38">
        <f>IF(OR(DL$2="",$D32=""),"",IF(AND(ISNUMBER($F32),DL$2&gt;=$F32,DL$2&lt;=IF(ISNUMBER($G32),$G32,$F32+$E32-$D32)),2,IF(AND(DL$2&gt;=$D32,DL$2&lt;=$E32),1,"")))</f>
        <v/>
      </c>
      <c r="DM32" s="38">
        <f>IF(OR(DM$2="",$D32=""),"",IF(AND(ISNUMBER($F32),DM$2&gt;=$F32,DM$2&lt;=IF(ISNUMBER($G32),$G32,$F32+$E32-$D32)),2,IF(AND(DM$2&gt;=$D32,DM$2&lt;=$E32),1,"")))</f>
        <v/>
      </c>
      <c r="DN32" s="38">
        <f>IF(OR(DN$2="",$D32=""),"",IF(AND(ISNUMBER($F32),DN$2&gt;=$F32,DN$2&lt;=IF(ISNUMBER($G32),$G32,$F32+$E32-$D32)),2,IF(AND(DN$2&gt;=$D32,DN$2&lt;=$E32),1,"")))</f>
        <v/>
      </c>
      <c r="DO32" s="38">
        <f>IF(OR(DO$2="",$D32=""),"",IF(AND(ISNUMBER($F32),DO$2&gt;=$F32,DO$2&lt;=IF(ISNUMBER($G32),$G32,$F32+$E32-$D32)),2,IF(AND(DO$2&gt;=$D32,DO$2&lt;=$E32),1,"")))</f>
        <v/>
      </c>
      <c r="DP32" s="38">
        <f>IF(OR(DP$2="",$D32=""),"",IF(AND(ISNUMBER($F32),DP$2&gt;=$F32,DP$2&lt;=IF(ISNUMBER($G32),$G32,$F32+$E32-$D32)),2,IF(AND(DP$2&gt;=$D32,DP$2&lt;=$E32),1,"")))</f>
        <v/>
      </c>
      <c r="DQ32" s="38">
        <f>IF(OR(DQ$2="",$D32=""),"",IF(AND(ISNUMBER($F32),DQ$2&gt;=$F32,DQ$2&lt;=IF(ISNUMBER($G32),$G32,$F32+$E32-$D32)),2,IF(AND(DQ$2&gt;=$D32,DQ$2&lt;=$E32),1,"")))</f>
        <v/>
      </c>
      <c r="DR32" s="38">
        <f>IF(OR(DR$2="",$D32=""),"",IF(AND(ISNUMBER($F32),DR$2&gt;=$F32,DR$2&lt;=IF(ISNUMBER($G32),$G32,$F32+$E32-$D32)),2,IF(AND(DR$2&gt;=$D32,DR$2&lt;=$E32),1,"")))</f>
        <v/>
      </c>
      <c r="DS32" s="38">
        <f>IF(OR(DS$2="",$D32=""),"",IF(AND(ISNUMBER($F32),DS$2&gt;=$F32,DS$2&lt;=IF(ISNUMBER($G32),$G32,$F32+$E32-$D32)),2,IF(AND(DS$2&gt;=$D32,DS$2&lt;=$E32),1,"")))</f>
        <v/>
      </c>
      <c r="DT32" s="38">
        <f>IF(OR(DT$2="",$D32=""),"",IF(AND(ISNUMBER($F32),DT$2&gt;=$F32,DT$2&lt;=IF(ISNUMBER($G32),$G32,$F32+$E32-$D32)),2,IF(AND(DT$2&gt;=$D32,DT$2&lt;=$E32),1,"")))</f>
        <v/>
      </c>
      <c r="DU32" s="38">
        <f>IF(OR(DU$2="",$D32=""),"",IF(AND(ISNUMBER($F32),DU$2&gt;=$F32,DU$2&lt;=IF(ISNUMBER($G32),$G32,$F32+$E32-$D32)),2,IF(AND(DU$2&gt;=$D32,DU$2&lt;=$E32),1,"")))</f>
        <v/>
      </c>
      <c r="DV32" s="38">
        <f>IF(OR(DV$2="",$D32=""),"",IF(AND(ISNUMBER($F32),DV$2&gt;=$F32,DV$2&lt;=IF(ISNUMBER($G32),$G32,$F32+$E32-$D32)),2,IF(AND(DV$2&gt;=$D32,DV$2&lt;=$E32),1,"")))</f>
        <v/>
      </c>
      <c r="DW32" s="38">
        <f>IF(OR(DW$2="",$D32=""),"",IF(AND(ISNUMBER($F32),DW$2&gt;=$F32,DW$2&lt;=IF(ISNUMBER($G32),$G32,$F32+$E32-$D32)),2,IF(AND(DW$2&gt;=$D32,DW$2&lt;=$E32),1,"")))</f>
        <v/>
      </c>
      <c r="DX32" s="38">
        <f>IF(OR(DX$2="",$D32=""),"",IF(AND(ISNUMBER($F32),DX$2&gt;=$F32,DX$2&lt;=IF(ISNUMBER($G32),$G32,$F32+$E32-$D32)),2,IF(AND(DX$2&gt;=$D32,DX$2&lt;=$E32),1,"")))</f>
        <v/>
      </c>
      <c r="DY32" s="38">
        <f>IF(OR(DY$2="",$D32=""),"",IF(AND(ISNUMBER($F32),DY$2&gt;=$F32,DY$2&lt;=IF(ISNUMBER($G32),$G32,$F32+$E32-$D32)),2,IF(AND(DY$2&gt;=$D32,DY$2&lt;=$E32),1,"")))</f>
        <v/>
      </c>
      <c r="DZ32" s="38">
        <f>IF(OR(DZ$2="",$D32=""),"",IF(AND(ISNUMBER($F32),DZ$2&gt;=$F32,DZ$2&lt;=IF(ISNUMBER($G32),$G32,$F32+$E32-$D32)),2,IF(AND(DZ$2&gt;=$D32,DZ$2&lt;=$E32),1,"")))</f>
        <v/>
      </c>
      <c r="EA32" s="38">
        <f>IF(OR(EA$2="",$D32=""),"",IF(AND(ISNUMBER($F32),EA$2&gt;=$F32,EA$2&lt;=IF(ISNUMBER($G32),$G32,$F32+$E32-$D32)),2,IF(AND(EA$2&gt;=$D32,EA$2&lt;=$E32),1,"")))</f>
        <v/>
      </c>
      <c r="EB32" s="38">
        <f>IF(OR(EB$2="",$D32=""),"",IF(AND(ISNUMBER($F32),EB$2&gt;=$F32,EB$2&lt;=IF(ISNUMBER($G32),$G32,$F32+$E32-$D32)),2,IF(AND(EB$2&gt;=$D32,EB$2&lt;=$E32),1,"")))</f>
        <v/>
      </c>
      <c r="EC32" s="38">
        <f>IF(OR(EC$2="",$D32=""),"",IF(AND(ISNUMBER($F32),EC$2&gt;=$F32,EC$2&lt;=IF(ISNUMBER($G32),$G32,$F32+$E32-$D32)),2,IF(AND(EC$2&gt;=$D32,EC$2&lt;=$E32),1,"")))</f>
        <v/>
      </c>
      <c r="ED32" s="38">
        <f>IF(OR(ED$2="",$D32=""),"",IF(AND(ISNUMBER($F32),ED$2&gt;=$F32,ED$2&lt;=IF(ISNUMBER($G32),$G32,$F32+$E32-$D32)),2,IF(AND(ED$2&gt;=$D32,ED$2&lt;=$E32),1,"")))</f>
        <v/>
      </c>
      <c r="EE32" s="38">
        <f>IF(OR(EE$2="",$D32=""),"",IF(AND(ISNUMBER($F32),EE$2&gt;=$F32,EE$2&lt;=IF(ISNUMBER($G32),$G32,$F32+$E32-$D32)),2,IF(AND(EE$2&gt;=$D32,EE$2&lt;=$E32),1,"")))</f>
        <v/>
      </c>
      <c r="EF32" s="38">
        <f>IF(OR(EF$2="",$D32=""),"",IF(AND(ISNUMBER($F32),EF$2&gt;=$F32,EF$2&lt;=IF(ISNUMBER($G32),$G32,$F32+$E32-$D32)),2,IF(AND(EF$2&gt;=$D32,EF$2&lt;=$E32),1,"")))</f>
        <v/>
      </c>
      <c r="EG32" s="38">
        <f>IF(OR(EG$2="",$D32=""),"",IF(AND(ISNUMBER($F32),EG$2&gt;=$F32,EG$2&lt;=IF(ISNUMBER($G32),$G32,$F32+$E32-$D32)),2,IF(AND(EG$2&gt;=$D32,EG$2&lt;=$E32),1,"")))</f>
        <v/>
      </c>
      <c r="EH32" s="38">
        <f>IF(OR(EH$2="",$D32=""),"",IF(AND(ISNUMBER($F32),EH$2&gt;=$F32,EH$2&lt;=IF(ISNUMBER($G32),$G32,$F32+$E32-$D32)),2,IF(AND(EH$2&gt;=$D32,EH$2&lt;=$E32),1,"")))</f>
        <v/>
      </c>
      <c r="EI32" s="38">
        <f>IF(OR(EI$2="",$D32=""),"",IF(AND(ISNUMBER($F32),EI$2&gt;=$F32,EI$2&lt;=IF(ISNUMBER($G32),$G32,$F32+$E32-$D32)),2,IF(AND(EI$2&gt;=$D32,EI$2&lt;=$E32),1,"")))</f>
        <v/>
      </c>
      <c r="EJ32" s="38">
        <f>IF(OR(EJ$2="",$D32=""),"",IF(AND(ISNUMBER($F32),EJ$2&gt;=$F32,EJ$2&lt;=IF(ISNUMBER($G32),$G32,$F32+$E32-$D32)),2,IF(AND(EJ$2&gt;=$D32,EJ$2&lt;=$E32),1,"")))</f>
        <v/>
      </c>
      <c r="EK32" s="38">
        <f>IF(OR(EK$2="",$D32=""),"",IF(AND(ISNUMBER($F32),EK$2&gt;=$F32,EK$2&lt;=IF(ISNUMBER($G32),$G32,$F32+$E32-$D32)),2,IF(AND(EK$2&gt;=$D32,EK$2&lt;=$E32),1,"")))</f>
        <v/>
      </c>
      <c r="EL32" s="38">
        <f>IF(OR(EL$2="",$D32=""),"",IF(AND(ISNUMBER($F32),EL$2&gt;=$F32,EL$2&lt;=IF(ISNUMBER($G32),$G32,$F32+$E32-$D32)),2,IF(AND(EL$2&gt;=$D32,EL$2&lt;=$E32),1,"")))</f>
        <v/>
      </c>
      <c r="EM32" s="38">
        <f>IF(OR(EM$2="",$D32=""),"",IF(AND(ISNUMBER($F32),EM$2&gt;=$F32,EM$2&lt;=IF(ISNUMBER($G32),$G32,$F32+$E32-$D32)),2,IF(AND(EM$2&gt;=$D32,EM$2&lt;=$E32),1,"")))</f>
        <v/>
      </c>
      <c r="EN32" s="38">
        <f>IF(OR(EN$2="",$D32=""),"",IF(AND(ISNUMBER($F32),EN$2&gt;=$F32,EN$2&lt;=IF(ISNUMBER($G32),$G32,$F32+$E32-$D32)),2,IF(AND(EN$2&gt;=$D32,EN$2&lt;=$E32),1,"")))</f>
        <v/>
      </c>
      <c r="EO32" s="38">
        <f>IF(OR(EO$2="",$D32=""),"",IF(AND(ISNUMBER($F32),EO$2&gt;=$F32,EO$2&lt;=IF(ISNUMBER($G32),$G32,$F32+$E32-$D32)),2,IF(AND(EO$2&gt;=$D32,EO$2&lt;=$E32),1,"")))</f>
        <v/>
      </c>
      <c r="EP32" s="38">
        <f>IF(OR(EP$2="",$D32=""),"",IF(AND(ISNUMBER($F32),EP$2&gt;=$F32,EP$2&lt;=IF(ISNUMBER($G32),$G32,$F32+$E32-$D32)),2,IF(AND(EP$2&gt;=$D32,EP$2&lt;=$E32),1,"")))</f>
        <v/>
      </c>
      <c r="EQ32" s="38">
        <f>IF(OR(EQ$2="",$D32=""),"",IF(AND(ISNUMBER($F32),EQ$2&gt;=$F32,EQ$2&lt;=IF(ISNUMBER($G32),$G32,$F32+$E32-$D32)),2,IF(AND(EQ$2&gt;=$D32,EQ$2&lt;=$E32),1,"")))</f>
        <v/>
      </c>
      <c r="ER32" s="38">
        <f>IF(OR(ER$2="",$D32=""),"",IF(AND(ISNUMBER($F32),ER$2&gt;=$F32,ER$2&lt;=IF(ISNUMBER($G32),$G32,$F32+$E32-$D32)),2,IF(AND(ER$2&gt;=$D32,ER$2&lt;=$E32),1,"")))</f>
        <v/>
      </c>
      <c r="ES32" s="38">
        <f>IF(OR(ES$2="",$D32=""),"",IF(AND(ISNUMBER($F32),ES$2&gt;=$F32,ES$2&lt;=IF(ISNUMBER($G32),$G32,$F32+$E32-$D32)),2,IF(AND(ES$2&gt;=$D32,ES$2&lt;=$E32),1,"")))</f>
        <v/>
      </c>
      <c r="ET32" s="38">
        <f>IF(OR(ET$2="",$D32=""),"",IF(AND(ISNUMBER($F32),ET$2&gt;=$F32,ET$2&lt;=IF(ISNUMBER($G32),$G32,$F32+$E32-$D32)),2,IF(AND(ET$2&gt;=$D32,ET$2&lt;=$E32),1,"")))</f>
        <v/>
      </c>
      <c r="EU32" s="38">
        <f>IF(OR(EU$2="",$D32=""),"",IF(AND(ISNUMBER($F32),EU$2&gt;=$F32,EU$2&lt;=IF(ISNUMBER($G32),$G32,$F32+$E32-$D32)),2,IF(AND(EU$2&gt;=$D32,EU$2&lt;=$E32),1,"")))</f>
        <v/>
      </c>
      <c r="EV32" s="38">
        <f>IF(OR(EV$2="",$D32=""),"",IF(AND(ISNUMBER($F32),EV$2&gt;=$F32,EV$2&lt;=IF(ISNUMBER($G32),$G32,$F32+$E32-$D32)),2,IF(AND(EV$2&gt;=$D32,EV$2&lt;=$E32),1,"")))</f>
        <v/>
      </c>
      <c r="EW32" s="38">
        <f>IF(OR(EW$2="",$D32=""),"",IF(AND(ISNUMBER($F32),EW$2&gt;=$F32,EW$2&lt;=IF(ISNUMBER($G32),$G32,$F32+$E32-$D32)),2,IF(AND(EW$2&gt;=$D32,EW$2&lt;=$E32),1,"")))</f>
        <v/>
      </c>
      <c r="EX32" s="38">
        <f>IF(OR(EX$2="",$D32=""),"",IF(AND(ISNUMBER($F32),EX$2&gt;=$F32,EX$2&lt;=IF(ISNUMBER($G32),$G32,$F32+$E32-$D32)),2,IF(AND(EX$2&gt;=$D32,EX$2&lt;=$E32),1,"")))</f>
        <v/>
      </c>
      <c r="EY32" s="38">
        <f>IF(OR(EY$2="",$D32=""),"",IF(AND(ISNUMBER($F32),EY$2&gt;=$F32,EY$2&lt;=IF(ISNUMBER($G32),$G32,$F32+$E32-$D32)),2,IF(AND(EY$2&gt;=$D32,EY$2&lt;=$E32),1,"")))</f>
        <v/>
      </c>
      <c r="EZ32" s="38">
        <f>IF(OR(EZ$2="",$D32=""),"",IF(AND(ISNUMBER($F32),EZ$2&gt;=$F32,EZ$2&lt;=IF(ISNUMBER($G32),$G32,$F32+$E32-$D32)),2,IF(AND(EZ$2&gt;=$D32,EZ$2&lt;=$E32),1,"")))</f>
        <v/>
      </c>
      <c r="FA32" s="38">
        <f>IF(OR(FA$2="",$D32=""),"",IF(AND(ISNUMBER($F32),FA$2&gt;=$F32,FA$2&lt;=IF(ISNUMBER($G32),$G32,$F32+$E32-$D32)),2,IF(AND(FA$2&gt;=$D32,FA$2&lt;=$E32),1,"")))</f>
        <v/>
      </c>
      <c r="FB32" s="38">
        <f>IF(OR(FB$2="",$D32=""),"",IF(AND(ISNUMBER($F32),FB$2&gt;=$F32,FB$2&lt;=IF(ISNUMBER($G32),$G32,$F32+$E32-$D32)),2,IF(AND(FB$2&gt;=$D32,FB$2&lt;=$E32),1,"")))</f>
        <v/>
      </c>
      <c r="FC32" s="38">
        <f>IF(OR(FC$2="",$D32=""),"",IF(AND(ISNUMBER($F32),FC$2&gt;=$F32,FC$2&lt;=IF(ISNUMBER($G32),$G32,$F32+$E32-$D32)),2,IF(AND(FC$2&gt;=$D32,FC$2&lt;=$E32),1,"")))</f>
        <v/>
      </c>
      <c r="FD32" s="38">
        <f>IF(OR(FD$2="",$D32=""),"",IF(AND(ISNUMBER($F32),FD$2&gt;=$F32,FD$2&lt;=IF(ISNUMBER($G32),$G32,$F32+$E32-$D32)),2,IF(AND(FD$2&gt;=$D32,FD$2&lt;=$E32),1,"")))</f>
        <v/>
      </c>
      <c r="FE32" s="38">
        <f>IF(OR(FE$2="",$D32=""),"",IF(AND(ISNUMBER($F32),FE$2&gt;=$F32,FE$2&lt;=IF(ISNUMBER($G32),$G32,$F32+$E32-$D32)),2,IF(AND(FE$2&gt;=$D32,FE$2&lt;=$E32),1,"")))</f>
        <v/>
      </c>
      <c r="FF32" s="38">
        <f>IF(OR(FF$2="",$D32=""),"",IF(AND(ISNUMBER($F32),FF$2&gt;=$F32,FF$2&lt;=IF(ISNUMBER($G32),$G32,$F32+$E32-$D32)),2,IF(AND(FF$2&gt;=$D32,FF$2&lt;=$E32),1,"")))</f>
        <v/>
      </c>
      <c r="FG32" s="38">
        <f>IF(OR(FG$2="",$D32=""),"",IF(AND(ISNUMBER($F32),FG$2&gt;=$F32,FG$2&lt;=IF(ISNUMBER($G32),$G32,$F32+$E32-$D32)),2,IF(AND(FG$2&gt;=$D32,FG$2&lt;=$E32),1,"")))</f>
        <v/>
      </c>
      <c r="FH32" s="38">
        <f>IF(OR(FH$2="",$D32=""),"",IF(AND(ISNUMBER($F32),FH$2&gt;=$F32,FH$2&lt;=IF(ISNUMBER($G32),$G32,$F32+$E32-$D32)),2,IF(AND(FH$2&gt;=$D32,FH$2&lt;=$E32),1,"")))</f>
        <v/>
      </c>
      <c r="FI32" s="38">
        <f>IF(OR(FI$2="",$D32=""),"",IF(AND(ISNUMBER($F32),FI$2&gt;=$F32,FI$2&lt;=IF(ISNUMBER($G32),$G32,$F32+$E32-$D32)),2,IF(AND(FI$2&gt;=$D32,FI$2&lt;=$E32),1,"")))</f>
        <v/>
      </c>
      <c r="FJ32" s="38">
        <f>IF(OR(FJ$2="",$D32=""),"",IF(AND(ISNUMBER($F32),FJ$2&gt;=$F32,FJ$2&lt;=IF(ISNUMBER($G32),$G32,$F32+$E32-$D32)),2,IF(AND(FJ$2&gt;=$D32,FJ$2&lt;=$E32),1,"")))</f>
        <v/>
      </c>
      <c r="FK32" s="38">
        <f>IF(OR(FK$2="",$D32=""),"",IF(AND(ISNUMBER($F32),FK$2&gt;=$F32,FK$2&lt;=IF(ISNUMBER($G32),$G32,$F32+$E32-$D32)),2,IF(AND(FK$2&gt;=$D32,FK$2&lt;=$E32),1,"")))</f>
        <v/>
      </c>
      <c r="FL32" s="38">
        <f>IF(OR(FL$2="",$D32=""),"",IF(AND(ISNUMBER($F32),FL$2&gt;=$F32,FL$2&lt;=IF(ISNUMBER($G32),$G32,$F32+$E32-$D32)),2,IF(AND(FL$2&gt;=$D32,FL$2&lt;=$E32),1,"")))</f>
        <v/>
      </c>
      <c r="FM32" s="38">
        <f>IF(OR(FM$2="",$D32=""),"",IF(AND(ISNUMBER($F32),FM$2&gt;=$F32,FM$2&lt;=IF(ISNUMBER($G32),$G32,$F32+$E32-$D32)),2,IF(AND(FM$2&gt;=$D32,FM$2&lt;=$E32),1,"")))</f>
        <v/>
      </c>
      <c r="FN32" s="38">
        <f>IF(OR(FN$2="",$D32=""),"",IF(AND(ISNUMBER($F32),FN$2&gt;=$F32,FN$2&lt;=IF(ISNUMBER($G32),$G32,$F32+$E32-$D32)),2,IF(AND(FN$2&gt;=$D32,FN$2&lt;=$E32),1,"")))</f>
        <v/>
      </c>
      <c r="FO32" s="38">
        <f>IF(OR(FO$2="",$D32=""),"",IF(AND(ISNUMBER($F32),FO$2&gt;=$F32,FO$2&lt;=IF(ISNUMBER($G32),$G32,$F32+$E32-$D32)),2,IF(AND(FO$2&gt;=$D32,FO$2&lt;=$E32),1,"")))</f>
        <v/>
      </c>
      <c r="FP32" s="38">
        <f>IF(OR(FP$2="",$D32=""),"",IF(AND(ISNUMBER($F32),FP$2&gt;=$F32,FP$2&lt;=IF(ISNUMBER($G32),$G32,$F32+$E32-$D32)),2,IF(AND(FP$2&gt;=$D32,FP$2&lt;=$E32),1,"")))</f>
        <v/>
      </c>
      <c r="FQ32" s="38">
        <f>IF(OR(FQ$2="",$D32=""),"",IF(AND(ISNUMBER($F32),FQ$2&gt;=$F32,FQ$2&lt;=IF(ISNUMBER($G32),$G32,$F32+$E32-$D32)),2,IF(AND(FQ$2&gt;=$D32,FQ$2&lt;=$E32),1,"")))</f>
        <v/>
      </c>
      <c r="FR32" s="38">
        <f>IF(OR(FR$2="",$D32=""),"",IF(AND(ISNUMBER($F32),FR$2&gt;=$F32,FR$2&lt;=IF(ISNUMBER($G32),$G32,$F32+$E32-$D32)),2,IF(AND(FR$2&gt;=$D32,FR$2&lt;=$E32),1,"")))</f>
        <v/>
      </c>
      <c r="FS32" s="38">
        <f>IF(OR(FS$2="",$D32=""),"",IF(AND(ISNUMBER($F32),FS$2&gt;=$F32,FS$2&lt;=IF(ISNUMBER($G32),$G32,$F32+$E32-$D32)),2,IF(AND(FS$2&gt;=$D32,FS$2&lt;=$E32),1,"")))</f>
        <v/>
      </c>
      <c r="FT32" s="38">
        <f>IF(OR(FT$2="",$D32=""),"",IF(AND(ISNUMBER($F32),FT$2&gt;=$F32,FT$2&lt;=IF(ISNUMBER($G32),$G32,$F32+$E32-$D32)),2,IF(AND(FT$2&gt;=$D32,FT$2&lt;=$E32),1,"")))</f>
        <v/>
      </c>
      <c r="FU32" s="38">
        <f>IF(OR(FU$2="",$D32=""),"",IF(AND(ISNUMBER($F32),FU$2&gt;=$F32,FU$2&lt;=IF(ISNUMBER($G32),$G32,$F32+$E32-$D32)),2,IF(AND(FU$2&gt;=$D32,FU$2&lt;=$E32),1,"")))</f>
        <v/>
      </c>
      <c r="FV32" s="38">
        <f>IF(OR(FV$2="",$D32=""),"",IF(AND(ISNUMBER($F32),FV$2&gt;=$F32,FV$2&lt;=IF(ISNUMBER($G32),$G32,$F32+$E32-$D32)),2,IF(AND(FV$2&gt;=$D32,FV$2&lt;=$E32),1,"")))</f>
        <v/>
      </c>
      <c r="FW32" s="38">
        <f>IF(OR(FW$2="",$D32=""),"",IF(AND(ISNUMBER($F32),FW$2&gt;=$F32,FW$2&lt;=IF(ISNUMBER($G32),$G32,$F32+$E32-$D32)),2,IF(AND(FW$2&gt;=$D32,FW$2&lt;=$E32),1,"")))</f>
        <v/>
      </c>
      <c r="FX32" s="38">
        <f>IF(OR(FX$2="",$D32=""),"",IF(AND(ISNUMBER($F32),FX$2&gt;=$F32,FX$2&lt;=IF(ISNUMBER($G32),$G32,$F32+$E32-$D32)),2,IF(AND(FX$2&gt;=$D32,FX$2&lt;=$E32),1,"")))</f>
        <v/>
      </c>
      <c r="FY32" s="38">
        <f>IF(OR(FY$2="",$D32=""),"",IF(AND(ISNUMBER($F32),FY$2&gt;=$F32,FY$2&lt;=IF(ISNUMBER($G32),$G32,$F32+$E32-$D32)),2,IF(AND(FY$2&gt;=$D32,FY$2&lt;=$E32),1,"")))</f>
        <v/>
      </c>
      <c r="FZ32" s="38">
        <f>IF(OR(FZ$2="",$D32=""),"",IF(AND(ISNUMBER($F32),FZ$2&gt;=$F32,FZ$2&lt;=IF(ISNUMBER($G32),$G32,$F32+$E32-$D32)),2,IF(AND(FZ$2&gt;=$D32,FZ$2&lt;=$E32),1,"")))</f>
        <v/>
      </c>
      <c r="GA32" s="38">
        <f>IF(OR(GA$2="",$D32=""),"",IF(AND(ISNUMBER($F32),GA$2&gt;=$F32,GA$2&lt;=IF(ISNUMBER($G32),$G32,$F32+$E32-$D32)),2,IF(AND(GA$2&gt;=$D32,GA$2&lt;=$E32),1,"")))</f>
        <v/>
      </c>
      <c r="GB32" s="38">
        <f>IF(OR(GB$2="",$D32=""),"",IF(AND(ISNUMBER($F32),GB$2&gt;=$F32,GB$2&lt;=IF(ISNUMBER($G32),$G32,$F32+$E32-$D32)),2,IF(AND(GB$2&gt;=$D32,GB$2&lt;=$E32),1,"")))</f>
        <v/>
      </c>
      <c r="GC32" s="38">
        <f>IF(OR(GC$2="",$D32=""),"",IF(AND(ISNUMBER($F32),GC$2&gt;=$F32,GC$2&lt;=IF(ISNUMBER($G32),$G32,$F32+$E32-$D32)),2,IF(AND(GC$2&gt;=$D32,GC$2&lt;=$E32),1,"")))</f>
        <v/>
      </c>
      <c r="GD32" s="38">
        <f>IF(OR(GD$2="",$D32=""),"",IF(AND(ISNUMBER($F32),GD$2&gt;=$F32,GD$2&lt;=IF(ISNUMBER($G32),$G32,$F32+$E32-$D32)),2,IF(AND(GD$2&gt;=$D32,GD$2&lt;=$E32),1,"")))</f>
        <v/>
      </c>
      <c r="GE32" s="38">
        <f>IF(OR(GE$2="",$D32=""),"",IF(AND(ISNUMBER($F32),GE$2&gt;=$F32,GE$2&lt;=IF(ISNUMBER($G32),$G32,$F32+$E32-$D32)),2,IF(AND(GE$2&gt;=$D32,GE$2&lt;=$E32),1,"")))</f>
        <v/>
      </c>
    </row>
    <row r="33">
      <c r="A33" s="36" t="inlineStr">
        <is>
          <t>Last irrigation for Pitan</t>
        </is>
      </c>
      <c r="B33" s="12" t="inlineStr">
        <is>
          <t>পিটানের আগে শেষ সেচ</t>
        </is>
      </c>
      <c r="C33" s="12" t="inlineStr">
        <is>
          <t>FP</t>
        </is>
      </c>
      <c r="D33" s="7">
        <f>IF(D10="","",D10)</f>
        <v/>
      </c>
      <c r="E33" s="7">
        <f>IF(D33="","",D33)</f>
        <v/>
      </c>
      <c r="F33" s="37" t="n"/>
      <c r="G33" s="7" t="n"/>
      <c r="H33" s="6">
        <f>IF(D33="","no plan",IF(F33&lt;&gt;"",IF(F33-D33&gt;=2,"LATE","OK"),IF(TODAY()&gt;D33+2,"OVERDUE","upcoming")))</f>
        <v/>
      </c>
      <c r="I33" s="6">
        <f>IF(AND(D33&lt;&gt;"",F33&lt;&gt;""),F33-D33,"")</f>
        <v/>
      </c>
      <c r="J33" s="7">
        <f>IF(F33&lt;&gt;"",F33,D33)</f>
        <v/>
      </c>
      <c r="K33" s="7">
        <f>IF(G33&lt;&gt;"",G33,IF(AND(F33&lt;&gt;"",E33=D33),F33,E33))</f>
        <v/>
      </c>
      <c r="L33" s="6">
        <f>IF(AND(D33&lt;&gt;"",F33="",D33&gt;=TODAY()),D33+ROW()/1000,"")</f>
        <v/>
      </c>
      <c r="M33" s="38">
        <f>IF(OR(M$2="",$D33=""),"",IF(AND(ISNUMBER($F33),M$2&gt;=$F33,M$2&lt;=IF(ISNUMBER($G33),$G33,$F33+$E33-$D33)),2,IF(AND(M$2&gt;=$D33,M$2&lt;=$E33),1,"")))</f>
        <v/>
      </c>
      <c r="N33" s="38">
        <f>IF(OR(N$2="",$D33=""),"",IF(AND(ISNUMBER($F33),N$2&gt;=$F33,N$2&lt;=IF(ISNUMBER($G33),$G33,$F33+$E33-$D33)),2,IF(AND(N$2&gt;=$D33,N$2&lt;=$E33),1,"")))</f>
        <v/>
      </c>
      <c r="O33" s="38">
        <f>IF(OR(O$2="",$D33=""),"",IF(AND(ISNUMBER($F33),O$2&gt;=$F33,O$2&lt;=IF(ISNUMBER($G33),$G33,$F33+$E33-$D33)),2,IF(AND(O$2&gt;=$D33,O$2&lt;=$E33),1,"")))</f>
        <v/>
      </c>
      <c r="P33" s="38">
        <f>IF(OR(P$2="",$D33=""),"",IF(AND(ISNUMBER($F33),P$2&gt;=$F33,P$2&lt;=IF(ISNUMBER($G33),$G33,$F33+$E33-$D33)),2,IF(AND(P$2&gt;=$D33,P$2&lt;=$E33),1,"")))</f>
        <v/>
      </c>
      <c r="Q33" s="38">
        <f>IF(OR(Q$2="",$D33=""),"",IF(AND(ISNUMBER($F33),Q$2&gt;=$F33,Q$2&lt;=IF(ISNUMBER($G33),$G33,$F33+$E33-$D33)),2,IF(AND(Q$2&gt;=$D33,Q$2&lt;=$E33),1,"")))</f>
        <v/>
      </c>
      <c r="R33" s="38">
        <f>IF(OR(R$2="",$D33=""),"",IF(AND(ISNUMBER($F33),R$2&gt;=$F33,R$2&lt;=IF(ISNUMBER($G33),$G33,$F33+$E33-$D33)),2,IF(AND(R$2&gt;=$D33,R$2&lt;=$E33),1,"")))</f>
        <v/>
      </c>
      <c r="S33" s="38">
        <f>IF(OR(S$2="",$D33=""),"",IF(AND(ISNUMBER($F33),S$2&gt;=$F33,S$2&lt;=IF(ISNUMBER($G33),$G33,$F33+$E33-$D33)),2,IF(AND(S$2&gt;=$D33,S$2&lt;=$E33),1,"")))</f>
        <v/>
      </c>
      <c r="T33" s="38">
        <f>IF(OR(T$2="",$D33=""),"",IF(AND(ISNUMBER($F33),T$2&gt;=$F33,T$2&lt;=IF(ISNUMBER($G33),$G33,$F33+$E33-$D33)),2,IF(AND(T$2&gt;=$D33,T$2&lt;=$E33),1,"")))</f>
        <v/>
      </c>
      <c r="U33" s="38">
        <f>IF(OR(U$2="",$D33=""),"",IF(AND(ISNUMBER($F33),U$2&gt;=$F33,U$2&lt;=IF(ISNUMBER($G33),$G33,$F33+$E33-$D33)),2,IF(AND(U$2&gt;=$D33,U$2&lt;=$E33),1,"")))</f>
        <v/>
      </c>
      <c r="V33" s="38">
        <f>IF(OR(V$2="",$D33=""),"",IF(AND(ISNUMBER($F33),V$2&gt;=$F33,V$2&lt;=IF(ISNUMBER($G33),$G33,$F33+$E33-$D33)),2,IF(AND(V$2&gt;=$D33,V$2&lt;=$E33),1,"")))</f>
        <v/>
      </c>
      <c r="W33" s="38">
        <f>IF(OR(W$2="",$D33=""),"",IF(AND(ISNUMBER($F33),W$2&gt;=$F33,W$2&lt;=IF(ISNUMBER($G33),$G33,$F33+$E33-$D33)),2,IF(AND(W$2&gt;=$D33,W$2&lt;=$E33),1,"")))</f>
        <v/>
      </c>
      <c r="X33" s="38">
        <f>IF(OR(X$2="",$D33=""),"",IF(AND(ISNUMBER($F33),X$2&gt;=$F33,X$2&lt;=IF(ISNUMBER($G33),$G33,$F33+$E33-$D33)),2,IF(AND(X$2&gt;=$D33,X$2&lt;=$E33),1,"")))</f>
        <v/>
      </c>
      <c r="Y33" s="38">
        <f>IF(OR(Y$2="",$D33=""),"",IF(AND(ISNUMBER($F33),Y$2&gt;=$F33,Y$2&lt;=IF(ISNUMBER($G33),$G33,$F33+$E33-$D33)),2,IF(AND(Y$2&gt;=$D33,Y$2&lt;=$E33),1,"")))</f>
        <v/>
      </c>
      <c r="Z33" s="38">
        <f>IF(OR(Z$2="",$D33=""),"",IF(AND(ISNUMBER($F33),Z$2&gt;=$F33,Z$2&lt;=IF(ISNUMBER($G33),$G33,$F33+$E33-$D33)),2,IF(AND(Z$2&gt;=$D33,Z$2&lt;=$E33),1,"")))</f>
        <v/>
      </c>
      <c r="AA33" s="38">
        <f>IF(OR(AA$2="",$D33=""),"",IF(AND(ISNUMBER($F33),AA$2&gt;=$F33,AA$2&lt;=IF(ISNUMBER($G33),$G33,$F33+$E33-$D33)),2,IF(AND(AA$2&gt;=$D33,AA$2&lt;=$E33),1,"")))</f>
        <v/>
      </c>
      <c r="AB33" s="38">
        <f>IF(OR(AB$2="",$D33=""),"",IF(AND(ISNUMBER($F33),AB$2&gt;=$F33,AB$2&lt;=IF(ISNUMBER($G33),$G33,$F33+$E33-$D33)),2,IF(AND(AB$2&gt;=$D33,AB$2&lt;=$E33),1,"")))</f>
        <v/>
      </c>
      <c r="AC33" s="38">
        <f>IF(OR(AC$2="",$D33=""),"",IF(AND(ISNUMBER($F33),AC$2&gt;=$F33,AC$2&lt;=IF(ISNUMBER($G33),$G33,$F33+$E33-$D33)),2,IF(AND(AC$2&gt;=$D33,AC$2&lt;=$E33),1,"")))</f>
        <v/>
      </c>
      <c r="AD33" s="38">
        <f>IF(OR(AD$2="",$D33=""),"",IF(AND(ISNUMBER($F33),AD$2&gt;=$F33,AD$2&lt;=IF(ISNUMBER($G33),$G33,$F33+$E33-$D33)),2,IF(AND(AD$2&gt;=$D33,AD$2&lt;=$E33),1,"")))</f>
        <v/>
      </c>
      <c r="AE33" s="38">
        <f>IF(OR(AE$2="",$D33=""),"",IF(AND(ISNUMBER($F33),AE$2&gt;=$F33,AE$2&lt;=IF(ISNUMBER($G33),$G33,$F33+$E33-$D33)),2,IF(AND(AE$2&gt;=$D33,AE$2&lt;=$E33),1,"")))</f>
        <v/>
      </c>
      <c r="AF33" s="38">
        <f>IF(OR(AF$2="",$D33=""),"",IF(AND(ISNUMBER($F33),AF$2&gt;=$F33,AF$2&lt;=IF(ISNUMBER($G33),$G33,$F33+$E33-$D33)),2,IF(AND(AF$2&gt;=$D33,AF$2&lt;=$E33),1,"")))</f>
        <v/>
      </c>
      <c r="AG33" s="38">
        <f>IF(OR(AG$2="",$D33=""),"",IF(AND(ISNUMBER($F33),AG$2&gt;=$F33,AG$2&lt;=IF(ISNUMBER($G33),$G33,$F33+$E33-$D33)),2,IF(AND(AG$2&gt;=$D33,AG$2&lt;=$E33),1,"")))</f>
        <v/>
      </c>
      <c r="AH33" s="38">
        <f>IF(OR(AH$2="",$D33=""),"",IF(AND(ISNUMBER($F33),AH$2&gt;=$F33,AH$2&lt;=IF(ISNUMBER($G33),$G33,$F33+$E33-$D33)),2,IF(AND(AH$2&gt;=$D33,AH$2&lt;=$E33),1,"")))</f>
        <v/>
      </c>
      <c r="AI33" s="38">
        <f>IF(OR(AI$2="",$D33=""),"",IF(AND(ISNUMBER($F33),AI$2&gt;=$F33,AI$2&lt;=IF(ISNUMBER($G33),$G33,$F33+$E33-$D33)),2,IF(AND(AI$2&gt;=$D33,AI$2&lt;=$E33),1,"")))</f>
        <v/>
      </c>
      <c r="AJ33" s="38">
        <f>IF(OR(AJ$2="",$D33=""),"",IF(AND(ISNUMBER($F33),AJ$2&gt;=$F33,AJ$2&lt;=IF(ISNUMBER($G33),$G33,$F33+$E33-$D33)),2,IF(AND(AJ$2&gt;=$D33,AJ$2&lt;=$E33),1,"")))</f>
        <v/>
      </c>
      <c r="AK33" s="38">
        <f>IF(OR(AK$2="",$D33=""),"",IF(AND(ISNUMBER($F33),AK$2&gt;=$F33,AK$2&lt;=IF(ISNUMBER($G33),$G33,$F33+$E33-$D33)),2,IF(AND(AK$2&gt;=$D33,AK$2&lt;=$E33),1,"")))</f>
        <v/>
      </c>
      <c r="AL33" s="38">
        <f>IF(OR(AL$2="",$D33=""),"",IF(AND(ISNUMBER($F33),AL$2&gt;=$F33,AL$2&lt;=IF(ISNUMBER($G33),$G33,$F33+$E33-$D33)),2,IF(AND(AL$2&gt;=$D33,AL$2&lt;=$E33),1,"")))</f>
        <v/>
      </c>
      <c r="AM33" s="38">
        <f>IF(OR(AM$2="",$D33=""),"",IF(AND(ISNUMBER($F33),AM$2&gt;=$F33,AM$2&lt;=IF(ISNUMBER($G33),$G33,$F33+$E33-$D33)),2,IF(AND(AM$2&gt;=$D33,AM$2&lt;=$E33),1,"")))</f>
        <v/>
      </c>
      <c r="AN33" s="38">
        <f>IF(OR(AN$2="",$D33=""),"",IF(AND(ISNUMBER($F33),AN$2&gt;=$F33,AN$2&lt;=IF(ISNUMBER($G33),$G33,$F33+$E33-$D33)),2,IF(AND(AN$2&gt;=$D33,AN$2&lt;=$E33),1,"")))</f>
        <v/>
      </c>
      <c r="AO33" s="38">
        <f>IF(OR(AO$2="",$D33=""),"",IF(AND(ISNUMBER($F33),AO$2&gt;=$F33,AO$2&lt;=IF(ISNUMBER($G33),$G33,$F33+$E33-$D33)),2,IF(AND(AO$2&gt;=$D33,AO$2&lt;=$E33),1,"")))</f>
        <v/>
      </c>
      <c r="AP33" s="38">
        <f>IF(OR(AP$2="",$D33=""),"",IF(AND(ISNUMBER($F33),AP$2&gt;=$F33,AP$2&lt;=IF(ISNUMBER($G33),$G33,$F33+$E33-$D33)),2,IF(AND(AP$2&gt;=$D33,AP$2&lt;=$E33),1,"")))</f>
        <v/>
      </c>
      <c r="AQ33" s="38">
        <f>IF(OR(AQ$2="",$D33=""),"",IF(AND(ISNUMBER($F33),AQ$2&gt;=$F33,AQ$2&lt;=IF(ISNUMBER($G33),$G33,$F33+$E33-$D33)),2,IF(AND(AQ$2&gt;=$D33,AQ$2&lt;=$E33),1,"")))</f>
        <v/>
      </c>
      <c r="AR33" s="38">
        <f>IF(OR(AR$2="",$D33=""),"",IF(AND(ISNUMBER($F33),AR$2&gt;=$F33,AR$2&lt;=IF(ISNUMBER($G33),$G33,$F33+$E33-$D33)),2,IF(AND(AR$2&gt;=$D33,AR$2&lt;=$E33),1,"")))</f>
        <v/>
      </c>
      <c r="AS33" s="38">
        <f>IF(OR(AS$2="",$D33=""),"",IF(AND(ISNUMBER($F33),AS$2&gt;=$F33,AS$2&lt;=IF(ISNUMBER($G33),$G33,$F33+$E33-$D33)),2,IF(AND(AS$2&gt;=$D33,AS$2&lt;=$E33),1,"")))</f>
        <v/>
      </c>
      <c r="AT33" s="38">
        <f>IF(OR(AT$2="",$D33=""),"",IF(AND(ISNUMBER($F33),AT$2&gt;=$F33,AT$2&lt;=IF(ISNUMBER($G33),$G33,$F33+$E33-$D33)),2,IF(AND(AT$2&gt;=$D33,AT$2&lt;=$E33),1,"")))</f>
        <v/>
      </c>
      <c r="AU33" s="38">
        <f>IF(OR(AU$2="",$D33=""),"",IF(AND(ISNUMBER($F33),AU$2&gt;=$F33,AU$2&lt;=IF(ISNUMBER($G33),$G33,$F33+$E33-$D33)),2,IF(AND(AU$2&gt;=$D33,AU$2&lt;=$E33),1,"")))</f>
        <v/>
      </c>
      <c r="AV33" s="38">
        <f>IF(OR(AV$2="",$D33=""),"",IF(AND(ISNUMBER($F33),AV$2&gt;=$F33,AV$2&lt;=IF(ISNUMBER($G33),$G33,$F33+$E33-$D33)),2,IF(AND(AV$2&gt;=$D33,AV$2&lt;=$E33),1,"")))</f>
        <v/>
      </c>
      <c r="AW33" s="38">
        <f>IF(OR(AW$2="",$D33=""),"",IF(AND(ISNUMBER($F33),AW$2&gt;=$F33,AW$2&lt;=IF(ISNUMBER($G33),$G33,$F33+$E33-$D33)),2,IF(AND(AW$2&gt;=$D33,AW$2&lt;=$E33),1,"")))</f>
        <v/>
      </c>
      <c r="AX33" s="38">
        <f>IF(OR(AX$2="",$D33=""),"",IF(AND(ISNUMBER($F33),AX$2&gt;=$F33,AX$2&lt;=IF(ISNUMBER($G33),$G33,$F33+$E33-$D33)),2,IF(AND(AX$2&gt;=$D33,AX$2&lt;=$E33),1,"")))</f>
        <v/>
      </c>
      <c r="AY33" s="38">
        <f>IF(OR(AY$2="",$D33=""),"",IF(AND(ISNUMBER($F33),AY$2&gt;=$F33,AY$2&lt;=IF(ISNUMBER($G33),$G33,$F33+$E33-$D33)),2,IF(AND(AY$2&gt;=$D33,AY$2&lt;=$E33),1,"")))</f>
        <v/>
      </c>
      <c r="AZ33" s="38">
        <f>IF(OR(AZ$2="",$D33=""),"",IF(AND(ISNUMBER($F33),AZ$2&gt;=$F33,AZ$2&lt;=IF(ISNUMBER($G33),$G33,$F33+$E33-$D33)),2,IF(AND(AZ$2&gt;=$D33,AZ$2&lt;=$E33),1,"")))</f>
        <v/>
      </c>
      <c r="BA33" s="38">
        <f>IF(OR(BA$2="",$D33=""),"",IF(AND(ISNUMBER($F33),BA$2&gt;=$F33,BA$2&lt;=IF(ISNUMBER($G33),$G33,$F33+$E33-$D33)),2,IF(AND(BA$2&gt;=$D33,BA$2&lt;=$E33),1,"")))</f>
        <v/>
      </c>
      <c r="BB33" s="38">
        <f>IF(OR(BB$2="",$D33=""),"",IF(AND(ISNUMBER($F33),BB$2&gt;=$F33,BB$2&lt;=IF(ISNUMBER($G33),$G33,$F33+$E33-$D33)),2,IF(AND(BB$2&gt;=$D33,BB$2&lt;=$E33),1,"")))</f>
        <v/>
      </c>
      <c r="BC33" s="38">
        <f>IF(OR(BC$2="",$D33=""),"",IF(AND(ISNUMBER($F33),BC$2&gt;=$F33,BC$2&lt;=IF(ISNUMBER($G33),$G33,$F33+$E33-$D33)),2,IF(AND(BC$2&gt;=$D33,BC$2&lt;=$E33),1,"")))</f>
        <v/>
      </c>
      <c r="BD33" s="38">
        <f>IF(OR(BD$2="",$D33=""),"",IF(AND(ISNUMBER($F33),BD$2&gt;=$F33,BD$2&lt;=IF(ISNUMBER($G33),$G33,$F33+$E33-$D33)),2,IF(AND(BD$2&gt;=$D33,BD$2&lt;=$E33),1,"")))</f>
        <v/>
      </c>
      <c r="BE33" s="38">
        <f>IF(OR(BE$2="",$D33=""),"",IF(AND(ISNUMBER($F33),BE$2&gt;=$F33,BE$2&lt;=IF(ISNUMBER($G33),$G33,$F33+$E33-$D33)),2,IF(AND(BE$2&gt;=$D33,BE$2&lt;=$E33),1,"")))</f>
        <v/>
      </c>
      <c r="BF33" s="38">
        <f>IF(OR(BF$2="",$D33=""),"",IF(AND(ISNUMBER($F33),BF$2&gt;=$F33,BF$2&lt;=IF(ISNUMBER($G33),$G33,$F33+$E33-$D33)),2,IF(AND(BF$2&gt;=$D33,BF$2&lt;=$E33),1,"")))</f>
        <v/>
      </c>
      <c r="BG33" s="38">
        <f>IF(OR(BG$2="",$D33=""),"",IF(AND(ISNUMBER($F33),BG$2&gt;=$F33,BG$2&lt;=IF(ISNUMBER($G33),$G33,$F33+$E33-$D33)),2,IF(AND(BG$2&gt;=$D33,BG$2&lt;=$E33),1,"")))</f>
        <v/>
      </c>
      <c r="BH33" s="38">
        <f>IF(OR(BH$2="",$D33=""),"",IF(AND(ISNUMBER($F33),BH$2&gt;=$F33,BH$2&lt;=IF(ISNUMBER($G33),$G33,$F33+$E33-$D33)),2,IF(AND(BH$2&gt;=$D33,BH$2&lt;=$E33),1,"")))</f>
        <v/>
      </c>
      <c r="BI33" s="38">
        <f>IF(OR(BI$2="",$D33=""),"",IF(AND(ISNUMBER($F33),BI$2&gt;=$F33,BI$2&lt;=IF(ISNUMBER($G33),$G33,$F33+$E33-$D33)),2,IF(AND(BI$2&gt;=$D33,BI$2&lt;=$E33),1,"")))</f>
        <v/>
      </c>
      <c r="BJ33" s="38">
        <f>IF(OR(BJ$2="",$D33=""),"",IF(AND(ISNUMBER($F33),BJ$2&gt;=$F33,BJ$2&lt;=IF(ISNUMBER($G33),$G33,$F33+$E33-$D33)),2,IF(AND(BJ$2&gt;=$D33,BJ$2&lt;=$E33),1,"")))</f>
        <v/>
      </c>
      <c r="BK33" s="38">
        <f>IF(OR(BK$2="",$D33=""),"",IF(AND(ISNUMBER($F33),BK$2&gt;=$F33,BK$2&lt;=IF(ISNUMBER($G33),$G33,$F33+$E33-$D33)),2,IF(AND(BK$2&gt;=$D33,BK$2&lt;=$E33),1,"")))</f>
        <v/>
      </c>
      <c r="BL33" s="38">
        <f>IF(OR(BL$2="",$D33=""),"",IF(AND(ISNUMBER($F33),BL$2&gt;=$F33,BL$2&lt;=IF(ISNUMBER($G33),$G33,$F33+$E33-$D33)),2,IF(AND(BL$2&gt;=$D33,BL$2&lt;=$E33),1,"")))</f>
        <v/>
      </c>
      <c r="BM33" s="38">
        <f>IF(OR(BM$2="",$D33=""),"",IF(AND(ISNUMBER($F33),BM$2&gt;=$F33,BM$2&lt;=IF(ISNUMBER($G33),$G33,$F33+$E33-$D33)),2,IF(AND(BM$2&gt;=$D33,BM$2&lt;=$E33),1,"")))</f>
        <v/>
      </c>
      <c r="BN33" s="38">
        <f>IF(OR(BN$2="",$D33=""),"",IF(AND(ISNUMBER($F33),BN$2&gt;=$F33,BN$2&lt;=IF(ISNUMBER($G33),$G33,$F33+$E33-$D33)),2,IF(AND(BN$2&gt;=$D33,BN$2&lt;=$E33),1,"")))</f>
        <v/>
      </c>
      <c r="BO33" s="38">
        <f>IF(OR(BO$2="",$D33=""),"",IF(AND(ISNUMBER($F33),BO$2&gt;=$F33,BO$2&lt;=IF(ISNUMBER($G33),$G33,$F33+$E33-$D33)),2,IF(AND(BO$2&gt;=$D33,BO$2&lt;=$E33),1,"")))</f>
        <v/>
      </c>
      <c r="BP33" s="38">
        <f>IF(OR(BP$2="",$D33=""),"",IF(AND(ISNUMBER($F33),BP$2&gt;=$F33,BP$2&lt;=IF(ISNUMBER($G33),$G33,$F33+$E33-$D33)),2,IF(AND(BP$2&gt;=$D33,BP$2&lt;=$E33),1,"")))</f>
        <v/>
      </c>
      <c r="BQ33" s="38">
        <f>IF(OR(BQ$2="",$D33=""),"",IF(AND(ISNUMBER($F33),BQ$2&gt;=$F33,BQ$2&lt;=IF(ISNUMBER($G33),$G33,$F33+$E33-$D33)),2,IF(AND(BQ$2&gt;=$D33,BQ$2&lt;=$E33),1,"")))</f>
        <v/>
      </c>
      <c r="BR33" s="38">
        <f>IF(OR(BR$2="",$D33=""),"",IF(AND(ISNUMBER($F33),BR$2&gt;=$F33,BR$2&lt;=IF(ISNUMBER($G33),$G33,$F33+$E33-$D33)),2,IF(AND(BR$2&gt;=$D33,BR$2&lt;=$E33),1,"")))</f>
        <v/>
      </c>
      <c r="BS33" s="38">
        <f>IF(OR(BS$2="",$D33=""),"",IF(AND(ISNUMBER($F33),BS$2&gt;=$F33,BS$2&lt;=IF(ISNUMBER($G33),$G33,$F33+$E33-$D33)),2,IF(AND(BS$2&gt;=$D33,BS$2&lt;=$E33),1,"")))</f>
        <v/>
      </c>
      <c r="BT33" s="38">
        <f>IF(OR(BT$2="",$D33=""),"",IF(AND(ISNUMBER($F33),BT$2&gt;=$F33,BT$2&lt;=IF(ISNUMBER($G33),$G33,$F33+$E33-$D33)),2,IF(AND(BT$2&gt;=$D33,BT$2&lt;=$E33),1,"")))</f>
        <v/>
      </c>
      <c r="BU33" s="38">
        <f>IF(OR(BU$2="",$D33=""),"",IF(AND(ISNUMBER($F33),BU$2&gt;=$F33,BU$2&lt;=IF(ISNUMBER($G33),$G33,$F33+$E33-$D33)),2,IF(AND(BU$2&gt;=$D33,BU$2&lt;=$E33),1,"")))</f>
        <v/>
      </c>
      <c r="BV33" s="38">
        <f>IF(OR(BV$2="",$D33=""),"",IF(AND(ISNUMBER($F33),BV$2&gt;=$F33,BV$2&lt;=IF(ISNUMBER($G33),$G33,$F33+$E33-$D33)),2,IF(AND(BV$2&gt;=$D33,BV$2&lt;=$E33),1,"")))</f>
        <v/>
      </c>
      <c r="BW33" s="38">
        <f>IF(OR(BW$2="",$D33=""),"",IF(AND(ISNUMBER($F33),BW$2&gt;=$F33,BW$2&lt;=IF(ISNUMBER($G33),$G33,$F33+$E33-$D33)),2,IF(AND(BW$2&gt;=$D33,BW$2&lt;=$E33),1,"")))</f>
        <v/>
      </c>
      <c r="BX33" s="38">
        <f>IF(OR(BX$2="",$D33=""),"",IF(AND(ISNUMBER($F33),BX$2&gt;=$F33,BX$2&lt;=IF(ISNUMBER($G33),$G33,$F33+$E33-$D33)),2,IF(AND(BX$2&gt;=$D33,BX$2&lt;=$E33),1,"")))</f>
        <v/>
      </c>
      <c r="BY33" s="38">
        <f>IF(OR(BY$2="",$D33=""),"",IF(AND(ISNUMBER($F33),BY$2&gt;=$F33,BY$2&lt;=IF(ISNUMBER($G33),$G33,$F33+$E33-$D33)),2,IF(AND(BY$2&gt;=$D33,BY$2&lt;=$E33),1,"")))</f>
        <v/>
      </c>
      <c r="BZ33" s="38">
        <f>IF(OR(BZ$2="",$D33=""),"",IF(AND(ISNUMBER($F33),BZ$2&gt;=$F33,BZ$2&lt;=IF(ISNUMBER($G33),$G33,$F33+$E33-$D33)),2,IF(AND(BZ$2&gt;=$D33,BZ$2&lt;=$E33),1,"")))</f>
        <v/>
      </c>
      <c r="CA33" s="38">
        <f>IF(OR(CA$2="",$D33=""),"",IF(AND(ISNUMBER($F33),CA$2&gt;=$F33,CA$2&lt;=IF(ISNUMBER($G33),$G33,$F33+$E33-$D33)),2,IF(AND(CA$2&gt;=$D33,CA$2&lt;=$E33),1,"")))</f>
        <v/>
      </c>
      <c r="CB33" s="38">
        <f>IF(OR(CB$2="",$D33=""),"",IF(AND(ISNUMBER($F33),CB$2&gt;=$F33,CB$2&lt;=IF(ISNUMBER($G33),$G33,$F33+$E33-$D33)),2,IF(AND(CB$2&gt;=$D33,CB$2&lt;=$E33),1,"")))</f>
        <v/>
      </c>
      <c r="CC33" s="38">
        <f>IF(OR(CC$2="",$D33=""),"",IF(AND(ISNUMBER($F33),CC$2&gt;=$F33,CC$2&lt;=IF(ISNUMBER($G33),$G33,$F33+$E33-$D33)),2,IF(AND(CC$2&gt;=$D33,CC$2&lt;=$E33),1,"")))</f>
        <v/>
      </c>
      <c r="CD33" s="38">
        <f>IF(OR(CD$2="",$D33=""),"",IF(AND(ISNUMBER($F33),CD$2&gt;=$F33,CD$2&lt;=IF(ISNUMBER($G33),$G33,$F33+$E33-$D33)),2,IF(AND(CD$2&gt;=$D33,CD$2&lt;=$E33),1,"")))</f>
        <v/>
      </c>
      <c r="CE33" s="38">
        <f>IF(OR(CE$2="",$D33=""),"",IF(AND(ISNUMBER($F33),CE$2&gt;=$F33,CE$2&lt;=IF(ISNUMBER($G33),$G33,$F33+$E33-$D33)),2,IF(AND(CE$2&gt;=$D33,CE$2&lt;=$E33),1,"")))</f>
        <v/>
      </c>
      <c r="CF33" s="38">
        <f>IF(OR(CF$2="",$D33=""),"",IF(AND(ISNUMBER($F33),CF$2&gt;=$F33,CF$2&lt;=IF(ISNUMBER($G33),$G33,$F33+$E33-$D33)),2,IF(AND(CF$2&gt;=$D33,CF$2&lt;=$E33),1,"")))</f>
        <v/>
      </c>
      <c r="CG33" s="38">
        <f>IF(OR(CG$2="",$D33=""),"",IF(AND(ISNUMBER($F33),CG$2&gt;=$F33,CG$2&lt;=IF(ISNUMBER($G33),$G33,$F33+$E33-$D33)),2,IF(AND(CG$2&gt;=$D33,CG$2&lt;=$E33),1,"")))</f>
        <v/>
      </c>
      <c r="CH33" s="38">
        <f>IF(OR(CH$2="",$D33=""),"",IF(AND(ISNUMBER($F33),CH$2&gt;=$F33,CH$2&lt;=IF(ISNUMBER($G33),$G33,$F33+$E33-$D33)),2,IF(AND(CH$2&gt;=$D33,CH$2&lt;=$E33),1,"")))</f>
        <v/>
      </c>
      <c r="CI33" s="38">
        <f>IF(OR(CI$2="",$D33=""),"",IF(AND(ISNUMBER($F33),CI$2&gt;=$F33,CI$2&lt;=IF(ISNUMBER($G33),$G33,$F33+$E33-$D33)),2,IF(AND(CI$2&gt;=$D33,CI$2&lt;=$E33),1,"")))</f>
        <v/>
      </c>
      <c r="CJ33" s="38">
        <f>IF(OR(CJ$2="",$D33=""),"",IF(AND(ISNUMBER($F33),CJ$2&gt;=$F33,CJ$2&lt;=IF(ISNUMBER($G33),$G33,$F33+$E33-$D33)),2,IF(AND(CJ$2&gt;=$D33,CJ$2&lt;=$E33),1,"")))</f>
        <v/>
      </c>
      <c r="CK33" s="38">
        <f>IF(OR(CK$2="",$D33=""),"",IF(AND(ISNUMBER($F33),CK$2&gt;=$F33,CK$2&lt;=IF(ISNUMBER($G33),$G33,$F33+$E33-$D33)),2,IF(AND(CK$2&gt;=$D33,CK$2&lt;=$E33),1,"")))</f>
        <v/>
      </c>
      <c r="CL33" s="38">
        <f>IF(OR(CL$2="",$D33=""),"",IF(AND(ISNUMBER($F33),CL$2&gt;=$F33,CL$2&lt;=IF(ISNUMBER($G33),$G33,$F33+$E33-$D33)),2,IF(AND(CL$2&gt;=$D33,CL$2&lt;=$E33),1,"")))</f>
        <v/>
      </c>
      <c r="CM33" s="38">
        <f>IF(OR(CM$2="",$D33=""),"",IF(AND(ISNUMBER($F33),CM$2&gt;=$F33,CM$2&lt;=IF(ISNUMBER($G33),$G33,$F33+$E33-$D33)),2,IF(AND(CM$2&gt;=$D33,CM$2&lt;=$E33),1,"")))</f>
        <v/>
      </c>
      <c r="CN33" s="38">
        <f>IF(OR(CN$2="",$D33=""),"",IF(AND(ISNUMBER($F33),CN$2&gt;=$F33,CN$2&lt;=IF(ISNUMBER($G33),$G33,$F33+$E33-$D33)),2,IF(AND(CN$2&gt;=$D33,CN$2&lt;=$E33),1,"")))</f>
        <v/>
      </c>
      <c r="CO33" s="38">
        <f>IF(OR(CO$2="",$D33=""),"",IF(AND(ISNUMBER($F33),CO$2&gt;=$F33,CO$2&lt;=IF(ISNUMBER($G33),$G33,$F33+$E33-$D33)),2,IF(AND(CO$2&gt;=$D33,CO$2&lt;=$E33),1,"")))</f>
        <v/>
      </c>
      <c r="CP33" s="38">
        <f>IF(OR(CP$2="",$D33=""),"",IF(AND(ISNUMBER($F33),CP$2&gt;=$F33,CP$2&lt;=IF(ISNUMBER($G33),$G33,$F33+$E33-$D33)),2,IF(AND(CP$2&gt;=$D33,CP$2&lt;=$E33),1,"")))</f>
        <v/>
      </c>
      <c r="CQ33" s="38">
        <f>IF(OR(CQ$2="",$D33=""),"",IF(AND(ISNUMBER($F33),CQ$2&gt;=$F33,CQ$2&lt;=IF(ISNUMBER($G33),$G33,$F33+$E33-$D33)),2,IF(AND(CQ$2&gt;=$D33,CQ$2&lt;=$E33),1,"")))</f>
        <v/>
      </c>
      <c r="CR33" s="38">
        <f>IF(OR(CR$2="",$D33=""),"",IF(AND(ISNUMBER($F33),CR$2&gt;=$F33,CR$2&lt;=IF(ISNUMBER($G33),$G33,$F33+$E33-$D33)),2,IF(AND(CR$2&gt;=$D33,CR$2&lt;=$E33),1,"")))</f>
        <v/>
      </c>
      <c r="CS33" s="38">
        <f>IF(OR(CS$2="",$D33=""),"",IF(AND(ISNUMBER($F33),CS$2&gt;=$F33,CS$2&lt;=IF(ISNUMBER($G33),$G33,$F33+$E33-$D33)),2,IF(AND(CS$2&gt;=$D33,CS$2&lt;=$E33),1,"")))</f>
        <v/>
      </c>
      <c r="CT33" s="38">
        <f>IF(OR(CT$2="",$D33=""),"",IF(AND(ISNUMBER($F33),CT$2&gt;=$F33,CT$2&lt;=IF(ISNUMBER($G33),$G33,$F33+$E33-$D33)),2,IF(AND(CT$2&gt;=$D33,CT$2&lt;=$E33),1,"")))</f>
        <v/>
      </c>
      <c r="CU33" s="38">
        <f>IF(OR(CU$2="",$D33=""),"",IF(AND(ISNUMBER($F33),CU$2&gt;=$F33,CU$2&lt;=IF(ISNUMBER($G33),$G33,$F33+$E33-$D33)),2,IF(AND(CU$2&gt;=$D33,CU$2&lt;=$E33),1,"")))</f>
        <v/>
      </c>
      <c r="CV33" s="38">
        <f>IF(OR(CV$2="",$D33=""),"",IF(AND(ISNUMBER($F33),CV$2&gt;=$F33,CV$2&lt;=IF(ISNUMBER($G33),$G33,$F33+$E33-$D33)),2,IF(AND(CV$2&gt;=$D33,CV$2&lt;=$E33),1,"")))</f>
        <v/>
      </c>
      <c r="CW33" s="38">
        <f>IF(OR(CW$2="",$D33=""),"",IF(AND(ISNUMBER($F33),CW$2&gt;=$F33,CW$2&lt;=IF(ISNUMBER($G33),$G33,$F33+$E33-$D33)),2,IF(AND(CW$2&gt;=$D33,CW$2&lt;=$E33),1,"")))</f>
        <v/>
      </c>
      <c r="CX33" s="38">
        <f>IF(OR(CX$2="",$D33=""),"",IF(AND(ISNUMBER($F33),CX$2&gt;=$F33,CX$2&lt;=IF(ISNUMBER($G33),$G33,$F33+$E33-$D33)),2,IF(AND(CX$2&gt;=$D33,CX$2&lt;=$E33),1,"")))</f>
        <v/>
      </c>
      <c r="CY33" s="38">
        <f>IF(OR(CY$2="",$D33=""),"",IF(AND(ISNUMBER($F33),CY$2&gt;=$F33,CY$2&lt;=IF(ISNUMBER($G33),$G33,$F33+$E33-$D33)),2,IF(AND(CY$2&gt;=$D33,CY$2&lt;=$E33),1,"")))</f>
        <v/>
      </c>
      <c r="CZ33" s="38">
        <f>IF(OR(CZ$2="",$D33=""),"",IF(AND(ISNUMBER($F33),CZ$2&gt;=$F33,CZ$2&lt;=IF(ISNUMBER($G33),$G33,$F33+$E33-$D33)),2,IF(AND(CZ$2&gt;=$D33,CZ$2&lt;=$E33),1,"")))</f>
        <v/>
      </c>
      <c r="DA33" s="38">
        <f>IF(OR(DA$2="",$D33=""),"",IF(AND(ISNUMBER($F33),DA$2&gt;=$F33,DA$2&lt;=IF(ISNUMBER($G33),$G33,$F33+$E33-$D33)),2,IF(AND(DA$2&gt;=$D33,DA$2&lt;=$E33),1,"")))</f>
        <v/>
      </c>
      <c r="DB33" s="38">
        <f>IF(OR(DB$2="",$D33=""),"",IF(AND(ISNUMBER($F33),DB$2&gt;=$F33,DB$2&lt;=IF(ISNUMBER($G33),$G33,$F33+$E33-$D33)),2,IF(AND(DB$2&gt;=$D33,DB$2&lt;=$E33),1,"")))</f>
        <v/>
      </c>
      <c r="DC33" s="38">
        <f>IF(OR(DC$2="",$D33=""),"",IF(AND(ISNUMBER($F33),DC$2&gt;=$F33,DC$2&lt;=IF(ISNUMBER($G33),$G33,$F33+$E33-$D33)),2,IF(AND(DC$2&gt;=$D33,DC$2&lt;=$E33),1,"")))</f>
        <v/>
      </c>
      <c r="DD33" s="38">
        <f>IF(OR(DD$2="",$D33=""),"",IF(AND(ISNUMBER($F33),DD$2&gt;=$F33,DD$2&lt;=IF(ISNUMBER($G33),$G33,$F33+$E33-$D33)),2,IF(AND(DD$2&gt;=$D33,DD$2&lt;=$E33),1,"")))</f>
        <v/>
      </c>
      <c r="DE33" s="38">
        <f>IF(OR(DE$2="",$D33=""),"",IF(AND(ISNUMBER($F33),DE$2&gt;=$F33,DE$2&lt;=IF(ISNUMBER($G33),$G33,$F33+$E33-$D33)),2,IF(AND(DE$2&gt;=$D33,DE$2&lt;=$E33),1,"")))</f>
        <v/>
      </c>
      <c r="DF33" s="38">
        <f>IF(OR(DF$2="",$D33=""),"",IF(AND(ISNUMBER($F33),DF$2&gt;=$F33,DF$2&lt;=IF(ISNUMBER($G33),$G33,$F33+$E33-$D33)),2,IF(AND(DF$2&gt;=$D33,DF$2&lt;=$E33),1,"")))</f>
        <v/>
      </c>
      <c r="DG33" s="38">
        <f>IF(OR(DG$2="",$D33=""),"",IF(AND(ISNUMBER($F33),DG$2&gt;=$F33,DG$2&lt;=IF(ISNUMBER($G33),$G33,$F33+$E33-$D33)),2,IF(AND(DG$2&gt;=$D33,DG$2&lt;=$E33),1,"")))</f>
        <v/>
      </c>
      <c r="DH33" s="38">
        <f>IF(OR(DH$2="",$D33=""),"",IF(AND(ISNUMBER($F33),DH$2&gt;=$F33,DH$2&lt;=IF(ISNUMBER($G33),$G33,$F33+$E33-$D33)),2,IF(AND(DH$2&gt;=$D33,DH$2&lt;=$E33),1,"")))</f>
        <v/>
      </c>
      <c r="DI33" s="38">
        <f>IF(OR(DI$2="",$D33=""),"",IF(AND(ISNUMBER($F33),DI$2&gt;=$F33,DI$2&lt;=IF(ISNUMBER($G33),$G33,$F33+$E33-$D33)),2,IF(AND(DI$2&gt;=$D33,DI$2&lt;=$E33),1,"")))</f>
        <v/>
      </c>
      <c r="DJ33" s="38">
        <f>IF(OR(DJ$2="",$D33=""),"",IF(AND(ISNUMBER($F33),DJ$2&gt;=$F33,DJ$2&lt;=IF(ISNUMBER($G33),$G33,$F33+$E33-$D33)),2,IF(AND(DJ$2&gt;=$D33,DJ$2&lt;=$E33),1,"")))</f>
        <v/>
      </c>
      <c r="DK33" s="38">
        <f>IF(OR(DK$2="",$D33=""),"",IF(AND(ISNUMBER($F33),DK$2&gt;=$F33,DK$2&lt;=IF(ISNUMBER($G33),$G33,$F33+$E33-$D33)),2,IF(AND(DK$2&gt;=$D33,DK$2&lt;=$E33),1,"")))</f>
        <v/>
      </c>
      <c r="DL33" s="38">
        <f>IF(OR(DL$2="",$D33=""),"",IF(AND(ISNUMBER($F33),DL$2&gt;=$F33,DL$2&lt;=IF(ISNUMBER($G33),$G33,$F33+$E33-$D33)),2,IF(AND(DL$2&gt;=$D33,DL$2&lt;=$E33),1,"")))</f>
        <v/>
      </c>
      <c r="DM33" s="38">
        <f>IF(OR(DM$2="",$D33=""),"",IF(AND(ISNUMBER($F33),DM$2&gt;=$F33,DM$2&lt;=IF(ISNUMBER($G33),$G33,$F33+$E33-$D33)),2,IF(AND(DM$2&gt;=$D33,DM$2&lt;=$E33),1,"")))</f>
        <v/>
      </c>
      <c r="DN33" s="38">
        <f>IF(OR(DN$2="",$D33=""),"",IF(AND(ISNUMBER($F33),DN$2&gt;=$F33,DN$2&lt;=IF(ISNUMBER($G33),$G33,$F33+$E33-$D33)),2,IF(AND(DN$2&gt;=$D33,DN$2&lt;=$E33),1,"")))</f>
        <v/>
      </c>
      <c r="DO33" s="38">
        <f>IF(OR(DO$2="",$D33=""),"",IF(AND(ISNUMBER($F33),DO$2&gt;=$F33,DO$2&lt;=IF(ISNUMBER($G33),$G33,$F33+$E33-$D33)),2,IF(AND(DO$2&gt;=$D33,DO$2&lt;=$E33),1,"")))</f>
        <v/>
      </c>
      <c r="DP33" s="38">
        <f>IF(OR(DP$2="",$D33=""),"",IF(AND(ISNUMBER($F33),DP$2&gt;=$F33,DP$2&lt;=IF(ISNUMBER($G33),$G33,$F33+$E33-$D33)),2,IF(AND(DP$2&gt;=$D33,DP$2&lt;=$E33),1,"")))</f>
        <v/>
      </c>
      <c r="DQ33" s="38">
        <f>IF(OR(DQ$2="",$D33=""),"",IF(AND(ISNUMBER($F33),DQ$2&gt;=$F33,DQ$2&lt;=IF(ISNUMBER($G33),$G33,$F33+$E33-$D33)),2,IF(AND(DQ$2&gt;=$D33,DQ$2&lt;=$E33),1,"")))</f>
        <v/>
      </c>
      <c r="DR33" s="38">
        <f>IF(OR(DR$2="",$D33=""),"",IF(AND(ISNUMBER($F33),DR$2&gt;=$F33,DR$2&lt;=IF(ISNUMBER($G33),$G33,$F33+$E33-$D33)),2,IF(AND(DR$2&gt;=$D33,DR$2&lt;=$E33),1,"")))</f>
        <v/>
      </c>
      <c r="DS33" s="38">
        <f>IF(OR(DS$2="",$D33=""),"",IF(AND(ISNUMBER($F33),DS$2&gt;=$F33,DS$2&lt;=IF(ISNUMBER($G33),$G33,$F33+$E33-$D33)),2,IF(AND(DS$2&gt;=$D33,DS$2&lt;=$E33),1,"")))</f>
        <v/>
      </c>
      <c r="DT33" s="38">
        <f>IF(OR(DT$2="",$D33=""),"",IF(AND(ISNUMBER($F33),DT$2&gt;=$F33,DT$2&lt;=IF(ISNUMBER($G33),$G33,$F33+$E33-$D33)),2,IF(AND(DT$2&gt;=$D33,DT$2&lt;=$E33),1,"")))</f>
        <v/>
      </c>
      <c r="DU33" s="38">
        <f>IF(OR(DU$2="",$D33=""),"",IF(AND(ISNUMBER($F33),DU$2&gt;=$F33,DU$2&lt;=IF(ISNUMBER($G33),$G33,$F33+$E33-$D33)),2,IF(AND(DU$2&gt;=$D33,DU$2&lt;=$E33),1,"")))</f>
        <v/>
      </c>
      <c r="DV33" s="38">
        <f>IF(OR(DV$2="",$D33=""),"",IF(AND(ISNUMBER($F33),DV$2&gt;=$F33,DV$2&lt;=IF(ISNUMBER($G33),$G33,$F33+$E33-$D33)),2,IF(AND(DV$2&gt;=$D33,DV$2&lt;=$E33),1,"")))</f>
        <v/>
      </c>
      <c r="DW33" s="38">
        <f>IF(OR(DW$2="",$D33=""),"",IF(AND(ISNUMBER($F33),DW$2&gt;=$F33,DW$2&lt;=IF(ISNUMBER($G33),$G33,$F33+$E33-$D33)),2,IF(AND(DW$2&gt;=$D33,DW$2&lt;=$E33),1,"")))</f>
        <v/>
      </c>
      <c r="DX33" s="38">
        <f>IF(OR(DX$2="",$D33=""),"",IF(AND(ISNUMBER($F33),DX$2&gt;=$F33,DX$2&lt;=IF(ISNUMBER($G33),$G33,$F33+$E33-$D33)),2,IF(AND(DX$2&gt;=$D33,DX$2&lt;=$E33),1,"")))</f>
        <v/>
      </c>
      <c r="DY33" s="38">
        <f>IF(OR(DY$2="",$D33=""),"",IF(AND(ISNUMBER($F33),DY$2&gt;=$F33,DY$2&lt;=IF(ISNUMBER($G33),$G33,$F33+$E33-$D33)),2,IF(AND(DY$2&gt;=$D33,DY$2&lt;=$E33),1,"")))</f>
        <v/>
      </c>
      <c r="DZ33" s="38">
        <f>IF(OR(DZ$2="",$D33=""),"",IF(AND(ISNUMBER($F33),DZ$2&gt;=$F33,DZ$2&lt;=IF(ISNUMBER($G33),$G33,$F33+$E33-$D33)),2,IF(AND(DZ$2&gt;=$D33,DZ$2&lt;=$E33),1,"")))</f>
        <v/>
      </c>
      <c r="EA33" s="38">
        <f>IF(OR(EA$2="",$D33=""),"",IF(AND(ISNUMBER($F33),EA$2&gt;=$F33,EA$2&lt;=IF(ISNUMBER($G33),$G33,$F33+$E33-$D33)),2,IF(AND(EA$2&gt;=$D33,EA$2&lt;=$E33),1,"")))</f>
        <v/>
      </c>
      <c r="EB33" s="38">
        <f>IF(OR(EB$2="",$D33=""),"",IF(AND(ISNUMBER($F33),EB$2&gt;=$F33,EB$2&lt;=IF(ISNUMBER($G33),$G33,$F33+$E33-$D33)),2,IF(AND(EB$2&gt;=$D33,EB$2&lt;=$E33),1,"")))</f>
        <v/>
      </c>
      <c r="EC33" s="38">
        <f>IF(OR(EC$2="",$D33=""),"",IF(AND(ISNUMBER($F33),EC$2&gt;=$F33,EC$2&lt;=IF(ISNUMBER($G33),$G33,$F33+$E33-$D33)),2,IF(AND(EC$2&gt;=$D33,EC$2&lt;=$E33),1,"")))</f>
        <v/>
      </c>
      <c r="ED33" s="38">
        <f>IF(OR(ED$2="",$D33=""),"",IF(AND(ISNUMBER($F33),ED$2&gt;=$F33,ED$2&lt;=IF(ISNUMBER($G33),$G33,$F33+$E33-$D33)),2,IF(AND(ED$2&gt;=$D33,ED$2&lt;=$E33),1,"")))</f>
        <v/>
      </c>
      <c r="EE33" s="38">
        <f>IF(OR(EE$2="",$D33=""),"",IF(AND(ISNUMBER($F33),EE$2&gt;=$F33,EE$2&lt;=IF(ISNUMBER($G33),$G33,$F33+$E33-$D33)),2,IF(AND(EE$2&gt;=$D33,EE$2&lt;=$E33),1,"")))</f>
        <v/>
      </c>
      <c r="EF33" s="38">
        <f>IF(OR(EF$2="",$D33=""),"",IF(AND(ISNUMBER($F33),EF$2&gt;=$F33,EF$2&lt;=IF(ISNUMBER($G33),$G33,$F33+$E33-$D33)),2,IF(AND(EF$2&gt;=$D33,EF$2&lt;=$E33),1,"")))</f>
        <v/>
      </c>
      <c r="EG33" s="38">
        <f>IF(OR(EG$2="",$D33=""),"",IF(AND(ISNUMBER($F33),EG$2&gt;=$F33,EG$2&lt;=IF(ISNUMBER($G33),$G33,$F33+$E33-$D33)),2,IF(AND(EG$2&gt;=$D33,EG$2&lt;=$E33),1,"")))</f>
        <v/>
      </c>
      <c r="EH33" s="38">
        <f>IF(OR(EH$2="",$D33=""),"",IF(AND(ISNUMBER($F33),EH$2&gt;=$F33,EH$2&lt;=IF(ISNUMBER($G33),$G33,$F33+$E33-$D33)),2,IF(AND(EH$2&gt;=$D33,EH$2&lt;=$E33),1,"")))</f>
        <v/>
      </c>
      <c r="EI33" s="38">
        <f>IF(OR(EI$2="",$D33=""),"",IF(AND(ISNUMBER($F33),EI$2&gt;=$F33,EI$2&lt;=IF(ISNUMBER($G33),$G33,$F33+$E33-$D33)),2,IF(AND(EI$2&gt;=$D33,EI$2&lt;=$E33),1,"")))</f>
        <v/>
      </c>
      <c r="EJ33" s="38">
        <f>IF(OR(EJ$2="",$D33=""),"",IF(AND(ISNUMBER($F33),EJ$2&gt;=$F33,EJ$2&lt;=IF(ISNUMBER($G33),$G33,$F33+$E33-$D33)),2,IF(AND(EJ$2&gt;=$D33,EJ$2&lt;=$E33),1,"")))</f>
        <v/>
      </c>
      <c r="EK33" s="38">
        <f>IF(OR(EK$2="",$D33=""),"",IF(AND(ISNUMBER($F33),EK$2&gt;=$F33,EK$2&lt;=IF(ISNUMBER($G33),$G33,$F33+$E33-$D33)),2,IF(AND(EK$2&gt;=$D33,EK$2&lt;=$E33),1,"")))</f>
        <v/>
      </c>
      <c r="EL33" s="38">
        <f>IF(OR(EL$2="",$D33=""),"",IF(AND(ISNUMBER($F33),EL$2&gt;=$F33,EL$2&lt;=IF(ISNUMBER($G33),$G33,$F33+$E33-$D33)),2,IF(AND(EL$2&gt;=$D33,EL$2&lt;=$E33),1,"")))</f>
        <v/>
      </c>
      <c r="EM33" s="38">
        <f>IF(OR(EM$2="",$D33=""),"",IF(AND(ISNUMBER($F33),EM$2&gt;=$F33,EM$2&lt;=IF(ISNUMBER($G33),$G33,$F33+$E33-$D33)),2,IF(AND(EM$2&gt;=$D33,EM$2&lt;=$E33),1,"")))</f>
        <v/>
      </c>
      <c r="EN33" s="38">
        <f>IF(OR(EN$2="",$D33=""),"",IF(AND(ISNUMBER($F33),EN$2&gt;=$F33,EN$2&lt;=IF(ISNUMBER($G33),$G33,$F33+$E33-$D33)),2,IF(AND(EN$2&gt;=$D33,EN$2&lt;=$E33),1,"")))</f>
        <v/>
      </c>
      <c r="EO33" s="38">
        <f>IF(OR(EO$2="",$D33=""),"",IF(AND(ISNUMBER($F33),EO$2&gt;=$F33,EO$2&lt;=IF(ISNUMBER($G33),$G33,$F33+$E33-$D33)),2,IF(AND(EO$2&gt;=$D33,EO$2&lt;=$E33),1,"")))</f>
        <v/>
      </c>
      <c r="EP33" s="38">
        <f>IF(OR(EP$2="",$D33=""),"",IF(AND(ISNUMBER($F33),EP$2&gt;=$F33,EP$2&lt;=IF(ISNUMBER($G33),$G33,$F33+$E33-$D33)),2,IF(AND(EP$2&gt;=$D33,EP$2&lt;=$E33),1,"")))</f>
        <v/>
      </c>
      <c r="EQ33" s="38">
        <f>IF(OR(EQ$2="",$D33=""),"",IF(AND(ISNUMBER($F33),EQ$2&gt;=$F33,EQ$2&lt;=IF(ISNUMBER($G33),$G33,$F33+$E33-$D33)),2,IF(AND(EQ$2&gt;=$D33,EQ$2&lt;=$E33),1,"")))</f>
        <v/>
      </c>
      <c r="ER33" s="38">
        <f>IF(OR(ER$2="",$D33=""),"",IF(AND(ISNUMBER($F33),ER$2&gt;=$F33,ER$2&lt;=IF(ISNUMBER($G33),$G33,$F33+$E33-$D33)),2,IF(AND(ER$2&gt;=$D33,ER$2&lt;=$E33),1,"")))</f>
        <v/>
      </c>
      <c r="ES33" s="38">
        <f>IF(OR(ES$2="",$D33=""),"",IF(AND(ISNUMBER($F33),ES$2&gt;=$F33,ES$2&lt;=IF(ISNUMBER($G33),$G33,$F33+$E33-$D33)),2,IF(AND(ES$2&gt;=$D33,ES$2&lt;=$E33),1,"")))</f>
        <v/>
      </c>
      <c r="ET33" s="38">
        <f>IF(OR(ET$2="",$D33=""),"",IF(AND(ISNUMBER($F33),ET$2&gt;=$F33,ET$2&lt;=IF(ISNUMBER($G33),$G33,$F33+$E33-$D33)),2,IF(AND(ET$2&gt;=$D33,ET$2&lt;=$E33),1,"")))</f>
        <v/>
      </c>
      <c r="EU33" s="38">
        <f>IF(OR(EU$2="",$D33=""),"",IF(AND(ISNUMBER($F33),EU$2&gt;=$F33,EU$2&lt;=IF(ISNUMBER($G33),$G33,$F33+$E33-$D33)),2,IF(AND(EU$2&gt;=$D33,EU$2&lt;=$E33),1,"")))</f>
        <v/>
      </c>
      <c r="EV33" s="38">
        <f>IF(OR(EV$2="",$D33=""),"",IF(AND(ISNUMBER($F33),EV$2&gt;=$F33,EV$2&lt;=IF(ISNUMBER($G33),$G33,$F33+$E33-$D33)),2,IF(AND(EV$2&gt;=$D33,EV$2&lt;=$E33),1,"")))</f>
        <v/>
      </c>
      <c r="EW33" s="38">
        <f>IF(OR(EW$2="",$D33=""),"",IF(AND(ISNUMBER($F33),EW$2&gt;=$F33,EW$2&lt;=IF(ISNUMBER($G33),$G33,$F33+$E33-$D33)),2,IF(AND(EW$2&gt;=$D33,EW$2&lt;=$E33),1,"")))</f>
        <v/>
      </c>
      <c r="EX33" s="38">
        <f>IF(OR(EX$2="",$D33=""),"",IF(AND(ISNUMBER($F33),EX$2&gt;=$F33,EX$2&lt;=IF(ISNUMBER($G33),$G33,$F33+$E33-$D33)),2,IF(AND(EX$2&gt;=$D33,EX$2&lt;=$E33),1,"")))</f>
        <v/>
      </c>
      <c r="EY33" s="38">
        <f>IF(OR(EY$2="",$D33=""),"",IF(AND(ISNUMBER($F33),EY$2&gt;=$F33,EY$2&lt;=IF(ISNUMBER($G33),$G33,$F33+$E33-$D33)),2,IF(AND(EY$2&gt;=$D33,EY$2&lt;=$E33),1,"")))</f>
        <v/>
      </c>
      <c r="EZ33" s="38">
        <f>IF(OR(EZ$2="",$D33=""),"",IF(AND(ISNUMBER($F33),EZ$2&gt;=$F33,EZ$2&lt;=IF(ISNUMBER($G33),$G33,$F33+$E33-$D33)),2,IF(AND(EZ$2&gt;=$D33,EZ$2&lt;=$E33),1,"")))</f>
        <v/>
      </c>
      <c r="FA33" s="38">
        <f>IF(OR(FA$2="",$D33=""),"",IF(AND(ISNUMBER($F33),FA$2&gt;=$F33,FA$2&lt;=IF(ISNUMBER($G33),$G33,$F33+$E33-$D33)),2,IF(AND(FA$2&gt;=$D33,FA$2&lt;=$E33),1,"")))</f>
        <v/>
      </c>
      <c r="FB33" s="38">
        <f>IF(OR(FB$2="",$D33=""),"",IF(AND(ISNUMBER($F33),FB$2&gt;=$F33,FB$2&lt;=IF(ISNUMBER($G33),$G33,$F33+$E33-$D33)),2,IF(AND(FB$2&gt;=$D33,FB$2&lt;=$E33),1,"")))</f>
        <v/>
      </c>
      <c r="FC33" s="38">
        <f>IF(OR(FC$2="",$D33=""),"",IF(AND(ISNUMBER($F33),FC$2&gt;=$F33,FC$2&lt;=IF(ISNUMBER($G33),$G33,$F33+$E33-$D33)),2,IF(AND(FC$2&gt;=$D33,FC$2&lt;=$E33),1,"")))</f>
        <v/>
      </c>
      <c r="FD33" s="38">
        <f>IF(OR(FD$2="",$D33=""),"",IF(AND(ISNUMBER($F33),FD$2&gt;=$F33,FD$2&lt;=IF(ISNUMBER($G33),$G33,$F33+$E33-$D33)),2,IF(AND(FD$2&gt;=$D33,FD$2&lt;=$E33),1,"")))</f>
        <v/>
      </c>
      <c r="FE33" s="38">
        <f>IF(OR(FE$2="",$D33=""),"",IF(AND(ISNUMBER($F33),FE$2&gt;=$F33,FE$2&lt;=IF(ISNUMBER($G33),$G33,$F33+$E33-$D33)),2,IF(AND(FE$2&gt;=$D33,FE$2&lt;=$E33),1,"")))</f>
        <v/>
      </c>
      <c r="FF33" s="38">
        <f>IF(OR(FF$2="",$D33=""),"",IF(AND(ISNUMBER($F33),FF$2&gt;=$F33,FF$2&lt;=IF(ISNUMBER($G33),$G33,$F33+$E33-$D33)),2,IF(AND(FF$2&gt;=$D33,FF$2&lt;=$E33),1,"")))</f>
        <v/>
      </c>
      <c r="FG33" s="38">
        <f>IF(OR(FG$2="",$D33=""),"",IF(AND(ISNUMBER($F33),FG$2&gt;=$F33,FG$2&lt;=IF(ISNUMBER($G33),$G33,$F33+$E33-$D33)),2,IF(AND(FG$2&gt;=$D33,FG$2&lt;=$E33),1,"")))</f>
        <v/>
      </c>
      <c r="FH33" s="38">
        <f>IF(OR(FH$2="",$D33=""),"",IF(AND(ISNUMBER($F33),FH$2&gt;=$F33,FH$2&lt;=IF(ISNUMBER($G33),$G33,$F33+$E33-$D33)),2,IF(AND(FH$2&gt;=$D33,FH$2&lt;=$E33),1,"")))</f>
        <v/>
      </c>
      <c r="FI33" s="38">
        <f>IF(OR(FI$2="",$D33=""),"",IF(AND(ISNUMBER($F33),FI$2&gt;=$F33,FI$2&lt;=IF(ISNUMBER($G33),$G33,$F33+$E33-$D33)),2,IF(AND(FI$2&gt;=$D33,FI$2&lt;=$E33),1,"")))</f>
        <v/>
      </c>
      <c r="FJ33" s="38">
        <f>IF(OR(FJ$2="",$D33=""),"",IF(AND(ISNUMBER($F33),FJ$2&gt;=$F33,FJ$2&lt;=IF(ISNUMBER($G33),$G33,$F33+$E33-$D33)),2,IF(AND(FJ$2&gt;=$D33,FJ$2&lt;=$E33),1,"")))</f>
        <v/>
      </c>
      <c r="FK33" s="38">
        <f>IF(OR(FK$2="",$D33=""),"",IF(AND(ISNUMBER($F33),FK$2&gt;=$F33,FK$2&lt;=IF(ISNUMBER($G33),$G33,$F33+$E33-$D33)),2,IF(AND(FK$2&gt;=$D33,FK$2&lt;=$E33),1,"")))</f>
        <v/>
      </c>
      <c r="FL33" s="38">
        <f>IF(OR(FL$2="",$D33=""),"",IF(AND(ISNUMBER($F33),FL$2&gt;=$F33,FL$2&lt;=IF(ISNUMBER($G33),$G33,$F33+$E33-$D33)),2,IF(AND(FL$2&gt;=$D33,FL$2&lt;=$E33),1,"")))</f>
        <v/>
      </c>
      <c r="FM33" s="38">
        <f>IF(OR(FM$2="",$D33=""),"",IF(AND(ISNUMBER($F33),FM$2&gt;=$F33,FM$2&lt;=IF(ISNUMBER($G33),$G33,$F33+$E33-$D33)),2,IF(AND(FM$2&gt;=$D33,FM$2&lt;=$E33),1,"")))</f>
        <v/>
      </c>
      <c r="FN33" s="38">
        <f>IF(OR(FN$2="",$D33=""),"",IF(AND(ISNUMBER($F33),FN$2&gt;=$F33,FN$2&lt;=IF(ISNUMBER($G33),$G33,$F33+$E33-$D33)),2,IF(AND(FN$2&gt;=$D33,FN$2&lt;=$E33),1,"")))</f>
        <v/>
      </c>
      <c r="FO33" s="38">
        <f>IF(OR(FO$2="",$D33=""),"",IF(AND(ISNUMBER($F33),FO$2&gt;=$F33,FO$2&lt;=IF(ISNUMBER($G33),$G33,$F33+$E33-$D33)),2,IF(AND(FO$2&gt;=$D33,FO$2&lt;=$E33),1,"")))</f>
        <v/>
      </c>
      <c r="FP33" s="38">
        <f>IF(OR(FP$2="",$D33=""),"",IF(AND(ISNUMBER($F33),FP$2&gt;=$F33,FP$2&lt;=IF(ISNUMBER($G33),$G33,$F33+$E33-$D33)),2,IF(AND(FP$2&gt;=$D33,FP$2&lt;=$E33),1,"")))</f>
        <v/>
      </c>
      <c r="FQ33" s="38">
        <f>IF(OR(FQ$2="",$D33=""),"",IF(AND(ISNUMBER($F33),FQ$2&gt;=$F33,FQ$2&lt;=IF(ISNUMBER($G33),$G33,$F33+$E33-$D33)),2,IF(AND(FQ$2&gt;=$D33,FQ$2&lt;=$E33),1,"")))</f>
        <v/>
      </c>
      <c r="FR33" s="38">
        <f>IF(OR(FR$2="",$D33=""),"",IF(AND(ISNUMBER($F33),FR$2&gt;=$F33,FR$2&lt;=IF(ISNUMBER($G33),$G33,$F33+$E33-$D33)),2,IF(AND(FR$2&gt;=$D33,FR$2&lt;=$E33),1,"")))</f>
        <v/>
      </c>
      <c r="FS33" s="38">
        <f>IF(OR(FS$2="",$D33=""),"",IF(AND(ISNUMBER($F33),FS$2&gt;=$F33,FS$2&lt;=IF(ISNUMBER($G33),$G33,$F33+$E33-$D33)),2,IF(AND(FS$2&gt;=$D33,FS$2&lt;=$E33),1,"")))</f>
        <v/>
      </c>
      <c r="FT33" s="38">
        <f>IF(OR(FT$2="",$D33=""),"",IF(AND(ISNUMBER($F33),FT$2&gt;=$F33,FT$2&lt;=IF(ISNUMBER($G33),$G33,$F33+$E33-$D33)),2,IF(AND(FT$2&gt;=$D33,FT$2&lt;=$E33),1,"")))</f>
        <v/>
      </c>
      <c r="FU33" s="38">
        <f>IF(OR(FU$2="",$D33=""),"",IF(AND(ISNUMBER($F33),FU$2&gt;=$F33,FU$2&lt;=IF(ISNUMBER($G33),$G33,$F33+$E33-$D33)),2,IF(AND(FU$2&gt;=$D33,FU$2&lt;=$E33),1,"")))</f>
        <v/>
      </c>
      <c r="FV33" s="38">
        <f>IF(OR(FV$2="",$D33=""),"",IF(AND(ISNUMBER($F33),FV$2&gt;=$F33,FV$2&lt;=IF(ISNUMBER($G33),$G33,$F33+$E33-$D33)),2,IF(AND(FV$2&gt;=$D33,FV$2&lt;=$E33),1,"")))</f>
        <v/>
      </c>
      <c r="FW33" s="38">
        <f>IF(OR(FW$2="",$D33=""),"",IF(AND(ISNUMBER($F33),FW$2&gt;=$F33,FW$2&lt;=IF(ISNUMBER($G33),$G33,$F33+$E33-$D33)),2,IF(AND(FW$2&gt;=$D33,FW$2&lt;=$E33),1,"")))</f>
        <v/>
      </c>
      <c r="FX33" s="38">
        <f>IF(OR(FX$2="",$D33=""),"",IF(AND(ISNUMBER($F33),FX$2&gt;=$F33,FX$2&lt;=IF(ISNUMBER($G33),$G33,$F33+$E33-$D33)),2,IF(AND(FX$2&gt;=$D33,FX$2&lt;=$E33),1,"")))</f>
        <v/>
      </c>
      <c r="FY33" s="38">
        <f>IF(OR(FY$2="",$D33=""),"",IF(AND(ISNUMBER($F33),FY$2&gt;=$F33,FY$2&lt;=IF(ISNUMBER($G33),$G33,$F33+$E33-$D33)),2,IF(AND(FY$2&gt;=$D33,FY$2&lt;=$E33),1,"")))</f>
        <v/>
      </c>
      <c r="FZ33" s="38">
        <f>IF(OR(FZ$2="",$D33=""),"",IF(AND(ISNUMBER($F33),FZ$2&gt;=$F33,FZ$2&lt;=IF(ISNUMBER($G33),$G33,$F33+$E33-$D33)),2,IF(AND(FZ$2&gt;=$D33,FZ$2&lt;=$E33),1,"")))</f>
        <v/>
      </c>
      <c r="GA33" s="38">
        <f>IF(OR(GA$2="",$D33=""),"",IF(AND(ISNUMBER($F33),GA$2&gt;=$F33,GA$2&lt;=IF(ISNUMBER($G33),$G33,$F33+$E33-$D33)),2,IF(AND(GA$2&gt;=$D33,GA$2&lt;=$E33),1,"")))</f>
        <v/>
      </c>
      <c r="GB33" s="38">
        <f>IF(OR(GB$2="",$D33=""),"",IF(AND(ISNUMBER($F33),GB$2&gt;=$F33,GB$2&lt;=IF(ISNUMBER($G33),$G33,$F33+$E33-$D33)),2,IF(AND(GB$2&gt;=$D33,GB$2&lt;=$E33),1,"")))</f>
        <v/>
      </c>
      <c r="GC33" s="38">
        <f>IF(OR(GC$2="",$D33=""),"",IF(AND(ISNUMBER($F33),GC$2&gt;=$F33,GC$2&lt;=IF(ISNUMBER($G33),$G33,$F33+$E33-$D33)),2,IF(AND(GC$2&gt;=$D33,GC$2&lt;=$E33),1,"")))</f>
        <v/>
      </c>
      <c r="GD33" s="38">
        <f>IF(OR(GD$2="",$D33=""),"",IF(AND(ISNUMBER($F33),GD$2&gt;=$F33,GD$2&lt;=IF(ISNUMBER($G33),$G33,$F33+$E33-$D33)),2,IF(AND(GD$2&gt;=$D33,GD$2&lt;=$E33),1,"")))</f>
        <v/>
      </c>
      <c r="GE33" s="38">
        <f>IF(OR(GE$2="",$D33=""),"",IF(AND(ISNUMBER($F33),GE$2&gt;=$F33,GE$2&lt;=IF(ISNUMBER($G33),$G33,$F33+$E33-$D33)),2,IF(AND(GE$2&gt;=$D33,GE$2&lt;=$E33),1,"")))</f>
        <v/>
      </c>
    </row>
    <row r="34">
      <c r="A34" s="36" t="inlineStr">
        <is>
          <t>Pitan (FP)</t>
        </is>
      </c>
      <c r="B34" s="12" t="inlineStr">
        <is>
          <t>পিটান</t>
        </is>
      </c>
      <c r="C34" s="12" t="inlineStr">
        <is>
          <t>FP</t>
        </is>
      </c>
      <c r="D34" s="7">
        <f>IF(D11="","",D11)</f>
        <v/>
      </c>
      <c r="E34" s="7">
        <f>IF(D11="","",D11+cfg_10)</f>
        <v/>
      </c>
      <c r="F34" s="37" t="n"/>
      <c r="G34" s="37" t="n"/>
      <c r="H34" s="6">
        <f>IF(D34="","no plan",IF(F34&lt;&gt;"",IF(F34-D34&gt;=2,"LATE","OK"),IF(TODAY()&gt;D34+2,"OVERDUE","upcoming")))</f>
        <v/>
      </c>
      <c r="I34" s="6">
        <f>IF(AND(D34&lt;&gt;"",F34&lt;&gt;""),F34-D34,"")</f>
        <v/>
      </c>
      <c r="J34" s="7">
        <f>IF(F34&lt;&gt;"",F34,D34)</f>
        <v/>
      </c>
      <c r="K34" s="7">
        <f>IF(G34&lt;&gt;"",G34,IF(AND(F34&lt;&gt;"",E34=D34),F34,E34))</f>
        <v/>
      </c>
      <c r="L34" s="6">
        <f>IF(AND(D34&lt;&gt;"",F34="",D34&gt;=TODAY()),D34+ROW()/1000,"")</f>
        <v/>
      </c>
      <c r="M34" s="38">
        <f>IF(OR(M$2="",$D34=""),"",IF(AND(ISNUMBER($F34),M$2&gt;=$F34,M$2&lt;=IF(ISNUMBER($G34),$G34,$F34+$E34-$D34)),2,IF(AND(M$2&gt;=$D34,M$2&lt;=$E34),1,"")))</f>
        <v/>
      </c>
      <c r="N34" s="38">
        <f>IF(OR(N$2="",$D34=""),"",IF(AND(ISNUMBER($F34),N$2&gt;=$F34,N$2&lt;=IF(ISNUMBER($G34),$G34,$F34+$E34-$D34)),2,IF(AND(N$2&gt;=$D34,N$2&lt;=$E34),1,"")))</f>
        <v/>
      </c>
      <c r="O34" s="38">
        <f>IF(OR(O$2="",$D34=""),"",IF(AND(ISNUMBER($F34),O$2&gt;=$F34,O$2&lt;=IF(ISNUMBER($G34),$G34,$F34+$E34-$D34)),2,IF(AND(O$2&gt;=$D34,O$2&lt;=$E34),1,"")))</f>
        <v/>
      </c>
      <c r="P34" s="38">
        <f>IF(OR(P$2="",$D34=""),"",IF(AND(ISNUMBER($F34),P$2&gt;=$F34,P$2&lt;=IF(ISNUMBER($G34),$G34,$F34+$E34-$D34)),2,IF(AND(P$2&gt;=$D34,P$2&lt;=$E34),1,"")))</f>
        <v/>
      </c>
      <c r="Q34" s="38">
        <f>IF(OR(Q$2="",$D34=""),"",IF(AND(ISNUMBER($F34),Q$2&gt;=$F34,Q$2&lt;=IF(ISNUMBER($G34),$G34,$F34+$E34-$D34)),2,IF(AND(Q$2&gt;=$D34,Q$2&lt;=$E34),1,"")))</f>
        <v/>
      </c>
      <c r="R34" s="38">
        <f>IF(OR(R$2="",$D34=""),"",IF(AND(ISNUMBER($F34),R$2&gt;=$F34,R$2&lt;=IF(ISNUMBER($G34),$G34,$F34+$E34-$D34)),2,IF(AND(R$2&gt;=$D34,R$2&lt;=$E34),1,"")))</f>
        <v/>
      </c>
      <c r="S34" s="38">
        <f>IF(OR(S$2="",$D34=""),"",IF(AND(ISNUMBER($F34),S$2&gt;=$F34,S$2&lt;=IF(ISNUMBER($G34),$G34,$F34+$E34-$D34)),2,IF(AND(S$2&gt;=$D34,S$2&lt;=$E34),1,"")))</f>
        <v/>
      </c>
      <c r="T34" s="38">
        <f>IF(OR(T$2="",$D34=""),"",IF(AND(ISNUMBER($F34),T$2&gt;=$F34,T$2&lt;=IF(ISNUMBER($G34),$G34,$F34+$E34-$D34)),2,IF(AND(T$2&gt;=$D34,T$2&lt;=$E34),1,"")))</f>
        <v/>
      </c>
      <c r="U34" s="38">
        <f>IF(OR(U$2="",$D34=""),"",IF(AND(ISNUMBER($F34),U$2&gt;=$F34,U$2&lt;=IF(ISNUMBER($G34),$G34,$F34+$E34-$D34)),2,IF(AND(U$2&gt;=$D34,U$2&lt;=$E34),1,"")))</f>
        <v/>
      </c>
      <c r="V34" s="38">
        <f>IF(OR(V$2="",$D34=""),"",IF(AND(ISNUMBER($F34),V$2&gt;=$F34,V$2&lt;=IF(ISNUMBER($G34),$G34,$F34+$E34-$D34)),2,IF(AND(V$2&gt;=$D34,V$2&lt;=$E34),1,"")))</f>
        <v/>
      </c>
      <c r="W34" s="38">
        <f>IF(OR(W$2="",$D34=""),"",IF(AND(ISNUMBER($F34),W$2&gt;=$F34,W$2&lt;=IF(ISNUMBER($G34),$G34,$F34+$E34-$D34)),2,IF(AND(W$2&gt;=$D34,W$2&lt;=$E34),1,"")))</f>
        <v/>
      </c>
      <c r="X34" s="38">
        <f>IF(OR(X$2="",$D34=""),"",IF(AND(ISNUMBER($F34),X$2&gt;=$F34,X$2&lt;=IF(ISNUMBER($G34),$G34,$F34+$E34-$D34)),2,IF(AND(X$2&gt;=$D34,X$2&lt;=$E34),1,"")))</f>
        <v/>
      </c>
      <c r="Y34" s="38">
        <f>IF(OR(Y$2="",$D34=""),"",IF(AND(ISNUMBER($F34),Y$2&gt;=$F34,Y$2&lt;=IF(ISNUMBER($G34),$G34,$F34+$E34-$D34)),2,IF(AND(Y$2&gt;=$D34,Y$2&lt;=$E34),1,"")))</f>
        <v/>
      </c>
      <c r="Z34" s="38">
        <f>IF(OR(Z$2="",$D34=""),"",IF(AND(ISNUMBER($F34),Z$2&gt;=$F34,Z$2&lt;=IF(ISNUMBER($G34),$G34,$F34+$E34-$D34)),2,IF(AND(Z$2&gt;=$D34,Z$2&lt;=$E34),1,"")))</f>
        <v/>
      </c>
      <c r="AA34" s="38">
        <f>IF(OR(AA$2="",$D34=""),"",IF(AND(ISNUMBER($F34),AA$2&gt;=$F34,AA$2&lt;=IF(ISNUMBER($G34),$G34,$F34+$E34-$D34)),2,IF(AND(AA$2&gt;=$D34,AA$2&lt;=$E34),1,"")))</f>
        <v/>
      </c>
      <c r="AB34" s="38">
        <f>IF(OR(AB$2="",$D34=""),"",IF(AND(ISNUMBER($F34),AB$2&gt;=$F34,AB$2&lt;=IF(ISNUMBER($G34),$G34,$F34+$E34-$D34)),2,IF(AND(AB$2&gt;=$D34,AB$2&lt;=$E34),1,"")))</f>
        <v/>
      </c>
      <c r="AC34" s="38">
        <f>IF(OR(AC$2="",$D34=""),"",IF(AND(ISNUMBER($F34),AC$2&gt;=$F34,AC$2&lt;=IF(ISNUMBER($G34),$G34,$F34+$E34-$D34)),2,IF(AND(AC$2&gt;=$D34,AC$2&lt;=$E34),1,"")))</f>
        <v/>
      </c>
      <c r="AD34" s="38">
        <f>IF(OR(AD$2="",$D34=""),"",IF(AND(ISNUMBER($F34),AD$2&gt;=$F34,AD$2&lt;=IF(ISNUMBER($G34),$G34,$F34+$E34-$D34)),2,IF(AND(AD$2&gt;=$D34,AD$2&lt;=$E34),1,"")))</f>
        <v/>
      </c>
      <c r="AE34" s="38">
        <f>IF(OR(AE$2="",$D34=""),"",IF(AND(ISNUMBER($F34),AE$2&gt;=$F34,AE$2&lt;=IF(ISNUMBER($G34),$G34,$F34+$E34-$D34)),2,IF(AND(AE$2&gt;=$D34,AE$2&lt;=$E34),1,"")))</f>
        <v/>
      </c>
      <c r="AF34" s="38">
        <f>IF(OR(AF$2="",$D34=""),"",IF(AND(ISNUMBER($F34),AF$2&gt;=$F34,AF$2&lt;=IF(ISNUMBER($G34),$G34,$F34+$E34-$D34)),2,IF(AND(AF$2&gt;=$D34,AF$2&lt;=$E34),1,"")))</f>
        <v/>
      </c>
      <c r="AG34" s="38">
        <f>IF(OR(AG$2="",$D34=""),"",IF(AND(ISNUMBER($F34),AG$2&gt;=$F34,AG$2&lt;=IF(ISNUMBER($G34),$G34,$F34+$E34-$D34)),2,IF(AND(AG$2&gt;=$D34,AG$2&lt;=$E34),1,"")))</f>
        <v/>
      </c>
      <c r="AH34" s="38">
        <f>IF(OR(AH$2="",$D34=""),"",IF(AND(ISNUMBER($F34),AH$2&gt;=$F34,AH$2&lt;=IF(ISNUMBER($G34),$G34,$F34+$E34-$D34)),2,IF(AND(AH$2&gt;=$D34,AH$2&lt;=$E34),1,"")))</f>
        <v/>
      </c>
      <c r="AI34" s="38">
        <f>IF(OR(AI$2="",$D34=""),"",IF(AND(ISNUMBER($F34),AI$2&gt;=$F34,AI$2&lt;=IF(ISNUMBER($G34),$G34,$F34+$E34-$D34)),2,IF(AND(AI$2&gt;=$D34,AI$2&lt;=$E34),1,"")))</f>
        <v/>
      </c>
      <c r="AJ34" s="38">
        <f>IF(OR(AJ$2="",$D34=""),"",IF(AND(ISNUMBER($F34),AJ$2&gt;=$F34,AJ$2&lt;=IF(ISNUMBER($G34),$G34,$F34+$E34-$D34)),2,IF(AND(AJ$2&gt;=$D34,AJ$2&lt;=$E34),1,"")))</f>
        <v/>
      </c>
      <c r="AK34" s="38">
        <f>IF(OR(AK$2="",$D34=""),"",IF(AND(ISNUMBER($F34),AK$2&gt;=$F34,AK$2&lt;=IF(ISNUMBER($G34),$G34,$F34+$E34-$D34)),2,IF(AND(AK$2&gt;=$D34,AK$2&lt;=$E34),1,"")))</f>
        <v/>
      </c>
      <c r="AL34" s="38">
        <f>IF(OR(AL$2="",$D34=""),"",IF(AND(ISNUMBER($F34),AL$2&gt;=$F34,AL$2&lt;=IF(ISNUMBER($G34),$G34,$F34+$E34-$D34)),2,IF(AND(AL$2&gt;=$D34,AL$2&lt;=$E34),1,"")))</f>
        <v/>
      </c>
      <c r="AM34" s="38">
        <f>IF(OR(AM$2="",$D34=""),"",IF(AND(ISNUMBER($F34),AM$2&gt;=$F34,AM$2&lt;=IF(ISNUMBER($G34),$G34,$F34+$E34-$D34)),2,IF(AND(AM$2&gt;=$D34,AM$2&lt;=$E34),1,"")))</f>
        <v/>
      </c>
      <c r="AN34" s="38">
        <f>IF(OR(AN$2="",$D34=""),"",IF(AND(ISNUMBER($F34),AN$2&gt;=$F34,AN$2&lt;=IF(ISNUMBER($G34),$G34,$F34+$E34-$D34)),2,IF(AND(AN$2&gt;=$D34,AN$2&lt;=$E34),1,"")))</f>
        <v/>
      </c>
      <c r="AO34" s="38">
        <f>IF(OR(AO$2="",$D34=""),"",IF(AND(ISNUMBER($F34),AO$2&gt;=$F34,AO$2&lt;=IF(ISNUMBER($G34),$G34,$F34+$E34-$D34)),2,IF(AND(AO$2&gt;=$D34,AO$2&lt;=$E34),1,"")))</f>
        <v/>
      </c>
      <c r="AP34" s="38">
        <f>IF(OR(AP$2="",$D34=""),"",IF(AND(ISNUMBER($F34),AP$2&gt;=$F34,AP$2&lt;=IF(ISNUMBER($G34),$G34,$F34+$E34-$D34)),2,IF(AND(AP$2&gt;=$D34,AP$2&lt;=$E34),1,"")))</f>
        <v/>
      </c>
      <c r="AQ34" s="38">
        <f>IF(OR(AQ$2="",$D34=""),"",IF(AND(ISNUMBER($F34),AQ$2&gt;=$F34,AQ$2&lt;=IF(ISNUMBER($G34),$G34,$F34+$E34-$D34)),2,IF(AND(AQ$2&gt;=$D34,AQ$2&lt;=$E34),1,"")))</f>
        <v/>
      </c>
      <c r="AR34" s="38">
        <f>IF(OR(AR$2="",$D34=""),"",IF(AND(ISNUMBER($F34),AR$2&gt;=$F34,AR$2&lt;=IF(ISNUMBER($G34),$G34,$F34+$E34-$D34)),2,IF(AND(AR$2&gt;=$D34,AR$2&lt;=$E34),1,"")))</f>
        <v/>
      </c>
      <c r="AS34" s="38">
        <f>IF(OR(AS$2="",$D34=""),"",IF(AND(ISNUMBER($F34),AS$2&gt;=$F34,AS$2&lt;=IF(ISNUMBER($G34),$G34,$F34+$E34-$D34)),2,IF(AND(AS$2&gt;=$D34,AS$2&lt;=$E34),1,"")))</f>
        <v/>
      </c>
      <c r="AT34" s="38">
        <f>IF(OR(AT$2="",$D34=""),"",IF(AND(ISNUMBER($F34),AT$2&gt;=$F34,AT$2&lt;=IF(ISNUMBER($G34),$G34,$F34+$E34-$D34)),2,IF(AND(AT$2&gt;=$D34,AT$2&lt;=$E34),1,"")))</f>
        <v/>
      </c>
      <c r="AU34" s="38">
        <f>IF(OR(AU$2="",$D34=""),"",IF(AND(ISNUMBER($F34),AU$2&gt;=$F34,AU$2&lt;=IF(ISNUMBER($G34),$G34,$F34+$E34-$D34)),2,IF(AND(AU$2&gt;=$D34,AU$2&lt;=$E34),1,"")))</f>
        <v/>
      </c>
      <c r="AV34" s="38">
        <f>IF(OR(AV$2="",$D34=""),"",IF(AND(ISNUMBER($F34),AV$2&gt;=$F34,AV$2&lt;=IF(ISNUMBER($G34),$G34,$F34+$E34-$D34)),2,IF(AND(AV$2&gt;=$D34,AV$2&lt;=$E34),1,"")))</f>
        <v/>
      </c>
      <c r="AW34" s="38">
        <f>IF(OR(AW$2="",$D34=""),"",IF(AND(ISNUMBER($F34),AW$2&gt;=$F34,AW$2&lt;=IF(ISNUMBER($G34),$G34,$F34+$E34-$D34)),2,IF(AND(AW$2&gt;=$D34,AW$2&lt;=$E34),1,"")))</f>
        <v/>
      </c>
      <c r="AX34" s="38">
        <f>IF(OR(AX$2="",$D34=""),"",IF(AND(ISNUMBER($F34),AX$2&gt;=$F34,AX$2&lt;=IF(ISNUMBER($G34),$G34,$F34+$E34-$D34)),2,IF(AND(AX$2&gt;=$D34,AX$2&lt;=$E34),1,"")))</f>
        <v/>
      </c>
      <c r="AY34" s="38">
        <f>IF(OR(AY$2="",$D34=""),"",IF(AND(ISNUMBER($F34),AY$2&gt;=$F34,AY$2&lt;=IF(ISNUMBER($G34),$G34,$F34+$E34-$D34)),2,IF(AND(AY$2&gt;=$D34,AY$2&lt;=$E34),1,"")))</f>
        <v/>
      </c>
      <c r="AZ34" s="38">
        <f>IF(OR(AZ$2="",$D34=""),"",IF(AND(ISNUMBER($F34),AZ$2&gt;=$F34,AZ$2&lt;=IF(ISNUMBER($G34),$G34,$F34+$E34-$D34)),2,IF(AND(AZ$2&gt;=$D34,AZ$2&lt;=$E34),1,"")))</f>
        <v/>
      </c>
      <c r="BA34" s="38">
        <f>IF(OR(BA$2="",$D34=""),"",IF(AND(ISNUMBER($F34),BA$2&gt;=$F34,BA$2&lt;=IF(ISNUMBER($G34),$G34,$F34+$E34-$D34)),2,IF(AND(BA$2&gt;=$D34,BA$2&lt;=$E34),1,"")))</f>
        <v/>
      </c>
      <c r="BB34" s="38">
        <f>IF(OR(BB$2="",$D34=""),"",IF(AND(ISNUMBER($F34),BB$2&gt;=$F34,BB$2&lt;=IF(ISNUMBER($G34),$G34,$F34+$E34-$D34)),2,IF(AND(BB$2&gt;=$D34,BB$2&lt;=$E34),1,"")))</f>
        <v/>
      </c>
      <c r="BC34" s="38">
        <f>IF(OR(BC$2="",$D34=""),"",IF(AND(ISNUMBER($F34),BC$2&gt;=$F34,BC$2&lt;=IF(ISNUMBER($G34),$G34,$F34+$E34-$D34)),2,IF(AND(BC$2&gt;=$D34,BC$2&lt;=$E34),1,"")))</f>
        <v/>
      </c>
      <c r="BD34" s="38">
        <f>IF(OR(BD$2="",$D34=""),"",IF(AND(ISNUMBER($F34),BD$2&gt;=$F34,BD$2&lt;=IF(ISNUMBER($G34),$G34,$F34+$E34-$D34)),2,IF(AND(BD$2&gt;=$D34,BD$2&lt;=$E34),1,"")))</f>
        <v/>
      </c>
      <c r="BE34" s="38">
        <f>IF(OR(BE$2="",$D34=""),"",IF(AND(ISNUMBER($F34),BE$2&gt;=$F34,BE$2&lt;=IF(ISNUMBER($G34),$G34,$F34+$E34-$D34)),2,IF(AND(BE$2&gt;=$D34,BE$2&lt;=$E34),1,"")))</f>
        <v/>
      </c>
      <c r="BF34" s="38">
        <f>IF(OR(BF$2="",$D34=""),"",IF(AND(ISNUMBER($F34),BF$2&gt;=$F34,BF$2&lt;=IF(ISNUMBER($G34),$G34,$F34+$E34-$D34)),2,IF(AND(BF$2&gt;=$D34,BF$2&lt;=$E34),1,"")))</f>
        <v/>
      </c>
      <c r="BG34" s="38">
        <f>IF(OR(BG$2="",$D34=""),"",IF(AND(ISNUMBER($F34),BG$2&gt;=$F34,BG$2&lt;=IF(ISNUMBER($G34),$G34,$F34+$E34-$D34)),2,IF(AND(BG$2&gt;=$D34,BG$2&lt;=$E34),1,"")))</f>
        <v/>
      </c>
      <c r="BH34" s="38">
        <f>IF(OR(BH$2="",$D34=""),"",IF(AND(ISNUMBER($F34),BH$2&gt;=$F34,BH$2&lt;=IF(ISNUMBER($G34),$G34,$F34+$E34-$D34)),2,IF(AND(BH$2&gt;=$D34,BH$2&lt;=$E34),1,"")))</f>
        <v/>
      </c>
      <c r="BI34" s="38">
        <f>IF(OR(BI$2="",$D34=""),"",IF(AND(ISNUMBER($F34),BI$2&gt;=$F34,BI$2&lt;=IF(ISNUMBER($G34),$G34,$F34+$E34-$D34)),2,IF(AND(BI$2&gt;=$D34,BI$2&lt;=$E34),1,"")))</f>
        <v/>
      </c>
      <c r="BJ34" s="38">
        <f>IF(OR(BJ$2="",$D34=""),"",IF(AND(ISNUMBER($F34),BJ$2&gt;=$F34,BJ$2&lt;=IF(ISNUMBER($G34),$G34,$F34+$E34-$D34)),2,IF(AND(BJ$2&gt;=$D34,BJ$2&lt;=$E34),1,"")))</f>
        <v/>
      </c>
      <c r="BK34" s="38">
        <f>IF(OR(BK$2="",$D34=""),"",IF(AND(ISNUMBER($F34),BK$2&gt;=$F34,BK$2&lt;=IF(ISNUMBER($G34),$G34,$F34+$E34-$D34)),2,IF(AND(BK$2&gt;=$D34,BK$2&lt;=$E34),1,"")))</f>
        <v/>
      </c>
      <c r="BL34" s="38">
        <f>IF(OR(BL$2="",$D34=""),"",IF(AND(ISNUMBER($F34),BL$2&gt;=$F34,BL$2&lt;=IF(ISNUMBER($G34),$G34,$F34+$E34-$D34)),2,IF(AND(BL$2&gt;=$D34,BL$2&lt;=$E34),1,"")))</f>
        <v/>
      </c>
      <c r="BM34" s="38">
        <f>IF(OR(BM$2="",$D34=""),"",IF(AND(ISNUMBER($F34),BM$2&gt;=$F34,BM$2&lt;=IF(ISNUMBER($G34),$G34,$F34+$E34-$D34)),2,IF(AND(BM$2&gt;=$D34,BM$2&lt;=$E34),1,"")))</f>
        <v/>
      </c>
      <c r="BN34" s="38">
        <f>IF(OR(BN$2="",$D34=""),"",IF(AND(ISNUMBER($F34),BN$2&gt;=$F34,BN$2&lt;=IF(ISNUMBER($G34),$G34,$F34+$E34-$D34)),2,IF(AND(BN$2&gt;=$D34,BN$2&lt;=$E34),1,"")))</f>
        <v/>
      </c>
      <c r="BO34" s="38">
        <f>IF(OR(BO$2="",$D34=""),"",IF(AND(ISNUMBER($F34),BO$2&gt;=$F34,BO$2&lt;=IF(ISNUMBER($G34),$G34,$F34+$E34-$D34)),2,IF(AND(BO$2&gt;=$D34,BO$2&lt;=$E34),1,"")))</f>
        <v/>
      </c>
      <c r="BP34" s="38">
        <f>IF(OR(BP$2="",$D34=""),"",IF(AND(ISNUMBER($F34),BP$2&gt;=$F34,BP$2&lt;=IF(ISNUMBER($G34),$G34,$F34+$E34-$D34)),2,IF(AND(BP$2&gt;=$D34,BP$2&lt;=$E34),1,"")))</f>
        <v/>
      </c>
      <c r="BQ34" s="38">
        <f>IF(OR(BQ$2="",$D34=""),"",IF(AND(ISNUMBER($F34),BQ$2&gt;=$F34,BQ$2&lt;=IF(ISNUMBER($G34),$G34,$F34+$E34-$D34)),2,IF(AND(BQ$2&gt;=$D34,BQ$2&lt;=$E34),1,"")))</f>
        <v/>
      </c>
      <c r="BR34" s="38">
        <f>IF(OR(BR$2="",$D34=""),"",IF(AND(ISNUMBER($F34),BR$2&gt;=$F34,BR$2&lt;=IF(ISNUMBER($G34),$G34,$F34+$E34-$D34)),2,IF(AND(BR$2&gt;=$D34,BR$2&lt;=$E34),1,"")))</f>
        <v/>
      </c>
      <c r="BS34" s="38">
        <f>IF(OR(BS$2="",$D34=""),"",IF(AND(ISNUMBER($F34),BS$2&gt;=$F34,BS$2&lt;=IF(ISNUMBER($G34),$G34,$F34+$E34-$D34)),2,IF(AND(BS$2&gt;=$D34,BS$2&lt;=$E34),1,"")))</f>
        <v/>
      </c>
      <c r="BT34" s="38">
        <f>IF(OR(BT$2="",$D34=""),"",IF(AND(ISNUMBER($F34),BT$2&gt;=$F34,BT$2&lt;=IF(ISNUMBER($G34),$G34,$F34+$E34-$D34)),2,IF(AND(BT$2&gt;=$D34,BT$2&lt;=$E34),1,"")))</f>
        <v/>
      </c>
      <c r="BU34" s="38">
        <f>IF(OR(BU$2="",$D34=""),"",IF(AND(ISNUMBER($F34),BU$2&gt;=$F34,BU$2&lt;=IF(ISNUMBER($G34),$G34,$F34+$E34-$D34)),2,IF(AND(BU$2&gt;=$D34,BU$2&lt;=$E34),1,"")))</f>
        <v/>
      </c>
      <c r="BV34" s="38">
        <f>IF(OR(BV$2="",$D34=""),"",IF(AND(ISNUMBER($F34),BV$2&gt;=$F34,BV$2&lt;=IF(ISNUMBER($G34),$G34,$F34+$E34-$D34)),2,IF(AND(BV$2&gt;=$D34,BV$2&lt;=$E34),1,"")))</f>
        <v/>
      </c>
      <c r="BW34" s="38">
        <f>IF(OR(BW$2="",$D34=""),"",IF(AND(ISNUMBER($F34),BW$2&gt;=$F34,BW$2&lt;=IF(ISNUMBER($G34),$G34,$F34+$E34-$D34)),2,IF(AND(BW$2&gt;=$D34,BW$2&lt;=$E34),1,"")))</f>
        <v/>
      </c>
      <c r="BX34" s="38">
        <f>IF(OR(BX$2="",$D34=""),"",IF(AND(ISNUMBER($F34),BX$2&gt;=$F34,BX$2&lt;=IF(ISNUMBER($G34),$G34,$F34+$E34-$D34)),2,IF(AND(BX$2&gt;=$D34,BX$2&lt;=$E34),1,"")))</f>
        <v/>
      </c>
      <c r="BY34" s="38">
        <f>IF(OR(BY$2="",$D34=""),"",IF(AND(ISNUMBER($F34),BY$2&gt;=$F34,BY$2&lt;=IF(ISNUMBER($G34),$G34,$F34+$E34-$D34)),2,IF(AND(BY$2&gt;=$D34,BY$2&lt;=$E34),1,"")))</f>
        <v/>
      </c>
      <c r="BZ34" s="38">
        <f>IF(OR(BZ$2="",$D34=""),"",IF(AND(ISNUMBER($F34),BZ$2&gt;=$F34,BZ$2&lt;=IF(ISNUMBER($G34),$G34,$F34+$E34-$D34)),2,IF(AND(BZ$2&gt;=$D34,BZ$2&lt;=$E34),1,"")))</f>
        <v/>
      </c>
      <c r="CA34" s="38">
        <f>IF(OR(CA$2="",$D34=""),"",IF(AND(ISNUMBER($F34),CA$2&gt;=$F34,CA$2&lt;=IF(ISNUMBER($G34),$G34,$F34+$E34-$D34)),2,IF(AND(CA$2&gt;=$D34,CA$2&lt;=$E34),1,"")))</f>
        <v/>
      </c>
      <c r="CB34" s="38">
        <f>IF(OR(CB$2="",$D34=""),"",IF(AND(ISNUMBER($F34),CB$2&gt;=$F34,CB$2&lt;=IF(ISNUMBER($G34),$G34,$F34+$E34-$D34)),2,IF(AND(CB$2&gt;=$D34,CB$2&lt;=$E34),1,"")))</f>
        <v/>
      </c>
      <c r="CC34" s="38">
        <f>IF(OR(CC$2="",$D34=""),"",IF(AND(ISNUMBER($F34),CC$2&gt;=$F34,CC$2&lt;=IF(ISNUMBER($G34),$G34,$F34+$E34-$D34)),2,IF(AND(CC$2&gt;=$D34,CC$2&lt;=$E34),1,"")))</f>
        <v/>
      </c>
      <c r="CD34" s="38">
        <f>IF(OR(CD$2="",$D34=""),"",IF(AND(ISNUMBER($F34),CD$2&gt;=$F34,CD$2&lt;=IF(ISNUMBER($G34),$G34,$F34+$E34-$D34)),2,IF(AND(CD$2&gt;=$D34,CD$2&lt;=$E34),1,"")))</f>
        <v/>
      </c>
      <c r="CE34" s="38">
        <f>IF(OR(CE$2="",$D34=""),"",IF(AND(ISNUMBER($F34),CE$2&gt;=$F34,CE$2&lt;=IF(ISNUMBER($G34),$G34,$F34+$E34-$D34)),2,IF(AND(CE$2&gt;=$D34,CE$2&lt;=$E34),1,"")))</f>
        <v/>
      </c>
      <c r="CF34" s="38">
        <f>IF(OR(CF$2="",$D34=""),"",IF(AND(ISNUMBER($F34),CF$2&gt;=$F34,CF$2&lt;=IF(ISNUMBER($G34),$G34,$F34+$E34-$D34)),2,IF(AND(CF$2&gt;=$D34,CF$2&lt;=$E34),1,"")))</f>
        <v/>
      </c>
      <c r="CG34" s="38">
        <f>IF(OR(CG$2="",$D34=""),"",IF(AND(ISNUMBER($F34),CG$2&gt;=$F34,CG$2&lt;=IF(ISNUMBER($G34),$G34,$F34+$E34-$D34)),2,IF(AND(CG$2&gt;=$D34,CG$2&lt;=$E34),1,"")))</f>
        <v/>
      </c>
      <c r="CH34" s="38">
        <f>IF(OR(CH$2="",$D34=""),"",IF(AND(ISNUMBER($F34),CH$2&gt;=$F34,CH$2&lt;=IF(ISNUMBER($G34),$G34,$F34+$E34-$D34)),2,IF(AND(CH$2&gt;=$D34,CH$2&lt;=$E34),1,"")))</f>
        <v/>
      </c>
      <c r="CI34" s="38">
        <f>IF(OR(CI$2="",$D34=""),"",IF(AND(ISNUMBER($F34),CI$2&gt;=$F34,CI$2&lt;=IF(ISNUMBER($G34),$G34,$F34+$E34-$D34)),2,IF(AND(CI$2&gt;=$D34,CI$2&lt;=$E34),1,"")))</f>
        <v/>
      </c>
      <c r="CJ34" s="38">
        <f>IF(OR(CJ$2="",$D34=""),"",IF(AND(ISNUMBER($F34),CJ$2&gt;=$F34,CJ$2&lt;=IF(ISNUMBER($G34),$G34,$F34+$E34-$D34)),2,IF(AND(CJ$2&gt;=$D34,CJ$2&lt;=$E34),1,"")))</f>
        <v/>
      </c>
      <c r="CK34" s="38">
        <f>IF(OR(CK$2="",$D34=""),"",IF(AND(ISNUMBER($F34),CK$2&gt;=$F34,CK$2&lt;=IF(ISNUMBER($G34),$G34,$F34+$E34-$D34)),2,IF(AND(CK$2&gt;=$D34,CK$2&lt;=$E34),1,"")))</f>
        <v/>
      </c>
      <c r="CL34" s="38">
        <f>IF(OR(CL$2="",$D34=""),"",IF(AND(ISNUMBER($F34),CL$2&gt;=$F34,CL$2&lt;=IF(ISNUMBER($G34),$G34,$F34+$E34-$D34)),2,IF(AND(CL$2&gt;=$D34,CL$2&lt;=$E34),1,"")))</f>
        <v/>
      </c>
      <c r="CM34" s="38">
        <f>IF(OR(CM$2="",$D34=""),"",IF(AND(ISNUMBER($F34),CM$2&gt;=$F34,CM$2&lt;=IF(ISNUMBER($G34),$G34,$F34+$E34-$D34)),2,IF(AND(CM$2&gt;=$D34,CM$2&lt;=$E34),1,"")))</f>
        <v/>
      </c>
      <c r="CN34" s="38">
        <f>IF(OR(CN$2="",$D34=""),"",IF(AND(ISNUMBER($F34),CN$2&gt;=$F34,CN$2&lt;=IF(ISNUMBER($G34),$G34,$F34+$E34-$D34)),2,IF(AND(CN$2&gt;=$D34,CN$2&lt;=$E34),1,"")))</f>
        <v/>
      </c>
      <c r="CO34" s="38">
        <f>IF(OR(CO$2="",$D34=""),"",IF(AND(ISNUMBER($F34),CO$2&gt;=$F34,CO$2&lt;=IF(ISNUMBER($G34),$G34,$F34+$E34-$D34)),2,IF(AND(CO$2&gt;=$D34,CO$2&lt;=$E34),1,"")))</f>
        <v/>
      </c>
      <c r="CP34" s="38">
        <f>IF(OR(CP$2="",$D34=""),"",IF(AND(ISNUMBER($F34),CP$2&gt;=$F34,CP$2&lt;=IF(ISNUMBER($G34),$G34,$F34+$E34-$D34)),2,IF(AND(CP$2&gt;=$D34,CP$2&lt;=$E34),1,"")))</f>
        <v/>
      </c>
      <c r="CQ34" s="38">
        <f>IF(OR(CQ$2="",$D34=""),"",IF(AND(ISNUMBER($F34),CQ$2&gt;=$F34,CQ$2&lt;=IF(ISNUMBER($G34),$G34,$F34+$E34-$D34)),2,IF(AND(CQ$2&gt;=$D34,CQ$2&lt;=$E34),1,"")))</f>
        <v/>
      </c>
      <c r="CR34" s="38">
        <f>IF(OR(CR$2="",$D34=""),"",IF(AND(ISNUMBER($F34),CR$2&gt;=$F34,CR$2&lt;=IF(ISNUMBER($G34),$G34,$F34+$E34-$D34)),2,IF(AND(CR$2&gt;=$D34,CR$2&lt;=$E34),1,"")))</f>
        <v/>
      </c>
      <c r="CS34" s="38">
        <f>IF(OR(CS$2="",$D34=""),"",IF(AND(ISNUMBER($F34),CS$2&gt;=$F34,CS$2&lt;=IF(ISNUMBER($G34),$G34,$F34+$E34-$D34)),2,IF(AND(CS$2&gt;=$D34,CS$2&lt;=$E34),1,"")))</f>
        <v/>
      </c>
      <c r="CT34" s="38">
        <f>IF(OR(CT$2="",$D34=""),"",IF(AND(ISNUMBER($F34),CT$2&gt;=$F34,CT$2&lt;=IF(ISNUMBER($G34),$G34,$F34+$E34-$D34)),2,IF(AND(CT$2&gt;=$D34,CT$2&lt;=$E34),1,"")))</f>
        <v/>
      </c>
      <c r="CU34" s="38">
        <f>IF(OR(CU$2="",$D34=""),"",IF(AND(ISNUMBER($F34),CU$2&gt;=$F34,CU$2&lt;=IF(ISNUMBER($G34),$G34,$F34+$E34-$D34)),2,IF(AND(CU$2&gt;=$D34,CU$2&lt;=$E34),1,"")))</f>
        <v/>
      </c>
      <c r="CV34" s="38">
        <f>IF(OR(CV$2="",$D34=""),"",IF(AND(ISNUMBER($F34),CV$2&gt;=$F34,CV$2&lt;=IF(ISNUMBER($G34),$G34,$F34+$E34-$D34)),2,IF(AND(CV$2&gt;=$D34,CV$2&lt;=$E34),1,"")))</f>
        <v/>
      </c>
      <c r="CW34" s="38">
        <f>IF(OR(CW$2="",$D34=""),"",IF(AND(ISNUMBER($F34),CW$2&gt;=$F34,CW$2&lt;=IF(ISNUMBER($G34),$G34,$F34+$E34-$D34)),2,IF(AND(CW$2&gt;=$D34,CW$2&lt;=$E34),1,"")))</f>
        <v/>
      </c>
      <c r="CX34" s="38">
        <f>IF(OR(CX$2="",$D34=""),"",IF(AND(ISNUMBER($F34),CX$2&gt;=$F34,CX$2&lt;=IF(ISNUMBER($G34),$G34,$F34+$E34-$D34)),2,IF(AND(CX$2&gt;=$D34,CX$2&lt;=$E34),1,"")))</f>
        <v/>
      </c>
      <c r="CY34" s="38">
        <f>IF(OR(CY$2="",$D34=""),"",IF(AND(ISNUMBER($F34),CY$2&gt;=$F34,CY$2&lt;=IF(ISNUMBER($G34),$G34,$F34+$E34-$D34)),2,IF(AND(CY$2&gt;=$D34,CY$2&lt;=$E34),1,"")))</f>
        <v/>
      </c>
      <c r="CZ34" s="38">
        <f>IF(OR(CZ$2="",$D34=""),"",IF(AND(ISNUMBER($F34),CZ$2&gt;=$F34,CZ$2&lt;=IF(ISNUMBER($G34),$G34,$F34+$E34-$D34)),2,IF(AND(CZ$2&gt;=$D34,CZ$2&lt;=$E34),1,"")))</f>
        <v/>
      </c>
      <c r="DA34" s="38">
        <f>IF(OR(DA$2="",$D34=""),"",IF(AND(ISNUMBER($F34),DA$2&gt;=$F34,DA$2&lt;=IF(ISNUMBER($G34),$G34,$F34+$E34-$D34)),2,IF(AND(DA$2&gt;=$D34,DA$2&lt;=$E34),1,"")))</f>
        <v/>
      </c>
      <c r="DB34" s="38">
        <f>IF(OR(DB$2="",$D34=""),"",IF(AND(ISNUMBER($F34),DB$2&gt;=$F34,DB$2&lt;=IF(ISNUMBER($G34),$G34,$F34+$E34-$D34)),2,IF(AND(DB$2&gt;=$D34,DB$2&lt;=$E34),1,"")))</f>
        <v/>
      </c>
      <c r="DC34" s="38">
        <f>IF(OR(DC$2="",$D34=""),"",IF(AND(ISNUMBER($F34),DC$2&gt;=$F34,DC$2&lt;=IF(ISNUMBER($G34),$G34,$F34+$E34-$D34)),2,IF(AND(DC$2&gt;=$D34,DC$2&lt;=$E34),1,"")))</f>
        <v/>
      </c>
      <c r="DD34" s="38">
        <f>IF(OR(DD$2="",$D34=""),"",IF(AND(ISNUMBER($F34),DD$2&gt;=$F34,DD$2&lt;=IF(ISNUMBER($G34),$G34,$F34+$E34-$D34)),2,IF(AND(DD$2&gt;=$D34,DD$2&lt;=$E34),1,"")))</f>
        <v/>
      </c>
      <c r="DE34" s="38">
        <f>IF(OR(DE$2="",$D34=""),"",IF(AND(ISNUMBER($F34),DE$2&gt;=$F34,DE$2&lt;=IF(ISNUMBER($G34),$G34,$F34+$E34-$D34)),2,IF(AND(DE$2&gt;=$D34,DE$2&lt;=$E34),1,"")))</f>
        <v/>
      </c>
      <c r="DF34" s="38">
        <f>IF(OR(DF$2="",$D34=""),"",IF(AND(ISNUMBER($F34),DF$2&gt;=$F34,DF$2&lt;=IF(ISNUMBER($G34),$G34,$F34+$E34-$D34)),2,IF(AND(DF$2&gt;=$D34,DF$2&lt;=$E34),1,"")))</f>
        <v/>
      </c>
      <c r="DG34" s="38">
        <f>IF(OR(DG$2="",$D34=""),"",IF(AND(ISNUMBER($F34),DG$2&gt;=$F34,DG$2&lt;=IF(ISNUMBER($G34),$G34,$F34+$E34-$D34)),2,IF(AND(DG$2&gt;=$D34,DG$2&lt;=$E34),1,"")))</f>
        <v/>
      </c>
      <c r="DH34" s="38">
        <f>IF(OR(DH$2="",$D34=""),"",IF(AND(ISNUMBER($F34),DH$2&gt;=$F34,DH$2&lt;=IF(ISNUMBER($G34),$G34,$F34+$E34-$D34)),2,IF(AND(DH$2&gt;=$D34,DH$2&lt;=$E34),1,"")))</f>
        <v/>
      </c>
      <c r="DI34" s="38">
        <f>IF(OR(DI$2="",$D34=""),"",IF(AND(ISNUMBER($F34),DI$2&gt;=$F34,DI$2&lt;=IF(ISNUMBER($G34),$G34,$F34+$E34-$D34)),2,IF(AND(DI$2&gt;=$D34,DI$2&lt;=$E34),1,"")))</f>
        <v/>
      </c>
      <c r="DJ34" s="38">
        <f>IF(OR(DJ$2="",$D34=""),"",IF(AND(ISNUMBER($F34),DJ$2&gt;=$F34,DJ$2&lt;=IF(ISNUMBER($G34),$G34,$F34+$E34-$D34)),2,IF(AND(DJ$2&gt;=$D34,DJ$2&lt;=$E34),1,"")))</f>
        <v/>
      </c>
      <c r="DK34" s="38">
        <f>IF(OR(DK$2="",$D34=""),"",IF(AND(ISNUMBER($F34),DK$2&gt;=$F34,DK$2&lt;=IF(ISNUMBER($G34),$G34,$F34+$E34-$D34)),2,IF(AND(DK$2&gt;=$D34,DK$2&lt;=$E34),1,"")))</f>
        <v/>
      </c>
      <c r="DL34" s="38">
        <f>IF(OR(DL$2="",$D34=""),"",IF(AND(ISNUMBER($F34),DL$2&gt;=$F34,DL$2&lt;=IF(ISNUMBER($G34),$G34,$F34+$E34-$D34)),2,IF(AND(DL$2&gt;=$D34,DL$2&lt;=$E34),1,"")))</f>
        <v/>
      </c>
      <c r="DM34" s="38">
        <f>IF(OR(DM$2="",$D34=""),"",IF(AND(ISNUMBER($F34),DM$2&gt;=$F34,DM$2&lt;=IF(ISNUMBER($G34),$G34,$F34+$E34-$D34)),2,IF(AND(DM$2&gt;=$D34,DM$2&lt;=$E34),1,"")))</f>
        <v/>
      </c>
      <c r="DN34" s="38">
        <f>IF(OR(DN$2="",$D34=""),"",IF(AND(ISNUMBER($F34),DN$2&gt;=$F34,DN$2&lt;=IF(ISNUMBER($G34),$G34,$F34+$E34-$D34)),2,IF(AND(DN$2&gt;=$D34,DN$2&lt;=$E34),1,"")))</f>
        <v/>
      </c>
      <c r="DO34" s="38">
        <f>IF(OR(DO$2="",$D34=""),"",IF(AND(ISNUMBER($F34),DO$2&gt;=$F34,DO$2&lt;=IF(ISNUMBER($G34),$G34,$F34+$E34-$D34)),2,IF(AND(DO$2&gt;=$D34,DO$2&lt;=$E34),1,"")))</f>
        <v/>
      </c>
      <c r="DP34" s="38">
        <f>IF(OR(DP$2="",$D34=""),"",IF(AND(ISNUMBER($F34),DP$2&gt;=$F34,DP$2&lt;=IF(ISNUMBER($G34),$G34,$F34+$E34-$D34)),2,IF(AND(DP$2&gt;=$D34,DP$2&lt;=$E34),1,"")))</f>
        <v/>
      </c>
      <c r="DQ34" s="38">
        <f>IF(OR(DQ$2="",$D34=""),"",IF(AND(ISNUMBER($F34),DQ$2&gt;=$F34,DQ$2&lt;=IF(ISNUMBER($G34),$G34,$F34+$E34-$D34)),2,IF(AND(DQ$2&gt;=$D34,DQ$2&lt;=$E34),1,"")))</f>
        <v/>
      </c>
      <c r="DR34" s="38">
        <f>IF(OR(DR$2="",$D34=""),"",IF(AND(ISNUMBER($F34),DR$2&gt;=$F34,DR$2&lt;=IF(ISNUMBER($G34),$G34,$F34+$E34-$D34)),2,IF(AND(DR$2&gt;=$D34,DR$2&lt;=$E34),1,"")))</f>
        <v/>
      </c>
      <c r="DS34" s="38">
        <f>IF(OR(DS$2="",$D34=""),"",IF(AND(ISNUMBER($F34),DS$2&gt;=$F34,DS$2&lt;=IF(ISNUMBER($G34),$G34,$F34+$E34-$D34)),2,IF(AND(DS$2&gt;=$D34,DS$2&lt;=$E34),1,"")))</f>
        <v/>
      </c>
      <c r="DT34" s="38">
        <f>IF(OR(DT$2="",$D34=""),"",IF(AND(ISNUMBER($F34),DT$2&gt;=$F34,DT$2&lt;=IF(ISNUMBER($G34),$G34,$F34+$E34-$D34)),2,IF(AND(DT$2&gt;=$D34,DT$2&lt;=$E34),1,"")))</f>
        <v/>
      </c>
      <c r="DU34" s="38">
        <f>IF(OR(DU$2="",$D34=""),"",IF(AND(ISNUMBER($F34),DU$2&gt;=$F34,DU$2&lt;=IF(ISNUMBER($G34),$G34,$F34+$E34-$D34)),2,IF(AND(DU$2&gt;=$D34,DU$2&lt;=$E34),1,"")))</f>
        <v/>
      </c>
      <c r="DV34" s="38">
        <f>IF(OR(DV$2="",$D34=""),"",IF(AND(ISNUMBER($F34),DV$2&gt;=$F34,DV$2&lt;=IF(ISNUMBER($G34),$G34,$F34+$E34-$D34)),2,IF(AND(DV$2&gt;=$D34,DV$2&lt;=$E34),1,"")))</f>
        <v/>
      </c>
      <c r="DW34" s="38">
        <f>IF(OR(DW$2="",$D34=""),"",IF(AND(ISNUMBER($F34),DW$2&gt;=$F34,DW$2&lt;=IF(ISNUMBER($G34),$G34,$F34+$E34-$D34)),2,IF(AND(DW$2&gt;=$D34,DW$2&lt;=$E34),1,"")))</f>
        <v/>
      </c>
      <c r="DX34" s="38">
        <f>IF(OR(DX$2="",$D34=""),"",IF(AND(ISNUMBER($F34),DX$2&gt;=$F34,DX$2&lt;=IF(ISNUMBER($G34),$G34,$F34+$E34-$D34)),2,IF(AND(DX$2&gt;=$D34,DX$2&lt;=$E34),1,"")))</f>
        <v/>
      </c>
      <c r="DY34" s="38">
        <f>IF(OR(DY$2="",$D34=""),"",IF(AND(ISNUMBER($F34),DY$2&gt;=$F34,DY$2&lt;=IF(ISNUMBER($G34),$G34,$F34+$E34-$D34)),2,IF(AND(DY$2&gt;=$D34,DY$2&lt;=$E34),1,"")))</f>
        <v/>
      </c>
      <c r="DZ34" s="38">
        <f>IF(OR(DZ$2="",$D34=""),"",IF(AND(ISNUMBER($F34),DZ$2&gt;=$F34,DZ$2&lt;=IF(ISNUMBER($G34),$G34,$F34+$E34-$D34)),2,IF(AND(DZ$2&gt;=$D34,DZ$2&lt;=$E34),1,"")))</f>
        <v/>
      </c>
      <c r="EA34" s="38">
        <f>IF(OR(EA$2="",$D34=""),"",IF(AND(ISNUMBER($F34),EA$2&gt;=$F34,EA$2&lt;=IF(ISNUMBER($G34),$G34,$F34+$E34-$D34)),2,IF(AND(EA$2&gt;=$D34,EA$2&lt;=$E34),1,"")))</f>
        <v/>
      </c>
      <c r="EB34" s="38">
        <f>IF(OR(EB$2="",$D34=""),"",IF(AND(ISNUMBER($F34),EB$2&gt;=$F34,EB$2&lt;=IF(ISNUMBER($G34),$G34,$F34+$E34-$D34)),2,IF(AND(EB$2&gt;=$D34,EB$2&lt;=$E34),1,"")))</f>
        <v/>
      </c>
      <c r="EC34" s="38">
        <f>IF(OR(EC$2="",$D34=""),"",IF(AND(ISNUMBER($F34),EC$2&gt;=$F34,EC$2&lt;=IF(ISNUMBER($G34),$G34,$F34+$E34-$D34)),2,IF(AND(EC$2&gt;=$D34,EC$2&lt;=$E34),1,"")))</f>
        <v/>
      </c>
      <c r="ED34" s="38">
        <f>IF(OR(ED$2="",$D34=""),"",IF(AND(ISNUMBER($F34),ED$2&gt;=$F34,ED$2&lt;=IF(ISNUMBER($G34),$G34,$F34+$E34-$D34)),2,IF(AND(ED$2&gt;=$D34,ED$2&lt;=$E34),1,"")))</f>
        <v/>
      </c>
      <c r="EE34" s="38">
        <f>IF(OR(EE$2="",$D34=""),"",IF(AND(ISNUMBER($F34),EE$2&gt;=$F34,EE$2&lt;=IF(ISNUMBER($G34),$G34,$F34+$E34-$D34)),2,IF(AND(EE$2&gt;=$D34,EE$2&lt;=$E34),1,"")))</f>
        <v/>
      </c>
      <c r="EF34" s="38">
        <f>IF(OR(EF$2="",$D34=""),"",IF(AND(ISNUMBER($F34),EF$2&gt;=$F34,EF$2&lt;=IF(ISNUMBER($G34),$G34,$F34+$E34-$D34)),2,IF(AND(EF$2&gt;=$D34,EF$2&lt;=$E34),1,"")))</f>
        <v/>
      </c>
      <c r="EG34" s="38">
        <f>IF(OR(EG$2="",$D34=""),"",IF(AND(ISNUMBER($F34),EG$2&gt;=$F34,EG$2&lt;=IF(ISNUMBER($G34),$G34,$F34+$E34-$D34)),2,IF(AND(EG$2&gt;=$D34,EG$2&lt;=$E34),1,"")))</f>
        <v/>
      </c>
      <c r="EH34" s="38">
        <f>IF(OR(EH$2="",$D34=""),"",IF(AND(ISNUMBER($F34),EH$2&gt;=$F34,EH$2&lt;=IF(ISNUMBER($G34),$G34,$F34+$E34-$D34)),2,IF(AND(EH$2&gt;=$D34,EH$2&lt;=$E34),1,"")))</f>
        <v/>
      </c>
      <c r="EI34" s="38">
        <f>IF(OR(EI$2="",$D34=""),"",IF(AND(ISNUMBER($F34),EI$2&gt;=$F34,EI$2&lt;=IF(ISNUMBER($G34),$G34,$F34+$E34-$D34)),2,IF(AND(EI$2&gt;=$D34,EI$2&lt;=$E34),1,"")))</f>
        <v/>
      </c>
      <c r="EJ34" s="38">
        <f>IF(OR(EJ$2="",$D34=""),"",IF(AND(ISNUMBER($F34),EJ$2&gt;=$F34,EJ$2&lt;=IF(ISNUMBER($G34),$G34,$F34+$E34-$D34)),2,IF(AND(EJ$2&gt;=$D34,EJ$2&lt;=$E34),1,"")))</f>
        <v/>
      </c>
      <c r="EK34" s="38">
        <f>IF(OR(EK$2="",$D34=""),"",IF(AND(ISNUMBER($F34),EK$2&gt;=$F34,EK$2&lt;=IF(ISNUMBER($G34),$G34,$F34+$E34-$D34)),2,IF(AND(EK$2&gt;=$D34,EK$2&lt;=$E34),1,"")))</f>
        <v/>
      </c>
      <c r="EL34" s="38">
        <f>IF(OR(EL$2="",$D34=""),"",IF(AND(ISNUMBER($F34),EL$2&gt;=$F34,EL$2&lt;=IF(ISNUMBER($G34),$G34,$F34+$E34-$D34)),2,IF(AND(EL$2&gt;=$D34,EL$2&lt;=$E34),1,"")))</f>
        <v/>
      </c>
      <c r="EM34" s="38">
        <f>IF(OR(EM$2="",$D34=""),"",IF(AND(ISNUMBER($F34),EM$2&gt;=$F34,EM$2&lt;=IF(ISNUMBER($G34),$G34,$F34+$E34-$D34)),2,IF(AND(EM$2&gt;=$D34,EM$2&lt;=$E34),1,"")))</f>
        <v/>
      </c>
      <c r="EN34" s="38">
        <f>IF(OR(EN$2="",$D34=""),"",IF(AND(ISNUMBER($F34),EN$2&gt;=$F34,EN$2&lt;=IF(ISNUMBER($G34),$G34,$F34+$E34-$D34)),2,IF(AND(EN$2&gt;=$D34,EN$2&lt;=$E34),1,"")))</f>
        <v/>
      </c>
      <c r="EO34" s="38">
        <f>IF(OR(EO$2="",$D34=""),"",IF(AND(ISNUMBER($F34),EO$2&gt;=$F34,EO$2&lt;=IF(ISNUMBER($G34),$G34,$F34+$E34-$D34)),2,IF(AND(EO$2&gt;=$D34,EO$2&lt;=$E34),1,"")))</f>
        <v/>
      </c>
      <c r="EP34" s="38">
        <f>IF(OR(EP$2="",$D34=""),"",IF(AND(ISNUMBER($F34),EP$2&gt;=$F34,EP$2&lt;=IF(ISNUMBER($G34),$G34,$F34+$E34-$D34)),2,IF(AND(EP$2&gt;=$D34,EP$2&lt;=$E34),1,"")))</f>
        <v/>
      </c>
      <c r="EQ34" s="38">
        <f>IF(OR(EQ$2="",$D34=""),"",IF(AND(ISNUMBER($F34),EQ$2&gt;=$F34,EQ$2&lt;=IF(ISNUMBER($G34),$G34,$F34+$E34-$D34)),2,IF(AND(EQ$2&gt;=$D34,EQ$2&lt;=$E34),1,"")))</f>
        <v/>
      </c>
      <c r="ER34" s="38">
        <f>IF(OR(ER$2="",$D34=""),"",IF(AND(ISNUMBER($F34),ER$2&gt;=$F34,ER$2&lt;=IF(ISNUMBER($G34),$G34,$F34+$E34-$D34)),2,IF(AND(ER$2&gt;=$D34,ER$2&lt;=$E34),1,"")))</f>
        <v/>
      </c>
      <c r="ES34" s="38">
        <f>IF(OR(ES$2="",$D34=""),"",IF(AND(ISNUMBER($F34),ES$2&gt;=$F34,ES$2&lt;=IF(ISNUMBER($G34),$G34,$F34+$E34-$D34)),2,IF(AND(ES$2&gt;=$D34,ES$2&lt;=$E34),1,"")))</f>
        <v/>
      </c>
      <c r="ET34" s="38">
        <f>IF(OR(ET$2="",$D34=""),"",IF(AND(ISNUMBER($F34),ET$2&gt;=$F34,ET$2&lt;=IF(ISNUMBER($G34),$G34,$F34+$E34-$D34)),2,IF(AND(ET$2&gt;=$D34,ET$2&lt;=$E34),1,"")))</f>
        <v/>
      </c>
      <c r="EU34" s="38">
        <f>IF(OR(EU$2="",$D34=""),"",IF(AND(ISNUMBER($F34),EU$2&gt;=$F34,EU$2&lt;=IF(ISNUMBER($G34),$G34,$F34+$E34-$D34)),2,IF(AND(EU$2&gt;=$D34,EU$2&lt;=$E34),1,"")))</f>
        <v/>
      </c>
      <c r="EV34" s="38">
        <f>IF(OR(EV$2="",$D34=""),"",IF(AND(ISNUMBER($F34),EV$2&gt;=$F34,EV$2&lt;=IF(ISNUMBER($G34),$G34,$F34+$E34-$D34)),2,IF(AND(EV$2&gt;=$D34,EV$2&lt;=$E34),1,"")))</f>
        <v/>
      </c>
      <c r="EW34" s="38">
        <f>IF(OR(EW$2="",$D34=""),"",IF(AND(ISNUMBER($F34),EW$2&gt;=$F34,EW$2&lt;=IF(ISNUMBER($G34),$G34,$F34+$E34-$D34)),2,IF(AND(EW$2&gt;=$D34,EW$2&lt;=$E34),1,"")))</f>
        <v/>
      </c>
      <c r="EX34" s="38">
        <f>IF(OR(EX$2="",$D34=""),"",IF(AND(ISNUMBER($F34),EX$2&gt;=$F34,EX$2&lt;=IF(ISNUMBER($G34),$G34,$F34+$E34-$D34)),2,IF(AND(EX$2&gt;=$D34,EX$2&lt;=$E34),1,"")))</f>
        <v/>
      </c>
      <c r="EY34" s="38">
        <f>IF(OR(EY$2="",$D34=""),"",IF(AND(ISNUMBER($F34),EY$2&gt;=$F34,EY$2&lt;=IF(ISNUMBER($G34),$G34,$F34+$E34-$D34)),2,IF(AND(EY$2&gt;=$D34,EY$2&lt;=$E34),1,"")))</f>
        <v/>
      </c>
      <c r="EZ34" s="38">
        <f>IF(OR(EZ$2="",$D34=""),"",IF(AND(ISNUMBER($F34),EZ$2&gt;=$F34,EZ$2&lt;=IF(ISNUMBER($G34),$G34,$F34+$E34-$D34)),2,IF(AND(EZ$2&gt;=$D34,EZ$2&lt;=$E34),1,"")))</f>
        <v/>
      </c>
      <c r="FA34" s="38">
        <f>IF(OR(FA$2="",$D34=""),"",IF(AND(ISNUMBER($F34),FA$2&gt;=$F34,FA$2&lt;=IF(ISNUMBER($G34),$G34,$F34+$E34-$D34)),2,IF(AND(FA$2&gt;=$D34,FA$2&lt;=$E34),1,"")))</f>
        <v/>
      </c>
      <c r="FB34" s="38">
        <f>IF(OR(FB$2="",$D34=""),"",IF(AND(ISNUMBER($F34),FB$2&gt;=$F34,FB$2&lt;=IF(ISNUMBER($G34),$G34,$F34+$E34-$D34)),2,IF(AND(FB$2&gt;=$D34,FB$2&lt;=$E34),1,"")))</f>
        <v/>
      </c>
      <c r="FC34" s="38">
        <f>IF(OR(FC$2="",$D34=""),"",IF(AND(ISNUMBER($F34),FC$2&gt;=$F34,FC$2&lt;=IF(ISNUMBER($G34),$G34,$F34+$E34-$D34)),2,IF(AND(FC$2&gt;=$D34,FC$2&lt;=$E34),1,"")))</f>
        <v/>
      </c>
      <c r="FD34" s="38">
        <f>IF(OR(FD$2="",$D34=""),"",IF(AND(ISNUMBER($F34),FD$2&gt;=$F34,FD$2&lt;=IF(ISNUMBER($G34),$G34,$F34+$E34-$D34)),2,IF(AND(FD$2&gt;=$D34,FD$2&lt;=$E34),1,"")))</f>
        <v/>
      </c>
      <c r="FE34" s="38">
        <f>IF(OR(FE$2="",$D34=""),"",IF(AND(ISNUMBER($F34),FE$2&gt;=$F34,FE$2&lt;=IF(ISNUMBER($G34),$G34,$F34+$E34-$D34)),2,IF(AND(FE$2&gt;=$D34,FE$2&lt;=$E34),1,"")))</f>
        <v/>
      </c>
      <c r="FF34" s="38">
        <f>IF(OR(FF$2="",$D34=""),"",IF(AND(ISNUMBER($F34),FF$2&gt;=$F34,FF$2&lt;=IF(ISNUMBER($G34),$G34,$F34+$E34-$D34)),2,IF(AND(FF$2&gt;=$D34,FF$2&lt;=$E34),1,"")))</f>
        <v/>
      </c>
      <c r="FG34" s="38">
        <f>IF(OR(FG$2="",$D34=""),"",IF(AND(ISNUMBER($F34),FG$2&gt;=$F34,FG$2&lt;=IF(ISNUMBER($G34),$G34,$F34+$E34-$D34)),2,IF(AND(FG$2&gt;=$D34,FG$2&lt;=$E34),1,"")))</f>
        <v/>
      </c>
      <c r="FH34" s="38">
        <f>IF(OR(FH$2="",$D34=""),"",IF(AND(ISNUMBER($F34),FH$2&gt;=$F34,FH$2&lt;=IF(ISNUMBER($G34),$G34,$F34+$E34-$D34)),2,IF(AND(FH$2&gt;=$D34,FH$2&lt;=$E34),1,"")))</f>
        <v/>
      </c>
      <c r="FI34" s="38">
        <f>IF(OR(FI$2="",$D34=""),"",IF(AND(ISNUMBER($F34),FI$2&gt;=$F34,FI$2&lt;=IF(ISNUMBER($G34),$G34,$F34+$E34-$D34)),2,IF(AND(FI$2&gt;=$D34,FI$2&lt;=$E34),1,"")))</f>
        <v/>
      </c>
      <c r="FJ34" s="38">
        <f>IF(OR(FJ$2="",$D34=""),"",IF(AND(ISNUMBER($F34),FJ$2&gt;=$F34,FJ$2&lt;=IF(ISNUMBER($G34),$G34,$F34+$E34-$D34)),2,IF(AND(FJ$2&gt;=$D34,FJ$2&lt;=$E34),1,"")))</f>
        <v/>
      </c>
      <c r="FK34" s="38">
        <f>IF(OR(FK$2="",$D34=""),"",IF(AND(ISNUMBER($F34),FK$2&gt;=$F34,FK$2&lt;=IF(ISNUMBER($G34),$G34,$F34+$E34-$D34)),2,IF(AND(FK$2&gt;=$D34,FK$2&lt;=$E34),1,"")))</f>
        <v/>
      </c>
      <c r="FL34" s="38">
        <f>IF(OR(FL$2="",$D34=""),"",IF(AND(ISNUMBER($F34),FL$2&gt;=$F34,FL$2&lt;=IF(ISNUMBER($G34),$G34,$F34+$E34-$D34)),2,IF(AND(FL$2&gt;=$D34,FL$2&lt;=$E34),1,"")))</f>
        <v/>
      </c>
      <c r="FM34" s="38">
        <f>IF(OR(FM$2="",$D34=""),"",IF(AND(ISNUMBER($F34),FM$2&gt;=$F34,FM$2&lt;=IF(ISNUMBER($G34),$G34,$F34+$E34-$D34)),2,IF(AND(FM$2&gt;=$D34,FM$2&lt;=$E34),1,"")))</f>
        <v/>
      </c>
      <c r="FN34" s="38">
        <f>IF(OR(FN$2="",$D34=""),"",IF(AND(ISNUMBER($F34),FN$2&gt;=$F34,FN$2&lt;=IF(ISNUMBER($G34),$G34,$F34+$E34-$D34)),2,IF(AND(FN$2&gt;=$D34,FN$2&lt;=$E34),1,"")))</f>
        <v/>
      </c>
      <c r="FO34" s="38">
        <f>IF(OR(FO$2="",$D34=""),"",IF(AND(ISNUMBER($F34),FO$2&gt;=$F34,FO$2&lt;=IF(ISNUMBER($G34),$G34,$F34+$E34-$D34)),2,IF(AND(FO$2&gt;=$D34,FO$2&lt;=$E34),1,"")))</f>
        <v/>
      </c>
      <c r="FP34" s="38">
        <f>IF(OR(FP$2="",$D34=""),"",IF(AND(ISNUMBER($F34),FP$2&gt;=$F34,FP$2&lt;=IF(ISNUMBER($G34),$G34,$F34+$E34-$D34)),2,IF(AND(FP$2&gt;=$D34,FP$2&lt;=$E34),1,"")))</f>
        <v/>
      </c>
      <c r="FQ34" s="38">
        <f>IF(OR(FQ$2="",$D34=""),"",IF(AND(ISNUMBER($F34),FQ$2&gt;=$F34,FQ$2&lt;=IF(ISNUMBER($G34),$G34,$F34+$E34-$D34)),2,IF(AND(FQ$2&gt;=$D34,FQ$2&lt;=$E34),1,"")))</f>
        <v/>
      </c>
      <c r="FR34" s="38">
        <f>IF(OR(FR$2="",$D34=""),"",IF(AND(ISNUMBER($F34),FR$2&gt;=$F34,FR$2&lt;=IF(ISNUMBER($G34),$G34,$F34+$E34-$D34)),2,IF(AND(FR$2&gt;=$D34,FR$2&lt;=$E34),1,"")))</f>
        <v/>
      </c>
      <c r="FS34" s="38">
        <f>IF(OR(FS$2="",$D34=""),"",IF(AND(ISNUMBER($F34),FS$2&gt;=$F34,FS$2&lt;=IF(ISNUMBER($G34),$G34,$F34+$E34-$D34)),2,IF(AND(FS$2&gt;=$D34,FS$2&lt;=$E34),1,"")))</f>
        <v/>
      </c>
      <c r="FT34" s="38">
        <f>IF(OR(FT$2="",$D34=""),"",IF(AND(ISNUMBER($F34),FT$2&gt;=$F34,FT$2&lt;=IF(ISNUMBER($G34),$G34,$F34+$E34-$D34)),2,IF(AND(FT$2&gt;=$D34,FT$2&lt;=$E34),1,"")))</f>
        <v/>
      </c>
      <c r="FU34" s="38">
        <f>IF(OR(FU$2="",$D34=""),"",IF(AND(ISNUMBER($F34),FU$2&gt;=$F34,FU$2&lt;=IF(ISNUMBER($G34),$G34,$F34+$E34-$D34)),2,IF(AND(FU$2&gt;=$D34,FU$2&lt;=$E34),1,"")))</f>
        <v/>
      </c>
      <c r="FV34" s="38">
        <f>IF(OR(FV$2="",$D34=""),"",IF(AND(ISNUMBER($F34),FV$2&gt;=$F34,FV$2&lt;=IF(ISNUMBER($G34),$G34,$F34+$E34-$D34)),2,IF(AND(FV$2&gt;=$D34,FV$2&lt;=$E34),1,"")))</f>
        <v/>
      </c>
      <c r="FW34" s="38">
        <f>IF(OR(FW$2="",$D34=""),"",IF(AND(ISNUMBER($F34),FW$2&gt;=$F34,FW$2&lt;=IF(ISNUMBER($G34),$G34,$F34+$E34-$D34)),2,IF(AND(FW$2&gt;=$D34,FW$2&lt;=$E34),1,"")))</f>
        <v/>
      </c>
      <c r="FX34" s="38">
        <f>IF(OR(FX$2="",$D34=""),"",IF(AND(ISNUMBER($F34),FX$2&gt;=$F34,FX$2&lt;=IF(ISNUMBER($G34),$G34,$F34+$E34-$D34)),2,IF(AND(FX$2&gt;=$D34,FX$2&lt;=$E34),1,"")))</f>
        <v/>
      </c>
      <c r="FY34" s="38">
        <f>IF(OR(FY$2="",$D34=""),"",IF(AND(ISNUMBER($F34),FY$2&gt;=$F34,FY$2&lt;=IF(ISNUMBER($G34),$G34,$F34+$E34-$D34)),2,IF(AND(FY$2&gt;=$D34,FY$2&lt;=$E34),1,"")))</f>
        <v/>
      </c>
      <c r="FZ34" s="38">
        <f>IF(OR(FZ$2="",$D34=""),"",IF(AND(ISNUMBER($F34),FZ$2&gt;=$F34,FZ$2&lt;=IF(ISNUMBER($G34),$G34,$F34+$E34-$D34)),2,IF(AND(FZ$2&gt;=$D34,FZ$2&lt;=$E34),1,"")))</f>
        <v/>
      </c>
      <c r="GA34" s="38">
        <f>IF(OR(GA$2="",$D34=""),"",IF(AND(ISNUMBER($F34),GA$2&gt;=$F34,GA$2&lt;=IF(ISNUMBER($G34),$G34,$F34+$E34-$D34)),2,IF(AND(GA$2&gt;=$D34,GA$2&lt;=$E34),1,"")))</f>
        <v/>
      </c>
      <c r="GB34" s="38">
        <f>IF(OR(GB$2="",$D34=""),"",IF(AND(ISNUMBER($F34),GB$2&gt;=$F34,GB$2&lt;=IF(ISNUMBER($G34),$G34,$F34+$E34-$D34)),2,IF(AND(GB$2&gt;=$D34,GB$2&lt;=$E34),1,"")))</f>
        <v/>
      </c>
      <c r="GC34" s="38">
        <f>IF(OR(GC$2="",$D34=""),"",IF(AND(ISNUMBER($F34),GC$2&gt;=$F34,GC$2&lt;=IF(ISNUMBER($G34),$G34,$F34+$E34-$D34)),2,IF(AND(GC$2&gt;=$D34,GC$2&lt;=$E34),1,"")))</f>
        <v/>
      </c>
      <c r="GD34" s="38">
        <f>IF(OR(GD$2="",$D34=""),"",IF(AND(ISNUMBER($F34),GD$2&gt;=$F34,GD$2&lt;=IF(ISNUMBER($G34),$G34,$F34+$E34-$D34)),2,IF(AND(GD$2&gt;=$D34,GD$2&lt;=$E34),1,"")))</f>
        <v/>
      </c>
      <c r="GE34" s="38">
        <f>IF(OR(GE$2="",$D34=""),"",IF(AND(ISNUMBER($F34),GE$2&gt;=$F34,GE$2&lt;=IF(ISNUMBER($G34),$G34,$F34+$E34-$D34)),2,IF(AND(GE$2&gt;=$D34,GE$2&lt;=$E34),1,"")))</f>
        <v/>
      </c>
    </row>
    <row r="35">
      <c r="A35" s="36" t="inlineStr">
        <is>
          <t>Flooding after Pitan</t>
        </is>
      </c>
      <c r="B35" s="12" t="inlineStr">
        <is>
          <t>প্লাবন</t>
        </is>
      </c>
      <c r="C35" s="12" t="inlineStr">
        <is>
          <t>FP</t>
        </is>
      </c>
      <c r="D35" s="7">
        <f>IF(D11="","",D11+cfg_10)</f>
        <v/>
      </c>
      <c r="E35" s="7">
        <f>IF(D35="","",D35)</f>
        <v/>
      </c>
      <c r="F35" s="37" t="n"/>
      <c r="G35" s="7" t="n"/>
      <c r="H35" s="6">
        <f>IF(D35="","no plan",IF(F35&lt;&gt;"",IF(F35-D35&gt;=2,"LATE","OK"),IF(TODAY()&gt;D35+2,"OVERDUE","upcoming")))</f>
        <v/>
      </c>
      <c r="I35" s="6">
        <f>IF(AND(D35&lt;&gt;"",F35&lt;&gt;""),F35-D35,"")</f>
        <v/>
      </c>
      <c r="J35" s="7">
        <f>IF(F35&lt;&gt;"",F35,D35)</f>
        <v/>
      </c>
      <c r="K35" s="7">
        <f>IF(G35&lt;&gt;"",G35,IF(AND(F35&lt;&gt;"",E35=D35),F35,E35))</f>
        <v/>
      </c>
      <c r="L35" s="6">
        <f>IF(AND(D35&lt;&gt;"",F35="",D35&gt;=TODAY()),D35+ROW()/1000,"")</f>
        <v/>
      </c>
      <c r="M35" s="38">
        <f>IF(OR(M$2="",$D35=""),"",IF(AND(ISNUMBER($F35),M$2&gt;=$F35,M$2&lt;=IF(ISNUMBER($G35),$G35,$F35+$E35-$D35)),2,IF(AND(M$2&gt;=$D35,M$2&lt;=$E35),1,"")))</f>
        <v/>
      </c>
      <c r="N35" s="38">
        <f>IF(OR(N$2="",$D35=""),"",IF(AND(ISNUMBER($F35),N$2&gt;=$F35,N$2&lt;=IF(ISNUMBER($G35),$G35,$F35+$E35-$D35)),2,IF(AND(N$2&gt;=$D35,N$2&lt;=$E35),1,"")))</f>
        <v/>
      </c>
      <c r="O35" s="38">
        <f>IF(OR(O$2="",$D35=""),"",IF(AND(ISNUMBER($F35),O$2&gt;=$F35,O$2&lt;=IF(ISNUMBER($G35),$G35,$F35+$E35-$D35)),2,IF(AND(O$2&gt;=$D35,O$2&lt;=$E35),1,"")))</f>
        <v/>
      </c>
      <c r="P35" s="38">
        <f>IF(OR(P$2="",$D35=""),"",IF(AND(ISNUMBER($F35),P$2&gt;=$F35,P$2&lt;=IF(ISNUMBER($G35),$G35,$F35+$E35-$D35)),2,IF(AND(P$2&gt;=$D35,P$2&lt;=$E35),1,"")))</f>
        <v/>
      </c>
      <c r="Q35" s="38">
        <f>IF(OR(Q$2="",$D35=""),"",IF(AND(ISNUMBER($F35),Q$2&gt;=$F35,Q$2&lt;=IF(ISNUMBER($G35),$G35,$F35+$E35-$D35)),2,IF(AND(Q$2&gt;=$D35,Q$2&lt;=$E35),1,"")))</f>
        <v/>
      </c>
      <c r="R35" s="38">
        <f>IF(OR(R$2="",$D35=""),"",IF(AND(ISNUMBER($F35),R$2&gt;=$F35,R$2&lt;=IF(ISNUMBER($G35),$G35,$F35+$E35-$D35)),2,IF(AND(R$2&gt;=$D35,R$2&lt;=$E35),1,"")))</f>
        <v/>
      </c>
      <c r="S35" s="38">
        <f>IF(OR(S$2="",$D35=""),"",IF(AND(ISNUMBER($F35),S$2&gt;=$F35,S$2&lt;=IF(ISNUMBER($G35),$G35,$F35+$E35-$D35)),2,IF(AND(S$2&gt;=$D35,S$2&lt;=$E35),1,"")))</f>
        <v/>
      </c>
      <c r="T35" s="38">
        <f>IF(OR(T$2="",$D35=""),"",IF(AND(ISNUMBER($F35),T$2&gt;=$F35,T$2&lt;=IF(ISNUMBER($G35),$G35,$F35+$E35-$D35)),2,IF(AND(T$2&gt;=$D35,T$2&lt;=$E35),1,"")))</f>
        <v/>
      </c>
      <c r="U35" s="38">
        <f>IF(OR(U$2="",$D35=""),"",IF(AND(ISNUMBER($F35),U$2&gt;=$F35,U$2&lt;=IF(ISNUMBER($G35),$G35,$F35+$E35-$D35)),2,IF(AND(U$2&gt;=$D35,U$2&lt;=$E35),1,"")))</f>
        <v/>
      </c>
      <c r="V35" s="38">
        <f>IF(OR(V$2="",$D35=""),"",IF(AND(ISNUMBER($F35),V$2&gt;=$F35,V$2&lt;=IF(ISNUMBER($G35),$G35,$F35+$E35-$D35)),2,IF(AND(V$2&gt;=$D35,V$2&lt;=$E35),1,"")))</f>
        <v/>
      </c>
      <c r="W35" s="38">
        <f>IF(OR(W$2="",$D35=""),"",IF(AND(ISNUMBER($F35),W$2&gt;=$F35,W$2&lt;=IF(ISNUMBER($G35),$G35,$F35+$E35-$D35)),2,IF(AND(W$2&gt;=$D35,W$2&lt;=$E35),1,"")))</f>
        <v/>
      </c>
      <c r="X35" s="38">
        <f>IF(OR(X$2="",$D35=""),"",IF(AND(ISNUMBER($F35),X$2&gt;=$F35,X$2&lt;=IF(ISNUMBER($G35),$G35,$F35+$E35-$D35)),2,IF(AND(X$2&gt;=$D35,X$2&lt;=$E35),1,"")))</f>
        <v/>
      </c>
      <c r="Y35" s="38">
        <f>IF(OR(Y$2="",$D35=""),"",IF(AND(ISNUMBER($F35),Y$2&gt;=$F35,Y$2&lt;=IF(ISNUMBER($G35),$G35,$F35+$E35-$D35)),2,IF(AND(Y$2&gt;=$D35,Y$2&lt;=$E35),1,"")))</f>
        <v/>
      </c>
      <c r="Z35" s="38">
        <f>IF(OR(Z$2="",$D35=""),"",IF(AND(ISNUMBER($F35),Z$2&gt;=$F35,Z$2&lt;=IF(ISNUMBER($G35),$G35,$F35+$E35-$D35)),2,IF(AND(Z$2&gt;=$D35,Z$2&lt;=$E35),1,"")))</f>
        <v/>
      </c>
      <c r="AA35" s="38">
        <f>IF(OR(AA$2="",$D35=""),"",IF(AND(ISNUMBER($F35),AA$2&gt;=$F35,AA$2&lt;=IF(ISNUMBER($G35),$G35,$F35+$E35-$D35)),2,IF(AND(AA$2&gt;=$D35,AA$2&lt;=$E35),1,"")))</f>
        <v/>
      </c>
      <c r="AB35" s="38">
        <f>IF(OR(AB$2="",$D35=""),"",IF(AND(ISNUMBER($F35),AB$2&gt;=$F35,AB$2&lt;=IF(ISNUMBER($G35),$G35,$F35+$E35-$D35)),2,IF(AND(AB$2&gt;=$D35,AB$2&lt;=$E35),1,"")))</f>
        <v/>
      </c>
      <c r="AC35" s="38">
        <f>IF(OR(AC$2="",$D35=""),"",IF(AND(ISNUMBER($F35),AC$2&gt;=$F35,AC$2&lt;=IF(ISNUMBER($G35),$G35,$F35+$E35-$D35)),2,IF(AND(AC$2&gt;=$D35,AC$2&lt;=$E35),1,"")))</f>
        <v/>
      </c>
      <c r="AD35" s="38">
        <f>IF(OR(AD$2="",$D35=""),"",IF(AND(ISNUMBER($F35),AD$2&gt;=$F35,AD$2&lt;=IF(ISNUMBER($G35),$G35,$F35+$E35-$D35)),2,IF(AND(AD$2&gt;=$D35,AD$2&lt;=$E35),1,"")))</f>
        <v/>
      </c>
      <c r="AE35" s="38">
        <f>IF(OR(AE$2="",$D35=""),"",IF(AND(ISNUMBER($F35),AE$2&gt;=$F35,AE$2&lt;=IF(ISNUMBER($G35),$G35,$F35+$E35-$D35)),2,IF(AND(AE$2&gt;=$D35,AE$2&lt;=$E35),1,"")))</f>
        <v/>
      </c>
      <c r="AF35" s="38">
        <f>IF(OR(AF$2="",$D35=""),"",IF(AND(ISNUMBER($F35),AF$2&gt;=$F35,AF$2&lt;=IF(ISNUMBER($G35),$G35,$F35+$E35-$D35)),2,IF(AND(AF$2&gt;=$D35,AF$2&lt;=$E35),1,"")))</f>
        <v/>
      </c>
      <c r="AG35" s="38">
        <f>IF(OR(AG$2="",$D35=""),"",IF(AND(ISNUMBER($F35),AG$2&gt;=$F35,AG$2&lt;=IF(ISNUMBER($G35),$G35,$F35+$E35-$D35)),2,IF(AND(AG$2&gt;=$D35,AG$2&lt;=$E35),1,"")))</f>
        <v/>
      </c>
      <c r="AH35" s="38">
        <f>IF(OR(AH$2="",$D35=""),"",IF(AND(ISNUMBER($F35),AH$2&gt;=$F35,AH$2&lt;=IF(ISNUMBER($G35),$G35,$F35+$E35-$D35)),2,IF(AND(AH$2&gt;=$D35,AH$2&lt;=$E35),1,"")))</f>
        <v/>
      </c>
      <c r="AI35" s="38">
        <f>IF(OR(AI$2="",$D35=""),"",IF(AND(ISNUMBER($F35),AI$2&gt;=$F35,AI$2&lt;=IF(ISNUMBER($G35),$G35,$F35+$E35-$D35)),2,IF(AND(AI$2&gt;=$D35,AI$2&lt;=$E35),1,"")))</f>
        <v/>
      </c>
      <c r="AJ35" s="38">
        <f>IF(OR(AJ$2="",$D35=""),"",IF(AND(ISNUMBER($F35),AJ$2&gt;=$F35,AJ$2&lt;=IF(ISNUMBER($G35),$G35,$F35+$E35-$D35)),2,IF(AND(AJ$2&gt;=$D35,AJ$2&lt;=$E35),1,"")))</f>
        <v/>
      </c>
      <c r="AK35" s="38">
        <f>IF(OR(AK$2="",$D35=""),"",IF(AND(ISNUMBER($F35),AK$2&gt;=$F35,AK$2&lt;=IF(ISNUMBER($G35),$G35,$F35+$E35-$D35)),2,IF(AND(AK$2&gt;=$D35,AK$2&lt;=$E35),1,"")))</f>
        <v/>
      </c>
      <c r="AL35" s="38">
        <f>IF(OR(AL$2="",$D35=""),"",IF(AND(ISNUMBER($F35),AL$2&gt;=$F35,AL$2&lt;=IF(ISNUMBER($G35),$G35,$F35+$E35-$D35)),2,IF(AND(AL$2&gt;=$D35,AL$2&lt;=$E35),1,"")))</f>
        <v/>
      </c>
      <c r="AM35" s="38">
        <f>IF(OR(AM$2="",$D35=""),"",IF(AND(ISNUMBER($F35),AM$2&gt;=$F35,AM$2&lt;=IF(ISNUMBER($G35),$G35,$F35+$E35-$D35)),2,IF(AND(AM$2&gt;=$D35,AM$2&lt;=$E35),1,"")))</f>
        <v/>
      </c>
      <c r="AN35" s="38">
        <f>IF(OR(AN$2="",$D35=""),"",IF(AND(ISNUMBER($F35),AN$2&gt;=$F35,AN$2&lt;=IF(ISNUMBER($G35),$G35,$F35+$E35-$D35)),2,IF(AND(AN$2&gt;=$D35,AN$2&lt;=$E35),1,"")))</f>
        <v/>
      </c>
      <c r="AO35" s="38">
        <f>IF(OR(AO$2="",$D35=""),"",IF(AND(ISNUMBER($F35),AO$2&gt;=$F35,AO$2&lt;=IF(ISNUMBER($G35),$G35,$F35+$E35-$D35)),2,IF(AND(AO$2&gt;=$D35,AO$2&lt;=$E35),1,"")))</f>
        <v/>
      </c>
      <c r="AP35" s="38">
        <f>IF(OR(AP$2="",$D35=""),"",IF(AND(ISNUMBER($F35),AP$2&gt;=$F35,AP$2&lt;=IF(ISNUMBER($G35),$G35,$F35+$E35-$D35)),2,IF(AND(AP$2&gt;=$D35,AP$2&lt;=$E35),1,"")))</f>
        <v/>
      </c>
      <c r="AQ35" s="38">
        <f>IF(OR(AQ$2="",$D35=""),"",IF(AND(ISNUMBER($F35),AQ$2&gt;=$F35,AQ$2&lt;=IF(ISNUMBER($G35),$G35,$F35+$E35-$D35)),2,IF(AND(AQ$2&gt;=$D35,AQ$2&lt;=$E35),1,"")))</f>
        <v/>
      </c>
      <c r="AR35" s="38">
        <f>IF(OR(AR$2="",$D35=""),"",IF(AND(ISNUMBER($F35),AR$2&gt;=$F35,AR$2&lt;=IF(ISNUMBER($G35),$G35,$F35+$E35-$D35)),2,IF(AND(AR$2&gt;=$D35,AR$2&lt;=$E35),1,"")))</f>
        <v/>
      </c>
      <c r="AS35" s="38">
        <f>IF(OR(AS$2="",$D35=""),"",IF(AND(ISNUMBER($F35),AS$2&gt;=$F35,AS$2&lt;=IF(ISNUMBER($G35),$G35,$F35+$E35-$D35)),2,IF(AND(AS$2&gt;=$D35,AS$2&lt;=$E35),1,"")))</f>
        <v/>
      </c>
      <c r="AT35" s="38">
        <f>IF(OR(AT$2="",$D35=""),"",IF(AND(ISNUMBER($F35),AT$2&gt;=$F35,AT$2&lt;=IF(ISNUMBER($G35),$G35,$F35+$E35-$D35)),2,IF(AND(AT$2&gt;=$D35,AT$2&lt;=$E35),1,"")))</f>
        <v/>
      </c>
      <c r="AU35" s="38">
        <f>IF(OR(AU$2="",$D35=""),"",IF(AND(ISNUMBER($F35),AU$2&gt;=$F35,AU$2&lt;=IF(ISNUMBER($G35),$G35,$F35+$E35-$D35)),2,IF(AND(AU$2&gt;=$D35,AU$2&lt;=$E35),1,"")))</f>
        <v/>
      </c>
      <c r="AV35" s="38">
        <f>IF(OR(AV$2="",$D35=""),"",IF(AND(ISNUMBER($F35),AV$2&gt;=$F35,AV$2&lt;=IF(ISNUMBER($G35),$G35,$F35+$E35-$D35)),2,IF(AND(AV$2&gt;=$D35,AV$2&lt;=$E35),1,"")))</f>
        <v/>
      </c>
      <c r="AW35" s="38">
        <f>IF(OR(AW$2="",$D35=""),"",IF(AND(ISNUMBER($F35),AW$2&gt;=$F35,AW$2&lt;=IF(ISNUMBER($G35),$G35,$F35+$E35-$D35)),2,IF(AND(AW$2&gt;=$D35,AW$2&lt;=$E35),1,"")))</f>
        <v/>
      </c>
      <c r="AX35" s="38">
        <f>IF(OR(AX$2="",$D35=""),"",IF(AND(ISNUMBER($F35),AX$2&gt;=$F35,AX$2&lt;=IF(ISNUMBER($G35),$G35,$F35+$E35-$D35)),2,IF(AND(AX$2&gt;=$D35,AX$2&lt;=$E35),1,"")))</f>
        <v/>
      </c>
      <c r="AY35" s="38">
        <f>IF(OR(AY$2="",$D35=""),"",IF(AND(ISNUMBER($F35),AY$2&gt;=$F35,AY$2&lt;=IF(ISNUMBER($G35),$G35,$F35+$E35-$D35)),2,IF(AND(AY$2&gt;=$D35,AY$2&lt;=$E35),1,"")))</f>
        <v/>
      </c>
      <c r="AZ35" s="38">
        <f>IF(OR(AZ$2="",$D35=""),"",IF(AND(ISNUMBER($F35),AZ$2&gt;=$F35,AZ$2&lt;=IF(ISNUMBER($G35),$G35,$F35+$E35-$D35)),2,IF(AND(AZ$2&gt;=$D35,AZ$2&lt;=$E35),1,"")))</f>
        <v/>
      </c>
      <c r="BA35" s="38">
        <f>IF(OR(BA$2="",$D35=""),"",IF(AND(ISNUMBER($F35),BA$2&gt;=$F35,BA$2&lt;=IF(ISNUMBER($G35),$G35,$F35+$E35-$D35)),2,IF(AND(BA$2&gt;=$D35,BA$2&lt;=$E35),1,"")))</f>
        <v/>
      </c>
      <c r="BB35" s="38">
        <f>IF(OR(BB$2="",$D35=""),"",IF(AND(ISNUMBER($F35),BB$2&gt;=$F35,BB$2&lt;=IF(ISNUMBER($G35),$G35,$F35+$E35-$D35)),2,IF(AND(BB$2&gt;=$D35,BB$2&lt;=$E35),1,"")))</f>
        <v/>
      </c>
      <c r="BC35" s="38">
        <f>IF(OR(BC$2="",$D35=""),"",IF(AND(ISNUMBER($F35),BC$2&gt;=$F35,BC$2&lt;=IF(ISNUMBER($G35),$G35,$F35+$E35-$D35)),2,IF(AND(BC$2&gt;=$D35,BC$2&lt;=$E35),1,"")))</f>
        <v/>
      </c>
      <c r="BD35" s="38">
        <f>IF(OR(BD$2="",$D35=""),"",IF(AND(ISNUMBER($F35),BD$2&gt;=$F35,BD$2&lt;=IF(ISNUMBER($G35),$G35,$F35+$E35-$D35)),2,IF(AND(BD$2&gt;=$D35,BD$2&lt;=$E35),1,"")))</f>
        <v/>
      </c>
      <c r="BE35" s="38">
        <f>IF(OR(BE$2="",$D35=""),"",IF(AND(ISNUMBER($F35),BE$2&gt;=$F35,BE$2&lt;=IF(ISNUMBER($G35),$G35,$F35+$E35-$D35)),2,IF(AND(BE$2&gt;=$D35,BE$2&lt;=$E35),1,"")))</f>
        <v/>
      </c>
      <c r="BF35" s="38">
        <f>IF(OR(BF$2="",$D35=""),"",IF(AND(ISNUMBER($F35),BF$2&gt;=$F35,BF$2&lt;=IF(ISNUMBER($G35),$G35,$F35+$E35-$D35)),2,IF(AND(BF$2&gt;=$D35,BF$2&lt;=$E35),1,"")))</f>
        <v/>
      </c>
      <c r="BG35" s="38">
        <f>IF(OR(BG$2="",$D35=""),"",IF(AND(ISNUMBER($F35),BG$2&gt;=$F35,BG$2&lt;=IF(ISNUMBER($G35),$G35,$F35+$E35-$D35)),2,IF(AND(BG$2&gt;=$D35,BG$2&lt;=$E35),1,"")))</f>
        <v/>
      </c>
      <c r="BH35" s="38">
        <f>IF(OR(BH$2="",$D35=""),"",IF(AND(ISNUMBER($F35),BH$2&gt;=$F35,BH$2&lt;=IF(ISNUMBER($G35),$G35,$F35+$E35-$D35)),2,IF(AND(BH$2&gt;=$D35,BH$2&lt;=$E35),1,"")))</f>
        <v/>
      </c>
      <c r="BI35" s="38">
        <f>IF(OR(BI$2="",$D35=""),"",IF(AND(ISNUMBER($F35),BI$2&gt;=$F35,BI$2&lt;=IF(ISNUMBER($G35),$G35,$F35+$E35-$D35)),2,IF(AND(BI$2&gt;=$D35,BI$2&lt;=$E35),1,"")))</f>
        <v/>
      </c>
      <c r="BJ35" s="38">
        <f>IF(OR(BJ$2="",$D35=""),"",IF(AND(ISNUMBER($F35),BJ$2&gt;=$F35,BJ$2&lt;=IF(ISNUMBER($G35),$G35,$F35+$E35-$D35)),2,IF(AND(BJ$2&gt;=$D35,BJ$2&lt;=$E35),1,"")))</f>
        <v/>
      </c>
      <c r="BK35" s="38">
        <f>IF(OR(BK$2="",$D35=""),"",IF(AND(ISNUMBER($F35),BK$2&gt;=$F35,BK$2&lt;=IF(ISNUMBER($G35),$G35,$F35+$E35-$D35)),2,IF(AND(BK$2&gt;=$D35,BK$2&lt;=$E35),1,"")))</f>
        <v/>
      </c>
      <c r="BL35" s="38">
        <f>IF(OR(BL$2="",$D35=""),"",IF(AND(ISNUMBER($F35),BL$2&gt;=$F35,BL$2&lt;=IF(ISNUMBER($G35),$G35,$F35+$E35-$D35)),2,IF(AND(BL$2&gt;=$D35,BL$2&lt;=$E35),1,"")))</f>
        <v/>
      </c>
      <c r="BM35" s="38">
        <f>IF(OR(BM$2="",$D35=""),"",IF(AND(ISNUMBER($F35),BM$2&gt;=$F35,BM$2&lt;=IF(ISNUMBER($G35),$G35,$F35+$E35-$D35)),2,IF(AND(BM$2&gt;=$D35,BM$2&lt;=$E35),1,"")))</f>
        <v/>
      </c>
      <c r="BN35" s="38">
        <f>IF(OR(BN$2="",$D35=""),"",IF(AND(ISNUMBER($F35),BN$2&gt;=$F35,BN$2&lt;=IF(ISNUMBER($G35),$G35,$F35+$E35-$D35)),2,IF(AND(BN$2&gt;=$D35,BN$2&lt;=$E35),1,"")))</f>
        <v/>
      </c>
      <c r="BO35" s="38">
        <f>IF(OR(BO$2="",$D35=""),"",IF(AND(ISNUMBER($F35),BO$2&gt;=$F35,BO$2&lt;=IF(ISNUMBER($G35),$G35,$F35+$E35-$D35)),2,IF(AND(BO$2&gt;=$D35,BO$2&lt;=$E35),1,"")))</f>
        <v/>
      </c>
      <c r="BP35" s="38">
        <f>IF(OR(BP$2="",$D35=""),"",IF(AND(ISNUMBER($F35),BP$2&gt;=$F35,BP$2&lt;=IF(ISNUMBER($G35),$G35,$F35+$E35-$D35)),2,IF(AND(BP$2&gt;=$D35,BP$2&lt;=$E35),1,"")))</f>
        <v/>
      </c>
      <c r="BQ35" s="38">
        <f>IF(OR(BQ$2="",$D35=""),"",IF(AND(ISNUMBER($F35),BQ$2&gt;=$F35,BQ$2&lt;=IF(ISNUMBER($G35),$G35,$F35+$E35-$D35)),2,IF(AND(BQ$2&gt;=$D35,BQ$2&lt;=$E35),1,"")))</f>
        <v/>
      </c>
      <c r="BR35" s="38">
        <f>IF(OR(BR$2="",$D35=""),"",IF(AND(ISNUMBER($F35),BR$2&gt;=$F35,BR$2&lt;=IF(ISNUMBER($G35),$G35,$F35+$E35-$D35)),2,IF(AND(BR$2&gt;=$D35,BR$2&lt;=$E35),1,"")))</f>
        <v/>
      </c>
      <c r="BS35" s="38">
        <f>IF(OR(BS$2="",$D35=""),"",IF(AND(ISNUMBER($F35),BS$2&gt;=$F35,BS$2&lt;=IF(ISNUMBER($G35),$G35,$F35+$E35-$D35)),2,IF(AND(BS$2&gt;=$D35,BS$2&lt;=$E35),1,"")))</f>
        <v/>
      </c>
      <c r="BT35" s="38">
        <f>IF(OR(BT$2="",$D35=""),"",IF(AND(ISNUMBER($F35),BT$2&gt;=$F35,BT$2&lt;=IF(ISNUMBER($G35),$G35,$F35+$E35-$D35)),2,IF(AND(BT$2&gt;=$D35,BT$2&lt;=$E35),1,"")))</f>
        <v/>
      </c>
      <c r="BU35" s="38">
        <f>IF(OR(BU$2="",$D35=""),"",IF(AND(ISNUMBER($F35),BU$2&gt;=$F35,BU$2&lt;=IF(ISNUMBER($G35),$G35,$F35+$E35-$D35)),2,IF(AND(BU$2&gt;=$D35,BU$2&lt;=$E35),1,"")))</f>
        <v/>
      </c>
      <c r="BV35" s="38">
        <f>IF(OR(BV$2="",$D35=""),"",IF(AND(ISNUMBER($F35),BV$2&gt;=$F35,BV$2&lt;=IF(ISNUMBER($G35),$G35,$F35+$E35-$D35)),2,IF(AND(BV$2&gt;=$D35,BV$2&lt;=$E35),1,"")))</f>
        <v/>
      </c>
      <c r="BW35" s="38">
        <f>IF(OR(BW$2="",$D35=""),"",IF(AND(ISNUMBER($F35),BW$2&gt;=$F35,BW$2&lt;=IF(ISNUMBER($G35),$G35,$F35+$E35-$D35)),2,IF(AND(BW$2&gt;=$D35,BW$2&lt;=$E35),1,"")))</f>
        <v/>
      </c>
      <c r="BX35" s="38">
        <f>IF(OR(BX$2="",$D35=""),"",IF(AND(ISNUMBER($F35),BX$2&gt;=$F35,BX$2&lt;=IF(ISNUMBER($G35),$G35,$F35+$E35-$D35)),2,IF(AND(BX$2&gt;=$D35,BX$2&lt;=$E35),1,"")))</f>
        <v/>
      </c>
      <c r="BY35" s="38">
        <f>IF(OR(BY$2="",$D35=""),"",IF(AND(ISNUMBER($F35),BY$2&gt;=$F35,BY$2&lt;=IF(ISNUMBER($G35),$G35,$F35+$E35-$D35)),2,IF(AND(BY$2&gt;=$D35,BY$2&lt;=$E35),1,"")))</f>
        <v/>
      </c>
      <c r="BZ35" s="38">
        <f>IF(OR(BZ$2="",$D35=""),"",IF(AND(ISNUMBER($F35),BZ$2&gt;=$F35,BZ$2&lt;=IF(ISNUMBER($G35),$G35,$F35+$E35-$D35)),2,IF(AND(BZ$2&gt;=$D35,BZ$2&lt;=$E35),1,"")))</f>
        <v/>
      </c>
      <c r="CA35" s="38">
        <f>IF(OR(CA$2="",$D35=""),"",IF(AND(ISNUMBER($F35),CA$2&gt;=$F35,CA$2&lt;=IF(ISNUMBER($G35),$G35,$F35+$E35-$D35)),2,IF(AND(CA$2&gt;=$D35,CA$2&lt;=$E35),1,"")))</f>
        <v/>
      </c>
      <c r="CB35" s="38">
        <f>IF(OR(CB$2="",$D35=""),"",IF(AND(ISNUMBER($F35),CB$2&gt;=$F35,CB$2&lt;=IF(ISNUMBER($G35),$G35,$F35+$E35-$D35)),2,IF(AND(CB$2&gt;=$D35,CB$2&lt;=$E35),1,"")))</f>
        <v/>
      </c>
      <c r="CC35" s="38">
        <f>IF(OR(CC$2="",$D35=""),"",IF(AND(ISNUMBER($F35),CC$2&gt;=$F35,CC$2&lt;=IF(ISNUMBER($G35),$G35,$F35+$E35-$D35)),2,IF(AND(CC$2&gt;=$D35,CC$2&lt;=$E35),1,"")))</f>
        <v/>
      </c>
      <c r="CD35" s="38">
        <f>IF(OR(CD$2="",$D35=""),"",IF(AND(ISNUMBER($F35),CD$2&gt;=$F35,CD$2&lt;=IF(ISNUMBER($G35),$G35,$F35+$E35-$D35)),2,IF(AND(CD$2&gt;=$D35,CD$2&lt;=$E35),1,"")))</f>
        <v/>
      </c>
      <c r="CE35" s="38">
        <f>IF(OR(CE$2="",$D35=""),"",IF(AND(ISNUMBER($F35),CE$2&gt;=$F35,CE$2&lt;=IF(ISNUMBER($G35),$G35,$F35+$E35-$D35)),2,IF(AND(CE$2&gt;=$D35,CE$2&lt;=$E35),1,"")))</f>
        <v/>
      </c>
      <c r="CF35" s="38">
        <f>IF(OR(CF$2="",$D35=""),"",IF(AND(ISNUMBER($F35),CF$2&gt;=$F35,CF$2&lt;=IF(ISNUMBER($G35),$G35,$F35+$E35-$D35)),2,IF(AND(CF$2&gt;=$D35,CF$2&lt;=$E35),1,"")))</f>
        <v/>
      </c>
      <c r="CG35" s="38">
        <f>IF(OR(CG$2="",$D35=""),"",IF(AND(ISNUMBER($F35),CG$2&gt;=$F35,CG$2&lt;=IF(ISNUMBER($G35),$G35,$F35+$E35-$D35)),2,IF(AND(CG$2&gt;=$D35,CG$2&lt;=$E35),1,"")))</f>
        <v/>
      </c>
      <c r="CH35" s="38">
        <f>IF(OR(CH$2="",$D35=""),"",IF(AND(ISNUMBER($F35),CH$2&gt;=$F35,CH$2&lt;=IF(ISNUMBER($G35),$G35,$F35+$E35-$D35)),2,IF(AND(CH$2&gt;=$D35,CH$2&lt;=$E35),1,"")))</f>
        <v/>
      </c>
      <c r="CI35" s="38">
        <f>IF(OR(CI$2="",$D35=""),"",IF(AND(ISNUMBER($F35),CI$2&gt;=$F35,CI$2&lt;=IF(ISNUMBER($G35),$G35,$F35+$E35-$D35)),2,IF(AND(CI$2&gt;=$D35,CI$2&lt;=$E35),1,"")))</f>
        <v/>
      </c>
      <c r="CJ35" s="38">
        <f>IF(OR(CJ$2="",$D35=""),"",IF(AND(ISNUMBER($F35),CJ$2&gt;=$F35,CJ$2&lt;=IF(ISNUMBER($G35),$G35,$F35+$E35-$D35)),2,IF(AND(CJ$2&gt;=$D35,CJ$2&lt;=$E35),1,"")))</f>
        <v/>
      </c>
      <c r="CK35" s="38">
        <f>IF(OR(CK$2="",$D35=""),"",IF(AND(ISNUMBER($F35),CK$2&gt;=$F35,CK$2&lt;=IF(ISNUMBER($G35),$G35,$F35+$E35-$D35)),2,IF(AND(CK$2&gt;=$D35,CK$2&lt;=$E35),1,"")))</f>
        <v/>
      </c>
      <c r="CL35" s="38">
        <f>IF(OR(CL$2="",$D35=""),"",IF(AND(ISNUMBER($F35),CL$2&gt;=$F35,CL$2&lt;=IF(ISNUMBER($G35),$G35,$F35+$E35-$D35)),2,IF(AND(CL$2&gt;=$D35,CL$2&lt;=$E35),1,"")))</f>
        <v/>
      </c>
      <c r="CM35" s="38">
        <f>IF(OR(CM$2="",$D35=""),"",IF(AND(ISNUMBER($F35),CM$2&gt;=$F35,CM$2&lt;=IF(ISNUMBER($G35),$G35,$F35+$E35-$D35)),2,IF(AND(CM$2&gt;=$D35,CM$2&lt;=$E35),1,"")))</f>
        <v/>
      </c>
      <c r="CN35" s="38">
        <f>IF(OR(CN$2="",$D35=""),"",IF(AND(ISNUMBER($F35),CN$2&gt;=$F35,CN$2&lt;=IF(ISNUMBER($G35),$G35,$F35+$E35-$D35)),2,IF(AND(CN$2&gt;=$D35,CN$2&lt;=$E35),1,"")))</f>
        <v/>
      </c>
      <c r="CO35" s="38">
        <f>IF(OR(CO$2="",$D35=""),"",IF(AND(ISNUMBER($F35),CO$2&gt;=$F35,CO$2&lt;=IF(ISNUMBER($G35),$G35,$F35+$E35-$D35)),2,IF(AND(CO$2&gt;=$D35,CO$2&lt;=$E35),1,"")))</f>
        <v/>
      </c>
      <c r="CP35" s="38">
        <f>IF(OR(CP$2="",$D35=""),"",IF(AND(ISNUMBER($F35),CP$2&gt;=$F35,CP$2&lt;=IF(ISNUMBER($G35),$G35,$F35+$E35-$D35)),2,IF(AND(CP$2&gt;=$D35,CP$2&lt;=$E35),1,"")))</f>
        <v/>
      </c>
      <c r="CQ35" s="38">
        <f>IF(OR(CQ$2="",$D35=""),"",IF(AND(ISNUMBER($F35),CQ$2&gt;=$F35,CQ$2&lt;=IF(ISNUMBER($G35),$G35,$F35+$E35-$D35)),2,IF(AND(CQ$2&gt;=$D35,CQ$2&lt;=$E35),1,"")))</f>
        <v/>
      </c>
      <c r="CR35" s="38">
        <f>IF(OR(CR$2="",$D35=""),"",IF(AND(ISNUMBER($F35),CR$2&gt;=$F35,CR$2&lt;=IF(ISNUMBER($G35),$G35,$F35+$E35-$D35)),2,IF(AND(CR$2&gt;=$D35,CR$2&lt;=$E35),1,"")))</f>
        <v/>
      </c>
      <c r="CS35" s="38">
        <f>IF(OR(CS$2="",$D35=""),"",IF(AND(ISNUMBER($F35),CS$2&gt;=$F35,CS$2&lt;=IF(ISNUMBER($G35),$G35,$F35+$E35-$D35)),2,IF(AND(CS$2&gt;=$D35,CS$2&lt;=$E35),1,"")))</f>
        <v/>
      </c>
      <c r="CT35" s="38">
        <f>IF(OR(CT$2="",$D35=""),"",IF(AND(ISNUMBER($F35),CT$2&gt;=$F35,CT$2&lt;=IF(ISNUMBER($G35),$G35,$F35+$E35-$D35)),2,IF(AND(CT$2&gt;=$D35,CT$2&lt;=$E35),1,"")))</f>
        <v/>
      </c>
      <c r="CU35" s="38">
        <f>IF(OR(CU$2="",$D35=""),"",IF(AND(ISNUMBER($F35),CU$2&gt;=$F35,CU$2&lt;=IF(ISNUMBER($G35),$G35,$F35+$E35-$D35)),2,IF(AND(CU$2&gt;=$D35,CU$2&lt;=$E35),1,"")))</f>
        <v/>
      </c>
      <c r="CV35" s="38">
        <f>IF(OR(CV$2="",$D35=""),"",IF(AND(ISNUMBER($F35),CV$2&gt;=$F35,CV$2&lt;=IF(ISNUMBER($G35),$G35,$F35+$E35-$D35)),2,IF(AND(CV$2&gt;=$D35,CV$2&lt;=$E35),1,"")))</f>
        <v/>
      </c>
      <c r="CW35" s="38">
        <f>IF(OR(CW$2="",$D35=""),"",IF(AND(ISNUMBER($F35),CW$2&gt;=$F35,CW$2&lt;=IF(ISNUMBER($G35),$G35,$F35+$E35-$D35)),2,IF(AND(CW$2&gt;=$D35,CW$2&lt;=$E35),1,"")))</f>
        <v/>
      </c>
      <c r="CX35" s="38">
        <f>IF(OR(CX$2="",$D35=""),"",IF(AND(ISNUMBER($F35),CX$2&gt;=$F35,CX$2&lt;=IF(ISNUMBER($G35),$G35,$F35+$E35-$D35)),2,IF(AND(CX$2&gt;=$D35,CX$2&lt;=$E35),1,"")))</f>
        <v/>
      </c>
      <c r="CY35" s="38">
        <f>IF(OR(CY$2="",$D35=""),"",IF(AND(ISNUMBER($F35),CY$2&gt;=$F35,CY$2&lt;=IF(ISNUMBER($G35),$G35,$F35+$E35-$D35)),2,IF(AND(CY$2&gt;=$D35,CY$2&lt;=$E35),1,"")))</f>
        <v/>
      </c>
      <c r="CZ35" s="38">
        <f>IF(OR(CZ$2="",$D35=""),"",IF(AND(ISNUMBER($F35),CZ$2&gt;=$F35,CZ$2&lt;=IF(ISNUMBER($G35),$G35,$F35+$E35-$D35)),2,IF(AND(CZ$2&gt;=$D35,CZ$2&lt;=$E35),1,"")))</f>
        <v/>
      </c>
      <c r="DA35" s="38">
        <f>IF(OR(DA$2="",$D35=""),"",IF(AND(ISNUMBER($F35),DA$2&gt;=$F35,DA$2&lt;=IF(ISNUMBER($G35),$G35,$F35+$E35-$D35)),2,IF(AND(DA$2&gt;=$D35,DA$2&lt;=$E35),1,"")))</f>
        <v/>
      </c>
      <c r="DB35" s="38">
        <f>IF(OR(DB$2="",$D35=""),"",IF(AND(ISNUMBER($F35),DB$2&gt;=$F35,DB$2&lt;=IF(ISNUMBER($G35),$G35,$F35+$E35-$D35)),2,IF(AND(DB$2&gt;=$D35,DB$2&lt;=$E35),1,"")))</f>
        <v/>
      </c>
      <c r="DC35" s="38">
        <f>IF(OR(DC$2="",$D35=""),"",IF(AND(ISNUMBER($F35),DC$2&gt;=$F35,DC$2&lt;=IF(ISNUMBER($G35),$G35,$F35+$E35-$D35)),2,IF(AND(DC$2&gt;=$D35,DC$2&lt;=$E35),1,"")))</f>
        <v/>
      </c>
      <c r="DD35" s="38">
        <f>IF(OR(DD$2="",$D35=""),"",IF(AND(ISNUMBER($F35),DD$2&gt;=$F35,DD$2&lt;=IF(ISNUMBER($G35),$G35,$F35+$E35-$D35)),2,IF(AND(DD$2&gt;=$D35,DD$2&lt;=$E35),1,"")))</f>
        <v/>
      </c>
      <c r="DE35" s="38">
        <f>IF(OR(DE$2="",$D35=""),"",IF(AND(ISNUMBER($F35),DE$2&gt;=$F35,DE$2&lt;=IF(ISNUMBER($G35),$G35,$F35+$E35-$D35)),2,IF(AND(DE$2&gt;=$D35,DE$2&lt;=$E35),1,"")))</f>
        <v/>
      </c>
      <c r="DF35" s="38">
        <f>IF(OR(DF$2="",$D35=""),"",IF(AND(ISNUMBER($F35),DF$2&gt;=$F35,DF$2&lt;=IF(ISNUMBER($G35),$G35,$F35+$E35-$D35)),2,IF(AND(DF$2&gt;=$D35,DF$2&lt;=$E35),1,"")))</f>
        <v/>
      </c>
      <c r="DG35" s="38">
        <f>IF(OR(DG$2="",$D35=""),"",IF(AND(ISNUMBER($F35),DG$2&gt;=$F35,DG$2&lt;=IF(ISNUMBER($G35),$G35,$F35+$E35-$D35)),2,IF(AND(DG$2&gt;=$D35,DG$2&lt;=$E35),1,"")))</f>
        <v/>
      </c>
      <c r="DH35" s="38">
        <f>IF(OR(DH$2="",$D35=""),"",IF(AND(ISNUMBER($F35),DH$2&gt;=$F35,DH$2&lt;=IF(ISNUMBER($G35),$G35,$F35+$E35-$D35)),2,IF(AND(DH$2&gt;=$D35,DH$2&lt;=$E35),1,"")))</f>
        <v/>
      </c>
      <c r="DI35" s="38">
        <f>IF(OR(DI$2="",$D35=""),"",IF(AND(ISNUMBER($F35),DI$2&gt;=$F35,DI$2&lt;=IF(ISNUMBER($G35),$G35,$F35+$E35-$D35)),2,IF(AND(DI$2&gt;=$D35,DI$2&lt;=$E35),1,"")))</f>
        <v/>
      </c>
      <c r="DJ35" s="38">
        <f>IF(OR(DJ$2="",$D35=""),"",IF(AND(ISNUMBER($F35),DJ$2&gt;=$F35,DJ$2&lt;=IF(ISNUMBER($G35),$G35,$F35+$E35-$D35)),2,IF(AND(DJ$2&gt;=$D35,DJ$2&lt;=$E35),1,"")))</f>
        <v/>
      </c>
      <c r="DK35" s="38">
        <f>IF(OR(DK$2="",$D35=""),"",IF(AND(ISNUMBER($F35),DK$2&gt;=$F35,DK$2&lt;=IF(ISNUMBER($G35),$G35,$F35+$E35-$D35)),2,IF(AND(DK$2&gt;=$D35,DK$2&lt;=$E35),1,"")))</f>
        <v/>
      </c>
      <c r="DL35" s="38">
        <f>IF(OR(DL$2="",$D35=""),"",IF(AND(ISNUMBER($F35),DL$2&gt;=$F35,DL$2&lt;=IF(ISNUMBER($G35),$G35,$F35+$E35-$D35)),2,IF(AND(DL$2&gt;=$D35,DL$2&lt;=$E35),1,"")))</f>
        <v/>
      </c>
      <c r="DM35" s="38">
        <f>IF(OR(DM$2="",$D35=""),"",IF(AND(ISNUMBER($F35),DM$2&gt;=$F35,DM$2&lt;=IF(ISNUMBER($G35),$G35,$F35+$E35-$D35)),2,IF(AND(DM$2&gt;=$D35,DM$2&lt;=$E35),1,"")))</f>
        <v/>
      </c>
      <c r="DN35" s="38">
        <f>IF(OR(DN$2="",$D35=""),"",IF(AND(ISNUMBER($F35),DN$2&gt;=$F35,DN$2&lt;=IF(ISNUMBER($G35),$G35,$F35+$E35-$D35)),2,IF(AND(DN$2&gt;=$D35,DN$2&lt;=$E35),1,"")))</f>
        <v/>
      </c>
      <c r="DO35" s="38">
        <f>IF(OR(DO$2="",$D35=""),"",IF(AND(ISNUMBER($F35),DO$2&gt;=$F35,DO$2&lt;=IF(ISNUMBER($G35),$G35,$F35+$E35-$D35)),2,IF(AND(DO$2&gt;=$D35,DO$2&lt;=$E35),1,"")))</f>
        <v/>
      </c>
      <c r="DP35" s="38">
        <f>IF(OR(DP$2="",$D35=""),"",IF(AND(ISNUMBER($F35),DP$2&gt;=$F35,DP$2&lt;=IF(ISNUMBER($G35),$G35,$F35+$E35-$D35)),2,IF(AND(DP$2&gt;=$D35,DP$2&lt;=$E35),1,"")))</f>
        <v/>
      </c>
      <c r="DQ35" s="38">
        <f>IF(OR(DQ$2="",$D35=""),"",IF(AND(ISNUMBER($F35),DQ$2&gt;=$F35,DQ$2&lt;=IF(ISNUMBER($G35),$G35,$F35+$E35-$D35)),2,IF(AND(DQ$2&gt;=$D35,DQ$2&lt;=$E35),1,"")))</f>
        <v/>
      </c>
      <c r="DR35" s="38">
        <f>IF(OR(DR$2="",$D35=""),"",IF(AND(ISNUMBER($F35),DR$2&gt;=$F35,DR$2&lt;=IF(ISNUMBER($G35),$G35,$F35+$E35-$D35)),2,IF(AND(DR$2&gt;=$D35,DR$2&lt;=$E35),1,"")))</f>
        <v/>
      </c>
      <c r="DS35" s="38">
        <f>IF(OR(DS$2="",$D35=""),"",IF(AND(ISNUMBER($F35),DS$2&gt;=$F35,DS$2&lt;=IF(ISNUMBER($G35),$G35,$F35+$E35-$D35)),2,IF(AND(DS$2&gt;=$D35,DS$2&lt;=$E35),1,"")))</f>
        <v/>
      </c>
      <c r="DT35" s="38">
        <f>IF(OR(DT$2="",$D35=""),"",IF(AND(ISNUMBER($F35),DT$2&gt;=$F35,DT$2&lt;=IF(ISNUMBER($G35),$G35,$F35+$E35-$D35)),2,IF(AND(DT$2&gt;=$D35,DT$2&lt;=$E35),1,"")))</f>
        <v/>
      </c>
      <c r="DU35" s="38">
        <f>IF(OR(DU$2="",$D35=""),"",IF(AND(ISNUMBER($F35),DU$2&gt;=$F35,DU$2&lt;=IF(ISNUMBER($G35),$G35,$F35+$E35-$D35)),2,IF(AND(DU$2&gt;=$D35,DU$2&lt;=$E35),1,"")))</f>
        <v/>
      </c>
      <c r="DV35" s="38">
        <f>IF(OR(DV$2="",$D35=""),"",IF(AND(ISNUMBER($F35),DV$2&gt;=$F35,DV$2&lt;=IF(ISNUMBER($G35),$G35,$F35+$E35-$D35)),2,IF(AND(DV$2&gt;=$D35,DV$2&lt;=$E35),1,"")))</f>
        <v/>
      </c>
      <c r="DW35" s="38">
        <f>IF(OR(DW$2="",$D35=""),"",IF(AND(ISNUMBER($F35),DW$2&gt;=$F35,DW$2&lt;=IF(ISNUMBER($G35),$G35,$F35+$E35-$D35)),2,IF(AND(DW$2&gt;=$D35,DW$2&lt;=$E35),1,"")))</f>
        <v/>
      </c>
      <c r="DX35" s="38">
        <f>IF(OR(DX$2="",$D35=""),"",IF(AND(ISNUMBER($F35),DX$2&gt;=$F35,DX$2&lt;=IF(ISNUMBER($G35),$G35,$F35+$E35-$D35)),2,IF(AND(DX$2&gt;=$D35,DX$2&lt;=$E35),1,"")))</f>
        <v/>
      </c>
      <c r="DY35" s="38">
        <f>IF(OR(DY$2="",$D35=""),"",IF(AND(ISNUMBER($F35),DY$2&gt;=$F35,DY$2&lt;=IF(ISNUMBER($G35),$G35,$F35+$E35-$D35)),2,IF(AND(DY$2&gt;=$D35,DY$2&lt;=$E35),1,"")))</f>
        <v/>
      </c>
      <c r="DZ35" s="38">
        <f>IF(OR(DZ$2="",$D35=""),"",IF(AND(ISNUMBER($F35),DZ$2&gt;=$F35,DZ$2&lt;=IF(ISNUMBER($G35),$G35,$F35+$E35-$D35)),2,IF(AND(DZ$2&gt;=$D35,DZ$2&lt;=$E35),1,"")))</f>
        <v/>
      </c>
      <c r="EA35" s="38">
        <f>IF(OR(EA$2="",$D35=""),"",IF(AND(ISNUMBER($F35),EA$2&gt;=$F35,EA$2&lt;=IF(ISNUMBER($G35),$G35,$F35+$E35-$D35)),2,IF(AND(EA$2&gt;=$D35,EA$2&lt;=$E35),1,"")))</f>
        <v/>
      </c>
      <c r="EB35" s="38">
        <f>IF(OR(EB$2="",$D35=""),"",IF(AND(ISNUMBER($F35),EB$2&gt;=$F35,EB$2&lt;=IF(ISNUMBER($G35),$G35,$F35+$E35-$D35)),2,IF(AND(EB$2&gt;=$D35,EB$2&lt;=$E35),1,"")))</f>
        <v/>
      </c>
      <c r="EC35" s="38">
        <f>IF(OR(EC$2="",$D35=""),"",IF(AND(ISNUMBER($F35),EC$2&gt;=$F35,EC$2&lt;=IF(ISNUMBER($G35),$G35,$F35+$E35-$D35)),2,IF(AND(EC$2&gt;=$D35,EC$2&lt;=$E35),1,"")))</f>
        <v/>
      </c>
      <c r="ED35" s="38">
        <f>IF(OR(ED$2="",$D35=""),"",IF(AND(ISNUMBER($F35),ED$2&gt;=$F35,ED$2&lt;=IF(ISNUMBER($G35),$G35,$F35+$E35-$D35)),2,IF(AND(ED$2&gt;=$D35,ED$2&lt;=$E35),1,"")))</f>
        <v/>
      </c>
      <c r="EE35" s="38">
        <f>IF(OR(EE$2="",$D35=""),"",IF(AND(ISNUMBER($F35),EE$2&gt;=$F35,EE$2&lt;=IF(ISNUMBER($G35),$G35,$F35+$E35-$D35)),2,IF(AND(EE$2&gt;=$D35,EE$2&lt;=$E35),1,"")))</f>
        <v/>
      </c>
      <c r="EF35" s="38">
        <f>IF(OR(EF$2="",$D35=""),"",IF(AND(ISNUMBER($F35),EF$2&gt;=$F35,EF$2&lt;=IF(ISNUMBER($G35),$G35,$F35+$E35-$D35)),2,IF(AND(EF$2&gt;=$D35,EF$2&lt;=$E35),1,"")))</f>
        <v/>
      </c>
      <c r="EG35" s="38">
        <f>IF(OR(EG$2="",$D35=""),"",IF(AND(ISNUMBER($F35),EG$2&gt;=$F35,EG$2&lt;=IF(ISNUMBER($G35),$G35,$F35+$E35-$D35)),2,IF(AND(EG$2&gt;=$D35,EG$2&lt;=$E35),1,"")))</f>
        <v/>
      </c>
      <c r="EH35" s="38">
        <f>IF(OR(EH$2="",$D35=""),"",IF(AND(ISNUMBER($F35),EH$2&gt;=$F35,EH$2&lt;=IF(ISNUMBER($G35),$G35,$F35+$E35-$D35)),2,IF(AND(EH$2&gt;=$D35,EH$2&lt;=$E35),1,"")))</f>
        <v/>
      </c>
      <c r="EI35" s="38">
        <f>IF(OR(EI$2="",$D35=""),"",IF(AND(ISNUMBER($F35),EI$2&gt;=$F35,EI$2&lt;=IF(ISNUMBER($G35),$G35,$F35+$E35-$D35)),2,IF(AND(EI$2&gt;=$D35,EI$2&lt;=$E35),1,"")))</f>
        <v/>
      </c>
      <c r="EJ35" s="38">
        <f>IF(OR(EJ$2="",$D35=""),"",IF(AND(ISNUMBER($F35),EJ$2&gt;=$F35,EJ$2&lt;=IF(ISNUMBER($G35),$G35,$F35+$E35-$D35)),2,IF(AND(EJ$2&gt;=$D35,EJ$2&lt;=$E35),1,"")))</f>
        <v/>
      </c>
      <c r="EK35" s="38">
        <f>IF(OR(EK$2="",$D35=""),"",IF(AND(ISNUMBER($F35),EK$2&gt;=$F35,EK$2&lt;=IF(ISNUMBER($G35),$G35,$F35+$E35-$D35)),2,IF(AND(EK$2&gt;=$D35,EK$2&lt;=$E35),1,"")))</f>
        <v/>
      </c>
      <c r="EL35" s="38">
        <f>IF(OR(EL$2="",$D35=""),"",IF(AND(ISNUMBER($F35),EL$2&gt;=$F35,EL$2&lt;=IF(ISNUMBER($G35),$G35,$F35+$E35-$D35)),2,IF(AND(EL$2&gt;=$D35,EL$2&lt;=$E35),1,"")))</f>
        <v/>
      </c>
      <c r="EM35" s="38">
        <f>IF(OR(EM$2="",$D35=""),"",IF(AND(ISNUMBER($F35),EM$2&gt;=$F35,EM$2&lt;=IF(ISNUMBER($G35),$G35,$F35+$E35-$D35)),2,IF(AND(EM$2&gt;=$D35,EM$2&lt;=$E35),1,"")))</f>
        <v/>
      </c>
      <c r="EN35" s="38">
        <f>IF(OR(EN$2="",$D35=""),"",IF(AND(ISNUMBER($F35),EN$2&gt;=$F35,EN$2&lt;=IF(ISNUMBER($G35),$G35,$F35+$E35-$D35)),2,IF(AND(EN$2&gt;=$D35,EN$2&lt;=$E35),1,"")))</f>
        <v/>
      </c>
      <c r="EO35" s="38">
        <f>IF(OR(EO$2="",$D35=""),"",IF(AND(ISNUMBER($F35),EO$2&gt;=$F35,EO$2&lt;=IF(ISNUMBER($G35),$G35,$F35+$E35-$D35)),2,IF(AND(EO$2&gt;=$D35,EO$2&lt;=$E35),1,"")))</f>
        <v/>
      </c>
      <c r="EP35" s="38">
        <f>IF(OR(EP$2="",$D35=""),"",IF(AND(ISNUMBER($F35),EP$2&gt;=$F35,EP$2&lt;=IF(ISNUMBER($G35),$G35,$F35+$E35-$D35)),2,IF(AND(EP$2&gt;=$D35,EP$2&lt;=$E35),1,"")))</f>
        <v/>
      </c>
      <c r="EQ35" s="38">
        <f>IF(OR(EQ$2="",$D35=""),"",IF(AND(ISNUMBER($F35),EQ$2&gt;=$F35,EQ$2&lt;=IF(ISNUMBER($G35),$G35,$F35+$E35-$D35)),2,IF(AND(EQ$2&gt;=$D35,EQ$2&lt;=$E35),1,"")))</f>
        <v/>
      </c>
      <c r="ER35" s="38">
        <f>IF(OR(ER$2="",$D35=""),"",IF(AND(ISNUMBER($F35),ER$2&gt;=$F35,ER$2&lt;=IF(ISNUMBER($G35),$G35,$F35+$E35-$D35)),2,IF(AND(ER$2&gt;=$D35,ER$2&lt;=$E35),1,"")))</f>
        <v/>
      </c>
      <c r="ES35" s="38">
        <f>IF(OR(ES$2="",$D35=""),"",IF(AND(ISNUMBER($F35),ES$2&gt;=$F35,ES$2&lt;=IF(ISNUMBER($G35),$G35,$F35+$E35-$D35)),2,IF(AND(ES$2&gt;=$D35,ES$2&lt;=$E35),1,"")))</f>
        <v/>
      </c>
      <c r="ET35" s="38">
        <f>IF(OR(ET$2="",$D35=""),"",IF(AND(ISNUMBER($F35),ET$2&gt;=$F35,ET$2&lt;=IF(ISNUMBER($G35),$G35,$F35+$E35-$D35)),2,IF(AND(ET$2&gt;=$D35,ET$2&lt;=$E35),1,"")))</f>
        <v/>
      </c>
      <c r="EU35" s="38">
        <f>IF(OR(EU$2="",$D35=""),"",IF(AND(ISNUMBER($F35),EU$2&gt;=$F35,EU$2&lt;=IF(ISNUMBER($G35),$G35,$F35+$E35-$D35)),2,IF(AND(EU$2&gt;=$D35,EU$2&lt;=$E35),1,"")))</f>
        <v/>
      </c>
      <c r="EV35" s="38">
        <f>IF(OR(EV$2="",$D35=""),"",IF(AND(ISNUMBER($F35),EV$2&gt;=$F35,EV$2&lt;=IF(ISNUMBER($G35),$G35,$F35+$E35-$D35)),2,IF(AND(EV$2&gt;=$D35,EV$2&lt;=$E35),1,"")))</f>
        <v/>
      </c>
      <c r="EW35" s="38">
        <f>IF(OR(EW$2="",$D35=""),"",IF(AND(ISNUMBER($F35),EW$2&gt;=$F35,EW$2&lt;=IF(ISNUMBER($G35),$G35,$F35+$E35-$D35)),2,IF(AND(EW$2&gt;=$D35,EW$2&lt;=$E35),1,"")))</f>
        <v/>
      </c>
      <c r="EX35" s="38">
        <f>IF(OR(EX$2="",$D35=""),"",IF(AND(ISNUMBER($F35),EX$2&gt;=$F35,EX$2&lt;=IF(ISNUMBER($G35),$G35,$F35+$E35-$D35)),2,IF(AND(EX$2&gt;=$D35,EX$2&lt;=$E35),1,"")))</f>
        <v/>
      </c>
      <c r="EY35" s="38">
        <f>IF(OR(EY$2="",$D35=""),"",IF(AND(ISNUMBER($F35),EY$2&gt;=$F35,EY$2&lt;=IF(ISNUMBER($G35),$G35,$F35+$E35-$D35)),2,IF(AND(EY$2&gt;=$D35,EY$2&lt;=$E35),1,"")))</f>
        <v/>
      </c>
      <c r="EZ35" s="38">
        <f>IF(OR(EZ$2="",$D35=""),"",IF(AND(ISNUMBER($F35),EZ$2&gt;=$F35,EZ$2&lt;=IF(ISNUMBER($G35),$G35,$F35+$E35-$D35)),2,IF(AND(EZ$2&gt;=$D35,EZ$2&lt;=$E35),1,"")))</f>
        <v/>
      </c>
      <c r="FA35" s="38">
        <f>IF(OR(FA$2="",$D35=""),"",IF(AND(ISNUMBER($F35),FA$2&gt;=$F35,FA$2&lt;=IF(ISNUMBER($G35),$G35,$F35+$E35-$D35)),2,IF(AND(FA$2&gt;=$D35,FA$2&lt;=$E35),1,"")))</f>
        <v/>
      </c>
      <c r="FB35" s="38">
        <f>IF(OR(FB$2="",$D35=""),"",IF(AND(ISNUMBER($F35),FB$2&gt;=$F35,FB$2&lt;=IF(ISNUMBER($G35),$G35,$F35+$E35-$D35)),2,IF(AND(FB$2&gt;=$D35,FB$2&lt;=$E35),1,"")))</f>
        <v/>
      </c>
      <c r="FC35" s="38">
        <f>IF(OR(FC$2="",$D35=""),"",IF(AND(ISNUMBER($F35),FC$2&gt;=$F35,FC$2&lt;=IF(ISNUMBER($G35),$G35,$F35+$E35-$D35)),2,IF(AND(FC$2&gt;=$D35,FC$2&lt;=$E35),1,"")))</f>
        <v/>
      </c>
      <c r="FD35" s="38">
        <f>IF(OR(FD$2="",$D35=""),"",IF(AND(ISNUMBER($F35),FD$2&gt;=$F35,FD$2&lt;=IF(ISNUMBER($G35),$G35,$F35+$E35-$D35)),2,IF(AND(FD$2&gt;=$D35,FD$2&lt;=$E35),1,"")))</f>
        <v/>
      </c>
      <c r="FE35" s="38">
        <f>IF(OR(FE$2="",$D35=""),"",IF(AND(ISNUMBER($F35),FE$2&gt;=$F35,FE$2&lt;=IF(ISNUMBER($G35),$G35,$F35+$E35-$D35)),2,IF(AND(FE$2&gt;=$D35,FE$2&lt;=$E35),1,"")))</f>
        <v/>
      </c>
      <c r="FF35" s="38">
        <f>IF(OR(FF$2="",$D35=""),"",IF(AND(ISNUMBER($F35),FF$2&gt;=$F35,FF$2&lt;=IF(ISNUMBER($G35),$G35,$F35+$E35-$D35)),2,IF(AND(FF$2&gt;=$D35,FF$2&lt;=$E35),1,"")))</f>
        <v/>
      </c>
      <c r="FG35" s="38">
        <f>IF(OR(FG$2="",$D35=""),"",IF(AND(ISNUMBER($F35),FG$2&gt;=$F35,FG$2&lt;=IF(ISNUMBER($G35),$G35,$F35+$E35-$D35)),2,IF(AND(FG$2&gt;=$D35,FG$2&lt;=$E35),1,"")))</f>
        <v/>
      </c>
      <c r="FH35" s="38">
        <f>IF(OR(FH$2="",$D35=""),"",IF(AND(ISNUMBER($F35),FH$2&gt;=$F35,FH$2&lt;=IF(ISNUMBER($G35),$G35,$F35+$E35-$D35)),2,IF(AND(FH$2&gt;=$D35,FH$2&lt;=$E35),1,"")))</f>
        <v/>
      </c>
      <c r="FI35" s="38">
        <f>IF(OR(FI$2="",$D35=""),"",IF(AND(ISNUMBER($F35),FI$2&gt;=$F35,FI$2&lt;=IF(ISNUMBER($G35),$G35,$F35+$E35-$D35)),2,IF(AND(FI$2&gt;=$D35,FI$2&lt;=$E35),1,"")))</f>
        <v/>
      </c>
      <c r="FJ35" s="38">
        <f>IF(OR(FJ$2="",$D35=""),"",IF(AND(ISNUMBER($F35),FJ$2&gt;=$F35,FJ$2&lt;=IF(ISNUMBER($G35),$G35,$F35+$E35-$D35)),2,IF(AND(FJ$2&gt;=$D35,FJ$2&lt;=$E35),1,"")))</f>
        <v/>
      </c>
      <c r="FK35" s="38">
        <f>IF(OR(FK$2="",$D35=""),"",IF(AND(ISNUMBER($F35),FK$2&gt;=$F35,FK$2&lt;=IF(ISNUMBER($G35),$G35,$F35+$E35-$D35)),2,IF(AND(FK$2&gt;=$D35,FK$2&lt;=$E35),1,"")))</f>
        <v/>
      </c>
      <c r="FL35" s="38">
        <f>IF(OR(FL$2="",$D35=""),"",IF(AND(ISNUMBER($F35),FL$2&gt;=$F35,FL$2&lt;=IF(ISNUMBER($G35),$G35,$F35+$E35-$D35)),2,IF(AND(FL$2&gt;=$D35,FL$2&lt;=$E35),1,"")))</f>
        <v/>
      </c>
      <c r="FM35" s="38">
        <f>IF(OR(FM$2="",$D35=""),"",IF(AND(ISNUMBER($F35),FM$2&gt;=$F35,FM$2&lt;=IF(ISNUMBER($G35),$G35,$F35+$E35-$D35)),2,IF(AND(FM$2&gt;=$D35,FM$2&lt;=$E35),1,"")))</f>
        <v/>
      </c>
      <c r="FN35" s="38">
        <f>IF(OR(FN$2="",$D35=""),"",IF(AND(ISNUMBER($F35),FN$2&gt;=$F35,FN$2&lt;=IF(ISNUMBER($G35),$G35,$F35+$E35-$D35)),2,IF(AND(FN$2&gt;=$D35,FN$2&lt;=$E35),1,"")))</f>
        <v/>
      </c>
      <c r="FO35" s="38">
        <f>IF(OR(FO$2="",$D35=""),"",IF(AND(ISNUMBER($F35),FO$2&gt;=$F35,FO$2&lt;=IF(ISNUMBER($G35),$G35,$F35+$E35-$D35)),2,IF(AND(FO$2&gt;=$D35,FO$2&lt;=$E35),1,"")))</f>
        <v/>
      </c>
      <c r="FP35" s="38">
        <f>IF(OR(FP$2="",$D35=""),"",IF(AND(ISNUMBER($F35),FP$2&gt;=$F35,FP$2&lt;=IF(ISNUMBER($G35),$G35,$F35+$E35-$D35)),2,IF(AND(FP$2&gt;=$D35,FP$2&lt;=$E35),1,"")))</f>
        <v/>
      </c>
      <c r="FQ35" s="38">
        <f>IF(OR(FQ$2="",$D35=""),"",IF(AND(ISNUMBER($F35),FQ$2&gt;=$F35,FQ$2&lt;=IF(ISNUMBER($G35),$G35,$F35+$E35-$D35)),2,IF(AND(FQ$2&gt;=$D35,FQ$2&lt;=$E35),1,"")))</f>
        <v/>
      </c>
      <c r="FR35" s="38">
        <f>IF(OR(FR$2="",$D35=""),"",IF(AND(ISNUMBER($F35),FR$2&gt;=$F35,FR$2&lt;=IF(ISNUMBER($G35),$G35,$F35+$E35-$D35)),2,IF(AND(FR$2&gt;=$D35,FR$2&lt;=$E35),1,"")))</f>
        <v/>
      </c>
      <c r="FS35" s="38">
        <f>IF(OR(FS$2="",$D35=""),"",IF(AND(ISNUMBER($F35),FS$2&gt;=$F35,FS$2&lt;=IF(ISNUMBER($G35),$G35,$F35+$E35-$D35)),2,IF(AND(FS$2&gt;=$D35,FS$2&lt;=$E35),1,"")))</f>
        <v/>
      </c>
      <c r="FT35" s="38">
        <f>IF(OR(FT$2="",$D35=""),"",IF(AND(ISNUMBER($F35),FT$2&gt;=$F35,FT$2&lt;=IF(ISNUMBER($G35),$G35,$F35+$E35-$D35)),2,IF(AND(FT$2&gt;=$D35,FT$2&lt;=$E35),1,"")))</f>
        <v/>
      </c>
      <c r="FU35" s="38">
        <f>IF(OR(FU$2="",$D35=""),"",IF(AND(ISNUMBER($F35),FU$2&gt;=$F35,FU$2&lt;=IF(ISNUMBER($G35),$G35,$F35+$E35-$D35)),2,IF(AND(FU$2&gt;=$D35,FU$2&lt;=$E35),1,"")))</f>
        <v/>
      </c>
      <c r="FV35" s="38">
        <f>IF(OR(FV$2="",$D35=""),"",IF(AND(ISNUMBER($F35),FV$2&gt;=$F35,FV$2&lt;=IF(ISNUMBER($G35),$G35,$F35+$E35-$D35)),2,IF(AND(FV$2&gt;=$D35,FV$2&lt;=$E35),1,"")))</f>
        <v/>
      </c>
      <c r="FW35" s="38">
        <f>IF(OR(FW$2="",$D35=""),"",IF(AND(ISNUMBER($F35),FW$2&gt;=$F35,FW$2&lt;=IF(ISNUMBER($G35),$G35,$F35+$E35-$D35)),2,IF(AND(FW$2&gt;=$D35,FW$2&lt;=$E35),1,"")))</f>
        <v/>
      </c>
      <c r="FX35" s="38">
        <f>IF(OR(FX$2="",$D35=""),"",IF(AND(ISNUMBER($F35),FX$2&gt;=$F35,FX$2&lt;=IF(ISNUMBER($G35),$G35,$F35+$E35-$D35)),2,IF(AND(FX$2&gt;=$D35,FX$2&lt;=$E35),1,"")))</f>
        <v/>
      </c>
      <c r="FY35" s="38">
        <f>IF(OR(FY$2="",$D35=""),"",IF(AND(ISNUMBER($F35),FY$2&gt;=$F35,FY$2&lt;=IF(ISNUMBER($G35),$G35,$F35+$E35-$D35)),2,IF(AND(FY$2&gt;=$D35,FY$2&lt;=$E35),1,"")))</f>
        <v/>
      </c>
      <c r="FZ35" s="38">
        <f>IF(OR(FZ$2="",$D35=""),"",IF(AND(ISNUMBER($F35),FZ$2&gt;=$F35,FZ$2&lt;=IF(ISNUMBER($G35),$G35,$F35+$E35-$D35)),2,IF(AND(FZ$2&gt;=$D35,FZ$2&lt;=$E35),1,"")))</f>
        <v/>
      </c>
      <c r="GA35" s="38">
        <f>IF(OR(GA$2="",$D35=""),"",IF(AND(ISNUMBER($F35),GA$2&gt;=$F35,GA$2&lt;=IF(ISNUMBER($G35),$G35,$F35+$E35-$D35)),2,IF(AND(GA$2&gt;=$D35,GA$2&lt;=$E35),1,"")))</f>
        <v/>
      </c>
      <c r="GB35" s="38">
        <f>IF(OR(GB$2="",$D35=""),"",IF(AND(ISNUMBER($F35),GB$2&gt;=$F35,GB$2&lt;=IF(ISNUMBER($G35),$G35,$F35+$E35-$D35)),2,IF(AND(GB$2&gt;=$D35,GB$2&lt;=$E35),1,"")))</f>
        <v/>
      </c>
      <c r="GC35" s="38">
        <f>IF(OR(GC$2="",$D35=""),"",IF(AND(ISNUMBER($F35),GC$2&gt;=$F35,GC$2&lt;=IF(ISNUMBER($G35),$G35,$F35+$E35-$D35)),2,IF(AND(GC$2&gt;=$D35,GC$2&lt;=$E35),1,"")))</f>
        <v/>
      </c>
      <c r="GD35" s="38">
        <f>IF(OR(GD$2="",$D35=""),"",IF(AND(ISNUMBER($F35),GD$2&gt;=$F35,GD$2&lt;=IF(ISNUMBER($G35),$G35,$F35+$E35-$D35)),2,IF(AND(GD$2&gt;=$D35,GD$2&lt;=$E35),1,"")))</f>
        <v/>
      </c>
      <c r="GE35" s="38">
        <f>IF(OR(GE$2="",$D35=""),"",IF(AND(ISNUMBER($F35),GE$2&gt;=$F35,GE$2&lt;=IF(ISNUMBER($G35),$G35,$F35+$E35-$D35)),2,IF(AND(GE$2&gt;=$D35,GE$2&lt;=$E35),1,"")))</f>
        <v/>
      </c>
    </row>
    <row r="36">
      <c r="A36" s="36" t="inlineStr">
        <is>
          <t>Heading</t>
        </is>
      </c>
      <c r="B36" s="12" t="inlineStr">
        <is>
          <t>শীষ বের হওয়া</t>
        </is>
      </c>
      <c r="C36" s="12" t="inlineStr">
        <is>
          <t>FP</t>
        </is>
      </c>
      <c r="D36" s="7">
        <f>IF(D19="","",D19)</f>
        <v/>
      </c>
      <c r="E36" s="7">
        <f>IF(D36="","",D36)</f>
        <v/>
      </c>
      <c r="F36" s="37" t="n"/>
      <c r="G36" s="7" t="n"/>
      <c r="H36" s="6">
        <f>IF(D36="","no plan",IF(F36&lt;&gt;"",IF(F36-D36&gt;=2,"LATE","OK"),IF(TODAY()&gt;D36+2,"OVERDUE","upcoming")))</f>
        <v/>
      </c>
      <c r="I36" s="6">
        <f>IF(AND(D36&lt;&gt;"",F36&lt;&gt;""),F36-D36,"")</f>
        <v/>
      </c>
      <c r="J36" s="7">
        <f>IF(F36&lt;&gt;"",F36,D36)</f>
        <v/>
      </c>
      <c r="K36" s="7">
        <f>IF(G36&lt;&gt;"",G36,IF(AND(F36&lt;&gt;"",E36=D36),F36,E36))</f>
        <v/>
      </c>
      <c r="L36" s="6">
        <f>IF(AND(D36&lt;&gt;"",F36="",D36&gt;=TODAY()),D36+ROW()/1000,"")</f>
        <v/>
      </c>
      <c r="M36" s="38">
        <f>IF(OR(M$2="",$D36=""),"",IF(AND(ISNUMBER($F36),M$2&gt;=$F36,M$2&lt;=IF(ISNUMBER($G36),$G36,$F36+$E36-$D36)),2,IF(AND(M$2&gt;=$D36,M$2&lt;=$E36),1,"")))</f>
        <v/>
      </c>
      <c r="N36" s="38">
        <f>IF(OR(N$2="",$D36=""),"",IF(AND(ISNUMBER($F36),N$2&gt;=$F36,N$2&lt;=IF(ISNUMBER($G36),$G36,$F36+$E36-$D36)),2,IF(AND(N$2&gt;=$D36,N$2&lt;=$E36),1,"")))</f>
        <v/>
      </c>
      <c r="O36" s="38">
        <f>IF(OR(O$2="",$D36=""),"",IF(AND(ISNUMBER($F36),O$2&gt;=$F36,O$2&lt;=IF(ISNUMBER($G36),$G36,$F36+$E36-$D36)),2,IF(AND(O$2&gt;=$D36,O$2&lt;=$E36),1,"")))</f>
        <v/>
      </c>
      <c r="P36" s="38">
        <f>IF(OR(P$2="",$D36=""),"",IF(AND(ISNUMBER($F36),P$2&gt;=$F36,P$2&lt;=IF(ISNUMBER($G36),$G36,$F36+$E36-$D36)),2,IF(AND(P$2&gt;=$D36,P$2&lt;=$E36),1,"")))</f>
        <v/>
      </c>
      <c r="Q36" s="38">
        <f>IF(OR(Q$2="",$D36=""),"",IF(AND(ISNUMBER($F36),Q$2&gt;=$F36,Q$2&lt;=IF(ISNUMBER($G36),$G36,$F36+$E36-$D36)),2,IF(AND(Q$2&gt;=$D36,Q$2&lt;=$E36),1,"")))</f>
        <v/>
      </c>
      <c r="R36" s="38">
        <f>IF(OR(R$2="",$D36=""),"",IF(AND(ISNUMBER($F36),R$2&gt;=$F36,R$2&lt;=IF(ISNUMBER($G36),$G36,$F36+$E36-$D36)),2,IF(AND(R$2&gt;=$D36,R$2&lt;=$E36),1,"")))</f>
        <v/>
      </c>
      <c r="S36" s="38">
        <f>IF(OR(S$2="",$D36=""),"",IF(AND(ISNUMBER($F36),S$2&gt;=$F36,S$2&lt;=IF(ISNUMBER($G36),$G36,$F36+$E36-$D36)),2,IF(AND(S$2&gt;=$D36,S$2&lt;=$E36),1,"")))</f>
        <v/>
      </c>
      <c r="T36" s="38">
        <f>IF(OR(T$2="",$D36=""),"",IF(AND(ISNUMBER($F36),T$2&gt;=$F36,T$2&lt;=IF(ISNUMBER($G36),$G36,$F36+$E36-$D36)),2,IF(AND(T$2&gt;=$D36,T$2&lt;=$E36),1,"")))</f>
        <v/>
      </c>
      <c r="U36" s="38">
        <f>IF(OR(U$2="",$D36=""),"",IF(AND(ISNUMBER($F36),U$2&gt;=$F36,U$2&lt;=IF(ISNUMBER($G36),$G36,$F36+$E36-$D36)),2,IF(AND(U$2&gt;=$D36,U$2&lt;=$E36),1,"")))</f>
        <v/>
      </c>
      <c r="V36" s="38">
        <f>IF(OR(V$2="",$D36=""),"",IF(AND(ISNUMBER($F36),V$2&gt;=$F36,V$2&lt;=IF(ISNUMBER($G36),$G36,$F36+$E36-$D36)),2,IF(AND(V$2&gt;=$D36,V$2&lt;=$E36),1,"")))</f>
        <v/>
      </c>
      <c r="W36" s="38">
        <f>IF(OR(W$2="",$D36=""),"",IF(AND(ISNUMBER($F36),W$2&gt;=$F36,W$2&lt;=IF(ISNUMBER($G36),$G36,$F36+$E36-$D36)),2,IF(AND(W$2&gt;=$D36,W$2&lt;=$E36),1,"")))</f>
        <v/>
      </c>
      <c r="X36" s="38">
        <f>IF(OR(X$2="",$D36=""),"",IF(AND(ISNUMBER($F36),X$2&gt;=$F36,X$2&lt;=IF(ISNUMBER($G36),$G36,$F36+$E36-$D36)),2,IF(AND(X$2&gt;=$D36,X$2&lt;=$E36),1,"")))</f>
        <v/>
      </c>
      <c r="Y36" s="38">
        <f>IF(OR(Y$2="",$D36=""),"",IF(AND(ISNUMBER($F36),Y$2&gt;=$F36,Y$2&lt;=IF(ISNUMBER($G36),$G36,$F36+$E36-$D36)),2,IF(AND(Y$2&gt;=$D36,Y$2&lt;=$E36),1,"")))</f>
        <v/>
      </c>
      <c r="Z36" s="38">
        <f>IF(OR(Z$2="",$D36=""),"",IF(AND(ISNUMBER($F36),Z$2&gt;=$F36,Z$2&lt;=IF(ISNUMBER($G36),$G36,$F36+$E36-$D36)),2,IF(AND(Z$2&gt;=$D36,Z$2&lt;=$E36),1,"")))</f>
        <v/>
      </c>
      <c r="AA36" s="38">
        <f>IF(OR(AA$2="",$D36=""),"",IF(AND(ISNUMBER($F36),AA$2&gt;=$F36,AA$2&lt;=IF(ISNUMBER($G36),$G36,$F36+$E36-$D36)),2,IF(AND(AA$2&gt;=$D36,AA$2&lt;=$E36),1,"")))</f>
        <v/>
      </c>
      <c r="AB36" s="38">
        <f>IF(OR(AB$2="",$D36=""),"",IF(AND(ISNUMBER($F36),AB$2&gt;=$F36,AB$2&lt;=IF(ISNUMBER($G36),$G36,$F36+$E36-$D36)),2,IF(AND(AB$2&gt;=$D36,AB$2&lt;=$E36),1,"")))</f>
        <v/>
      </c>
      <c r="AC36" s="38">
        <f>IF(OR(AC$2="",$D36=""),"",IF(AND(ISNUMBER($F36),AC$2&gt;=$F36,AC$2&lt;=IF(ISNUMBER($G36),$G36,$F36+$E36-$D36)),2,IF(AND(AC$2&gt;=$D36,AC$2&lt;=$E36),1,"")))</f>
        <v/>
      </c>
      <c r="AD36" s="38">
        <f>IF(OR(AD$2="",$D36=""),"",IF(AND(ISNUMBER($F36),AD$2&gt;=$F36,AD$2&lt;=IF(ISNUMBER($G36),$G36,$F36+$E36-$D36)),2,IF(AND(AD$2&gt;=$D36,AD$2&lt;=$E36),1,"")))</f>
        <v/>
      </c>
      <c r="AE36" s="38">
        <f>IF(OR(AE$2="",$D36=""),"",IF(AND(ISNUMBER($F36),AE$2&gt;=$F36,AE$2&lt;=IF(ISNUMBER($G36),$G36,$F36+$E36-$D36)),2,IF(AND(AE$2&gt;=$D36,AE$2&lt;=$E36),1,"")))</f>
        <v/>
      </c>
      <c r="AF36" s="38">
        <f>IF(OR(AF$2="",$D36=""),"",IF(AND(ISNUMBER($F36),AF$2&gt;=$F36,AF$2&lt;=IF(ISNUMBER($G36),$G36,$F36+$E36-$D36)),2,IF(AND(AF$2&gt;=$D36,AF$2&lt;=$E36),1,"")))</f>
        <v/>
      </c>
      <c r="AG36" s="38">
        <f>IF(OR(AG$2="",$D36=""),"",IF(AND(ISNUMBER($F36),AG$2&gt;=$F36,AG$2&lt;=IF(ISNUMBER($G36),$G36,$F36+$E36-$D36)),2,IF(AND(AG$2&gt;=$D36,AG$2&lt;=$E36),1,"")))</f>
        <v/>
      </c>
      <c r="AH36" s="38">
        <f>IF(OR(AH$2="",$D36=""),"",IF(AND(ISNUMBER($F36),AH$2&gt;=$F36,AH$2&lt;=IF(ISNUMBER($G36),$G36,$F36+$E36-$D36)),2,IF(AND(AH$2&gt;=$D36,AH$2&lt;=$E36),1,"")))</f>
        <v/>
      </c>
      <c r="AI36" s="38">
        <f>IF(OR(AI$2="",$D36=""),"",IF(AND(ISNUMBER($F36),AI$2&gt;=$F36,AI$2&lt;=IF(ISNUMBER($G36),$G36,$F36+$E36-$D36)),2,IF(AND(AI$2&gt;=$D36,AI$2&lt;=$E36),1,"")))</f>
        <v/>
      </c>
      <c r="AJ36" s="38">
        <f>IF(OR(AJ$2="",$D36=""),"",IF(AND(ISNUMBER($F36),AJ$2&gt;=$F36,AJ$2&lt;=IF(ISNUMBER($G36),$G36,$F36+$E36-$D36)),2,IF(AND(AJ$2&gt;=$D36,AJ$2&lt;=$E36),1,"")))</f>
        <v/>
      </c>
      <c r="AK36" s="38">
        <f>IF(OR(AK$2="",$D36=""),"",IF(AND(ISNUMBER($F36),AK$2&gt;=$F36,AK$2&lt;=IF(ISNUMBER($G36),$G36,$F36+$E36-$D36)),2,IF(AND(AK$2&gt;=$D36,AK$2&lt;=$E36),1,"")))</f>
        <v/>
      </c>
      <c r="AL36" s="38">
        <f>IF(OR(AL$2="",$D36=""),"",IF(AND(ISNUMBER($F36),AL$2&gt;=$F36,AL$2&lt;=IF(ISNUMBER($G36),$G36,$F36+$E36-$D36)),2,IF(AND(AL$2&gt;=$D36,AL$2&lt;=$E36),1,"")))</f>
        <v/>
      </c>
      <c r="AM36" s="38">
        <f>IF(OR(AM$2="",$D36=""),"",IF(AND(ISNUMBER($F36),AM$2&gt;=$F36,AM$2&lt;=IF(ISNUMBER($G36),$G36,$F36+$E36-$D36)),2,IF(AND(AM$2&gt;=$D36,AM$2&lt;=$E36),1,"")))</f>
        <v/>
      </c>
      <c r="AN36" s="38">
        <f>IF(OR(AN$2="",$D36=""),"",IF(AND(ISNUMBER($F36),AN$2&gt;=$F36,AN$2&lt;=IF(ISNUMBER($G36),$G36,$F36+$E36-$D36)),2,IF(AND(AN$2&gt;=$D36,AN$2&lt;=$E36),1,"")))</f>
        <v/>
      </c>
      <c r="AO36" s="38">
        <f>IF(OR(AO$2="",$D36=""),"",IF(AND(ISNUMBER($F36),AO$2&gt;=$F36,AO$2&lt;=IF(ISNUMBER($G36),$G36,$F36+$E36-$D36)),2,IF(AND(AO$2&gt;=$D36,AO$2&lt;=$E36),1,"")))</f>
        <v/>
      </c>
      <c r="AP36" s="38">
        <f>IF(OR(AP$2="",$D36=""),"",IF(AND(ISNUMBER($F36),AP$2&gt;=$F36,AP$2&lt;=IF(ISNUMBER($G36),$G36,$F36+$E36-$D36)),2,IF(AND(AP$2&gt;=$D36,AP$2&lt;=$E36),1,"")))</f>
        <v/>
      </c>
      <c r="AQ36" s="38">
        <f>IF(OR(AQ$2="",$D36=""),"",IF(AND(ISNUMBER($F36),AQ$2&gt;=$F36,AQ$2&lt;=IF(ISNUMBER($G36),$G36,$F36+$E36-$D36)),2,IF(AND(AQ$2&gt;=$D36,AQ$2&lt;=$E36),1,"")))</f>
        <v/>
      </c>
      <c r="AR36" s="38">
        <f>IF(OR(AR$2="",$D36=""),"",IF(AND(ISNUMBER($F36),AR$2&gt;=$F36,AR$2&lt;=IF(ISNUMBER($G36),$G36,$F36+$E36-$D36)),2,IF(AND(AR$2&gt;=$D36,AR$2&lt;=$E36),1,"")))</f>
        <v/>
      </c>
      <c r="AS36" s="38">
        <f>IF(OR(AS$2="",$D36=""),"",IF(AND(ISNUMBER($F36),AS$2&gt;=$F36,AS$2&lt;=IF(ISNUMBER($G36),$G36,$F36+$E36-$D36)),2,IF(AND(AS$2&gt;=$D36,AS$2&lt;=$E36),1,"")))</f>
        <v/>
      </c>
      <c r="AT36" s="38">
        <f>IF(OR(AT$2="",$D36=""),"",IF(AND(ISNUMBER($F36),AT$2&gt;=$F36,AT$2&lt;=IF(ISNUMBER($G36),$G36,$F36+$E36-$D36)),2,IF(AND(AT$2&gt;=$D36,AT$2&lt;=$E36),1,"")))</f>
        <v/>
      </c>
      <c r="AU36" s="38">
        <f>IF(OR(AU$2="",$D36=""),"",IF(AND(ISNUMBER($F36),AU$2&gt;=$F36,AU$2&lt;=IF(ISNUMBER($G36),$G36,$F36+$E36-$D36)),2,IF(AND(AU$2&gt;=$D36,AU$2&lt;=$E36),1,"")))</f>
        <v/>
      </c>
      <c r="AV36" s="38">
        <f>IF(OR(AV$2="",$D36=""),"",IF(AND(ISNUMBER($F36),AV$2&gt;=$F36,AV$2&lt;=IF(ISNUMBER($G36),$G36,$F36+$E36-$D36)),2,IF(AND(AV$2&gt;=$D36,AV$2&lt;=$E36),1,"")))</f>
        <v/>
      </c>
      <c r="AW36" s="38">
        <f>IF(OR(AW$2="",$D36=""),"",IF(AND(ISNUMBER($F36),AW$2&gt;=$F36,AW$2&lt;=IF(ISNUMBER($G36),$G36,$F36+$E36-$D36)),2,IF(AND(AW$2&gt;=$D36,AW$2&lt;=$E36),1,"")))</f>
        <v/>
      </c>
      <c r="AX36" s="38">
        <f>IF(OR(AX$2="",$D36=""),"",IF(AND(ISNUMBER($F36),AX$2&gt;=$F36,AX$2&lt;=IF(ISNUMBER($G36),$G36,$F36+$E36-$D36)),2,IF(AND(AX$2&gt;=$D36,AX$2&lt;=$E36),1,"")))</f>
        <v/>
      </c>
      <c r="AY36" s="38">
        <f>IF(OR(AY$2="",$D36=""),"",IF(AND(ISNUMBER($F36),AY$2&gt;=$F36,AY$2&lt;=IF(ISNUMBER($G36),$G36,$F36+$E36-$D36)),2,IF(AND(AY$2&gt;=$D36,AY$2&lt;=$E36),1,"")))</f>
        <v/>
      </c>
      <c r="AZ36" s="38">
        <f>IF(OR(AZ$2="",$D36=""),"",IF(AND(ISNUMBER($F36),AZ$2&gt;=$F36,AZ$2&lt;=IF(ISNUMBER($G36),$G36,$F36+$E36-$D36)),2,IF(AND(AZ$2&gt;=$D36,AZ$2&lt;=$E36),1,"")))</f>
        <v/>
      </c>
      <c r="BA36" s="38">
        <f>IF(OR(BA$2="",$D36=""),"",IF(AND(ISNUMBER($F36),BA$2&gt;=$F36,BA$2&lt;=IF(ISNUMBER($G36),$G36,$F36+$E36-$D36)),2,IF(AND(BA$2&gt;=$D36,BA$2&lt;=$E36),1,"")))</f>
        <v/>
      </c>
      <c r="BB36" s="38">
        <f>IF(OR(BB$2="",$D36=""),"",IF(AND(ISNUMBER($F36),BB$2&gt;=$F36,BB$2&lt;=IF(ISNUMBER($G36),$G36,$F36+$E36-$D36)),2,IF(AND(BB$2&gt;=$D36,BB$2&lt;=$E36),1,"")))</f>
        <v/>
      </c>
      <c r="BC36" s="38">
        <f>IF(OR(BC$2="",$D36=""),"",IF(AND(ISNUMBER($F36),BC$2&gt;=$F36,BC$2&lt;=IF(ISNUMBER($G36),$G36,$F36+$E36-$D36)),2,IF(AND(BC$2&gt;=$D36,BC$2&lt;=$E36),1,"")))</f>
        <v/>
      </c>
      <c r="BD36" s="38">
        <f>IF(OR(BD$2="",$D36=""),"",IF(AND(ISNUMBER($F36),BD$2&gt;=$F36,BD$2&lt;=IF(ISNUMBER($G36),$G36,$F36+$E36-$D36)),2,IF(AND(BD$2&gt;=$D36,BD$2&lt;=$E36),1,"")))</f>
        <v/>
      </c>
      <c r="BE36" s="38">
        <f>IF(OR(BE$2="",$D36=""),"",IF(AND(ISNUMBER($F36),BE$2&gt;=$F36,BE$2&lt;=IF(ISNUMBER($G36),$G36,$F36+$E36-$D36)),2,IF(AND(BE$2&gt;=$D36,BE$2&lt;=$E36),1,"")))</f>
        <v/>
      </c>
      <c r="BF36" s="38">
        <f>IF(OR(BF$2="",$D36=""),"",IF(AND(ISNUMBER($F36),BF$2&gt;=$F36,BF$2&lt;=IF(ISNUMBER($G36),$G36,$F36+$E36-$D36)),2,IF(AND(BF$2&gt;=$D36,BF$2&lt;=$E36),1,"")))</f>
        <v/>
      </c>
      <c r="BG36" s="38">
        <f>IF(OR(BG$2="",$D36=""),"",IF(AND(ISNUMBER($F36),BG$2&gt;=$F36,BG$2&lt;=IF(ISNUMBER($G36),$G36,$F36+$E36-$D36)),2,IF(AND(BG$2&gt;=$D36,BG$2&lt;=$E36),1,"")))</f>
        <v/>
      </c>
      <c r="BH36" s="38">
        <f>IF(OR(BH$2="",$D36=""),"",IF(AND(ISNUMBER($F36),BH$2&gt;=$F36,BH$2&lt;=IF(ISNUMBER($G36),$G36,$F36+$E36-$D36)),2,IF(AND(BH$2&gt;=$D36,BH$2&lt;=$E36),1,"")))</f>
        <v/>
      </c>
      <c r="BI36" s="38">
        <f>IF(OR(BI$2="",$D36=""),"",IF(AND(ISNUMBER($F36),BI$2&gt;=$F36,BI$2&lt;=IF(ISNUMBER($G36),$G36,$F36+$E36-$D36)),2,IF(AND(BI$2&gt;=$D36,BI$2&lt;=$E36),1,"")))</f>
        <v/>
      </c>
      <c r="BJ36" s="38">
        <f>IF(OR(BJ$2="",$D36=""),"",IF(AND(ISNUMBER($F36),BJ$2&gt;=$F36,BJ$2&lt;=IF(ISNUMBER($G36),$G36,$F36+$E36-$D36)),2,IF(AND(BJ$2&gt;=$D36,BJ$2&lt;=$E36),1,"")))</f>
        <v/>
      </c>
      <c r="BK36" s="38">
        <f>IF(OR(BK$2="",$D36=""),"",IF(AND(ISNUMBER($F36),BK$2&gt;=$F36,BK$2&lt;=IF(ISNUMBER($G36),$G36,$F36+$E36-$D36)),2,IF(AND(BK$2&gt;=$D36,BK$2&lt;=$E36),1,"")))</f>
        <v/>
      </c>
      <c r="BL36" s="38">
        <f>IF(OR(BL$2="",$D36=""),"",IF(AND(ISNUMBER($F36),BL$2&gt;=$F36,BL$2&lt;=IF(ISNUMBER($G36),$G36,$F36+$E36-$D36)),2,IF(AND(BL$2&gt;=$D36,BL$2&lt;=$E36),1,"")))</f>
        <v/>
      </c>
      <c r="BM36" s="38">
        <f>IF(OR(BM$2="",$D36=""),"",IF(AND(ISNUMBER($F36),BM$2&gt;=$F36,BM$2&lt;=IF(ISNUMBER($G36),$G36,$F36+$E36-$D36)),2,IF(AND(BM$2&gt;=$D36,BM$2&lt;=$E36),1,"")))</f>
        <v/>
      </c>
      <c r="BN36" s="38">
        <f>IF(OR(BN$2="",$D36=""),"",IF(AND(ISNUMBER($F36),BN$2&gt;=$F36,BN$2&lt;=IF(ISNUMBER($G36),$G36,$F36+$E36-$D36)),2,IF(AND(BN$2&gt;=$D36,BN$2&lt;=$E36),1,"")))</f>
        <v/>
      </c>
      <c r="BO36" s="38">
        <f>IF(OR(BO$2="",$D36=""),"",IF(AND(ISNUMBER($F36),BO$2&gt;=$F36,BO$2&lt;=IF(ISNUMBER($G36),$G36,$F36+$E36-$D36)),2,IF(AND(BO$2&gt;=$D36,BO$2&lt;=$E36),1,"")))</f>
        <v/>
      </c>
      <c r="BP36" s="38">
        <f>IF(OR(BP$2="",$D36=""),"",IF(AND(ISNUMBER($F36),BP$2&gt;=$F36,BP$2&lt;=IF(ISNUMBER($G36),$G36,$F36+$E36-$D36)),2,IF(AND(BP$2&gt;=$D36,BP$2&lt;=$E36),1,"")))</f>
        <v/>
      </c>
      <c r="BQ36" s="38">
        <f>IF(OR(BQ$2="",$D36=""),"",IF(AND(ISNUMBER($F36),BQ$2&gt;=$F36,BQ$2&lt;=IF(ISNUMBER($G36),$G36,$F36+$E36-$D36)),2,IF(AND(BQ$2&gt;=$D36,BQ$2&lt;=$E36),1,"")))</f>
        <v/>
      </c>
      <c r="BR36" s="38">
        <f>IF(OR(BR$2="",$D36=""),"",IF(AND(ISNUMBER($F36),BR$2&gt;=$F36,BR$2&lt;=IF(ISNUMBER($G36),$G36,$F36+$E36-$D36)),2,IF(AND(BR$2&gt;=$D36,BR$2&lt;=$E36),1,"")))</f>
        <v/>
      </c>
      <c r="BS36" s="38">
        <f>IF(OR(BS$2="",$D36=""),"",IF(AND(ISNUMBER($F36),BS$2&gt;=$F36,BS$2&lt;=IF(ISNUMBER($G36),$G36,$F36+$E36-$D36)),2,IF(AND(BS$2&gt;=$D36,BS$2&lt;=$E36),1,"")))</f>
        <v/>
      </c>
      <c r="BT36" s="38">
        <f>IF(OR(BT$2="",$D36=""),"",IF(AND(ISNUMBER($F36),BT$2&gt;=$F36,BT$2&lt;=IF(ISNUMBER($G36),$G36,$F36+$E36-$D36)),2,IF(AND(BT$2&gt;=$D36,BT$2&lt;=$E36),1,"")))</f>
        <v/>
      </c>
      <c r="BU36" s="38">
        <f>IF(OR(BU$2="",$D36=""),"",IF(AND(ISNUMBER($F36),BU$2&gt;=$F36,BU$2&lt;=IF(ISNUMBER($G36),$G36,$F36+$E36-$D36)),2,IF(AND(BU$2&gt;=$D36,BU$2&lt;=$E36),1,"")))</f>
        <v/>
      </c>
      <c r="BV36" s="38">
        <f>IF(OR(BV$2="",$D36=""),"",IF(AND(ISNUMBER($F36),BV$2&gt;=$F36,BV$2&lt;=IF(ISNUMBER($G36),$G36,$F36+$E36-$D36)),2,IF(AND(BV$2&gt;=$D36,BV$2&lt;=$E36),1,"")))</f>
        <v/>
      </c>
      <c r="BW36" s="38">
        <f>IF(OR(BW$2="",$D36=""),"",IF(AND(ISNUMBER($F36),BW$2&gt;=$F36,BW$2&lt;=IF(ISNUMBER($G36),$G36,$F36+$E36-$D36)),2,IF(AND(BW$2&gt;=$D36,BW$2&lt;=$E36),1,"")))</f>
        <v/>
      </c>
      <c r="BX36" s="38">
        <f>IF(OR(BX$2="",$D36=""),"",IF(AND(ISNUMBER($F36),BX$2&gt;=$F36,BX$2&lt;=IF(ISNUMBER($G36),$G36,$F36+$E36-$D36)),2,IF(AND(BX$2&gt;=$D36,BX$2&lt;=$E36),1,"")))</f>
        <v/>
      </c>
      <c r="BY36" s="38">
        <f>IF(OR(BY$2="",$D36=""),"",IF(AND(ISNUMBER($F36),BY$2&gt;=$F36,BY$2&lt;=IF(ISNUMBER($G36),$G36,$F36+$E36-$D36)),2,IF(AND(BY$2&gt;=$D36,BY$2&lt;=$E36),1,"")))</f>
        <v/>
      </c>
      <c r="BZ36" s="38">
        <f>IF(OR(BZ$2="",$D36=""),"",IF(AND(ISNUMBER($F36),BZ$2&gt;=$F36,BZ$2&lt;=IF(ISNUMBER($G36),$G36,$F36+$E36-$D36)),2,IF(AND(BZ$2&gt;=$D36,BZ$2&lt;=$E36),1,"")))</f>
        <v/>
      </c>
      <c r="CA36" s="38">
        <f>IF(OR(CA$2="",$D36=""),"",IF(AND(ISNUMBER($F36),CA$2&gt;=$F36,CA$2&lt;=IF(ISNUMBER($G36),$G36,$F36+$E36-$D36)),2,IF(AND(CA$2&gt;=$D36,CA$2&lt;=$E36),1,"")))</f>
        <v/>
      </c>
      <c r="CB36" s="38">
        <f>IF(OR(CB$2="",$D36=""),"",IF(AND(ISNUMBER($F36),CB$2&gt;=$F36,CB$2&lt;=IF(ISNUMBER($G36),$G36,$F36+$E36-$D36)),2,IF(AND(CB$2&gt;=$D36,CB$2&lt;=$E36),1,"")))</f>
        <v/>
      </c>
      <c r="CC36" s="38">
        <f>IF(OR(CC$2="",$D36=""),"",IF(AND(ISNUMBER($F36),CC$2&gt;=$F36,CC$2&lt;=IF(ISNUMBER($G36),$G36,$F36+$E36-$D36)),2,IF(AND(CC$2&gt;=$D36,CC$2&lt;=$E36),1,"")))</f>
        <v/>
      </c>
      <c r="CD36" s="38">
        <f>IF(OR(CD$2="",$D36=""),"",IF(AND(ISNUMBER($F36),CD$2&gt;=$F36,CD$2&lt;=IF(ISNUMBER($G36),$G36,$F36+$E36-$D36)),2,IF(AND(CD$2&gt;=$D36,CD$2&lt;=$E36),1,"")))</f>
        <v/>
      </c>
      <c r="CE36" s="38">
        <f>IF(OR(CE$2="",$D36=""),"",IF(AND(ISNUMBER($F36),CE$2&gt;=$F36,CE$2&lt;=IF(ISNUMBER($G36),$G36,$F36+$E36-$D36)),2,IF(AND(CE$2&gt;=$D36,CE$2&lt;=$E36),1,"")))</f>
        <v/>
      </c>
      <c r="CF36" s="38">
        <f>IF(OR(CF$2="",$D36=""),"",IF(AND(ISNUMBER($F36),CF$2&gt;=$F36,CF$2&lt;=IF(ISNUMBER($G36),$G36,$F36+$E36-$D36)),2,IF(AND(CF$2&gt;=$D36,CF$2&lt;=$E36),1,"")))</f>
        <v/>
      </c>
      <c r="CG36" s="38">
        <f>IF(OR(CG$2="",$D36=""),"",IF(AND(ISNUMBER($F36),CG$2&gt;=$F36,CG$2&lt;=IF(ISNUMBER($G36),$G36,$F36+$E36-$D36)),2,IF(AND(CG$2&gt;=$D36,CG$2&lt;=$E36),1,"")))</f>
        <v/>
      </c>
      <c r="CH36" s="38">
        <f>IF(OR(CH$2="",$D36=""),"",IF(AND(ISNUMBER($F36),CH$2&gt;=$F36,CH$2&lt;=IF(ISNUMBER($G36),$G36,$F36+$E36-$D36)),2,IF(AND(CH$2&gt;=$D36,CH$2&lt;=$E36),1,"")))</f>
        <v/>
      </c>
      <c r="CI36" s="38">
        <f>IF(OR(CI$2="",$D36=""),"",IF(AND(ISNUMBER($F36),CI$2&gt;=$F36,CI$2&lt;=IF(ISNUMBER($G36),$G36,$F36+$E36-$D36)),2,IF(AND(CI$2&gt;=$D36,CI$2&lt;=$E36),1,"")))</f>
        <v/>
      </c>
      <c r="CJ36" s="38">
        <f>IF(OR(CJ$2="",$D36=""),"",IF(AND(ISNUMBER($F36),CJ$2&gt;=$F36,CJ$2&lt;=IF(ISNUMBER($G36),$G36,$F36+$E36-$D36)),2,IF(AND(CJ$2&gt;=$D36,CJ$2&lt;=$E36),1,"")))</f>
        <v/>
      </c>
      <c r="CK36" s="38">
        <f>IF(OR(CK$2="",$D36=""),"",IF(AND(ISNUMBER($F36),CK$2&gt;=$F36,CK$2&lt;=IF(ISNUMBER($G36),$G36,$F36+$E36-$D36)),2,IF(AND(CK$2&gt;=$D36,CK$2&lt;=$E36),1,"")))</f>
        <v/>
      </c>
      <c r="CL36" s="38">
        <f>IF(OR(CL$2="",$D36=""),"",IF(AND(ISNUMBER($F36),CL$2&gt;=$F36,CL$2&lt;=IF(ISNUMBER($G36),$G36,$F36+$E36-$D36)),2,IF(AND(CL$2&gt;=$D36,CL$2&lt;=$E36),1,"")))</f>
        <v/>
      </c>
      <c r="CM36" s="38">
        <f>IF(OR(CM$2="",$D36=""),"",IF(AND(ISNUMBER($F36),CM$2&gt;=$F36,CM$2&lt;=IF(ISNUMBER($G36),$G36,$F36+$E36-$D36)),2,IF(AND(CM$2&gt;=$D36,CM$2&lt;=$E36),1,"")))</f>
        <v/>
      </c>
      <c r="CN36" s="38">
        <f>IF(OR(CN$2="",$D36=""),"",IF(AND(ISNUMBER($F36),CN$2&gt;=$F36,CN$2&lt;=IF(ISNUMBER($G36),$G36,$F36+$E36-$D36)),2,IF(AND(CN$2&gt;=$D36,CN$2&lt;=$E36),1,"")))</f>
        <v/>
      </c>
      <c r="CO36" s="38">
        <f>IF(OR(CO$2="",$D36=""),"",IF(AND(ISNUMBER($F36),CO$2&gt;=$F36,CO$2&lt;=IF(ISNUMBER($G36),$G36,$F36+$E36-$D36)),2,IF(AND(CO$2&gt;=$D36,CO$2&lt;=$E36),1,"")))</f>
        <v/>
      </c>
      <c r="CP36" s="38">
        <f>IF(OR(CP$2="",$D36=""),"",IF(AND(ISNUMBER($F36),CP$2&gt;=$F36,CP$2&lt;=IF(ISNUMBER($G36),$G36,$F36+$E36-$D36)),2,IF(AND(CP$2&gt;=$D36,CP$2&lt;=$E36),1,"")))</f>
        <v/>
      </c>
      <c r="CQ36" s="38">
        <f>IF(OR(CQ$2="",$D36=""),"",IF(AND(ISNUMBER($F36),CQ$2&gt;=$F36,CQ$2&lt;=IF(ISNUMBER($G36),$G36,$F36+$E36-$D36)),2,IF(AND(CQ$2&gt;=$D36,CQ$2&lt;=$E36),1,"")))</f>
        <v/>
      </c>
      <c r="CR36" s="38">
        <f>IF(OR(CR$2="",$D36=""),"",IF(AND(ISNUMBER($F36),CR$2&gt;=$F36,CR$2&lt;=IF(ISNUMBER($G36),$G36,$F36+$E36-$D36)),2,IF(AND(CR$2&gt;=$D36,CR$2&lt;=$E36),1,"")))</f>
        <v/>
      </c>
      <c r="CS36" s="38">
        <f>IF(OR(CS$2="",$D36=""),"",IF(AND(ISNUMBER($F36),CS$2&gt;=$F36,CS$2&lt;=IF(ISNUMBER($G36),$G36,$F36+$E36-$D36)),2,IF(AND(CS$2&gt;=$D36,CS$2&lt;=$E36),1,"")))</f>
        <v/>
      </c>
      <c r="CT36" s="38">
        <f>IF(OR(CT$2="",$D36=""),"",IF(AND(ISNUMBER($F36),CT$2&gt;=$F36,CT$2&lt;=IF(ISNUMBER($G36),$G36,$F36+$E36-$D36)),2,IF(AND(CT$2&gt;=$D36,CT$2&lt;=$E36),1,"")))</f>
        <v/>
      </c>
      <c r="CU36" s="38">
        <f>IF(OR(CU$2="",$D36=""),"",IF(AND(ISNUMBER($F36),CU$2&gt;=$F36,CU$2&lt;=IF(ISNUMBER($G36),$G36,$F36+$E36-$D36)),2,IF(AND(CU$2&gt;=$D36,CU$2&lt;=$E36),1,"")))</f>
        <v/>
      </c>
      <c r="CV36" s="38">
        <f>IF(OR(CV$2="",$D36=""),"",IF(AND(ISNUMBER($F36),CV$2&gt;=$F36,CV$2&lt;=IF(ISNUMBER($G36),$G36,$F36+$E36-$D36)),2,IF(AND(CV$2&gt;=$D36,CV$2&lt;=$E36),1,"")))</f>
        <v/>
      </c>
      <c r="CW36" s="38">
        <f>IF(OR(CW$2="",$D36=""),"",IF(AND(ISNUMBER($F36),CW$2&gt;=$F36,CW$2&lt;=IF(ISNUMBER($G36),$G36,$F36+$E36-$D36)),2,IF(AND(CW$2&gt;=$D36,CW$2&lt;=$E36),1,"")))</f>
        <v/>
      </c>
      <c r="CX36" s="38">
        <f>IF(OR(CX$2="",$D36=""),"",IF(AND(ISNUMBER($F36),CX$2&gt;=$F36,CX$2&lt;=IF(ISNUMBER($G36),$G36,$F36+$E36-$D36)),2,IF(AND(CX$2&gt;=$D36,CX$2&lt;=$E36),1,"")))</f>
        <v/>
      </c>
      <c r="CY36" s="38">
        <f>IF(OR(CY$2="",$D36=""),"",IF(AND(ISNUMBER($F36),CY$2&gt;=$F36,CY$2&lt;=IF(ISNUMBER($G36),$G36,$F36+$E36-$D36)),2,IF(AND(CY$2&gt;=$D36,CY$2&lt;=$E36),1,"")))</f>
        <v/>
      </c>
      <c r="CZ36" s="38">
        <f>IF(OR(CZ$2="",$D36=""),"",IF(AND(ISNUMBER($F36),CZ$2&gt;=$F36,CZ$2&lt;=IF(ISNUMBER($G36),$G36,$F36+$E36-$D36)),2,IF(AND(CZ$2&gt;=$D36,CZ$2&lt;=$E36),1,"")))</f>
        <v/>
      </c>
      <c r="DA36" s="38">
        <f>IF(OR(DA$2="",$D36=""),"",IF(AND(ISNUMBER($F36),DA$2&gt;=$F36,DA$2&lt;=IF(ISNUMBER($G36),$G36,$F36+$E36-$D36)),2,IF(AND(DA$2&gt;=$D36,DA$2&lt;=$E36),1,"")))</f>
        <v/>
      </c>
      <c r="DB36" s="38">
        <f>IF(OR(DB$2="",$D36=""),"",IF(AND(ISNUMBER($F36),DB$2&gt;=$F36,DB$2&lt;=IF(ISNUMBER($G36),$G36,$F36+$E36-$D36)),2,IF(AND(DB$2&gt;=$D36,DB$2&lt;=$E36),1,"")))</f>
        <v/>
      </c>
      <c r="DC36" s="38">
        <f>IF(OR(DC$2="",$D36=""),"",IF(AND(ISNUMBER($F36),DC$2&gt;=$F36,DC$2&lt;=IF(ISNUMBER($G36),$G36,$F36+$E36-$D36)),2,IF(AND(DC$2&gt;=$D36,DC$2&lt;=$E36),1,"")))</f>
        <v/>
      </c>
      <c r="DD36" s="38">
        <f>IF(OR(DD$2="",$D36=""),"",IF(AND(ISNUMBER($F36),DD$2&gt;=$F36,DD$2&lt;=IF(ISNUMBER($G36),$G36,$F36+$E36-$D36)),2,IF(AND(DD$2&gt;=$D36,DD$2&lt;=$E36),1,"")))</f>
        <v/>
      </c>
      <c r="DE36" s="38">
        <f>IF(OR(DE$2="",$D36=""),"",IF(AND(ISNUMBER($F36),DE$2&gt;=$F36,DE$2&lt;=IF(ISNUMBER($G36),$G36,$F36+$E36-$D36)),2,IF(AND(DE$2&gt;=$D36,DE$2&lt;=$E36),1,"")))</f>
        <v/>
      </c>
      <c r="DF36" s="38">
        <f>IF(OR(DF$2="",$D36=""),"",IF(AND(ISNUMBER($F36),DF$2&gt;=$F36,DF$2&lt;=IF(ISNUMBER($G36),$G36,$F36+$E36-$D36)),2,IF(AND(DF$2&gt;=$D36,DF$2&lt;=$E36),1,"")))</f>
        <v/>
      </c>
      <c r="DG36" s="38">
        <f>IF(OR(DG$2="",$D36=""),"",IF(AND(ISNUMBER($F36),DG$2&gt;=$F36,DG$2&lt;=IF(ISNUMBER($G36),$G36,$F36+$E36-$D36)),2,IF(AND(DG$2&gt;=$D36,DG$2&lt;=$E36),1,"")))</f>
        <v/>
      </c>
      <c r="DH36" s="38">
        <f>IF(OR(DH$2="",$D36=""),"",IF(AND(ISNUMBER($F36),DH$2&gt;=$F36,DH$2&lt;=IF(ISNUMBER($G36),$G36,$F36+$E36-$D36)),2,IF(AND(DH$2&gt;=$D36,DH$2&lt;=$E36),1,"")))</f>
        <v/>
      </c>
      <c r="DI36" s="38">
        <f>IF(OR(DI$2="",$D36=""),"",IF(AND(ISNUMBER($F36),DI$2&gt;=$F36,DI$2&lt;=IF(ISNUMBER($G36),$G36,$F36+$E36-$D36)),2,IF(AND(DI$2&gt;=$D36,DI$2&lt;=$E36),1,"")))</f>
        <v/>
      </c>
      <c r="DJ36" s="38">
        <f>IF(OR(DJ$2="",$D36=""),"",IF(AND(ISNUMBER($F36),DJ$2&gt;=$F36,DJ$2&lt;=IF(ISNUMBER($G36),$G36,$F36+$E36-$D36)),2,IF(AND(DJ$2&gt;=$D36,DJ$2&lt;=$E36),1,"")))</f>
        <v/>
      </c>
      <c r="DK36" s="38">
        <f>IF(OR(DK$2="",$D36=""),"",IF(AND(ISNUMBER($F36),DK$2&gt;=$F36,DK$2&lt;=IF(ISNUMBER($G36),$G36,$F36+$E36-$D36)),2,IF(AND(DK$2&gt;=$D36,DK$2&lt;=$E36),1,"")))</f>
        <v/>
      </c>
      <c r="DL36" s="38">
        <f>IF(OR(DL$2="",$D36=""),"",IF(AND(ISNUMBER($F36),DL$2&gt;=$F36,DL$2&lt;=IF(ISNUMBER($G36),$G36,$F36+$E36-$D36)),2,IF(AND(DL$2&gt;=$D36,DL$2&lt;=$E36),1,"")))</f>
        <v/>
      </c>
      <c r="DM36" s="38">
        <f>IF(OR(DM$2="",$D36=""),"",IF(AND(ISNUMBER($F36),DM$2&gt;=$F36,DM$2&lt;=IF(ISNUMBER($G36),$G36,$F36+$E36-$D36)),2,IF(AND(DM$2&gt;=$D36,DM$2&lt;=$E36),1,"")))</f>
        <v/>
      </c>
      <c r="DN36" s="38">
        <f>IF(OR(DN$2="",$D36=""),"",IF(AND(ISNUMBER($F36),DN$2&gt;=$F36,DN$2&lt;=IF(ISNUMBER($G36),$G36,$F36+$E36-$D36)),2,IF(AND(DN$2&gt;=$D36,DN$2&lt;=$E36),1,"")))</f>
        <v/>
      </c>
      <c r="DO36" s="38">
        <f>IF(OR(DO$2="",$D36=""),"",IF(AND(ISNUMBER($F36),DO$2&gt;=$F36,DO$2&lt;=IF(ISNUMBER($G36),$G36,$F36+$E36-$D36)),2,IF(AND(DO$2&gt;=$D36,DO$2&lt;=$E36),1,"")))</f>
        <v/>
      </c>
      <c r="DP36" s="38">
        <f>IF(OR(DP$2="",$D36=""),"",IF(AND(ISNUMBER($F36),DP$2&gt;=$F36,DP$2&lt;=IF(ISNUMBER($G36),$G36,$F36+$E36-$D36)),2,IF(AND(DP$2&gt;=$D36,DP$2&lt;=$E36),1,"")))</f>
        <v/>
      </c>
      <c r="DQ36" s="38">
        <f>IF(OR(DQ$2="",$D36=""),"",IF(AND(ISNUMBER($F36),DQ$2&gt;=$F36,DQ$2&lt;=IF(ISNUMBER($G36),$G36,$F36+$E36-$D36)),2,IF(AND(DQ$2&gt;=$D36,DQ$2&lt;=$E36),1,"")))</f>
        <v/>
      </c>
      <c r="DR36" s="38">
        <f>IF(OR(DR$2="",$D36=""),"",IF(AND(ISNUMBER($F36),DR$2&gt;=$F36,DR$2&lt;=IF(ISNUMBER($G36),$G36,$F36+$E36-$D36)),2,IF(AND(DR$2&gt;=$D36,DR$2&lt;=$E36),1,"")))</f>
        <v/>
      </c>
      <c r="DS36" s="38">
        <f>IF(OR(DS$2="",$D36=""),"",IF(AND(ISNUMBER($F36),DS$2&gt;=$F36,DS$2&lt;=IF(ISNUMBER($G36),$G36,$F36+$E36-$D36)),2,IF(AND(DS$2&gt;=$D36,DS$2&lt;=$E36),1,"")))</f>
        <v/>
      </c>
      <c r="DT36" s="38">
        <f>IF(OR(DT$2="",$D36=""),"",IF(AND(ISNUMBER($F36),DT$2&gt;=$F36,DT$2&lt;=IF(ISNUMBER($G36),$G36,$F36+$E36-$D36)),2,IF(AND(DT$2&gt;=$D36,DT$2&lt;=$E36),1,"")))</f>
        <v/>
      </c>
      <c r="DU36" s="38">
        <f>IF(OR(DU$2="",$D36=""),"",IF(AND(ISNUMBER($F36),DU$2&gt;=$F36,DU$2&lt;=IF(ISNUMBER($G36),$G36,$F36+$E36-$D36)),2,IF(AND(DU$2&gt;=$D36,DU$2&lt;=$E36),1,"")))</f>
        <v/>
      </c>
      <c r="DV36" s="38">
        <f>IF(OR(DV$2="",$D36=""),"",IF(AND(ISNUMBER($F36),DV$2&gt;=$F36,DV$2&lt;=IF(ISNUMBER($G36),$G36,$F36+$E36-$D36)),2,IF(AND(DV$2&gt;=$D36,DV$2&lt;=$E36),1,"")))</f>
        <v/>
      </c>
      <c r="DW36" s="38">
        <f>IF(OR(DW$2="",$D36=""),"",IF(AND(ISNUMBER($F36),DW$2&gt;=$F36,DW$2&lt;=IF(ISNUMBER($G36),$G36,$F36+$E36-$D36)),2,IF(AND(DW$2&gt;=$D36,DW$2&lt;=$E36),1,"")))</f>
        <v/>
      </c>
      <c r="DX36" s="38">
        <f>IF(OR(DX$2="",$D36=""),"",IF(AND(ISNUMBER($F36),DX$2&gt;=$F36,DX$2&lt;=IF(ISNUMBER($G36),$G36,$F36+$E36-$D36)),2,IF(AND(DX$2&gt;=$D36,DX$2&lt;=$E36),1,"")))</f>
        <v/>
      </c>
      <c r="DY36" s="38">
        <f>IF(OR(DY$2="",$D36=""),"",IF(AND(ISNUMBER($F36),DY$2&gt;=$F36,DY$2&lt;=IF(ISNUMBER($G36),$G36,$F36+$E36-$D36)),2,IF(AND(DY$2&gt;=$D36,DY$2&lt;=$E36),1,"")))</f>
        <v/>
      </c>
      <c r="DZ36" s="38">
        <f>IF(OR(DZ$2="",$D36=""),"",IF(AND(ISNUMBER($F36),DZ$2&gt;=$F36,DZ$2&lt;=IF(ISNUMBER($G36),$G36,$F36+$E36-$D36)),2,IF(AND(DZ$2&gt;=$D36,DZ$2&lt;=$E36),1,"")))</f>
        <v/>
      </c>
      <c r="EA36" s="38">
        <f>IF(OR(EA$2="",$D36=""),"",IF(AND(ISNUMBER($F36),EA$2&gt;=$F36,EA$2&lt;=IF(ISNUMBER($G36),$G36,$F36+$E36-$D36)),2,IF(AND(EA$2&gt;=$D36,EA$2&lt;=$E36),1,"")))</f>
        <v/>
      </c>
      <c r="EB36" s="38">
        <f>IF(OR(EB$2="",$D36=""),"",IF(AND(ISNUMBER($F36),EB$2&gt;=$F36,EB$2&lt;=IF(ISNUMBER($G36),$G36,$F36+$E36-$D36)),2,IF(AND(EB$2&gt;=$D36,EB$2&lt;=$E36),1,"")))</f>
        <v/>
      </c>
      <c r="EC36" s="38">
        <f>IF(OR(EC$2="",$D36=""),"",IF(AND(ISNUMBER($F36),EC$2&gt;=$F36,EC$2&lt;=IF(ISNUMBER($G36),$G36,$F36+$E36-$D36)),2,IF(AND(EC$2&gt;=$D36,EC$2&lt;=$E36),1,"")))</f>
        <v/>
      </c>
      <c r="ED36" s="38">
        <f>IF(OR(ED$2="",$D36=""),"",IF(AND(ISNUMBER($F36),ED$2&gt;=$F36,ED$2&lt;=IF(ISNUMBER($G36),$G36,$F36+$E36-$D36)),2,IF(AND(ED$2&gt;=$D36,ED$2&lt;=$E36),1,"")))</f>
        <v/>
      </c>
      <c r="EE36" s="38">
        <f>IF(OR(EE$2="",$D36=""),"",IF(AND(ISNUMBER($F36),EE$2&gt;=$F36,EE$2&lt;=IF(ISNUMBER($G36),$G36,$F36+$E36-$D36)),2,IF(AND(EE$2&gt;=$D36,EE$2&lt;=$E36),1,"")))</f>
        <v/>
      </c>
      <c r="EF36" s="38">
        <f>IF(OR(EF$2="",$D36=""),"",IF(AND(ISNUMBER($F36),EF$2&gt;=$F36,EF$2&lt;=IF(ISNUMBER($G36),$G36,$F36+$E36-$D36)),2,IF(AND(EF$2&gt;=$D36,EF$2&lt;=$E36),1,"")))</f>
        <v/>
      </c>
      <c r="EG36" s="38">
        <f>IF(OR(EG$2="",$D36=""),"",IF(AND(ISNUMBER($F36),EG$2&gt;=$F36,EG$2&lt;=IF(ISNUMBER($G36),$G36,$F36+$E36-$D36)),2,IF(AND(EG$2&gt;=$D36,EG$2&lt;=$E36),1,"")))</f>
        <v/>
      </c>
      <c r="EH36" s="38">
        <f>IF(OR(EH$2="",$D36=""),"",IF(AND(ISNUMBER($F36),EH$2&gt;=$F36,EH$2&lt;=IF(ISNUMBER($G36),$G36,$F36+$E36-$D36)),2,IF(AND(EH$2&gt;=$D36,EH$2&lt;=$E36),1,"")))</f>
        <v/>
      </c>
      <c r="EI36" s="38">
        <f>IF(OR(EI$2="",$D36=""),"",IF(AND(ISNUMBER($F36),EI$2&gt;=$F36,EI$2&lt;=IF(ISNUMBER($G36),$G36,$F36+$E36-$D36)),2,IF(AND(EI$2&gt;=$D36,EI$2&lt;=$E36),1,"")))</f>
        <v/>
      </c>
      <c r="EJ36" s="38">
        <f>IF(OR(EJ$2="",$D36=""),"",IF(AND(ISNUMBER($F36),EJ$2&gt;=$F36,EJ$2&lt;=IF(ISNUMBER($G36),$G36,$F36+$E36-$D36)),2,IF(AND(EJ$2&gt;=$D36,EJ$2&lt;=$E36),1,"")))</f>
        <v/>
      </c>
      <c r="EK36" s="38">
        <f>IF(OR(EK$2="",$D36=""),"",IF(AND(ISNUMBER($F36),EK$2&gt;=$F36,EK$2&lt;=IF(ISNUMBER($G36),$G36,$F36+$E36-$D36)),2,IF(AND(EK$2&gt;=$D36,EK$2&lt;=$E36),1,"")))</f>
        <v/>
      </c>
      <c r="EL36" s="38">
        <f>IF(OR(EL$2="",$D36=""),"",IF(AND(ISNUMBER($F36),EL$2&gt;=$F36,EL$2&lt;=IF(ISNUMBER($G36),$G36,$F36+$E36-$D36)),2,IF(AND(EL$2&gt;=$D36,EL$2&lt;=$E36),1,"")))</f>
        <v/>
      </c>
      <c r="EM36" s="38">
        <f>IF(OR(EM$2="",$D36=""),"",IF(AND(ISNUMBER($F36),EM$2&gt;=$F36,EM$2&lt;=IF(ISNUMBER($G36),$G36,$F36+$E36-$D36)),2,IF(AND(EM$2&gt;=$D36,EM$2&lt;=$E36),1,"")))</f>
        <v/>
      </c>
      <c r="EN36" s="38">
        <f>IF(OR(EN$2="",$D36=""),"",IF(AND(ISNUMBER($F36),EN$2&gt;=$F36,EN$2&lt;=IF(ISNUMBER($G36),$G36,$F36+$E36-$D36)),2,IF(AND(EN$2&gt;=$D36,EN$2&lt;=$E36),1,"")))</f>
        <v/>
      </c>
      <c r="EO36" s="38">
        <f>IF(OR(EO$2="",$D36=""),"",IF(AND(ISNUMBER($F36),EO$2&gt;=$F36,EO$2&lt;=IF(ISNUMBER($G36),$G36,$F36+$E36-$D36)),2,IF(AND(EO$2&gt;=$D36,EO$2&lt;=$E36),1,"")))</f>
        <v/>
      </c>
      <c r="EP36" s="38">
        <f>IF(OR(EP$2="",$D36=""),"",IF(AND(ISNUMBER($F36),EP$2&gt;=$F36,EP$2&lt;=IF(ISNUMBER($G36),$G36,$F36+$E36-$D36)),2,IF(AND(EP$2&gt;=$D36,EP$2&lt;=$E36),1,"")))</f>
        <v/>
      </c>
      <c r="EQ36" s="38">
        <f>IF(OR(EQ$2="",$D36=""),"",IF(AND(ISNUMBER($F36),EQ$2&gt;=$F36,EQ$2&lt;=IF(ISNUMBER($G36),$G36,$F36+$E36-$D36)),2,IF(AND(EQ$2&gt;=$D36,EQ$2&lt;=$E36),1,"")))</f>
        <v/>
      </c>
      <c r="ER36" s="38">
        <f>IF(OR(ER$2="",$D36=""),"",IF(AND(ISNUMBER($F36),ER$2&gt;=$F36,ER$2&lt;=IF(ISNUMBER($G36),$G36,$F36+$E36-$D36)),2,IF(AND(ER$2&gt;=$D36,ER$2&lt;=$E36),1,"")))</f>
        <v/>
      </c>
      <c r="ES36" s="38">
        <f>IF(OR(ES$2="",$D36=""),"",IF(AND(ISNUMBER($F36),ES$2&gt;=$F36,ES$2&lt;=IF(ISNUMBER($G36),$G36,$F36+$E36-$D36)),2,IF(AND(ES$2&gt;=$D36,ES$2&lt;=$E36),1,"")))</f>
        <v/>
      </c>
      <c r="ET36" s="38">
        <f>IF(OR(ET$2="",$D36=""),"",IF(AND(ISNUMBER($F36),ET$2&gt;=$F36,ET$2&lt;=IF(ISNUMBER($G36),$G36,$F36+$E36-$D36)),2,IF(AND(ET$2&gt;=$D36,ET$2&lt;=$E36),1,"")))</f>
        <v/>
      </c>
      <c r="EU36" s="38">
        <f>IF(OR(EU$2="",$D36=""),"",IF(AND(ISNUMBER($F36),EU$2&gt;=$F36,EU$2&lt;=IF(ISNUMBER($G36),$G36,$F36+$E36-$D36)),2,IF(AND(EU$2&gt;=$D36,EU$2&lt;=$E36),1,"")))</f>
        <v/>
      </c>
      <c r="EV36" s="38">
        <f>IF(OR(EV$2="",$D36=""),"",IF(AND(ISNUMBER($F36),EV$2&gt;=$F36,EV$2&lt;=IF(ISNUMBER($G36),$G36,$F36+$E36-$D36)),2,IF(AND(EV$2&gt;=$D36,EV$2&lt;=$E36),1,"")))</f>
        <v/>
      </c>
      <c r="EW36" s="38">
        <f>IF(OR(EW$2="",$D36=""),"",IF(AND(ISNUMBER($F36),EW$2&gt;=$F36,EW$2&lt;=IF(ISNUMBER($G36),$G36,$F36+$E36-$D36)),2,IF(AND(EW$2&gt;=$D36,EW$2&lt;=$E36),1,"")))</f>
        <v/>
      </c>
      <c r="EX36" s="38">
        <f>IF(OR(EX$2="",$D36=""),"",IF(AND(ISNUMBER($F36),EX$2&gt;=$F36,EX$2&lt;=IF(ISNUMBER($G36),$G36,$F36+$E36-$D36)),2,IF(AND(EX$2&gt;=$D36,EX$2&lt;=$E36),1,"")))</f>
        <v/>
      </c>
      <c r="EY36" s="38">
        <f>IF(OR(EY$2="",$D36=""),"",IF(AND(ISNUMBER($F36),EY$2&gt;=$F36,EY$2&lt;=IF(ISNUMBER($G36),$G36,$F36+$E36-$D36)),2,IF(AND(EY$2&gt;=$D36,EY$2&lt;=$E36),1,"")))</f>
        <v/>
      </c>
      <c r="EZ36" s="38">
        <f>IF(OR(EZ$2="",$D36=""),"",IF(AND(ISNUMBER($F36),EZ$2&gt;=$F36,EZ$2&lt;=IF(ISNUMBER($G36),$G36,$F36+$E36-$D36)),2,IF(AND(EZ$2&gt;=$D36,EZ$2&lt;=$E36),1,"")))</f>
        <v/>
      </c>
      <c r="FA36" s="38">
        <f>IF(OR(FA$2="",$D36=""),"",IF(AND(ISNUMBER($F36),FA$2&gt;=$F36,FA$2&lt;=IF(ISNUMBER($G36),$G36,$F36+$E36-$D36)),2,IF(AND(FA$2&gt;=$D36,FA$2&lt;=$E36),1,"")))</f>
        <v/>
      </c>
      <c r="FB36" s="38">
        <f>IF(OR(FB$2="",$D36=""),"",IF(AND(ISNUMBER($F36),FB$2&gt;=$F36,FB$2&lt;=IF(ISNUMBER($G36),$G36,$F36+$E36-$D36)),2,IF(AND(FB$2&gt;=$D36,FB$2&lt;=$E36),1,"")))</f>
        <v/>
      </c>
      <c r="FC36" s="38">
        <f>IF(OR(FC$2="",$D36=""),"",IF(AND(ISNUMBER($F36),FC$2&gt;=$F36,FC$2&lt;=IF(ISNUMBER($G36),$G36,$F36+$E36-$D36)),2,IF(AND(FC$2&gt;=$D36,FC$2&lt;=$E36),1,"")))</f>
        <v/>
      </c>
      <c r="FD36" s="38">
        <f>IF(OR(FD$2="",$D36=""),"",IF(AND(ISNUMBER($F36),FD$2&gt;=$F36,FD$2&lt;=IF(ISNUMBER($G36),$G36,$F36+$E36-$D36)),2,IF(AND(FD$2&gt;=$D36,FD$2&lt;=$E36),1,"")))</f>
        <v/>
      </c>
      <c r="FE36" s="38">
        <f>IF(OR(FE$2="",$D36=""),"",IF(AND(ISNUMBER($F36),FE$2&gt;=$F36,FE$2&lt;=IF(ISNUMBER($G36),$G36,$F36+$E36-$D36)),2,IF(AND(FE$2&gt;=$D36,FE$2&lt;=$E36),1,"")))</f>
        <v/>
      </c>
      <c r="FF36" s="38">
        <f>IF(OR(FF$2="",$D36=""),"",IF(AND(ISNUMBER($F36),FF$2&gt;=$F36,FF$2&lt;=IF(ISNUMBER($G36),$G36,$F36+$E36-$D36)),2,IF(AND(FF$2&gt;=$D36,FF$2&lt;=$E36),1,"")))</f>
        <v/>
      </c>
      <c r="FG36" s="38">
        <f>IF(OR(FG$2="",$D36=""),"",IF(AND(ISNUMBER($F36),FG$2&gt;=$F36,FG$2&lt;=IF(ISNUMBER($G36),$G36,$F36+$E36-$D36)),2,IF(AND(FG$2&gt;=$D36,FG$2&lt;=$E36),1,"")))</f>
        <v/>
      </c>
      <c r="FH36" s="38">
        <f>IF(OR(FH$2="",$D36=""),"",IF(AND(ISNUMBER($F36),FH$2&gt;=$F36,FH$2&lt;=IF(ISNUMBER($G36),$G36,$F36+$E36-$D36)),2,IF(AND(FH$2&gt;=$D36,FH$2&lt;=$E36),1,"")))</f>
        <v/>
      </c>
      <c r="FI36" s="38">
        <f>IF(OR(FI$2="",$D36=""),"",IF(AND(ISNUMBER($F36),FI$2&gt;=$F36,FI$2&lt;=IF(ISNUMBER($G36),$G36,$F36+$E36-$D36)),2,IF(AND(FI$2&gt;=$D36,FI$2&lt;=$E36),1,"")))</f>
        <v/>
      </c>
      <c r="FJ36" s="38">
        <f>IF(OR(FJ$2="",$D36=""),"",IF(AND(ISNUMBER($F36),FJ$2&gt;=$F36,FJ$2&lt;=IF(ISNUMBER($G36),$G36,$F36+$E36-$D36)),2,IF(AND(FJ$2&gt;=$D36,FJ$2&lt;=$E36),1,"")))</f>
        <v/>
      </c>
      <c r="FK36" s="38">
        <f>IF(OR(FK$2="",$D36=""),"",IF(AND(ISNUMBER($F36),FK$2&gt;=$F36,FK$2&lt;=IF(ISNUMBER($G36),$G36,$F36+$E36-$D36)),2,IF(AND(FK$2&gt;=$D36,FK$2&lt;=$E36),1,"")))</f>
        <v/>
      </c>
      <c r="FL36" s="38">
        <f>IF(OR(FL$2="",$D36=""),"",IF(AND(ISNUMBER($F36),FL$2&gt;=$F36,FL$2&lt;=IF(ISNUMBER($G36),$G36,$F36+$E36-$D36)),2,IF(AND(FL$2&gt;=$D36,FL$2&lt;=$E36),1,"")))</f>
        <v/>
      </c>
      <c r="FM36" s="38">
        <f>IF(OR(FM$2="",$D36=""),"",IF(AND(ISNUMBER($F36),FM$2&gt;=$F36,FM$2&lt;=IF(ISNUMBER($G36),$G36,$F36+$E36-$D36)),2,IF(AND(FM$2&gt;=$D36,FM$2&lt;=$E36),1,"")))</f>
        <v/>
      </c>
      <c r="FN36" s="38">
        <f>IF(OR(FN$2="",$D36=""),"",IF(AND(ISNUMBER($F36),FN$2&gt;=$F36,FN$2&lt;=IF(ISNUMBER($G36),$G36,$F36+$E36-$D36)),2,IF(AND(FN$2&gt;=$D36,FN$2&lt;=$E36),1,"")))</f>
        <v/>
      </c>
      <c r="FO36" s="38">
        <f>IF(OR(FO$2="",$D36=""),"",IF(AND(ISNUMBER($F36),FO$2&gt;=$F36,FO$2&lt;=IF(ISNUMBER($G36),$G36,$F36+$E36-$D36)),2,IF(AND(FO$2&gt;=$D36,FO$2&lt;=$E36),1,"")))</f>
        <v/>
      </c>
      <c r="FP36" s="38">
        <f>IF(OR(FP$2="",$D36=""),"",IF(AND(ISNUMBER($F36),FP$2&gt;=$F36,FP$2&lt;=IF(ISNUMBER($G36),$G36,$F36+$E36-$D36)),2,IF(AND(FP$2&gt;=$D36,FP$2&lt;=$E36),1,"")))</f>
        <v/>
      </c>
      <c r="FQ36" s="38">
        <f>IF(OR(FQ$2="",$D36=""),"",IF(AND(ISNUMBER($F36),FQ$2&gt;=$F36,FQ$2&lt;=IF(ISNUMBER($G36),$G36,$F36+$E36-$D36)),2,IF(AND(FQ$2&gt;=$D36,FQ$2&lt;=$E36),1,"")))</f>
        <v/>
      </c>
      <c r="FR36" s="38">
        <f>IF(OR(FR$2="",$D36=""),"",IF(AND(ISNUMBER($F36),FR$2&gt;=$F36,FR$2&lt;=IF(ISNUMBER($G36),$G36,$F36+$E36-$D36)),2,IF(AND(FR$2&gt;=$D36,FR$2&lt;=$E36),1,"")))</f>
        <v/>
      </c>
      <c r="FS36" s="38">
        <f>IF(OR(FS$2="",$D36=""),"",IF(AND(ISNUMBER($F36),FS$2&gt;=$F36,FS$2&lt;=IF(ISNUMBER($G36),$G36,$F36+$E36-$D36)),2,IF(AND(FS$2&gt;=$D36,FS$2&lt;=$E36),1,"")))</f>
        <v/>
      </c>
      <c r="FT36" s="38">
        <f>IF(OR(FT$2="",$D36=""),"",IF(AND(ISNUMBER($F36),FT$2&gt;=$F36,FT$2&lt;=IF(ISNUMBER($G36),$G36,$F36+$E36-$D36)),2,IF(AND(FT$2&gt;=$D36,FT$2&lt;=$E36),1,"")))</f>
        <v/>
      </c>
      <c r="FU36" s="38">
        <f>IF(OR(FU$2="",$D36=""),"",IF(AND(ISNUMBER($F36),FU$2&gt;=$F36,FU$2&lt;=IF(ISNUMBER($G36),$G36,$F36+$E36-$D36)),2,IF(AND(FU$2&gt;=$D36,FU$2&lt;=$E36),1,"")))</f>
        <v/>
      </c>
      <c r="FV36" s="38">
        <f>IF(OR(FV$2="",$D36=""),"",IF(AND(ISNUMBER($F36),FV$2&gt;=$F36,FV$2&lt;=IF(ISNUMBER($G36),$G36,$F36+$E36-$D36)),2,IF(AND(FV$2&gt;=$D36,FV$2&lt;=$E36),1,"")))</f>
        <v/>
      </c>
      <c r="FW36" s="38">
        <f>IF(OR(FW$2="",$D36=""),"",IF(AND(ISNUMBER($F36),FW$2&gt;=$F36,FW$2&lt;=IF(ISNUMBER($G36),$G36,$F36+$E36-$D36)),2,IF(AND(FW$2&gt;=$D36,FW$2&lt;=$E36),1,"")))</f>
        <v/>
      </c>
      <c r="FX36" s="38">
        <f>IF(OR(FX$2="",$D36=""),"",IF(AND(ISNUMBER($F36),FX$2&gt;=$F36,FX$2&lt;=IF(ISNUMBER($G36),$G36,$F36+$E36-$D36)),2,IF(AND(FX$2&gt;=$D36,FX$2&lt;=$E36),1,"")))</f>
        <v/>
      </c>
      <c r="FY36" s="38">
        <f>IF(OR(FY$2="",$D36=""),"",IF(AND(ISNUMBER($F36),FY$2&gt;=$F36,FY$2&lt;=IF(ISNUMBER($G36),$G36,$F36+$E36-$D36)),2,IF(AND(FY$2&gt;=$D36,FY$2&lt;=$E36),1,"")))</f>
        <v/>
      </c>
      <c r="FZ36" s="38">
        <f>IF(OR(FZ$2="",$D36=""),"",IF(AND(ISNUMBER($F36),FZ$2&gt;=$F36,FZ$2&lt;=IF(ISNUMBER($G36),$G36,$F36+$E36-$D36)),2,IF(AND(FZ$2&gt;=$D36,FZ$2&lt;=$E36),1,"")))</f>
        <v/>
      </c>
      <c r="GA36" s="38">
        <f>IF(OR(GA$2="",$D36=""),"",IF(AND(ISNUMBER($F36),GA$2&gt;=$F36,GA$2&lt;=IF(ISNUMBER($G36),$G36,$F36+$E36-$D36)),2,IF(AND(GA$2&gt;=$D36,GA$2&lt;=$E36),1,"")))</f>
        <v/>
      </c>
      <c r="GB36" s="38">
        <f>IF(OR(GB$2="",$D36=""),"",IF(AND(ISNUMBER($F36),GB$2&gt;=$F36,GB$2&lt;=IF(ISNUMBER($G36),$G36,$F36+$E36-$D36)),2,IF(AND(GB$2&gt;=$D36,GB$2&lt;=$E36),1,"")))</f>
        <v/>
      </c>
      <c r="GC36" s="38">
        <f>IF(OR(GC$2="",$D36=""),"",IF(AND(ISNUMBER($F36),GC$2&gt;=$F36,GC$2&lt;=IF(ISNUMBER($G36),$G36,$F36+$E36-$D36)),2,IF(AND(GC$2&gt;=$D36,GC$2&lt;=$E36),1,"")))</f>
        <v/>
      </c>
      <c r="GD36" s="38">
        <f>IF(OR(GD$2="",$D36=""),"",IF(AND(ISNUMBER($F36),GD$2&gt;=$F36,GD$2&lt;=IF(ISNUMBER($G36),$G36,$F36+$E36-$D36)),2,IF(AND(GD$2&gt;=$D36,GD$2&lt;=$E36),1,"")))</f>
        <v/>
      </c>
      <c r="GE36" s="38">
        <f>IF(OR(GE$2="",$D36=""),"",IF(AND(ISNUMBER($F36),GE$2&gt;=$F36,GE$2&lt;=IF(ISNUMBER($G36),$G36,$F36+$E36-$D36)),2,IF(AND(GE$2&gt;=$D36,GE$2&lt;=$E36),1,"")))</f>
        <v/>
      </c>
    </row>
    <row r="37">
      <c r="A37" s="36" t="inlineStr">
        <is>
          <t>Last irrigation</t>
        </is>
      </c>
      <c r="B37" s="12" t="inlineStr">
        <is>
          <t>শেষ সেচ</t>
        </is>
      </c>
      <c r="C37" s="12" t="inlineStr">
        <is>
          <t>FP</t>
        </is>
      </c>
      <c r="D37" s="7">
        <f>IF(D25="","",D25-cfg_11)</f>
        <v/>
      </c>
      <c r="E37" s="7">
        <f>IF(D37="","",D37)</f>
        <v/>
      </c>
      <c r="F37" s="37" t="n"/>
      <c r="G37" s="7" t="n"/>
      <c r="H37" s="6">
        <f>IF(D37="","no plan",IF(F37&lt;&gt;"",IF(F37-D37&gt;=2,"LATE","OK"),IF(TODAY()&gt;D37+2,"OVERDUE","upcoming")))</f>
        <v/>
      </c>
      <c r="I37" s="6">
        <f>IF(AND(D37&lt;&gt;"",F37&lt;&gt;""),F37-D37,"")</f>
        <v/>
      </c>
      <c r="J37" s="7">
        <f>IF(F37&lt;&gt;"",F37,D37)</f>
        <v/>
      </c>
      <c r="K37" s="7">
        <f>IF(G37&lt;&gt;"",G37,IF(AND(F37&lt;&gt;"",E37=D37),F37,E37))</f>
        <v/>
      </c>
      <c r="L37" s="6">
        <f>IF(AND(D37&lt;&gt;"",F37="",D37&gt;=TODAY()),D37+ROW()/1000,"")</f>
        <v/>
      </c>
      <c r="M37" s="38">
        <f>IF(OR(M$2="",$D37=""),"",IF(AND(ISNUMBER($F37),M$2&gt;=$F37,M$2&lt;=IF(ISNUMBER($G37),$G37,$F37+$E37-$D37)),2,IF(AND(M$2&gt;=$D37,M$2&lt;=$E37),1,"")))</f>
        <v/>
      </c>
      <c r="N37" s="38">
        <f>IF(OR(N$2="",$D37=""),"",IF(AND(ISNUMBER($F37),N$2&gt;=$F37,N$2&lt;=IF(ISNUMBER($G37),$G37,$F37+$E37-$D37)),2,IF(AND(N$2&gt;=$D37,N$2&lt;=$E37),1,"")))</f>
        <v/>
      </c>
      <c r="O37" s="38">
        <f>IF(OR(O$2="",$D37=""),"",IF(AND(ISNUMBER($F37),O$2&gt;=$F37,O$2&lt;=IF(ISNUMBER($G37),$G37,$F37+$E37-$D37)),2,IF(AND(O$2&gt;=$D37,O$2&lt;=$E37),1,"")))</f>
        <v/>
      </c>
      <c r="P37" s="38">
        <f>IF(OR(P$2="",$D37=""),"",IF(AND(ISNUMBER($F37),P$2&gt;=$F37,P$2&lt;=IF(ISNUMBER($G37),$G37,$F37+$E37-$D37)),2,IF(AND(P$2&gt;=$D37,P$2&lt;=$E37),1,"")))</f>
        <v/>
      </c>
      <c r="Q37" s="38">
        <f>IF(OR(Q$2="",$D37=""),"",IF(AND(ISNUMBER($F37),Q$2&gt;=$F37,Q$2&lt;=IF(ISNUMBER($G37),$G37,$F37+$E37-$D37)),2,IF(AND(Q$2&gt;=$D37,Q$2&lt;=$E37),1,"")))</f>
        <v/>
      </c>
      <c r="R37" s="38">
        <f>IF(OR(R$2="",$D37=""),"",IF(AND(ISNUMBER($F37),R$2&gt;=$F37,R$2&lt;=IF(ISNUMBER($G37),$G37,$F37+$E37-$D37)),2,IF(AND(R$2&gt;=$D37,R$2&lt;=$E37),1,"")))</f>
        <v/>
      </c>
      <c r="S37" s="38">
        <f>IF(OR(S$2="",$D37=""),"",IF(AND(ISNUMBER($F37),S$2&gt;=$F37,S$2&lt;=IF(ISNUMBER($G37),$G37,$F37+$E37-$D37)),2,IF(AND(S$2&gt;=$D37,S$2&lt;=$E37),1,"")))</f>
        <v/>
      </c>
      <c r="T37" s="38">
        <f>IF(OR(T$2="",$D37=""),"",IF(AND(ISNUMBER($F37),T$2&gt;=$F37,T$2&lt;=IF(ISNUMBER($G37),$G37,$F37+$E37-$D37)),2,IF(AND(T$2&gt;=$D37,T$2&lt;=$E37),1,"")))</f>
        <v/>
      </c>
      <c r="U37" s="38">
        <f>IF(OR(U$2="",$D37=""),"",IF(AND(ISNUMBER($F37),U$2&gt;=$F37,U$2&lt;=IF(ISNUMBER($G37),$G37,$F37+$E37-$D37)),2,IF(AND(U$2&gt;=$D37,U$2&lt;=$E37),1,"")))</f>
        <v/>
      </c>
      <c r="V37" s="38">
        <f>IF(OR(V$2="",$D37=""),"",IF(AND(ISNUMBER($F37),V$2&gt;=$F37,V$2&lt;=IF(ISNUMBER($G37),$G37,$F37+$E37-$D37)),2,IF(AND(V$2&gt;=$D37,V$2&lt;=$E37),1,"")))</f>
        <v/>
      </c>
      <c r="W37" s="38">
        <f>IF(OR(W$2="",$D37=""),"",IF(AND(ISNUMBER($F37),W$2&gt;=$F37,W$2&lt;=IF(ISNUMBER($G37),$G37,$F37+$E37-$D37)),2,IF(AND(W$2&gt;=$D37,W$2&lt;=$E37),1,"")))</f>
        <v/>
      </c>
      <c r="X37" s="38">
        <f>IF(OR(X$2="",$D37=""),"",IF(AND(ISNUMBER($F37),X$2&gt;=$F37,X$2&lt;=IF(ISNUMBER($G37),$G37,$F37+$E37-$D37)),2,IF(AND(X$2&gt;=$D37,X$2&lt;=$E37),1,"")))</f>
        <v/>
      </c>
      <c r="Y37" s="38">
        <f>IF(OR(Y$2="",$D37=""),"",IF(AND(ISNUMBER($F37),Y$2&gt;=$F37,Y$2&lt;=IF(ISNUMBER($G37),$G37,$F37+$E37-$D37)),2,IF(AND(Y$2&gt;=$D37,Y$2&lt;=$E37),1,"")))</f>
        <v/>
      </c>
      <c r="Z37" s="38">
        <f>IF(OR(Z$2="",$D37=""),"",IF(AND(ISNUMBER($F37),Z$2&gt;=$F37,Z$2&lt;=IF(ISNUMBER($G37),$G37,$F37+$E37-$D37)),2,IF(AND(Z$2&gt;=$D37,Z$2&lt;=$E37),1,"")))</f>
        <v/>
      </c>
      <c r="AA37" s="38">
        <f>IF(OR(AA$2="",$D37=""),"",IF(AND(ISNUMBER($F37),AA$2&gt;=$F37,AA$2&lt;=IF(ISNUMBER($G37),$G37,$F37+$E37-$D37)),2,IF(AND(AA$2&gt;=$D37,AA$2&lt;=$E37),1,"")))</f>
        <v/>
      </c>
      <c r="AB37" s="38">
        <f>IF(OR(AB$2="",$D37=""),"",IF(AND(ISNUMBER($F37),AB$2&gt;=$F37,AB$2&lt;=IF(ISNUMBER($G37),$G37,$F37+$E37-$D37)),2,IF(AND(AB$2&gt;=$D37,AB$2&lt;=$E37),1,"")))</f>
        <v/>
      </c>
      <c r="AC37" s="38">
        <f>IF(OR(AC$2="",$D37=""),"",IF(AND(ISNUMBER($F37),AC$2&gt;=$F37,AC$2&lt;=IF(ISNUMBER($G37),$G37,$F37+$E37-$D37)),2,IF(AND(AC$2&gt;=$D37,AC$2&lt;=$E37),1,"")))</f>
        <v/>
      </c>
      <c r="AD37" s="38">
        <f>IF(OR(AD$2="",$D37=""),"",IF(AND(ISNUMBER($F37),AD$2&gt;=$F37,AD$2&lt;=IF(ISNUMBER($G37),$G37,$F37+$E37-$D37)),2,IF(AND(AD$2&gt;=$D37,AD$2&lt;=$E37),1,"")))</f>
        <v/>
      </c>
      <c r="AE37" s="38">
        <f>IF(OR(AE$2="",$D37=""),"",IF(AND(ISNUMBER($F37),AE$2&gt;=$F37,AE$2&lt;=IF(ISNUMBER($G37),$G37,$F37+$E37-$D37)),2,IF(AND(AE$2&gt;=$D37,AE$2&lt;=$E37),1,"")))</f>
        <v/>
      </c>
      <c r="AF37" s="38">
        <f>IF(OR(AF$2="",$D37=""),"",IF(AND(ISNUMBER($F37),AF$2&gt;=$F37,AF$2&lt;=IF(ISNUMBER($G37),$G37,$F37+$E37-$D37)),2,IF(AND(AF$2&gt;=$D37,AF$2&lt;=$E37),1,"")))</f>
        <v/>
      </c>
      <c r="AG37" s="38">
        <f>IF(OR(AG$2="",$D37=""),"",IF(AND(ISNUMBER($F37),AG$2&gt;=$F37,AG$2&lt;=IF(ISNUMBER($G37),$G37,$F37+$E37-$D37)),2,IF(AND(AG$2&gt;=$D37,AG$2&lt;=$E37),1,"")))</f>
        <v/>
      </c>
      <c r="AH37" s="38">
        <f>IF(OR(AH$2="",$D37=""),"",IF(AND(ISNUMBER($F37),AH$2&gt;=$F37,AH$2&lt;=IF(ISNUMBER($G37),$G37,$F37+$E37-$D37)),2,IF(AND(AH$2&gt;=$D37,AH$2&lt;=$E37),1,"")))</f>
        <v/>
      </c>
      <c r="AI37" s="38">
        <f>IF(OR(AI$2="",$D37=""),"",IF(AND(ISNUMBER($F37),AI$2&gt;=$F37,AI$2&lt;=IF(ISNUMBER($G37),$G37,$F37+$E37-$D37)),2,IF(AND(AI$2&gt;=$D37,AI$2&lt;=$E37),1,"")))</f>
        <v/>
      </c>
      <c r="AJ37" s="38">
        <f>IF(OR(AJ$2="",$D37=""),"",IF(AND(ISNUMBER($F37),AJ$2&gt;=$F37,AJ$2&lt;=IF(ISNUMBER($G37),$G37,$F37+$E37-$D37)),2,IF(AND(AJ$2&gt;=$D37,AJ$2&lt;=$E37),1,"")))</f>
        <v/>
      </c>
      <c r="AK37" s="38">
        <f>IF(OR(AK$2="",$D37=""),"",IF(AND(ISNUMBER($F37),AK$2&gt;=$F37,AK$2&lt;=IF(ISNUMBER($G37),$G37,$F37+$E37-$D37)),2,IF(AND(AK$2&gt;=$D37,AK$2&lt;=$E37),1,"")))</f>
        <v/>
      </c>
      <c r="AL37" s="38">
        <f>IF(OR(AL$2="",$D37=""),"",IF(AND(ISNUMBER($F37),AL$2&gt;=$F37,AL$2&lt;=IF(ISNUMBER($G37),$G37,$F37+$E37-$D37)),2,IF(AND(AL$2&gt;=$D37,AL$2&lt;=$E37),1,"")))</f>
        <v/>
      </c>
      <c r="AM37" s="38">
        <f>IF(OR(AM$2="",$D37=""),"",IF(AND(ISNUMBER($F37),AM$2&gt;=$F37,AM$2&lt;=IF(ISNUMBER($G37),$G37,$F37+$E37-$D37)),2,IF(AND(AM$2&gt;=$D37,AM$2&lt;=$E37),1,"")))</f>
        <v/>
      </c>
      <c r="AN37" s="38">
        <f>IF(OR(AN$2="",$D37=""),"",IF(AND(ISNUMBER($F37),AN$2&gt;=$F37,AN$2&lt;=IF(ISNUMBER($G37),$G37,$F37+$E37-$D37)),2,IF(AND(AN$2&gt;=$D37,AN$2&lt;=$E37),1,"")))</f>
        <v/>
      </c>
      <c r="AO37" s="38">
        <f>IF(OR(AO$2="",$D37=""),"",IF(AND(ISNUMBER($F37),AO$2&gt;=$F37,AO$2&lt;=IF(ISNUMBER($G37),$G37,$F37+$E37-$D37)),2,IF(AND(AO$2&gt;=$D37,AO$2&lt;=$E37),1,"")))</f>
        <v/>
      </c>
      <c r="AP37" s="38">
        <f>IF(OR(AP$2="",$D37=""),"",IF(AND(ISNUMBER($F37),AP$2&gt;=$F37,AP$2&lt;=IF(ISNUMBER($G37),$G37,$F37+$E37-$D37)),2,IF(AND(AP$2&gt;=$D37,AP$2&lt;=$E37),1,"")))</f>
        <v/>
      </c>
      <c r="AQ37" s="38">
        <f>IF(OR(AQ$2="",$D37=""),"",IF(AND(ISNUMBER($F37),AQ$2&gt;=$F37,AQ$2&lt;=IF(ISNUMBER($G37),$G37,$F37+$E37-$D37)),2,IF(AND(AQ$2&gt;=$D37,AQ$2&lt;=$E37),1,"")))</f>
        <v/>
      </c>
      <c r="AR37" s="38">
        <f>IF(OR(AR$2="",$D37=""),"",IF(AND(ISNUMBER($F37),AR$2&gt;=$F37,AR$2&lt;=IF(ISNUMBER($G37),$G37,$F37+$E37-$D37)),2,IF(AND(AR$2&gt;=$D37,AR$2&lt;=$E37),1,"")))</f>
        <v/>
      </c>
      <c r="AS37" s="38">
        <f>IF(OR(AS$2="",$D37=""),"",IF(AND(ISNUMBER($F37),AS$2&gt;=$F37,AS$2&lt;=IF(ISNUMBER($G37),$G37,$F37+$E37-$D37)),2,IF(AND(AS$2&gt;=$D37,AS$2&lt;=$E37),1,"")))</f>
        <v/>
      </c>
      <c r="AT37" s="38">
        <f>IF(OR(AT$2="",$D37=""),"",IF(AND(ISNUMBER($F37),AT$2&gt;=$F37,AT$2&lt;=IF(ISNUMBER($G37),$G37,$F37+$E37-$D37)),2,IF(AND(AT$2&gt;=$D37,AT$2&lt;=$E37),1,"")))</f>
        <v/>
      </c>
      <c r="AU37" s="38">
        <f>IF(OR(AU$2="",$D37=""),"",IF(AND(ISNUMBER($F37),AU$2&gt;=$F37,AU$2&lt;=IF(ISNUMBER($G37),$G37,$F37+$E37-$D37)),2,IF(AND(AU$2&gt;=$D37,AU$2&lt;=$E37),1,"")))</f>
        <v/>
      </c>
      <c r="AV37" s="38">
        <f>IF(OR(AV$2="",$D37=""),"",IF(AND(ISNUMBER($F37),AV$2&gt;=$F37,AV$2&lt;=IF(ISNUMBER($G37),$G37,$F37+$E37-$D37)),2,IF(AND(AV$2&gt;=$D37,AV$2&lt;=$E37),1,"")))</f>
        <v/>
      </c>
      <c r="AW37" s="38">
        <f>IF(OR(AW$2="",$D37=""),"",IF(AND(ISNUMBER($F37),AW$2&gt;=$F37,AW$2&lt;=IF(ISNUMBER($G37),$G37,$F37+$E37-$D37)),2,IF(AND(AW$2&gt;=$D37,AW$2&lt;=$E37),1,"")))</f>
        <v/>
      </c>
      <c r="AX37" s="38">
        <f>IF(OR(AX$2="",$D37=""),"",IF(AND(ISNUMBER($F37),AX$2&gt;=$F37,AX$2&lt;=IF(ISNUMBER($G37),$G37,$F37+$E37-$D37)),2,IF(AND(AX$2&gt;=$D37,AX$2&lt;=$E37),1,"")))</f>
        <v/>
      </c>
      <c r="AY37" s="38">
        <f>IF(OR(AY$2="",$D37=""),"",IF(AND(ISNUMBER($F37),AY$2&gt;=$F37,AY$2&lt;=IF(ISNUMBER($G37),$G37,$F37+$E37-$D37)),2,IF(AND(AY$2&gt;=$D37,AY$2&lt;=$E37),1,"")))</f>
        <v/>
      </c>
      <c r="AZ37" s="38">
        <f>IF(OR(AZ$2="",$D37=""),"",IF(AND(ISNUMBER($F37),AZ$2&gt;=$F37,AZ$2&lt;=IF(ISNUMBER($G37),$G37,$F37+$E37-$D37)),2,IF(AND(AZ$2&gt;=$D37,AZ$2&lt;=$E37),1,"")))</f>
        <v/>
      </c>
      <c r="BA37" s="38">
        <f>IF(OR(BA$2="",$D37=""),"",IF(AND(ISNUMBER($F37),BA$2&gt;=$F37,BA$2&lt;=IF(ISNUMBER($G37),$G37,$F37+$E37-$D37)),2,IF(AND(BA$2&gt;=$D37,BA$2&lt;=$E37),1,"")))</f>
        <v/>
      </c>
      <c r="BB37" s="38">
        <f>IF(OR(BB$2="",$D37=""),"",IF(AND(ISNUMBER($F37),BB$2&gt;=$F37,BB$2&lt;=IF(ISNUMBER($G37),$G37,$F37+$E37-$D37)),2,IF(AND(BB$2&gt;=$D37,BB$2&lt;=$E37),1,"")))</f>
        <v/>
      </c>
      <c r="BC37" s="38">
        <f>IF(OR(BC$2="",$D37=""),"",IF(AND(ISNUMBER($F37),BC$2&gt;=$F37,BC$2&lt;=IF(ISNUMBER($G37),$G37,$F37+$E37-$D37)),2,IF(AND(BC$2&gt;=$D37,BC$2&lt;=$E37),1,"")))</f>
        <v/>
      </c>
      <c r="BD37" s="38">
        <f>IF(OR(BD$2="",$D37=""),"",IF(AND(ISNUMBER($F37),BD$2&gt;=$F37,BD$2&lt;=IF(ISNUMBER($G37),$G37,$F37+$E37-$D37)),2,IF(AND(BD$2&gt;=$D37,BD$2&lt;=$E37),1,"")))</f>
        <v/>
      </c>
      <c r="BE37" s="38">
        <f>IF(OR(BE$2="",$D37=""),"",IF(AND(ISNUMBER($F37),BE$2&gt;=$F37,BE$2&lt;=IF(ISNUMBER($G37),$G37,$F37+$E37-$D37)),2,IF(AND(BE$2&gt;=$D37,BE$2&lt;=$E37),1,"")))</f>
        <v/>
      </c>
      <c r="BF37" s="38">
        <f>IF(OR(BF$2="",$D37=""),"",IF(AND(ISNUMBER($F37),BF$2&gt;=$F37,BF$2&lt;=IF(ISNUMBER($G37),$G37,$F37+$E37-$D37)),2,IF(AND(BF$2&gt;=$D37,BF$2&lt;=$E37),1,"")))</f>
        <v/>
      </c>
      <c r="BG37" s="38">
        <f>IF(OR(BG$2="",$D37=""),"",IF(AND(ISNUMBER($F37),BG$2&gt;=$F37,BG$2&lt;=IF(ISNUMBER($G37),$G37,$F37+$E37-$D37)),2,IF(AND(BG$2&gt;=$D37,BG$2&lt;=$E37),1,"")))</f>
        <v/>
      </c>
      <c r="BH37" s="38">
        <f>IF(OR(BH$2="",$D37=""),"",IF(AND(ISNUMBER($F37),BH$2&gt;=$F37,BH$2&lt;=IF(ISNUMBER($G37),$G37,$F37+$E37-$D37)),2,IF(AND(BH$2&gt;=$D37,BH$2&lt;=$E37),1,"")))</f>
        <v/>
      </c>
      <c r="BI37" s="38">
        <f>IF(OR(BI$2="",$D37=""),"",IF(AND(ISNUMBER($F37),BI$2&gt;=$F37,BI$2&lt;=IF(ISNUMBER($G37),$G37,$F37+$E37-$D37)),2,IF(AND(BI$2&gt;=$D37,BI$2&lt;=$E37),1,"")))</f>
        <v/>
      </c>
      <c r="BJ37" s="38">
        <f>IF(OR(BJ$2="",$D37=""),"",IF(AND(ISNUMBER($F37),BJ$2&gt;=$F37,BJ$2&lt;=IF(ISNUMBER($G37),$G37,$F37+$E37-$D37)),2,IF(AND(BJ$2&gt;=$D37,BJ$2&lt;=$E37),1,"")))</f>
        <v/>
      </c>
      <c r="BK37" s="38">
        <f>IF(OR(BK$2="",$D37=""),"",IF(AND(ISNUMBER($F37),BK$2&gt;=$F37,BK$2&lt;=IF(ISNUMBER($G37),$G37,$F37+$E37-$D37)),2,IF(AND(BK$2&gt;=$D37,BK$2&lt;=$E37),1,"")))</f>
        <v/>
      </c>
      <c r="BL37" s="38">
        <f>IF(OR(BL$2="",$D37=""),"",IF(AND(ISNUMBER($F37),BL$2&gt;=$F37,BL$2&lt;=IF(ISNUMBER($G37),$G37,$F37+$E37-$D37)),2,IF(AND(BL$2&gt;=$D37,BL$2&lt;=$E37),1,"")))</f>
        <v/>
      </c>
      <c r="BM37" s="38">
        <f>IF(OR(BM$2="",$D37=""),"",IF(AND(ISNUMBER($F37),BM$2&gt;=$F37,BM$2&lt;=IF(ISNUMBER($G37),$G37,$F37+$E37-$D37)),2,IF(AND(BM$2&gt;=$D37,BM$2&lt;=$E37),1,"")))</f>
        <v/>
      </c>
      <c r="BN37" s="38">
        <f>IF(OR(BN$2="",$D37=""),"",IF(AND(ISNUMBER($F37),BN$2&gt;=$F37,BN$2&lt;=IF(ISNUMBER($G37),$G37,$F37+$E37-$D37)),2,IF(AND(BN$2&gt;=$D37,BN$2&lt;=$E37),1,"")))</f>
        <v/>
      </c>
      <c r="BO37" s="38">
        <f>IF(OR(BO$2="",$D37=""),"",IF(AND(ISNUMBER($F37),BO$2&gt;=$F37,BO$2&lt;=IF(ISNUMBER($G37),$G37,$F37+$E37-$D37)),2,IF(AND(BO$2&gt;=$D37,BO$2&lt;=$E37),1,"")))</f>
        <v/>
      </c>
      <c r="BP37" s="38">
        <f>IF(OR(BP$2="",$D37=""),"",IF(AND(ISNUMBER($F37),BP$2&gt;=$F37,BP$2&lt;=IF(ISNUMBER($G37),$G37,$F37+$E37-$D37)),2,IF(AND(BP$2&gt;=$D37,BP$2&lt;=$E37),1,"")))</f>
        <v/>
      </c>
      <c r="BQ37" s="38">
        <f>IF(OR(BQ$2="",$D37=""),"",IF(AND(ISNUMBER($F37),BQ$2&gt;=$F37,BQ$2&lt;=IF(ISNUMBER($G37),$G37,$F37+$E37-$D37)),2,IF(AND(BQ$2&gt;=$D37,BQ$2&lt;=$E37),1,"")))</f>
        <v/>
      </c>
      <c r="BR37" s="38">
        <f>IF(OR(BR$2="",$D37=""),"",IF(AND(ISNUMBER($F37),BR$2&gt;=$F37,BR$2&lt;=IF(ISNUMBER($G37),$G37,$F37+$E37-$D37)),2,IF(AND(BR$2&gt;=$D37,BR$2&lt;=$E37),1,"")))</f>
        <v/>
      </c>
      <c r="BS37" s="38">
        <f>IF(OR(BS$2="",$D37=""),"",IF(AND(ISNUMBER($F37),BS$2&gt;=$F37,BS$2&lt;=IF(ISNUMBER($G37),$G37,$F37+$E37-$D37)),2,IF(AND(BS$2&gt;=$D37,BS$2&lt;=$E37),1,"")))</f>
        <v/>
      </c>
      <c r="BT37" s="38">
        <f>IF(OR(BT$2="",$D37=""),"",IF(AND(ISNUMBER($F37),BT$2&gt;=$F37,BT$2&lt;=IF(ISNUMBER($G37),$G37,$F37+$E37-$D37)),2,IF(AND(BT$2&gt;=$D37,BT$2&lt;=$E37),1,"")))</f>
        <v/>
      </c>
      <c r="BU37" s="38">
        <f>IF(OR(BU$2="",$D37=""),"",IF(AND(ISNUMBER($F37),BU$2&gt;=$F37,BU$2&lt;=IF(ISNUMBER($G37),$G37,$F37+$E37-$D37)),2,IF(AND(BU$2&gt;=$D37,BU$2&lt;=$E37),1,"")))</f>
        <v/>
      </c>
      <c r="BV37" s="38">
        <f>IF(OR(BV$2="",$D37=""),"",IF(AND(ISNUMBER($F37),BV$2&gt;=$F37,BV$2&lt;=IF(ISNUMBER($G37),$G37,$F37+$E37-$D37)),2,IF(AND(BV$2&gt;=$D37,BV$2&lt;=$E37),1,"")))</f>
        <v/>
      </c>
      <c r="BW37" s="38">
        <f>IF(OR(BW$2="",$D37=""),"",IF(AND(ISNUMBER($F37),BW$2&gt;=$F37,BW$2&lt;=IF(ISNUMBER($G37),$G37,$F37+$E37-$D37)),2,IF(AND(BW$2&gt;=$D37,BW$2&lt;=$E37),1,"")))</f>
        <v/>
      </c>
      <c r="BX37" s="38">
        <f>IF(OR(BX$2="",$D37=""),"",IF(AND(ISNUMBER($F37),BX$2&gt;=$F37,BX$2&lt;=IF(ISNUMBER($G37),$G37,$F37+$E37-$D37)),2,IF(AND(BX$2&gt;=$D37,BX$2&lt;=$E37),1,"")))</f>
        <v/>
      </c>
      <c r="BY37" s="38">
        <f>IF(OR(BY$2="",$D37=""),"",IF(AND(ISNUMBER($F37),BY$2&gt;=$F37,BY$2&lt;=IF(ISNUMBER($G37),$G37,$F37+$E37-$D37)),2,IF(AND(BY$2&gt;=$D37,BY$2&lt;=$E37),1,"")))</f>
        <v/>
      </c>
      <c r="BZ37" s="38">
        <f>IF(OR(BZ$2="",$D37=""),"",IF(AND(ISNUMBER($F37),BZ$2&gt;=$F37,BZ$2&lt;=IF(ISNUMBER($G37),$G37,$F37+$E37-$D37)),2,IF(AND(BZ$2&gt;=$D37,BZ$2&lt;=$E37),1,"")))</f>
        <v/>
      </c>
      <c r="CA37" s="38">
        <f>IF(OR(CA$2="",$D37=""),"",IF(AND(ISNUMBER($F37),CA$2&gt;=$F37,CA$2&lt;=IF(ISNUMBER($G37),$G37,$F37+$E37-$D37)),2,IF(AND(CA$2&gt;=$D37,CA$2&lt;=$E37),1,"")))</f>
        <v/>
      </c>
      <c r="CB37" s="38">
        <f>IF(OR(CB$2="",$D37=""),"",IF(AND(ISNUMBER($F37),CB$2&gt;=$F37,CB$2&lt;=IF(ISNUMBER($G37),$G37,$F37+$E37-$D37)),2,IF(AND(CB$2&gt;=$D37,CB$2&lt;=$E37),1,"")))</f>
        <v/>
      </c>
      <c r="CC37" s="38">
        <f>IF(OR(CC$2="",$D37=""),"",IF(AND(ISNUMBER($F37),CC$2&gt;=$F37,CC$2&lt;=IF(ISNUMBER($G37),$G37,$F37+$E37-$D37)),2,IF(AND(CC$2&gt;=$D37,CC$2&lt;=$E37),1,"")))</f>
        <v/>
      </c>
      <c r="CD37" s="38">
        <f>IF(OR(CD$2="",$D37=""),"",IF(AND(ISNUMBER($F37),CD$2&gt;=$F37,CD$2&lt;=IF(ISNUMBER($G37),$G37,$F37+$E37-$D37)),2,IF(AND(CD$2&gt;=$D37,CD$2&lt;=$E37),1,"")))</f>
        <v/>
      </c>
      <c r="CE37" s="38">
        <f>IF(OR(CE$2="",$D37=""),"",IF(AND(ISNUMBER($F37),CE$2&gt;=$F37,CE$2&lt;=IF(ISNUMBER($G37),$G37,$F37+$E37-$D37)),2,IF(AND(CE$2&gt;=$D37,CE$2&lt;=$E37),1,"")))</f>
        <v/>
      </c>
      <c r="CF37" s="38">
        <f>IF(OR(CF$2="",$D37=""),"",IF(AND(ISNUMBER($F37),CF$2&gt;=$F37,CF$2&lt;=IF(ISNUMBER($G37),$G37,$F37+$E37-$D37)),2,IF(AND(CF$2&gt;=$D37,CF$2&lt;=$E37),1,"")))</f>
        <v/>
      </c>
      <c r="CG37" s="38">
        <f>IF(OR(CG$2="",$D37=""),"",IF(AND(ISNUMBER($F37),CG$2&gt;=$F37,CG$2&lt;=IF(ISNUMBER($G37),$G37,$F37+$E37-$D37)),2,IF(AND(CG$2&gt;=$D37,CG$2&lt;=$E37),1,"")))</f>
        <v/>
      </c>
      <c r="CH37" s="38">
        <f>IF(OR(CH$2="",$D37=""),"",IF(AND(ISNUMBER($F37),CH$2&gt;=$F37,CH$2&lt;=IF(ISNUMBER($G37),$G37,$F37+$E37-$D37)),2,IF(AND(CH$2&gt;=$D37,CH$2&lt;=$E37),1,"")))</f>
        <v/>
      </c>
      <c r="CI37" s="38">
        <f>IF(OR(CI$2="",$D37=""),"",IF(AND(ISNUMBER($F37),CI$2&gt;=$F37,CI$2&lt;=IF(ISNUMBER($G37),$G37,$F37+$E37-$D37)),2,IF(AND(CI$2&gt;=$D37,CI$2&lt;=$E37),1,"")))</f>
        <v/>
      </c>
      <c r="CJ37" s="38">
        <f>IF(OR(CJ$2="",$D37=""),"",IF(AND(ISNUMBER($F37),CJ$2&gt;=$F37,CJ$2&lt;=IF(ISNUMBER($G37),$G37,$F37+$E37-$D37)),2,IF(AND(CJ$2&gt;=$D37,CJ$2&lt;=$E37),1,"")))</f>
        <v/>
      </c>
      <c r="CK37" s="38">
        <f>IF(OR(CK$2="",$D37=""),"",IF(AND(ISNUMBER($F37),CK$2&gt;=$F37,CK$2&lt;=IF(ISNUMBER($G37),$G37,$F37+$E37-$D37)),2,IF(AND(CK$2&gt;=$D37,CK$2&lt;=$E37),1,"")))</f>
        <v/>
      </c>
      <c r="CL37" s="38">
        <f>IF(OR(CL$2="",$D37=""),"",IF(AND(ISNUMBER($F37),CL$2&gt;=$F37,CL$2&lt;=IF(ISNUMBER($G37),$G37,$F37+$E37-$D37)),2,IF(AND(CL$2&gt;=$D37,CL$2&lt;=$E37),1,"")))</f>
        <v/>
      </c>
      <c r="CM37" s="38">
        <f>IF(OR(CM$2="",$D37=""),"",IF(AND(ISNUMBER($F37),CM$2&gt;=$F37,CM$2&lt;=IF(ISNUMBER($G37),$G37,$F37+$E37-$D37)),2,IF(AND(CM$2&gt;=$D37,CM$2&lt;=$E37),1,"")))</f>
        <v/>
      </c>
      <c r="CN37" s="38">
        <f>IF(OR(CN$2="",$D37=""),"",IF(AND(ISNUMBER($F37),CN$2&gt;=$F37,CN$2&lt;=IF(ISNUMBER($G37),$G37,$F37+$E37-$D37)),2,IF(AND(CN$2&gt;=$D37,CN$2&lt;=$E37),1,"")))</f>
        <v/>
      </c>
      <c r="CO37" s="38">
        <f>IF(OR(CO$2="",$D37=""),"",IF(AND(ISNUMBER($F37),CO$2&gt;=$F37,CO$2&lt;=IF(ISNUMBER($G37),$G37,$F37+$E37-$D37)),2,IF(AND(CO$2&gt;=$D37,CO$2&lt;=$E37),1,"")))</f>
        <v/>
      </c>
      <c r="CP37" s="38">
        <f>IF(OR(CP$2="",$D37=""),"",IF(AND(ISNUMBER($F37),CP$2&gt;=$F37,CP$2&lt;=IF(ISNUMBER($G37),$G37,$F37+$E37-$D37)),2,IF(AND(CP$2&gt;=$D37,CP$2&lt;=$E37),1,"")))</f>
        <v/>
      </c>
      <c r="CQ37" s="38">
        <f>IF(OR(CQ$2="",$D37=""),"",IF(AND(ISNUMBER($F37),CQ$2&gt;=$F37,CQ$2&lt;=IF(ISNUMBER($G37),$G37,$F37+$E37-$D37)),2,IF(AND(CQ$2&gt;=$D37,CQ$2&lt;=$E37),1,"")))</f>
        <v/>
      </c>
      <c r="CR37" s="38">
        <f>IF(OR(CR$2="",$D37=""),"",IF(AND(ISNUMBER($F37),CR$2&gt;=$F37,CR$2&lt;=IF(ISNUMBER($G37),$G37,$F37+$E37-$D37)),2,IF(AND(CR$2&gt;=$D37,CR$2&lt;=$E37),1,"")))</f>
        <v/>
      </c>
      <c r="CS37" s="38">
        <f>IF(OR(CS$2="",$D37=""),"",IF(AND(ISNUMBER($F37),CS$2&gt;=$F37,CS$2&lt;=IF(ISNUMBER($G37),$G37,$F37+$E37-$D37)),2,IF(AND(CS$2&gt;=$D37,CS$2&lt;=$E37),1,"")))</f>
        <v/>
      </c>
      <c r="CT37" s="38">
        <f>IF(OR(CT$2="",$D37=""),"",IF(AND(ISNUMBER($F37),CT$2&gt;=$F37,CT$2&lt;=IF(ISNUMBER($G37),$G37,$F37+$E37-$D37)),2,IF(AND(CT$2&gt;=$D37,CT$2&lt;=$E37),1,"")))</f>
        <v/>
      </c>
      <c r="CU37" s="38">
        <f>IF(OR(CU$2="",$D37=""),"",IF(AND(ISNUMBER($F37),CU$2&gt;=$F37,CU$2&lt;=IF(ISNUMBER($G37),$G37,$F37+$E37-$D37)),2,IF(AND(CU$2&gt;=$D37,CU$2&lt;=$E37),1,"")))</f>
        <v/>
      </c>
      <c r="CV37" s="38">
        <f>IF(OR(CV$2="",$D37=""),"",IF(AND(ISNUMBER($F37),CV$2&gt;=$F37,CV$2&lt;=IF(ISNUMBER($G37),$G37,$F37+$E37-$D37)),2,IF(AND(CV$2&gt;=$D37,CV$2&lt;=$E37),1,"")))</f>
        <v/>
      </c>
      <c r="CW37" s="38">
        <f>IF(OR(CW$2="",$D37=""),"",IF(AND(ISNUMBER($F37),CW$2&gt;=$F37,CW$2&lt;=IF(ISNUMBER($G37),$G37,$F37+$E37-$D37)),2,IF(AND(CW$2&gt;=$D37,CW$2&lt;=$E37),1,"")))</f>
        <v/>
      </c>
      <c r="CX37" s="38">
        <f>IF(OR(CX$2="",$D37=""),"",IF(AND(ISNUMBER($F37),CX$2&gt;=$F37,CX$2&lt;=IF(ISNUMBER($G37),$G37,$F37+$E37-$D37)),2,IF(AND(CX$2&gt;=$D37,CX$2&lt;=$E37),1,"")))</f>
        <v/>
      </c>
      <c r="CY37" s="38">
        <f>IF(OR(CY$2="",$D37=""),"",IF(AND(ISNUMBER($F37),CY$2&gt;=$F37,CY$2&lt;=IF(ISNUMBER($G37),$G37,$F37+$E37-$D37)),2,IF(AND(CY$2&gt;=$D37,CY$2&lt;=$E37),1,"")))</f>
        <v/>
      </c>
      <c r="CZ37" s="38">
        <f>IF(OR(CZ$2="",$D37=""),"",IF(AND(ISNUMBER($F37),CZ$2&gt;=$F37,CZ$2&lt;=IF(ISNUMBER($G37),$G37,$F37+$E37-$D37)),2,IF(AND(CZ$2&gt;=$D37,CZ$2&lt;=$E37),1,"")))</f>
        <v/>
      </c>
      <c r="DA37" s="38">
        <f>IF(OR(DA$2="",$D37=""),"",IF(AND(ISNUMBER($F37),DA$2&gt;=$F37,DA$2&lt;=IF(ISNUMBER($G37),$G37,$F37+$E37-$D37)),2,IF(AND(DA$2&gt;=$D37,DA$2&lt;=$E37),1,"")))</f>
        <v/>
      </c>
      <c r="DB37" s="38">
        <f>IF(OR(DB$2="",$D37=""),"",IF(AND(ISNUMBER($F37),DB$2&gt;=$F37,DB$2&lt;=IF(ISNUMBER($G37),$G37,$F37+$E37-$D37)),2,IF(AND(DB$2&gt;=$D37,DB$2&lt;=$E37),1,"")))</f>
        <v/>
      </c>
      <c r="DC37" s="38">
        <f>IF(OR(DC$2="",$D37=""),"",IF(AND(ISNUMBER($F37),DC$2&gt;=$F37,DC$2&lt;=IF(ISNUMBER($G37),$G37,$F37+$E37-$D37)),2,IF(AND(DC$2&gt;=$D37,DC$2&lt;=$E37),1,"")))</f>
        <v/>
      </c>
      <c r="DD37" s="38">
        <f>IF(OR(DD$2="",$D37=""),"",IF(AND(ISNUMBER($F37),DD$2&gt;=$F37,DD$2&lt;=IF(ISNUMBER($G37),$G37,$F37+$E37-$D37)),2,IF(AND(DD$2&gt;=$D37,DD$2&lt;=$E37),1,"")))</f>
        <v/>
      </c>
      <c r="DE37" s="38">
        <f>IF(OR(DE$2="",$D37=""),"",IF(AND(ISNUMBER($F37),DE$2&gt;=$F37,DE$2&lt;=IF(ISNUMBER($G37),$G37,$F37+$E37-$D37)),2,IF(AND(DE$2&gt;=$D37,DE$2&lt;=$E37),1,"")))</f>
        <v/>
      </c>
      <c r="DF37" s="38">
        <f>IF(OR(DF$2="",$D37=""),"",IF(AND(ISNUMBER($F37),DF$2&gt;=$F37,DF$2&lt;=IF(ISNUMBER($G37),$G37,$F37+$E37-$D37)),2,IF(AND(DF$2&gt;=$D37,DF$2&lt;=$E37),1,"")))</f>
        <v/>
      </c>
      <c r="DG37" s="38">
        <f>IF(OR(DG$2="",$D37=""),"",IF(AND(ISNUMBER($F37),DG$2&gt;=$F37,DG$2&lt;=IF(ISNUMBER($G37),$G37,$F37+$E37-$D37)),2,IF(AND(DG$2&gt;=$D37,DG$2&lt;=$E37),1,"")))</f>
        <v/>
      </c>
      <c r="DH37" s="38">
        <f>IF(OR(DH$2="",$D37=""),"",IF(AND(ISNUMBER($F37),DH$2&gt;=$F37,DH$2&lt;=IF(ISNUMBER($G37),$G37,$F37+$E37-$D37)),2,IF(AND(DH$2&gt;=$D37,DH$2&lt;=$E37),1,"")))</f>
        <v/>
      </c>
      <c r="DI37" s="38">
        <f>IF(OR(DI$2="",$D37=""),"",IF(AND(ISNUMBER($F37),DI$2&gt;=$F37,DI$2&lt;=IF(ISNUMBER($G37),$G37,$F37+$E37-$D37)),2,IF(AND(DI$2&gt;=$D37,DI$2&lt;=$E37),1,"")))</f>
        <v/>
      </c>
      <c r="DJ37" s="38">
        <f>IF(OR(DJ$2="",$D37=""),"",IF(AND(ISNUMBER($F37),DJ$2&gt;=$F37,DJ$2&lt;=IF(ISNUMBER($G37),$G37,$F37+$E37-$D37)),2,IF(AND(DJ$2&gt;=$D37,DJ$2&lt;=$E37),1,"")))</f>
        <v/>
      </c>
      <c r="DK37" s="38">
        <f>IF(OR(DK$2="",$D37=""),"",IF(AND(ISNUMBER($F37),DK$2&gt;=$F37,DK$2&lt;=IF(ISNUMBER($G37),$G37,$F37+$E37-$D37)),2,IF(AND(DK$2&gt;=$D37,DK$2&lt;=$E37),1,"")))</f>
        <v/>
      </c>
      <c r="DL37" s="38">
        <f>IF(OR(DL$2="",$D37=""),"",IF(AND(ISNUMBER($F37),DL$2&gt;=$F37,DL$2&lt;=IF(ISNUMBER($G37),$G37,$F37+$E37-$D37)),2,IF(AND(DL$2&gt;=$D37,DL$2&lt;=$E37),1,"")))</f>
        <v/>
      </c>
      <c r="DM37" s="38">
        <f>IF(OR(DM$2="",$D37=""),"",IF(AND(ISNUMBER($F37),DM$2&gt;=$F37,DM$2&lt;=IF(ISNUMBER($G37),$G37,$F37+$E37-$D37)),2,IF(AND(DM$2&gt;=$D37,DM$2&lt;=$E37),1,"")))</f>
        <v/>
      </c>
      <c r="DN37" s="38">
        <f>IF(OR(DN$2="",$D37=""),"",IF(AND(ISNUMBER($F37),DN$2&gt;=$F37,DN$2&lt;=IF(ISNUMBER($G37),$G37,$F37+$E37-$D37)),2,IF(AND(DN$2&gt;=$D37,DN$2&lt;=$E37),1,"")))</f>
        <v/>
      </c>
      <c r="DO37" s="38">
        <f>IF(OR(DO$2="",$D37=""),"",IF(AND(ISNUMBER($F37),DO$2&gt;=$F37,DO$2&lt;=IF(ISNUMBER($G37),$G37,$F37+$E37-$D37)),2,IF(AND(DO$2&gt;=$D37,DO$2&lt;=$E37),1,"")))</f>
        <v/>
      </c>
      <c r="DP37" s="38">
        <f>IF(OR(DP$2="",$D37=""),"",IF(AND(ISNUMBER($F37),DP$2&gt;=$F37,DP$2&lt;=IF(ISNUMBER($G37),$G37,$F37+$E37-$D37)),2,IF(AND(DP$2&gt;=$D37,DP$2&lt;=$E37),1,"")))</f>
        <v/>
      </c>
      <c r="DQ37" s="38">
        <f>IF(OR(DQ$2="",$D37=""),"",IF(AND(ISNUMBER($F37),DQ$2&gt;=$F37,DQ$2&lt;=IF(ISNUMBER($G37),$G37,$F37+$E37-$D37)),2,IF(AND(DQ$2&gt;=$D37,DQ$2&lt;=$E37),1,"")))</f>
        <v/>
      </c>
      <c r="DR37" s="38">
        <f>IF(OR(DR$2="",$D37=""),"",IF(AND(ISNUMBER($F37),DR$2&gt;=$F37,DR$2&lt;=IF(ISNUMBER($G37),$G37,$F37+$E37-$D37)),2,IF(AND(DR$2&gt;=$D37,DR$2&lt;=$E37),1,"")))</f>
        <v/>
      </c>
      <c r="DS37" s="38">
        <f>IF(OR(DS$2="",$D37=""),"",IF(AND(ISNUMBER($F37),DS$2&gt;=$F37,DS$2&lt;=IF(ISNUMBER($G37),$G37,$F37+$E37-$D37)),2,IF(AND(DS$2&gt;=$D37,DS$2&lt;=$E37),1,"")))</f>
        <v/>
      </c>
      <c r="DT37" s="38">
        <f>IF(OR(DT$2="",$D37=""),"",IF(AND(ISNUMBER($F37),DT$2&gt;=$F37,DT$2&lt;=IF(ISNUMBER($G37),$G37,$F37+$E37-$D37)),2,IF(AND(DT$2&gt;=$D37,DT$2&lt;=$E37),1,"")))</f>
        <v/>
      </c>
      <c r="DU37" s="38">
        <f>IF(OR(DU$2="",$D37=""),"",IF(AND(ISNUMBER($F37),DU$2&gt;=$F37,DU$2&lt;=IF(ISNUMBER($G37),$G37,$F37+$E37-$D37)),2,IF(AND(DU$2&gt;=$D37,DU$2&lt;=$E37),1,"")))</f>
        <v/>
      </c>
      <c r="DV37" s="38">
        <f>IF(OR(DV$2="",$D37=""),"",IF(AND(ISNUMBER($F37),DV$2&gt;=$F37,DV$2&lt;=IF(ISNUMBER($G37),$G37,$F37+$E37-$D37)),2,IF(AND(DV$2&gt;=$D37,DV$2&lt;=$E37),1,"")))</f>
        <v/>
      </c>
      <c r="DW37" s="38">
        <f>IF(OR(DW$2="",$D37=""),"",IF(AND(ISNUMBER($F37),DW$2&gt;=$F37,DW$2&lt;=IF(ISNUMBER($G37),$G37,$F37+$E37-$D37)),2,IF(AND(DW$2&gt;=$D37,DW$2&lt;=$E37),1,"")))</f>
        <v/>
      </c>
      <c r="DX37" s="38">
        <f>IF(OR(DX$2="",$D37=""),"",IF(AND(ISNUMBER($F37),DX$2&gt;=$F37,DX$2&lt;=IF(ISNUMBER($G37),$G37,$F37+$E37-$D37)),2,IF(AND(DX$2&gt;=$D37,DX$2&lt;=$E37),1,"")))</f>
        <v/>
      </c>
      <c r="DY37" s="38">
        <f>IF(OR(DY$2="",$D37=""),"",IF(AND(ISNUMBER($F37),DY$2&gt;=$F37,DY$2&lt;=IF(ISNUMBER($G37),$G37,$F37+$E37-$D37)),2,IF(AND(DY$2&gt;=$D37,DY$2&lt;=$E37),1,"")))</f>
        <v/>
      </c>
      <c r="DZ37" s="38">
        <f>IF(OR(DZ$2="",$D37=""),"",IF(AND(ISNUMBER($F37),DZ$2&gt;=$F37,DZ$2&lt;=IF(ISNUMBER($G37),$G37,$F37+$E37-$D37)),2,IF(AND(DZ$2&gt;=$D37,DZ$2&lt;=$E37),1,"")))</f>
        <v/>
      </c>
      <c r="EA37" s="38">
        <f>IF(OR(EA$2="",$D37=""),"",IF(AND(ISNUMBER($F37),EA$2&gt;=$F37,EA$2&lt;=IF(ISNUMBER($G37),$G37,$F37+$E37-$D37)),2,IF(AND(EA$2&gt;=$D37,EA$2&lt;=$E37),1,"")))</f>
        <v/>
      </c>
      <c r="EB37" s="38">
        <f>IF(OR(EB$2="",$D37=""),"",IF(AND(ISNUMBER($F37),EB$2&gt;=$F37,EB$2&lt;=IF(ISNUMBER($G37),$G37,$F37+$E37-$D37)),2,IF(AND(EB$2&gt;=$D37,EB$2&lt;=$E37),1,"")))</f>
        <v/>
      </c>
      <c r="EC37" s="38">
        <f>IF(OR(EC$2="",$D37=""),"",IF(AND(ISNUMBER($F37),EC$2&gt;=$F37,EC$2&lt;=IF(ISNUMBER($G37),$G37,$F37+$E37-$D37)),2,IF(AND(EC$2&gt;=$D37,EC$2&lt;=$E37),1,"")))</f>
        <v/>
      </c>
      <c r="ED37" s="38">
        <f>IF(OR(ED$2="",$D37=""),"",IF(AND(ISNUMBER($F37),ED$2&gt;=$F37,ED$2&lt;=IF(ISNUMBER($G37),$G37,$F37+$E37-$D37)),2,IF(AND(ED$2&gt;=$D37,ED$2&lt;=$E37),1,"")))</f>
        <v/>
      </c>
      <c r="EE37" s="38">
        <f>IF(OR(EE$2="",$D37=""),"",IF(AND(ISNUMBER($F37),EE$2&gt;=$F37,EE$2&lt;=IF(ISNUMBER($G37),$G37,$F37+$E37-$D37)),2,IF(AND(EE$2&gt;=$D37,EE$2&lt;=$E37),1,"")))</f>
        <v/>
      </c>
      <c r="EF37" s="38">
        <f>IF(OR(EF$2="",$D37=""),"",IF(AND(ISNUMBER($F37),EF$2&gt;=$F37,EF$2&lt;=IF(ISNUMBER($G37),$G37,$F37+$E37-$D37)),2,IF(AND(EF$2&gt;=$D37,EF$2&lt;=$E37),1,"")))</f>
        <v/>
      </c>
      <c r="EG37" s="38">
        <f>IF(OR(EG$2="",$D37=""),"",IF(AND(ISNUMBER($F37),EG$2&gt;=$F37,EG$2&lt;=IF(ISNUMBER($G37),$G37,$F37+$E37-$D37)),2,IF(AND(EG$2&gt;=$D37,EG$2&lt;=$E37),1,"")))</f>
        <v/>
      </c>
      <c r="EH37" s="38">
        <f>IF(OR(EH$2="",$D37=""),"",IF(AND(ISNUMBER($F37),EH$2&gt;=$F37,EH$2&lt;=IF(ISNUMBER($G37),$G37,$F37+$E37-$D37)),2,IF(AND(EH$2&gt;=$D37,EH$2&lt;=$E37),1,"")))</f>
        <v/>
      </c>
      <c r="EI37" s="38">
        <f>IF(OR(EI$2="",$D37=""),"",IF(AND(ISNUMBER($F37),EI$2&gt;=$F37,EI$2&lt;=IF(ISNUMBER($G37),$G37,$F37+$E37-$D37)),2,IF(AND(EI$2&gt;=$D37,EI$2&lt;=$E37),1,"")))</f>
        <v/>
      </c>
      <c r="EJ37" s="38">
        <f>IF(OR(EJ$2="",$D37=""),"",IF(AND(ISNUMBER($F37),EJ$2&gt;=$F37,EJ$2&lt;=IF(ISNUMBER($G37),$G37,$F37+$E37-$D37)),2,IF(AND(EJ$2&gt;=$D37,EJ$2&lt;=$E37),1,"")))</f>
        <v/>
      </c>
      <c r="EK37" s="38">
        <f>IF(OR(EK$2="",$D37=""),"",IF(AND(ISNUMBER($F37),EK$2&gt;=$F37,EK$2&lt;=IF(ISNUMBER($G37),$G37,$F37+$E37-$D37)),2,IF(AND(EK$2&gt;=$D37,EK$2&lt;=$E37),1,"")))</f>
        <v/>
      </c>
      <c r="EL37" s="38">
        <f>IF(OR(EL$2="",$D37=""),"",IF(AND(ISNUMBER($F37),EL$2&gt;=$F37,EL$2&lt;=IF(ISNUMBER($G37),$G37,$F37+$E37-$D37)),2,IF(AND(EL$2&gt;=$D37,EL$2&lt;=$E37),1,"")))</f>
        <v/>
      </c>
      <c r="EM37" s="38">
        <f>IF(OR(EM$2="",$D37=""),"",IF(AND(ISNUMBER($F37),EM$2&gt;=$F37,EM$2&lt;=IF(ISNUMBER($G37),$G37,$F37+$E37-$D37)),2,IF(AND(EM$2&gt;=$D37,EM$2&lt;=$E37),1,"")))</f>
        <v/>
      </c>
      <c r="EN37" s="38">
        <f>IF(OR(EN$2="",$D37=""),"",IF(AND(ISNUMBER($F37),EN$2&gt;=$F37,EN$2&lt;=IF(ISNUMBER($G37),$G37,$F37+$E37-$D37)),2,IF(AND(EN$2&gt;=$D37,EN$2&lt;=$E37),1,"")))</f>
        <v/>
      </c>
      <c r="EO37" s="38">
        <f>IF(OR(EO$2="",$D37=""),"",IF(AND(ISNUMBER($F37),EO$2&gt;=$F37,EO$2&lt;=IF(ISNUMBER($G37),$G37,$F37+$E37-$D37)),2,IF(AND(EO$2&gt;=$D37,EO$2&lt;=$E37),1,"")))</f>
        <v/>
      </c>
      <c r="EP37" s="38">
        <f>IF(OR(EP$2="",$D37=""),"",IF(AND(ISNUMBER($F37),EP$2&gt;=$F37,EP$2&lt;=IF(ISNUMBER($G37),$G37,$F37+$E37-$D37)),2,IF(AND(EP$2&gt;=$D37,EP$2&lt;=$E37),1,"")))</f>
        <v/>
      </c>
      <c r="EQ37" s="38">
        <f>IF(OR(EQ$2="",$D37=""),"",IF(AND(ISNUMBER($F37),EQ$2&gt;=$F37,EQ$2&lt;=IF(ISNUMBER($G37),$G37,$F37+$E37-$D37)),2,IF(AND(EQ$2&gt;=$D37,EQ$2&lt;=$E37),1,"")))</f>
        <v/>
      </c>
      <c r="ER37" s="38">
        <f>IF(OR(ER$2="",$D37=""),"",IF(AND(ISNUMBER($F37),ER$2&gt;=$F37,ER$2&lt;=IF(ISNUMBER($G37),$G37,$F37+$E37-$D37)),2,IF(AND(ER$2&gt;=$D37,ER$2&lt;=$E37),1,"")))</f>
        <v/>
      </c>
      <c r="ES37" s="38">
        <f>IF(OR(ES$2="",$D37=""),"",IF(AND(ISNUMBER($F37),ES$2&gt;=$F37,ES$2&lt;=IF(ISNUMBER($G37),$G37,$F37+$E37-$D37)),2,IF(AND(ES$2&gt;=$D37,ES$2&lt;=$E37),1,"")))</f>
        <v/>
      </c>
      <c r="ET37" s="38">
        <f>IF(OR(ET$2="",$D37=""),"",IF(AND(ISNUMBER($F37),ET$2&gt;=$F37,ET$2&lt;=IF(ISNUMBER($G37),$G37,$F37+$E37-$D37)),2,IF(AND(ET$2&gt;=$D37,ET$2&lt;=$E37),1,"")))</f>
        <v/>
      </c>
      <c r="EU37" s="38">
        <f>IF(OR(EU$2="",$D37=""),"",IF(AND(ISNUMBER($F37),EU$2&gt;=$F37,EU$2&lt;=IF(ISNUMBER($G37),$G37,$F37+$E37-$D37)),2,IF(AND(EU$2&gt;=$D37,EU$2&lt;=$E37),1,"")))</f>
        <v/>
      </c>
      <c r="EV37" s="38">
        <f>IF(OR(EV$2="",$D37=""),"",IF(AND(ISNUMBER($F37),EV$2&gt;=$F37,EV$2&lt;=IF(ISNUMBER($G37),$G37,$F37+$E37-$D37)),2,IF(AND(EV$2&gt;=$D37,EV$2&lt;=$E37),1,"")))</f>
        <v/>
      </c>
      <c r="EW37" s="38">
        <f>IF(OR(EW$2="",$D37=""),"",IF(AND(ISNUMBER($F37),EW$2&gt;=$F37,EW$2&lt;=IF(ISNUMBER($G37),$G37,$F37+$E37-$D37)),2,IF(AND(EW$2&gt;=$D37,EW$2&lt;=$E37),1,"")))</f>
        <v/>
      </c>
      <c r="EX37" s="38">
        <f>IF(OR(EX$2="",$D37=""),"",IF(AND(ISNUMBER($F37),EX$2&gt;=$F37,EX$2&lt;=IF(ISNUMBER($G37),$G37,$F37+$E37-$D37)),2,IF(AND(EX$2&gt;=$D37,EX$2&lt;=$E37),1,"")))</f>
        <v/>
      </c>
      <c r="EY37" s="38">
        <f>IF(OR(EY$2="",$D37=""),"",IF(AND(ISNUMBER($F37),EY$2&gt;=$F37,EY$2&lt;=IF(ISNUMBER($G37),$G37,$F37+$E37-$D37)),2,IF(AND(EY$2&gt;=$D37,EY$2&lt;=$E37),1,"")))</f>
        <v/>
      </c>
      <c r="EZ37" s="38">
        <f>IF(OR(EZ$2="",$D37=""),"",IF(AND(ISNUMBER($F37),EZ$2&gt;=$F37,EZ$2&lt;=IF(ISNUMBER($G37),$G37,$F37+$E37-$D37)),2,IF(AND(EZ$2&gt;=$D37,EZ$2&lt;=$E37),1,"")))</f>
        <v/>
      </c>
      <c r="FA37" s="38">
        <f>IF(OR(FA$2="",$D37=""),"",IF(AND(ISNUMBER($F37),FA$2&gt;=$F37,FA$2&lt;=IF(ISNUMBER($G37),$G37,$F37+$E37-$D37)),2,IF(AND(FA$2&gt;=$D37,FA$2&lt;=$E37),1,"")))</f>
        <v/>
      </c>
      <c r="FB37" s="38">
        <f>IF(OR(FB$2="",$D37=""),"",IF(AND(ISNUMBER($F37),FB$2&gt;=$F37,FB$2&lt;=IF(ISNUMBER($G37),$G37,$F37+$E37-$D37)),2,IF(AND(FB$2&gt;=$D37,FB$2&lt;=$E37),1,"")))</f>
        <v/>
      </c>
      <c r="FC37" s="38">
        <f>IF(OR(FC$2="",$D37=""),"",IF(AND(ISNUMBER($F37),FC$2&gt;=$F37,FC$2&lt;=IF(ISNUMBER($G37),$G37,$F37+$E37-$D37)),2,IF(AND(FC$2&gt;=$D37,FC$2&lt;=$E37),1,"")))</f>
        <v/>
      </c>
      <c r="FD37" s="38">
        <f>IF(OR(FD$2="",$D37=""),"",IF(AND(ISNUMBER($F37),FD$2&gt;=$F37,FD$2&lt;=IF(ISNUMBER($G37),$G37,$F37+$E37-$D37)),2,IF(AND(FD$2&gt;=$D37,FD$2&lt;=$E37),1,"")))</f>
        <v/>
      </c>
      <c r="FE37" s="38">
        <f>IF(OR(FE$2="",$D37=""),"",IF(AND(ISNUMBER($F37),FE$2&gt;=$F37,FE$2&lt;=IF(ISNUMBER($G37),$G37,$F37+$E37-$D37)),2,IF(AND(FE$2&gt;=$D37,FE$2&lt;=$E37),1,"")))</f>
        <v/>
      </c>
      <c r="FF37" s="38">
        <f>IF(OR(FF$2="",$D37=""),"",IF(AND(ISNUMBER($F37),FF$2&gt;=$F37,FF$2&lt;=IF(ISNUMBER($G37),$G37,$F37+$E37-$D37)),2,IF(AND(FF$2&gt;=$D37,FF$2&lt;=$E37),1,"")))</f>
        <v/>
      </c>
      <c r="FG37" s="38">
        <f>IF(OR(FG$2="",$D37=""),"",IF(AND(ISNUMBER($F37),FG$2&gt;=$F37,FG$2&lt;=IF(ISNUMBER($G37),$G37,$F37+$E37-$D37)),2,IF(AND(FG$2&gt;=$D37,FG$2&lt;=$E37),1,"")))</f>
        <v/>
      </c>
      <c r="FH37" s="38">
        <f>IF(OR(FH$2="",$D37=""),"",IF(AND(ISNUMBER($F37),FH$2&gt;=$F37,FH$2&lt;=IF(ISNUMBER($G37),$G37,$F37+$E37-$D37)),2,IF(AND(FH$2&gt;=$D37,FH$2&lt;=$E37),1,"")))</f>
        <v/>
      </c>
      <c r="FI37" s="38">
        <f>IF(OR(FI$2="",$D37=""),"",IF(AND(ISNUMBER($F37),FI$2&gt;=$F37,FI$2&lt;=IF(ISNUMBER($G37),$G37,$F37+$E37-$D37)),2,IF(AND(FI$2&gt;=$D37,FI$2&lt;=$E37),1,"")))</f>
        <v/>
      </c>
      <c r="FJ37" s="38">
        <f>IF(OR(FJ$2="",$D37=""),"",IF(AND(ISNUMBER($F37),FJ$2&gt;=$F37,FJ$2&lt;=IF(ISNUMBER($G37),$G37,$F37+$E37-$D37)),2,IF(AND(FJ$2&gt;=$D37,FJ$2&lt;=$E37),1,"")))</f>
        <v/>
      </c>
      <c r="FK37" s="38">
        <f>IF(OR(FK$2="",$D37=""),"",IF(AND(ISNUMBER($F37),FK$2&gt;=$F37,FK$2&lt;=IF(ISNUMBER($G37),$G37,$F37+$E37-$D37)),2,IF(AND(FK$2&gt;=$D37,FK$2&lt;=$E37),1,"")))</f>
        <v/>
      </c>
      <c r="FL37" s="38">
        <f>IF(OR(FL$2="",$D37=""),"",IF(AND(ISNUMBER($F37),FL$2&gt;=$F37,FL$2&lt;=IF(ISNUMBER($G37),$G37,$F37+$E37-$D37)),2,IF(AND(FL$2&gt;=$D37,FL$2&lt;=$E37),1,"")))</f>
        <v/>
      </c>
      <c r="FM37" s="38">
        <f>IF(OR(FM$2="",$D37=""),"",IF(AND(ISNUMBER($F37),FM$2&gt;=$F37,FM$2&lt;=IF(ISNUMBER($G37),$G37,$F37+$E37-$D37)),2,IF(AND(FM$2&gt;=$D37,FM$2&lt;=$E37),1,"")))</f>
        <v/>
      </c>
      <c r="FN37" s="38">
        <f>IF(OR(FN$2="",$D37=""),"",IF(AND(ISNUMBER($F37),FN$2&gt;=$F37,FN$2&lt;=IF(ISNUMBER($G37),$G37,$F37+$E37-$D37)),2,IF(AND(FN$2&gt;=$D37,FN$2&lt;=$E37),1,"")))</f>
        <v/>
      </c>
      <c r="FO37" s="38">
        <f>IF(OR(FO$2="",$D37=""),"",IF(AND(ISNUMBER($F37),FO$2&gt;=$F37,FO$2&lt;=IF(ISNUMBER($G37),$G37,$F37+$E37-$D37)),2,IF(AND(FO$2&gt;=$D37,FO$2&lt;=$E37),1,"")))</f>
        <v/>
      </c>
      <c r="FP37" s="38">
        <f>IF(OR(FP$2="",$D37=""),"",IF(AND(ISNUMBER($F37),FP$2&gt;=$F37,FP$2&lt;=IF(ISNUMBER($G37),$G37,$F37+$E37-$D37)),2,IF(AND(FP$2&gt;=$D37,FP$2&lt;=$E37),1,"")))</f>
        <v/>
      </c>
      <c r="FQ37" s="38">
        <f>IF(OR(FQ$2="",$D37=""),"",IF(AND(ISNUMBER($F37),FQ$2&gt;=$F37,FQ$2&lt;=IF(ISNUMBER($G37),$G37,$F37+$E37-$D37)),2,IF(AND(FQ$2&gt;=$D37,FQ$2&lt;=$E37),1,"")))</f>
        <v/>
      </c>
      <c r="FR37" s="38">
        <f>IF(OR(FR$2="",$D37=""),"",IF(AND(ISNUMBER($F37),FR$2&gt;=$F37,FR$2&lt;=IF(ISNUMBER($G37),$G37,$F37+$E37-$D37)),2,IF(AND(FR$2&gt;=$D37,FR$2&lt;=$E37),1,"")))</f>
        <v/>
      </c>
      <c r="FS37" s="38">
        <f>IF(OR(FS$2="",$D37=""),"",IF(AND(ISNUMBER($F37),FS$2&gt;=$F37,FS$2&lt;=IF(ISNUMBER($G37),$G37,$F37+$E37-$D37)),2,IF(AND(FS$2&gt;=$D37,FS$2&lt;=$E37),1,"")))</f>
        <v/>
      </c>
      <c r="FT37" s="38">
        <f>IF(OR(FT$2="",$D37=""),"",IF(AND(ISNUMBER($F37),FT$2&gt;=$F37,FT$2&lt;=IF(ISNUMBER($G37),$G37,$F37+$E37-$D37)),2,IF(AND(FT$2&gt;=$D37,FT$2&lt;=$E37),1,"")))</f>
        <v/>
      </c>
      <c r="FU37" s="38">
        <f>IF(OR(FU$2="",$D37=""),"",IF(AND(ISNUMBER($F37),FU$2&gt;=$F37,FU$2&lt;=IF(ISNUMBER($G37),$G37,$F37+$E37-$D37)),2,IF(AND(FU$2&gt;=$D37,FU$2&lt;=$E37),1,"")))</f>
        <v/>
      </c>
      <c r="FV37" s="38">
        <f>IF(OR(FV$2="",$D37=""),"",IF(AND(ISNUMBER($F37),FV$2&gt;=$F37,FV$2&lt;=IF(ISNUMBER($G37),$G37,$F37+$E37-$D37)),2,IF(AND(FV$2&gt;=$D37,FV$2&lt;=$E37),1,"")))</f>
        <v/>
      </c>
      <c r="FW37" s="38">
        <f>IF(OR(FW$2="",$D37=""),"",IF(AND(ISNUMBER($F37),FW$2&gt;=$F37,FW$2&lt;=IF(ISNUMBER($G37),$G37,$F37+$E37-$D37)),2,IF(AND(FW$2&gt;=$D37,FW$2&lt;=$E37),1,"")))</f>
        <v/>
      </c>
      <c r="FX37" s="38">
        <f>IF(OR(FX$2="",$D37=""),"",IF(AND(ISNUMBER($F37),FX$2&gt;=$F37,FX$2&lt;=IF(ISNUMBER($G37),$G37,$F37+$E37-$D37)),2,IF(AND(FX$2&gt;=$D37,FX$2&lt;=$E37),1,"")))</f>
        <v/>
      </c>
      <c r="FY37" s="38">
        <f>IF(OR(FY$2="",$D37=""),"",IF(AND(ISNUMBER($F37),FY$2&gt;=$F37,FY$2&lt;=IF(ISNUMBER($G37),$G37,$F37+$E37-$D37)),2,IF(AND(FY$2&gt;=$D37,FY$2&lt;=$E37),1,"")))</f>
        <v/>
      </c>
      <c r="FZ37" s="38">
        <f>IF(OR(FZ$2="",$D37=""),"",IF(AND(ISNUMBER($F37),FZ$2&gt;=$F37,FZ$2&lt;=IF(ISNUMBER($G37),$G37,$F37+$E37-$D37)),2,IF(AND(FZ$2&gt;=$D37,FZ$2&lt;=$E37),1,"")))</f>
        <v/>
      </c>
      <c r="GA37" s="38">
        <f>IF(OR(GA$2="",$D37=""),"",IF(AND(ISNUMBER($F37),GA$2&gt;=$F37,GA$2&lt;=IF(ISNUMBER($G37),$G37,$F37+$E37-$D37)),2,IF(AND(GA$2&gt;=$D37,GA$2&lt;=$E37),1,"")))</f>
        <v/>
      </c>
      <c r="GB37" s="38">
        <f>IF(OR(GB$2="",$D37=""),"",IF(AND(ISNUMBER($F37),GB$2&gt;=$F37,GB$2&lt;=IF(ISNUMBER($G37),$G37,$F37+$E37-$D37)),2,IF(AND(GB$2&gt;=$D37,GB$2&lt;=$E37),1,"")))</f>
        <v/>
      </c>
      <c r="GC37" s="38">
        <f>IF(OR(GC$2="",$D37=""),"",IF(AND(ISNUMBER($F37),GC$2&gt;=$F37,GC$2&lt;=IF(ISNUMBER($G37),$G37,$F37+$E37-$D37)),2,IF(AND(GC$2&gt;=$D37,GC$2&lt;=$E37),1,"")))</f>
        <v/>
      </c>
      <c r="GD37" s="38">
        <f>IF(OR(GD$2="",$D37=""),"",IF(AND(ISNUMBER($F37),GD$2&gt;=$F37,GD$2&lt;=IF(ISNUMBER($G37),$G37,$F37+$E37-$D37)),2,IF(AND(GD$2&gt;=$D37,GD$2&lt;=$E37),1,"")))</f>
        <v/>
      </c>
      <c r="GE37" s="38">
        <f>IF(OR(GE$2="",$D37=""),"",IF(AND(ISNUMBER($F37),GE$2&gt;=$F37,GE$2&lt;=IF(ISNUMBER($G37),$G37,$F37+$E37-$D37)),2,IF(AND(GE$2&gt;=$D37,GE$2&lt;=$E37),1,"")))</f>
        <v/>
      </c>
    </row>
    <row r="38">
      <c r="A38" s="36" t="inlineStr">
        <is>
          <t>Harvest</t>
        </is>
      </c>
      <c r="B38" s="12" t="inlineStr">
        <is>
          <t>ধান কাটা</t>
        </is>
      </c>
      <c r="C38" s="12" t="inlineStr">
        <is>
          <t>FP</t>
        </is>
      </c>
      <c r="D38" s="7">
        <f>IF(D25="","",D25)</f>
        <v/>
      </c>
      <c r="E38" s="7">
        <f>IF(D38="","",D38)</f>
        <v/>
      </c>
      <c r="F38" s="37" t="n"/>
      <c r="G38" s="7" t="n"/>
      <c r="H38" s="6">
        <f>IF(D38="","no plan",IF(F38&lt;&gt;"",IF(F38-D38&gt;=2,"LATE","OK"),IF(TODAY()&gt;D38+2,"OVERDUE","upcoming")))</f>
        <v/>
      </c>
      <c r="I38" s="6">
        <f>IF(AND(D38&lt;&gt;"",F38&lt;&gt;""),F38-D38,"")</f>
        <v/>
      </c>
      <c r="J38" s="7">
        <f>IF(F38&lt;&gt;"",F38,D38)</f>
        <v/>
      </c>
      <c r="K38" s="7">
        <f>IF(G38&lt;&gt;"",G38,IF(AND(F38&lt;&gt;"",E38=D38),F38,E38))</f>
        <v/>
      </c>
      <c r="L38" s="6">
        <f>IF(AND(D38&lt;&gt;"",F38="",D38&gt;=TODAY()),D38+ROW()/1000,"")</f>
        <v/>
      </c>
      <c r="M38" s="38">
        <f>IF(OR(M$2="",$D38=""),"",IF(AND(ISNUMBER($F38),M$2&gt;=$F38,M$2&lt;=IF(ISNUMBER($G38),$G38,$F38+$E38-$D38)),2,IF(AND(M$2&gt;=$D38,M$2&lt;=$E38),1,"")))</f>
        <v/>
      </c>
      <c r="N38" s="38">
        <f>IF(OR(N$2="",$D38=""),"",IF(AND(ISNUMBER($F38),N$2&gt;=$F38,N$2&lt;=IF(ISNUMBER($G38),$G38,$F38+$E38-$D38)),2,IF(AND(N$2&gt;=$D38,N$2&lt;=$E38),1,"")))</f>
        <v/>
      </c>
      <c r="O38" s="38">
        <f>IF(OR(O$2="",$D38=""),"",IF(AND(ISNUMBER($F38),O$2&gt;=$F38,O$2&lt;=IF(ISNUMBER($G38),$G38,$F38+$E38-$D38)),2,IF(AND(O$2&gt;=$D38,O$2&lt;=$E38),1,"")))</f>
        <v/>
      </c>
      <c r="P38" s="38">
        <f>IF(OR(P$2="",$D38=""),"",IF(AND(ISNUMBER($F38),P$2&gt;=$F38,P$2&lt;=IF(ISNUMBER($G38),$G38,$F38+$E38-$D38)),2,IF(AND(P$2&gt;=$D38,P$2&lt;=$E38),1,"")))</f>
        <v/>
      </c>
      <c r="Q38" s="38">
        <f>IF(OR(Q$2="",$D38=""),"",IF(AND(ISNUMBER($F38),Q$2&gt;=$F38,Q$2&lt;=IF(ISNUMBER($G38),$G38,$F38+$E38-$D38)),2,IF(AND(Q$2&gt;=$D38,Q$2&lt;=$E38),1,"")))</f>
        <v/>
      </c>
      <c r="R38" s="38">
        <f>IF(OR(R$2="",$D38=""),"",IF(AND(ISNUMBER($F38),R$2&gt;=$F38,R$2&lt;=IF(ISNUMBER($G38),$G38,$F38+$E38-$D38)),2,IF(AND(R$2&gt;=$D38,R$2&lt;=$E38),1,"")))</f>
        <v/>
      </c>
      <c r="S38" s="38">
        <f>IF(OR(S$2="",$D38=""),"",IF(AND(ISNUMBER($F38),S$2&gt;=$F38,S$2&lt;=IF(ISNUMBER($G38),$G38,$F38+$E38-$D38)),2,IF(AND(S$2&gt;=$D38,S$2&lt;=$E38),1,"")))</f>
        <v/>
      </c>
      <c r="T38" s="38">
        <f>IF(OR(T$2="",$D38=""),"",IF(AND(ISNUMBER($F38),T$2&gt;=$F38,T$2&lt;=IF(ISNUMBER($G38),$G38,$F38+$E38-$D38)),2,IF(AND(T$2&gt;=$D38,T$2&lt;=$E38),1,"")))</f>
        <v/>
      </c>
      <c r="U38" s="38">
        <f>IF(OR(U$2="",$D38=""),"",IF(AND(ISNUMBER($F38),U$2&gt;=$F38,U$2&lt;=IF(ISNUMBER($G38),$G38,$F38+$E38-$D38)),2,IF(AND(U$2&gt;=$D38,U$2&lt;=$E38),1,"")))</f>
        <v/>
      </c>
      <c r="V38" s="38">
        <f>IF(OR(V$2="",$D38=""),"",IF(AND(ISNUMBER($F38),V$2&gt;=$F38,V$2&lt;=IF(ISNUMBER($G38),$G38,$F38+$E38-$D38)),2,IF(AND(V$2&gt;=$D38,V$2&lt;=$E38),1,"")))</f>
        <v/>
      </c>
      <c r="W38" s="38">
        <f>IF(OR(W$2="",$D38=""),"",IF(AND(ISNUMBER($F38),W$2&gt;=$F38,W$2&lt;=IF(ISNUMBER($G38),$G38,$F38+$E38-$D38)),2,IF(AND(W$2&gt;=$D38,W$2&lt;=$E38),1,"")))</f>
        <v/>
      </c>
      <c r="X38" s="38">
        <f>IF(OR(X$2="",$D38=""),"",IF(AND(ISNUMBER($F38),X$2&gt;=$F38,X$2&lt;=IF(ISNUMBER($G38),$G38,$F38+$E38-$D38)),2,IF(AND(X$2&gt;=$D38,X$2&lt;=$E38),1,"")))</f>
        <v/>
      </c>
      <c r="Y38" s="38">
        <f>IF(OR(Y$2="",$D38=""),"",IF(AND(ISNUMBER($F38),Y$2&gt;=$F38,Y$2&lt;=IF(ISNUMBER($G38),$G38,$F38+$E38-$D38)),2,IF(AND(Y$2&gt;=$D38,Y$2&lt;=$E38),1,"")))</f>
        <v/>
      </c>
      <c r="Z38" s="38">
        <f>IF(OR(Z$2="",$D38=""),"",IF(AND(ISNUMBER($F38),Z$2&gt;=$F38,Z$2&lt;=IF(ISNUMBER($G38),$G38,$F38+$E38-$D38)),2,IF(AND(Z$2&gt;=$D38,Z$2&lt;=$E38),1,"")))</f>
        <v/>
      </c>
      <c r="AA38" s="38">
        <f>IF(OR(AA$2="",$D38=""),"",IF(AND(ISNUMBER($F38),AA$2&gt;=$F38,AA$2&lt;=IF(ISNUMBER($G38),$G38,$F38+$E38-$D38)),2,IF(AND(AA$2&gt;=$D38,AA$2&lt;=$E38),1,"")))</f>
        <v/>
      </c>
      <c r="AB38" s="38">
        <f>IF(OR(AB$2="",$D38=""),"",IF(AND(ISNUMBER($F38),AB$2&gt;=$F38,AB$2&lt;=IF(ISNUMBER($G38),$G38,$F38+$E38-$D38)),2,IF(AND(AB$2&gt;=$D38,AB$2&lt;=$E38),1,"")))</f>
        <v/>
      </c>
      <c r="AC38" s="38">
        <f>IF(OR(AC$2="",$D38=""),"",IF(AND(ISNUMBER($F38),AC$2&gt;=$F38,AC$2&lt;=IF(ISNUMBER($G38),$G38,$F38+$E38-$D38)),2,IF(AND(AC$2&gt;=$D38,AC$2&lt;=$E38),1,"")))</f>
        <v/>
      </c>
      <c r="AD38" s="38">
        <f>IF(OR(AD$2="",$D38=""),"",IF(AND(ISNUMBER($F38),AD$2&gt;=$F38,AD$2&lt;=IF(ISNUMBER($G38),$G38,$F38+$E38-$D38)),2,IF(AND(AD$2&gt;=$D38,AD$2&lt;=$E38),1,"")))</f>
        <v/>
      </c>
      <c r="AE38" s="38">
        <f>IF(OR(AE$2="",$D38=""),"",IF(AND(ISNUMBER($F38),AE$2&gt;=$F38,AE$2&lt;=IF(ISNUMBER($G38),$G38,$F38+$E38-$D38)),2,IF(AND(AE$2&gt;=$D38,AE$2&lt;=$E38),1,"")))</f>
        <v/>
      </c>
      <c r="AF38" s="38">
        <f>IF(OR(AF$2="",$D38=""),"",IF(AND(ISNUMBER($F38),AF$2&gt;=$F38,AF$2&lt;=IF(ISNUMBER($G38),$G38,$F38+$E38-$D38)),2,IF(AND(AF$2&gt;=$D38,AF$2&lt;=$E38),1,"")))</f>
        <v/>
      </c>
      <c r="AG38" s="38">
        <f>IF(OR(AG$2="",$D38=""),"",IF(AND(ISNUMBER($F38),AG$2&gt;=$F38,AG$2&lt;=IF(ISNUMBER($G38),$G38,$F38+$E38-$D38)),2,IF(AND(AG$2&gt;=$D38,AG$2&lt;=$E38),1,"")))</f>
        <v/>
      </c>
      <c r="AH38" s="38">
        <f>IF(OR(AH$2="",$D38=""),"",IF(AND(ISNUMBER($F38),AH$2&gt;=$F38,AH$2&lt;=IF(ISNUMBER($G38),$G38,$F38+$E38-$D38)),2,IF(AND(AH$2&gt;=$D38,AH$2&lt;=$E38),1,"")))</f>
        <v/>
      </c>
      <c r="AI38" s="38">
        <f>IF(OR(AI$2="",$D38=""),"",IF(AND(ISNUMBER($F38),AI$2&gt;=$F38,AI$2&lt;=IF(ISNUMBER($G38),$G38,$F38+$E38-$D38)),2,IF(AND(AI$2&gt;=$D38,AI$2&lt;=$E38),1,"")))</f>
        <v/>
      </c>
      <c r="AJ38" s="38">
        <f>IF(OR(AJ$2="",$D38=""),"",IF(AND(ISNUMBER($F38),AJ$2&gt;=$F38,AJ$2&lt;=IF(ISNUMBER($G38),$G38,$F38+$E38-$D38)),2,IF(AND(AJ$2&gt;=$D38,AJ$2&lt;=$E38),1,"")))</f>
        <v/>
      </c>
      <c r="AK38" s="38">
        <f>IF(OR(AK$2="",$D38=""),"",IF(AND(ISNUMBER($F38),AK$2&gt;=$F38,AK$2&lt;=IF(ISNUMBER($G38),$G38,$F38+$E38-$D38)),2,IF(AND(AK$2&gt;=$D38,AK$2&lt;=$E38),1,"")))</f>
        <v/>
      </c>
      <c r="AL38" s="38">
        <f>IF(OR(AL$2="",$D38=""),"",IF(AND(ISNUMBER($F38),AL$2&gt;=$F38,AL$2&lt;=IF(ISNUMBER($G38),$G38,$F38+$E38-$D38)),2,IF(AND(AL$2&gt;=$D38,AL$2&lt;=$E38),1,"")))</f>
        <v/>
      </c>
      <c r="AM38" s="38">
        <f>IF(OR(AM$2="",$D38=""),"",IF(AND(ISNUMBER($F38),AM$2&gt;=$F38,AM$2&lt;=IF(ISNUMBER($G38),$G38,$F38+$E38-$D38)),2,IF(AND(AM$2&gt;=$D38,AM$2&lt;=$E38),1,"")))</f>
        <v/>
      </c>
      <c r="AN38" s="38">
        <f>IF(OR(AN$2="",$D38=""),"",IF(AND(ISNUMBER($F38),AN$2&gt;=$F38,AN$2&lt;=IF(ISNUMBER($G38),$G38,$F38+$E38-$D38)),2,IF(AND(AN$2&gt;=$D38,AN$2&lt;=$E38),1,"")))</f>
        <v/>
      </c>
      <c r="AO38" s="38">
        <f>IF(OR(AO$2="",$D38=""),"",IF(AND(ISNUMBER($F38),AO$2&gt;=$F38,AO$2&lt;=IF(ISNUMBER($G38),$G38,$F38+$E38-$D38)),2,IF(AND(AO$2&gt;=$D38,AO$2&lt;=$E38),1,"")))</f>
        <v/>
      </c>
      <c r="AP38" s="38">
        <f>IF(OR(AP$2="",$D38=""),"",IF(AND(ISNUMBER($F38),AP$2&gt;=$F38,AP$2&lt;=IF(ISNUMBER($G38),$G38,$F38+$E38-$D38)),2,IF(AND(AP$2&gt;=$D38,AP$2&lt;=$E38),1,"")))</f>
        <v/>
      </c>
      <c r="AQ38" s="38">
        <f>IF(OR(AQ$2="",$D38=""),"",IF(AND(ISNUMBER($F38),AQ$2&gt;=$F38,AQ$2&lt;=IF(ISNUMBER($G38),$G38,$F38+$E38-$D38)),2,IF(AND(AQ$2&gt;=$D38,AQ$2&lt;=$E38),1,"")))</f>
        <v/>
      </c>
      <c r="AR38" s="38">
        <f>IF(OR(AR$2="",$D38=""),"",IF(AND(ISNUMBER($F38),AR$2&gt;=$F38,AR$2&lt;=IF(ISNUMBER($G38),$G38,$F38+$E38-$D38)),2,IF(AND(AR$2&gt;=$D38,AR$2&lt;=$E38),1,"")))</f>
        <v/>
      </c>
      <c r="AS38" s="38">
        <f>IF(OR(AS$2="",$D38=""),"",IF(AND(ISNUMBER($F38),AS$2&gt;=$F38,AS$2&lt;=IF(ISNUMBER($G38),$G38,$F38+$E38-$D38)),2,IF(AND(AS$2&gt;=$D38,AS$2&lt;=$E38),1,"")))</f>
        <v/>
      </c>
      <c r="AT38" s="38">
        <f>IF(OR(AT$2="",$D38=""),"",IF(AND(ISNUMBER($F38),AT$2&gt;=$F38,AT$2&lt;=IF(ISNUMBER($G38),$G38,$F38+$E38-$D38)),2,IF(AND(AT$2&gt;=$D38,AT$2&lt;=$E38),1,"")))</f>
        <v/>
      </c>
      <c r="AU38" s="38">
        <f>IF(OR(AU$2="",$D38=""),"",IF(AND(ISNUMBER($F38),AU$2&gt;=$F38,AU$2&lt;=IF(ISNUMBER($G38),$G38,$F38+$E38-$D38)),2,IF(AND(AU$2&gt;=$D38,AU$2&lt;=$E38),1,"")))</f>
        <v/>
      </c>
      <c r="AV38" s="38">
        <f>IF(OR(AV$2="",$D38=""),"",IF(AND(ISNUMBER($F38),AV$2&gt;=$F38,AV$2&lt;=IF(ISNUMBER($G38),$G38,$F38+$E38-$D38)),2,IF(AND(AV$2&gt;=$D38,AV$2&lt;=$E38),1,"")))</f>
        <v/>
      </c>
      <c r="AW38" s="38">
        <f>IF(OR(AW$2="",$D38=""),"",IF(AND(ISNUMBER($F38),AW$2&gt;=$F38,AW$2&lt;=IF(ISNUMBER($G38),$G38,$F38+$E38-$D38)),2,IF(AND(AW$2&gt;=$D38,AW$2&lt;=$E38),1,"")))</f>
        <v/>
      </c>
      <c r="AX38" s="38">
        <f>IF(OR(AX$2="",$D38=""),"",IF(AND(ISNUMBER($F38),AX$2&gt;=$F38,AX$2&lt;=IF(ISNUMBER($G38),$G38,$F38+$E38-$D38)),2,IF(AND(AX$2&gt;=$D38,AX$2&lt;=$E38),1,"")))</f>
        <v/>
      </c>
      <c r="AY38" s="38">
        <f>IF(OR(AY$2="",$D38=""),"",IF(AND(ISNUMBER($F38),AY$2&gt;=$F38,AY$2&lt;=IF(ISNUMBER($G38),$G38,$F38+$E38-$D38)),2,IF(AND(AY$2&gt;=$D38,AY$2&lt;=$E38),1,"")))</f>
        <v/>
      </c>
      <c r="AZ38" s="38">
        <f>IF(OR(AZ$2="",$D38=""),"",IF(AND(ISNUMBER($F38),AZ$2&gt;=$F38,AZ$2&lt;=IF(ISNUMBER($G38),$G38,$F38+$E38-$D38)),2,IF(AND(AZ$2&gt;=$D38,AZ$2&lt;=$E38),1,"")))</f>
        <v/>
      </c>
      <c r="BA38" s="38">
        <f>IF(OR(BA$2="",$D38=""),"",IF(AND(ISNUMBER($F38),BA$2&gt;=$F38,BA$2&lt;=IF(ISNUMBER($G38),$G38,$F38+$E38-$D38)),2,IF(AND(BA$2&gt;=$D38,BA$2&lt;=$E38),1,"")))</f>
        <v/>
      </c>
      <c r="BB38" s="38">
        <f>IF(OR(BB$2="",$D38=""),"",IF(AND(ISNUMBER($F38),BB$2&gt;=$F38,BB$2&lt;=IF(ISNUMBER($G38),$G38,$F38+$E38-$D38)),2,IF(AND(BB$2&gt;=$D38,BB$2&lt;=$E38),1,"")))</f>
        <v/>
      </c>
      <c r="BC38" s="38">
        <f>IF(OR(BC$2="",$D38=""),"",IF(AND(ISNUMBER($F38),BC$2&gt;=$F38,BC$2&lt;=IF(ISNUMBER($G38),$G38,$F38+$E38-$D38)),2,IF(AND(BC$2&gt;=$D38,BC$2&lt;=$E38),1,"")))</f>
        <v/>
      </c>
      <c r="BD38" s="38">
        <f>IF(OR(BD$2="",$D38=""),"",IF(AND(ISNUMBER($F38),BD$2&gt;=$F38,BD$2&lt;=IF(ISNUMBER($G38),$G38,$F38+$E38-$D38)),2,IF(AND(BD$2&gt;=$D38,BD$2&lt;=$E38),1,"")))</f>
        <v/>
      </c>
      <c r="BE38" s="38">
        <f>IF(OR(BE$2="",$D38=""),"",IF(AND(ISNUMBER($F38),BE$2&gt;=$F38,BE$2&lt;=IF(ISNUMBER($G38),$G38,$F38+$E38-$D38)),2,IF(AND(BE$2&gt;=$D38,BE$2&lt;=$E38),1,"")))</f>
        <v/>
      </c>
      <c r="BF38" s="38">
        <f>IF(OR(BF$2="",$D38=""),"",IF(AND(ISNUMBER($F38),BF$2&gt;=$F38,BF$2&lt;=IF(ISNUMBER($G38),$G38,$F38+$E38-$D38)),2,IF(AND(BF$2&gt;=$D38,BF$2&lt;=$E38),1,"")))</f>
        <v/>
      </c>
      <c r="BG38" s="38">
        <f>IF(OR(BG$2="",$D38=""),"",IF(AND(ISNUMBER($F38),BG$2&gt;=$F38,BG$2&lt;=IF(ISNUMBER($G38),$G38,$F38+$E38-$D38)),2,IF(AND(BG$2&gt;=$D38,BG$2&lt;=$E38),1,"")))</f>
        <v/>
      </c>
      <c r="BH38" s="38">
        <f>IF(OR(BH$2="",$D38=""),"",IF(AND(ISNUMBER($F38),BH$2&gt;=$F38,BH$2&lt;=IF(ISNUMBER($G38),$G38,$F38+$E38-$D38)),2,IF(AND(BH$2&gt;=$D38,BH$2&lt;=$E38),1,"")))</f>
        <v/>
      </c>
      <c r="BI38" s="38">
        <f>IF(OR(BI$2="",$D38=""),"",IF(AND(ISNUMBER($F38),BI$2&gt;=$F38,BI$2&lt;=IF(ISNUMBER($G38),$G38,$F38+$E38-$D38)),2,IF(AND(BI$2&gt;=$D38,BI$2&lt;=$E38),1,"")))</f>
        <v/>
      </c>
      <c r="BJ38" s="38">
        <f>IF(OR(BJ$2="",$D38=""),"",IF(AND(ISNUMBER($F38),BJ$2&gt;=$F38,BJ$2&lt;=IF(ISNUMBER($G38),$G38,$F38+$E38-$D38)),2,IF(AND(BJ$2&gt;=$D38,BJ$2&lt;=$E38),1,"")))</f>
        <v/>
      </c>
      <c r="BK38" s="38">
        <f>IF(OR(BK$2="",$D38=""),"",IF(AND(ISNUMBER($F38),BK$2&gt;=$F38,BK$2&lt;=IF(ISNUMBER($G38),$G38,$F38+$E38-$D38)),2,IF(AND(BK$2&gt;=$D38,BK$2&lt;=$E38),1,"")))</f>
        <v/>
      </c>
      <c r="BL38" s="38">
        <f>IF(OR(BL$2="",$D38=""),"",IF(AND(ISNUMBER($F38),BL$2&gt;=$F38,BL$2&lt;=IF(ISNUMBER($G38),$G38,$F38+$E38-$D38)),2,IF(AND(BL$2&gt;=$D38,BL$2&lt;=$E38),1,"")))</f>
        <v/>
      </c>
      <c r="BM38" s="38">
        <f>IF(OR(BM$2="",$D38=""),"",IF(AND(ISNUMBER($F38),BM$2&gt;=$F38,BM$2&lt;=IF(ISNUMBER($G38),$G38,$F38+$E38-$D38)),2,IF(AND(BM$2&gt;=$D38,BM$2&lt;=$E38),1,"")))</f>
        <v/>
      </c>
      <c r="BN38" s="38">
        <f>IF(OR(BN$2="",$D38=""),"",IF(AND(ISNUMBER($F38),BN$2&gt;=$F38,BN$2&lt;=IF(ISNUMBER($G38),$G38,$F38+$E38-$D38)),2,IF(AND(BN$2&gt;=$D38,BN$2&lt;=$E38),1,"")))</f>
        <v/>
      </c>
      <c r="BO38" s="38">
        <f>IF(OR(BO$2="",$D38=""),"",IF(AND(ISNUMBER($F38),BO$2&gt;=$F38,BO$2&lt;=IF(ISNUMBER($G38),$G38,$F38+$E38-$D38)),2,IF(AND(BO$2&gt;=$D38,BO$2&lt;=$E38),1,"")))</f>
        <v/>
      </c>
      <c r="BP38" s="38">
        <f>IF(OR(BP$2="",$D38=""),"",IF(AND(ISNUMBER($F38),BP$2&gt;=$F38,BP$2&lt;=IF(ISNUMBER($G38),$G38,$F38+$E38-$D38)),2,IF(AND(BP$2&gt;=$D38,BP$2&lt;=$E38),1,"")))</f>
        <v/>
      </c>
      <c r="BQ38" s="38">
        <f>IF(OR(BQ$2="",$D38=""),"",IF(AND(ISNUMBER($F38),BQ$2&gt;=$F38,BQ$2&lt;=IF(ISNUMBER($G38),$G38,$F38+$E38-$D38)),2,IF(AND(BQ$2&gt;=$D38,BQ$2&lt;=$E38),1,"")))</f>
        <v/>
      </c>
      <c r="BR38" s="38">
        <f>IF(OR(BR$2="",$D38=""),"",IF(AND(ISNUMBER($F38),BR$2&gt;=$F38,BR$2&lt;=IF(ISNUMBER($G38),$G38,$F38+$E38-$D38)),2,IF(AND(BR$2&gt;=$D38,BR$2&lt;=$E38),1,"")))</f>
        <v/>
      </c>
      <c r="BS38" s="38">
        <f>IF(OR(BS$2="",$D38=""),"",IF(AND(ISNUMBER($F38),BS$2&gt;=$F38,BS$2&lt;=IF(ISNUMBER($G38),$G38,$F38+$E38-$D38)),2,IF(AND(BS$2&gt;=$D38,BS$2&lt;=$E38),1,"")))</f>
        <v/>
      </c>
      <c r="BT38" s="38">
        <f>IF(OR(BT$2="",$D38=""),"",IF(AND(ISNUMBER($F38),BT$2&gt;=$F38,BT$2&lt;=IF(ISNUMBER($G38),$G38,$F38+$E38-$D38)),2,IF(AND(BT$2&gt;=$D38,BT$2&lt;=$E38),1,"")))</f>
        <v/>
      </c>
      <c r="BU38" s="38">
        <f>IF(OR(BU$2="",$D38=""),"",IF(AND(ISNUMBER($F38),BU$2&gt;=$F38,BU$2&lt;=IF(ISNUMBER($G38),$G38,$F38+$E38-$D38)),2,IF(AND(BU$2&gt;=$D38,BU$2&lt;=$E38),1,"")))</f>
        <v/>
      </c>
      <c r="BV38" s="38">
        <f>IF(OR(BV$2="",$D38=""),"",IF(AND(ISNUMBER($F38),BV$2&gt;=$F38,BV$2&lt;=IF(ISNUMBER($G38),$G38,$F38+$E38-$D38)),2,IF(AND(BV$2&gt;=$D38,BV$2&lt;=$E38),1,"")))</f>
        <v/>
      </c>
      <c r="BW38" s="38">
        <f>IF(OR(BW$2="",$D38=""),"",IF(AND(ISNUMBER($F38),BW$2&gt;=$F38,BW$2&lt;=IF(ISNUMBER($G38),$G38,$F38+$E38-$D38)),2,IF(AND(BW$2&gt;=$D38,BW$2&lt;=$E38),1,"")))</f>
        <v/>
      </c>
      <c r="BX38" s="38">
        <f>IF(OR(BX$2="",$D38=""),"",IF(AND(ISNUMBER($F38),BX$2&gt;=$F38,BX$2&lt;=IF(ISNUMBER($G38),$G38,$F38+$E38-$D38)),2,IF(AND(BX$2&gt;=$D38,BX$2&lt;=$E38),1,"")))</f>
        <v/>
      </c>
      <c r="BY38" s="38">
        <f>IF(OR(BY$2="",$D38=""),"",IF(AND(ISNUMBER($F38),BY$2&gt;=$F38,BY$2&lt;=IF(ISNUMBER($G38),$G38,$F38+$E38-$D38)),2,IF(AND(BY$2&gt;=$D38,BY$2&lt;=$E38),1,"")))</f>
        <v/>
      </c>
      <c r="BZ38" s="38">
        <f>IF(OR(BZ$2="",$D38=""),"",IF(AND(ISNUMBER($F38),BZ$2&gt;=$F38,BZ$2&lt;=IF(ISNUMBER($G38),$G38,$F38+$E38-$D38)),2,IF(AND(BZ$2&gt;=$D38,BZ$2&lt;=$E38),1,"")))</f>
        <v/>
      </c>
      <c r="CA38" s="38">
        <f>IF(OR(CA$2="",$D38=""),"",IF(AND(ISNUMBER($F38),CA$2&gt;=$F38,CA$2&lt;=IF(ISNUMBER($G38),$G38,$F38+$E38-$D38)),2,IF(AND(CA$2&gt;=$D38,CA$2&lt;=$E38),1,"")))</f>
        <v/>
      </c>
      <c r="CB38" s="38">
        <f>IF(OR(CB$2="",$D38=""),"",IF(AND(ISNUMBER($F38),CB$2&gt;=$F38,CB$2&lt;=IF(ISNUMBER($G38),$G38,$F38+$E38-$D38)),2,IF(AND(CB$2&gt;=$D38,CB$2&lt;=$E38),1,"")))</f>
        <v/>
      </c>
      <c r="CC38" s="38">
        <f>IF(OR(CC$2="",$D38=""),"",IF(AND(ISNUMBER($F38),CC$2&gt;=$F38,CC$2&lt;=IF(ISNUMBER($G38),$G38,$F38+$E38-$D38)),2,IF(AND(CC$2&gt;=$D38,CC$2&lt;=$E38),1,"")))</f>
        <v/>
      </c>
      <c r="CD38" s="38">
        <f>IF(OR(CD$2="",$D38=""),"",IF(AND(ISNUMBER($F38),CD$2&gt;=$F38,CD$2&lt;=IF(ISNUMBER($G38),$G38,$F38+$E38-$D38)),2,IF(AND(CD$2&gt;=$D38,CD$2&lt;=$E38),1,"")))</f>
        <v/>
      </c>
      <c r="CE38" s="38">
        <f>IF(OR(CE$2="",$D38=""),"",IF(AND(ISNUMBER($F38),CE$2&gt;=$F38,CE$2&lt;=IF(ISNUMBER($G38),$G38,$F38+$E38-$D38)),2,IF(AND(CE$2&gt;=$D38,CE$2&lt;=$E38),1,"")))</f>
        <v/>
      </c>
      <c r="CF38" s="38">
        <f>IF(OR(CF$2="",$D38=""),"",IF(AND(ISNUMBER($F38),CF$2&gt;=$F38,CF$2&lt;=IF(ISNUMBER($G38),$G38,$F38+$E38-$D38)),2,IF(AND(CF$2&gt;=$D38,CF$2&lt;=$E38),1,"")))</f>
        <v/>
      </c>
      <c r="CG38" s="38">
        <f>IF(OR(CG$2="",$D38=""),"",IF(AND(ISNUMBER($F38),CG$2&gt;=$F38,CG$2&lt;=IF(ISNUMBER($G38),$G38,$F38+$E38-$D38)),2,IF(AND(CG$2&gt;=$D38,CG$2&lt;=$E38),1,"")))</f>
        <v/>
      </c>
      <c r="CH38" s="38">
        <f>IF(OR(CH$2="",$D38=""),"",IF(AND(ISNUMBER($F38),CH$2&gt;=$F38,CH$2&lt;=IF(ISNUMBER($G38),$G38,$F38+$E38-$D38)),2,IF(AND(CH$2&gt;=$D38,CH$2&lt;=$E38),1,"")))</f>
        <v/>
      </c>
      <c r="CI38" s="38">
        <f>IF(OR(CI$2="",$D38=""),"",IF(AND(ISNUMBER($F38),CI$2&gt;=$F38,CI$2&lt;=IF(ISNUMBER($G38),$G38,$F38+$E38-$D38)),2,IF(AND(CI$2&gt;=$D38,CI$2&lt;=$E38),1,"")))</f>
        <v/>
      </c>
      <c r="CJ38" s="38">
        <f>IF(OR(CJ$2="",$D38=""),"",IF(AND(ISNUMBER($F38),CJ$2&gt;=$F38,CJ$2&lt;=IF(ISNUMBER($G38),$G38,$F38+$E38-$D38)),2,IF(AND(CJ$2&gt;=$D38,CJ$2&lt;=$E38),1,"")))</f>
        <v/>
      </c>
      <c r="CK38" s="38">
        <f>IF(OR(CK$2="",$D38=""),"",IF(AND(ISNUMBER($F38),CK$2&gt;=$F38,CK$2&lt;=IF(ISNUMBER($G38),$G38,$F38+$E38-$D38)),2,IF(AND(CK$2&gt;=$D38,CK$2&lt;=$E38),1,"")))</f>
        <v/>
      </c>
      <c r="CL38" s="38">
        <f>IF(OR(CL$2="",$D38=""),"",IF(AND(ISNUMBER($F38),CL$2&gt;=$F38,CL$2&lt;=IF(ISNUMBER($G38),$G38,$F38+$E38-$D38)),2,IF(AND(CL$2&gt;=$D38,CL$2&lt;=$E38),1,"")))</f>
        <v/>
      </c>
      <c r="CM38" s="38">
        <f>IF(OR(CM$2="",$D38=""),"",IF(AND(ISNUMBER($F38),CM$2&gt;=$F38,CM$2&lt;=IF(ISNUMBER($G38),$G38,$F38+$E38-$D38)),2,IF(AND(CM$2&gt;=$D38,CM$2&lt;=$E38),1,"")))</f>
        <v/>
      </c>
      <c r="CN38" s="38">
        <f>IF(OR(CN$2="",$D38=""),"",IF(AND(ISNUMBER($F38),CN$2&gt;=$F38,CN$2&lt;=IF(ISNUMBER($G38),$G38,$F38+$E38-$D38)),2,IF(AND(CN$2&gt;=$D38,CN$2&lt;=$E38),1,"")))</f>
        <v/>
      </c>
      <c r="CO38" s="38">
        <f>IF(OR(CO$2="",$D38=""),"",IF(AND(ISNUMBER($F38),CO$2&gt;=$F38,CO$2&lt;=IF(ISNUMBER($G38),$G38,$F38+$E38-$D38)),2,IF(AND(CO$2&gt;=$D38,CO$2&lt;=$E38),1,"")))</f>
        <v/>
      </c>
      <c r="CP38" s="38">
        <f>IF(OR(CP$2="",$D38=""),"",IF(AND(ISNUMBER($F38),CP$2&gt;=$F38,CP$2&lt;=IF(ISNUMBER($G38),$G38,$F38+$E38-$D38)),2,IF(AND(CP$2&gt;=$D38,CP$2&lt;=$E38),1,"")))</f>
        <v/>
      </c>
      <c r="CQ38" s="38">
        <f>IF(OR(CQ$2="",$D38=""),"",IF(AND(ISNUMBER($F38),CQ$2&gt;=$F38,CQ$2&lt;=IF(ISNUMBER($G38),$G38,$F38+$E38-$D38)),2,IF(AND(CQ$2&gt;=$D38,CQ$2&lt;=$E38),1,"")))</f>
        <v/>
      </c>
      <c r="CR38" s="38">
        <f>IF(OR(CR$2="",$D38=""),"",IF(AND(ISNUMBER($F38),CR$2&gt;=$F38,CR$2&lt;=IF(ISNUMBER($G38),$G38,$F38+$E38-$D38)),2,IF(AND(CR$2&gt;=$D38,CR$2&lt;=$E38),1,"")))</f>
        <v/>
      </c>
      <c r="CS38" s="38">
        <f>IF(OR(CS$2="",$D38=""),"",IF(AND(ISNUMBER($F38),CS$2&gt;=$F38,CS$2&lt;=IF(ISNUMBER($G38),$G38,$F38+$E38-$D38)),2,IF(AND(CS$2&gt;=$D38,CS$2&lt;=$E38),1,"")))</f>
        <v/>
      </c>
      <c r="CT38" s="38">
        <f>IF(OR(CT$2="",$D38=""),"",IF(AND(ISNUMBER($F38),CT$2&gt;=$F38,CT$2&lt;=IF(ISNUMBER($G38),$G38,$F38+$E38-$D38)),2,IF(AND(CT$2&gt;=$D38,CT$2&lt;=$E38),1,"")))</f>
        <v/>
      </c>
      <c r="CU38" s="38">
        <f>IF(OR(CU$2="",$D38=""),"",IF(AND(ISNUMBER($F38),CU$2&gt;=$F38,CU$2&lt;=IF(ISNUMBER($G38),$G38,$F38+$E38-$D38)),2,IF(AND(CU$2&gt;=$D38,CU$2&lt;=$E38),1,"")))</f>
        <v/>
      </c>
      <c r="CV38" s="38">
        <f>IF(OR(CV$2="",$D38=""),"",IF(AND(ISNUMBER($F38),CV$2&gt;=$F38,CV$2&lt;=IF(ISNUMBER($G38),$G38,$F38+$E38-$D38)),2,IF(AND(CV$2&gt;=$D38,CV$2&lt;=$E38),1,"")))</f>
        <v/>
      </c>
      <c r="CW38" s="38">
        <f>IF(OR(CW$2="",$D38=""),"",IF(AND(ISNUMBER($F38),CW$2&gt;=$F38,CW$2&lt;=IF(ISNUMBER($G38),$G38,$F38+$E38-$D38)),2,IF(AND(CW$2&gt;=$D38,CW$2&lt;=$E38),1,"")))</f>
        <v/>
      </c>
      <c r="CX38" s="38">
        <f>IF(OR(CX$2="",$D38=""),"",IF(AND(ISNUMBER($F38),CX$2&gt;=$F38,CX$2&lt;=IF(ISNUMBER($G38),$G38,$F38+$E38-$D38)),2,IF(AND(CX$2&gt;=$D38,CX$2&lt;=$E38),1,"")))</f>
        <v/>
      </c>
      <c r="CY38" s="38">
        <f>IF(OR(CY$2="",$D38=""),"",IF(AND(ISNUMBER($F38),CY$2&gt;=$F38,CY$2&lt;=IF(ISNUMBER($G38),$G38,$F38+$E38-$D38)),2,IF(AND(CY$2&gt;=$D38,CY$2&lt;=$E38),1,"")))</f>
        <v/>
      </c>
      <c r="CZ38" s="38">
        <f>IF(OR(CZ$2="",$D38=""),"",IF(AND(ISNUMBER($F38),CZ$2&gt;=$F38,CZ$2&lt;=IF(ISNUMBER($G38),$G38,$F38+$E38-$D38)),2,IF(AND(CZ$2&gt;=$D38,CZ$2&lt;=$E38),1,"")))</f>
        <v/>
      </c>
      <c r="DA38" s="38">
        <f>IF(OR(DA$2="",$D38=""),"",IF(AND(ISNUMBER($F38),DA$2&gt;=$F38,DA$2&lt;=IF(ISNUMBER($G38),$G38,$F38+$E38-$D38)),2,IF(AND(DA$2&gt;=$D38,DA$2&lt;=$E38),1,"")))</f>
        <v/>
      </c>
      <c r="DB38" s="38">
        <f>IF(OR(DB$2="",$D38=""),"",IF(AND(ISNUMBER($F38),DB$2&gt;=$F38,DB$2&lt;=IF(ISNUMBER($G38),$G38,$F38+$E38-$D38)),2,IF(AND(DB$2&gt;=$D38,DB$2&lt;=$E38),1,"")))</f>
        <v/>
      </c>
      <c r="DC38" s="38">
        <f>IF(OR(DC$2="",$D38=""),"",IF(AND(ISNUMBER($F38),DC$2&gt;=$F38,DC$2&lt;=IF(ISNUMBER($G38),$G38,$F38+$E38-$D38)),2,IF(AND(DC$2&gt;=$D38,DC$2&lt;=$E38),1,"")))</f>
        <v/>
      </c>
      <c r="DD38" s="38">
        <f>IF(OR(DD$2="",$D38=""),"",IF(AND(ISNUMBER($F38),DD$2&gt;=$F38,DD$2&lt;=IF(ISNUMBER($G38),$G38,$F38+$E38-$D38)),2,IF(AND(DD$2&gt;=$D38,DD$2&lt;=$E38),1,"")))</f>
        <v/>
      </c>
      <c r="DE38" s="38">
        <f>IF(OR(DE$2="",$D38=""),"",IF(AND(ISNUMBER($F38),DE$2&gt;=$F38,DE$2&lt;=IF(ISNUMBER($G38),$G38,$F38+$E38-$D38)),2,IF(AND(DE$2&gt;=$D38,DE$2&lt;=$E38),1,"")))</f>
        <v/>
      </c>
      <c r="DF38" s="38">
        <f>IF(OR(DF$2="",$D38=""),"",IF(AND(ISNUMBER($F38),DF$2&gt;=$F38,DF$2&lt;=IF(ISNUMBER($G38),$G38,$F38+$E38-$D38)),2,IF(AND(DF$2&gt;=$D38,DF$2&lt;=$E38),1,"")))</f>
        <v/>
      </c>
      <c r="DG38" s="38">
        <f>IF(OR(DG$2="",$D38=""),"",IF(AND(ISNUMBER($F38),DG$2&gt;=$F38,DG$2&lt;=IF(ISNUMBER($G38),$G38,$F38+$E38-$D38)),2,IF(AND(DG$2&gt;=$D38,DG$2&lt;=$E38),1,"")))</f>
        <v/>
      </c>
      <c r="DH38" s="38">
        <f>IF(OR(DH$2="",$D38=""),"",IF(AND(ISNUMBER($F38),DH$2&gt;=$F38,DH$2&lt;=IF(ISNUMBER($G38),$G38,$F38+$E38-$D38)),2,IF(AND(DH$2&gt;=$D38,DH$2&lt;=$E38),1,"")))</f>
        <v/>
      </c>
      <c r="DI38" s="38">
        <f>IF(OR(DI$2="",$D38=""),"",IF(AND(ISNUMBER($F38),DI$2&gt;=$F38,DI$2&lt;=IF(ISNUMBER($G38),$G38,$F38+$E38-$D38)),2,IF(AND(DI$2&gt;=$D38,DI$2&lt;=$E38),1,"")))</f>
        <v/>
      </c>
      <c r="DJ38" s="38">
        <f>IF(OR(DJ$2="",$D38=""),"",IF(AND(ISNUMBER($F38),DJ$2&gt;=$F38,DJ$2&lt;=IF(ISNUMBER($G38),$G38,$F38+$E38-$D38)),2,IF(AND(DJ$2&gt;=$D38,DJ$2&lt;=$E38),1,"")))</f>
        <v/>
      </c>
      <c r="DK38" s="38">
        <f>IF(OR(DK$2="",$D38=""),"",IF(AND(ISNUMBER($F38),DK$2&gt;=$F38,DK$2&lt;=IF(ISNUMBER($G38),$G38,$F38+$E38-$D38)),2,IF(AND(DK$2&gt;=$D38,DK$2&lt;=$E38),1,"")))</f>
        <v/>
      </c>
      <c r="DL38" s="38">
        <f>IF(OR(DL$2="",$D38=""),"",IF(AND(ISNUMBER($F38),DL$2&gt;=$F38,DL$2&lt;=IF(ISNUMBER($G38),$G38,$F38+$E38-$D38)),2,IF(AND(DL$2&gt;=$D38,DL$2&lt;=$E38),1,"")))</f>
        <v/>
      </c>
      <c r="DM38" s="38">
        <f>IF(OR(DM$2="",$D38=""),"",IF(AND(ISNUMBER($F38),DM$2&gt;=$F38,DM$2&lt;=IF(ISNUMBER($G38),$G38,$F38+$E38-$D38)),2,IF(AND(DM$2&gt;=$D38,DM$2&lt;=$E38),1,"")))</f>
        <v/>
      </c>
      <c r="DN38" s="38">
        <f>IF(OR(DN$2="",$D38=""),"",IF(AND(ISNUMBER($F38),DN$2&gt;=$F38,DN$2&lt;=IF(ISNUMBER($G38),$G38,$F38+$E38-$D38)),2,IF(AND(DN$2&gt;=$D38,DN$2&lt;=$E38),1,"")))</f>
        <v/>
      </c>
      <c r="DO38" s="38">
        <f>IF(OR(DO$2="",$D38=""),"",IF(AND(ISNUMBER($F38),DO$2&gt;=$F38,DO$2&lt;=IF(ISNUMBER($G38),$G38,$F38+$E38-$D38)),2,IF(AND(DO$2&gt;=$D38,DO$2&lt;=$E38),1,"")))</f>
        <v/>
      </c>
      <c r="DP38" s="38">
        <f>IF(OR(DP$2="",$D38=""),"",IF(AND(ISNUMBER($F38),DP$2&gt;=$F38,DP$2&lt;=IF(ISNUMBER($G38),$G38,$F38+$E38-$D38)),2,IF(AND(DP$2&gt;=$D38,DP$2&lt;=$E38),1,"")))</f>
        <v/>
      </c>
      <c r="DQ38" s="38">
        <f>IF(OR(DQ$2="",$D38=""),"",IF(AND(ISNUMBER($F38),DQ$2&gt;=$F38,DQ$2&lt;=IF(ISNUMBER($G38),$G38,$F38+$E38-$D38)),2,IF(AND(DQ$2&gt;=$D38,DQ$2&lt;=$E38),1,"")))</f>
        <v/>
      </c>
      <c r="DR38" s="38">
        <f>IF(OR(DR$2="",$D38=""),"",IF(AND(ISNUMBER($F38),DR$2&gt;=$F38,DR$2&lt;=IF(ISNUMBER($G38),$G38,$F38+$E38-$D38)),2,IF(AND(DR$2&gt;=$D38,DR$2&lt;=$E38),1,"")))</f>
        <v/>
      </c>
      <c r="DS38" s="38">
        <f>IF(OR(DS$2="",$D38=""),"",IF(AND(ISNUMBER($F38),DS$2&gt;=$F38,DS$2&lt;=IF(ISNUMBER($G38),$G38,$F38+$E38-$D38)),2,IF(AND(DS$2&gt;=$D38,DS$2&lt;=$E38),1,"")))</f>
        <v/>
      </c>
      <c r="DT38" s="38">
        <f>IF(OR(DT$2="",$D38=""),"",IF(AND(ISNUMBER($F38),DT$2&gt;=$F38,DT$2&lt;=IF(ISNUMBER($G38),$G38,$F38+$E38-$D38)),2,IF(AND(DT$2&gt;=$D38,DT$2&lt;=$E38),1,"")))</f>
        <v/>
      </c>
      <c r="DU38" s="38">
        <f>IF(OR(DU$2="",$D38=""),"",IF(AND(ISNUMBER($F38),DU$2&gt;=$F38,DU$2&lt;=IF(ISNUMBER($G38),$G38,$F38+$E38-$D38)),2,IF(AND(DU$2&gt;=$D38,DU$2&lt;=$E38),1,"")))</f>
        <v/>
      </c>
      <c r="DV38" s="38">
        <f>IF(OR(DV$2="",$D38=""),"",IF(AND(ISNUMBER($F38),DV$2&gt;=$F38,DV$2&lt;=IF(ISNUMBER($G38),$G38,$F38+$E38-$D38)),2,IF(AND(DV$2&gt;=$D38,DV$2&lt;=$E38),1,"")))</f>
        <v/>
      </c>
      <c r="DW38" s="38">
        <f>IF(OR(DW$2="",$D38=""),"",IF(AND(ISNUMBER($F38),DW$2&gt;=$F38,DW$2&lt;=IF(ISNUMBER($G38),$G38,$F38+$E38-$D38)),2,IF(AND(DW$2&gt;=$D38,DW$2&lt;=$E38),1,"")))</f>
        <v/>
      </c>
      <c r="DX38" s="38">
        <f>IF(OR(DX$2="",$D38=""),"",IF(AND(ISNUMBER($F38),DX$2&gt;=$F38,DX$2&lt;=IF(ISNUMBER($G38),$G38,$F38+$E38-$D38)),2,IF(AND(DX$2&gt;=$D38,DX$2&lt;=$E38),1,"")))</f>
        <v/>
      </c>
      <c r="DY38" s="38">
        <f>IF(OR(DY$2="",$D38=""),"",IF(AND(ISNUMBER($F38),DY$2&gt;=$F38,DY$2&lt;=IF(ISNUMBER($G38),$G38,$F38+$E38-$D38)),2,IF(AND(DY$2&gt;=$D38,DY$2&lt;=$E38),1,"")))</f>
        <v/>
      </c>
      <c r="DZ38" s="38">
        <f>IF(OR(DZ$2="",$D38=""),"",IF(AND(ISNUMBER($F38),DZ$2&gt;=$F38,DZ$2&lt;=IF(ISNUMBER($G38),$G38,$F38+$E38-$D38)),2,IF(AND(DZ$2&gt;=$D38,DZ$2&lt;=$E38),1,"")))</f>
        <v/>
      </c>
      <c r="EA38" s="38">
        <f>IF(OR(EA$2="",$D38=""),"",IF(AND(ISNUMBER($F38),EA$2&gt;=$F38,EA$2&lt;=IF(ISNUMBER($G38),$G38,$F38+$E38-$D38)),2,IF(AND(EA$2&gt;=$D38,EA$2&lt;=$E38),1,"")))</f>
        <v/>
      </c>
      <c r="EB38" s="38">
        <f>IF(OR(EB$2="",$D38=""),"",IF(AND(ISNUMBER($F38),EB$2&gt;=$F38,EB$2&lt;=IF(ISNUMBER($G38),$G38,$F38+$E38-$D38)),2,IF(AND(EB$2&gt;=$D38,EB$2&lt;=$E38),1,"")))</f>
        <v/>
      </c>
      <c r="EC38" s="38">
        <f>IF(OR(EC$2="",$D38=""),"",IF(AND(ISNUMBER($F38),EC$2&gt;=$F38,EC$2&lt;=IF(ISNUMBER($G38),$G38,$F38+$E38-$D38)),2,IF(AND(EC$2&gt;=$D38,EC$2&lt;=$E38),1,"")))</f>
        <v/>
      </c>
      <c r="ED38" s="38">
        <f>IF(OR(ED$2="",$D38=""),"",IF(AND(ISNUMBER($F38),ED$2&gt;=$F38,ED$2&lt;=IF(ISNUMBER($G38),$G38,$F38+$E38-$D38)),2,IF(AND(ED$2&gt;=$D38,ED$2&lt;=$E38),1,"")))</f>
        <v/>
      </c>
      <c r="EE38" s="38">
        <f>IF(OR(EE$2="",$D38=""),"",IF(AND(ISNUMBER($F38),EE$2&gt;=$F38,EE$2&lt;=IF(ISNUMBER($G38),$G38,$F38+$E38-$D38)),2,IF(AND(EE$2&gt;=$D38,EE$2&lt;=$E38),1,"")))</f>
        <v/>
      </c>
      <c r="EF38" s="38">
        <f>IF(OR(EF$2="",$D38=""),"",IF(AND(ISNUMBER($F38),EF$2&gt;=$F38,EF$2&lt;=IF(ISNUMBER($G38),$G38,$F38+$E38-$D38)),2,IF(AND(EF$2&gt;=$D38,EF$2&lt;=$E38),1,"")))</f>
        <v/>
      </c>
      <c r="EG38" s="38">
        <f>IF(OR(EG$2="",$D38=""),"",IF(AND(ISNUMBER($F38),EG$2&gt;=$F38,EG$2&lt;=IF(ISNUMBER($G38),$G38,$F38+$E38-$D38)),2,IF(AND(EG$2&gt;=$D38,EG$2&lt;=$E38),1,"")))</f>
        <v/>
      </c>
      <c r="EH38" s="38">
        <f>IF(OR(EH$2="",$D38=""),"",IF(AND(ISNUMBER($F38),EH$2&gt;=$F38,EH$2&lt;=IF(ISNUMBER($G38),$G38,$F38+$E38-$D38)),2,IF(AND(EH$2&gt;=$D38,EH$2&lt;=$E38),1,"")))</f>
        <v/>
      </c>
      <c r="EI38" s="38">
        <f>IF(OR(EI$2="",$D38=""),"",IF(AND(ISNUMBER($F38),EI$2&gt;=$F38,EI$2&lt;=IF(ISNUMBER($G38),$G38,$F38+$E38-$D38)),2,IF(AND(EI$2&gt;=$D38,EI$2&lt;=$E38),1,"")))</f>
        <v/>
      </c>
      <c r="EJ38" s="38">
        <f>IF(OR(EJ$2="",$D38=""),"",IF(AND(ISNUMBER($F38),EJ$2&gt;=$F38,EJ$2&lt;=IF(ISNUMBER($G38),$G38,$F38+$E38-$D38)),2,IF(AND(EJ$2&gt;=$D38,EJ$2&lt;=$E38),1,"")))</f>
        <v/>
      </c>
      <c r="EK38" s="38">
        <f>IF(OR(EK$2="",$D38=""),"",IF(AND(ISNUMBER($F38),EK$2&gt;=$F38,EK$2&lt;=IF(ISNUMBER($G38),$G38,$F38+$E38-$D38)),2,IF(AND(EK$2&gt;=$D38,EK$2&lt;=$E38),1,"")))</f>
        <v/>
      </c>
      <c r="EL38" s="38">
        <f>IF(OR(EL$2="",$D38=""),"",IF(AND(ISNUMBER($F38),EL$2&gt;=$F38,EL$2&lt;=IF(ISNUMBER($G38),$G38,$F38+$E38-$D38)),2,IF(AND(EL$2&gt;=$D38,EL$2&lt;=$E38),1,"")))</f>
        <v/>
      </c>
      <c r="EM38" s="38">
        <f>IF(OR(EM$2="",$D38=""),"",IF(AND(ISNUMBER($F38),EM$2&gt;=$F38,EM$2&lt;=IF(ISNUMBER($G38),$G38,$F38+$E38-$D38)),2,IF(AND(EM$2&gt;=$D38,EM$2&lt;=$E38),1,"")))</f>
        <v/>
      </c>
      <c r="EN38" s="38">
        <f>IF(OR(EN$2="",$D38=""),"",IF(AND(ISNUMBER($F38),EN$2&gt;=$F38,EN$2&lt;=IF(ISNUMBER($G38),$G38,$F38+$E38-$D38)),2,IF(AND(EN$2&gt;=$D38,EN$2&lt;=$E38),1,"")))</f>
        <v/>
      </c>
      <c r="EO38" s="38">
        <f>IF(OR(EO$2="",$D38=""),"",IF(AND(ISNUMBER($F38),EO$2&gt;=$F38,EO$2&lt;=IF(ISNUMBER($G38),$G38,$F38+$E38-$D38)),2,IF(AND(EO$2&gt;=$D38,EO$2&lt;=$E38),1,"")))</f>
        <v/>
      </c>
      <c r="EP38" s="38">
        <f>IF(OR(EP$2="",$D38=""),"",IF(AND(ISNUMBER($F38),EP$2&gt;=$F38,EP$2&lt;=IF(ISNUMBER($G38),$G38,$F38+$E38-$D38)),2,IF(AND(EP$2&gt;=$D38,EP$2&lt;=$E38),1,"")))</f>
        <v/>
      </c>
      <c r="EQ38" s="38">
        <f>IF(OR(EQ$2="",$D38=""),"",IF(AND(ISNUMBER($F38),EQ$2&gt;=$F38,EQ$2&lt;=IF(ISNUMBER($G38),$G38,$F38+$E38-$D38)),2,IF(AND(EQ$2&gt;=$D38,EQ$2&lt;=$E38),1,"")))</f>
        <v/>
      </c>
      <c r="ER38" s="38">
        <f>IF(OR(ER$2="",$D38=""),"",IF(AND(ISNUMBER($F38),ER$2&gt;=$F38,ER$2&lt;=IF(ISNUMBER($G38),$G38,$F38+$E38-$D38)),2,IF(AND(ER$2&gt;=$D38,ER$2&lt;=$E38),1,"")))</f>
        <v/>
      </c>
      <c r="ES38" s="38">
        <f>IF(OR(ES$2="",$D38=""),"",IF(AND(ISNUMBER($F38),ES$2&gt;=$F38,ES$2&lt;=IF(ISNUMBER($G38),$G38,$F38+$E38-$D38)),2,IF(AND(ES$2&gt;=$D38,ES$2&lt;=$E38),1,"")))</f>
        <v/>
      </c>
      <c r="ET38" s="38">
        <f>IF(OR(ET$2="",$D38=""),"",IF(AND(ISNUMBER($F38),ET$2&gt;=$F38,ET$2&lt;=IF(ISNUMBER($G38),$G38,$F38+$E38-$D38)),2,IF(AND(ET$2&gt;=$D38,ET$2&lt;=$E38),1,"")))</f>
        <v/>
      </c>
      <c r="EU38" s="38">
        <f>IF(OR(EU$2="",$D38=""),"",IF(AND(ISNUMBER($F38),EU$2&gt;=$F38,EU$2&lt;=IF(ISNUMBER($G38),$G38,$F38+$E38-$D38)),2,IF(AND(EU$2&gt;=$D38,EU$2&lt;=$E38),1,"")))</f>
        <v/>
      </c>
      <c r="EV38" s="38">
        <f>IF(OR(EV$2="",$D38=""),"",IF(AND(ISNUMBER($F38),EV$2&gt;=$F38,EV$2&lt;=IF(ISNUMBER($G38),$G38,$F38+$E38-$D38)),2,IF(AND(EV$2&gt;=$D38,EV$2&lt;=$E38),1,"")))</f>
        <v/>
      </c>
      <c r="EW38" s="38">
        <f>IF(OR(EW$2="",$D38=""),"",IF(AND(ISNUMBER($F38),EW$2&gt;=$F38,EW$2&lt;=IF(ISNUMBER($G38),$G38,$F38+$E38-$D38)),2,IF(AND(EW$2&gt;=$D38,EW$2&lt;=$E38),1,"")))</f>
        <v/>
      </c>
      <c r="EX38" s="38">
        <f>IF(OR(EX$2="",$D38=""),"",IF(AND(ISNUMBER($F38),EX$2&gt;=$F38,EX$2&lt;=IF(ISNUMBER($G38),$G38,$F38+$E38-$D38)),2,IF(AND(EX$2&gt;=$D38,EX$2&lt;=$E38),1,"")))</f>
        <v/>
      </c>
      <c r="EY38" s="38">
        <f>IF(OR(EY$2="",$D38=""),"",IF(AND(ISNUMBER($F38),EY$2&gt;=$F38,EY$2&lt;=IF(ISNUMBER($G38),$G38,$F38+$E38-$D38)),2,IF(AND(EY$2&gt;=$D38,EY$2&lt;=$E38),1,"")))</f>
        <v/>
      </c>
      <c r="EZ38" s="38">
        <f>IF(OR(EZ$2="",$D38=""),"",IF(AND(ISNUMBER($F38),EZ$2&gt;=$F38,EZ$2&lt;=IF(ISNUMBER($G38),$G38,$F38+$E38-$D38)),2,IF(AND(EZ$2&gt;=$D38,EZ$2&lt;=$E38),1,"")))</f>
        <v/>
      </c>
      <c r="FA38" s="38">
        <f>IF(OR(FA$2="",$D38=""),"",IF(AND(ISNUMBER($F38),FA$2&gt;=$F38,FA$2&lt;=IF(ISNUMBER($G38),$G38,$F38+$E38-$D38)),2,IF(AND(FA$2&gt;=$D38,FA$2&lt;=$E38),1,"")))</f>
        <v/>
      </c>
      <c r="FB38" s="38">
        <f>IF(OR(FB$2="",$D38=""),"",IF(AND(ISNUMBER($F38),FB$2&gt;=$F38,FB$2&lt;=IF(ISNUMBER($G38),$G38,$F38+$E38-$D38)),2,IF(AND(FB$2&gt;=$D38,FB$2&lt;=$E38),1,"")))</f>
        <v/>
      </c>
      <c r="FC38" s="38">
        <f>IF(OR(FC$2="",$D38=""),"",IF(AND(ISNUMBER($F38),FC$2&gt;=$F38,FC$2&lt;=IF(ISNUMBER($G38),$G38,$F38+$E38-$D38)),2,IF(AND(FC$2&gt;=$D38,FC$2&lt;=$E38),1,"")))</f>
        <v/>
      </c>
      <c r="FD38" s="38">
        <f>IF(OR(FD$2="",$D38=""),"",IF(AND(ISNUMBER($F38),FD$2&gt;=$F38,FD$2&lt;=IF(ISNUMBER($G38),$G38,$F38+$E38-$D38)),2,IF(AND(FD$2&gt;=$D38,FD$2&lt;=$E38),1,"")))</f>
        <v/>
      </c>
      <c r="FE38" s="38">
        <f>IF(OR(FE$2="",$D38=""),"",IF(AND(ISNUMBER($F38),FE$2&gt;=$F38,FE$2&lt;=IF(ISNUMBER($G38),$G38,$F38+$E38-$D38)),2,IF(AND(FE$2&gt;=$D38,FE$2&lt;=$E38),1,"")))</f>
        <v/>
      </c>
      <c r="FF38" s="38">
        <f>IF(OR(FF$2="",$D38=""),"",IF(AND(ISNUMBER($F38),FF$2&gt;=$F38,FF$2&lt;=IF(ISNUMBER($G38),$G38,$F38+$E38-$D38)),2,IF(AND(FF$2&gt;=$D38,FF$2&lt;=$E38),1,"")))</f>
        <v/>
      </c>
      <c r="FG38" s="38">
        <f>IF(OR(FG$2="",$D38=""),"",IF(AND(ISNUMBER($F38),FG$2&gt;=$F38,FG$2&lt;=IF(ISNUMBER($G38),$G38,$F38+$E38-$D38)),2,IF(AND(FG$2&gt;=$D38,FG$2&lt;=$E38),1,"")))</f>
        <v/>
      </c>
      <c r="FH38" s="38">
        <f>IF(OR(FH$2="",$D38=""),"",IF(AND(ISNUMBER($F38),FH$2&gt;=$F38,FH$2&lt;=IF(ISNUMBER($G38),$G38,$F38+$E38-$D38)),2,IF(AND(FH$2&gt;=$D38,FH$2&lt;=$E38),1,"")))</f>
        <v/>
      </c>
      <c r="FI38" s="38">
        <f>IF(OR(FI$2="",$D38=""),"",IF(AND(ISNUMBER($F38),FI$2&gt;=$F38,FI$2&lt;=IF(ISNUMBER($G38),$G38,$F38+$E38-$D38)),2,IF(AND(FI$2&gt;=$D38,FI$2&lt;=$E38),1,"")))</f>
        <v/>
      </c>
      <c r="FJ38" s="38">
        <f>IF(OR(FJ$2="",$D38=""),"",IF(AND(ISNUMBER($F38),FJ$2&gt;=$F38,FJ$2&lt;=IF(ISNUMBER($G38),$G38,$F38+$E38-$D38)),2,IF(AND(FJ$2&gt;=$D38,FJ$2&lt;=$E38),1,"")))</f>
        <v/>
      </c>
      <c r="FK38" s="38">
        <f>IF(OR(FK$2="",$D38=""),"",IF(AND(ISNUMBER($F38),FK$2&gt;=$F38,FK$2&lt;=IF(ISNUMBER($G38),$G38,$F38+$E38-$D38)),2,IF(AND(FK$2&gt;=$D38,FK$2&lt;=$E38),1,"")))</f>
        <v/>
      </c>
      <c r="FL38" s="38">
        <f>IF(OR(FL$2="",$D38=""),"",IF(AND(ISNUMBER($F38),FL$2&gt;=$F38,FL$2&lt;=IF(ISNUMBER($G38),$G38,$F38+$E38-$D38)),2,IF(AND(FL$2&gt;=$D38,FL$2&lt;=$E38),1,"")))</f>
        <v/>
      </c>
      <c r="FM38" s="38">
        <f>IF(OR(FM$2="",$D38=""),"",IF(AND(ISNUMBER($F38),FM$2&gt;=$F38,FM$2&lt;=IF(ISNUMBER($G38),$G38,$F38+$E38-$D38)),2,IF(AND(FM$2&gt;=$D38,FM$2&lt;=$E38),1,"")))</f>
        <v/>
      </c>
      <c r="FN38" s="38">
        <f>IF(OR(FN$2="",$D38=""),"",IF(AND(ISNUMBER($F38),FN$2&gt;=$F38,FN$2&lt;=IF(ISNUMBER($G38),$G38,$F38+$E38-$D38)),2,IF(AND(FN$2&gt;=$D38,FN$2&lt;=$E38),1,"")))</f>
        <v/>
      </c>
      <c r="FO38" s="38">
        <f>IF(OR(FO$2="",$D38=""),"",IF(AND(ISNUMBER($F38),FO$2&gt;=$F38,FO$2&lt;=IF(ISNUMBER($G38),$G38,$F38+$E38-$D38)),2,IF(AND(FO$2&gt;=$D38,FO$2&lt;=$E38),1,"")))</f>
        <v/>
      </c>
      <c r="FP38" s="38">
        <f>IF(OR(FP$2="",$D38=""),"",IF(AND(ISNUMBER($F38),FP$2&gt;=$F38,FP$2&lt;=IF(ISNUMBER($G38),$G38,$F38+$E38-$D38)),2,IF(AND(FP$2&gt;=$D38,FP$2&lt;=$E38),1,"")))</f>
        <v/>
      </c>
      <c r="FQ38" s="38">
        <f>IF(OR(FQ$2="",$D38=""),"",IF(AND(ISNUMBER($F38),FQ$2&gt;=$F38,FQ$2&lt;=IF(ISNUMBER($G38),$G38,$F38+$E38-$D38)),2,IF(AND(FQ$2&gt;=$D38,FQ$2&lt;=$E38),1,"")))</f>
        <v/>
      </c>
      <c r="FR38" s="38">
        <f>IF(OR(FR$2="",$D38=""),"",IF(AND(ISNUMBER($F38),FR$2&gt;=$F38,FR$2&lt;=IF(ISNUMBER($G38),$G38,$F38+$E38-$D38)),2,IF(AND(FR$2&gt;=$D38,FR$2&lt;=$E38),1,"")))</f>
        <v/>
      </c>
      <c r="FS38" s="38">
        <f>IF(OR(FS$2="",$D38=""),"",IF(AND(ISNUMBER($F38),FS$2&gt;=$F38,FS$2&lt;=IF(ISNUMBER($G38),$G38,$F38+$E38-$D38)),2,IF(AND(FS$2&gt;=$D38,FS$2&lt;=$E38),1,"")))</f>
        <v/>
      </c>
      <c r="FT38" s="38">
        <f>IF(OR(FT$2="",$D38=""),"",IF(AND(ISNUMBER($F38),FT$2&gt;=$F38,FT$2&lt;=IF(ISNUMBER($G38),$G38,$F38+$E38-$D38)),2,IF(AND(FT$2&gt;=$D38,FT$2&lt;=$E38),1,"")))</f>
        <v/>
      </c>
      <c r="FU38" s="38">
        <f>IF(OR(FU$2="",$D38=""),"",IF(AND(ISNUMBER($F38),FU$2&gt;=$F38,FU$2&lt;=IF(ISNUMBER($G38),$G38,$F38+$E38-$D38)),2,IF(AND(FU$2&gt;=$D38,FU$2&lt;=$E38),1,"")))</f>
        <v/>
      </c>
      <c r="FV38" s="38">
        <f>IF(OR(FV$2="",$D38=""),"",IF(AND(ISNUMBER($F38),FV$2&gt;=$F38,FV$2&lt;=IF(ISNUMBER($G38),$G38,$F38+$E38-$D38)),2,IF(AND(FV$2&gt;=$D38,FV$2&lt;=$E38),1,"")))</f>
        <v/>
      </c>
      <c r="FW38" s="38">
        <f>IF(OR(FW$2="",$D38=""),"",IF(AND(ISNUMBER($F38),FW$2&gt;=$F38,FW$2&lt;=IF(ISNUMBER($G38),$G38,$F38+$E38-$D38)),2,IF(AND(FW$2&gt;=$D38,FW$2&lt;=$E38),1,"")))</f>
        <v/>
      </c>
      <c r="FX38" s="38">
        <f>IF(OR(FX$2="",$D38=""),"",IF(AND(ISNUMBER($F38),FX$2&gt;=$F38,FX$2&lt;=IF(ISNUMBER($G38),$G38,$F38+$E38-$D38)),2,IF(AND(FX$2&gt;=$D38,FX$2&lt;=$E38),1,"")))</f>
        <v/>
      </c>
      <c r="FY38" s="38">
        <f>IF(OR(FY$2="",$D38=""),"",IF(AND(ISNUMBER($F38),FY$2&gt;=$F38,FY$2&lt;=IF(ISNUMBER($G38),$G38,$F38+$E38-$D38)),2,IF(AND(FY$2&gt;=$D38,FY$2&lt;=$E38),1,"")))</f>
        <v/>
      </c>
      <c r="FZ38" s="38">
        <f>IF(OR(FZ$2="",$D38=""),"",IF(AND(ISNUMBER($F38),FZ$2&gt;=$F38,FZ$2&lt;=IF(ISNUMBER($G38),$G38,$F38+$E38-$D38)),2,IF(AND(FZ$2&gt;=$D38,FZ$2&lt;=$E38),1,"")))</f>
        <v/>
      </c>
      <c r="GA38" s="38">
        <f>IF(OR(GA$2="",$D38=""),"",IF(AND(ISNUMBER($F38),GA$2&gt;=$F38,GA$2&lt;=IF(ISNUMBER($G38),$G38,$F38+$E38-$D38)),2,IF(AND(GA$2&gt;=$D38,GA$2&lt;=$E38),1,"")))</f>
        <v/>
      </c>
      <c r="GB38" s="38">
        <f>IF(OR(GB$2="",$D38=""),"",IF(AND(ISNUMBER($F38),GB$2&gt;=$F38,GB$2&lt;=IF(ISNUMBER($G38),$G38,$F38+$E38-$D38)),2,IF(AND(GB$2&gt;=$D38,GB$2&lt;=$E38),1,"")))</f>
        <v/>
      </c>
      <c r="GC38" s="38">
        <f>IF(OR(GC$2="",$D38=""),"",IF(AND(ISNUMBER($F38),GC$2&gt;=$F38,GC$2&lt;=IF(ISNUMBER($G38),$G38,$F38+$E38-$D38)),2,IF(AND(GC$2&gt;=$D38,GC$2&lt;=$E38),1,"")))</f>
        <v/>
      </c>
      <c r="GD38" s="38">
        <f>IF(OR(GD$2="",$D38=""),"",IF(AND(ISNUMBER($F38),GD$2&gt;=$F38,GD$2&lt;=IF(ISNUMBER($G38),$G38,$F38+$E38-$D38)),2,IF(AND(GD$2&gt;=$D38,GD$2&lt;=$E38),1,"")))</f>
        <v/>
      </c>
      <c r="GE38" s="38">
        <f>IF(OR(GE$2="",$D38=""),"",IF(AND(ISNUMBER($F38),GE$2&gt;=$F38,GE$2&lt;=IF(ISNUMBER($G38),$G38,$F38+$E38-$D38)),2,IF(AND(GE$2&gt;=$D38,GE$2&lt;=$E38),1,"")))</f>
        <v/>
      </c>
    </row>
    <row r="40">
      <c r="A40" s="14" t="inlineStr">
        <is>
          <t>Yellow = planned (calculated). Green = actual. Red line = today. Enter "Actual start" (and "Actual end" for periods) when the work is done. Seed wetting, plowing and puddling: enter the planned date yourself.</t>
        </is>
      </c>
    </row>
  </sheetData>
  <conditionalFormatting sqref="M5:GE38">
    <cfRule type="expression" priority="1" dxfId="7">
      <formula>M5=2</formula>
    </cfRule>
    <cfRule type="expression" priority="2" dxfId="8">
      <formula>M5=1</formula>
    </cfRule>
  </conditionalFormatting>
  <conditionalFormatting sqref="M2:GE38">
    <cfRule type="expression" priority="3" dxfId="9">
      <formula>M$2=TODAY()</formula>
    </cfRule>
  </conditionalFormatting>
  <conditionalFormatting sqref="H5:H38">
    <cfRule type="expression" priority="4" dxfId="2">
      <formula>OR(H5="LATE",H5="OVERDUE")</formula>
    </cfRule>
    <cfRule type="expression" priority="5" dxfId="1">
      <formula>H5="OK"</formula>
    </cfRule>
  </conditionalFormatting>
  <dataValidations count="1">
    <dataValidation sqref="D5:G38" showDropDown="0" showInputMessage="0" showErrorMessage="1" allowBlank="0" error="Enter a date.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Setup / সেটআপ</t>
        </is>
      </c>
    </row>
    <row r="3">
      <c r="A3" s="2" t="inlineStr">
        <is>
          <t>Site name * / সাইটের নাম</t>
        </is>
      </c>
      <c r="B3" s="22" t="n"/>
    </row>
    <row r="4">
      <c r="A4" s="2" t="inlineStr">
        <is>
          <t>Place (district / upazila) * / স্থান</t>
        </is>
      </c>
      <c r="B4" s="22" t="n"/>
    </row>
    <row r="5">
      <c r="A5" s="2" t="inlineStr">
        <is>
          <t>Latitude</t>
        </is>
      </c>
      <c r="B5" s="22" t="n"/>
    </row>
    <row r="6">
      <c r="A6" s="2" t="inlineStr">
        <is>
          <t>Longitude</t>
        </is>
      </c>
      <c r="B6" s="22" t="n"/>
    </row>
    <row r="7">
      <c r="A7" s="2" t="inlineStr">
        <is>
          <t>Variety / জাত</t>
        </is>
      </c>
      <c r="B7" s="22" t="n"/>
    </row>
    <row r="8">
      <c r="A8" s="2" t="inlineStr">
        <is>
          <t>Sowing date * / বপনের তারিখ</t>
        </is>
      </c>
      <c r="B8" s="37" t="n"/>
    </row>
    <row r="9">
      <c r="A9" s="2" t="inlineStr">
        <is>
          <t>Seedling age at transplanting (days) * / চারার বয়স</t>
        </is>
      </c>
      <c r="B9" s="22" t="n"/>
    </row>
    <row r="10">
      <c r="A10" s="2" t="inlineStr">
        <is>
          <t>Transplanting date (calculated) / রোপণের তারিখ</t>
        </is>
      </c>
      <c r="B10" s="7">
        <f>IF(AND(ISNUMBER(B8),ISNUMBER(B9)),B8+B9,"")</f>
        <v/>
      </c>
    </row>
    <row r="11">
      <c r="A11" s="2" t="inlineStr">
        <is>
          <t>Date for the scheduling app (sowing + age - 35)</t>
        </is>
      </c>
      <c r="B11" s="7">
        <f>IF(B10="","",B10-35)</f>
        <v/>
      </c>
    </row>
    <row r="12">
      <c r="A12" s="39" t="inlineStr">
        <is>
          <t>First date of Data_Farmer (leave empty = transplanting date). Do not change it after data entry has started.</t>
        </is>
      </c>
      <c r="B12" s="37" t="n"/>
    </row>
    <row r="13">
      <c r="A13" s="2" t="inlineStr">
        <is>
          <t>Data start (used)</t>
        </is>
      </c>
      <c r="B13" s="7">
        <f>IF(ISNUMBER(B12),B12,B10)</f>
        <v/>
      </c>
    </row>
    <row r="15">
      <c r="A15" s="5" t="inlineStr">
        <is>
          <t>Plot / প্লট</t>
        </is>
      </c>
      <c r="B15" s="5" t="inlineStr">
        <is>
          <t>Plot ID</t>
        </is>
      </c>
      <c r="C15" s="5" t="inlineStr">
        <is>
          <t>Area (decimal)</t>
        </is>
      </c>
      <c r="D15" s="5" t="inlineStr">
        <is>
          <t>TP (cm) *</t>
        </is>
      </c>
      <c r="E15" s="5" t="inlineStr">
        <is>
          <t>b (cm) *</t>
        </is>
      </c>
      <c r="F15" s="5" t="inlineStr">
        <is>
          <t>Area (m2, calc)</t>
        </is>
      </c>
    </row>
    <row r="16">
      <c r="A16" s="36" t="inlineStr">
        <is>
          <t>FP</t>
        </is>
      </c>
      <c r="B16" s="22" t="inlineStr">
        <is>
          <t>FP-1</t>
        </is>
      </c>
      <c r="C16" s="22" t="n"/>
      <c r="D16" s="22" t="n"/>
      <c r="E16" s="22" t="n"/>
      <c r="F16" s="40">
        <f>IF(ISNUMBER(C16),C16*40.4686,"")</f>
        <v/>
      </c>
    </row>
    <row r="17">
      <c r="A17" s="36" t="inlineStr">
        <is>
          <t>3F4D+MD</t>
        </is>
      </c>
      <c r="B17" s="22" t="inlineStr">
        <is>
          <t>MD-1</t>
        </is>
      </c>
      <c r="C17" s="22" t="n"/>
      <c r="D17" s="22" t="n"/>
      <c r="E17" s="22" t="n"/>
      <c r="F17" s="40">
        <f>IF(ISNUMBER(C17),C17*40.4686,"")</f>
        <v/>
      </c>
    </row>
    <row r="18">
      <c r="A18" s="2" t="inlineStr">
        <is>
          <t>Date TP and b were measured / TP ও b মাপার তারিখ</t>
        </is>
      </c>
      <c r="B18" s="37" t="n"/>
    </row>
    <row r="19">
      <c r="A19" s="41" t="inlineStr">
        <is>
          <t>Water level (cm) = m - TP + b. Negative = water below the soil surface. 1 decimal = 40.4686 m2.</t>
        </is>
      </c>
    </row>
    <row r="21">
      <c r="A21" s="10" t="inlineStr">
        <is>
          <t>Schedule settings (days) - same rules as the 3F4D+MD scheduling app (Professional mode)</t>
        </is>
      </c>
    </row>
    <row r="22">
      <c r="A22" s="2" t="inlineStr">
        <is>
          <t>Days from sowing to transplanting (app)</t>
        </is>
      </c>
      <c r="B22" s="22" t="n">
        <v>35</v>
      </c>
    </row>
    <row r="23">
      <c r="A23" s="2" t="inlineStr">
        <is>
          <t>Pitan start: days after transplanting</t>
        </is>
      </c>
      <c r="B23" s="22" t="n">
        <v>30</v>
      </c>
    </row>
    <row r="24">
      <c r="A24" s="2" t="inlineStr">
        <is>
          <t>Pitan duration (days)</t>
        </is>
      </c>
      <c r="B24" s="22" t="n">
        <v>3</v>
      </c>
    </row>
    <row r="25">
      <c r="A25" s="2" t="inlineStr">
        <is>
          <t>MD start: days after sowing (app)</t>
        </is>
      </c>
      <c r="B25" s="22" t="n">
        <v>66</v>
      </c>
    </row>
    <row r="26">
      <c r="A26" s="2" t="inlineStr">
        <is>
          <t>MD duration (days)</t>
        </is>
      </c>
      <c r="B26" s="22" t="n">
        <v>8</v>
      </c>
    </row>
    <row r="27">
      <c r="A27" s="2" t="inlineStr">
        <is>
          <t>PI check: days after MD start</t>
        </is>
      </c>
      <c r="B27" s="22" t="n">
        <v>6</v>
      </c>
    </row>
    <row r="28">
      <c r="A28" s="2" t="inlineStr">
        <is>
          <t>Heading: days after sowing (app)</t>
        </is>
      </c>
      <c r="B28" s="22" t="n">
        <v>111</v>
      </c>
    </row>
    <row r="29">
      <c r="A29" s="2" t="inlineStr">
        <is>
          <t>Flooding before heading (days)</t>
        </is>
      </c>
      <c r="B29" s="22" t="n">
        <v>25</v>
      </c>
    </row>
    <row r="30">
      <c r="A30" s="2" t="inlineStr">
        <is>
          <t>3F4D start before heading (days)</t>
        </is>
      </c>
      <c r="B30" s="22" t="n">
        <v>21</v>
      </c>
    </row>
    <row r="31">
      <c r="A31" s="2" t="inlineStr">
        <is>
          <t>Harvest: days after heading</t>
        </is>
      </c>
      <c r="B31" s="22" t="n">
        <v>28</v>
      </c>
    </row>
    <row r="32">
      <c r="A32" s="2" t="inlineStr">
        <is>
          <t>FP: Pitan duration (days)</t>
        </is>
      </c>
      <c r="B32" s="22" t="n">
        <v>8</v>
      </c>
    </row>
    <row r="33">
      <c r="A33" s="2" t="inlineStr">
        <is>
          <t>FP: last irrigation, days before harvest</t>
        </is>
      </c>
      <c r="B33" s="22" t="n">
        <v>15</v>
      </c>
    </row>
    <row r="34">
      <c r="A34" s="2" t="inlineStr">
        <is>
          <t>Last irrigation before Pitan / MD start (days)</t>
        </is>
      </c>
      <c r="B34" s="22" t="n">
        <v>4</v>
      </c>
    </row>
    <row r="35">
      <c r="A35" s="2" t="inlineStr">
        <is>
          <t>3F4D cycle length (days; 8 if one day was lost)</t>
        </is>
      </c>
      <c r="B35" s="22" t="n">
        <v>7</v>
      </c>
    </row>
  </sheetData>
  <conditionalFormatting sqref="B3">
    <cfRule type="expression" priority="1" dxfId="3">
      <formula>ISBLANK($B$3)</formula>
    </cfRule>
  </conditionalFormatting>
  <conditionalFormatting sqref="B4">
    <cfRule type="expression" priority="2" dxfId="3">
      <formula>ISBLANK($B$4)</formula>
    </cfRule>
  </conditionalFormatting>
  <conditionalFormatting sqref="B8">
    <cfRule type="expression" priority="3" dxfId="3">
      <formula>ISBLANK($B$8)</formula>
    </cfRule>
  </conditionalFormatting>
  <conditionalFormatting sqref="B9">
    <cfRule type="expression" priority="4" dxfId="3">
      <formula>ISBLANK($B$9)</formula>
    </cfRule>
  </conditionalFormatting>
  <conditionalFormatting sqref="D16:E17">
    <cfRule type="expression" priority="5" dxfId="3">
      <formula>ISBLANK(D16)</formula>
    </cfRule>
  </conditionalFormatting>
  <dataValidations count="1">
    <dataValidation sqref="B8 B12 B18" showDropDown="0" showInputMessage="0" showErrorMessage="1" allowBlank="0" error="Enter a date." type="date" operator="greaterThan">
      <formula1>36526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hidden="1" width="5" customWidth="1" min="5" max="5"/>
    <col width="34" customWidth="1" min="6" max="6"/>
  </cols>
  <sheetData>
    <row r="1">
      <c r="A1" s="8" t="inlineStr">
        <is>
          <t>TP and b re-measurement / TP ও b পুনরায় মাপা</t>
        </is>
      </c>
    </row>
    <row r="2">
      <c r="A2" s="5" t="inlineStr">
        <is>
          <t>Plot</t>
        </is>
      </c>
      <c r="B2" s="5" t="inlineStr">
        <is>
          <t>Date</t>
        </is>
      </c>
      <c r="C2" s="5" t="inlineStr">
        <is>
          <t>TP (cm)</t>
        </is>
      </c>
      <c r="D2" s="5" t="inlineStr">
        <is>
          <t>b (cm)</t>
        </is>
      </c>
      <c r="E2" s="5" t="inlineStr">
        <is>
          <t>ok</t>
        </is>
      </c>
      <c r="F2" s="5" t="inlineStr">
        <is>
          <t>Note</t>
        </is>
      </c>
    </row>
    <row r="3">
      <c r="A3" s="6" t="inlineStr">
        <is>
          <t>FP</t>
        </is>
      </c>
      <c r="B3" s="7">
        <f>IF(ISNUMBER(TPDate),TPDate,IF(ISNUMBER(TransDate),TransDate,DATE(1900,1,1)))</f>
        <v/>
      </c>
      <c r="C3" s="6">
        <f>IF(ISNUMBER(FP_TP),FP_TP,"")</f>
        <v/>
      </c>
      <c r="D3" s="6">
        <f>IF(ISNUMBER(FP_b),FP_b,"")</f>
        <v/>
      </c>
      <c r="E3" s="6">
        <f>IF(AND(OR(A3="FP",A3="3F4D+MD"),ISNUMBER(B3),ISNUMBER(C3),ISNUMBER(D3)),1,0)</f>
        <v/>
      </c>
      <c r="F3" s="6" t="inlineStr">
        <is>
          <t>initial value (from Setup)</t>
        </is>
      </c>
    </row>
    <row r="4">
      <c r="A4" s="6" t="inlineStr">
        <is>
          <t>3F4D+MD</t>
        </is>
      </c>
      <c r="B4" s="7">
        <f>IF(ISNUMBER(TPDate),TPDate,IF(ISNUMBER(TransDate),TransDate,DATE(1900,1,1)))</f>
        <v/>
      </c>
      <c r="C4" s="6">
        <f>IF(ISNUMBER(MD_TP),MD_TP,"")</f>
        <v/>
      </c>
      <c r="D4" s="6">
        <f>IF(ISNUMBER(MD_b),MD_b,"")</f>
        <v/>
      </c>
      <c r="E4" s="6">
        <f>IF(AND(OR(A4="FP",A4="3F4D+MD"),ISNUMBER(B4),ISNUMBER(C4),ISNUMBER(D4)),1,0)</f>
        <v/>
      </c>
      <c r="F4" s="6" t="inlineStr">
        <is>
          <t>initial value (from Setup)</t>
        </is>
      </c>
    </row>
    <row r="5">
      <c r="A5" s="22" t="n"/>
      <c r="B5" s="37" t="n"/>
      <c r="C5" s="22" t="n"/>
      <c r="D5" s="22" t="n"/>
      <c r="E5" s="6">
        <f>IF(AND(OR(A5="FP",A5="3F4D+MD"),ISNUMBER(B5),ISNUMBER(C5),ISNUMBER(D5)),1,0)</f>
        <v/>
      </c>
      <c r="F5" s="22" t="n"/>
    </row>
    <row r="6">
      <c r="A6" s="22" t="n"/>
      <c r="B6" s="37" t="n"/>
      <c r="C6" s="22" t="n"/>
      <c r="D6" s="22" t="n"/>
      <c r="E6" s="6">
        <f>IF(AND(OR(A6="FP",A6="3F4D+MD"),ISNUMBER(B6),ISNUMBER(C6),ISNUMBER(D6)),1,0)</f>
        <v/>
      </c>
      <c r="F6" s="22" t="n"/>
    </row>
    <row r="7">
      <c r="A7" s="22" t="n"/>
      <c r="B7" s="37" t="n"/>
      <c r="C7" s="22" t="n"/>
      <c r="D7" s="22" t="n"/>
      <c r="E7" s="6">
        <f>IF(AND(OR(A7="FP",A7="3F4D+MD"),ISNUMBER(B7),ISNUMBER(C7),ISNUMBER(D7)),1,0)</f>
        <v/>
      </c>
      <c r="F7" s="22" t="n"/>
    </row>
    <row r="8">
      <c r="A8" s="22" t="n"/>
      <c r="B8" s="37" t="n"/>
      <c r="C8" s="22" t="n"/>
      <c r="D8" s="22" t="n"/>
      <c r="E8" s="6">
        <f>IF(AND(OR(A8="FP",A8="3F4D+MD"),ISNUMBER(B8),ISNUMBER(C8),ISNUMBER(D8)),1,0)</f>
        <v/>
      </c>
      <c r="F8" s="22" t="n"/>
    </row>
    <row r="9">
      <c r="A9" s="22" t="n"/>
      <c r="B9" s="37" t="n"/>
      <c r="C9" s="22" t="n"/>
      <c r="D9" s="22" t="n"/>
      <c r="E9" s="6">
        <f>IF(AND(OR(A9="FP",A9="3F4D+MD"),ISNUMBER(B9),ISNUMBER(C9),ISNUMBER(D9)),1,0)</f>
        <v/>
      </c>
      <c r="F9" s="22" t="n"/>
    </row>
    <row r="10">
      <c r="A10" s="22" t="n"/>
      <c r="B10" s="37" t="n"/>
      <c r="C10" s="22" t="n"/>
      <c r="D10" s="22" t="n"/>
      <c r="E10" s="6">
        <f>IF(AND(OR(A10="FP",A10="3F4D+MD"),ISNUMBER(B10),ISNUMBER(C10),ISNUMBER(D10)),1,0)</f>
        <v/>
      </c>
      <c r="F10" s="22" t="n"/>
    </row>
    <row r="11">
      <c r="A11" s="22" t="n"/>
      <c r="B11" s="37" t="n"/>
      <c r="C11" s="22" t="n"/>
      <c r="D11" s="22" t="n"/>
      <c r="E11" s="6">
        <f>IF(AND(OR(A11="FP",A11="3F4D+MD"),ISNUMBER(B11),ISNUMBER(C11),ISNUMBER(D11)),1,0)</f>
        <v/>
      </c>
      <c r="F11" s="22" t="n"/>
    </row>
    <row r="12">
      <c r="A12" s="22" t="n"/>
      <c r="B12" s="37" t="n"/>
      <c r="C12" s="22" t="n"/>
      <c r="D12" s="22" t="n"/>
      <c r="E12" s="6">
        <f>IF(AND(OR(A12="FP",A12="3F4D+MD"),ISNUMBER(B12),ISNUMBER(C12),ISNUMBER(D12)),1,0)</f>
        <v/>
      </c>
      <c r="F12" s="22" t="n"/>
    </row>
    <row r="13">
      <c r="A13" s="22" t="n"/>
      <c r="B13" s="37" t="n"/>
      <c r="C13" s="22" t="n"/>
      <c r="D13" s="22" t="n"/>
      <c r="E13" s="6">
        <f>IF(AND(OR(A13="FP",A13="3F4D+MD"),ISNUMBER(B13),ISNUMBER(C13),ISNUMBER(D13)),1,0)</f>
        <v/>
      </c>
      <c r="F13" s="22" t="n"/>
    </row>
    <row r="14">
      <c r="A14" s="22" t="n"/>
      <c r="B14" s="37" t="n"/>
      <c r="C14" s="22" t="n"/>
      <c r="D14" s="22" t="n"/>
      <c r="E14" s="6">
        <f>IF(AND(OR(A14="FP",A14="3F4D+MD"),ISNUMBER(B14),ISNUMBER(C14),ISNUMBER(D14)),1,0)</f>
        <v/>
      </c>
      <c r="F14" s="22" t="n"/>
    </row>
    <row r="15">
      <c r="A15" s="22" t="n"/>
      <c r="B15" s="37" t="n"/>
      <c r="C15" s="22" t="n"/>
      <c r="D15" s="22" t="n"/>
      <c r="E15" s="6">
        <f>IF(AND(OR(A15="FP",A15="3F4D+MD"),ISNUMBER(B15),ISNUMBER(C15),ISNUMBER(D15)),1,0)</f>
        <v/>
      </c>
      <c r="F15" s="22" t="n"/>
    </row>
    <row r="16">
      <c r="A16" s="22" t="n"/>
      <c r="B16" s="37" t="n"/>
      <c r="C16" s="22" t="n"/>
      <c r="D16" s="22" t="n"/>
      <c r="E16" s="6">
        <f>IF(AND(OR(A16="FP",A16="3F4D+MD"),ISNUMBER(B16),ISNUMBER(C16),ISNUMBER(D16)),1,0)</f>
        <v/>
      </c>
      <c r="F16" s="22" t="n"/>
    </row>
    <row r="17">
      <c r="A17" s="22" t="n"/>
      <c r="B17" s="37" t="n"/>
      <c r="C17" s="22" t="n"/>
      <c r="D17" s="22" t="n"/>
      <c r="E17" s="6">
        <f>IF(AND(OR(A17="FP",A17="3F4D+MD"),ISNUMBER(B17),ISNUMBER(C17),ISNUMBER(D17)),1,0)</f>
        <v/>
      </c>
      <c r="F17" s="22" t="n"/>
    </row>
    <row r="18">
      <c r="A18" s="22" t="n"/>
      <c r="B18" s="37" t="n"/>
      <c r="C18" s="22" t="n"/>
      <c r="D18" s="22" t="n"/>
      <c r="E18" s="6">
        <f>IF(AND(OR(A18="FP",A18="3F4D+MD"),ISNUMBER(B18),ISNUMBER(C18),ISNUMBER(D18)),1,0)</f>
        <v/>
      </c>
      <c r="F18" s="22" t="n"/>
    </row>
    <row r="19">
      <c r="A19" s="22" t="n"/>
      <c r="B19" s="37" t="n"/>
      <c r="C19" s="22" t="n"/>
      <c r="D19" s="22" t="n"/>
      <c r="E19" s="6">
        <f>IF(AND(OR(A19="FP",A19="3F4D+MD"),ISNUMBER(B19),ISNUMBER(C19),ISNUMBER(D19)),1,0)</f>
        <v/>
      </c>
      <c r="F19" s="22" t="n"/>
    </row>
    <row r="20">
      <c r="A20" s="22" t="n"/>
      <c r="B20" s="37" t="n"/>
      <c r="C20" s="22" t="n"/>
      <c r="D20" s="22" t="n"/>
      <c r="E20" s="6">
        <f>IF(AND(OR(A20="FP",A20="3F4D+MD"),ISNUMBER(B20),ISNUMBER(C20),ISNUMBER(D20)),1,0)</f>
        <v/>
      </c>
      <c r="F20" s="22" t="n"/>
    </row>
    <row r="21">
      <c r="A21" s="22" t="n"/>
      <c r="B21" s="37" t="n"/>
      <c r="C21" s="22" t="n"/>
      <c r="D21" s="22" t="n"/>
      <c r="E21" s="6">
        <f>IF(AND(OR(A21="FP",A21="3F4D+MD"),ISNUMBER(B21),ISNUMBER(C21),ISNUMBER(D21)),1,0)</f>
        <v/>
      </c>
      <c r="F21" s="22" t="n"/>
    </row>
    <row r="22">
      <c r="A22" s="22" t="n"/>
      <c r="B22" s="37" t="n"/>
      <c r="C22" s="22" t="n"/>
      <c r="D22" s="22" t="n"/>
      <c r="E22" s="6">
        <f>IF(AND(OR(A22="FP",A22="3F4D+MD"),ISNUMBER(B22),ISNUMBER(C22),ISNUMBER(D22)),1,0)</f>
        <v/>
      </c>
      <c r="F22" s="22" t="n"/>
    </row>
    <row r="23">
      <c r="A23" s="22" t="n"/>
      <c r="B23" s="37" t="n"/>
      <c r="C23" s="22" t="n"/>
      <c r="D23" s="22" t="n"/>
      <c r="E23" s="6">
        <f>IF(AND(OR(A23="FP",A23="3F4D+MD"),ISNUMBER(B23),ISNUMBER(C23),ISNUMBER(D23)),1,0)</f>
        <v/>
      </c>
      <c r="F23" s="22" t="n"/>
    </row>
    <row r="24">
      <c r="A24" s="22" t="n"/>
      <c r="B24" s="37" t="n"/>
      <c r="C24" s="22" t="n"/>
      <c r="D24" s="22" t="n"/>
      <c r="E24" s="6">
        <f>IF(AND(OR(A24="FP",A24="3F4D+MD"),ISNUMBER(B24),ISNUMBER(C24),ISNUMBER(D24)),1,0)</f>
        <v/>
      </c>
      <c r="F24" s="22" t="n"/>
    </row>
    <row r="25">
      <c r="A25" s="22" t="n"/>
      <c r="B25" s="37" t="n"/>
      <c r="C25" s="22" t="n"/>
      <c r="D25" s="22" t="n"/>
      <c r="E25" s="6">
        <f>IF(AND(OR(A25="FP",A25="3F4D+MD"),ISNUMBER(B25),ISNUMBER(C25),ISNUMBER(D25)),1,0)</f>
        <v/>
      </c>
      <c r="F25" s="22" t="n"/>
    </row>
    <row r="26">
      <c r="A26" s="22" t="n"/>
      <c r="B26" s="37" t="n"/>
      <c r="C26" s="22" t="n"/>
      <c r="D26" s="22" t="n"/>
      <c r="E26" s="6">
        <f>IF(AND(OR(A26="FP",A26="3F4D+MD"),ISNUMBER(B26),ISNUMBER(C26),ISNUMBER(D26)),1,0)</f>
        <v/>
      </c>
      <c r="F26" s="22" t="n"/>
    </row>
    <row r="27">
      <c r="A27" s="22" t="n"/>
      <c r="B27" s="37" t="n"/>
      <c r="C27" s="22" t="n"/>
      <c r="D27" s="22" t="n"/>
      <c r="E27" s="6">
        <f>IF(AND(OR(A27="FP",A27="3F4D+MD"),ISNUMBER(B27),ISNUMBER(C27),ISNUMBER(D27)),1,0)</f>
        <v/>
      </c>
      <c r="F27" s="22" t="n"/>
    </row>
    <row r="28">
      <c r="A28" s="22" t="n"/>
      <c r="B28" s="37" t="n"/>
      <c r="C28" s="22" t="n"/>
      <c r="D28" s="22" t="n"/>
      <c r="E28" s="6">
        <f>IF(AND(OR(A28="FP",A28="3F4D+MD"),ISNUMBER(B28),ISNUMBER(C28),ISNUMBER(D28)),1,0)</f>
        <v/>
      </c>
      <c r="F28" s="22" t="n"/>
    </row>
    <row r="29">
      <c r="A29" s="22" t="n"/>
      <c r="B29" s="37" t="n"/>
      <c r="C29" s="22" t="n"/>
      <c r="D29" s="22" t="n"/>
      <c r="E29" s="6">
        <f>IF(AND(OR(A29="FP",A29="3F4D+MD"),ISNUMBER(B29),ISNUMBER(C29),ISNUMBER(D29)),1,0)</f>
        <v/>
      </c>
      <c r="F29" s="22" t="n"/>
    </row>
    <row r="30">
      <c r="A30" s="22" t="n"/>
      <c r="B30" s="37" t="n"/>
      <c r="C30" s="22" t="n"/>
      <c r="D30" s="22" t="n"/>
      <c r="E30" s="6">
        <f>IF(AND(OR(A30="FP",A30="3F4D+MD"),ISNUMBER(B30),ISNUMBER(C30),ISNUMBER(D30)),1,0)</f>
        <v/>
      </c>
      <c r="F30" s="22" t="n"/>
    </row>
    <row r="31">
      <c r="A31" s="22" t="n"/>
      <c r="B31" s="37" t="n"/>
      <c r="C31" s="22" t="n"/>
      <c r="D31" s="22" t="n"/>
      <c r="E31" s="6">
        <f>IF(AND(OR(A31="FP",A31="3F4D+MD"),ISNUMBER(B31),ISNUMBER(C31),ISNUMBER(D31)),1,0)</f>
        <v/>
      </c>
      <c r="F31" s="22" t="n"/>
    </row>
    <row r="32">
      <c r="A32" s="22" t="n"/>
      <c r="B32" s="37" t="n"/>
      <c r="C32" s="22" t="n"/>
      <c r="D32" s="22" t="n"/>
      <c r="E32" s="6">
        <f>IF(AND(OR(A32="FP",A32="3F4D+MD"),ISNUMBER(B32),ISNUMBER(C32),ISNUMBER(D32)),1,0)</f>
        <v/>
      </c>
      <c r="F32" s="22" t="n"/>
    </row>
    <row r="33">
      <c r="A33" s="22" t="n"/>
      <c r="B33" s="37" t="n"/>
      <c r="C33" s="22" t="n"/>
      <c r="D33" s="22" t="n"/>
      <c r="E33" s="6">
        <f>IF(AND(OR(A33="FP",A33="3F4D+MD"),ISNUMBER(B33),ISNUMBER(C33),ISNUMBER(D33)),1,0)</f>
        <v/>
      </c>
      <c r="F33" s="22" t="n"/>
    </row>
    <row r="34">
      <c r="A34" s="22" t="n"/>
      <c r="B34" s="37" t="n"/>
      <c r="C34" s="22" t="n"/>
      <c r="D34" s="22" t="n"/>
      <c r="E34" s="6">
        <f>IF(AND(OR(A34="FP",A34="3F4D+MD"),ISNUMBER(B34),ISNUMBER(C34),ISNUMBER(D34)),1,0)</f>
        <v/>
      </c>
      <c r="F34" s="22" t="n"/>
    </row>
    <row r="35">
      <c r="A35" s="22" t="n"/>
      <c r="B35" s="37" t="n"/>
      <c r="C35" s="22" t="n"/>
      <c r="D35" s="22" t="n"/>
      <c r="E35" s="6">
        <f>IF(AND(OR(A35="FP",A35="3F4D+MD"),ISNUMBER(B35),ISNUMBER(C35),ISNUMBER(D35)),1,0)</f>
        <v/>
      </c>
      <c r="F35" s="22" t="n"/>
    </row>
    <row r="36">
      <c r="A36" s="22" t="n"/>
      <c r="B36" s="37" t="n"/>
      <c r="C36" s="22" t="n"/>
      <c r="D36" s="22" t="n"/>
      <c r="E36" s="6">
        <f>IF(AND(OR(A36="FP",A36="3F4D+MD"),ISNUMBER(B36),ISNUMBER(C36),ISNUMBER(D36)),1,0)</f>
        <v/>
      </c>
      <c r="F36" s="22" t="n"/>
    </row>
    <row r="37">
      <c r="A37" s="22" t="n"/>
      <c r="B37" s="37" t="n"/>
      <c r="C37" s="22" t="n"/>
      <c r="D37" s="22" t="n"/>
      <c r="E37" s="6">
        <f>IF(AND(OR(A37="FP",A37="3F4D+MD"),ISNUMBER(B37),ISNUMBER(C37),ISNUMBER(D37)),1,0)</f>
        <v/>
      </c>
      <c r="F37" s="22" t="n"/>
    </row>
    <row r="38">
      <c r="A38" s="22" t="n"/>
      <c r="B38" s="37" t="n"/>
      <c r="C38" s="22" t="n"/>
      <c r="D38" s="22" t="n"/>
      <c r="E38" s="6">
        <f>IF(AND(OR(A38="FP",A38="3F4D+MD"),ISNUMBER(B38),ISNUMBER(C38),ISNUMBER(D38)),1,0)</f>
        <v/>
      </c>
      <c r="F38" s="22" t="n"/>
    </row>
    <row r="39">
      <c r="A39" s="22" t="n"/>
      <c r="B39" s="37" t="n"/>
      <c r="C39" s="22" t="n"/>
      <c r="D39" s="22" t="n"/>
      <c r="E39" s="6">
        <f>IF(AND(OR(A39="FP",A39="3F4D+MD"),ISNUMBER(B39),ISNUMBER(C39),ISNUMBER(D39)),1,0)</f>
        <v/>
      </c>
      <c r="F39" s="22" t="n"/>
    </row>
    <row r="40">
      <c r="A40" s="22" t="n"/>
      <c r="B40" s="37" t="n"/>
      <c r="C40" s="22" t="n"/>
      <c r="D40" s="22" t="n"/>
      <c r="E40" s="6">
        <f>IF(AND(OR(A40="FP",A40="3F4D+MD"),ISNUMBER(B40),ISNUMBER(C40),ISNUMBER(D40)),1,0)</f>
        <v/>
      </c>
      <c r="F40" s="22" t="n"/>
    </row>
    <row r="41">
      <c r="A41" s="22" t="n"/>
      <c r="B41" s="37" t="n"/>
      <c r="C41" s="22" t="n"/>
      <c r="D41" s="22" t="n"/>
      <c r="E41" s="6">
        <f>IF(AND(OR(A41="FP",A41="3F4D+MD"),ISNUMBER(B41),ISNUMBER(C41),ISNUMBER(D41)),1,0)</f>
        <v/>
      </c>
      <c r="F41" s="22" t="n"/>
    </row>
    <row r="42">
      <c r="A42" s="22" t="n"/>
      <c r="B42" s="37" t="n"/>
      <c r="C42" s="22" t="n"/>
      <c r="D42" s="22" t="n"/>
      <c r="E42" s="6">
        <f>IF(AND(OR(A42="FP",A42="3F4D+MD"),ISNUMBER(B42),ISNUMBER(C42),ISNUMBER(D42)),1,0)</f>
        <v/>
      </c>
      <c r="F42" s="22" t="n"/>
    </row>
    <row r="43">
      <c r="A43" s="22" t="n"/>
      <c r="B43" s="37" t="n"/>
      <c r="C43" s="22" t="n"/>
      <c r="D43" s="22" t="n"/>
      <c r="E43" s="6">
        <f>IF(AND(OR(A43="FP",A43="3F4D+MD"),ISNUMBER(B43),ISNUMBER(C43),ISNUMBER(D43)),1,0)</f>
        <v/>
      </c>
      <c r="F43" s="22" t="n"/>
    </row>
    <row r="44">
      <c r="A44" s="22" t="n"/>
      <c r="B44" s="37" t="n"/>
      <c r="C44" s="22" t="n"/>
      <c r="D44" s="22" t="n"/>
      <c r="E44" s="6">
        <f>IF(AND(OR(A44="FP",A44="3F4D+MD"),ISNUMBER(B44),ISNUMBER(C44),ISNUMBER(D44)),1,0)</f>
        <v/>
      </c>
      <c r="F44" s="22" t="n"/>
    </row>
    <row r="45">
      <c r="A45" s="22" t="n"/>
      <c r="B45" s="37" t="n"/>
      <c r="C45" s="22" t="n"/>
      <c r="D45" s="22" t="n"/>
      <c r="E45" s="6">
        <f>IF(AND(OR(A45="FP",A45="3F4D+MD"),ISNUMBER(B45),ISNUMBER(C45),ISNUMBER(D45)),1,0)</f>
        <v/>
      </c>
      <c r="F45" s="22" t="n"/>
    </row>
    <row r="46">
      <c r="A46" s="22" t="n"/>
      <c r="B46" s="37" t="n"/>
      <c r="C46" s="22" t="n"/>
      <c r="D46" s="22" t="n"/>
      <c r="E46" s="6">
        <f>IF(AND(OR(A46="FP",A46="3F4D+MD"),ISNUMBER(B46),ISNUMBER(C46),ISNUMBER(D46)),1,0)</f>
        <v/>
      </c>
      <c r="F46" s="22" t="n"/>
    </row>
    <row r="47">
      <c r="A47" s="22" t="n"/>
      <c r="B47" s="37" t="n"/>
      <c r="C47" s="22" t="n"/>
      <c r="D47" s="22" t="n"/>
      <c r="E47" s="6">
        <f>IF(AND(OR(A47="FP",A47="3F4D+MD"),ISNUMBER(B47),ISNUMBER(C47),ISNUMBER(D47)),1,0)</f>
        <v/>
      </c>
      <c r="F47" s="22" t="n"/>
    </row>
    <row r="48">
      <c r="A48" s="22" t="n"/>
      <c r="B48" s="37" t="n"/>
      <c r="C48" s="22" t="n"/>
      <c r="D48" s="22" t="n"/>
      <c r="E48" s="6">
        <f>IF(AND(OR(A48="FP",A48="3F4D+MD"),ISNUMBER(B48),ISNUMBER(C48),ISNUMBER(D48)),1,0)</f>
        <v/>
      </c>
      <c r="F48" s="22" t="n"/>
    </row>
    <row r="49">
      <c r="A49" s="22" t="n"/>
      <c r="B49" s="37" t="n"/>
      <c r="C49" s="22" t="n"/>
      <c r="D49" s="22" t="n"/>
      <c r="E49" s="6">
        <f>IF(AND(OR(A49="FP",A49="3F4D+MD"),ISNUMBER(B49),ISNUMBER(C49),ISNUMBER(D49)),1,0)</f>
        <v/>
      </c>
      <c r="F49" s="22" t="n"/>
    </row>
    <row r="50">
      <c r="A50" s="22" t="n"/>
      <c r="B50" s="37" t="n"/>
      <c r="C50" s="22" t="n"/>
      <c r="D50" s="22" t="n"/>
      <c r="E50" s="6">
        <f>IF(AND(OR(A50="FP",A50="3F4D+MD"),ISNUMBER(B50),ISNUMBER(C50),ISNUMBER(D50)),1,0)</f>
        <v/>
      </c>
      <c r="F50" s="22" t="n"/>
    </row>
    <row r="51">
      <c r="A51" s="22" t="n"/>
      <c r="B51" s="37" t="n"/>
      <c r="C51" s="22" t="n"/>
      <c r="D51" s="22" t="n"/>
      <c r="E51" s="6">
        <f>IF(AND(OR(A51="FP",A51="3F4D+MD"),ISNUMBER(B51),ISNUMBER(C51),ISNUMBER(D51)),1,0)</f>
        <v/>
      </c>
      <c r="F51" s="22" t="n"/>
    </row>
    <row r="52">
      <c r="A52" s="22" t="n"/>
      <c r="B52" s="37" t="n"/>
      <c r="C52" s="22" t="n"/>
      <c r="D52" s="22" t="n"/>
      <c r="E52" s="6">
        <f>IF(AND(OR(A52="FP",A52="3F4D+MD"),ISNUMBER(B52),ISNUMBER(C52),ISNUMBER(D52)),1,0)</f>
        <v/>
      </c>
      <c r="F52" s="22" t="n"/>
    </row>
    <row r="53">
      <c r="A53" s="22" t="n"/>
      <c r="B53" s="37" t="n"/>
      <c r="C53" s="22" t="n"/>
      <c r="D53" s="22" t="n"/>
      <c r="E53" s="6">
        <f>IF(AND(OR(A53="FP",A53="3F4D+MD"),ISNUMBER(B53),ISNUMBER(C53),ISNUMBER(D53)),1,0)</f>
        <v/>
      </c>
      <c r="F53" s="22" t="n"/>
    </row>
    <row r="54">
      <c r="A54" s="22" t="n"/>
      <c r="B54" s="37" t="n"/>
      <c r="C54" s="22" t="n"/>
      <c r="D54" s="22" t="n"/>
      <c r="E54" s="6">
        <f>IF(AND(OR(A54="FP",A54="3F4D+MD"),ISNUMBER(B54),ISNUMBER(C54),ISNUMBER(D54)),1,0)</f>
        <v/>
      </c>
      <c r="F54" s="22" t="n"/>
    </row>
    <row r="55">
      <c r="A55" s="22" t="n"/>
      <c r="B55" s="37" t="n"/>
      <c r="C55" s="22" t="n"/>
      <c r="D55" s="22" t="n"/>
      <c r="E55" s="6">
        <f>IF(AND(OR(A55="FP",A55="3F4D+MD"),ISNUMBER(B55),ISNUMBER(C55),ISNUMBER(D55)),1,0)</f>
        <v/>
      </c>
      <c r="F55" s="22" t="n"/>
    </row>
    <row r="56">
      <c r="A56" s="22" t="n"/>
      <c r="B56" s="37" t="n"/>
      <c r="C56" s="22" t="n"/>
      <c r="D56" s="22" t="n"/>
      <c r="E56" s="6">
        <f>IF(AND(OR(A56="FP",A56="3F4D+MD"),ISNUMBER(B56),ISNUMBER(C56),ISNUMBER(D56)),1,0)</f>
        <v/>
      </c>
      <c r="F56" s="22" t="n"/>
    </row>
    <row r="57">
      <c r="A57" s="22" t="n"/>
      <c r="B57" s="37" t="n"/>
      <c r="C57" s="22" t="n"/>
      <c r="D57" s="22" t="n"/>
      <c r="E57" s="6">
        <f>IF(AND(OR(A57="FP",A57="3F4D+MD"),ISNUMBER(B57),ISNUMBER(C57),ISNUMBER(D57)),1,0)</f>
        <v/>
      </c>
      <c r="F57" s="22" t="n"/>
    </row>
    <row r="58">
      <c r="A58" s="22" t="n"/>
      <c r="B58" s="37" t="n"/>
      <c r="C58" s="22" t="n"/>
      <c r="D58" s="22" t="n"/>
      <c r="E58" s="6">
        <f>IF(AND(OR(A58="FP",A58="3F4D+MD"),ISNUMBER(B58),ISNUMBER(C58),ISNUMBER(D58)),1,0)</f>
        <v/>
      </c>
      <c r="F58" s="22" t="n"/>
    </row>
    <row r="59">
      <c r="A59" s="22" t="n"/>
      <c r="B59" s="37" t="n"/>
      <c r="C59" s="22" t="n"/>
      <c r="D59" s="22" t="n"/>
      <c r="E59" s="6">
        <f>IF(AND(OR(A59="FP",A59="3F4D+MD"),ISNUMBER(B59),ISNUMBER(C59),ISNUMBER(D59)),1,0)</f>
        <v/>
      </c>
      <c r="F59" s="22" t="n"/>
    </row>
    <row r="60">
      <c r="A60" s="22" t="n"/>
      <c r="B60" s="37" t="n"/>
      <c r="C60" s="22" t="n"/>
      <c r="D60" s="22" t="n"/>
      <c r="E60" s="6">
        <f>IF(AND(OR(A60="FP",A60="3F4D+MD"),ISNUMBER(B60),ISNUMBER(C60),ISNUMBER(D60)),1,0)</f>
        <v/>
      </c>
      <c r="F60" s="22" t="n"/>
    </row>
    <row r="62">
      <c r="A62" s="14" t="inlineStr">
        <is>
          <t>After Pitan and mid-season drainage the soil shrinks and b changes. Measure TP and b again and add a row. Water levels from that date use the new values.</t>
        </is>
      </c>
    </row>
  </sheetData>
  <dataValidations count="1">
    <dataValidation sqref="A5:A60" showDropDown="0" showInputMessage="0" showErrorMessage="0" allowBlank="1" type="list">
      <formula1>"FP,3F4D+MD"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16" customWidth="1" min="14" max="14"/>
    <col width="16" customWidth="1" min="15" max="15"/>
    <col width="12" customWidth="1" min="17" max="17"/>
    <col width="10" customWidth="1" min="18" max="18"/>
    <col width="1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12" customWidth="1" min="32" max="32"/>
    <col width="16" customWidth="1" min="33" max="33"/>
    <col width="16" customWidth="1" min="34" max="34"/>
    <col width="9" customWidth="1" min="35" max="35"/>
    <col width="9" customWidth="1" min="36" max="36"/>
    <col width="18" customWidth="1" min="37" max="37"/>
    <col width="6" customWidth="1" min="38" max="38"/>
    <col width="8" customWidth="1" min="39" max="39"/>
    <col width="8" customWidth="1" min="40" max="40"/>
    <col width="9" customWidth="1" min="41" max="41"/>
    <col width="9" customWidth="1" min="42" max="42"/>
  </cols>
  <sheetData>
    <row r="1">
      <c r="A1" s="8" t="inlineStr">
        <is>
          <t>Other information / অন্যান্য তথ্য  - seedbed and main field: fertilizer, pesticide, other work</t>
        </is>
      </c>
    </row>
    <row r="3">
      <c r="A3" s="15" t="inlineStr">
        <is>
          <t>Seedbed / বীজতলা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3" t="n"/>
      <c r="Q3" s="15" t="inlineStr">
        <is>
          <t>Main field (model plot) / মূল জমি</t>
        </is>
      </c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3" t="n"/>
    </row>
    <row r="4">
      <c r="S4" s="36" t="inlineStr">
        <is>
          <t>N content (fraction)</t>
        </is>
      </c>
      <c r="T4" s="22" t="n">
        <v>0.46</v>
      </c>
      <c r="U4" s="22" t="n">
        <v>0</v>
      </c>
      <c r="V4" s="22" t="n">
        <v>0.18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</row>
    <row r="5">
      <c r="S5" s="36" t="inlineStr">
        <is>
          <t>P content (fraction)</t>
        </is>
      </c>
      <c r="T5" s="22" t="n">
        <v>0</v>
      </c>
      <c r="U5" s="22" t="n">
        <v>0.2</v>
      </c>
      <c r="V5" s="22" t="n">
        <v>0.2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0</v>
      </c>
      <c r="AB5" s="22" t="n">
        <v>0</v>
      </c>
      <c r="AC5" s="22" t="n">
        <v>0</v>
      </c>
      <c r="AD5" s="22" t="n">
        <v>0</v>
      </c>
      <c r="AE5" s="22" t="n">
        <v>0</v>
      </c>
      <c r="AL5" s="10" t="inlineStr">
        <is>
          <t>Total</t>
        </is>
      </c>
      <c r="AM5" s="4">
        <f>ROUND(SUM(AM8:AM220),1)</f>
        <v/>
      </c>
      <c r="AN5" s="4">
        <f>ROUND(SUM(AN8:AN220),1)</f>
        <v/>
      </c>
      <c r="AO5" s="4">
        <f>ROUND(SUM(AO8:AO220),1)</f>
        <v/>
      </c>
      <c r="AP5" s="4">
        <f>ROUND(SUM(AP8:AP220),1)</f>
        <v/>
      </c>
    </row>
    <row r="6">
      <c r="S6" s="14" t="inlineStr">
        <is>
          <t>P = elemental P (P2O5 x 0.436)</t>
        </is>
      </c>
    </row>
    <row r="7">
      <c r="A7" s="5" t="inlineStr">
        <is>
          <t>Date</t>
        </is>
      </c>
      <c r="B7" s="5" t="inlineStr">
        <is>
          <t>Day</t>
        </is>
      </c>
      <c r="C7" s="5" t="inlineStr">
        <is>
          <t>Activities</t>
        </is>
      </c>
      <c r="D7" s="5" t="inlineStr">
        <is>
          <t>Urea (kg)</t>
        </is>
      </c>
      <c r="E7" s="5" t="inlineStr">
        <is>
          <t>TSP (kg)</t>
        </is>
      </c>
      <c r="F7" s="5" t="inlineStr">
        <is>
          <t>DAP (kg)</t>
        </is>
      </c>
      <c r="G7" s="5" t="inlineStr">
        <is>
          <t>Gypsum (kg)</t>
        </is>
      </c>
      <c r="H7" s="5" t="inlineStr">
        <is>
          <t>MOP (kg)</t>
        </is>
      </c>
      <c r="I7" s="5" t="inlineStr">
        <is>
          <t>Boron (kg)</t>
        </is>
      </c>
      <c r="J7" s="5" t="inlineStr">
        <is>
          <t>Zinc (kg)</t>
        </is>
      </c>
      <c r="K7" s="5" t="inlineStr">
        <is>
          <t>Magnesium (kg)</t>
        </is>
      </c>
      <c r="L7" s="5" t="inlineStr">
        <is>
          <t>Thiovit (kg)</t>
        </is>
      </c>
      <c r="M7" s="5" t="inlineStr">
        <is>
          <t>Type</t>
        </is>
      </c>
      <c r="N7" s="5" t="inlineStr">
        <is>
          <t>Name of chemical</t>
        </is>
      </c>
      <c r="O7" s="5" t="inlineStr">
        <is>
          <t>Purpose</t>
        </is>
      </c>
      <c r="Q7" s="5" t="inlineStr">
        <is>
          <t>Date</t>
        </is>
      </c>
      <c r="R7" s="5" t="inlineStr">
        <is>
          <t>Plot</t>
        </is>
      </c>
      <c r="S7" s="5" t="inlineStr">
        <is>
          <t>Activities</t>
        </is>
      </c>
      <c r="T7" s="5" t="inlineStr">
        <is>
          <t>Urea (kg)</t>
        </is>
      </c>
      <c r="U7" s="5" t="inlineStr">
        <is>
          <t>TSP (kg)</t>
        </is>
      </c>
      <c r="V7" s="5" t="inlineStr">
        <is>
          <t>DAP (kg)</t>
        </is>
      </c>
      <c r="W7" s="5" t="inlineStr">
        <is>
          <t>Gypsum (kg)</t>
        </is>
      </c>
      <c r="X7" s="5" t="inlineStr">
        <is>
          <t>MOP (kg)</t>
        </is>
      </c>
      <c r="Y7" s="5" t="inlineStr">
        <is>
          <t>Boron (kg)</t>
        </is>
      </c>
      <c r="Z7" s="5" t="inlineStr">
        <is>
          <t>Zinc (kg)</t>
        </is>
      </c>
      <c r="AA7" s="5" t="inlineStr">
        <is>
          <t>Magnesium (kg)</t>
        </is>
      </c>
      <c r="AB7" s="5" t="inlineStr">
        <is>
          <t>Sulphate (kg)</t>
        </is>
      </c>
      <c r="AC7" s="5" t="inlineStr">
        <is>
          <t>Thiovit (kg)</t>
        </is>
      </c>
      <c r="AD7" s="5" t="inlineStr">
        <is>
          <t>Cow dung (kg)</t>
        </is>
      </c>
      <c r="AE7" s="5" t="inlineStr">
        <is>
          <t>Straw (kg)</t>
        </is>
      </c>
      <c r="AF7" s="5" t="inlineStr">
        <is>
          <t>Pesticide / herbicide type</t>
        </is>
      </c>
      <c r="AG7" s="5" t="inlineStr">
        <is>
          <t>Name of chemical</t>
        </is>
      </c>
      <c r="AH7" s="5" t="inlineStr">
        <is>
          <t>Purpose</t>
        </is>
      </c>
      <c r="AI7" s="5" t="inlineStr">
        <is>
          <t>Amount</t>
        </is>
      </c>
      <c r="AJ7" s="5" t="inlineStr">
        <is>
          <t>Unit price (BDT)</t>
        </is>
      </c>
      <c r="AK7" s="5" t="inlineStr">
        <is>
          <t>Note</t>
        </is>
      </c>
      <c r="AL7" s="5" t="inlineStr">
        <is>
          <t>DAT</t>
        </is>
      </c>
      <c r="AM7" s="5" t="inlineStr">
        <is>
          <t>N FP (kg/10a)</t>
        </is>
      </c>
      <c r="AN7" s="5" t="inlineStr">
        <is>
          <t>P FP (kg/10a)</t>
        </is>
      </c>
      <c r="AO7" s="5" t="inlineStr">
        <is>
          <t>N 3F4D+MD (kg/10a)</t>
        </is>
      </c>
      <c r="AP7" s="5" t="inlineStr">
        <is>
          <t>P 3F4D+MD (kg/10a)</t>
        </is>
      </c>
    </row>
    <row r="8">
      <c r="A8" s="37" t="n"/>
      <c r="B8" s="6">
        <f>IF(A8="","",IF(ISNUMBER(Schedule_Farmer!$D$5),A8-Schedule_Farmer!$D$5+1,""))</f>
        <v/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Q8" s="37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6">
        <f>IF(OR(Q8="",NOT(ISNUMBER(TransDate))),"",Q8-TransDate)</f>
        <v/>
      </c>
      <c r="AM8" s="6">
        <f>IF(OR(Q8="",NOT(ISNUMBER(FP_m2)),AND(R8&lt;&gt;"FP",R8&lt;&gt;"Both")),"",ROUND(SUMPRODUCT(T8:AE8,$T$4:$AE$4)*1000/FP_m2,2))</f>
        <v/>
      </c>
      <c r="AN8" s="6">
        <f>IF(OR(Q8="",NOT(ISNUMBER(FP_m2)),AND(R8&lt;&gt;"FP",R8&lt;&gt;"Both")),"",ROUND(SUMPRODUCT(T8:AE8,$T$5:$AE$5)*1000/FP_m2,2))</f>
        <v/>
      </c>
      <c r="AO8" s="6">
        <f>IF(OR(Q8="",NOT(ISNUMBER(MD_m2)),AND(R8&lt;&gt;"3F4D+MD",R8&lt;&gt;"Both")),"",ROUND(SUMPRODUCT(T8:AE8,$T$4:$AE$4)*1000/MD_m2,2))</f>
        <v/>
      </c>
      <c r="AP8" s="6">
        <f>IF(OR(Q8="",NOT(ISNUMBER(MD_m2)),AND(R8&lt;&gt;"3F4D+MD",R8&lt;&gt;"Both")),"",ROUND(SUMPRODUCT(T8:AE8,$T$5:$AE$5)*1000/MD_m2,2))</f>
        <v/>
      </c>
    </row>
    <row r="9">
      <c r="A9" s="37" t="n"/>
      <c r="B9" s="6">
        <f>IF(A9="","",IF(ISNUMBER(Schedule_Farmer!$D$5),A9-Schedule_Farmer!$D$5+1,""))</f>
        <v/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Q9" s="37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6">
        <f>IF(OR(Q9="",NOT(ISNUMBER(TransDate))),"",Q9-TransDate)</f>
        <v/>
      </c>
      <c r="AM9" s="6">
        <f>IF(OR(Q9="",NOT(ISNUMBER(FP_m2)),AND(R9&lt;&gt;"FP",R9&lt;&gt;"Both")),"",ROUND(SUMPRODUCT(T9:AE9,$T$4:$AE$4)*1000/FP_m2,2))</f>
        <v/>
      </c>
      <c r="AN9" s="6">
        <f>IF(OR(Q9="",NOT(ISNUMBER(FP_m2)),AND(R9&lt;&gt;"FP",R9&lt;&gt;"Both")),"",ROUND(SUMPRODUCT(T9:AE9,$T$5:$AE$5)*1000/FP_m2,2))</f>
        <v/>
      </c>
      <c r="AO9" s="6">
        <f>IF(OR(Q9="",NOT(ISNUMBER(MD_m2)),AND(R9&lt;&gt;"3F4D+MD",R9&lt;&gt;"Both")),"",ROUND(SUMPRODUCT(T9:AE9,$T$4:$AE$4)*1000/MD_m2,2))</f>
        <v/>
      </c>
      <c r="AP9" s="6">
        <f>IF(OR(Q9="",NOT(ISNUMBER(MD_m2)),AND(R9&lt;&gt;"3F4D+MD",R9&lt;&gt;"Both")),"",ROUND(SUMPRODUCT(T9:AE9,$T$5:$AE$5)*1000/MD_m2,2))</f>
        <v/>
      </c>
    </row>
    <row r="10">
      <c r="A10" s="37" t="n"/>
      <c r="B10" s="6">
        <f>IF(A10="","",IF(ISNUMBER(Schedule_Farmer!$D$5),A10-Schedule_Farmer!$D$5+1,""))</f>
        <v/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Q10" s="37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6">
        <f>IF(OR(Q10="",NOT(ISNUMBER(TransDate))),"",Q10-TransDate)</f>
        <v/>
      </c>
      <c r="AM10" s="6">
        <f>IF(OR(Q10="",NOT(ISNUMBER(FP_m2)),AND(R10&lt;&gt;"FP",R10&lt;&gt;"Both")),"",ROUND(SUMPRODUCT(T10:AE10,$T$4:$AE$4)*1000/FP_m2,2))</f>
        <v/>
      </c>
      <c r="AN10" s="6">
        <f>IF(OR(Q10="",NOT(ISNUMBER(FP_m2)),AND(R10&lt;&gt;"FP",R10&lt;&gt;"Both")),"",ROUND(SUMPRODUCT(T10:AE10,$T$5:$AE$5)*1000/FP_m2,2))</f>
        <v/>
      </c>
      <c r="AO10" s="6">
        <f>IF(OR(Q10="",NOT(ISNUMBER(MD_m2)),AND(R10&lt;&gt;"3F4D+MD",R10&lt;&gt;"Both")),"",ROUND(SUMPRODUCT(T10:AE10,$T$4:$AE$4)*1000/MD_m2,2))</f>
        <v/>
      </c>
      <c r="AP10" s="6">
        <f>IF(OR(Q10="",NOT(ISNUMBER(MD_m2)),AND(R10&lt;&gt;"3F4D+MD",R10&lt;&gt;"Both")),"",ROUND(SUMPRODUCT(T10:AE10,$T$5:$AE$5)*1000/MD_m2,2))</f>
        <v/>
      </c>
    </row>
    <row r="11">
      <c r="A11" s="37" t="n"/>
      <c r="B11" s="6">
        <f>IF(A11="","",IF(ISNUMBER(Schedule_Farmer!$D$5),A11-Schedule_Farmer!$D$5+1,""))</f>
        <v/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Q11" s="37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6">
        <f>IF(OR(Q11="",NOT(ISNUMBER(TransDate))),"",Q11-TransDate)</f>
        <v/>
      </c>
      <c r="AM11" s="6">
        <f>IF(OR(Q11="",NOT(ISNUMBER(FP_m2)),AND(R11&lt;&gt;"FP",R11&lt;&gt;"Both")),"",ROUND(SUMPRODUCT(T11:AE11,$T$4:$AE$4)*1000/FP_m2,2))</f>
        <v/>
      </c>
      <c r="AN11" s="6">
        <f>IF(OR(Q11="",NOT(ISNUMBER(FP_m2)),AND(R11&lt;&gt;"FP",R11&lt;&gt;"Both")),"",ROUND(SUMPRODUCT(T11:AE11,$T$5:$AE$5)*1000/FP_m2,2))</f>
        <v/>
      </c>
      <c r="AO11" s="6">
        <f>IF(OR(Q11="",NOT(ISNUMBER(MD_m2)),AND(R11&lt;&gt;"3F4D+MD",R11&lt;&gt;"Both")),"",ROUND(SUMPRODUCT(T11:AE11,$T$4:$AE$4)*1000/MD_m2,2))</f>
        <v/>
      </c>
      <c r="AP11" s="6">
        <f>IF(OR(Q11="",NOT(ISNUMBER(MD_m2)),AND(R11&lt;&gt;"3F4D+MD",R11&lt;&gt;"Both")),"",ROUND(SUMPRODUCT(T11:AE11,$T$5:$AE$5)*1000/MD_m2,2))</f>
        <v/>
      </c>
    </row>
    <row r="12">
      <c r="A12" s="37" t="n"/>
      <c r="B12" s="6">
        <f>IF(A12="","",IF(ISNUMBER(Schedule_Farmer!$D$5),A12-Schedule_Farmer!$D$5+1,""))</f>
        <v/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Q12" s="37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6">
        <f>IF(OR(Q12="",NOT(ISNUMBER(TransDate))),"",Q12-TransDate)</f>
        <v/>
      </c>
      <c r="AM12" s="6">
        <f>IF(OR(Q12="",NOT(ISNUMBER(FP_m2)),AND(R12&lt;&gt;"FP",R12&lt;&gt;"Both")),"",ROUND(SUMPRODUCT(T12:AE12,$T$4:$AE$4)*1000/FP_m2,2))</f>
        <v/>
      </c>
      <c r="AN12" s="6">
        <f>IF(OR(Q12="",NOT(ISNUMBER(FP_m2)),AND(R12&lt;&gt;"FP",R12&lt;&gt;"Both")),"",ROUND(SUMPRODUCT(T12:AE12,$T$5:$AE$5)*1000/FP_m2,2))</f>
        <v/>
      </c>
      <c r="AO12" s="6">
        <f>IF(OR(Q12="",NOT(ISNUMBER(MD_m2)),AND(R12&lt;&gt;"3F4D+MD",R12&lt;&gt;"Both")),"",ROUND(SUMPRODUCT(T12:AE12,$T$4:$AE$4)*1000/MD_m2,2))</f>
        <v/>
      </c>
      <c r="AP12" s="6">
        <f>IF(OR(Q12="",NOT(ISNUMBER(MD_m2)),AND(R12&lt;&gt;"3F4D+MD",R12&lt;&gt;"Both")),"",ROUND(SUMPRODUCT(T12:AE12,$T$5:$AE$5)*1000/MD_m2,2))</f>
        <v/>
      </c>
    </row>
    <row r="13">
      <c r="A13" s="37" t="n"/>
      <c r="B13" s="6">
        <f>IF(A13="","",IF(ISNUMBER(Schedule_Farmer!$D$5),A13-Schedule_Farmer!$D$5+1,""))</f>
        <v/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Q13" s="37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6">
        <f>IF(OR(Q13="",NOT(ISNUMBER(TransDate))),"",Q13-TransDate)</f>
        <v/>
      </c>
      <c r="AM13" s="6">
        <f>IF(OR(Q13="",NOT(ISNUMBER(FP_m2)),AND(R13&lt;&gt;"FP",R13&lt;&gt;"Both")),"",ROUND(SUMPRODUCT(T13:AE13,$T$4:$AE$4)*1000/FP_m2,2))</f>
        <v/>
      </c>
      <c r="AN13" s="6">
        <f>IF(OR(Q13="",NOT(ISNUMBER(FP_m2)),AND(R13&lt;&gt;"FP",R13&lt;&gt;"Both")),"",ROUND(SUMPRODUCT(T13:AE13,$T$5:$AE$5)*1000/FP_m2,2))</f>
        <v/>
      </c>
      <c r="AO13" s="6">
        <f>IF(OR(Q13="",NOT(ISNUMBER(MD_m2)),AND(R13&lt;&gt;"3F4D+MD",R13&lt;&gt;"Both")),"",ROUND(SUMPRODUCT(T13:AE13,$T$4:$AE$4)*1000/MD_m2,2))</f>
        <v/>
      </c>
      <c r="AP13" s="6">
        <f>IF(OR(Q13="",NOT(ISNUMBER(MD_m2)),AND(R13&lt;&gt;"3F4D+MD",R13&lt;&gt;"Both")),"",ROUND(SUMPRODUCT(T13:AE13,$T$5:$AE$5)*1000/MD_m2,2))</f>
        <v/>
      </c>
    </row>
    <row r="14">
      <c r="A14" s="37" t="n"/>
      <c r="B14" s="6">
        <f>IF(A14="","",IF(ISNUMBER(Schedule_Farmer!$D$5),A14-Schedule_Farmer!$D$5+1,""))</f>
        <v/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Q14" s="37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6">
        <f>IF(OR(Q14="",NOT(ISNUMBER(TransDate))),"",Q14-TransDate)</f>
        <v/>
      </c>
      <c r="AM14" s="6">
        <f>IF(OR(Q14="",NOT(ISNUMBER(FP_m2)),AND(R14&lt;&gt;"FP",R14&lt;&gt;"Both")),"",ROUND(SUMPRODUCT(T14:AE14,$T$4:$AE$4)*1000/FP_m2,2))</f>
        <v/>
      </c>
      <c r="AN14" s="6">
        <f>IF(OR(Q14="",NOT(ISNUMBER(FP_m2)),AND(R14&lt;&gt;"FP",R14&lt;&gt;"Both")),"",ROUND(SUMPRODUCT(T14:AE14,$T$5:$AE$5)*1000/FP_m2,2))</f>
        <v/>
      </c>
      <c r="AO14" s="6">
        <f>IF(OR(Q14="",NOT(ISNUMBER(MD_m2)),AND(R14&lt;&gt;"3F4D+MD",R14&lt;&gt;"Both")),"",ROUND(SUMPRODUCT(T14:AE14,$T$4:$AE$4)*1000/MD_m2,2))</f>
        <v/>
      </c>
      <c r="AP14" s="6">
        <f>IF(OR(Q14="",NOT(ISNUMBER(MD_m2)),AND(R14&lt;&gt;"3F4D+MD",R14&lt;&gt;"Both")),"",ROUND(SUMPRODUCT(T14:AE14,$T$5:$AE$5)*1000/MD_m2,2))</f>
        <v/>
      </c>
    </row>
    <row r="15">
      <c r="A15" s="37" t="n"/>
      <c r="B15" s="6">
        <f>IF(A15="","",IF(ISNUMBER(Schedule_Farmer!$D$5),A15-Schedule_Farmer!$D$5+1,""))</f>
        <v/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Q15" s="37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6">
        <f>IF(OR(Q15="",NOT(ISNUMBER(TransDate))),"",Q15-TransDate)</f>
        <v/>
      </c>
      <c r="AM15" s="6">
        <f>IF(OR(Q15="",NOT(ISNUMBER(FP_m2)),AND(R15&lt;&gt;"FP",R15&lt;&gt;"Both")),"",ROUND(SUMPRODUCT(T15:AE15,$T$4:$AE$4)*1000/FP_m2,2))</f>
        <v/>
      </c>
      <c r="AN15" s="6">
        <f>IF(OR(Q15="",NOT(ISNUMBER(FP_m2)),AND(R15&lt;&gt;"FP",R15&lt;&gt;"Both")),"",ROUND(SUMPRODUCT(T15:AE15,$T$5:$AE$5)*1000/FP_m2,2))</f>
        <v/>
      </c>
      <c r="AO15" s="6">
        <f>IF(OR(Q15="",NOT(ISNUMBER(MD_m2)),AND(R15&lt;&gt;"3F4D+MD",R15&lt;&gt;"Both")),"",ROUND(SUMPRODUCT(T15:AE15,$T$4:$AE$4)*1000/MD_m2,2))</f>
        <v/>
      </c>
      <c r="AP15" s="6">
        <f>IF(OR(Q15="",NOT(ISNUMBER(MD_m2)),AND(R15&lt;&gt;"3F4D+MD",R15&lt;&gt;"Both")),"",ROUND(SUMPRODUCT(T15:AE15,$T$5:$AE$5)*1000/MD_m2,2))</f>
        <v/>
      </c>
    </row>
    <row r="16">
      <c r="A16" s="37" t="n"/>
      <c r="B16" s="6">
        <f>IF(A16="","",IF(ISNUMBER(Schedule_Farmer!$D$5),A16-Schedule_Farmer!$D$5+1,""))</f>
        <v/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Q16" s="37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6">
        <f>IF(OR(Q16="",NOT(ISNUMBER(TransDate))),"",Q16-TransDate)</f>
        <v/>
      </c>
      <c r="AM16" s="6">
        <f>IF(OR(Q16="",NOT(ISNUMBER(FP_m2)),AND(R16&lt;&gt;"FP",R16&lt;&gt;"Both")),"",ROUND(SUMPRODUCT(T16:AE16,$T$4:$AE$4)*1000/FP_m2,2))</f>
        <v/>
      </c>
      <c r="AN16" s="6">
        <f>IF(OR(Q16="",NOT(ISNUMBER(FP_m2)),AND(R16&lt;&gt;"FP",R16&lt;&gt;"Both")),"",ROUND(SUMPRODUCT(T16:AE16,$T$5:$AE$5)*1000/FP_m2,2))</f>
        <v/>
      </c>
      <c r="AO16" s="6">
        <f>IF(OR(Q16="",NOT(ISNUMBER(MD_m2)),AND(R16&lt;&gt;"3F4D+MD",R16&lt;&gt;"Both")),"",ROUND(SUMPRODUCT(T16:AE16,$T$4:$AE$4)*1000/MD_m2,2))</f>
        <v/>
      </c>
      <c r="AP16" s="6">
        <f>IF(OR(Q16="",NOT(ISNUMBER(MD_m2)),AND(R16&lt;&gt;"3F4D+MD",R16&lt;&gt;"Both")),"",ROUND(SUMPRODUCT(T16:AE16,$T$5:$AE$5)*1000/MD_m2,2))</f>
        <v/>
      </c>
    </row>
    <row r="17">
      <c r="A17" s="37" t="n"/>
      <c r="B17" s="6">
        <f>IF(A17="","",IF(ISNUMBER(Schedule_Farmer!$D$5),A17-Schedule_Farmer!$D$5+1,""))</f>
        <v/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Q17" s="37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6">
        <f>IF(OR(Q17="",NOT(ISNUMBER(TransDate))),"",Q17-TransDate)</f>
        <v/>
      </c>
      <c r="AM17" s="6">
        <f>IF(OR(Q17="",NOT(ISNUMBER(FP_m2)),AND(R17&lt;&gt;"FP",R17&lt;&gt;"Both")),"",ROUND(SUMPRODUCT(T17:AE17,$T$4:$AE$4)*1000/FP_m2,2))</f>
        <v/>
      </c>
      <c r="AN17" s="6">
        <f>IF(OR(Q17="",NOT(ISNUMBER(FP_m2)),AND(R17&lt;&gt;"FP",R17&lt;&gt;"Both")),"",ROUND(SUMPRODUCT(T17:AE17,$T$5:$AE$5)*1000/FP_m2,2))</f>
        <v/>
      </c>
      <c r="AO17" s="6">
        <f>IF(OR(Q17="",NOT(ISNUMBER(MD_m2)),AND(R17&lt;&gt;"3F4D+MD",R17&lt;&gt;"Both")),"",ROUND(SUMPRODUCT(T17:AE17,$T$4:$AE$4)*1000/MD_m2,2))</f>
        <v/>
      </c>
      <c r="AP17" s="6">
        <f>IF(OR(Q17="",NOT(ISNUMBER(MD_m2)),AND(R17&lt;&gt;"3F4D+MD",R17&lt;&gt;"Both")),"",ROUND(SUMPRODUCT(T17:AE17,$T$5:$AE$5)*1000/MD_m2,2))</f>
        <v/>
      </c>
    </row>
    <row r="18">
      <c r="A18" s="37" t="n"/>
      <c r="B18" s="6">
        <f>IF(A18="","",IF(ISNUMBER(Schedule_Farmer!$D$5),A18-Schedule_Farmer!$D$5+1,""))</f>
        <v/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Q18" s="37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6">
        <f>IF(OR(Q18="",NOT(ISNUMBER(TransDate))),"",Q18-TransDate)</f>
        <v/>
      </c>
      <c r="AM18" s="6">
        <f>IF(OR(Q18="",NOT(ISNUMBER(FP_m2)),AND(R18&lt;&gt;"FP",R18&lt;&gt;"Both")),"",ROUND(SUMPRODUCT(T18:AE18,$T$4:$AE$4)*1000/FP_m2,2))</f>
        <v/>
      </c>
      <c r="AN18" s="6">
        <f>IF(OR(Q18="",NOT(ISNUMBER(FP_m2)),AND(R18&lt;&gt;"FP",R18&lt;&gt;"Both")),"",ROUND(SUMPRODUCT(T18:AE18,$T$5:$AE$5)*1000/FP_m2,2))</f>
        <v/>
      </c>
      <c r="AO18" s="6">
        <f>IF(OR(Q18="",NOT(ISNUMBER(MD_m2)),AND(R18&lt;&gt;"3F4D+MD",R18&lt;&gt;"Both")),"",ROUND(SUMPRODUCT(T18:AE18,$T$4:$AE$4)*1000/MD_m2,2))</f>
        <v/>
      </c>
      <c r="AP18" s="6">
        <f>IF(OR(Q18="",NOT(ISNUMBER(MD_m2)),AND(R18&lt;&gt;"3F4D+MD",R18&lt;&gt;"Both")),"",ROUND(SUMPRODUCT(T18:AE18,$T$5:$AE$5)*1000/MD_m2,2))</f>
        <v/>
      </c>
    </row>
    <row r="19">
      <c r="A19" s="37" t="n"/>
      <c r="B19" s="6">
        <f>IF(A19="","",IF(ISNUMBER(Schedule_Farmer!$D$5),A19-Schedule_Farmer!$D$5+1,""))</f>
        <v/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Q19" s="37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6">
        <f>IF(OR(Q19="",NOT(ISNUMBER(TransDate))),"",Q19-TransDate)</f>
        <v/>
      </c>
      <c r="AM19" s="6">
        <f>IF(OR(Q19="",NOT(ISNUMBER(FP_m2)),AND(R19&lt;&gt;"FP",R19&lt;&gt;"Both")),"",ROUND(SUMPRODUCT(T19:AE19,$T$4:$AE$4)*1000/FP_m2,2))</f>
        <v/>
      </c>
      <c r="AN19" s="6">
        <f>IF(OR(Q19="",NOT(ISNUMBER(FP_m2)),AND(R19&lt;&gt;"FP",R19&lt;&gt;"Both")),"",ROUND(SUMPRODUCT(T19:AE19,$T$5:$AE$5)*1000/FP_m2,2))</f>
        <v/>
      </c>
      <c r="AO19" s="6">
        <f>IF(OR(Q19="",NOT(ISNUMBER(MD_m2)),AND(R19&lt;&gt;"3F4D+MD",R19&lt;&gt;"Both")),"",ROUND(SUMPRODUCT(T19:AE19,$T$4:$AE$4)*1000/MD_m2,2))</f>
        <v/>
      </c>
      <c r="AP19" s="6">
        <f>IF(OR(Q19="",NOT(ISNUMBER(MD_m2)),AND(R19&lt;&gt;"3F4D+MD",R19&lt;&gt;"Both")),"",ROUND(SUMPRODUCT(T19:AE19,$T$5:$AE$5)*1000/MD_m2,2))</f>
        <v/>
      </c>
    </row>
    <row r="20">
      <c r="A20" s="37" t="n"/>
      <c r="B20" s="6">
        <f>IF(A20="","",IF(ISNUMBER(Schedule_Farmer!$D$5),A20-Schedule_Farmer!$D$5+1,""))</f>
        <v/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Q20" s="37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6">
        <f>IF(OR(Q20="",NOT(ISNUMBER(TransDate))),"",Q20-TransDate)</f>
        <v/>
      </c>
      <c r="AM20" s="6">
        <f>IF(OR(Q20="",NOT(ISNUMBER(FP_m2)),AND(R20&lt;&gt;"FP",R20&lt;&gt;"Both")),"",ROUND(SUMPRODUCT(T20:AE20,$T$4:$AE$4)*1000/FP_m2,2))</f>
        <v/>
      </c>
      <c r="AN20" s="6">
        <f>IF(OR(Q20="",NOT(ISNUMBER(FP_m2)),AND(R20&lt;&gt;"FP",R20&lt;&gt;"Both")),"",ROUND(SUMPRODUCT(T20:AE20,$T$5:$AE$5)*1000/FP_m2,2))</f>
        <v/>
      </c>
      <c r="AO20" s="6">
        <f>IF(OR(Q20="",NOT(ISNUMBER(MD_m2)),AND(R20&lt;&gt;"3F4D+MD",R20&lt;&gt;"Both")),"",ROUND(SUMPRODUCT(T20:AE20,$T$4:$AE$4)*1000/MD_m2,2))</f>
        <v/>
      </c>
      <c r="AP20" s="6">
        <f>IF(OR(Q20="",NOT(ISNUMBER(MD_m2)),AND(R20&lt;&gt;"3F4D+MD",R20&lt;&gt;"Both")),"",ROUND(SUMPRODUCT(T20:AE20,$T$5:$AE$5)*1000/MD_m2,2))</f>
        <v/>
      </c>
    </row>
    <row r="21">
      <c r="A21" s="37" t="n"/>
      <c r="B21" s="6">
        <f>IF(A21="","",IF(ISNUMBER(Schedule_Farmer!$D$5),A21-Schedule_Farmer!$D$5+1,""))</f>
        <v/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Q21" s="37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6">
        <f>IF(OR(Q21="",NOT(ISNUMBER(TransDate))),"",Q21-TransDate)</f>
        <v/>
      </c>
      <c r="AM21" s="6">
        <f>IF(OR(Q21="",NOT(ISNUMBER(FP_m2)),AND(R21&lt;&gt;"FP",R21&lt;&gt;"Both")),"",ROUND(SUMPRODUCT(T21:AE21,$T$4:$AE$4)*1000/FP_m2,2))</f>
        <v/>
      </c>
      <c r="AN21" s="6">
        <f>IF(OR(Q21="",NOT(ISNUMBER(FP_m2)),AND(R21&lt;&gt;"FP",R21&lt;&gt;"Both")),"",ROUND(SUMPRODUCT(T21:AE21,$T$5:$AE$5)*1000/FP_m2,2))</f>
        <v/>
      </c>
      <c r="AO21" s="6">
        <f>IF(OR(Q21="",NOT(ISNUMBER(MD_m2)),AND(R21&lt;&gt;"3F4D+MD",R21&lt;&gt;"Both")),"",ROUND(SUMPRODUCT(T21:AE21,$T$4:$AE$4)*1000/MD_m2,2))</f>
        <v/>
      </c>
      <c r="AP21" s="6">
        <f>IF(OR(Q21="",NOT(ISNUMBER(MD_m2)),AND(R21&lt;&gt;"3F4D+MD",R21&lt;&gt;"Both")),"",ROUND(SUMPRODUCT(T21:AE21,$T$5:$AE$5)*1000/MD_m2,2))</f>
        <v/>
      </c>
    </row>
    <row r="22">
      <c r="A22" s="37" t="n"/>
      <c r="B22" s="6">
        <f>IF(A22="","",IF(ISNUMBER(Schedule_Farmer!$D$5),A22-Schedule_Farmer!$D$5+1,""))</f>
        <v/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Q22" s="37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6">
        <f>IF(OR(Q22="",NOT(ISNUMBER(TransDate))),"",Q22-TransDate)</f>
        <v/>
      </c>
      <c r="AM22" s="6">
        <f>IF(OR(Q22="",NOT(ISNUMBER(FP_m2)),AND(R22&lt;&gt;"FP",R22&lt;&gt;"Both")),"",ROUND(SUMPRODUCT(T22:AE22,$T$4:$AE$4)*1000/FP_m2,2))</f>
        <v/>
      </c>
      <c r="AN22" s="6">
        <f>IF(OR(Q22="",NOT(ISNUMBER(FP_m2)),AND(R22&lt;&gt;"FP",R22&lt;&gt;"Both")),"",ROUND(SUMPRODUCT(T22:AE22,$T$5:$AE$5)*1000/FP_m2,2))</f>
        <v/>
      </c>
      <c r="AO22" s="6">
        <f>IF(OR(Q22="",NOT(ISNUMBER(MD_m2)),AND(R22&lt;&gt;"3F4D+MD",R22&lt;&gt;"Both")),"",ROUND(SUMPRODUCT(T22:AE22,$T$4:$AE$4)*1000/MD_m2,2))</f>
        <v/>
      </c>
      <c r="AP22" s="6">
        <f>IF(OR(Q22="",NOT(ISNUMBER(MD_m2)),AND(R22&lt;&gt;"3F4D+MD",R22&lt;&gt;"Both")),"",ROUND(SUMPRODUCT(T22:AE22,$T$5:$AE$5)*1000/MD_m2,2))</f>
        <v/>
      </c>
    </row>
    <row r="23">
      <c r="A23" s="37" t="n"/>
      <c r="B23" s="6">
        <f>IF(A23="","",IF(ISNUMBER(Schedule_Farmer!$D$5),A23-Schedule_Farmer!$D$5+1,""))</f>
        <v/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Q23" s="37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6">
        <f>IF(OR(Q23="",NOT(ISNUMBER(TransDate))),"",Q23-TransDate)</f>
        <v/>
      </c>
      <c r="AM23" s="6">
        <f>IF(OR(Q23="",NOT(ISNUMBER(FP_m2)),AND(R23&lt;&gt;"FP",R23&lt;&gt;"Both")),"",ROUND(SUMPRODUCT(T23:AE23,$T$4:$AE$4)*1000/FP_m2,2))</f>
        <v/>
      </c>
      <c r="AN23" s="6">
        <f>IF(OR(Q23="",NOT(ISNUMBER(FP_m2)),AND(R23&lt;&gt;"FP",R23&lt;&gt;"Both")),"",ROUND(SUMPRODUCT(T23:AE23,$T$5:$AE$5)*1000/FP_m2,2))</f>
        <v/>
      </c>
      <c r="AO23" s="6">
        <f>IF(OR(Q23="",NOT(ISNUMBER(MD_m2)),AND(R23&lt;&gt;"3F4D+MD",R23&lt;&gt;"Both")),"",ROUND(SUMPRODUCT(T23:AE23,$T$4:$AE$4)*1000/MD_m2,2))</f>
        <v/>
      </c>
      <c r="AP23" s="6">
        <f>IF(OR(Q23="",NOT(ISNUMBER(MD_m2)),AND(R23&lt;&gt;"3F4D+MD",R23&lt;&gt;"Both")),"",ROUND(SUMPRODUCT(T23:AE23,$T$5:$AE$5)*1000/MD_m2,2))</f>
        <v/>
      </c>
    </row>
    <row r="24">
      <c r="A24" s="37" t="n"/>
      <c r="B24" s="6">
        <f>IF(A24="","",IF(ISNUMBER(Schedule_Farmer!$D$5),A24-Schedule_Farmer!$D$5+1,""))</f>
        <v/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Q24" s="37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6">
        <f>IF(OR(Q24="",NOT(ISNUMBER(TransDate))),"",Q24-TransDate)</f>
        <v/>
      </c>
      <c r="AM24" s="6">
        <f>IF(OR(Q24="",NOT(ISNUMBER(FP_m2)),AND(R24&lt;&gt;"FP",R24&lt;&gt;"Both")),"",ROUND(SUMPRODUCT(T24:AE24,$T$4:$AE$4)*1000/FP_m2,2))</f>
        <v/>
      </c>
      <c r="AN24" s="6">
        <f>IF(OR(Q24="",NOT(ISNUMBER(FP_m2)),AND(R24&lt;&gt;"FP",R24&lt;&gt;"Both")),"",ROUND(SUMPRODUCT(T24:AE24,$T$5:$AE$5)*1000/FP_m2,2))</f>
        <v/>
      </c>
      <c r="AO24" s="6">
        <f>IF(OR(Q24="",NOT(ISNUMBER(MD_m2)),AND(R24&lt;&gt;"3F4D+MD",R24&lt;&gt;"Both")),"",ROUND(SUMPRODUCT(T24:AE24,$T$4:$AE$4)*1000/MD_m2,2))</f>
        <v/>
      </c>
      <c r="AP24" s="6">
        <f>IF(OR(Q24="",NOT(ISNUMBER(MD_m2)),AND(R24&lt;&gt;"3F4D+MD",R24&lt;&gt;"Both")),"",ROUND(SUMPRODUCT(T24:AE24,$T$5:$AE$5)*1000/MD_m2,2))</f>
        <v/>
      </c>
    </row>
    <row r="25">
      <c r="A25" s="37" t="n"/>
      <c r="B25" s="6">
        <f>IF(A25="","",IF(ISNUMBER(Schedule_Farmer!$D$5),A25-Schedule_Farmer!$D$5+1,""))</f>
        <v/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Q25" s="37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6">
        <f>IF(OR(Q25="",NOT(ISNUMBER(TransDate))),"",Q25-TransDate)</f>
        <v/>
      </c>
      <c r="AM25" s="6">
        <f>IF(OR(Q25="",NOT(ISNUMBER(FP_m2)),AND(R25&lt;&gt;"FP",R25&lt;&gt;"Both")),"",ROUND(SUMPRODUCT(T25:AE25,$T$4:$AE$4)*1000/FP_m2,2))</f>
        <v/>
      </c>
      <c r="AN25" s="6">
        <f>IF(OR(Q25="",NOT(ISNUMBER(FP_m2)),AND(R25&lt;&gt;"FP",R25&lt;&gt;"Both")),"",ROUND(SUMPRODUCT(T25:AE25,$T$5:$AE$5)*1000/FP_m2,2))</f>
        <v/>
      </c>
      <c r="AO25" s="6">
        <f>IF(OR(Q25="",NOT(ISNUMBER(MD_m2)),AND(R25&lt;&gt;"3F4D+MD",R25&lt;&gt;"Both")),"",ROUND(SUMPRODUCT(T25:AE25,$T$4:$AE$4)*1000/MD_m2,2))</f>
        <v/>
      </c>
      <c r="AP25" s="6">
        <f>IF(OR(Q25="",NOT(ISNUMBER(MD_m2)),AND(R25&lt;&gt;"3F4D+MD",R25&lt;&gt;"Both")),"",ROUND(SUMPRODUCT(T25:AE25,$T$5:$AE$5)*1000/MD_m2,2))</f>
        <v/>
      </c>
    </row>
    <row r="26">
      <c r="A26" s="37" t="n"/>
      <c r="B26" s="6">
        <f>IF(A26="","",IF(ISNUMBER(Schedule_Farmer!$D$5),A26-Schedule_Farmer!$D$5+1,""))</f>
        <v/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Q26" s="37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6">
        <f>IF(OR(Q26="",NOT(ISNUMBER(TransDate))),"",Q26-TransDate)</f>
        <v/>
      </c>
      <c r="AM26" s="6">
        <f>IF(OR(Q26="",NOT(ISNUMBER(FP_m2)),AND(R26&lt;&gt;"FP",R26&lt;&gt;"Both")),"",ROUND(SUMPRODUCT(T26:AE26,$T$4:$AE$4)*1000/FP_m2,2))</f>
        <v/>
      </c>
      <c r="AN26" s="6">
        <f>IF(OR(Q26="",NOT(ISNUMBER(FP_m2)),AND(R26&lt;&gt;"FP",R26&lt;&gt;"Both")),"",ROUND(SUMPRODUCT(T26:AE26,$T$5:$AE$5)*1000/FP_m2,2))</f>
        <v/>
      </c>
      <c r="AO26" s="6">
        <f>IF(OR(Q26="",NOT(ISNUMBER(MD_m2)),AND(R26&lt;&gt;"3F4D+MD",R26&lt;&gt;"Both")),"",ROUND(SUMPRODUCT(T26:AE26,$T$4:$AE$4)*1000/MD_m2,2))</f>
        <v/>
      </c>
      <c r="AP26" s="6">
        <f>IF(OR(Q26="",NOT(ISNUMBER(MD_m2)),AND(R26&lt;&gt;"3F4D+MD",R26&lt;&gt;"Both")),"",ROUND(SUMPRODUCT(T26:AE26,$T$5:$AE$5)*1000/MD_m2,2))</f>
        <v/>
      </c>
    </row>
    <row r="27">
      <c r="A27" s="37" t="n"/>
      <c r="B27" s="6">
        <f>IF(A27="","",IF(ISNUMBER(Schedule_Farmer!$D$5),A27-Schedule_Farmer!$D$5+1,""))</f>
        <v/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Q27" s="37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6">
        <f>IF(OR(Q27="",NOT(ISNUMBER(TransDate))),"",Q27-TransDate)</f>
        <v/>
      </c>
      <c r="AM27" s="6">
        <f>IF(OR(Q27="",NOT(ISNUMBER(FP_m2)),AND(R27&lt;&gt;"FP",R27&lt;&gt;"Both")),"",ROUND(SUMPRODUCT(T27:AE27,$T$4:$AE$4)*1000/FP_m2,2))</f>
        <v/>
      </c>
      <c r="AN27" s="6">
        <f>IF(OR(Q27="",NOT(ISNUMBER(FP_m2)),AND(R27&lt;&gt;"FP",R27&lt;&gt;"Both")),"",ROUND(SUMPRODUCT(T27:AE27,$T$5:$AE$5)*1000/FP_m2,2))</f>
        <v/>
      </c>
      <c r="AO27" s="6">
        <f>IF(OR(Q27="",NOT(ISNUMBER(MD_m2)),AND(R27&lt;&gt;"3F4D+MD",R27&lt;&gt;"Both")),"",ROUND(SUMPRODUCT(T27:AE27,$T$4:$AE$4)*1000/MD_m2,2))</f>
        <v/>
      </c>
      <c r="AP27" s="6">
        <f>IF(OR(Q27="",NOT(ISNUMBER(MD_m2)),AND(R27&lt;&gt;"3F4D+MD",R27&lt;&gt;"Both")),"",ROUND(SUMPRODUCT(T27:AE27,$T$5:$AE$5)*1000/MD_m2,2))</f>
        <v/>
      </c>
    </row>
    <row r="28">
      <c r="A28" s="37" t="n"/>
      <c r="B28" s="6">
        <f>IF(A28="","",IF(ISNUMBER(Schedule_Farmer!$D$5),A28-Schedule_Farmer!$D$5+1,""))</f>
        <v/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Q28" s="37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6">
        <f>IF(OR(Q28="",NOT(ISNUMBER(TransDate))),"",Q28-TransDate)</f>
        <v/>
      </c>
      <c r="AM28" s="6">
        <f>IF(OR(Q28="",NOT(ISNUMBER(FP_m2)),AND(R28&lt;&gt;"FP",R28&lt;&gt;"Both")),"",ROUND(SUMPRODUCT(T28:AE28,$T$4:$AE$4)*1000/FP_m2,2))</f>
        <v/>
      </c>
      <c r="AN28" s="6">
        <f>IF(OR(Q28="",NOT(ISNUMBER(FP_m2)),AND(R28&lt;&gt;"FP",R28&lt;&gt;"Both")),"",ROUND(SUMPRODUCT(T28:AE28,$T$5:$AE$5)*1000/FP_m2,2))</f>
        <v/>
      </c>
      <c r="AO28" s="6">
        <f>IF(OR(Q28="",NOT(ISNUMBER(MD_m2)),AND(R28&lt;&gt;"3F4D+MD",R28&lt;&gt;"Both")),"",ROUND(SUMPRODUCT(T28:AE28,$T$4:$AE$4)*1000/MD_m2,2))</f>
        <v/>
      </c>
      <c r="AP28" s="6">
        <f>IF(OR(Q28="",NOT(ISNUMBER(MD_m2)),AND(R28&lt;&gt;"3F4D+MD",R28&lt;&gt;"Both")),"",ROUND(SUMPRODUCT(T28:AE28,$T$5:$AE$5)*1000/MD_m2,2))</f>
        <v/>
      </c>
    </row>
    <row r="29">
      <c r="A29" s="37" t="n"/>
      <c r="B29" s="6">
        <f>IF(A29="","",IF(ISNUMBER(Schedule_Farmer!$D$5),A29-Schedule_Farmer!$D$5+1,""))</f>
        <v/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Q29" s="37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6">
        <f>IF(OR(Q29="",NOT(ISNUMBER(TransDate))),"",Q29-TransDate)</f>
        <v/>
      </c>
      <c r="AM29" s="6">
        <f>IF(OR(Q29="",NOT(ISNUMBER(FP_m2)),AND(R29&lt;&gt;"FP",R29&lt;&gt;"Both")),"",ROUND(SUMPRODUCT(T29:AE29,$T$4:$AE$4)*1000/FP_m2,2))</f>
        <v/>
      </c>
      <c r="AN29" s="6">
        <f>IF(OR(Q29="",NOT(ISNUMBER(FP_m2)),AND(R29&lt;&gt;"FP",R29&lt;&gt;"Both")),"",ROUND(SUMPRODUCT(T29:AE29,$T$5:$AE$5)*1000/FP_m2,2))</f>
        <v/>
      </c>
      <c r="AO29" s="6">
        <f>IF(OR(Q29="",NOT(ISNUMBER(MD_m2)),AND(R29&lt;&gt;"3F4D+MD",R29&lt;&gt;"Both")),"",ROUND(SUMPRODUCT(T29:AE29,$T$4:$AE$4)*1000/MD_m2,2))</f>
        <v/>
      </c>
      <c r="AP29" s="6">
        <f>IF(OR(Q29="",NOT(ISNUMBER(MD_m2)),AND(R29&lt;&gt;"3F4D+MD",R29&lt;&gt;"Both")),"",ROUND(SUMPRODUCT(T29:AE29,$T$5:$AE$5)*1000/MD_m2,2))</f>
        <v/>
      </c>
    </row>
    <row r="30">
      <c r="A30" s="37" t="n"/>
      <c r="B30" s="6">
        <f>IF(A30="","",IF(ISNUMBER(Schedule_Farmer!$D$5),A30-Schedule_Farmer!$D$5+1,""))</f>
        <v/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Q30" s="37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6">
        <f>IF(OR(Q30="",NOT(ISNUMBER(TransDate))),"",Q30-TransDate)</f>
        <v/>
      </c>
      <c r="AM30" s="6">
        <f>IF(OR(Q30="",NOT(ISNUMBER(FP_m2)),AND(R30&lt;&gt;"FP",R30&lt;&gt;"Both")),"",ROUND(SUMPRODUCT(T30:AE30,$T$4:$AE$4)*1000/FP_m2,2))</f>
        <v/>
      </c>
      <c r="AN30" s="6">
        <f>IF(OR(Q30="",NOT(ISNUMBER(FP_m2)),AND(R30&lt;&gt;"FP",R30&lt;&gt;"Both")),"",ROUND(SUMPRODUCT(T30:AE30,$T$5:$AE$5)*1000/FP_m2,2))</f>
        <v/>
      </c>
      <c r="AO30" s="6">
        <f>IF(OR(Q30="",NOT(ISNUMBER(MD_m2)),AND(R30&lt;&gt;"3F4D+MD",R30&lt;&gt;"Both")),"",ROUND(SUMPRODUCT(T30:AE30,$T$4:$AE$4)*1000/MD_m2,2))</f>
        <v/>
      </c>
      <c r="AP30" s="6">
        <f>IF(OR(Q30="",NOT(ISNUMBER(MD_m2)),AND(R30&lt;&gt;"3F4D+MD",R30&lt;&gt;"Both")),"",ROUND(SUMPRODUCT(T30:AE30,$T$5:$AE$5)*1000/MD_m2,2))</f>
        <v/>
      </c>
    </row>
    <row r="31">
      <c r="A31" s="37" t="n"/>
      <c r="B31" s="6">
        <f>IF(A31="","",IF(ISNUMBER(Schedule_Farmer!$D$5),A31-Schedule_Farmer!$D$5+1,""))</f>
        <v/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Q31" s="37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6">
        <f>IF(OR(Q31="",NOT(ISNUMBER(TransDate))),"",Q31-TransDate)</f>
        <v/>
      </c>
      <c r="AM31" s="6">
        <f>IF(OR(Q31="",NOT(ISNUMBER(FP_m2)),AND(R31&lt;&gt;"FP",R31&lt;&gt;"Both")),"",ROUND(SUMPRODUCT(T31:AE31,$T$4:$AE$4)*1000/FP_m2,2))</f>
        <v/>
      </c>
      <c r="AN31" s="6">
        <f>IF(OR(Q31="",NOT(ISNUMBER(FP_m2)),AND(R31&lt;&gt;"FP",R31&lt;&gt;"Both")),"",ROUND(SUMPRODUCT(T31:AE31,$T$5:$AE$5)*1000/FP_m2,2))</f>
        <v/>
      </c>
      <c r="AO31" s="6">
        <f>IF(OR(Q31="",NOT(ISNUMBER(MD_m2)),AND(R31&lt;&gt;"3F4D+MD",R31&lt;&gt;"Both")),"",ROUND(SUMPRODUCT(T31:AE31,$T$4:$AE$4)*1000/MD_m2,2))</f>
        <v/>
      </c>
      <c r="AP31" s="6">
        <f>IF(OR(Q31="",NOT(ISNUMBER(MD_m2)),AND(R31&lt;&gt;"3F4D+MD",R31&lt;&gt;"Both")),"",ROUND(SUMPRODUCT(T31:AE31,$T$5:$AE$5)*1000/MD_m2,2))</f>
        <v/>
      </c>
    </row>
    <row r="32">
      <c r="A32" s="37" t="n"/>
      <c r="B32" s="6">
        <f>IF(A32="","",IF(ISNUMBER(Schedule_Farmer!$D$5),A32-Schedule_Farmer!$D$5+1,""))</f>
        <v/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Q32" s="37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6">
        <f>IF(OR(Q32="",NOT(ISNUMBER(TransDate))),"",Q32-TransDate)</f>
        <v/>
      </c>
      <c r="AM32" s="6">
        <f>IF(OR(Q32="",NOT(ISNUMBER(FP_m2)),AND(R32&lt;&gt;"FP",R32&lt;&gt;"Both")),"",ROUND(SUMPRODUCT(T32:AE32,$T$4:$AE$4)*1000/FP_m2,2))</f>
        <v/>
      </c>
      <c r="AN32" s="6">
        <f>IF(OR(Q32="",NOT(ISNUMBER(FP_m2)),AND(R32&lt;&gt;"FP",R32&lt;&gt;"Both")),"",ROUND(SUMPRODUCT(T32:AE32,$T$5:$AE$5)*1000/FP_m2,2))</f>
        <v/>
      </c>
      <c r="AO32" s="6">
        <f>IF(OR(Q32="",NOT(ISNUMBER(MD_m2)),AND(R32&lt;&gt;"3F4D+MD",R32&lt;&gt;"Both")),"",ROUND(SUMPRODUCT(T32:AE32,$T$4:$AE$4)*1000/MD_m2,2))</f>
        <v/>
      </c>
      <c r="AP32" s="6">
        <f>IF(OR(Q32="",NOT(ISNUMBER(MD_m2)),AND(R32&lt;&gt;"3F4D+MD",R32&lt;&gt;"Both")),"",ROUND(SUMPRODUCT(T32:AE32,$T$5:$AE$5)*1000/MD_m2,2))</f>
        <v/>
      </c>
    </row>
    <row r="33">
      <c r="A33" s="37" t="n"/>
      <c r="B33" s="6">
        <f>IF(A33="","",IF(ISNUMBER(Schedule_Farmer!$D$5),A33-Schedule_Farmer!$D$5+1,""))</f>
        <v/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Q33" s="37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6">
        <f>IF(OR(Q33="",NOT(ISNUMBER(TransDate))),"",Q33-TransDate)</f>
        <v/>
      </c>
      <c r="AM33" s="6">
        <f>IF(OR(Q33="",NOT(ISNUMBER(FP_m2)),AND(R33&lt;&gt;"FP",R33&lt;&gt;"Both")),"",ROUND(SUMPRODUCT(T33:AE33,$T$4:$AE$4)*1000/FP_m2,2))</f>
        <v/>
      </c>
      <c r="AN33" s="6">
        <f>IF(OR(Q33="",NOT(ISNUMBER(FP_m2)),AND(R33&lt;&gt;"FP",R33&lt;&gt;"Both")),"",ROUND(SUMPRODUCT(T33:AE33,$T$5:$AE$5)*1000/FP_m2,2))</f>
        <v/>
      </c>
      <c r="AO33" s="6">
        <f>IF(OR(Q33="",NOT(ISNUMBER(MD_m2)),AND(R33&lt;&gt;"3F4D+MD",R33&lt;&gt;"Both")),"",ROUND(SUMPRODUCT(T33:AE33,$T$4:$AE$4)*1000/MD_m2,2))</f>
        <v/>
      </c>
      <c r="AP33" s="6">
        <f>IF(OR(Q33="",NOT(ISNUMBER(MD_m2)),AND(R33&lt;&gt;"3F4D+MD",R33&lt;&gt;"Both")),"",ROUND(SUMPRODUCT(T33:AE33,$T$5:$AE$5)*1000/MD_m2,2))</f>
        <v/>
      </c>
    </row>
    <row r="34">
      <c r="A34" s="37" t="n"/>
      <c r="B34" s="6">
        <f>IF(A34="","",IF(ISNUMBER(Schedule_Farmer!$D$5),A34-Schedule_Farmer!$D$5+1,""))</f>
        <v/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Q34" s="37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6">
        <f>IF(OR(Q34="",NOT(ISNUMBER(TransDate))),"",Q34-TransDate)</f>
        <v/>
      </c>
      <c r="AM34" s="6">
        <f>IF(OR(Q34="",NOT(ISNUMBER(FP_m2)),AND(R34&lt;&gt;"FP",R34&lt;&gt;"Both")),"",ROUND(SUMPRODUCT(T34:AE34,$T$4:$AE$4)*1000/FP_m2,2))</f>
        <v/>
      </c>
      <c r="AN34" s="6">
        <f>IF(OR(Q34="",NOT(ISNUMBER(FP_m2)),AND(R34&lt;&gt;"FP",R34&lt;&gt;"Both")),"",ROUND(SUMPRODUCT(T34:AE34,$T$5:$AE$5)*1000/FP_m2,2))</f>
        <v/>
      </c>
      <c r="AO34" s="6">
        <f>IF(OR(Q34="",NOT(ISNUMBER(MD_m2)),AND(R34&lt;&gt;"3F4D+MD",R34&lt;&gt;"Both")),"",ROUND(SUMPRODUCT(T34:AE34,$T$4:$AE$4)*1000/MD_m2,2))</f>
        <v/>
      </c>
      <c r="AP34" s="6">
        <f>IF(OR(Q34="",NOT(ISNUMBER(MD_m2)),AND(R34&lt;&gt;"3F4D+MD",R34&lt;&gt;"Both")),"",ROUND(SUMPRODUCT(T34:AE34,$T$5:$AE$5)*1000/MD_m2,2))</f>
        <v/>
      </c>
    </row>
    <row r="35">
      <c r="A35" s="37" t="n"/>
      <c r="B35" s="6">
        <f>IF(A35="","",IF(ISNUMBER(Schedule_Farmer!$D$5),A35-Schedule_Farmer!$D$5+1,""))</f>
        <v/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Q35" s="37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6">
        <f>IF(OR(Q35="",NOT(ISNUMBER(TransDate))),"",Q35-TransDate)</f>
        <v/>
      </c>
      <c r="AM35" s="6">
        <f>IF(OR(Q35="",NOT(ISNUMBER(FP_m2)),AND(R35&lt;&gt;"FP",R35&lt;&gt;"Both")),"",ROUND(SUMPRODUCT(T35:AE35,$T$4:$AE$4)*1000/FP_m2,2))</f>
        <v/>
      </c>
      <c r="AN35" s="6">
        <f>IF(OR(Q35="",NOT(ISNUMBER(FP_m2)),AND(R35&lt;&gt;"FP",R35&lt;&gt;"Both")),"",ROUND(SUMPRODUCT(T35:AE35,$T$5:$AE$5)*1000/FP_m2,2))</f>
        <v/>
      </c>
      <c r="AO35" s="6">
        <f>IF(OR(Q35="",NOT(ISNUMBER(MD_m2)),AND(R35&lt;&gt;"3F4D+MD",R35&lt;&gt;"Both")),"",ROUND(SUMPRODUCT(T35:AE35,$T$4:$AE$4)*1000/MD_m2,2))</f>
        <v/>
      </c>
      <c r="AP35" s="6">
        <f>IF(OR(Q35="",NOT(ISNUMBER(MD_m2)),AND(R35&lt;&gt;"3F4D+MD",R35&lt;&gt;"Both")),"",ROUND(SUMPRODUCT(T35:AE35,$T$5:$AE$5)*1000/MD_m2,2))</f>
        <v/>
      </c>
    </row>
    <row r="36">
      <c r="A36" s="37" t="n"/>
      <c r="B36" s="6">
        <f>IF(A36="","",IF(ISNUMBER(Schedule_Farmer!$D$5),A36-Schedule_Farmer!$D$5+1,""))</f>
        <v/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Q36" s="37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6">
        <f>IF(OR(Q36="",NOT(ISNUMBER(TransDate))),"",Q36-TransDate)</f>
        <v/>
      </c>
      <c r="AM36" s="6">
        <f>IF(OR(Q36="",NOT(ISNUMBER(FP_m2)),AND(R36&lt;&gt;"FP",R36&lt;&gt;"Both")),"",ROUND(SUMPRODUCT(T36:AE36,$T$4:$AE$4)*1000/FP_m2,2))</f>
        <v/>
      </c>
      <c r="AN36" s="6">
        <f>IF(OR(Q36="",NOT(ISNUMBER(FP_m2)),AND(R36&lt;&gt;"FP",R36&lt;&gt;"Both")),"",ROUND(SUMPRODUCT(T36:AE36,$T$5:$AE$5)*1000/FP_m2,2))</f>
        <v/>
      </c>
      <c r="AO36" s="6">
        <f>IF(OR(Q36="",NOT(ISNUMBER(MD_m2)),AND(R36&lt;&gt;"3F4D+MD",R36&lt;&gt;"Both")),"",ROUND(SUMPRODUCT(T36:AE36,$T$4:$AE$4)*1000/MD_m2,2))</f>
        <v/>
      </c>
      <c r="AP36" s="6">
        <f>IF(OR(Q36="",NOT(ISNUMBER(MD_m2)),AND(R36&lt;&gt;"3F4D+MD",R36&lt;&gt;"Both")),"",ROUND(SUMPRODUCT(T36:AE36,$T$5:$AE$5)*1000/MD_m2,2))</f>
        <v/>
      </c>
    </row>
    <row r="37">
      <c r="A37" s="37" t="n"/>
      <c r="B37" s="6">
        <f>IF(A37="","",IF(ISNUMBER(Schedule_Farmer!$D$5),A37-Schedule_Farmer!$D$5+1,""))</f>
        <v/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Q37" s="37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6">
        <f>IF(OR(Q37="",NOT(ISNUMBER(TransDate))),"",Q37-TransDate)</f>
        <v/>
      </c>
      <c r="AM37" s="6">
        <f>IF(OR(Q37="",NOT(ISNUMBER(FP_m2)),AND(R37&lt;&gt;"FP",R37&lt;&gt;"Both")),"",ROUND(SUMPRODUCT(T37:AE37,$T$4:$AE$4)*1000/FP_m2,2))</f>
        <v/>
      </c>
      <c r="AN37" s="6">
        <f>IF(OR(Q37="",NOT(ISNUMBER(FP_m2)),AND(R37&lt;&gt;"FP",R37&lt;&gt;"Both")),"",ROUND(SUMPRODUCT(T37:AE37,$T$5:$AE$5)*1000/FP_m2,2))</f>
        <v/>
      </c>
      <c r="AO37" s="6">
        <f>IF(OR(Q37="",NOT(ISNUMBER(MD_m2)),AND(R37&lt;&gt;"3F4D+MD",R37&lt;&gt;"Both")),"",ROUND(SUMPRODUCT(T37:AE37,$T$4:$AE$4)*1000/MD_m2,2))</f>
        <v/>
      </c>
      <c r="AP37" s="6">
        <f>IF(OR(Q37="",NOT(ISNUMBER(MD_m2)),AND(R37&lt;&gt;"3F4D+MD",R37&lt;&gt;"Both")),"",ROUND(SUMPRODUCT(T37:AE37,$T$5:$AE$5)*1000/MD_m2,2))</f>
        <v/>
      </c>
    </row>
    <row r="38">
      <c r="A38" s="37" t="n"/>
      <c r="B38" s="6">
        <f>IF(A38="","",IF(ISNUMBER(Schedule_Farmer!$D$5),A38-Schedule_Farmer!$D$5+1,""))</f>
        <v/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Q38" s="37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6">
        <f>IF(OR(Q38="",NOT(ISNUMBER(TransDate))),"",Q38-TransDate)</f>
        <v/>
      </c>
      <c r="AM38" s="6">
        <f>IF(OR(Q38="",NOT(ISNUMBER(FP_m2)),AND(R38&lt;&gt;"FP",R38&lt;&gt;"Both")),"",ROUND(SUMPRODUCT(T38:AE38,$T$4:$AE$4)*1000/FP_m2,2))</f>
        <v/>
      </c>
      <c r="AN38" s="6">
        <f>IF(OR(Q38="",NOT(ISNUMBER(FP_m2)),AND(R38&lt;&gt;"FP",R38&lt;&gt;"Both")),"",ROUND(SUMPRODUCT(T38:AE38,$T$5:$AE$5)*1000/FP_m2,2))</f>
        <v/>
      </c>
      <c r="AO38" s="6">
        <f>IF(OR(Q38="",NOT(ISNUMBER(MD_m2)),AND(R38&lt;&gt;"3F4D+MD",R38&lt;&gt;"Both")),"",ROUND(SUMPRODUCT(T38:AE38,$T$4:$AE$4)*1000/MD_m2,2))</f>
        <v/>
      </c>
      <c r="AP38" s="6">
        <f>IF(OR(Q38="",NOT(ISNUMBER(MD_m2)),AND(R38&lt;&gt;"3F4D+MD",R38&lt;&gt;"Both")),"",ROUND(SUMPRODUCT(T38:AE38,$T$5:$AE$5)*1000/MD_m2,2))</f>
        <v/>
      </c>
    </row>
    <row r="39">
      <c r="A39" s="37" t="n"/>
      <c r="B39" s="6">
        <f>IF(A39="","",IF(ISNUMBER(Schedule_Farmer!$D$5),A39-Schedule_Farmer!$D$5+1,""))</f>
        <v/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Q39" s="37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6">
        <f>IF(OR(Q39="",NOT(ISNUMBER(TransDate))),"",Q39-TransDate)</f>
        <v/>
      </c>
      <c r="AM39" s="6">
        <f>IF(OR(Q39="",NOT(ISNUMBER(FP_m2)),AND(R39&lt;&gt;"FP",R39&lt;&gt;"Both")),"",ROUND(SUMPRODUCT(T39:AE39,$T$4:$AE$4)*1000/FP_m2,2))</f>
        <v/>
      </c>
      <c r="AN39" s="6">
        <f>IF(OR(Q39="",NOT(ISNUMBER(FP_m2)),AND(R39&lt;&gt;"FP",R39&lt;&gt;"Both")),"",ROUND(SUMPRODUCT(T39:AE39,$T$5:$AE$5)*1000/FP_m2,2))</f>
        <v/>
      </c>
      <c r="AO39" s="6">
        <f>IF(OR(Q39="",NOT(ISNUMBER(MD_m2)),AND(R39&lt;&gt;"3F4D+MD",R39&lt;&gt;"Both")),"",ROUND(SUMPRODUCT(T39:AE39,$T$4:$AE$4)*1000/MD_m2,2))</f>
        <v/>
      </c>
      <c r="AP39" s="6">
        <f>IF(OR(Q39="",NOT(ISNUMBER(MD_m2)),AND(R39&lt;&gt;"3F4D+MD",R39&lt;&gt;"Both")),"",ROUND(SUMPRODUCT(T39:AE39,$T$5:$AE$5)*1000/MD_m2,2))</f>
        <v/>
      </c>
    </row>
    <row r="40">
      <c r="A40" s="37" t="n"/>
      <c r="B40" s="6">
        <f>IF(A40="","",IF(ISNUMBER(Schedule_Farmer!$D$5),A40-Schedule_Farmer!$D$5+1,""))</f>
        <v/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Q40" s="37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6">
        <f>IF(OR(Q40="",NOT(ISNUMBER(TransDate))),"",Q40-TransDate)</f>
        <v/>
      </c>
      <c r="AM40" s="6">
        <f>IF(OR(Q40="",NOT(ISNUMBER(FP_m2)),AND(R40&lt;&gt;"FP",R40&lt;&gt;"Both")),"",ROUND(SUMPRODUCT(T40:AE40,$T$4:$AE$4)*1000/FP_m2,2))</f>
        <v/>
      </c>
      <c r="AN40" s="6">
        <f>IF(OR(Q40="",NOT(ISNUMBER(FP_m2)),AND(R40&lt;&gt;"FP",R40&lt;&gt;"Both")),"",ROUND(SUMPRODUCT(T40:AE40,$T$5:$AE$5)*1000/FP_m2,2))</f>
        <v/>
      </c>
      <c r="AO40" s="6">
        <f>IF(OR(Q40="",NOT(ISNUMBER(MD_m2)),AND(R40&lt;&gt;"3F4D+MD",R40&lt;&gt;"Both")),"",ROUND(SUMPRODUCT(T40:AE40,$T$4:$AE$4)*1000/MD_m2,2))</f>
        <v/>
      </c>
      <c r="AP40" s="6">
        <f>IF(OR(Q40="",NOT(ISNUMBER(MD_m2)),AND(R40&lt;&gt;"3F4D+MD",R40&lt;&gt;"Both")),"",ROUND(SUMPRODUCT(T40:AE40,$T$5:$AE$5)*1000/MD_m2,2))</f>
        <v/>
      </c>
    </row>
    <row r="41">
      <c r="A41" s="37" t="n"/>
      <c r="B41" s="6">
        <f>IF(A41="","",IF(ISNUMBER(Schedule_Farmer!$D$5),A41-Schedule_Farmer!$D$5+1,""))</f>
        <v/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Q41" s="37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6">
        <f>IF(OR(Q41="",NOT(ISNUMBER(TransDate))),"",Q41-TransDate)</f>
        <v/>
      </c>
      <c r="AM41" s="6">
        <f>IF(OR(Q41="",NOT(ISNUMBER(FP_m2)),AND(R41&lt;&gt;"FP",R41&lt;&gt;"Both")),"",ROUND(SUMPRODUCT(T41:AE41,$T$4:$AE$4)*1000/FP_m2,2))</f>
        <v/>
      </c>
      <c r="AN41" s="6">
        <f>IF(OR(Q41="",NOT(ISNUMBER(FP_m2)),AND(R41&lt;&gt;"FP",R41&lt;&gt;"Both")),"",ROUND(SUMPRODUCT(T41:AE41,$T$5:$AE$5)*1000/FP_m2,2))</f>
        <v/>
      </c>
      <c r="AO41" s="6">
        <f>IF(OR(Q41="",NOT(ISNUMBER(MD_m2)),AND(R41&lt;&gt;"3F4D+MD",R41&lt;&gt;"Both")),"",ROUND(SUMPRODUCT(T41:AE41,$T$4:$AE$4)*1000/MD_m2,2))</f>
        <v/>
      </c>
      <c r="AP41" s="6">
        <f>IF(OR(Q41="",NOT(ISNUMBER(MD_m2)),AND(R41&lt;&gt;"3F4D+MD",R41&lt;&gt;"Both")),"",ROUND(SUMPRODUCT(T41:AE41,$T$5:$AE$5)*1000/MD_m2,2))</f>
        <v/>
      </c>
    </row>
    <row r="42">
      <c r="A42" s="37" t="n"/>
      <c r="B42" s="6">
        <f>IF(A42="","",IF(ISNUMBER(Schedule_Farmer!$D$5),A42-Schedule_Farmer!$D$5+1,""))</f>
        <v/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Q42" s="37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6">
        <f>IF(OR(Q42="",NOT(ISNUMBER(TransDate))),"",Q42-TransDate)</f>
        <v/>
      </c>
      <c r="AM42" s="6">
        <f>IF(OR(Q42="",NOT(ISNUMBER(FP_m2)),AND(R42&lt;&gt;"FP",R42&lt;&gt;"Both")),"",ROUND(SUMPRODUCT(T42:AE42,$T$4:$AE$4)*1000/FP_m2,2))</f>
        <v/>
      </c>
      <c r="AN42" s="6">
        <f>IF(OR(Q42="",NOT(ISNUMBER(FP_m2)),AND(R42&lt;&gt;"FP",R42&lt;&gt;"Both")),"",ROUND(SUMPRODUCT(T42:AE42,$T$5:$AE$5)*1000/FP_m2,2))</f>
        <v/>
      </c>
      <c r="AO42" s="6">
        <f>IF(OR(Q42="",NOT(ISNUMBER(MD_m2)),AND(R42&lt;&gt;"3F4D+MD",R42&lt;&gt;"Both")),"",ROUND(SUMPRODUCT(T42:AE42,$T$4:$AE$4)*1000/MD_m2,2))</f>
        <v/>
      </c>
      <c r="AP42" s="6">
        <f>IF(OR(Q42="",NOT(ISNUMBER(MD_m2)),AND(R42&lt;&gt;"3F4D+MD",R42&lt;&gt;"Both")),"",ROUND(SUMPRODUCT(T42:AE42,$T$5:$AE$5)*1000/MD_m2,2))</f>
        <v/>
      </c>
    </row>
    <row r="43">
      <c r="A43" s="37" t="n"/>
      <c r="B43" s="6">
        <f>IF(A43="","",IF(ISNUMBER(Schedule_Farmer!$D$5),A43-Schedule_Farmer!$D$5+1,""))</f>
        <v/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Q43" s="37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6">
        <f>IF(OR(Q43="",NOT(ISNUMBER(TransDate))),"",Q43-TransDate)</f>
        <v/>
      </c>
      <c r="AM43" s="6">
        <f>IF(OR(Q43="",NOT(ISNUMBER(FP_m2)),AND(R43&lt;&gt;"FP",R43&lt;&gt;"Both")),"",ROUND(SUMPRODUCT(T43:AE43,$T$4:$AE$4)*1000/FP_m2,2))</f>
        <v/>
      </c>
      <c r="AN43" s="6">
        <f>IF(OR(Q43="",NOT(ISNUMBER(FP_m2)),AND(R43&lt;&gt;"FP",R43&lt;&gt;"Both")),"",ROUND(SUMPRODUCT(T43:AE43,$T$5:$AE$5)*1000/FP_m2,2))</f>
        <v/>
      </c>
      <c r="AO43" s="6">
        <f>IF(OR(Q43="",NOT(ISNUMBER(MD_m2)),AND(R43&lt;&gt;"3F4D+MD",R43&lt;&gt;"Both")),"",ROUND(SUMPRODUCT(T43:AE43,$T$4:$AE$4)*1000/MD_m2,2))</f>
        <v/>
      </c>
      <c r="AP43" s="6">
        <f>IF(OR(Q43="",NOT(ISNUMBER(MD_m2)),AND(R43&lt;&gt;"3F4D+MD",R43&lt;&gt;"Both")),"",ROUND(SUMPRODUCT(T43:AE43,$T$5:$AE$5)*1000/MD_m2,2))</f>
        <v/>
      </c>
    </row>
    <row r="44">
      <c r="A44" s="37" t="n"/>
      <c r="B44" s="6">
        <f>IF(A44="","",IF(ISNUMBER(Schedule_Farmer!$D$5),A44-Schedule_Farmer!$D$5+1,""))</f>
        <v/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Q44" s="37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6">
        <f>IF(OR(Q44="",NOT(ISNUMBER(TransDate))),"",Q44-TransDate)</f>
        <v/>
      </c>
      <c r="AM44" s="6">
        <f>IF(OR(Q44="",NOT(ISNUMBER(FP_m2)),AND(R44&lt;&gt;"FP",R44&lt;&gt;"Both")),"",ROUND(SUMPRODUCT(T44:AE44,$T$4:$AE$4)*1000/FP_m2,2))</f>
        <v/>
      </c>
      <c r="AN44" s="6">
        <f>IF(OR(Q44="",NOT(ISNUMBER(FP_m2)),AND(R44&lt;&gt;"FP",R44&lt;&gt;"Both")),"",ROUND(SUMPRODUCT(T44:AE44,$T$5:$AE$5)*1000/FP_m2,2))</f>
        <v/>
      </c>
      <c r="AO44" s="6">
        <f>IF(OR(Q44="",NOT(ISNUMBER(MD_m2)),AND(R44&lt;&gt;"3F4D+MD",R44&lt;&gt;"Both")),"",ROUND(SUMPRODUCT(T44:AE44,$T$4:$AE$4)*1000/MD_m2,2))</f>
        <v/>
      </c>
      <c r="AP44" s="6">
        <f>IF(OR(Q44="",NOT(ISNUMBER(MD_m2)),AND(R44&lt;&gt;"3F4D+MD",R44&lt;&gt;"Both")),"",ROUND(SUMPRODUCT(T44:AE44,$T$5:$AE$5)*1000/MD_m2,2))</f>
        <v/>
      </c>
    </row>
    <row r="45">
      <c r="A45" s="37" t="n"/>
      <c r="B45" s="6">
        <f>IF(A45="","",IF(ISNUMBER(Schedule_Farmer!$D$5),A45-Schedule_Farmer!$D$5+1,""))</f>
        <v/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Q45" s="37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6">
        <f>IF(OR(Q45="",NOT(ISNUMBER(TransDate))),"",Q45-TransDate)</f>
        <v/>
      </c>
      <c r="AM45" s="6">
        <f>IF(OR(Q45="",NOT(ISNUMBER(FP_m2)),AND(R45&lt;&gt;"FP",R45&lt;&gt;"Both")),"",ROUND(SUMPRODUCT(T45:AE45,$T$4:$AE$4)*1000/FP_m2,2))</f>
        <v/>
      </c>
      <c r="AN45" s="6">
        <f>IF(OR(Q45="",NOT(ISNUMBER(FP_m2)),AND(R45&lt;&gt;"FP",R45&lt;&gt;"Both")),"",ROUND(SUMPRODUCT(T45:AE45,$T$5:$AE$5)*1000/FP_m2,2))</f>
        <v/>
      </c>
      <c r="AO45" s="6">
        <f>IF(OR(Q45="",NOT(ISNUMBER(MD_m2)),AND(R45&lt;&gt;"3F4D+MD",R45&lt;&gt;"Both")),"",ROUND(SUMPRODUCT(T45:AE45,$T$4:$AE$4)*1000/MD_m2,2))</f>
        <v/>
      </c>
      <c r="AP45" s="6">
        <f>IF(OR(Q45="",NOT(ISNUMBER(MD_m2)),AND(R45&lt;&gt;"3F4D+MD",R45&lt;&gt;"Both")),"",ROUND(SUMPRODUCT(T45:AE45,$T$5:$AE$5)*1000/MD_m2,2))</f>
        <v/>
      </c>
    </row>
    <row r="46">
      <c r="A46" s="37" t="n"/>
      <c r="B46" s="6">
        <f>IF(A46="","",IF(ISNUMBER(Schedule_Farmer!$D$5),A46-Schedule_Farmer!$D$5+1,""))</f>
        <v/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Q46" s="37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6">
        <f>IF(OR(Q46="",NOT(ISNUMBER(TransDate))),"",Q46-TransDate)</f>
        <v/>
      </c>
      <c r="AM46" s="6">
        <f>IF(OR(Q46="",NOT(ISNUMBER(FP_m2)),AND(R46&lt;&gt;"FP",R46&lt;&gt;"Both")),"",ROUND(SUMPRODUCT(T46:AE46,$T$4:$AE$4)*1000/FP_m2,2))</f>
        <v/>
      </c>
      <c r="AN46" s="6">
        <f>IF(OR(Q46="",NOT(ISNUMBER(FP_m2)),AND(R46&lt;&gt;"FP",R46&lt;&gt;"Both")),"",ROUND(SUMPRODUCT(T46:AE46,$T$5:$AE$5)*1000/FP_m2,2))</f>
        <v/>
      </c>
      <c r="AO46" s="6">
        <f>IF(OR(Q46="",NOT(ISNUMBER(MD_m2)),AND(R46&lt;&gt;"3F4D+MD",R46&lt;&gt;"Both")),"",ROUND(SUMPRODUCT(T46:AE46,$T$4:$AE$4)*1000/MD_m2,2))</f>
        <v/>
      </c>
      <c r="AP46" s="6">
        <f>IF(OR(Q46="",NOT(ISNUMBER(MD_m2)),AND(R46&lt;&gt;"3F4D+MD",R46&lt;&gt;"Both")),"",ROUND(SUMPRODUCT(T46:AE46,$T$5:$AE$5)*1000/MD_m2,2))</f>
        <v/>
      </c>
    </row>
    <row r="47">
      <c r="A47" s="37" t="n"/>
      <c r="B47" s="6">
        <f>IF(A47="","",IF(ISNUMBER(Schedule_Farmer!$D$5),A47-Schedule_Farmer!$D$5+1,""))</f>
        <v/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Q47" s="37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6">
        <f>IF(OR(Q47="",NOT(ISNUMBER(TransDate))),"",Q47-TransDate)</f>
        <v/>
      </c>
      <c r="AM47" s="6">
        <f>IF(OR(Q47="",NOT(ISNUMBER(FP_m2)),AND(R47&lt;&gt;"FP",R47&lt;&gt;"Both")),"",ROUND(SUMPRODUCT(T47:AE47,$T$4:$AE$4)*1000/FP_m2,2))</f>
        <v/>
      </c>
      <c r="AN47" s="6">
        <f>IF(OR(Q47="",NOT(ISNUMBER(FP_m2)),AND(R47&lt;&gt;"FP",R47&lt;&gt;"Both")),"",ROUND(SUMPRODUCT(T47:AE47,$T$5:$AE$5)*1000/FP_m2,2))</f>
        <v/>
      </c>
      <c r="AO47" s="6">
        <f>IF(OR(Q47="",NOT(ISNUMBER(MD_m2)),AND(R47&lt;&gt;"3F4D+MD",R47&lt;&gt;"Both")),"",ROUND(SUMPRODUCT(T47:AE47,$T$4:$AE$4)*1000/MD_m2,2))</f>
        <v/>
      </c>
      <c r="AP47" s="6">
        <f>IF(OR(Q47="",NOT(ISNUMBER(MD_m2)),AND(R47&lt;&gt;"3F4D+MD",R47&lt;&gt;"Both")),"",ROUND(SUMPRODUCT(T47:AE47,$T$5:$AE$5)*1000/MD_m2,2))</f>
        <v/>
      </c>
    </row>
    <row r="48">
      <c r="A48" s="37" t="n"/>
      <c r="B48" s="6">
        <f>IF(A48="","",IF(ISNUMBER(Schedule_Farmer!$D$5),A48-Schedule_Farmer!$D$5+1,""))</f>
        <v/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Q48" s="37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6">
        <f>IF(OR(Q48="",NOT(ISNUMBER(TransDate))),"",Q48-TransDate)</f>
        <v/>
      </c>
      <c r="AM48" s="6">
        <f>IF(OR(Q48="",NOT(ISNUMBER(FP_m2)),AND(R48&lt;&gt;"FP",R48&lt;&gt;"Both")),"",ROUND(SUMPRODUCT(T48:AE48,$T$4:$AE$4)*1000/FP_m2,2))</f>
        <v/>
      </c>
      <c r="AN48" s="6">
        <f>IF(OR(Q48="",NOT(ISNUMBER(FP_m2)),AND(R48&lt;&gt;"FP",R48&lt;&gt;"Both")),"",ROUND(SUMPRODUCT(T48:AE48,$T$5:$AE$5)*1000/FP_m2,2))</f>
        <v/>
      </c>
      <c r="AO48" s="6">
        <f>IF(OR(Q48="",NOT(ISNUMBER(MD_m2)),AND(R48&lt;&gt;"3F4D+MD",R48&lt;&gt;"Both")),"",ROUND(SUMPRODUCT(T48:AE48,$T$4:$AE$4)*1000/MD_m2,2))</f>
        <v/>
      </c>
      <c r="AP48" s="6">
        <f>IF(OR(Q48="",NOT(ISNUMBER(MD_m2)),AND(R48&lt;&gt;"3F4D+MD",R48&lt;&gt;"Both")),"",ROUND(SUMPRODUCT(T48:AE48,$T$5:$AE$5)*1000/MD_m2,2))</f>
        <v/>
      </c>
    </row>
    <row r="49">
      <c r="A49" s="37" t="n"/>
      <c r="B49" s="6">
        <f>IF(A49="","",IF(ISNUMBER(Schedule_Farmer!$D$5),A49-Schedule_Farmer!$D$5+1,""))</f>
        <v/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Q49" s="37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6">
        <f>IF(OR(Q49="",NOT(ISNUMBER(TransDate))),"",Q49-TransDate)</f>
        <v/>
      </c>
      <c r="AM49" s="6">
        <f>IF(OR(Q49="",NOT(ISNUMBER(FP_m2)),AND(R49&lt;&gt;"FP",R49&lt;&gt;"Both")),"",ROUND(SUMPRODUCT(T49:AE49,$T$4:$AE$4)*1000/FP_m2,2))</f>
        <v/>
      </c>
      <c r="AN49" s="6">
        <f>IF(OR(Q49="",NOT(ISNUMBER(FP_m2)),AND(R49&lt;&gt;"FP",R49&lt;&gt;"Both")),"",ROUND(SUMPRODUCT(T49:AE49,$T$5:$AE$5)*1000/FP_m2,2))</f>
        <v/>
      </c>
      <c r="AO49" s="6">
        <f>IF(OR(Q49="",NOT(ISNUMBER(MD_m2)),AND(R49&lt;&gt;"3F4D+MD",R49&lt;&gt;"Both")),"",ROUND(SUMPRODUCT(T49:AE49,$T$4:$AE$4)*1000/MD_m2,2))</f>
        <v/>
      </c>
      <c r="AP49" s="6">
        <f>IF(OR(Q49="",NOT(ISNUMBER(MD_m2)),AND(R49&lt;&gt;"3F4D+MD",R49&lt;&gt;"Both")),"",ROUND(SUMPRODUCT(T49:AE49,$T$5:$AE$5)*1000/MD_m2,2))</f>
        <v/>
      </c>
    </row>
    <row r="50">
      <c r="A50" s="37" t="n"/>
      <c r="B50" s="6">
        <f>IF(A50="","",IF(ISNUMBER(Schedule_Farmer!$D$5),A50-Schedule_Farmer!$D$5+1,""))</f>
        <v/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Q50" s="37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6">
        <f>IF(OR(Q50="",NOT(ISNUMBER(TransDate))),"",Q50-TransDate)</f>
        <v/>
      </c>
      <c r="AM50" s="6">
        <f>IF(OR(Q50="",NOT(ISNUMBER(FP_m2)),AND(R50&lt;&gt;"FP",R50&lt;&gt;"Both")),"",ROUND(SUMPRODUCT(T50:AE50,$T$4:$AE$4)*1000/FP_m2,2))</f>
        <v/>
      </c>
      <c r="AN50" s="6">
        <f>IF(OR(Q50="",NOT(ISNUMBER(FP_m2)),AND(R50&lt;&gt;"FP",R50&lt;&gt;"Both")),"",ROUND(SUMPRODUCT(T50:AE50,$T$5:$AE$5)*1000/FP_m2,2))</f>
        <v/>
      </c>
      <c r="AO50" s="6">
        <f>IF(OR(Q50="",NOT(ISNUMBER(MD_m2)),AND(R50&lt;&gt;"3F4D+MD",R50&lt;&gt;"Both")),"",ROUND(SUMPRODUCT(T50:AE50,$T$4:$AE$4)*1000/MD_m2,2))</f>
        <v/>
      </c>
      <c r="AP50" s="6">
        <f>IF(OR(Q50="",NOT(ISNUMBER(MD_m2)),AND(R50&lt;&gt;"3F4D+MD",R50&lt;&gt;"Both")),"",ROUND(SUMPRODUCT(T50:AE50,$T$5:$AE$5)*1000/MD_m2,2))</f>
        <v/>
      </c>
    </row>
    <row r="51">
      <c r="A51" s="37" t="n"/>
      <c r="B51" s="6">
        <f>IF(A51="","",IF(ISNUMBER(Schedule_Farmer!$D$5),A51-Schedule_Farmer!$D$5+1,""))</f>
        <v/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Q51" s="37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6">
        <f>IF(OR(Q51="",NOT(ISNUMBER(TransDate))),"",Q51-TransDate)</f>
        <v/>
      </c>
      <c r="AM51" s="6">
        <f>IF(OR(Q51="",NOT(ISNUMBER(FP_m2)),AND(R51&lt;&gt;"FP",R51&lt;&gt;"Both")),"",ROUND(SUMPRODUCT(T51:AE51,$T$4:$AE$4)*1000/FP_m2,2))</f>
        <v/>
      </c>
      <c r="AN51" s="6">
        <f>IF(OR(Q51="",NOT(ISNUMBER(FP_m2)),AND(R51&lt;&gt;"FP",R51&lt;&gt;"Both")),"",ROUND(SUMPRODUCT(T51:AE51,$T$5:$AE$5)*1000/FP_m2,2))</f>
        <v/>
      </c>
      <c r="AO51" s="6">
        <f>IF(OR(Q51="",NOT(ISNUMBER(MD_m2)),AND(R51&lt;&gt;"3F4D+MD",R51&lt;&gt;"Both")),"",ROUND(SUMPRODUCT(T51:AE51,$T$4:$AE$4)*1000/MD_m2,2))</f>
        <v/>
      </c>
      <c r="AP51" s="6">
        <f>IF(OR(Q51="",NOT(ISNUMBER(MD_m2)),AND(R51&lt;&gt;"3F4D+MD",R51&lt;&gt;"Both")),"",ROUND(SUMPRODUCT(T51:AE51,$T$5:$AE$5)*1000/MD_m2,2))</f>
        <v/>
      </c>
    </row>
    <row r="52">
      <c r="A52" s="37" t="n"/>
      <c r="B52" s="6">
        <f>IF(A52="","",IF(ISNUMBER(Schedule_Farmer!$D$5),A52-Schedule_Farmer!$D$5+1,""))</f>
        <v/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Q52" s="37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6">
        <f>IF(OR(Q52="",NOT(ISNUMBER(TransDate))),"",Q52-TransDate)</f>
        <v/>
      </c>
      <c r="AM52" s="6">
        <f>IF(OR(Q52="",NOT(ISNUMBER(FP_m2)),AND(R52&lt;&gt;"FP",R52&lt;&gt;"Both")),"",ROUND(SUMPRODUCT(T52:AE52,$T$4:$AE$4)*1000/FP_m2,2))</f>
        <v/>
      </c>
      <c r="AN52" s="6">
        <f>IF(OR(Q52="",NOT(ISNUMBER(FP_m2)),AND(R52&lt;&gt;"FP",R52&lt;&gt;"Both")),"",ROUND(SUMPRODUCT(T52:AE52,$T$5:$AE$5)*1000/FP_m2,2))</f>
        <v/>
      </c>
      <c r="AO52" s="6">
        <f>IF(OR(Q52="",NOT(ISNUMBER(MD_m2)),AND(R52&lt;&gt;"3F4D+MD",R52&lt;&gt;"Both")),"",ROUND(SUMPRODUCT(T52:AE52,$T$4:$AE$4)*1000/MD_m2,2))</f>
        <v/>
      </c>
      <c r="AP52" s="6">
        <f>IF(OR(Q52="",NOT(ISNUMBER(MD_m2)),AND(R52&lt;&gt;"3F4D+MD",R52&lt;&gt;"Both")),"",ROUND(SUMPRODUCT(T52:AE52,$T$5:$AE$5)*1000/MD_m2,2))</f>
        <v/>
      </c>
    </row>
    <row r="53">
      <c r="A53" s="37" t="n"/>
      <c r="B53" s="6">
        <f>IF(A53="","",IF(ISNUMBER(Schedule_Farmer!$D$5),A53-Schedule_Farmer!$D$5+1,""))</f>
        <v/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Q53" s="37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6">
        <f>IF(OR(Q53="",NOT(ISNUMBER(TransDate))),"",Q53-TransDate)</f>
        <v/>
      </c>
      <c r="AM53" s="6">
        <f>IF(OR(Q53="",NOT(ISNUMBER(FP_m2)),AND(R53&lt;&gt;"FP",R53&lt;&gt;"Both")),"",ROUND(SUMPRODUCT(T53:AE53,$T$4:$AE$4)*1000/FP_m2,2))</f>
        <v/>
      </c>
      <c r="AN53" s="6">
        <f>IF(OR(Q53="",NOT(ISNUMBER(FP_m2)),AND(R53&lt;&gt;"FP",R53&lt;&gt;"Both")),"",ROUND(SUMPRODUCT(T53:AE53,$T$5:$AE$5)*1000/FP_m2,2))</f>
        <v/>
      </c>
      <c r="AO53" s="6">
        <f>IF(OR(Q53="",NOT(ISNUMBER(MD_m2)),AND(R53&lt;&gt;"3F4D+MD",R53&lt;&gt;"Both")),"",ROUND(SUMPRODUCT(T53:AE53,$T$4:$AE$4)*1000/MD_m2,2))</f>
        <v/>
      </c>
      <c r="AP53" s="6">
        <f>IF(OR(Q53="",NOT(ISNUMBER(MD_m2)),AND(R53&lt;&gt;"3F4D+MD",R53&lt;&gt;"Both")),"",ROUND(SUMPRODUCT(T53:AE53,$T$5:$AE$5)*1000/MD_m2,2))</f>
        <v/>
      </c>
    </row>
    <row r="54">
      <c r="A54" s="37" t="n"/>
      <c r="B54" s="6">
        <f>IF(A54="","",IF(ISNUMBER(Schedule_Farmer!$D$5),A54-Schedule_Farmer!$D$5+1,""))</f>
        <v/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Q54" s="37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6">
        <f>IF(OR(Q54="",NOT(ISNUMBER(TransDate))),"",Q54-TransDate)</f>
        <v/>
      </c>
      <c r="AM54" s="6">
        <f>IF(OR(Q54="",NOT(ISNUMBER(FP_m2)),AND(R54&lt;&gt;"FP",R54&lt;&gt;"Both")),"",ROUND(SUMPRODUCT(T54:AE54,$T$4:$AE$4)*1000/FP_m2,2))</f>
        <v/>
      </c>
      <c r="AN54" s="6">
        <f>IF(OR(Q54="",NOT(ISNUMBER(FP_m2)),AND(R54&lt;&gt;"FP",R54&lt;&gt;"Both")),"",ROUND(SUMPRODUCT(T54:AE54,$T$5:$AE$5)*1000/FP_m2,2))</f>
        <v/>
      </c>
      <c r="AO54" s="6">
        <f>IF(OR(Q54="",NOT(ISNUMBER(MD_m2)),AND(R54&lt;&gt;"3F4D+MD",R54&lt;&gt;"Both")),"",ROUND(SUMPRODUCT(T54:AE54,$T$4:$AE$4)*1000/MD_m2,2))</f>
        <v/>
      </c>
      <c r="AP54" s="6">
        <f>IF(OR(Q54="",NOT(ISNUMBER(MD_m2)),AND(R54&lt;&gt;"3F4D+MD",R54&lt;&gt;"Both")),"",ROUND(SUMPRODUCT(T54:AE54,$T$5:$AE$5)*1000/MD_m2,2))</f>
        <v/>
      </c>
    </row>
    <row r="55">
      <c r="A55" s="37" t="n"/>
      <c r="B55" s="6">
        <f>IF(A55="","",IF(ISNUMBER(Schedule_Farmer!$D$5),A55-Schedule_Farmer!$D$5+1,""))</f>
        <v/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Q55" s="37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6">
        <f>IF(OR(Q55="",NOT(ISNUMBER(TransDate))),"",Q55-TransDate)</f>
        <v/>
      </c>
      <c r="AM55" s="6">
        <f>IF(OR(Q55="",NOT(ISNUMBER(FP_m2)),AND(R55&lt;&gt;"FP",R55&lt;&gt;"Both")),"",ROUND(SUMPRODUCT(T55:AE55,$T$4:$AE$4)*1000/FP_m2,2))</f>
        <v/>
      </c>
      <c r="AN55" s="6">
        <f>IF(OR(Q55="",NOT(ISNUMBER(FP_m2)),AND(R55&lt;&gt;"FP",R55&lt;&gt;"Both")),"",ROUND(SUMPRODUCT(T55:AE55,$T$5:$AE$5)*1000/FP_m2,2))</f>
        <v/>
      </c>
      <c r="AO55" s="6">
        <f>IF(OR(Q55="",NOT(ISNUMBER(MD_m2)),AND(R55&lt;&gt;"3F4D+MD",R55&lt;&gt;"Both")),"",ROUND(SUMPRODUCT(T55:AE55,$T$4:$AE$4)*1000/MD_m2,2))</f>
        <v/>
      </c>
      <c r="AP55" s="6">
        <f>IF(OR(Q55="",NOT(ISNUMBER(MD_m2)),AND(R55&lt;&gt;"3F4D+MD",R55&lt;&gt;"Both")),"",ROUND(SUMPRODUCT(T55:AE55,$T$5:$AE$5)*1000/MD_m2,2))</f>
        <v/>
      </c>
    </row>
    <row r="56">
      <c r="A56" s="37" t="n"/>
      <c r="B56" s="6">
        <f>IF(A56="","",IF(ISNUMBER(Schedule_Farmer!$D$5),A56-Schedule_Farmer!$D$5+1,""))</f>
        <v/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Q56" s="37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6">
        <f>IF(OR(Q56="",NOT(ISNUMBER(TransDate))),"",Q56-TransDate)</f>
        <v/>
      </c>
      <c r="AM56" s="6">
        <f>IF(OR(Q56="",NOT(ISNUMBER(FP_m2)),AND(R56&lt;&gt;"FP",R56&lt;&gt;"Both")),"",ROUND(SUMPRODUCT(T56:AE56,$T$4:$AE$4)*1000/FP_m2,2))</f>
        <v/>
      </c>
      <c r="AN56" s="6">
        <f>IF(OR(Q56="",NOT(ISNUMBER(FP_m2)),AND(R56&lt;&gt;"FP",R56&lt;&gt;"Both")),"",ROUND(SUMPRODUCT(T56:AE56,$T$5:$AE$5)*1000/FP_m2,2))</f>
        <v/>
      </c>
      <c r="AO56" s="6">
        <f>IF(OR(Q56="",NOT(ISNUMBER(MD_m2)),AND(R56&lt;&gt;"3F4D+MD",R56&lt;&gt;"Both")),"",ROUND(SUMPRODUCT(T56:AE56,$T$4:$AE$4)*1000/MD_m2,2))</f>
        <v/>
      </c>
      <c r="AP56" s="6">
        <f>IF(OR(Q56="",NOT(ISNUMBER(MD_m2)),AND(R56&lt;&gt;"3F4D+MD",R56&lt;&gt;"Both")),"",ROUND(SUMPRODUCT(T56:AE56,$T$5:$AE$5)*1000/MD_m2,2))</f>
        <v/>
      </c>
    </row>
    <row r="57">
      <c r="A57" s="37" t="n"/>
      <c r="B57" s="6">
        <f>IF(A57="","",IF(ISNUMBER(Schedule_Farmer!$D$5),A57-Schedule_Farmer!$D$5+1,""))</f>
        <v/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Q57" s="37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6">
        <f>IF(OR(Q57="",NOT(ISNUMBER(TransDate))),"",Q57-TransDate)</f>
        <v/>
      </c>
      <c r="AM57" s="6">
        <f>IF(OR(Q57="",NOT(ISNUMBER(FP_m2)),AND(R57&lt;&gt;"FP",R57&lt;&gt;"Both")),"",ROUND(SUMPRODUCT(T57:AE57,$T$4:$AE$4)*1000/FP_m2,2))</f>
        <v/>
      </c>
      <c r="AN57" s="6">
        <f>IF(OR(Q57="",NOT(ISNUMBER(FP_m2)),AND(R57&lt;&gt;"FP",R57&lt;&gt;"Both")),"",ROUND(SUMPRODUCT(T57:AE57,$T$5:$AE$5)*1000/FP_m2,2))</f>
        <v/>
      </c>
      <c r="AO57" s="6">
        <f>IF(OR(Q57="",NOT(ISNUMBER(MD_m2)),AND(R57&lt;&gt;"3F4D+MD",R57&lt;&gt;"Both")),"",ROUND(SUMPRODUCT(T57:AE57,$T$4:$AE$4)*1000/MD_m2,2))</f>
        <v/>
      </c>
      <c r="AP57" s="6">
        <f>IF(OR(Q57="",NOT(ISNUMBER(MD_m2)),AND(R57&lt;&gt;"3F4D+MD",R57&lt;&gt;"Both")),"",ROUND(SUMPRODUCT(T57:AE57,$T$5:$AE$5)*1000/MD_m2,2))</f>
        <v/>
      </c>
    </row>
    <row r="58">
      <c r="A58" s="37" t="n"/>
      <c r="B58" s="6">
        <f>IF(A58="","",IF(ISNUMBER(Schedule_Farmer!$D$5),A58-Schedule_Farmer!$D$5+1,""))</f>
        <v/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Q58" s="37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6">
        <f>IF(OR(Q58="",NOT(ISNUMBER(TransDate))),"",Q58-TransDate)</f>
        <v/>
      </c>
      <c r="AM58" s="6">
        <f>IF(OR(Q58="",NOT(ISNUMBER(FP_m2)),AND(R58&lt;&gt;"FP",R58&lt;&gt;"Both")),"",ROUND(SUMPRODUCT(T58:AE58,$T$4:$AE$4)*1000/FP_m2,2))</f>
        <v/>
      </c>
      <c r="AN58" s="6">
        <f>IF(OR(Q58="",NOT(ISNUMBER(FP_m2)),AND(R58&lt;&gt;"FP",R58&lt;&gt;"Both")),"",ROUND(SUMPRODUCT(T58:AE58,$T$5:$AE$5)*1000/FP_m2,2))</f>
        <v/>
      </c>
      <c r="AO58" s="6">
        <f>IF(OR(Q58="",NOT(ISNUMBER(MD_m2)),AND(R58&lt;&gt;"3F4D+MD",R58&lt;&gt;"Both")),"",ROUND(SUMPRODUCT(T58:AE58,$T$4:$AE$4)*1000/MD_m2,2))</f>
        <v/>
      </c>
      <c r="AP58" s="6">
        <f>IF(OR(Q58="",NOT(ISNUMBER(MD_m2)),AND(R58&lt;&gt;"3F4D+MD",R58&lt;&gt;"Both")),"",ROUND(SUMPRODUCT(T58:AE58,$T$5:$AE$5)*1000/MD_m2,2))</f>
        <v/>
      </c>
    </row>
    <row r="59">
      <c r="A59" s="37" t="n"/>
      <c r="B59" s="6">
        <f>IF(A59="","",IF(ISNUMBER(Schedule_Farmer!$D$5),A59-Schedule_Farmer!$D$5+1,""))</f>
        <v/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Q59" s="37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6">
        <f>IF(OR(Q59="",NOT(ISNUMBER(TransDate))),"",Q59-TransDate)</f>
        <v/>
      </c>
      <c r="AM59" s="6">
        <f>IF(OR(Q59="",NOT(ISNUMBER(FP_m2)),AND(R59&lt;&gt;"FP",R59&lt;&gt;"Both")),"",ROUND(SUMPRODUCT(T59:AE59,$T$4:$AE$4)*1000/FP_m2,2))</f>
        <v/>
      </c>
      <c r="AN59" s="6">
        <f>IF(OR(Q59="",NOT(ISNUMBER(FP_m2)),AND(R59&lt;&gt;"FP",R59&lt;&gt;"Both")),"",ROUND(SUMPRODUCT(T59:AE59,$T$5:$AE$5)*1000/FP_m2,2))</f>
        <v/>
      </c>
      <c r="AO59" s="6">
        <f>IF(OR(Q59="",NOT(ISNUMBER(MD_m2)),AND(R59&lt;&gt;"3F4D+MD",R59&lt;&gt;"Both")),"",ROUND(SUMPRODUCT(T59:AE59,$T$4:$AE$4)*1000/MD_m2,2))</f>
        <v/>
      </c>
      <c r="AP59" s="6">
        <f>IF(OR(Q59="",NOT(ISNUMBER(MD_m2)),AND(R59&lt;&gt;"3F4D+MD",R59&lt;&gt;"Both")),"",ROUND(SUMPRODUCT(T59:AE59,$T$5:$AE$5)*1000/MD_m2,2))</f>
        <v/>
      </c>
    </row>
    <row r="60">
      <c r="A60" s="37" t="n"/>
      <c r="B60" s="6">
        <f>IF(A60="","",IF(ISNUMBER(Schedule_Farmer!$D$5),A60-Schedule_Farmer!$D$5+1,""))</f>
        <v/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Q60" s="37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6">
        <f>IF(OR(Q60="",NOT(ISNUMBER(TransDate))),"",Q60-TransDate)</f>
        <v/>
      </c>
      <c r="AM60" s="6">
        <f>IF(OR(Q60="",NOT(ISNUMBER(FP_m2)),AND(R60&lt;&gt;"FP",R60&lt;&gt;"Both")),"",ROUND(SUMPRODUCT(T60:AE60,$T$4:$AE$4)*1000/FP_m2,2))</f>
        <v/>
      </c>
      <c r="AN60" s="6">
        <f>IF(OR(Q60="",NOT(ISNUMBER(FP_m2)),AND(R60&lt;&gt;"FP",R60&lt;&gt;"Both")),"",ROUND(SUMPRODUCT(T60:AE60,$T$5:$AE$5)*1000/FP_m2,2))</f>
        <v/>
      </c>
      <c r="AO60" s="6">
        <f>IF(OR(Q60="",NOT(ISNUMBER(MD_m2)),AND(R60&lt;&gt;"3F4D+MD",R60&lt;&gt;"Both")),"",ROUND(SUMPRODUCT(T60:AE60,$T$4:$AE$4)*1000/MD_m2,2))</f>
        <v/>
      </c>
      <c r="AP60" s="6">
        <f>IF(OR(Q60="",NOT(ISNUMBER(MD_m2)),AND(R60&lt;&gt;"3F4D+MD",R60&lt;&gt;"Both")),"",ROUND(SUMPRODUCT(T60:AE60,$T$5:$AE$5)*1000/MD_m2,2))</f>
        <v/>
      </c>
    </row>
    <row r="61">
      <c r="A61" s="37" t="n"/>
      <c r="B61" s="6">
        <f>IF(A61="","",IF(ISNUMBER(Schedule_Farmer!$D$5),A61-Schedule_Farmer!$D$5+1,""))</f>
        <v/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Q61" s="37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6">
        <f>IF(OR(Q61="",NOT(ISNUMBER(TransDate))),"",Q61-TransDate)</f>
        <v/>
      </c>
      <c r="AM61" s="6">
        <f>IF(OR(Q61="",NOT(ISNUMBER(FP_m2)),AND(R61&lt;&gt;"FP",R61&lt;&gt;"Both")),"",ROUND(SUMPRODUCT(T61:AE61,$T$4:$AE$4)*1000/FP_m2,2))</f>
        <v/>
      </c>
      <c r="AN61" s="6">
        <f>IF(OR(Q61="",NOT(ISNUMBER(FP_m2)),AND(R61&lt;&gt;"FP",R61&lt;&gt;"Both")),"",ROUND(SUMPRODUCT(T61:AE61,$T$5:$AE$5)*1000/FP_m2,2))</f>
        <v/>
      </c>
      <c r="AO61" s="6">
        <f>IF(OR(Q61="",NOT(ISNUMBER(MD_m2)),AND(R61&lt;&gt;"3F4D+MD",R61&lt;&gt;"Both")),"",ROUND(SUMPRODUCT(T61:AE61,$T$4:$AE$4)*1000/MD_m2,2))</f>
        <v/>
      </c>
      <c r="AP61" s="6">
        <f>IF(OR(Q61="",NOT(ISNUMBER(MD_m2)),AND(R61&lt;&gt;"3F4D+MD",R61&lt;&gt;"Both")),"",ROUND(SUMPRODUCT(T61:AE61,$T$5:$AE$5)*1000/MD_m2,2))</f>
        <v/>
      </c>
    </row>
    <row r="62">
      <c r="A62" s="37" t="n"/>
      <c r="B62" s="6">
        <f>IF(A62="","",IF(ISNUMBER(Schedule_Farmer!$D$5),A62-Schedule_Farmer!$D$5+1,""))</f>
        <v/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Q62" s="37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6">
        <f>IF(OR(Q62="",NOT(ISNUMBER(TransDate))),"",Q62-TransDate)</f>
        <v/>
      </c>
      <c r="AM62" s="6">
        <f>IF(OR(Q62="",NOT(ISNUMBER(FP_m2)),AND(R62&lt;&gt;"FP",R62&lt;&gt;"Both")),"",ROUND(SUMPRODUCT(T62:AE62,$T$4:$AE$4)*1000/FP_m2,2))</f>
        <v/>
      </c>
      <c r="AN62" s="6">
        <f>IF(OR(Q62="",NOT(ISNUMBER(FP_m2)),AND(R62&lt;&gt;"FP",R62&lt;&gt;"Both")),"",ROUND(SUMPRODUCT(T62:AE62,$T$5:$AE$5)*1000/FP_m2,2))</f>
        <v/>
      </c>
      <c r="AO62" s="6">
        <f>IF(OR(Q62="",NOT(ISNUMBER(MD_m2)),AND(R62&lt;&gt;"3F4D+MD",R62&lt;&gt;"Both")),"",ROUND(SUMPRODUCT(T62:AE62,$T$4:$AE$4)*1000/MD_m2,2))</f>
        <v/>
      </c>
      <c r="AP62" s="6">
        <f>IF(OR(Q62="",NOT(ISNUMBER(MD_m2)),AND(R62&lt;&gt;"3F4D+MD",R62&lt;&gt;"Both")),"",ROUND(SUMPRODUCT(T62:AE62,$T$5:$AE$5)*1000/MD_m2,2))</f>
        <v/>
      </c>
    </row>
    <row r="63">
      <c r="A63" s="37" t="n"/>
      <c r="B63" s="6">
        <f>IF(A63="","",IF(ISNUMBER(Schedule_Farmer!$D$5),A63-Schedule_Farmer!$D$5+1,""))</f>
        <v/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Q63" s="37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6">
        <f>IF(OR(Q63="",NOT(ISNUMBER(TransDate))),"",Q63-TransDate)</f>
        <v/>
      </c>
      <c r="AM63" s="6">
        <f>IF(OR(Q63="",NOT(ISNUMBER(FP_m2)),AND(R63&lt;&gt;"FP",R63&lt;&gt;"Both")),"",ROUND(SUMPRODUCT(T63:AE63,$T$4:$AE$4)*1000/FP_m2,2))</f>
        <v/>
      </c>
      <c r="AN63" s="6">
        <f>IF(OR(Q63="",NOT(ISNUMBER(FP_m2)),AND(R63&lt;&gt;"FP",R63&lt;&gt;"Both")),"",ROUND(SUMPRODUCT(T63:AE63,$T$5:$AE$5)*1000/FP_m2,2))</f>
        <v/>
      </c>
      <c r="AO63" s="6">
        <f>IF(OR(Q63="",NOT(ISNUMBER(MD_m2)),AND(R63&lt;&gt;"3F4D+MD",R63&lt;&gt;"Both")),"",ROUND(SUMPRODUCT(T63:AE63,$T$4:$AE$4)*1000/MD_m2,2))</f>
        <v/>
      </c>
      <c r="AP63" s="6">
        <f>IF(OR(Q63="",NOT(ISNUMBER(MD_m2)),AND(R63&lt;&gt;"3F4D+MD",R63&lt;&gt;"Both")),"",ROUND(SUMPRODUCT(T63:AE63,$T$5:$AE$5)*1000/MD_m2,2))</f>
        <v/>
      </c>
    </row>
    <row r="64">
      <c r="A64" s="37" t="n"/>
      <c r="B64" s="6">
        <f>IF(A64="","",IF(ISNUMBER(Schedule_Farmer!$D$5),A64-Schedule_Farmer!$D$5+1,""))</f>
        <v/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Q64" s="37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6">
        <f>IF(OR(Q64="",NOT(ISNUMBER(TransDate))),"",Q64-TransDate)</f>
        <v/>
      </c>
      <c r="AM64" s="6">
        <f>IF(OR(Q64="",NOT(ISNUMBER(FP_m2)),AND(R64&lt;&gt;"FP",R64&lt;&gt;"Both")),"",ROUND(SUMPRODUCT(T64:AE64,$T$4:$AE$4)*1000/FP_m2,2))</f>
        <v/>
      </c>
      <c r="AN64" s="6">
        <f>IF(OR(Q64="",NOT(ISNUMBER(FP_m2)),AND(R64&lt;&gt;"FP",R64&lt;&gt;"Both")),"",ROUND(SUMPRODUCT(T64:AE64,$T$5:$AE$5)*1000/FP_m2,2))</f>
        <v/>
      </c>
      <c r="AO64" s="6">
        <f>IF(OR(Q64="",NOT(ISNUMBER(MD_m2)),AND(R64&lt;&gt;"3F4D+MD",R64&lt;&gt;"Both")),"",ROUND(SUMPRODUCT(T64:AE64,$T$4:$AE$4)*1000/MD_m2,2))</f>
        <v/>
      </c>
      <c r="AP64" s="6">
        <f>IF(OR(Q64="",NOT(ISNUMBER(MD_m2)),AND(R64&lt;&gt;"3F4D+MD",R64&lt;&gt;"Both")),"",ROUND(SUMPRODUCT(T64:AE64,$T$5:$AE$5)*1000/MD_m2,2))</f>
        <v/>
      </c>
    </row>
    <row r="65">
      <c r="A65" s="37" t="n"/>
      <c r="B65" s="6">
        <f>IF(A65="","",IF(ISNUMBER(Schedule_Farmer!$D$5),A65-Schedule_Farmer!$D$5+1,""))</f>
        <v/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Q65" s="37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6">
        <f>IF(OR(Q65="",NOT(ISNUMBER(TransDate))),"",Q65-TransDate)</f>
        <v/>
      </c>
      <c r="AM65" s="6">
        <f>IF(OR(Q65="",NOT(ISNUMBER(FP_m2)),AND(R65&lt;&gt;"FP",R65&lt;&gt;"Both")),"",ROUND(SUMPRODUCT(T65:AE65,$T$4:$AE$4)*1000/FP_m2,2))</f>
        <v/>
      </c>
      <c r="AN65" s="6">
        <f>IF(OR(Q65="",NOT(ISNUMBER(FP_m2)),AND(R65&lt;&gt;"FP",R65&lt;&gt;"Both")),"",ROUND(SUMPRODUCT(T65:AE65,$T$5:$AE$5)*1000/FP_m2,2))</f>
        <v/>
      </c>
      <c r="AO65" s="6">
        <f>IF(OR(Q65="",NOT(ISNUMBER(MD_m2)),AND(R65&lt;&gt;"3F4D+MD",R65&lt;&gt;"Both")),"",ROUND(SUMPRODUCT(T65:AE65,$T$4:$AE$4)*1000/MD_m2,2))</f>
        <v/>
      </c>
      <c r="AP65" s="6">
        <f>IF(OR(Q65="",NOT(ISNUMBER(MD_m2)),AND(R65&lt;&gt;"3F4D+MD",R65&lt;&gt;"Both")),"",ROUND(SUMPRODUCT(T65:AE65,$T$5:$AE$5)*1000/MD_m2,2))</f>
        <v/>
      </c>
    </row>
    <row r="66">
      <c r="A66" s="37" t="n"/>
      <c r="B66" s="6">
        <f>IF(A66="","",IF(ISNUMBER(Schedule_Farmer!$D$5),A66-Schedule_Farmer!$D$5+1,""))</f>
        <v/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Q66" s="37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6">
        <f>IF(OR(Q66="",NOT(ISNUMBER(TransDate))),"",Q66-TransDate)</f>
        <v/>
      </c>
      <c r="AM66" s="6">
        <f>IF(OR(Q66="",NOT(ISNUMBER(FP_m2)),AND(R66&lt;&gt;"FP",R66&lt;&gt;"Both")),"",ROUND(SUMPRODUCT(T66:AE66,$T$4:$AE$4)*1000/FP_m2,2))</f>
        <v/>
      </c>
      <c r="AN66" s="6">
        <f>IF(OR(Q66="",NOT(ISNUMBER(FP_m2)),AND(R66&lt;&gt;"FP",R66&lt;&gt;"Both")),"",ROUND(SUMPRODUCT(T66:AE66,$T$5:$AE$5)*1000/FP_m2,2))</f>
        <v/>
      </c>
      <c r="AO66" s="6">
        <f>IF(OR(Q66="",NOT(ISNUMBER(MD_m2)),AND(R66&lt;&gt;"3F4D+MD",R66&lt;&gt;"Both")),"",ROUND(SUMPRODUCT(T66:AE66,$T$4:$AE$4)*1000/MD_m2,2))</f>
        <v/>
      </c>
      <c r="AP66" s="6">
        <f>IF(OR(Q66="",NOT(ISNUMBER(MD_m2)),AND(R66&lt;&gt;"3F4D+MD",R66&lt;&gt;"Both")),"",ROUND(SUMPRODUCT(T66:AE66,$T$5:$AE$5)*1000/MD_m2,2))</f>
        <v/>
      </c>
    </row>
    <row r="67">
      <c r="A67" s="37" t="n"/>
      <c r="B67" s="6">
        <f>IF(A67="","",IF(ISNUMBER(Schedule_Farmer!$D$5),A67-Schedule_Farmer!$D$5+1,""))</f>
        <v/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Q67" s="37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6">
        <f>IF(OR(Q67="",NOT(ISNUMBER(TransDate))),"",Q67-TransDate)</f>
        <v/>
      </c>
      <c r="AM67" s="6">
        <f>IF(OR(Q67="",NOT(ISNUMBER(FP_m2)),AND(R67&lt;&gt;"FP",R67&lt;&gt;"Both")),"",ROUND(SUMPRODUCT(T67:AE67,$T$4:$AE$4)*1000/FP_m2,2))</f>
        <v/>
      </c>
      <c r="AN67" s="6">
        <f>IF(OR(Q67="",NOT(ISNUMBER(FP_m2)),AND(R67&lt;&gt;"FP",R67&lt;&gt;"Both")),"",ROUND(SUMPRODUCT(T67:AE67,$T$5:$AE$5)*1000/FP_m2,2))</f>
        <v/>
      </c>
      <c r="AO67" s="6">
        <f>IF(OR(Q67="",NOT(ISNUMBER(MD_m2)),AND(R67&lt;&gt;"3F4D+MD",R67&lt;&gt;"Both")),"",ROUND(SUMPRODUCT(T67:AE67,$T$4:$AE$4)*1000/MD_m2,2))</f>
        <v/>
      </c>
      <c r="AP67" s="6">
        <f>IF(OR(Q67="",NOT(ISNUMBER(MD_m2)),AND(R67&lt;&gt;"3F4D+MD",R67&lt;&gt;"Both")),"",ROUND(SUMPRODUCT(T67:AE67,$T$5:$AE$5)*1000/MD_m2,2))</f>
        <v/>
      </c>
    </row>
    <row r="68">
      <c r="A68" s="37" t="n"/>
      <c r="B68" s="6">
        <f>IF(A68="","",IF(ISNUMBER(Schedule_Farmer!$D$5),A68-Schedule_Farmer!$D$5+1,""))</f>
        <v/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Q68" s="37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6">
        <f>IF(OR(Q68="",NOT(ISNUMBER(TransDate))),"",Q68-TransDate)</f>
        <v/>
      </c>
      <c r="AM68" s="6">
        <f>IF(OR(Q68="",NOT(ISNUMBER(FP_m2)),AND(R68&lt;&gt;"FP",R68&lt;&gt;"Both")),"",ROUND(SUMPRODUCT(T68:AE68,$T$4:$AE$4)*1000/FP_m2,2))</f>
        <v/>
      </c>
      <c r="AN68" s="6">
        <f>IF(OR(Q68="",NOT(ISNUMBER(FP_m2)),AND(R68&lt;&gt;"FP",R68&lt;&gt;"Both")),"",ROUND(SUMPRODUCT(T68:AE68,$T$5:$AE$5)*1000/FP_m2,2))</f>
        <v/>
      </c>
      <c r="AO68" s="6">
        <f>IF(OR(Q68="",NOT(ISNUMBER(MD_m2)),AND(R68&lt;&gt;"3F4D+MD",R68&lt;&gt;"Both")),"",ROUND(SUMPRODUCT(T68:AE68,$T$4:$AE$4)*1000/MD_m2,2))</f>
        <v/>
      </c>
      <c r="AP68" s="6">
        <f>IF(OR(Q68="",NOT(ISNUMBER(MD_m2)),AND(R68&lt;&gt;"3F4D+MD",R68&lt;&gt;"Both")),"",ROUND(SUMPRODUCT(T68:AE68,$T$5:$AE$5)*1000/MD_m2,2))</f>
        <v/>
      </c>
    </row>
    <row r="69">
      <c r="A69" s="37" t="n"/>
      <c r="B69" s="6">
        <f>IF(A69="","",IF(ISNUMBER(Schedule_Farmer!$D$5),A69-Schedule_Farmer!$D$5+1,""))</f>
        <v/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Q69" s="37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6">
        <f>IF(OR(Q69="",NOT(ISNUMBER(TransDate))),"",Q69-TransDate)</f>
        <v/>
      </c>
      <c r="AM69" s="6">
        <f>IF(OR(Q69="",NOT(ISNUMBER(FP_m2)),AND(R69&lt;&gt;"FP",R69&lt;&gt;"Both")),"",ROUND(SUMPRODUCT(T69:AE69,$T$4:$AE$4)*1000/FP_m2,2))</f>
        <v/>
      </c>
      <c r="AN69" s="6">
        <f>IF(OR(Q69="",NOT(ISNUMBER(FP_m2)),AND(R69&lt;&gt;"FP",R69&lt;&gt;"Both")),"",ROUND(SUMPRODUCT(T69:AE69,$T$5:$AE$5)*1000/FP_m2,2))</f>
        <v/>
      </c>
      <c r="AO69" s="6">
        <f>IF(OR(Q69="",NOT(ISNUMBER(MD_m2)),AND(R69&lt;&gt;"3F4D+MD",R69&lt;&gt;"Both")),"",ROUND(SUMPRODUCT(T69:AE69,$T$4:$AE$4)*1000/MD_m2,2))</f>
        <v/>
      </c>
      <c r="AP69" s="6">
        <f>IF(OR(Q69="",NOT(ISNUMBER(MD_m2)),AND(R69&lt;&gt;"3F4D+MD",R69&lt;&gt;"Both")),"",ROUND(SUMPRODUCT(T69:AE69,$T$5:$AE$5)*1000/MD_m2,2))</f>
        <v/>
      </c>
    </row>
    <row r="70">
      <c r="A70" s="37" t="n"/>
      <c r="B70" s="6">
        <f>IF(A70="","",IF(ISNUMBER(Schedule_Farmer!$D$5),A70-Schedule_Farmer!$D$5+1,""))</f>
        <v/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Q70" s="37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6">
        <f>IF(OR(Q70="",NOT(ISNUMBER(TransDate))),"",Q70-TransDate)</f>
        <v/>
      </c>
      <c r="AM70" s="6">
        <f>IF(OR(Q70="",NOT(ISNUMBER(FP_m2)),AND(R70&lt;&gt;"FP",R70&lt;&gt;"Both")),"",ROUND(SUMPRODUCT(T70:AE70,$T$4:$AE$4)*1000/FP_m2,2))</f>
        <v/>
      </c>
      <c r="AN70" s="6">
        <f>IF(OR(Q70="",NOT(ISNUMBER(FP_m2)),AND(R70&lt;&gt;"FP",R70&lt;&gt;"Both")),"",ROUND(SUMPRODUCT(T70:AE70,$T$5:$AE$5)*1000/FP_m2,2))</f>
        <v/>
      </c>
      <c r="AO70" s="6">
        <f>IF(OR(Q70="",NOT(ISNUMBER(MD_m2)),AND(R70&lt;&gt;"3F4D+MD",R70&lt;&gt;"Both")),"",ROUND(SUMPRODUCT(T70:AE70,$T$4:$AE$4)*1000/MD_m2,2))</f>
        <v/>
      </c>
      <c r="AP70" s="6">
        <f>IF(OR(Q70="",NOT(ISNUMBER(MD_m2)),AND(R70&lt;&gt;"3F4D+MD",R70&lt;&gt;"Both")),"",ROUND(SUMPRODUCT(T70:AE70,$T$5:$AE$5)*1000/MD_m2,2))</f>
        <v/>
      </c>
    </row>
    <row r="71">
      <c r="A71" s="37" t="n"/>
      <c r="B71" s="6">
        <f>IF(A71="","",IF(ISNUMBER(Schedule_Farmer!$D$5),A71-Schedule_Farmer!$D$5+1,""))</f>
        <v/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Q71" s="37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6">
        <f>IF(OR(Q71="",NOT(ISNUMBER(TransDate))),"",Q71-TransDate)</f>
        <v/>
      </c>
      <c r="AM71" s="6">
        <f>IF(OR(Q71="",NOT(ISNUMBER(FP_m2)),AND(R71&lt;&gt;"FP",R71&lt;&gt;"Both")),"",ROUND(SUMPRODUCT(T71:AE71,$T$4:$AE$4)*1000/FP_m2,2))</f>
        <v/>
      </c>
      <c r="AN71" s="6">
        <f>IF(OR(Q71="",NOT(ISNUMBER(FP_m2)),AND(R71&lt;&gt;"FP",R71&lt;&gt;"Both")),"",ROUND(SUMPRODUCT(T71:AE71,$T$5:$AE$5)*1000/FP_m2,2))</f>
        <v/>
      </c>
      <c r="AO71" s="6">
        <f>IF(OR(Q71="",NOT(ISNUMBER(MD_m2)),AND(R71&lt;&gt;"3F4D+MD",R71&lt;&gt;"Both")),"",ROUND(SUMPRODUCT(T71:AE71,$T$4:$AE$4)*1000/MD_m2,2))</f>
        <v/>
      </c>
      <c r="AP71" s="6">
        <f>IF(OR(Q71="",NOT(ISNUMBER(MD_m2)),AND(R71&lt;&gt;"3F4D+MD",R71&lt;&gt;"Both")),"",ROUND(SUMPRODUCT(T71:AE71,$T$5:$AE$5)*1000/MD_m2,2))</f>
        <v/>
      </c>
    </row>
    <row r="72">
      <c r="A72" s="37" t="n"/>
      <c r="B72" s="6">
        <f>IF(A72="","",IF(ISNUMBER(Schedule_Farmer!$D$5),A72-Schedule_Farmer!$D$5+1,""))</f>
        <v/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Q72" s="37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6">
        <f>IF(OR(Q72="",NOT(ISNUMBER(TransDate))),"",Q72-TransDate)</f>
        <v/>
      </c>
      <c r="AM72" s="6">
        <f>IF(OR(Q72="",NOT(ISNUMBER(FP_m2)),AND(R72&lt;&gt;"FP",R72&lt;&gt;"Both")),"",ROUND(SUMPRODUCT(T72:AE72,$T$4:$AE$4)*1000/FP_m2,2))</f>
        <v/>
      </c>
      <c r="AN72" s="6">
        <f>IF(OR(Q72="",NOT(ISNUMBER(FP_m2)),AND(R72&lt;&gt;"FP",R72&lt;&gt;"Both")),"",ROUND(SUMPRODUCT(T72:AE72,$T$5:$AE$5)*1000/FP_m2,2))</f>
        <v/>
      </c>
      <c r="AO72" s="6">
        <f>IF(OR(Q72="",NOT(ISNUMBER(MD_m2)),AND(R72&lt;&gt;"3F4D+MD",R72&lt;&gt;"Both")),"",ROUND(SUMPRODUCT(T72:AE72,$T$4:$AE$4)*1000/MD_m2,2))</f>
        <v/>
      </c>
      <c r="AP72" s="6">
        <f>IF(OR(Q72="",NOT(ISNUMBER(MD_m2)),AND(R72&lt;&gt;"3F4D+MD",R72&lt;&gt;"Both")),"",ROUND(SUMPRODUCT(T72:AE72,$T$5:$AE$5)*1000/MD_m2,2))</f>
        <v/>
      </c>
    </row>
    <row r="73">
      <c r="A73" s="37" t="n"/>
      <c r="B73" s="6">
        <f>IF(A73="","",IF(ISNUMBER(Schedule_Farmer!$D$5),A73-Schedule_Farmer!$D$5+1,""))</f>
        <v/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Q73" s="37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6">
        <f>IF(OR(Q73="",NOT(ISNUMBER(TransDate))),"",Q73-TransDate)</f>
        <v/>
      </c>
      <c r="AM73" s="6">
        <f>IF(OR(Q73="",NOT(ISNUMBER(FP_m2)),AND(R73&lt;&gt;"FP",R73&lt;&gt;"Both")),"",ROUND(SUMPRODUCT(T73:AE73,$T$4:$AE$4)*1000/FP_m2,2))</f>
        <v/>
      </c>
      <c r="AN73" s="6">
        <f>IF(OR(Q73="",NOT(ISNUMBER(FP_m2)),AND(R73&lt;&gt;"FP",R73&lt;&gt;"Both")),"",ROUND(SUMPRODUCT(T73:AE73,$T$5:$AE$5)*1000/FP_m2,2))</f>
        <v/>
      </c>
      <c r="AO73" s="6">
        <f>IF(OR(Q73="",NOT(ISNUMBER(MD_m2)),AND(R73&lt;&gt;"3F4D+MD",R73&lt;&gt;"Both")),"",ROUND(SUMPRODUCT(T73:AE73,$T$4:$AE$4)*1000/MD_m2,2))</f>
        <v/>
      </c>
      <c r="AP73" s="6">
        <f>IF(OR(Q73="",NOT(ISNUMBER(MD_m2)),AND(R73&lt;&gt;"3F4D+MD",R73&lt;&gt;"Both")),"",ROUND(SUMPRODUCT(T73:AE73,$T$5:$AE$5)*1000/MD_m2,2))</f>
        <v/>
      </c>
    </row>
    <row r="74">
      <c r="A74" s="37" t="n"/>
      <c r="B74" s="6">
        <f>IF(A74="","",IF(ISNUMBER(Schedule_Farmer!$D$5),A74-Schedule_Farmer!$D$5+1,""))</f>
        <v/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Q74" s="37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6">
        <f>IF(OR(Q74="",NOT(ISNUMBER(TransDate))),"",Q74-TransDate)</f>
        <v/>
      </c>
      <c r="AM74" s="6">
        <f>IF(OR(Q74="",NOT(ISNUMBER(FP_m2)),AND(R74&lt;&gt;"FP",R74&lt;&gt;"Both")),"",ROUND(SUMPRODUCT(T74:AE74,$T$4:$AE$4)*1000/FP_m2,2))</f>
        <v/>
      </c>
      <c r="AN74" s="6">
        <f>IF(OR(Q74="",NOT(ISNUMBER(FP_m2)),AND(R74&lt;&gt;"FP",R74&lt;&gt;"Both")),"",ROUND(SUMPRODUCT(T74:AE74,$T$5:$AE$5)*1000/FP_m2,2))</f>
        <v/>
      </c>
      <c r="AO74" s="6">
        <f>IF(OR(Q74="",NOT(ISNUMBER(MD_m2)),AND(R74&lt;&gt;"3F4D+MD",R74&lt;&gt;"Both")),"",ROUND(SUMPRODUCT(T74:AE74,$T$4:$AE$4)*1000/MD_m2,2))</f>
        <v/>
      </c>
      <c r="AP74" s="6">
        <f>IF(OR(Q74="",NOT(ISNUMBER(MD_m2)),AND(R74&lt;&gt;"3F4D+MD",R74&lt;&gt;"Both")),"",ROUND(SUMPRODUCT(T74:AE74,$T$5:$AE$5)*1000/MD_m2,2))</f>
        <v/>
      </c>
    </row>
    <row r="75">
      <c r="A75" s="37" t="n"/>
      <c r="B75" s="6">
        <f>IF(A75="","",IF(ISNUMBER(Schedule_Farmer!$D$5),A75-Schedule_Farmer!$D$5+1,""))</f>
        <v/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Q75" s="37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6">
        <f>IF(OR(Q75="",NOT(ISNUMBER(TransDate))),"",Q75-TransDate)</f>
        <v/>
      </c>
      <c r="AM75" s="6">
        <f>IF(OR(Q75="",NOT(ISNUMBER(FP_m2)),AND(R75&lt;&gt;"FP",R75&lt;&gt;"Both")),"",ROUND(SUMPRODUCT(T75:AE75,$T$4:$AE$4)*1000/FP_m2,2))</f>
        <v/>
      </c>
      <c r="AN75" s="6">
        <f>IF(OR(Q75="",NOT(ISNUMBER(FP_m2)),AND(R75&lt;&gt;"FP",R75&lt;&gt;"Both")),"",ROUND(SUMPRODUCT(T75:AE75,$T$5:$AE$5)*1000/FP_m2,2))</f>
        <v/>
      </c>
      <c r="AO75" s="6">
        <f>IF(OR(Q75="",NOT(ISNUMBER(MD_m2)),AND(R75&lt;&gt;"3F4D+MD",R75&lt;&gt;"Both")),"",ROUND(SUMPRODUCT(T75:AE75,$T$4:$AE$4)*1000/MD_m2,2))</f>
        <v/>
      </c>
      <c r="AP75" s="6">
        <f>IF(OR(Q75="",NOT(ISNUMBER(MD_m2)),AND(R75&lt;&gt;"3F4D+MD",R75&lt;&gt;"Both")),"",ROUND(SUMPRODUCT(T75:AE75,$T$5:$AE$5)*1000/MD_m2,2))</f>
        <v/>
      </c>
    </row>
    <row r="76">
      <c r="A76" s="37" t="n"/>
      <c r="B76" s="6">
        <f>IF(A76="","",IF(ISNUMBER(Schedule_Farmer!$D$5),A76-Schedule_Farmer!$D$5+1,""))</f>
        <v/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Q76" s="37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6">
        <f>IF(OR(Q76="",NOT(ISNUMBER(TransDate))),"",Q76-TransDate)</f>
        <v/>
      </c>
      <c r="AM76" s="6">
        <f>IF(OR(Q76="",NOT(ISNUMBER(FP_m2)),AND(R76&lt;&gt;"FP",R76&lt;&gt;"Both")),"",ROUND(SUMPRODUCT(T76:AE76,$T$4:$AE$4)*1000/FP_m2,2))</f>
        <v/>
      </c>
      <c r="AN76" s="6">
        <f>IF(OR(Q76="",NOT(ISNUMBER(FP_m2)),AND(R76&lt;&gt;"FP",R76&lt;&gt;"Both")),"",ROUND(SUMPRODUCT(T76:AE76,$T$5:$AE$5)*1000/FP_m2,2))</f>
        <v/>
      </c>
      <c r="AO76" s="6">
        <f>IF(OR(Q76="",NOT(ISNUMBER(MD_m2)),AND(R76&lt;&gt;"3F4D+MD",R76&lt;&gt;"Both")),"",ROUND(SUMPRODUCT(T76:AE76,$T$4:$AE$4)*1000/MD_m2,2))</f>
        <v/>
      </c>
      <c r="AP76" s="6">
        <f>IF(OR(Q76="",NOT(ISNUMBER(MD_m2)),AND(R76&lt;&gt;"3F4D+MD",R76&lt;&gt;"Both")),"",ROUND(SUMPRODUCT(T76:AE76,$T$5:$AE$5)*1000/MD_m2,2))</f>
        <v/>
      </c>
    </row>
    <row r="77">
      <c r="A77" s="37" t="n"/>
      <c r="B77" s="6">
        <f>IF(A77="","",IF(ISNUMBER(Schedule_Farmer!$D$5),A77-Schedule_Farmer!$D$5+1,""))</f>
        <v/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Q77" s="37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6">
        <f>IF(OR(Q77="",NOT(ISNUMBER(TransDate))),"",Q77-TransDate)</f>
        <v/>
      </c>
      <c r="AM77" s="6">
        <f>IF(OR(Q77="",NOT(ISNUMBER(FP_m2)),AND(R77&lt;&gt;"FP",R77&lt;&gt;"Both")),"",ROUND(SUMPRODUCT(T77:AE77,$T$4:$AE$4)*1000/FP_m2,2))</f>
        <v/>
      </c>
      <c r="AN77" s="6">
        <f>IF(OR(Q77="",NOT(ISNUMBER(FP_m2)),AND(R77&lt;&gt;"FP",R77&lt;&gt;"Both")),"",ROUND(SUMPRODUCT(T77:AE77,$T$5:$AE$5)*1000/FP_m2,2))</f>
        <v/>
      </c>
      <c r="AO77" s="6">
        <f>IF(OR(Q77="",NOT(ISNUMBER(MD_m2)),AND(R77&lt;&gt;"3F4D+MD",R77&lt;&gt;"Both")),"",ROUND(SUMPRODUCT(T77:AE77,$T$4:$AE$4)*1000/MD_m2,2))</f>
        <v/>
      </c>
      <c r="AP77" s="6">
        <f>IF(OR(Q77="",NOT(ISNUMBER(MD_m2)),AND(R77&lt;&gt;"3F4D+MD",R77&lt;&gt;"Both")),"",ROUND(SUMPRODUCT(T77:AE77,$T$5:$AE$5)*1000/MD_m2,2))</f>
        <v/>
      </c>
    </row>
    <row r="78">
      <c r="A78" s="37" t="n"/>
      <c r="B78" s="6">
        <f>IF(A78="","",IF(ISNUMBER(Schedule_Farmer!$D$5),A78-Schedule_Farmer!$D$5+1,""))</f>
        <v/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Q78" s="37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6">
        <f>IF(OR(Q78="",NOT(ISNUMBER(TransDate))),"",Q78-TransDate)</f>
        <v/>
      </c>
      <c r="AM78" s="6">
        <f>IF(OR(Q78="",NOT(ISNUMBER(FP_m2)),AND(R78&lt;&gt;"FP",R78&lt;&gt;"Both")),"",ROUND(SUMPRODUCT(T78:AE78,$T$4:$AE$4)*1000/FP_m2,2))</f>
        <v/>
      </c>
      <c r="AN78" s="6">
        <f>IF(OR(Q78="",NOT(ISNUMBER(FP_m2)),AND(R78&lt;&gt;"FP",R78&lt;&gt;"Both")),"",ROUND(SUMPRODUCT(T78:AE78,$T$5:$AE$5)*1000/FP_m2,2))</f>
        <v/>
      </c>
      <c r="AO78" s="6">
        <f>IF(OR(Q78="",NOT(ISNUMBER(MD_m2)),AND(R78&lt;&gt;"3F4D+MD",R78&lt;&gt;"Both")),"",ROUND(SUMPRODUCT(T78:AE78,$T$4:$AE$4)*1000/MD_m2,2))</f>
        <v/>
      </c>
      <c r="AP78" s="6">
        <f>IF(OR(Q78="",NOT(ISNUMBER(MD_m2)),AND(R78&lt;&gt;"3F4D+MD",R78&lt;&gt;"Both")),"",ROUND(SUMPRODUCT(T78:AE78,$T$5:$AE$5)*1000/MD_m2,2))</f>
        <v/>
      </c>
    </row>
    <row r="79">
      <c r="A79" s="37" t="n"/>
      <c r="B79" s="6">
        <f>IF(A79="","",IF(ISNUMBER(Schedule_Farmer!$D$5),A79-Schedule_Farmer!$D$5+1,""))</f>
        <v/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Q79" s="37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6">
        <f>IF(OR(Q79="",NOT(ISNUMBER(TransDate))),"",Q79-TransDate)</f>
        <v/>
      </c>
      <c r="AM79" s="6">
        <f>IF(OR(Q79="",NOT(ISNUMBER(FP_m2)),AND(R79&lt;&gt;"FP",R79&lt;&gt;"Both")),"",ROUND(SUMPRODUCT(T79:AE79,$T$4:$AE$4)*1000/FP_m2,2))</f>
        <v/>
      </c>
      <c r="AN79" s="6">
        <f>IF(OR(Q79="",NOT(ISNUMBER(FP_m2)),AND(R79&lt;&gt;"FP",R79&lt;&gt;"Both")),"",ROUND(SUMPRODUCT(T79:AE79,$T$5:$AE$5)*1000/FP_m2,2))</f>
        <v/>
      </c>
      <c r="AO79" s="6">
        <f>IF(OR(Q79="",NOT(ISNUMBER(MD_m2)),AND(R79&lt;&gt;"3F4D+MD",R79&lt;&gt;"Both")),"",ROUND(SUMPRODUCT(T79:AE79,$T$4:$AE$4)*1000/MD_m2,2))</f>
        <v/>
      </c>
      <c r="AP79" s="6">
        <f>IF(OR(Q79="",NOT(ISNUMBER(MD_m2)),AND(R79&lt;&gt;"3F4D+MD",R79&lt;&gt;"Both")),"",ROUND(SUMPRODUCT(T79:AE79,$T$5:$AE$5)*1000/MD_m2,2))</f>
        <v/>
      </c>
    </row>
    <row r="80">
      <c r="A80" s="37" t="n"/>
      <c r="B80" s="6">
        <f>IF(A80="","",IF(ISNUMBER(Schedule_Farmer!$D$5),A80-Schedule_Farmer!$D$5+1,""))</f>
        <v/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Q80" s="37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6">
        <f>IF(OR(Q80="",NOT(ISNUMBER(TransDate))),"",Q80-TransDate)</f>
        <v/>
      </c>
      <c r="AM80" s="6">
        <f>IF(OR(Q80="",NOT(ISNUMBER(FP_m2)),AND(R80&lt;&gt;"FP",R80&lt;&gt;"Both")),"",ROUND(SUMPRODUCT(T80:AE80,$T$4:$AE$4)*1000/FP_m2,2))</f>
        <v/>
      </c>
      <c r="AN80" s="6">
        <f>IF(OR(Q80="",NOT(ISNUMBER(FP_m2)),AND(R80&lt;&gt;"FP",R80&lt;&gt;"Both")),"",ROUND(SUMPRODUCT(T80:AE80,$T$5:$AE$5)*1000/FP_m2,2))</f>
        <v/>
      </c>
      <c r="AO80" s="6">
        <f>IF(OR(Q80="",NOT(ISNUMBER(MD_m2)),AND(R80&lt;&gt;"3F4D+MD",R80&lt;&gt;"Both")),"",ROUND(SUMPRODUCT(T80:AE80,$T$4:$AE$4)*1000/MD_m2,2))</f>
        <v/>
      </c>
      <c r="AP80" s="6">
        <f>IF(OR(Q80="",NOT(ISNUMBER(MD_m2)),AND(R80&lt;&gt;"3F4D+MD",R80&lt;&gt;"Both")),"",ROUND(SUMPRODUCT(T80:AE80,$T$5:$AE$5)*1000/MD_m2,2))</f>
        <v/>
      </c>
    </row>
    <row r="81">
      <c r="A81" s="37" t="n"/>
      <c r="B81" s="6">
        <f>IF(A81="","",IF(ISNUMBER(Schedule_Farmer!$D$5),A81-Schedule_Farmer!$D$5+1,""))</f>
        <v/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Q81" s="37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6">
        <f>IF(OR(Q81="",NOT(ISNUMBER(TransDate))),"",Q81-TransDate)</f>
        <v/>
      </c>
      <c r="AM81" s="6">
        <f>IF(OR(Q81="",NOT(ISNUMBER(FP_m2)),AND(R81&lt;&gt;"FP",R81&lt;&gt;"Both")),"",ROUND(SUMPRODUCT(T81:AE81,$T$4:$AE$4)*1000/FP_m2,2))</f>
        <v/>
      </c>
      <c r="AN81" s="6">
        <f>IF(OR(Q81="",NOT(ISNUMBER(FP_m2)),AND(R81&lt;&gt;"FP",R81&lt;&gt;"Both")),"",ROUND(SUMPRODUCT(T81:AE81,$T$5:$AE$5)*1000/FP_m2,2))</f>
        <v/>
      </c>
      <c r="AO81" s="6">
        <f>IF(OR(Q81="",NOT(ISNUMBER(MD_m2)),AND(R81&lt;&gt;"3F4D+MD",R81&lt;&gt;"Both")),"",ROUND(SUMPRODUCT(T81:AE81,$T$4:$AE$4)*1000/MD_m2,2))</f>
        <v/>
      </c>
      <c r="AP81" s="6">
        <f>IF(OR(Q81="",NOT(ISNUMBER(MD_m2)),AND(R81&lt;&gt;"3F4D+MD",R81&lt;&gt;"Both")),"",ROUND(SUMPRODUCT(T81:AE81,$T$5:$AE$5)*1000/MD_m2,2))</f>
        <v/>
      </c>
    </row>
    <row r="82">
      <c r="A82" s="37" t="n"/>
      <c r="B82" s="6">
        <f>IF(A82="","",IF(ISNUMBER(Schedule_Farmer!$D$5),A82-Schedule_Farmer!$D$5+1,""))</f>
        <v/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Q82" s="37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6">
        <f>IF(OR(Q82="",NOT(ISNUMBER(TransDate))),"",Q82-TransDate)</f>
        <v/>
      </c>
      <c r="AM82" s="6">
        <f>IF(OR(Q82="",NOT(ISNUMBER(FP_m2)),AND(R82&lt;&gt;"FP",R82&lt;&gt;"Both")),"",ROUND(SUMPRODUCT(T82:AE82,$T$4:$AE$4)*1000/FP_m2,2))</f>
        <v/>
      </c>
      <c r="AN82" s="6">
        <f>IF(OR(Q82="",NOT(ISNUMBER(FP_m2)),AND(R82&lt;&gt;"FP",R82&lt;&gt;"Both")),"",ROUND(SUMPRODUCT(T82:AE82,$T$5:$AE$5)*1000/FP_m2,2))</f>
        <v/>
      </c>
      <c r="AO82" s="6">
        <f>IF(OR(Q82="",NOT(ISNUMBER(MD_m2)),AND(R82&lt;&gt;"3F4D+MD",R82&lt;&gt;"Both")),"",ROUND(SUMPRODUCT(T82:AE82,$T$4:$AE$4)*1000/MD_m2,2))</f>
        <v/>
      </c>
      <c r="AP82" s="6">
        <f>IF(OR(Q82="",NOT(ISNUMBER(MD_m2)),AND(R82&lt;&gt;"3F4D+MD",R82&lt;&gt;"Both")),"",ROUND(SUMPRODUCT(T82:AE82,$T$5:$AE$5)*1000/MD_m2,2))</f>
        <v/>
      </c>
    </row>
    <row r="83">
      <c r="A83" s="37" t="n"/>
      <c r="B83" s="6">
        <f>IF(A83="","",IF(ISNUMBER(Schedule_Farmer!$D$5),A83-Schedule_Farmer!$D$5+1,""))</f>
        <v/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Q83" s="37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6">
        <f>IF(OR(Q83="",NOT(ISNUMBER(TransDate))),"",Q83-TransDate)</f>
        <v/>
      </c>
      <c r="AM83" s="6">
        <f>IF(OR(Q83="",NOT(ISNUMBER(FP_m2)),AND(R83&lt;&gt;"FP",R83&lt;&gt;"Both")),"",ROUND(SUMPRODUCT(T83:AE83,$T$4:$AE$4)*1000/FP_m2,2))</f>
        <v/>
      </c>
      <c r="AN83" s="6">
        <f>IF(OR(Q83="",NOT(ISNUMBER(FP_m2)),AND(R83&lt;&gt;"FP",R83&lt;&gt;"Both")),"",ROUND(SUMPRODUCT(T83:AE83,$T$5:$AE$5)*1000/FP_m2,2))</f>
        <v/>
      </c>
      <c r="AO83" s="6">
        <f>IF(OR(Q83="",NOT(ISNUMBER(MD_m2)),AND(R83&lt;&gt;"3F4D+MD",R83&lt;&gt;"Both")),"",ROUND(SUMPRODUCT(T83:AE83,$T$4:$AE$4)*1000/MD_m2,2))</f>
        <v/>
      </c>
      <c r="AP83" s="6">
        <f>IF(OR(Q83="",NOT(ISNUMBER(MD_m2)),AND(R83&lt;&gt;"3F4D+MD",R83&lt;&gt;"Both")),"",ROUND(SUMPRODUCT(T83:AE83,$T$5:$AE$5)*1000/MD_m2,2))</f>
        <v/>
      </c>
    </row>
    <row r="84">
      <c r="A84" s="37" t="n"/>
      <c r="B84" s="6">
        <f>IF(A84="","",IF(ISNUMBER(Schedule_Farmer!$D$5),A84-Schedule_Farmer!$D$5+1,""))</f>
        <v/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Q84" s="37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6">
        <f>IF(OR(Q84="",NOT(ISNUMBER(TransDate))),"",Q84-TransDate)</f>
        <v/>
      </c>
      <c r="AM84" s="6">
        <f>IF(OR(Q84="",NOT(ISNUMBER(FP_m2)),AND(R84&lt;&gt;"FP",R84&lt;&gt;"Both")),"",ROUND(SUMPRODUCT(T84:AE84,$T$4:$AE$4)*1000/FP_m2,2))</f>
        <v/>
      </c>
      <c r="AN84" s="6">
        <f>IF(OR(Q84="",NOT(ISNUMBER(FP_m2)),AND(R84&lt;&gt;"FP",R84&lt;&gt;"Both")),"",ROUND(SUMPRODUCT(T84:AE84,$T$5:$AE$5)*1000/FP_m2,2))</f>
        <v/>
      </c>
      <c r="AO84" s="6">
        <f>IF(OR(Q84="",NOT(ISNUMBER(MD_m2)),AND(R84&lt;&gt;"3F4D+MD",R84&lt;&gt;"Both")),"",ROUND(SUMPRODUCT(T84:AE84,$T$4:$AE$4)*1000/MD_m2,2))</f>
        <v/>
      </c>
      <c r="AP84" s="6">
        <f>IF(OR(Q84="",NOT(ISNUMBER(MD_m2)),AND(R84&lt;&gt;"3F4D+MD",R84&lt;&gt;"Both")),"",ROUND(SUMPRODUCT(T84:AE84,$T$5:$AE$5)*1000/MD_m2,2))</f>
        <v/>
      </c>
    </row>
    <row r="85">
      <c r="A85" s="37" t="n"/>
      <c r="B85" s="6">
        <f>IF(A85="","",IF(ISNUMBER(Schedule_Farmer!$D$5),A85-Schedule_Farmer!$D$5+1,""))</f>
        <v/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Q85" s="37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6">
        <f>IF(OR(Q85="",NOT(ISNUMBER(TransDate))),"",Q85-TransDate)</f>
        <v/>
      </c>
      <c r="AM85" s="6">
        <f>IF(OR(Q85="",NOT(ISNUMBER(FP_m2)),AND(R85&lt;&gt;"FP",R85&lt;&gt;"Both")),"",ROUND(SUMPRODUCT(T85:AE85,$T$4:$AE$4)*1000/FP_m2,2))</f>
        <v/>
      </c>
      <c r="AN85" s="6">
        <f>IF(OR(Q85="",NOT(ISNUMBER(FP_m2)),AND(R85&lt;&gt;"FP",R85&lt;&gt;"Both")),"",ROUND(SUMPRODUCT(T85:AE85,$T$5:$AE$5)*1000/FP_m2,2))</f>
        <v/>
      </c>
      <c r="AO85" s="6">
        <f>IF(OR(Q85="",NOT(ISNUMBER(MD_m2)),AND(R85&lt;&gt;"3F4D+MD",R85&lt;&gt;"Both")),"",ROUND(SUMPRODUCT(T85:AE85,$T$4:$AE$4)*1000/MD_m2,2))</f>
        <v/>
      </c>
      <c r="AP85" s="6">
        <f>IF(OR(Q85="",NOT(ISNUMBER(MD_m2)),AND(R85&lt;&gt;"3F4D+MD",R85&lt;&gt;"Both")),"",ROUND(SUMPRODUCT(T85:AE85,$T$5:$AE$5)*1000/MD_m2,2))</f>
        <v/>
      </c>
    </row>
    <row r="86">
      <c r="A86" s="37" t="n"/>
      <c r="B86" s="6">
        <f>IF(A86="","",IF(ISNUMBER(Schedule_Farmer!$D$5),A86-Schedule_Farmer!$D$5+1,""))</f>
        <v/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Q86" s="37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6">
        <f>IF(OR(Q86="",NOT(ISNUMBER(TransDate))),"",Q86-TransDate)</f>
        <v/>
      </c>
      <c r="AM86" s="6">
        <f>IF(OR(Q86="",NOT(ISNUMBER(FP_m2)),AND(R86&lt;&gt;"FP",R86&lt;&gt;"Both")),"",ROUND(SUMPRODUCT(T86:AE86,$T$4:$AE$4)*1000/FP_m2,2))</f>
        <v/>
      </c>
      <c r="AN86" s="6">
        <f>IF(OR(Q86="",NOT(ISNUMBER(FP_m2)),AND(R86&lt;&gt;"FP",R86&lt;&gt;"Both")),"",ROUND(SUMPRODUCT(T86:AE86,$T$5:$AE$5)*1000/FP_m2,2))</f>
        <v/>
      </c>
      <c r="AO86" s="6">
        <f>IF(OR(Q86="",NOT(ISNUMBER(MD_m2)),AND(R86&lt;&gt;"3F4D+MD",R86&lt;&gt;"Both")),"",ROUND(SUMPRODUCT(T86:AE86,$T$4:$AE$4)*1000/MD_m2,2))</f>
        <v/>
      </c>
      <c r="AP86" s="6">
        <f>IF(OR(Q86="",NOT(ISNUMBER(MD_m2)),AND(R86&lt;&gt;"3F4D+MD",R86&lt;&gt;"Both")),"",ROUND(SUMPRODUCT(T86:AE86,$T$5:$AE$5)*1000/MD_m2,2))</f>
        <v/>
      </c>
    </row>
    <row r="87">
      <c r="A87" s="37" t="n"/>
      <c r="B87" s="6">
        <f>IF(A87="","",IF(ISNUMBER(Schedule_Farmer!$D$5),A87-Schedule_Farmer!$D$5+1,""))</f>
        <v/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Q87" s="37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6">
        <f>IF(OR(Q87="",NOT(ISNUMBER(TransDate))),"",Q87-TransDate)</f>
        <v/>
      </c>
      <c r="AM87" s="6">
        <f>IF(OR(Q87="",NOT(ISNUMBER(FP_m2)),AND(R87&lt;&gt;"FP",R87&lt;&gt;"Both")),"",ROUND(SUMPRODUCT(T87:AE87,$T$4:$AE$4)*1000/FP_m2,2))</f>
        <v/>
      </c>
      <c r="AN87" s="6">
        <f>IF(OR(Q87="",NOT(ISNUMBER(FP_m2)),AND(R87&lt;&gt;"FP",R87&lt;&gt;"Both")),"",ROUND(SUMPRODUCT(T87:AE87,$T$5:$AE$5)*1000/FP_m2,2))</f>
        <v/>
      </c>
      <c r="AO87" s="6">
        <f>IF(OR(Q87="",NOT(ISNUMBER(MD_m2)),AND(R87&lt;&gt;"3F4D+MD",R87&lt;&gt;"Both")),"",ROUND(SUMPRODUCT(T87:AE87,$T$4:$AE$4)*1000/MD_m2,2))</f>
        <v/>
      </c>
      <c r="AP87" s="6">
        <f>IF(OR(Q87="",NOT(ISNUMBER(MD_m2)),AND(R87&lt;&gt;"3F4D+MD",R87&lt;&gt;"Both")),"",ROUND(SUMPRODUCT(T87:AE87,$T$5:$AE$5)*1000/MD_m2,2))</f>
        <v/>
      </c>
    </row>
    <row r="88">
      <c r="A88" s="37" t="n"/>
      <c r="B88" s="6">
        <f>IF(A88="","",IF(ISNUMBER(Schedule_Farmer!$D$5),A88-Schedule_Farmer!$D$5+1,""))</f>
        <v/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Q88" s="37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6">
        <f>IF(OR(Q88="",NOT(ISNUMBER(TransDate))),"",Q88-TransDate)</f>
        <v/>
      </c>
      <c r="AM88" s="6">
        <f>IF(OR(Q88="",NOT(ISNUMBER(FP_m2)),AND(R88&lt;&gt;"FP",R88&lt;&gt;"Both")),"",ROUND(SUMPRODUCT(T88:AE88,$T$4:$AE$4)*1000/FP_m2,2))</f>
        <v/>
      </c>
      <c r="AN88" s="6">
        <f>IF(OR(Q88="",NOT(ISNUMBER(FP_m2)),AND(R88&lt;&gt;"FP",R88&lt;&gt;"Both")),"",ROUND(SUMPRODUCT(T88:AE88,$T$5:$AE$5)*1000/FP_m2,2))</f>
        <v/>
      </c>
      <c r="AO88" s="6">
        <f>IF(OR(Q88="",NOT(ISNUMBER(MD_m2)),AND(R88&lt;&gt;"3F4D+MD",R88&lt;&gt;"Both")),"",ROUND(SUMPRODUCT(T88:AE88,$T$4:$AE$4)*1000/MD_m2,2))</f>
        <v/>
      </c>
      <c r="AP88" s="6">
        <f>IF(OR(Q88="",NOT(ISNUMBER(MD_m2)),AND(R88&lt;&gt;"3F4D+MD",R88&lt;&gt;"Both")),"",ROUND(SUMPRODUCT(T88:AE88,$T$5:$AE$5)*1000/MD_m2,2))</f>
        <v/>
      </c>
    </row>
    <row r="89">
      <c r="A89" s="37" t="n"/>
      <c r="B89" s="6">
        <f>IF(A89="","",IF(ISNUMBER(Schedule_Farmer!$D$5),A89-Schedule_Farmer!$D$5+1,""))</f>
        <v/>
      </c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Q89" s="37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6">
        <f>IF(OR(Q89="",NOT(ISNUMBER(TransDate))),"",Q89-TransDate)</f>
        <v/>
      </c>
      <c r="AM89" s="6">
        <f>IF(OR(Q89="",NOT(ISNUMBER(FP_m2)),AND(R89&lt;&gt;"FP",R89&lt;&gt;"Both")),"",ROUND(SUMPRODUCT(T89:AE89,$T$4:$AE$4)*1000/FP_m2,2))</f>
        <v/>
      </c>
      <c r="AN89" s="6">
        <f>IF(OR(Q89="",NOT(ISNUMBER(FP_m2)),AND(R89&lt;&gt;"FP",R89&lt;&gt;"Both")),"",ROUND(SUMPRODUCT(T89:AE89,$T$5:$AE$5)*1000/FP_m2,2))</f>
        <v/>
      </c>
      <c r="AO89" s="6">
        <f>IF(OR(Q89="",NOT(ISNUMBER(MD_m2)),AND(R89&lt;&gt;"3F4D+MD",R89&lt;&gt;"Both")),"",ROUND(SUMPRODUCT(T89:AE89,$T$4:$AE$4)*1000/MD_m2,2))</f>
        <v/>
      </c>
      <c r="AP89" s="6">
        <f>IF(OR(Q89="",NOT(ISNUMBER(MD_m2)),AND(R89&lt;&gt;"3F4D+MD",R89&lt;&gt;"Both")),"",ROUND(SUMPRODUCT(T89:AE89,$T$5:$AE$5)*1000/MD_m2,2))</f>
        <v/>
      </c>
    </row>
    <row r="90">
      <c r="A90" s="37" t="n"/>
      <c r="B90" s="6">
        <f>IF(A90="","",IF(ISNUMBER(Schedule_Farmer!$D$5),A90-Schedule_Farmer!$D$5+1,""))</f>
        <v/>
      </c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Q90" s="37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6">
        <f>IF(OR(Q90="",NOT(ISNUMBER(TransDate))),"",Q90-TransDate)</f>
        <v/>
      </c>
      <c r="AM90" s="6">
        <f>IF(OR(Q90="",NOT(ISNUMBER(FP_m2)),AND(R90&lt;&gt;"FP",R90&lt;&gt;"Both")),"",ROUND(SUMPRODUCT(T90:AE90,$T$4:$AE$4)*1000/FP_m2,2))</f>
        <v/>
      </c>
      <c r="AN90" s="6">
        <f>IF(OR(Q90="",NOT(ISNUMBER(FP_m2)),AND(R90&lt;&gt;"FP",R90&lt;&gt;"Both")),"",ROUND(SUMPRODUCT(T90:AE90,$T$5:$AE$5)*1000/FP_m2,2))</f>
        <v/>
      </c>
      <c r="AO90" s="6">
        <f>IF(OR(Q90="",NOT(ISNUMBER(MD_m2)),AND(R90&lt;&gt;"3F4D+MD",R90&lt;&gt;"Both")),"",ROUND(SUMPRODUCT(T90:AE90,$T$4:$AE$4)*1000/MD_m2,2))</f>
        <v/>
      </c>
      <c r="AP90" s="6">
        <f>IF(OR(Q90="",NOT(ISNUMBER(MD_m2)),AND(R90&lt;&gt;"3F4D+MD",R90&lt;&gt;"Both")),"",ROUND(SUMPRODUCT(T90:AE90,$T$5:$AE$5)*1000/MD_m2,2))</f>
        <v/>
      </c>
    </row>
    <row r="91">
      <c r="A91" s="37" t="n"/>
      <c r="B91" s="6">
        <f>IF(A91="","",IF(ISNUMBER(Schedule_Farmer!$D$5),A91-Schedule_Farmer!$D$5+1,""))</f>
        <v/>
      </c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Q91" s="37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6">
        <f>IF(OR(Q91="",NOT(ISNUMBER(TransDate))),"",Q91-TransDate)</f>
        <v/>
      </c>
      <c r="AM91" s="6">
        <f>IF(OR(Q91="",NOT(ISNUMBER(FP_m2)),AND(R91&lt;&gt;"FP",R91&lt;&gt;"Both")),"",ROUND(SUMPRODUCT(T91:AE91,$T$4:$AE$4)*1000/FP_m2,2))</f>
        <v/>
      </c>
      <c r="AN91" s="6">
        <f>IF(OR(Q91="",NOT(ISNUMBER(FP_m2)),AND(R91&lt;&gt;"FP",R91&lt;&gt;"Both")),"",ROUND(SUMPRODUCT(T91:AE91,$T$5:$AE$5)*1000/FP_m2,2))</f>
        <v/>
      </c>
      <c r="AO91" s="6">
        <f>IF(OR(Q91="",NOT(ISNUMBER(MD_m2)),AND(R91&lt;&gt;"3F4D+MD",R91&lt;&gt;"Both")),"",ROUND(SUMPRODUCT(T91:AE91,$T$4:$AE$4)*1000/MD_m2,2))</f>
        <v/>
      </c>
      <c r="AP91" s="6">
        <f>IF(OR(Q91="",NOT(ISNUMBER(MD_m2)),AND(R91&lt;&gt;"3F4D+MD",R91&lt;&gt;"Both")),"",ROUND(SUMPRODUCT(T91:AE91,$T$5:$AE$5)*1000/MD_m2,2))</f>
        <v/>
      </c>
    </row>
    <row r="92">
      <c r="A92" s="37" t="n"/>
      <c r="B92" s="6">
        <f>IF(A92="","",IF(ISNUMBER(Schedule_Farmer!$D$5),A92-Schedule_Farmer!$D$5+1,""))</f>
        <v/>
      </c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Q92" s="37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6">
        <f>IF(OR(Q92="",NOT(ISNUMBER(TransDate))),"",Q92-TransDate)</f>
        <v/>
      </c>
      <c r="AM92" s="6">
        <f>IF(OR(Q92="",NOT(ISNUMBER(FP_m2)),AND(R92&lt;&gt;"FP",R92&lt;&gt;"Both")),"",ROUND(SUMPRODUCT(T92:AE92,$T$4:$AE$4)*1000/FP_m2,2))</f>
        <v/>
      </c>
      <c r="AN92" s="6">
        <f>IF(OR(Q92="",NOT(ISNUMBER(FP_m2)),AND(R92&lt;&gt;"FP",R92&lt;&gt;"Both")),"",ROUND(SUMPRODUCT(T92:AE92,$T$5:$AE$5)*1000/FP_m2,2))</f>
        <v/>
      </c>
      <c r="AO92" s="6">
        <f>IF(OR(Q92="",NOT(ISNUMBER(MD_m2)),AND(R92&lt;&gt;"3F4D+MD",R92&lt;&gt;"Both")),"",ROUND(SUMPRODUCT(T92:AE92,$T$4:$AE$4)*1000/MD_m2,2))</f>
        <v/>
      </c>
      <c r="AP92" s="6">
        <f>IF(OR(Q92="",NOT(ISNUMBER(MD_m2)),AND(R92&lt;&gt;"3F4D+MD",R92&lt;&gt;"Both")),"",ROUND(SUMPRODUCT(T92:AE92,$T$5:$AE$5)*1000/MD_m2,2))</f>
        <v/>
      </c>
    </row>
    <row r="93">
      <c r="A93" s="37" t="n"/>
      <c r="B93" s="6">
        <f>IF(A93="","",IF(ISNUMBER(Schedule_Farmer!$D$5),A93-Schedule_Farmer!$D$5+1,""))</f>
        <v/>
      </c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Q93" s="37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6">
        <f>IF(OR(Q93="",NOT(ISNUMBER(TransDate))),"",Q93-TransDate)</f>
        <v/>
      </c>
      <c r="AM93" s="6">
        <f>IF(OR(Q93="",NOT(ISNUMBER(FP_m2)),AND(R93&lt;&gt;"FP",R93&lt;&gt;"Both")),"",ROUND(SUMPRODUCT(T93:AE93,$T$4:$AE$4)*1000/FP_m2,2))</f>
        <v/>
      </c>
      <c r="AN93" s="6">
        <f>IF(OR(Q93="",NOT(ISNUMBER(FP_m2)),AND(R93&lt;&gt;"FP",R93&lt;&gt;"Both")),"",ROUND(SUMPRODUCT(T93:AE93,$T$5:$AE$5)*1000/FP_m2,2))</f>
        <v/>
      </c>
      <c r="AO93" s="6">
        <f>IF(OR(Q93="",NOT(ISNUMBER(MD_m2)),AND(R93&lt;&gt;"3F4D+MD",R93&lt;&gt;"Both")),"",ROUND(SUMPRODUCT(T93:AE93,$T$4:$AE$4)*1000/MD_m2,2))</f>
        <v/>
      </c>
      <c r="AP93" s="6">
        <f>IF(OR(Q93="",NOT(ISNUMBER(MD_m2)),AND(R93&lt;&gt;"3F4D+MD",R93&lt;&gt;"Both")),"",ROUND(SUMPRODUCT(T93:AE93,$T$5:$AE$5)*1000/MD_m2,2))</f>
        <v/>
      </c>
    </row>
    <row r="94">
      <c r="A94" s="37" t="n"/>
      <c r="B94" s="6">
        <f>IF(A94="","",IF(ISNUMBER(Schedule_Farmer!$D$5),A94-Schedule_Farmer!$D$5+1,""))</f>
        <v/>
      </c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Q94" s="37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6">
        <f>IF(OR(Q94="",NOT(ISNUMBER(TransDate))),"",Q94-TransDate)</f>
        <v/>
      </c>
      <c r="AM94" s="6">
        <f>IF(OR(Q94="",NOT(ISNUMBER(FP_m2)),AND(R94&lt;&gt;"FP",R94&lt;&gt;"Both")),"",ROUND(SUMPRODUCT(T94:AE94,$T$4:$AE$4)*1000/FP_m2,2))</f>
        <v/>
      </c>
      <c r="AN94" s="6">
        <f>IF(OR(Q94="",NOT(ISNUMBER(FP_m2)),AND(R94&lt;&gt;"FP",R94&lt;&gt;"Both")),"",ROUND(SUMPRODUCT(T94:AE94,$T$5:$AE$5)*1000/FP_m2,2))</f>
        <v/>
      </c>
      <c r="AO94" s="6">
        <f>IF(OR(Q94="",NOT(ISNUMBER(MD_m2)),AND(R94&lt;&gt;"3F4D+MD",R94&lt;&gt;"Both")),"",ROUND(SUMPRODUCT(T94:AE94,$T$4:$AE$4)*1000/MD_m2,2))</f>
        <v/>
      </c>
      <c r="AP94" s="6">
        <f>IF(OR(Q94="",NOT(ISNUMBER(MD_m2)),AND(R94&lt;&gt;"3F4D+MD",R94&lt;&gt;"Both")),"",ROUND(SUMPRODUCT(T94:AE94,$T$5:$AE$5)*1000/MD_m2,2))</f>
        <v/>
      </c>
    </row>
    <row r="95">
      <c r="A95" s="37" t="n"/>
      <c r="B95" s="6">
        <f>IF(A95="","",IF(ISNUMBER(Schedule_Farmer!$D$5),A95-Schedule_Farmer!$D$5+1,""))</f>
        <v/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Q95" s="37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6">
        <f>IF(OR(Q95="",NOT(ISNUMBER(TransDate))),"",Q95-TransDate)</f>
        <v/>
      </c>
      <c r="AM95" s="6">
        <f>IF(OR(Q95="",NOT(ISNUMBER(FP_m2)),AND(R95&lt;&gt;"FP",R95&lt;&gt;"Both")),"",ROUND(SUMPRODUCT(T95:AE95,$T$4:$AE$4)*1000/FP_m2,2))</f>
        <v/>
      </c>
      <c r="AN95" s="6">
        <f>IF(OR(Q95="",NOT(ISNUMBER(FP_m2)),AND(R95&lt;&gt;"FP",R95&lt;&gt;"Both")),"",ROUND(SUMPRODUCT(T95:AE95,$T$5:$AE$5)*1000/FP_m2,2))</f>
        <v/>
      </c>
      <c r="AO95" s="6">
        <f>IF(OR(Q95="",NOT(ISNUMBER(MD_m2)),AND(R95&lt;&gt;"3F4D+MD",R95&lt;&gt;"Both")),"",ROUND(SUMPRODUCT(T95:AE95,$T$4:$AE$4)*1000/MD_m2,2))</f>
        <v/>
      </c>
      <c r="AP95" s="6">
        <f>IF(OR(Q95="",NOT(ISNUMBER(MD_m2)),AND(R95&lt;&gt;"3F4D+MD",R95&lt;&gt;"Both")),"",ROUND(SUMPRODUCT(T95:AE95,$T$5:$AE$5)*1000/MD_m2,2))</f>
        <v/>
      </c>
    </row>
    <row r="96">
      <c r="A96" s="37" t="n"/>
      <c r="B96" s="6">
        <f>IF(A96="","",IF(ISNUMBER(Schedule_Farmer!$D$5),A96-Schedule_Farmer!$D$5+1,""))</f>
        <v/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Q96" s="37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6">
        <f>IF(OR(Q96="",NOT(ISNUMBER(TransDate))),"",Q96-TransDate)</f>
        <v/>
      </c>
      <c r="AM96" s="6">
        <f>IF(OR(Q96="",NOT(ISNUMBER(FP_m2)),AND(R96&lt;&gt;"FP",R96&lt;&gt;"Both")),"",ROUND(SUMPRODUCT(T96:AE96,$T$4:$AE$4)*1000/FP_m2,2))</f>
        <v/>
      </c>
      <c r="AN96" s="6">
        <f>IF(OR(Q96="",NOT(ISNUMBER(FP_m2)),AND(R96&lt;&gt;"FP",R96&lt;&gt;"Both")),"",ROUND(SUMPRODUCT(T96:AE96,$T$5:$AE$5)*1000/FP_m2,2))</f>
        <v/>
      </c>
      <c r="AO96" s="6">
        <f>IF(OR(Q96="",NOT(ISNUMBER(MD_m2)),AND(R96&lt;&gt;"3F4D+MD",R96&lt;&gt;"Both")),"",ROUND(SUMPRODUCT(T96:AE96,$T$4:$AE$4)*1000/MD_m2,2))</f>
        <v/>
      </c>
      <c r="AP96" s="6">
        <f>IF(OR(Q96="",NOT(ISNUMBER(MD_m2)),AND(R96&lt;&gt;"3F4D+MD",R96&lt;&gt;"Both")),"",ROUND(SUMPRODUCT(T96:AE96,$T$5:$AE$5)*1000/MD_m2,2))</f>
        <v/>
      </c>
    </row>
    <row r="97">
      <c r="A97" s="37" t="n"/>
      <c r="B97" s="6">
        <f>IF(A97="","",IF(ISNUMBER(Schedule_Farmer!$D$5),A97-Schedule_Farmer!$D$5+1,""))</f>
        <v/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Q97" s="37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6">
        <f>IF(OR(Q97="",NOT(ISNUMBER(TransDate))),"",Q97-TransDate)</f>
        <v/>
      </c>
      <c r="AM97" s="6">
        <f>IF(OR(Q97="",NOT(ISNUMBER(FP_m2)),AND(R97&lt;&gt;"FP",R97&lt;&gt;"Both")),"",ROUND(SUMPRODUCT(T97:AE97,$T$4:$AE$4)*1000/FP_m2,2))</f>
        <v/>
      </c>
      <c r="AN97" s="6">
        <f>IF(OR(Q97="",NOT(ISNUMBER(FP_m2)),AND(R97&lt;&gt;"FP",R97&lt;&gt;"Both")),"",ROUND(SUMPRODUCT(T97:AE97,$T$5:$AE$5)*1000/FP_m2,2))</f>
        <v/>
      </c>
      <c r="AO97" s="6">
        <f>IF(OR(Q97="",NOT(ISNUMBER(MD_m2)),AND(R97&lt;&gt;"3F4D+MD",R97&lt;&gt;"Both")),"",ROUND(SUMPRODUCT(T97:AE97,$T$4:$AE$4)*1000/MD_m2,2))</f>
        <v/>
      </c>
      <c r="AP97" s="6">
        <f>IF(OR(Q97="",NOT(ISNUMBER(MD_m2)),AND(R97&lt;&gt;"3F4D+MD",R97&lt;&gt;"Both")),"",ROUND(SUMPRODUCT(T97:AE97,$T$5:$AE$5)*1000/MD_m2,2))</f>
        <v/>
      </c>
    </row>
    <row r="98">
      <c r="A98" s="37" t="n"/>
      <c r="B98" s="6">
        <f>IF(A98="","",IF(ISNUMBER(Schedule_Farmer!$D$5),A98-Schedule_Farmer!$D$5+1,""))</f>
        <v/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Q98" s="37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6">
        <f>IF(OR(Q98="",NOT(ISNUMBER(TransDate))),"",Q98-TransDate)</f>
        <v/>
      </c>
      <c r="AM98" s="6">
        <f>IF(OR(Q98="",NOT(ISNUMBER(FP_m2)),AND(R98&lt;&gt;"FP",R98&lt;&gt;"Both")),"",ROUND(SUMPRODUCT(T98:AE98,$T$4:$AE$4)*1000/FP_m2,2))</f>
        <v/>
      </c>
      <c r="AN98" s="6">
        <f>IF(OR(Q98="",NOT(ISNUMBER(FP_m2)),AND(R98&lt;&gt;"FP",R98&lt;&gt;"Both")),"",ROUND(SUMPRODUCT(T98:AE98,$T$5:$AE$5)*1000/FP_m2,2))</f>
        <v/>
      </c>
      <c r="AO98" s="6">
        <f>IF(OR(Q98="",NOT(ISNUMBER(MD_m2)),AND(R98&lt;&gt;"3F4D+MD",R98&lt;&gt;"Both")),"",ROUND(SUMPRODUCT(T98:AE98,$T$4:$AE$4)*1000/MD_m2,2))</f>
        <v/>
      </c>
      <c r="AP98" s="6">
        <f>IF(OR(Q98="",NOT(ISNUMBER(MD_m2)),AND(R98&lt;&gt;"3F4D+MD",R98&lt;&gt;"Both")),"",ROUND(SUMPRODUCT(T98:AE98,$T$5:$AE$5)*1000/MD_m2,2))</f>
        <v/>
      </c>
    </row>
    <row r="99">
      <c r="A99" s="37" t="n"/>
      <c r="B99" s="6">
        <f>IF(A99="","",IF(ISNUMBER(Schedule_Farmer!$D$5),A99-Schedule_Farmer!$D$5+1,""))</f>
        <v/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Q99" s="37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6">
        <f>IF(OR(Q99="",NOT(ISNUMBER(TransDate))),"",Q99-TransDate)</f>
        <v/>
      </c>
      <c r="AM99" s="6">
        <f>IF(OR(Q99="",NOT(ISNUMBER(FP_m2)),AND(R99&lt;&gt;"FP",R99&lt;&gt;"Both")),"",ROUND(SUMPRODUCT(T99:AE99,$T$4:$AE$4)*1000/FP_m2,2))</f>
        <v/>
      </c>
      <c r="AN99" s="6">
        <f>IF(OR(Q99="",NOT(ISNUMBER(FP_m2)),AND(R99&lt;&gt;"FP",R99&lt;&gt;"Both")),"",ROUND(SUMPRODUCT(T99:AE99,$T$5:$AE$5)*1000/FP_m2,2))</f>
        <v/>
      </c>
      <c r="AO99" s="6">
        <f>IF(OR(Q99="",NOT(ISNUMBER(MD_m2)),AND(R99&lt;&gt;"3F4D+MD",R99&lt;&gt;"Both")),"",ROUND(SUMPRODUCT(T99:AE99,$T$4:$AE$4)*1000/MD_m2,2))</f>
        <v/>
      </c>
      <c r="AP99" s="6">
        <f>IF(OR(Q99="",NOT(ISNUMBER(MD_m2)),AND(R99&lt;&gt;"3F4D+MD",R99&lt;&gt;"Both")),"",ROUND(SUMPRODUCT(T99:AE99,$T$5:$AE$5)*1000/MD_m2,2))</f>
        <v/>
      </c>
    </row>
    <row r="100">
      <c r="A100" s="37" t="n"/>
      <c r="B100" s="6">
        <f>IF(A100="","",IF(ISNUMBER(Schedule_Farmer!$D$5),A100-Schedule_Farmer!$D$5+1,""))</f>
        <v/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Q100" s="37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6">
        <f>IF(OR(Q100="",NOT(ISNUMBER(TransDate))),"",Q100-TransDate)</f>
        <v/>
      </c>
      <c r="AM100" s="6">
        <f>IF(OR(Q100="",NOT(ISNUMBER(FP_m2)),AND(R100&lt;&gt;"FP",R100&lt;&gt;"Both")),"",ROUND(SUMPRODUCT(T100:AE100,$T$4:$AE$4)*1000/FP_m2,2))</f>
        <v/>
      </c>
      <c r="AN100" s="6">
        <f>IF(OR(Q100="",NOT(ISNUMBER(FP_m2)),AND(R100&lt;&gt;"FP",R100&lt;&gt;"Both")),"",ROUND(SUMPRODUCT(T100:AE100,$T$5:$AE$5)*1000/FP_m2,2))</f>
        <v/>
      </c>
      <c r="AO100" s="6">
        <f>IF(OR(Q100="",NOT(ISNUMBER(MD_m2)),AND(R100&lt;&gt;"3F4D+MD",R100&lt;&gt;"Both")),"",ROUND(SUMPRODUCT(T100:AE100,$T$4:$AE$4)*1000/MD_m2,2))</f>
        <v/>
      </c>
      <c r="AP100" s="6">
        <f>IF(OR(Q100="",NOT(ISNUMBER(MD_m2)),AND(R100&lt;&gt;"3F4D+MD",R100&lt;&gt;"Both")),"",ROUND(SUMPRODUCT(T100:AE100,$T$5:$AE$5)*1000/MD_m2,2))</f>
        <v/>
      </c>
    </row>
    <row r="101">
      <c r="A101" s="37" t="n"/>
      <c r="B101" s="6">
        <f>IF(A101="","",IF(ISNUMBER(Schedule_Farmer!$D$5),A101-Schedule_Farmer!$D$5+1,""))</f>
        <v/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Q101" s="37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6">
        <f>IF(OR(Q101="",NOT(ISNUMBER(TransDate))),"",Q101-TransDate)</f>
        <v/>
      </c>
      <c r="AM101" s="6">
        <f>IF(OR(Q101="",NOT(ISNUMBER(FP_m2)),AND(R101&lt;&gt;"FP",R101&lt;&gt;"Both")),"",ROUND(SUMPRODUCT(T101:AE101,$T$4:$AE$4)*1000/FP_m2,2))</f>
        <v/>
      </c>
      <c r="AN101" s="6">
        <f>IF(OR(Q101="",NOT(ISNUMBER(FP_m2)),AND(R101&lt;&gt;"FP",R101&lt;&gt;"Both")),"",ROUND(SUMPRODUCT(T101:AE101,$T$5:$AE$5)*1000/FP_m2,2))</f>
        <v/>
      </c>
      <c r="AO101" s="6">
        <f>IF(OR(Q101="",NOT(ISNUMBER(MD_m2)),AND(R101&lt;&gt;"3F4D+MD",R101&lt;&gt;"Both")),"",ROUND(SUMPRODUCT(T101:AE101,$T$4:$AE$4)*1000/MD_m2,2))</f>
        <v/>
      </c>
      <c r="AP101" s="6">
        <f>IF(OR(Q101="",NOT(ISNUMBER(MD_m2)),AND(R101&lt;&gt;"3F4D+MD",R101&lt;&gt;"Both")),"",ROUND(SUMPRODUCT(T101:AE101,$T$5:$AE$5)*1000/MD_m2,2))</f>
        <v/>
      </c>
    </row>
    <row r="102">
      <c r="A102" s="37" t="n"/>
      <c r="B102" s="6">
        <f>IF(A102="","",IF(ISNUMBER(Schedule_Farmer!$D$5),A102-Schedule_Farmer!$D$5+1,""))</f>
        <v/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Q102" s="37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6">
        <f>IF(OR(Q102="",NOT(ISNUMBER(TransDate))),"",Q102-TransDate)</f>
        <v/>
      </c>
      <c r="AM102" s="6">
        <f>IF(OR(Q102="",NOT(ISNUMBER(FP_m2)),AND(R102&lt;&gt;"FP",R102&lt;&gt;"Both")),"",ROUND(SUMPRODUCT(T102:AE102,$T$4:$AE$4)*1000/FP_m2,2))</f>
        <v/>
      </c>
      <c r="AN102" s="6">
        <f>IF(OR(Q102="",NOT(ISNUMBER(FP_m2)),AND(R102&lt;&gt;"FP",R102&lt;&gt;"Both")),"",ROUND(SUMPRODUCT(T102:AE102,$T$5:$AE$5)*1000/FP_m2,2))</f>
        <v/>
      </c>
      <c r="AO102" s="6">
        <f>IF(OR(Q102="",NOT(ISNUMBER(MD_m2)),AND(R102&lt;&gt;"3F4D+MD",R102&lt;&gt;"Both")),"",ROUND(SUMPRODUCT(T102:AE102,$T$4:$AE$4)*1000/MD_m2,2))</f>
        <v/>
      </c>
      <c r="AP102" s="6">
        <f>IF(OR(Q102="",NOT(ISNUMBER(MD_m2)),AND(R102&lt;&gt;"3F4D+MD",R102&lt;&gt;"Both")),"",ROUND(SUMPRODUCT(T102:AE102,$T$5:$AE$5)*1000/MD_m2,2))</f>
        <v/>
      </c>
    </row>
    <row r="103">
      <c r="A103" s="37" t="n"/>
      <c r="B103" s="6">
        <f>IF(A103="","",IF(ISNUMBER(Schedule_Farmer!$D$5),A103-Schedule_Farmer!$D$5+1,""))</f>
        <v/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Q103" s="37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6">
        <f>IF(OR(Q103="",NOT(ISNUMBER(TransDate))),"",Q103-TransDate)</f>
        <v/>
      </c>
      <c r="AM103" s="6">
        <f>IF(OR(Q103="",NOT(ISNUMBER(FP_m2)),AND(R103&lt;&gt;"FP",R103&lt;&gt;"Both")),"",ROUND(SUMPRODUCT(T103:AE103,$T$4:$AE$4)*1000/FP_m2,2))</f>
        <v/>
      </c>
      <c r="AN103" s="6">
        <f>IF(OR(Q103="",NOT(ISNUMBER(FP_m2)),AND(R103&lt;&gt;"FP",R103&lt;&gt;"Both")),"",ROUND(SUMPRODUCT(T103:AE103,$T$5:$AE$5)*1000/FP_m2,2))</f>
        <v/>
      </c>
      <c r="AO103" s="6">
        <f>IF(OR(Q103="",NOT(ISNUMBER(MD_m2)),AND(R103&lt;&gt;"3F4D+MD",R103&lt;&gt;"Both")),"",ROUND(SUMPRODUCT(T103:AE103,$T$4:$AE$4)*1000/MD_m2,2))</f>
        <v/>
      </c>
      <c r="AP103" s="6">
        <f>IF(OR(Q103="",NOT(ISNUMBER(MD_m2)),AND(R103&lt;&gt;"3F4D+MD",R103&lt;&gt;"Both")),"",ROUND(SUMPRODUCT(T103:AE103,$T$5:$AE$5)*1000/MD_m2,2))</f>
        <v/>
      </c>
    </row>
    <row r="104">
      <c r="A104" s="37" t="n"/>
      <c r="B104" s="6">
        <f>IF(A104="","",IF(ISNUMBER(Schedule_Farmer!$D$5),A104-Schedule_Farmer!$D$5+1,""))</f>
        <v/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Q104" s="37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6">
        <f>IF(OR(Q104="",NOT(ISNUMBER(TransDate))),"",Q104-TransDate)</f>
        <v/>
      </c>
      <c r="AM104" s="6">
        <f>IF(OR(Q104="",NOT(ISNUMBER(FP_m2)),AND(R104&lt;&gt;"FP",R104&lt;&gt;"Both")),"",ROUND(SUMPRODUCT(T104:AE104,$T$4:$AE$4)*1000/FP_m2,2))</f>
        <v/>
      </c>
      <c r="AN104" s="6">
        <f>IF(OR(Q104="",NOT(ISNUMBER(FP_m2)),AND(R104&lt;&gt;"FP",R104&lt;&gt;"Both")),"",ROUND(SUMPRODUCT(T104:AE104,$T$5:$AE$5)*1000/FP_m2,2))</f>
        <v/>
      </c>
      <c r="AO104" s="6">
        <f>IF(OR(Q104="",NOT(ISNUMBER(MD_m2)),AND(R104&lt;&gt;"3F4D+MD",R104&lt;&gt;"Both")),"",ROUND(SUMPRODUCT(T104:AE104,$T$4:$AE$4)*1000/MD_m2,2))</f>
        <v/>
      </c>
      <c r="AP104" s="6">
        <f>IF(OR(Q104="",NOT(ISNUMBER(MD_m2)),AND(R104&lt;&gt;"3F4D+MD",R104&lt;&gt;"Both")),"",ROUND(SUMPRODUCT(T104:AE104,$T$5:$AE$5)*1000/MD_m2,2))</f>
        <v/>
      </c>
    </row>
    <row r="105">
      <c r="A105" s="37" t="n"/>
      <c r="B105" s="6">
        <f>IF(A105="","",IF(ISNUMBER(Schedule_Farmer!$D$5),A105-Schedule_Farmer!$D$5+1,""))</f>
        <v/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Q105" s="37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6">
        <f>IF(OR(Q105="",NOT(ISNUMBER(TransDate))),"",Q105-TransDate)</f>
        <v/>
      </c>
      <c r="AM105" s="6">
        <f>IF(OR(Q105="",NOT(ISNUMBER(FP_m2)),AND(R105&lt;&gt;"FP",R105&lt;&gt;"Both")),"",ROUND(SUMPRODUCT(T105:AE105,$T$4:$AE$4)*1000/FP_m2,2))</f>
        <v/>
      </c>
      <c r="AN105" s="6">
        <f>IF(OR(Q105="",NOT(ISNUMBER(FP_m2)),AND(R105&lt;&gt;"FP",R105&lt;&gt;"Both")),"",ROUND(SUMPRODUCT(T105:AE105,$T$5:$AE$5)*1000/FP_m2,2))</f>
        <v/>
      </c>
      <c r="AO105" s="6">
        <f>IF(OR(Q105="",NOT(ISNUMBER(MD_m2)),AND(R105&lt;&gt;"3F4D+MD",R105&lt;&gt;"Both")),"",ROUND(SUMPRODUCT(T105:AE105,$T$4:$AE$4)*1000/MD_m2,2))</f>
        <v/>
      </c>
      <c r="AP105" s="6">
        <f>IF(OR(Q105="",NOT(ISNUMBER(MD_m2)),AND(R105&lt;&gt;"3F4D+MD",R105&lt;&gt;"Both")),"",ROUND(SUMPRODUCT(T105:AE105,$T$5:$AE$5)*1000/MD_m2,2))</f>
        <v/>
      </c>
    </row>
    <row r="106">
      <c r="A106" s="37" t="n"/>
      <c r="B106" s="6">
        <f>IF(A106="","",IF(ISNUMBER(Schedule_Farmer!$D$5),A106-Schedule_Farmer!$D$5+1,""))</f>
        <v/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Q106" s="37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6">
        <f>IF(OR(Q106="",NOT(ISNUMBER(TransDate))),"",Q106-TransDate)</f>
        <v/>
      </c>
      <c r="AM106" s="6">
        <f>IF(OR(Q106="",NOT(ISNUMBER(FP_m2)),AND(R106&lt;&gt;"FP",R106&lt;&gt;"Both")),"",ROUND(SUMPRODUCT(T106:AE106,$T$4:$AE$4)*1000/FP_m2,2))</f>
        <v/>
      </c>
      <c r="AN106" s="6">
        <f>IF(OR(Q106="",NOT(ISNUMBER(FP_m2)),AND(R106&lt;&gt;"FP",R106&lt;&gt;"Both")),"",ROUND(SUMPRODUCT(T106:AE106,$T$5:$AE$5)*1000/FP_m2,2))</f>
        <v/>
      </c>
      <c r="AO106" s="6">
        <f>IF(OR(Q106="",NOT(ISNUMBER(MD_m2)),AND(R106&lt;&gt;"3F4D+MD",R106&lt;&gt;"Both")),"",ROUND(SUMPRODUCT(T106:AE106,$T$4:$AE$4)*1000/MD_m2,2))</f>
        <v/>
      </c>
      <c r="AP106" s="6">
        <f>IF(OR(Q106="",NOT(ISNUMBER(MD_m2)),AND(R106&lt;&gt;"3F4D+MD",R106&lt;&gt;"Both")),"",ROUND(SUMPRODUCT(T106:AE106,$T$5:$AE$5)*1000/MD_m2,2))</f>
        <v/>
      </c>
    </row>
    <row r="107">
      <c r="A107" s="37" t="n"/>
      <c r="B107" s="6">
        <f>IF(A107="","",IF(ISNUMBER(Schedule_Farmer!$D$5),A107-Schedule_Farmer!$D$5+1,""))</f>
        <v/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Q107" s="37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6">
        <f>IF(OR(Q107="",NOT(ISNUMBER(TransDate))),"",Q107-TransDate)</f>
        <v/>
      </c>
      <c r="AM107" s="6">
        <f>IF(OR(Q107="",NOT(ISNUMBER(FP_m2)),AND(R107&lt;&gt;"FP",R107&lt;&gt;"Both")),"",ROUND(SUMPRODUCT(T107:AE107,$T$4:$AE$4)*1000/FP_m2,2))</f>
        <v/>
      </c>
      <c r="AN107" s="6">
        <f>IF(OR(Q107="",NOT(ISNUMBER(FP_m2)),AND(R107&lt;&gt;"FP",R107&lt;&gt;"Both")),"",ROUND(SUMPRODUCT(T107:AE107,$T$5:$AE$5)*1000/FP_m2,2))</f>
        <v/>
      </c>
      <c r="AO107" s="6">
        <f>IF(OR(Q107="",NOT(ISNUMBER(MD_m2)),AND(R107&lt;&gt;"3F4D+MD",R107&lt;&gt;"Both")),"",ROUND(SUMPRODUCT(T107:AE107,$T$4:$AE$4)*1000/MD_m2,2))</f>
        <v/>
      </c>
      <c r="AP107" s="6">
        <f>IF(OR(Q107="",NOT(ISNUMBER(MD_m2)),AND(R107&lt;&gt;"3F4D+MD",R107&lt;&gt;"Both")),"",ROUND(SUMPRODUCT(T107:AE107,$T$5:$AE$5)*1000/MD_m2,2))</f>
        <v/>
      </c>
    </row>
    <row r="108">
      <c r="A108" s="37" t="n"/>
      <c r="B108" s="6">
        <f>IF(A108="","",IF(ISNUMBER(Schedule_Farmer!$D$5),A108-Schedule_Farmer!$D$5+1,""))</f>
        <v/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Q108" s="37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6">
        <f>IF(OR(Q108="",NOT(ISNUMBER(TransDate))),"",Q108-TransDate)</f>
        <v/>
      </c>
      <c r="AM108" s="6">
        <f>IF(OR(Q108="",NOT(ISNUMBER(FP_m2)),AND(R108&lt;&gt;"FP",R108&lt;&gt;"Both")),"",ROUND(SUMPRODUCT(T108:AE108,$T$4:$AE$4)*1000/FP_m2,2))</f>
        <v/>
      </c>
      <c r="AN108" s="6">
        <f>IF(OR(Q108="",NOT(ISNUMBER(FP_m2)),AND(R108&lt;&gt;"FP",R108&lt;&gt;"Both")),"",ROUND(SUMPRODUCT(T108:AE108,$T$5:$AE$5)*1000/FP_m2,2))</f>
        <v/>
      </c>
      <c r="AO108" s="6">
        <f>IF(OR(Q108="",NOT(ISNUMBER(MD_m2)),AND(R108&lt;&gt;"3F4D+MD",R108&lt;&gt;"Both")),"",ROUND(SUMPRODUCT(T108:AE108,$T$4:$AE$4)*1000/MD_m2,2))</f>
        <v/>
      </c>
      <c r="AP108" s="6">
        <f>IF(OR(Q108="",NOT(ISNUMBER(MD_m2)),AND(R108&lt;&gt;"3F4D+MD",R108&lt;&gt;"Both")),"",ROUND(SUMPRODUCT(T108:AE108,$T$5:$AE$5)*1000/MD_m2,2))</f>
        <v/>
      </c>
    </row>
    <row r="109">
      <c r="A109" s="37" t="n"/>
      <c r="B109" s="6">
        <f>IF(A109="","",IF(ISNUMBER(Schedule_Farmer!$D$5),A109-Schedule_Farmer!$D$5+1,""))</f>
        <v/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Q109" s="37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6">
        <f>IF(OR(Q109="",NOT(ISNUMBER(TransDate))),"",Q109-TransDate)</f>
        <v/>
      </c>
      <c r="AM109" s="6">
        <f>IF(OR(Q109="",NOT(ISNUMBER(FP_m2)),AND(R109&lt;&gt;"FP",R109&lt;&gt;"Both")),"",ROUND(SUMPRODUCT(T109:AE109,$T$4:$AE$4)*1000/FP_m2,2))</f>
        <v/>
      </c>
      <c r="AN109" s="6">
        <f>IF(OR(Q109="",NOT(ISNUMBER(FP_m2)),AND(R109&lt;&gt;"FP",R109&lt;&gt;"Both")),"",ROUND(SUMPRODUCT(T109:AE109,$T$5:$AE$5)*1000/FP_m2,2))</f>
        <v/>
      </c>
      <c r="AO109" s="6">
        <f>IF(OR(Q109="",NOT(ISNUMBER(MD_m2)),AND(R109&lt;&gt;"3F4D+MD",R109&lt;&gt;"Both")),"",ROUND(SUMPRODUCT(T109:AE109,$T$4:$AE$4)*1000/MD_m2,2))</f>
        <v/>
      </c>
      <c r="AP109" s="6">
        <f>IF(OR(Q109="",NOT(ISNUMBER(MD_m2)),AND(R109&lt;&gt;"3F4D+MD",R109&lt;&gt;"Both")),"",ROUND(SUMPRODUCT(T109:AE109,$T$5:$AE$5)*1000/MD_m2,2))</f>
        <v/>
      </c>
    </row>
    <row r="110">
      <c r="A110" s="37" t="n"/>
      <c r="B110" s="6">
        <f>IF(A110="","",IF(ISNUMBER(Schedule_Farmer!$D$5),A110-Schedule_Farmer!$D$5+1,""))</f>
        <v/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Q110" s="37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6">
        <f>IF(OR(Q110="",NOT(ISNUMBER(TransDate))),"",Q110-TransDate)</f>
        <v/>
      </c>
      <c r="AM110" s="6">
        <f>IF(OR(Q110="",NOT(ISNUMBER(FP_m2)),AND(R110&lt;&gt;"FP",R110&lt;&gt;"Both")),"",ROUND(SUMPRODUCT(T110:AE110,$T$4:$AE$4)*1000/FP_m2,2))</f>
        <v/>
      </c>
      <c r="AN110" s="6">
        <f>IF(OR(Q110="",NOT(ISNUMBER(FP_m2)),AND(R110&lt;&gt;"FP",R110&lt;&gt;"Both")),"",ROUND(SUMPRODUCT(T110:AE110,$T$5:$AE$5)*1000/FP_m2,2))</f>
        <v/>
      </c>
      <c r="AO110" s="6">
        <f>IF(OR(Q110="",NOT(ISNUMBER(MD_m2)),AND(R110&lt;&gt;"3F4D+MD",R110&lt;&gt;"Both")),"",ROUND(SUMPRODUCT(T110:AE110,$T$4:$AE$4)*1000/MD_m2,2))</f>
        <v/>
      </c>
      <c r="AP110" s="6">
        <f>IF(OR(Q110="",NOT(ISNUMBER(MD_m2)),AND(R110&lt;&gt;"3F4D+MD",R110&lt;&gt;"Both")),"",ROUND(SUMPRODUCT(T110:AE110,$T$5:$AE$5)*1000/MD_m2,2))</f>
        <v/>
      </c>
    </row>
    <row r="111">
      <c r="A111" s="37" t="n"/>
      <c r="B111" s="6">
        <f>IF(A111="","",IF(ISNUMBER(Schedule_Farmer!$D$5),A111-Schedule_Farmer!$D$5+1,""))</f>
        <v/>
      </c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Q111" s="37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6">
        <f>IF(OR(Q111="",NOT(ISNUMBER(TransDate))),"",Q111-TransDate)</f>
        <v/>
      </c>
      <c r="AM111" s="6">
        <f>IF(OR(Q111="",NOT(ISNUMBER(FP_m2)),AND(R111&lt;&gt;"FP",R111&lt;&gt;"Both")),"",ROUND(SUMPRODUCT(T111:AE111,$T$4:$AE$4)*1000/FP_m2,2))</f>
        <v/>
      </c>
      <c r="AN111" s="6">
        <f>IF(OR(Q111="",NOT(ISNUMBER(FP_m2)),AND(R111&lt;&gt;"FP",R111&lt;&gt;"Both")),"",ROUND(SUMPRODUCT(T111:AE111,$T$5:$AE$5)*1000/FP_m2,2))</f>
        <v/>
      </c>
      <c r="AO111" s="6">
        <f>IF(OR(Q111="",NOT(ISNUMBER(MD_m2)),AND(R111&lt;&gt;"3F4D+MD",R111&lt;&gt;"Both")),"",ROUND(SUMPRODUCT(T111:AE111,$T$4:$AE$4)*1000/MD_m2,2))</f>
        <v/>
      </c>
      <c r="AP111" s="6">
        <f>IF(OR(Q111="",NOT(ISNUMBER(MD_m2)),AND(R111&lt;&gt;"3F4D+MD",R111&lt;&gt;"Both")),"",ROUND(SUMPRODUCT(T111:AE111,$T$5:$AE$5)*1000/MD_m2,2))</f>
        <v/>
      </c>
    </row>
    <row r="112">
      <c r="A112" s="37" t="n"/>
      <c r="B112" s="6">
        <f>IF(A112="","",IF(ISNUMBER(Schedule_Farmer!$D$5),A112-Schedule_Farmer!$D$5+1,""))</f>
        <v/>
      </c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Q112" s="37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6">
        <f>IF(OR(Q112="",NOT(ISNUMBER(TransDate))),"",Q112-TransDate)</f>
        <v/>
      </c>
      <c r="AM112" s="6">
        <f>IF(OR(Q112="",NOT(ISNUMBER(FP_m2)),AND(R112&lt;&gt;"FP",R112&lt;&gt;"Both")),"",ROUND(SUMPRODUCT(T112:AE112,$T$4:$AE$4)*1000/FP_m2,2))</f>
        <v/>
      </c>
      <c r="AN112" s="6">
        <f>IF(OR(Q112="",NOT(ISNUMBER(FP_m2)),AND(R112&lt;&gt;"FP",R112&lt;&gt;"Both")),"",ROUND(SUMPRODUCT(T112:AE112,$T$5:$AE$5)*1000/FP_m2,2))</f>
        <v/>
      </c>
      <c r="AO112" s="6">
        <f>IF(OR(Q112="",NOT(ISNUMBER(MD_m2)),AND(R112&lt;&gt;"3F4D+MD",R112&lt;&gt;"Both")),"",ROUND(SUMPRODUCT(T112:AE112,$T$4:$AE$4)*1000/MD_m2,2))</f>
        <v/>
      </c>
      <c r="AP112" s="6">
        <f>IF(OR(Q112="",NOT(ISNUMBER(MD_m2)),AND(R112&lt;&gt;"3F4D+MD",R112&lt;&gt;"Both")),"",ROUND(SUMPRODUCT(T112:AE112,$T$5:$AE$5)*1000/MD_m2,2))</f>
        <v/>
      </c>
    </row>
    <row r="113">
      <c r="A113" s="37" t="n"/>
      <c r="B113" s="6">
        <f>IF(A113="","",IF(ISNUMBER(Schedule_Farmer!$D$5),A113-Schedule_Farmer!$D$5+1,""))</f>
        <v/>
      </c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Q113" s="37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6">
        <f>IF(OR(Q113="",NOT(ISNUMBER(TransDate))),"",Q113-TransDate)</f>
        <v/>
      </c>
      <c r="AM113" s="6">
        <f>IF(OR(Q113="",NOT(ISNUMBER(FP_m2)),AND(R113&lt;&gt;"FP",R113&lt;&gt;"Both")),"",ROUND(SUMPRODUCT(T113:AE113,$T$4:$AE$4)*1000/FP_m2,2))</f>
        <v/>
      </c>
      <c r="AN113" s="6">
        <f>IF(OR(Q113="",NOT(ISNUMBER(FP_m2)),AND(R113&lt;&gt;"FP",R113&lt;&gt;"Both")),"",ROUND(SUMPRODUCT(T113:AE113,$T$5:$AE$5)*1000/FP_m2,2))</f>
        <v/>
      </c>
      <c r="AO113" s="6">
        <f>IF(OR(Q113="",NOT(ISNUMBER(MD_m2)),AND(R113&lt;&gt;"3F4D+MD",R113&lt;&gt;"Both")),"",ROUND(SUMPRODUCT(T113:AE113,$T$4:$AE$4)*1000/MD_m2,2))</f>
        <v/>
      </c>
      <c r="AP113" s="6">
        <f>IF(OR(Q113="",NOT(ISNUMBER(MD_m2)),AND(R113&lt;&gt;"3F4D+MD",R113&lt;&gt;"Both")),"",ROUND(SUMPRODUCT(T113:AE113,$T$5:$AE$5)*1000/MD_m2,2))</f>
        <v/>
      </c>
    </row>
    <row r="114">
      <c r="A114" s="37" t="n"/>
      <c r="B114" s="6">
        <f>IF(A114="","",IF(ISNUMBER(Schedule_Farmer!$D$5),A114-Schedule_Farmer!$D$5+1,""))</f>
        <v/>
      </c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Q114" s="37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6">
        <f>IF(OR(Q114="",NOT(ISNUMBER(TransDate))),"",Q114-TransDate)</f>
        <v/>
      </c>
      <c r="AM114" s="6">
        <f>IF(OR(Q114="",NOT(ISNUMBER(FP_m2)),AND(R114&lt;&gt;"FP",R114&lt;&gt;"Both")),"",ROUND(SUMPRODUCT(T114:AE114,$T$4:$AE$4)*1000/FP_m2,2))</f>
        <v/>
      </c>
      <c r="AN114" s="6">
        <f>IF(OR(Q114="",NOT(ISNUMBER(FP_m2)),AND(R114&lt;&gt;"FP",R114&lt;&gt;"Both")),"",ROUND(SUMPRODUCT(T114:AE114,$T$5:$AE$5)*1000/FP_m2,2))</f>
        <v/>
      </c>
      <c r="AO114" s="6">
        <f>IF(OR(Q114="",NOT(ISNUMBER(MD_m2)),AND(R114&lt;&gt;"3F4D+MD",R114&lt;&gt;"Both")),"",ROUND(SUMPRODUCT(T114:AE114,$T$4:$AE$4)*1000/MD_m2,2))</f>
        <v/>
      </c>
      <c r="AP114" s="6">
        <f>IF(OR(Q114="",NOT(ISNUMBER(MD_m2)),AND(R114&lt;&gt;"3F4D+MD",R114&lt;&gt;"Both")),"",ROUND(SUMPRODUCT(T114:AE114,$T$5:$AE$5)*1000/MD_m2,2))</f>
        <v/>
      </c>
    </row>
    <row r="115">
      <c r="A115" s="37" t="n"/>
      <c r="B115" s="6">
        <f>IF(A115="","",IF(ISNUMBER(Schedule_Farmer!$D$5),A115-Schedule_Farmer!$D$5+1,""))</f>
        <v/>
      </c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Q115" s="37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6">
        <f>IF(OR(Q115="",NOT(ISNUMBER(TransDate))),"",Q115-TransDate)</f>
        <v/>
      </c>
      <c r="AM115" s="6">
        <f>IF(OR(Q115="",NOT(ISNUMBER(FP_m2)),AND(R115&lt;&gt;"FP",R115&lt;&gt;"Both")),"",ROUND(SUMPRODUCT(T115:AE115,$T$4:$AE$4)*1000/FP_m2,2))</f>
        <v/>
      </c>
      <c r="AN115" s="6">
        <f>IF(OR(Q115="",NOT(ISNUMBER(FP_m2)),AND(R115&lt;&gt;"FP",R115&lt;&gt;"Both")),"",ROUND(SUMPRODUCT(T115:AE115,$T$5:$AE$5)*1000/FP_m2,2))</f>
        <v/>
      </c>
      <c r="AO115" s="6">
        <f>IF(OR(Q115="",NOT(ISNUMBER(MD_m2)),AND(R115&lt;&gt;"3F4D+MD",R115&lt;&gt;"Both")),"",ROUND(SUMPRODUCT(T115:AE115,$T$4:$AE$4)*1000/MD_m2,2))</f>
        <v/>
      </c>
      <c r="AP115" s="6">
        <f>IF(OR(Q115="",NOT(ISNUMBER(MD_m2)),AND(R115&lt;&gt;"3F4D+MD",R115&lt;&gt;"Both")),"",ROUND(SUMPRODUCT(T115:AE115,$T$5:$AE$5)*1000/MD_m2,2))</f>
        <v/>
      </c>
    </row>
    <row r="116">
      <c r="A116" s="37" t="n"/>
      <c r="B116" s="6">
        <f>IF(A116="","",IF(ISNUMBER(Schedule_Farmer!$D$5),A116-Schedule_Farmer!$D$5+1,""))</f>
        <v/>
      </c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Q116" s="37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6">
        <f>IF(OR(Q116="",NOT(ISNUMBER(TransDate))),"",Q116-TransDate)</f>
        <v/>
      </c>
      <c r="AM116" s="6">
        <f>IF(OR(Q116="",NOT(ISNUMBER(FP_m2)),AND(R116&lt;&gt;"FP",R116&lt;&gt;"Both")),"",ROUND(SUMPRODUCT(T116:AE116,$T$4:$AE$4)*1000/FP_m2,2))</f>
        <v/>
      </c>
      <c r="AN116" s="6">
        <f>IF(OR(Q116="",NOT(ISNUMBER(FP_m2)),AND(R116&lt;&gt;"FP",R116&lt;&gt;"Both")),"",ROUND(SUMPRODUCT(T116:AE116,$T$5:$AE$5)*1000/FP_m2,2))</f>
        <v/>
      </c>
      <c r="AO116" s="6">
        <f>IF(OR(Q116="",NOT(ISNUMBER(MD_m2)),AND(R116&lt;&gt;"3F4D+MD",R116&lt;&gt;"Both")),"",ROUND(SUMPRODUCT(T116:AE116,$T$4:$AE$4)*1000/MD_m2,2))</f>
        <v/>
      </c>
      <c r="AP116" s="6">
        <f>IF(OR(Q116="",NOT(ISNUMBER(MD_m2)),AND(R116&lt;&gt;"3F4D+MD",R116&lt;&gt;"Both")),"",ROUND(SUMPRODUCT(T116:AE116,$T$5:$AE$5)*1000/MD_m2,2))</f>
        <v/>
      </c>
    </row>
    <row r="117">
      <c r="A117" s="37" t="n"/>
      <c r="B117" s="6">
        <f>IF(A117="","",IF(ISNUMBER(Schedule_Farmer!$D$5),A117-Schedule_Farmer!$D$5+1,""))</f>
        <v/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Q117" s="37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6">
        <f>IF(OR(Q117="",NOT(ISNUMBER(TransDate))),"",Q117-TransDate)</f>
        <v/>
      </c>
      <c r="AM117" s="6">
        <f>IF(OR(Q117="",NOT(ISNUMBER(FP_m2)),AND(R117&lt;&gt;"FP",R117&lt;&gt;"Both")),"",ROUND(SUMPRODUCT(T117:AE117,$T$4:$AE$4)*1000/FP_m2,2))</f>
        <v/>
      </c>
      <c r="AN117" s="6">
        <f>IF(OR(Q117="",NOT(ISNUMBER(FP_m2)),AND(R117&lt;&gt;"FP",R117&lt;&gt;"Both")),"",ROUND(SUMPRODUCT(T117:AE117,$T$5:$AE$5)*1000/FP_m2,2))</f>
        <v/>
      </c>
      <c r="AO117" s="6">
        <f>IF(OR(Q117="",NOT(ISNUMBER(MD_m2)),AND(R117&lt;&gt;"3F4D+MD",R117&lt;&gt;"Both")),"",ROUND(SUMPRODUCT(T117:AE117,$T$4:$AE$4)*1000/MD_m2,2))</f>
        <v/>
      </c>
      <c r="AP117" s="6">
        <f>IF(OR(Q117="",NOT(ISNUMBER(MD_m2)),AND(R117&lt;&gt;"3F4D+MD",R117&lt;&gt;"Both")),"",ROUND(SUMPRODUCT(T117:AE117,$T$5:$AE$5)*1000/MD_m2,2))</f>
        <v/>
      </c>
    </row>
    <row r="118">
      <c r="A118" s="37" t="n"/>
      <c r="B118" s="6">
        <f>IF(A118="","",IF(ISNUMBER(Schedule_Farmer!$D$5),A118-Schedule_Farmer!$D$5+1,""))</f>
        <v/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Q118" s="37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6">
        <f>IF(OR(Q118="",NOT(ISNUMBER(TransDate))),"",Q118-TransDate)</f>
        <v/>
      </c>
      <c r="AM118" s="6">
        <f>IF(OR(Q118="",NOT(ISNUMBER(FP_m2)),AND(R118&lt;&gt;"FP",R118&lt;&gt;"Both")),"",ROUND(SUMPRODUCT(T118:AE118,$T$4:$AE$4)*1000/FP_m2,2))</f>
        <v/>
      </c>
      <c r="AN118" s="6">
        <f>IF(OR(Q118="",NOT(ISNUMBER(FP_m2)),AND(R118&lt;&gt;"FP",R118&lt;&gt;"Both")),"",ROUND(SUMPRODUCT(T118:AE118,$T$5:$AE$5)*1000/FP_m2,2))</f>
        <v/>
      </c>
      <c r="AO118" s="6">
        <f>IF(OR(Q118="",NOT(ISNUMBER(MD_m2)),AND(R118&lt;&gt;"3F4D+MD",R118&lt;&gt;"Both")),"",ROUND(SUMPRODUCT(T118:AE118,$T$4:$AE$4)*1000/MD_m2,2))</f>
        <v/>
      </c>
      <c r="AP118" s="6">
        <f>IF(OR(Q118="",NOT(ISNUMBER(MD_m2)),AND(R118&lt;&gt;"3F4D+MD",R118&lt;&gt;"Both")),"",ROUND(SUMPRODUCT(T118:AE118,$T$5:$AE$5)*1000/MD_m2,2))</f>
        <v/>
      </c>
    </row>
    <row r="119">
      <c r="A119" s="37" t="n"/>
      <c r="B119" s="6">
        <f>IF(A119="","",IF(ISNUMBER(Schedule_Farmer!$D$5),A119-Schedule_Farmer!$D$5+1,""))</f>
        <v/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Q119" s="37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6">
        <f>IF(OR(Q119="",NOT(ISNUMBER(TransDate))),"",Q119-TransDate)</f>
        <v/>
      </c>
      <c r="AM119" s="6">
        <f>IF(OR(Q119="",NOT(ISNUMBER(FP_m2)),AND(R119&lt;&gt;"FP",R119&lt;&gt;"Both")),"",ROUND(SUMPRODUCT(T119:AE119,$T$4:$AE$4)*1000/FP_m2,2))</f>
        <v/>
      </c>
      <c r="AN119" s="6">
        <f>IF(OR(Q119="",NOT(ISNUMBER(FP_m2)),AND(R119&lt;&gt;"FP",R119&lt;&gt;"Both")),"",ROUND(SUMPRODUCT(T119:AE119,$T$5:$AE$5)*1000/FP_m2,2))</f>
        <v/>
      </c>
      <c r="AO119" s="6">
        <f>IF(OR(Q119="",NOT(ISNUMBER(MD_m2)),AND(R119&lt;&gt;"3F4D+MD",R119&lt;&gt;"Both")),"",ROUND(SUMPRODUCT(T119:AE119,$T$4:$AE$4)*1000/MD_m2,2))</f>
        <v/>
      </c>
      <c r="AP119" s="6">
        <f>IF(OR(Q119="",NOT(ISNUMBER(MD_m2)),AND(R119&lt;&gt;"3F4D+MD",R119&lt;&gt;"Both")),"",ROUND(SUMPRODUCT(T119:AE119,$T$5:$AE$5)*1000/MD_m2,2))</f>
        <v/>
      </c>
    </row>
    <row r="120">
      <c r="A120" s="37" t="n"/>
      <c r="B120" s="6">
        <f>IF(A120="","",IF(ISNUMBER(Schedule_Farmer!$D$5),A120-Schedule_Farmer!$D$5+1,""))</f>
        <v/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Q120" s="37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6">
        <f>IF(OR(Q120="",NOT(ISNUMBER(TransDate))),"",Q120-TransDate)</f>
        <v/>
      </c>
      <c r="AM120" s="6">
        <f>IF(OR(Q120="",NOT(ISNUMBER(FP_m2)),AND(R120&lt;&gt;"FP",R120&lt;&gt;"Both")),"",ROUND(SUMPRODUCT(T120:AE120,$T$4:$AE$4)*1000/FP_m2,2))</f>
        <v/>
      </c>
      <c r="AN120" s="6">
        <f>IF(OR(Q120="",NOT(ISNUMBER(FP_m2)),AND(R120&lt;&gt;"FP",R120&lt;&gt;"Both")),"",ROUND(SUMPRODUCT(T120:AE120,$T$5:$AE$5)*1000/FP_m2,2))</f>
        <v/>
      </c>
      <c r="AO120" s="6">
        <f>IF(OR(Q120="",NOT(ISNUMBER(MD_m2)),AND(R120&lt;&gt;"3F4D+MD",R120&lt;&gt;"Both")),"",ROUND(SUMPRODUCT(T120:AE120,$T$4:$AE$4)*1000/MD_m2,2))</f>
        <v/>
      </c>
      <c r="AP120" s="6">
        <f>IF(OR(Q120="",NOT(ISNUMBER(MD_m2)),AND(R120&lt;&gt;"3F4D+MD",R120&lt;&gt;"Both")),"",ROUND(SUMPRODUCT(T120:AE120,$T$5:$AE$5)*1000/MD_m2,2))</f>
        <v/>
      </c>
    </row>
    <row r="121">
      <c r="A121" s="37" t="n"/>
      <c r="B121" s="6">
        <f>IF(A121="","",IF(ISNUMBER(Schedule_Farmer!$D$5),A121-Schedule_Farmer!$D$5+1,""))</f>
        <v/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Q121" s="37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6">
        <f>IF(OR(Q121="",NOT(ISNUMBER(TransDate))),"",Q121-TransDate)</f>
        <v/>
      </c>
      <c r="AM121" s="6">
        <f>IF(OR(Q121="",NOT(ISNUMBER(FP_m2)),AND(R121&lt;&gt;"FP",R121&lt;&gt;"Both")),"",ROUND(SUMPRODUCT(T121:AE121,$T$4:$AE$4)*1000/FP_m2,2))</f>
        <v/>
      </c>
      <c r="AN121" s="6">
        <f>IF(OR(Q121="",NOT(ISNUMBER(FP_m2)),AND(R121&lt;&gt;"FP",R121&lt;&gt;"Both")),"",ROUND(SUMPRODUCT(T121:AE121,$T$5:$AE$5)*1000/FP_m2,2))</f>
        <v/>
      </c>
      <c r="AO121" s="6">
        <f>IF(OR(Q121="",NOT(ISNUMBER(MD_m2)),AND(R121&lt;&gt;"3F4D+MD",R121&lt;&gt;"Both")),"",ROUND(SUMPRODUCT(T121:AE121,$T$4:$AE$4)*1000/MD_m2,2))</f>
        <v/>
      </c>
      <c r="AP121" s="6">
        <f>IF(OR(Q121="",NOT(ISNUMBER(MD_m2)),AND(R121&lt;&gt;"3F4D+MD",R121&lt;&gt;"Both")),"",ROUND(SUMPRODUCT(T121:AE121,$T$5:$AE$5)*1000/MD_m2,2))</f>
        <v/>
      </c>
    </row>
    <row r="122">
      <c r="A122" s="37" t="n"/>
      <c r="B122" s="6">
        <f>IF(A122="","",IF(ISNUMBER(Schedule_Farmer!$D$5),A122-Schedule_Farmer!$D$5+1,""))</f>
        <v/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Q122" s="37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6">
        <f>IF(OR(Q122="",NOT(ISNUMBER(TransDate))),"",Q122-TransDate)</f>
        <v/>
      </c>
      <c r="AM122" s="6">
        <f>IF(OR(Q122="",NOT(ISNUMBER(FP_m2)),AND(R122&lt;&gt;"FP",R122&lt;&gt;"Both")),"",ROUND(SUMPRODUCT(T122:AE122,$T$4:$AE$4)*1000/FP_m2,2))</f>
        <v/>
      </c>
      <c r="AN122" s="6">
        <f>IF(OR(Q122="",NOT(ISNUMBER(FP_m2)),AND(R122&lt;&gt;"FP",R122&lt;&gt;"Both")),"",ROUND(SUMPRODUCT(T122:AE122,$T$5:$AE$5)*1000/FP_m2,2))</f>
        <v/>
      </c>
      <c r="AO122" s="6">
        <f>IF(OR(Q122="",NOT(ISNUMBER(MD_m2)),AND(R122&lt;&gt;"3F4D+MD",R122&lt;&gt;"Both")),"",ROUND(SUMPRODUCT(T122:AE122,$T$4:$AE$4)*1000/MD_m2,2))</f>
        <v/>
      </c>
      <c r="AP122" s="6">
        <f>IF(OR(Q122="",NOT(ISNUMBER(MD_m2)),AND(R122&lt;&gt;"3F4D+MD",R122&lt;&gt;"Both")),"",ROUND(SUMPRODUCT(T122:AE122,$T$5:$AE$5)*1000/MD_m2,2))</f>
        <v/>
      </c>
    </row>
    <row r="123">
      <c r="A123" s="37" t="n"/>
      <c r="B123" s="6">
        <f>IF(A123="","",IF(ISNUMBER(Schedule_Farmer!$D$5),A123-Schedule_Farmer!$D$5+1,""))</f>
        <v/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Q123" s="37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6">
        <f>IF(OR(Q123="",NOT(ISNUMBER(TransDate))),"",Q123-TransDate)</f>
        <v/>
      </c>
      <c r="AM123" s="6">
        <f>IF(OR(Q123="",NOT(ISNUMBER(FP_m2)),AND(R123&lt;&gt;"FP",R123&lt;&gt;"Both")),"",ROUND(SUMPRODUCT(T123:AE123,$T$4:$AE$4)*1000/FP_m2,2))</f>
        <v/>
      </c>
      <c r="AN123" s="6">
        <f>IF(OR(Q123="",NOT(ISNUMBER(FP_m2)),AND(R123&lt;&gt;"FP",R123&lt;&gt;"Both")),"",ROUND(SUMPRODUCT(T123:AE123,$T$5:$AE$5)*1000/FP_m2,2))</f>
        <v/>
      </c>
      <c r="AO123" s="6">
        <f>IF(OR(Q123="",NOT(ISNUMBER(MD_m2)),AND(R123&lt;&gt;"3F4D+MD",R123&lt;&gt;"Both")),"",ROUND(SUMPRODUCT(T123:AE123,$T$4:$AE$4)*1000/MD_m2,2))</f>
        <v/>
      </c>
      <c r="AP123" s="6">
        <f>IF(OR(Q123="",NOT(ISNUMBER(MD_m2)),AND(R123&lt;&gt;"3F4D+MD",R123&lt;&gt;"Both")),"",ROUND(SUMPRODUCT(T123:AE123,$T$5:$AE$5)*1000/MD_m2,2))</f>
        <v/>
      </c>
    </row>
    <row r="124">
      <c r="A124" s="37" t="n"/>
      <c r="B124" s="6">
        <f>IF(A124="","",IF(ISNUMBER(Schedule_Farmer!$D$5),A124-Schedule_Farmer!$D$5+1,""))</f>
        <v/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Q124" s="37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6">
        <f>IF(OR(Q124="",NOT(ISNUMBER(TransDate))),"",Q124-TransDate)</f>
        <v/>
      </c>
      <c r="AM124" s="6">
        <f>IF(OR(Q124="",NOT(ISNUMBER(FP_m2)),AND(R124&lt;&gt;"FP",R124&lt;&gt;"Both")),"",ROUND(SUMPRODUCT(T124:AE124,$T$4:$AE$4)*1000/FP_m2,2))</f>
        <v/>
      </c>
      <c r="AN124" s="6">
        <f>IF(OR(Q124="",NOT(ISNUMBER(FP_m2)),AND(R124&lt;&gt;"FP",R124&lt;&gt;"Both")),"",ROUND(SUMPRODUCT(T124:AE124,$T$5:$AE$5)*1000/FP_m2,2))</f>
        <v/>
      </c>
      <c r="AO124" s="6">
        <f>IF(OR(Q124="",NOT(ISNUMBER(MD_m2)),AND(R124&lt;&gt;"3F4D+MD",R124&lt;&gt;"Both")),"",ROUND(SUMPRODUCT(T124:AE124,$T$4:$AE$4)*1000/MD_m2,2))</f>
        <v/>
      </c>
      <c r="AP124" s="6">
        <f>IF(OR(Q124="",NOT(ISNUMBER(MD_m2)),AND(R124&lt;&gt;"3F4D+MD",R124&lt;&gt;"Both")),"",ROUND(SUMPRODUCT(T124:AE124,$T$5:$AE$5)*1000/MD_m2,2))</f>
        <v/>
      </c>
    </row>
    <row r="125">
      <c r="A125" s="37" t="n"/>
      <c r="B125" s="6">
        <f>IF(A125="","",IF(ISNUMBER(Schedule_Farmer!$D$5),A125-Schedule_Farmer!$D$5+1,""))</f>
        <v/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Q125" s="37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6">
        <f>IF(OR(Q125="",NOT(ISNUMBER(TransDate))),"",Q125-TransDate)</f>
        <v/>
      </c>
      <c r="AM125" s="6">
        <f>IF(OR(Q125="",NOT(ISNUMBER(FP_m2)),AND(R125&lt;&gt;"FP",R125&lt;&gt;"Both")),"",ROUND(SUMPRODUCT(T125:AE125,$T$4:$AE$4)*1000/FP_m2,2))</f>
        <v/>
      </c>
      <c r="AN125" s="6">
        <f>IF(OR(Q125="",NOT(ISNUMBER(FP_m2)),AND(R125&lt;&gt;"FP",R125&lt;&gt;"Both")),"",ROUND(SUMPRODUCT(T125:AE125,$T$5:$AE$5)*1000/FP_m2,2))</f>
        <v/>
      </c>
      <c r="AO125" s="6">
        <f>IF(OR(Q125="",NOT(ISNUMBER(MD_m2)),AND(R125&lt;&gt;"3F4D+MD",R125&lt;&gt;"Both")),"",ROUND(SUMPRODUCT(T125:AE125,$T$4:$AE$4)*1000/MD_m2,2))</f>
        <v/>
      </c>
      <c r="AP125" s="6">
        <f>IF(OR(Q125="",NOT(ISNUMBER(MD_m2)),AND(R125&lt;&gt;"3F4D+MD",R125&lt;&gt;"Both")),"",ROUND(SUMPRODUCT(T125:AE125,$T$5:$AE$5)*1000/MD_m2,2))</f>
        <v/>
      </c>
    </row>
    <row r="126">
      <c r="A126" s="37" t="n"/>
      <c r="B126" s="6">
        <f>IF(A126="","",IF(ISNUMBER(Schedule_Farmer!$D$5),A126-Schedule_Farmer!$D$5+1,""))</f>
        <v/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Q126" s="37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6">
        <f>IF(OR(Q126="",NOT(ISNUMBER(TransDate))),"",Q126-TransDate)</f>
        <v/>
      </c>
      <c r="AM126" s="6">
        <f>IF(OR(Q126="",NOT(ISNUMBER(FP_m2)),AND(R126&lt;&gt;"FP",R126&lt;&gt;"Both")),"",ROUND(SUMPRODUCT(T126:AE126,$T$4:$AE$4)*1000/FP_m2,2))</f>
        <v/>
      </c>
      <c r="AN126" s="6">
        <f>IF(OR(Q126="",NOT(ISNUMBER(FP_m2)),AND(R126&lt;&gt;"FP",R126&lt;&gt;"Both")),"",ROUND(SUMPRODUCT(T126:AE126,$T$5:$AE$5)*1000/FP_m2,2))</f>
        <v/>
      </c>
      <c r="AO126" s="6">
        <f>IF(OR(Q126="",NOT(ISNUMBER(MD_m2)),AND(R126&lt;&gt;"3F4D+MD",R126&lt;&gt;"Both")),"",ROUND(SUMPRODUCT(T126:AE126,$T$4:$AE$4)*1000/MD_m2,2))</f>
        <v/>
      </c>
      <c r="AP126" s="6">
        <f>IF(OR(Q126="",NOT(ISNUMBER(MD_m2)),AND(R126&lt;&gt;"3F4D+MD",R126&lt;&gt;"Both")),"",ROUND(SUMPRODUCT(T126:AE126,$T$5:$AE$5)*1000/MD_m2,2))</f>
        <v/>
      </c>
    </row>
    <row r="127">
      <c r="A127" s="37" t="n"/>
      <c r="B127" s="6">
        <f>IF(A127="","",IF(ISNUMBER(Schedule_Farmer!$D$5),A127-Schedule_Farmer!$D$5+1,""))</f>
        <v/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Q127" s="37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6">
        <f>IF(OR(Q127="",NOT(ISNUMBER(TransDate))),"",Q127-TransDate)</f>
        <v/>
      </c>
      <c r="AM127" s="6">
        <f>IF(OR(Q127="",NOT(ISNUMBER(FP_m2)),AND(R127&lt;&gt;"FP",R127&lt;&gt;"Both")),"",ROUND(SUMPRODUCT(T127:AE127,$T$4:$AE$4)*1000/FP_m2,2))</f>
        <v/>
      </c>
      <c r="AN127" s="6">
        <f>IF(OR(Q127="",NOT(ISNUMBER(FP_m2)),AND(R127&lt;&gt;"FP",R127&lt;&gt;"Both")),"",ROUND(SUMPRODUCT(T127:AE127,$T$5:$AE$5)*1000/FP_m2,2))</f>
        <v/>
      </c>
      <c r="AO127" s="6">
        <f>IF(OR(Q127="",NOT(ISNUMBER(MD_m2)),AND(R127&lt;&gt;"3F4D+MD",R127&lt;&gt;"Both")),"",ROUND(SUMPRODUCT(T127:AE127,$T$4:$AE$4)*1000/MD_m2,2))</f>
        <v/>
      </c>
      <c r="AP127" s="6">
        <f>IF(OR(Q127="",NOT(ISNUMBER(MD_m2)),AND(R127&lt;&gt;"3F4D+MD",R127&lt;&gt;"Both")),"",ROUND(SUMPRODUCT(T127:AE127,$T$5:$AE$5)*1000/MD_m2,2))</f>
        <v/>
      </c>
    </row>
    <row r="128">
      <c r="A128" s="37" t="n"/>
      <c r="B128" s="6">
        <f>IF(A128="","",IF(ISNUMBER(Schedule_Farmer!$D$5),A128-Schedule_Farmer!$D$5+1,""))</f>
        <v/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Q128" s="37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6">
        <f>IF(OR(Q128="",NOT(ISNUMBER(TransDate))),"",Q128-TransDate)</f>
        <v/>
      </c>
      <c r="AM128" s="6">
        <f>IF(OR(Q128="",NOT(ISNUMBER(FP_m2)),AND(R128&lt;&gt;"FP",R128&lt;&gt;"Both")),"",ROUND(SUMPRODUCT(T128:AE128,$T$4:$AE$4)*1000/FP_m2,2))</f>
        <v/>
      </c>
      <c r="AN128" s="6">
        <f>IF(OR(Q128="",NOT(ISNUMBER(FP_m2)),AND(R128&lt;&gt;"FP",R128&lt;&gt;"Both")),"",ROUND(SUMPRODUCT(T128:AE128,$T$5:$AE$5)*1000/FP_m2,2))</f>
        <v/>
      </c>
      <c r="AO128" s="6">
        <f>IF(OR(Q128="",NOT(ISNUMBER(MD_m2)),AND(R128&lt;&gt;"3F4D+MD",R128&lt;&gt;"Both")),"",ROUND(SUMPRODUCT(T128:AE128,$T$4:$AE$4)*1000/MD_m2,2))</f>
        <v/>
      </c>
      <c r="AP128" s="6">
        <f>IF(OR(Q128="",NOT(ISNUMBER(MD_m2)),AND(R128&lt;&gt;"3F4D+MD",R128&lt;&gt;"Both")),"",ROUND(SUMPRODUCT(T128:AE128,$T$5:$AE$5)*1000/MD_m2,2))</f>
        <v/>
      </c>
    </row>
    <row r="129">
      <c r="A129" s="37" t="n"/>
      <c r="B129" s="6">
        <f>IF(A129="","",IF(ISNUMBER(Schedule_Farmer!$D$5),A129-Schedule_Farmer!$D$5+1,""))</f>
        <v/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Q129" s="37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6">
        <f>IF(OR(Q129="",NOT(ISNUMBER(TransDate))),"",Q129-TransDate)</f>
        <v/>
      </c>
      <c r="AM129" s="6">
        <f>IF(OR(Q129="",NOT(ISNUMBER(FP_m2)),AND(R129&lt;&gt;"FP",R129&lt;&gt;"Both")),"",ROUND(SUMPRODUCT(T129:AE129,$T$4:$AE$4)*1000/FP_m2,2))</f>
        <v/>
      </c>
      <c r="AN129" s="6">
        <f>IF(OR(Q129="",NOT(ISNUMBER(FP_m2)),AND(R129&lt;&gt;"FP",R129&lt;&gt;"Both")),"",ROUND(SUMPRODUCT(T129:AE129,$T$5:$AE$5)*1000/FP_m2,2))</f>
        <v/>
      </c>
      <c r="AO129" s="6">
        <f>IF(OR(Q129="",NOT(ISNUMBER(MD_m2)),AND(R129&lt;&gt;"3F4D+MD",R129&lt;&gt;"Both")),"",ROUND(SUMPRODUCT(T129:AE129,$T$4:$AE$4)*1000/MD_m2,2))</f>
        <v/>
      </c>
      <c r="AP129" s="6">
        <f>IF(OR(Q129="",NOT(ISNUMBER(MD_m2)),AND(R129&lt;&gt;"3F4D+MD",R129&lt;&gt;"Both")),"",ROUND(SUMPRODUCT(T129:AE129,$T$5:$AE$5)*1000/MD_m2,2))</f>
        <v/>
      </c>
    </row>
    <row r="130">
      <c r="A130" s="37" t="n"/>
      <c r="B130" s="6">
        <f>IF(A130="","",IF(ISNUMBER(Schedule_Farmer!$D$5),A130-Schedule_Farmer!$D$5+1,""))</f>
        <v/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Q130" s="37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6">
        <f>IF(OR(Q130="",NOT(ISNUMBER(TransDate))),"",Q130-TransDate)</f>
        <v/>
      </c>
      <c r="AM130" s="6">
        <f>IF(OR(Q130="",NOT(ISNUMBER(FP_m2)),AND(R130&lt;&gt;"FP",R130&lt;&gt;"Both")),"",ROUND(SUMPRODUCT(T130:AE130,$T$4:$AE$4)*1000/FP_m2,2))</f>
        <v/>
      </c>
      <c r="AN130" s="6">
        <f>IF(OR(Q130="",NOT(ISNUMBER(FP_m2)),AND(R130&lt;&gt;"FP",R130&lt;&gt;"Both")),"",ROUND(SUMPRODUCT(T130:AE130,$T$5:$AE$5)*1000/FP_m2,2))</f>
        <v/>
      </c>
      <c r="AO130" s="6">
        <f>IF(OR(Q130="",NOT(ISNUMBER(MD_m2)),AND(R130&lt;&gt;"3F4D+MD",R130&lt;&gt;"Both")),"",ROUND(SUMPRODUCT(T130:AE130,$T$4:$AE$4)*1000/MD_m2,2))</f>
        <v/>
      </c>
      <c r="AP130" s="6">
        <f>IF(OR(Q130="",NOT(ISNUMBER(MD_m2)),AND(R130&lt;&gt;"3F4D+MD",R130&lt;&gt;"Both")),"",ROUND(SUMPRODUCT(T130:AE130,$T$5:$AE$5)*1000/MD_m2,2))</f>
        <v/>
      </c>
    </row>
    <row r="131">
      <c r="A131" s="37" t="n"/>
      <c r="B131" s="6">
        <f>IF(A131="","",IF(ISNUMBER(Schedule_Farmer!$D$5),A131-Schedule_Farmer!$D$5+1,""))</f>
        <v/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Q131" s="37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6">
        <f>IF(OR(Q131="",NOT(ISNUMBER(TransDate))),"",Q131-TransDate)</f>
        <v/>
      </c>
      <c r="AM131" s="6">
        <f>IF(OR(Q131="",NOT(ISNUMBER(FP_m2)),AND(R131&lt;&gt;"FP",R131&lt;&gt;"Both")),"",ROUND(SUMPRODUCT(T131:AE131,$T$4:$AE$4)*1000/FP_m2,2))</f>
        <v/>
      </c>
      <c r="AN131" s="6">
        <f>IF(OR(Q131="",NOT(ISNUMBER(FP_m2)),AND(R131&lt;&gt;"FP",R131&lt;&gt;"Both")),"",ROUND(SUMPRODUCT(T131:AE131,$T$5:$AE$5)*1000/FP_m2,2))</f>
        <v/>
      </c>
      <c r="AO131" s="6">
        <f>IF(OR(Q131="",NOT(ISNUMBER(MD_m2)),AND(R131&lt;&gt;"3F4D+MD",R131&lt;&gt;"Both")),"",ROUND(SUMPRODUCT(T131:AE131,$T$4:$AE$4)*1000/MD_m2,2))</f>
        <v/>
      </c>
      <c r="AP131" s="6">
        <f>IF(OR(Q131="",NOT(ISNUMBER(MD_m2)),AND(R131&lt;&gt;"3F4D+MD",R131&lt;&gt;"Both")),"",ROUND(SUMPRODUCT(T131:AE131,$T$5:$AE$5)*1000/MD_m2,2))</f>
        <v/>
      </c>
    </row>
    <row r="132">
      <c r="A132" s="37" t="n"/>
      <c r="B132" s="6">
        <f>IF(A132="","",IF(ISNUMBER(Schedule_Farmer!$D$5),A132-Schedule_Farmer!$D$5+1,""))</f>
        <v/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Q132" s="37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6">
        <f>IF(OR(Q132="",NOT(ISNUMBER(TransDate))),"",Q132-TransDate)</f>
        <v/>
      </c>
      <c r="AM132" s="6">
        <f>IF(OR(Q132="",NOT(ISNUMBER(FP_m2)),AND(R132&lt;&gt;"FP",R132&lt;&gt;"Both")),"",ROUND(SUMPRODUCT(T132:AE132,$T$4:$AE$4)*1000/FP_m2,2))</f>
        <v/>
      </c>
      <c r="AN132" s="6">
        <f>IF(OR(Q132="",NOT(ISNUMBER(FP_m2)),AND(R132&lt;&gt;"FP",R132&lt;&gt;"Both")),"",ROUND(SUMPRODUCT(T132:AE132,$T$5:$AE$5)*1000/FP_m2,2))</f>
        <v/>
      </c>
      <c r="AO132" s="6">
        <f>IF(OR(Q132="",NOT(ISNUMBER(MD_m2)),AND(R132&lt;&gt;"3F4D+MD",R132&lt;&gt;"Both")),"",ROUND(SUMPRODUCT(T132:AE132,$T$4:$AE$4)*1000/MD_m2,2))</f>
        <v/>
      </c>
      <c r="AP132" s="6">
        <f>IF(OR(Q132="",NOT(ISNUMBER(MD_m2)),AND(R132&lt;&gt;"3F4D+MD",R132&lt;&gt;"Both")),"",ROUND(SUMPRODUCT(T132:AE132,$T$5:$AE$5)*1000/MD_m2,2))</f>
        <v/>
      </c>
    </row>
    <row r="133">
      <c r="A133" s="37" t="n"/>
      <c r="B133" s="6">
        <f>IF(A133="","",IF(ISNUMBER(Schedule_Farmer!$D$5),A133-Schedule_Farmer!$D$5+1,""))</f>
        <v/>
      </c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Q133" s="37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6">
        <f>IF(OR(Q133="",NOT(ISNUMBER(TransDate))),"",Q133-TransDate)</f>
        <v/>
      </c>
      <c r="AM133" s="6">
        <f>IF(OR(Q133="",NOT(ISNUMBER(FP_m2)),AND(R133&lt;&gt;"FP",R133&lt;&gt;"Both")),"",ROUND(SUMPRODUCT(T133:AE133,$T$4:$AE$4)*1000/FP_m2,2))</f>
        <v/>
      </c>
      <c r="AN133" s="6">
        <f>IF(OR(Q133="",NOT(ISNUMBER(FP_m2)),AND(R133&lt;&gt;"FP",R133&lt;&gt;"Both")),"",ROUND(SUMPRODUCT(T133:AE133,$T$5:$AE$5)*1000/FP_m2,2))</f>
        <v/>
      </c>
      <c r="AO133" s="6">
        <f>IF(OR(Q133="",NOT(ISNUMBER(MD_m2)),AND(R133&lt;&gt;"3F4D+MD",R133&lt;&gt;"Both")),"",ROUND(SUMPRODUCT(T133:AE133,$T$4:$AE$4)*1000/MD_m2,2))</f>
        <v/>
      </c>
      <c r="AP133" s="6">
        <f>IF(OR(Q133="",NOT(ISNUMBER(MD_m2)),AND(R133&lt;&gt;"3F4D+MD",R133&lt;&gt;"Both")),"",ROUND(SUMPRODUCT(T133:AE133,$T$5:$AE$5)*1000/MD_m2,2))</f>
        <v/>
      </c>
    </row>
    <row r="134">
      <c r="A134" s="37" t="n"/>
      <c r="B134" s="6">
        <f>IF(A134="","",IF(ISNUMBER(Schedule_Farmer!$D$5),A134-Schedule_Farmer!$D$5+1,""))</f>
        <v/>
      </c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Q134" s="37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6">
        <f>IF(OR(Q134="",NOT(ISNUMBER(TransDate))),"",Q134-TransDate)</f>
        <v/>
      </c>
      <c r="AM134" s="6">
        <f>IF(OR(Q134="",NOT(ISNUMBER(FP_m2)),AND(R134&lt;&gt;"FP",R134&lt;&gt;"Both")),"",ROUND(SUMPRODUCT(T134:AE134,$T$4:$AE$4)*1000/FP_m2,2))</f>
        <v/>
      </c>
      <c r="AN134" s="6">
        <f>IF(OR(Q134="",NOT(ISNUMBER(FP_m2)),AND(R134&lt;&gt;"FP",R134&lt;&gt;"Both")),"",ROUND(SUMPRODUCT(T134:AE134,$T$5:$AE$5)*1000/FP_m2,2))</f>
        <v/>
      </c>
      <c r="AO134" s="6">
        <f>IF(OR(Q134="",NOT(ISNUMBER(MD_m2)),AND(R134&lt;&gt;"3F4D+MD",R134&lt;&gt;"Both")),"",ROUND(SUMPRODUCT(T134:AE134,$T$4:$AE$4)*1000/MD_m2,2))</f>
        <v/>
      </c>
      <c r="AP134" s="6">
        <f>IF(OR(Q134="",NOT(ISNUMBER(MD_m2)),AND(R134&lt;&gt;"3F4D+MD",R134&lt;&gt;"Both")),"",ROUND(SUMPRODUCT(T134:AE134,$T$5:$AE$5)*1000/MD_m2,2))</f>
        <v/>
      </c>
    </row>
    <row r="135">
      <c r="A135" s="37" t="n"/>
      <c r="B135" s="6">
        <f>IF(A135="","",IF(ISNUMBER(Schedule_Farmer!$D$5),A135-Schedule_Farmer!$D$5+1,""))</f>
        <v/>
      </c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Q135" s="37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6">
        <f>IF(OR(Q135="",NOT(ISNUMBER(TransDate))),"",Q135-TransDate)</f>
        <v/>
      </c>
      <c r="AM135" s="6">
        <f>IF(OR(Q135="",NOT(ISNUMBER(FP_m2)),AND(R135&lt;&gt;"FP",R135&lt;&gt;"Both")),"",ROUND(SUMPRODUCT(T135:AE135,$T$4:$AE$4)*1000/FP_m2,2))</f>
        <v/>
      </c>
      <c r="AN135" s="6">
        <f>IF(OR(Q135="",NOT(ISNUMBER(FP_m2)),AND(R135&lt;&gt;"FP",R135&lt;&gt;"Both")),"",ROUND(SUMPRODUCT(T135:AE135,$T$5:$AE$5)*1000/FP_m2,2))</f>
        <v/>
      </c>
      <c r="AO135" s="6">
        <f>IF(OR(Q135="",NOT(ISNUMBER(MD_m2)),AND(R135&lt;&gt;"3F4D+MD",R135&lt;&gt;"Both")),"",ROUND(SUMPRODUCT(T135:AE135,$T$4:$AE$4)*1000/MD_m2,2))</f>
        <v/>
      </c>
      <c r="AP135" s="6">
        <f>IF(OR(Q135="",NOT(ISNUMBER(MD_m2)),AND(R135&lt;&gt;"3F4D+MD",R135&lt;&gt;"Both")),"",ROUND(SUMPRODUCT(T135:AE135,$T$5:$AE$5)*1000/MD_m2,2))</f>
        <v/>
      </c>
    </row>
    <row r="136">
      <c r="A136" s="37" t="n"/>
      <c r="B136" s="6">
        <f>IF(A136="","",IF(ISNUMBER(Schedule_Farmer!$D$5),A136-Schedule_Farmer!$D$5+1,""))</f>
        <v/>
      </c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Q136" s="37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6">
        <f>IF(OR(Q136="",NOT(ISNUMBER(TransDate))),"",Q136-TransDate)</f>
        <v/>
      </c>
      <c r="AM136" s="6">
        <f>IF(OR(Q136="",NOT(ISNUMBER(FP_m2)),AND(R136&lt;&gt;"FP",R136&lt;&gt;"Both")),"",ROUND(SUMPRODUCT(T136:AE136,$T$4:$AE$4)*1000/FP_m2,2))</f>
        <v/>
      </c>
      <c r="AN136" s="6">
        <f>IF(OR(Q136="",NOT(ISNUMBER(FP_m2)),AND(R136&lt;&gt;"FP",R136&lt;&gt;"Both")),"",ROUND(SUMPRODUCT(T136:AE136,$T$5:$AE$5)*1000/FP_m2,2))</f>
        <v/>
      </c>
      <c r="AO136" s="6">
        <f>IF(OR(Q136="",NOT(ISNUMBER(MD_m2)),AND(R136&lt;&gt;"3F4D+MD",R136&lt;&gt;"Both")),"",ROUND(SUMPRODUCT(T136:AE136,$T$4:$AE$4)*1000/MD_m2,2))</f>
        <v/>
      </c>
      <c r="AP136" s="6">
        <f>IF(OR(Q136="",NOT(ISNUMBER(MD_m2)),AND(R136&lt;&gt;"3F4D+MD",R136&lt;&gt;"Both")),"",ROUND(SUMPRODUCT(T136:AE136,$T$5:$AE$5)*1000/MD_m2,2))</f>
        <v/>
      </c>
    </row>
    <row r="137">
      <c r="A137" s="37" t="n"/>
      <c r="B137" s="6">
        <f>IF(A137="","",IF(ISNUMBER(Schedule_Farmer!$D$5),A137-Schedule_Farmer!$D$5+1,""))</f>
        <v/>
      </c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Q137" s="37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6">
        <f>IF(OR(Q137="",NOT(ISNUMBER(TransDate))),"",Q137-TransDate)</f>
        <v/>
      </c>
      <c r="AM137" s="6">
        <f>IF(OR(Q137="",NOT(ISNUMBER(FP_m2)),AND(R137&lt;&gt;"FP",R137&lt;&gt;"Both")),"",ROUND(SUMPRODUCT(T137:AE137,$T$4:$AE$4)*1000/FP_m2,2))</f>
        <v/>
      </c>
      <c r="AN137" s="6">
        <f>IF(OR(Q137="",NOT(ISNUMBER(FP_m2)),AND(R137&lt;&gt;"FP",R137&lt;&gt;"Both")),"",ROUND(SUMPRODUCT(T137:AE137,$T$5:$AE$5)*1000/FP_m2,2))</f>
        <v/>
      </c>
      <c r="AO137" s="6">
        <f>IF(OR(Q137="",NOT(ISNUMBER(MD_m2)),AND(R137&lt;&gt;"3F4D+MD",R137&lt;&gt;"Both")),"",ROUND(SUMPRODUCT(T137:AE137,$T$4:$AE$4)*1000/MD_m2,2))</f>
        <v/>
      </c>
      <c r="AP137" s="6">
        <f>IF(OR(Q137="",NOT(ISNUMBER(MD_m2)),AND(R137&lt;&gt;"3F4D+MD",R137&lt;&gt;"Both")),"",ROUND(SUMPRODUCT(T137:AE137,$T$5:$AE$5)*1000/MD_m2,2))</f>
        <v/>
      </c>
    </row>
    <row r="138">
      <c r="A138" s="37" t="n"/>
      <c r="B138" s="6">
        <f>IF(A138="","",IF(ISNUMBER(Schedule_Farmer!$D$5),A138-Schedule_Farmer!$D$5+1,""))</f>
        <v/>
      </c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Q138" s="37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6">
        <f>IF(OR(Q138="",NOT(ISNUMBER(TransDate))),"",Q138-TransDate)</f>
        <v/>
      </c>
      <c r="AM138" s="6">
        <f>IF(OR(Q138="",NOT(ISNUMBER(FP_m2)),AND(R138&lt;&gt;"FP",R138&lt;&gt;"Both")),"",ROUND(SUMPRODUCT(T138:AE138,$T$4:$AE$4)*1000/FP_m2,2))</f>
        <v/>
      </c>
      <c r="AN138" s="6">
        <f>IF(OR(Q138="",NOT(ISNUMBER(FP_m2)),AND(R138&lt;&gt;"FP",R138&lt;&gt;"Both")),"",ROUND(SUMPRODUCT(T138:AE138,$T$5:$AE$5)*1000/FP_m2,2))</f>
        <v/>
      </c>
      <c r="AO138" s="6">
        <f>IF(OR(Q138="",NOT(ISNUMBER(MD_m2)),AND(R138&lt;&gt;"3F4D+MD",R138&lt;&gt;"Both")),"",ROUND(SUMPRODUCT(T138:AE138,$T$4:$AE$4)*1000/MD_m2,2))</f>
        <v/>
      </c>
      <c r="AP138" s="6">
        <f>IF(OR(Q138="",NOT(ISNUMBER(MD_m2)),AND(R138&lt;&gt;"3F4D+MD",R138&lt;&gt;"Both")),"",ROUND(SUMPRODUCT(T138:AE138,$T$5:$AE$5)*1000/MD_m2,2))</f>
        <v/>
      </c>
    </row>
    <row r="139">
      <c r="A139" s="37" t="n"/>
      <c r="B139" s="6">
        <f>IF(A139="","",IF(ISNUMBER(Schedule_Farmer!$D$5),A139-Schedule_Farmer!$D$5+1,""))</f>
        <v/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Q139" s="37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6">
        <f>IF(OR(Q139="",NOT(ISNUMBER(TransDate))),"",Q139-TransDate)</f>
        <v/>
      </c>
      <c r="AM139" s="6">
        <f>IF(OR(Q139="",NOT(ISNUMBER(FP_m2)),AND(R139&lt;&gt;"FP",R139&lt;&gt;"Both")),"",ROUND(SUMPRODUCT(T139:AE139,$T$4:$AE$4)*1000/FP_m2,2))</f>
        <v/>
      </c>
      <c r="AN139" s="6">
        <f>IF(OR(Q139="",NOT(ISNUMBER(FP_m2)),AND(R139&lt;&gt;"FP",R139&lt;&gt;"Both")),"",ROUND(SUMPRODUCT(T139:AE139,$T$5:$AE$5)*1000/FP_m2,2))</f>
        <v/>
      </c>
      <c r="AO139" s="6">
        <f>IF(OR(Q139="",NOT(ISNUMBER(MD_m2)),AND(R139&lt;&gt;"3F4D+MD",R139&lt;&gt;"Both")),"",ROUND(SUMPRODUCT(T139:AE139,$T$4:$AE$4)*1000/MD_m2,2))</f>
        <v/>
      </c>
      <c r="AP139" s="6">
        <f>IF(OR(Q139="",NOT(ISNUMBER(MD_m2)),AND(R139&lt;&gt;"3F4D+MD",R139&lt;&gt;"Both")),"",ROUND(SUMPRODUCT(T139:AE139,$T$5:$AE$5)*1000/MD_m2,2))</f>
        <v/>
      </c>
    </row>
    <row r="140">
      <c r="A140" s="37" t="n"/>
      <c r="B140" s="6">
        <f>IF(A140="","",IF(ISNUMBER(Schedule_Farmer!$D$5),A140-Schedule_Farmer!$D$5+1,""))</f>
        <v/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Q140" s="37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6">
        <f>IF(OR(Q140="",NOT(ISNUMBER(TransDate))),"",Q140-TransDate)</f>
        <v/>
      </c>
      <c r="AM140" s="6">
        <f>IF(OR(Q140="",NOT(ISNUMBER(FP_m2)),AND(R140&lt;&gt;"FP",R140&lt;&gt;"Both")),"",ROUND(SUMPRODUCT(T140:AE140,$T$4:$AE$4)*1000/FP_m2,2))</f>
        <v/>
      </c>
      <c r="AN140" s="6">
        <f>IF(OR(Q140="",NOT(ISNUMBER(FP_m2)),AND(R140&lt;&gt;"FP",R140&lt;&gt;"Both")),"",ROUND(SUMPRODUCT(T140:AE140,$T$5:$AE$5)*1000/FP_m2,2))</f>
        <v/>
      </c>
      <c r="AO140" s="6">
        <f>IF(OR(Q140="",NOT(ISNUMBER(MD_m2)),AND(R140&lt;&gt;"3F4D+MD",R140&lt;&gt;"Both")),"",ROUND(SUMPRODUCT(T140:AE140,$T$4:$AE$4)*1000/MD_m2,2))</f>
        <v/>
      </c>
      <c r="AP140" s="6">
        <f>IF(OR(Q140="",NOT(ISNUMBER(MD_m2)),AND(R140&lt;&gt;"3F4D+MD",R140&lt;&gt;"Both")),"",ROUND(SUMPRODUCT(T140:AE140,$T$5:$AE$5)*1000/MD_m2,2))</f>
        <v/>
      </c>
    </row>
    <row r="141">
      <c r="A141" s="37" t="n"/>
      <c r="B141" s="6">
        <f>IF(A141="","",IF(ISNUMBER(Schedule_Farmer!$D$5),A141-Schedule_Farmer!$D$5+1,""))</f>
        <v/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Q141" s="37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6">
        <f>IF(OR(Q141="",NOT(ISNUMBER(TransDate))),"",Q141-TransDate)</f>
        <v/>
      </c>
      <c r="AM141" s="6">
        <f>IF(OR(Q141="",NOT(ISNUMBER(FP_m2)),AND(R141&lt;&gt;"FP",R141&lt;&gt;"Both")),"",ROUND(SUMPRODUCT(T141:AE141,$T$4:$AE$4)*1000/FP_m2,2))</f>
        <v/>
      </c>
      <c r="AN141" s="6">
        <f>IF(OR(Q141="",NOT(ISNUMBER(FP_m2)),AND(R141&lt;&gt;"FP",R141&lt;&gt;"Both")),"",ROUND(SUMPRODUCT(T141:AE141,$T$5:$AE$5)*1000/FP_m2,2))</f>
        <v/>
      </c>
      <c r="AO141" s="6">
        <f>IF(OR(Q141="",NOT(ISNUMBER(MD_m2)),AND(R141&lt;&gt;"3F4D+MD",R141&lt;&gt;"Both")),"",ROUND(SUMPRODUCT(T141:AE141,$T$4:$AE$4)*1000/MD_m2,2))</f>
        <v/>
      </c>
      <c r="AP141" s="6">
        <f>IF(OR(Q141="",NOT(ISNUMBER(MD_m2)),AND(R141&lt;&gt;"3F4D+MD",R141&lt;&gt;"Both")),"",ROUND(SUMPRODUCT(T141:AE141,$T$5:$AE$5)*1000/MD_m2,2))</f>
        <v/>
      </c>
    </row>
    <row r="142">
      <c r="A142" s="37" t="n"/>
      <c r="B142" s="6">
        <f>IF(A142="","",IF(ISNUMBER(Schedule_Farmer!$D$5),A142-Schedule_Farmer!$D$5+1,""))</f>
        <v/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Q142" s="37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6">
        <f>IF(OR(Q142="",NOT(ISNUMBER(TransDate))),"",Q142-TransDate)</f>
        <v/>
      </c>
      <c r="AM142" s="6">
        <f>IF(OR(Q142="",NOT(ISNUMBER(FP_m2)),AND(R142&lt;&gt;"FP",R142&lt;&gt;"Both")),"",ROUND(SUMPRODUCT(T142:AE142,$T$4:$AE$4)*1000/FP_m2,2))</f>
        <v/>
      </c>
      <c r="AN142" s="6">
        <f>IF(OR(Q142="",NOT(ISNUMBER(FP_m2)),AND(R142&lt;&gt;"FP",R142&lt;&gt;"Both")),"",ROUND(SUMPRODUCT(T142:AE142,$T$5:$AE$5)*1000/FP_m2,2))</f>
        <v/>
      </c>
      <c r="AO142" s="6">
        <f>IF(OR(Q142="",NOT(ISNUMBER(MD_m2)),AND(R142&lt;&gt;"3F4D+MD",R142&lt;&gt;"Both")),"",ROUND(SUMPRODUCT(T142:AE142,$T$4:$AE$4)*1000/MD_m2,2))</f>
        <v/>
      </c>
      <c r="AP142" s="6">
        <f>IF(OR(Q142="",NOT(ISNUMBER(MD_m2)),AND(R142&lt;&gt;"3F4D+MD",R142&lt;&gt;"Both")),"",ROUND(SUMPRODUCT(T142:AE142,$T$5:$AE$5)*1000/MD_m2,2))</f>
        <v/>
      </c>
    </row>
    <row r="143">
      <c r="A143" s="37" t="n"/>
      <c r="B143" s="6">
        <f>IF(A143="","",IF(ISNUMBER(Schedule_Farmer!$D$5),A143-Schedule_Farmer!$D$5+1,""))</f>
        <v/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Q143" s="37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6">
        <f>IF(OR(Q143="",NOT(ISNUMBER(TransDate))),"",Q143-TransDate)</f>
        <v/>
      </c>
      <c r="AM143" s="6">
        <f>IF(OR(Q143="",NOT(ISNUMBER(FP_m2)),AND(R143&lt;&gt;"FP",R143&lt;&gt;"Both")),"",ROUND(SUMPRODUCT(T143:AE143,$T$4:$AE$4)*1000/FP_m2,2))</f>
        <v/>
      </c>
      <c r="AN143" s="6">
        <f>IF(OR(Q143="",NOT(ISNUMBER(FP_m2)),AND(R143&lt;&gt;"FP",R143&lt;&gt;"Both")),"",ROUND(SUMPRODUCT(T143:AE143,$T$5:$AE$5)*1000/FP_m2,2))</f>
        <v/>
      </c>
      <c r="AO143" s="6">
        <f>IF(OR(Q143="",NOT(ISNUMBER(MD_m2)),AND(R143&lt;&gt;"3F4D+MD",R143&lt;&gt;"Both")),"",ROUND(SUMPRODUCT(T143:AE143,$T$4:$AE$4)*1000/MD_m2,2))</f>
        <v/>
      </c>
      <c r="AP143" s="6">
        <f>IF(OR(Q143="",NOT(ISNUMBER(MD_m2)),AND(R143&lt;&gt;"3F4D+MD",R143&lt;&gt;"Both")),"",ROUND(SUMPRODUCT(T143:AE143,$T$5:$AE$5)*1000/MD_m2,2))</f>
        <v/>
      </c>
    </row>
    <row r="144">
      <c r="A144" s="37" t="n"/>
      <c r="B144" s="6">
        <f>IF(A144="","",IF(ISNUMBER(Schedule_Farmer!$D$5),A144-Schedule_Farmer!$D$5+1,""))</f>
        <v/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Q144" s="37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6">
        <f>IF(OR(Q144="",NOT(ISNUMBER(TransDate))),"",Q144-TransDate)</f>
        <v/>
      </c>
      <c r="AM144" s="6">
        <f>IF(OR(Q144="",NOT(ISNUMBER(FP_m2)),AND(R144&lt;&gt;"FP",R144&lt;&gt;"Both")),"",ROUND(SUMPRODUCT(T144:AE144,$T$4:$AE$4)*1000/FP_m2,2))</f>
        <v/>
      </c>
      <c r="AN144" s="6">
        <f>IF(OR(Q144="",NOT(ISNUMBER(FP_m2)),AND(R144&lt;&gt;"FP",R144&lt;&gt;"Both")),"",ROUND(SUMPRODUCT(T144:AE144,$T$5:$AE$5)*1000/FP_m2,2))</f>
        <v/>
      </c>
      <c r="AO144" s="6">
        <f>IF(OR(Q144="",NOT(ISNUMBER(MD_m2)),AND(R144&lt;&gt;"3F4D+MD",R144&lt;&gt;"Both")),"",ROUND(SUMPRODUCT(T144:AE144,$T$4:$AE$4)*1000/MD_m2,2))</f>
        <v/>
      </c>
      <c r="AP144" s="6">
        <f>IF(OR(Q144="",NOT(ISNUMBER(MD_m2)),AND(R144&lt;&gt;"3F4D+MD",R144&lt;&gt;"Both")),"",ROUND(SUMPRODUCT(T144:AE144,$T$5:$AE$5)*1000/MD_m2,2))</f>
        <v/>
      </c>
    </row>
    <row r="145">
      <c r="A145" s="37" t="n"/>
      <c r="B145" s="6">
        <f>IF(A145="","",IF(ISNUMBER(Schedule_Farmer!$D$5),A145-Schedule_Farmer!$D$5+1,""))</f>
        <v/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Q145" s="37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6">
        <f>IF(OR(Q145="",NOT(ISNUMBER(TransDate))),"",Q145-TransDate)</f>
        <v/>
      </c>
      <c r="AM145" s="6">
        <f>IF(OR(Q145="",NOT(ISNUMBER(FP_m2)),AND(R145&lt;&gt;"FP",R145&lt;&gt;"Both")),"",ROUND(SUMPRODUCT(T145:AE145,$T$4:$AE$4)*1000/FP_m2,2))</f>
        <v/>
      </c>
      <c r="AN145" s="6">
        <f>IF(OR(Q145="",NOT(ISNUMBER(FP_m2)),AND(R145&lt;&gt;"FP",R145&lt;&gt;"Both")),"",ROUND(SUMPRODUCT(T145:AE145,$T$5:$AE$5)*1000/FP_m2,2))</f>
        <v/>
      </c>
      <c r="AO145" s="6">
        <f>IF(OR(Q145="",NOT(ISNUMBER(MD_m2)),AND(R145&lt;&gt;"3F4D+MD",R145&lt;&gt;"Both")),"",ROUND(SUMPRODUCT(T145:AE145,$T$4:$AE$4)*1000/MD_m2,2))</f>
        <v/>
      </c>
      <c r="AP145" s="6">
        <f>IF(OR(Q145="",NOT(ISNUMBER(MD_m2)),AND(R145&lt;&gt;"3F4D+MD",R145&lt;&gt;"Both")),"",ROUND(SUMPRODUCT(T145:AE145,$T$5:$AE$5)*1000/MD_m2,2))</f>
        <v/>
      </c>
    </row>
    <row r="146">
      <c r="A146" s="37" t="n"/>
      <c r="B146" s="6">
        <f>IF(A146="","",IF(ISNUMBER(Schedule_Farmer!$D$5),A146-Schedule_Farmer!$D$5+1,""))</f>
        <v/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Q146" s="37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6">
        <f>IF(OR(Q146="",NOT(ISNUMBER(TransDate))),"",Q146-TransDate)</f>
        <v/>
      </c>
      <c r="AM146" s="6">
        <f>IF(OR(Q146="",NOT(ISNUMBER(FP_m2)),AND(R146&lt;&gt;"FP",R146&lt;&gt;"Both")),"",ROUND(SUMPRODUCT(T146:AE146,$T$4:$AE$4)*1000/FP_m2,2))</f>
        <v/>
      </c>
      <c r="AN146" s="6">
        <f>IF(OR(Q146="",NOT(ISNUMBER(FP_m2)),AND(R146&lt;&gt;"FP",R146&lt;&gt;"Both")),"",ROUND(SUMPRODUCT(T146:AE146,$T$5:$AE$5)*1000/FP_m2,2))</f>
        <v/>
      </c>
      <c r="AO146" s="6">
        <f>IF(OR(Q146="",NOT(ISNUMBER(MD_m2)),AND(R146&lt;&gt;"3F4D+MD",R146&lt;&gt;"Both")),"",ROUND(SUMPRODUCT(T146:AE146,$T$4:$AE$4)*1000/MD_m2,2))</f>
        <v/>
      </c>
      <c r="AP146" s="6">
        <f>IF(OR(Q146="",NOT(ISNUMBER(MD_m2)),AND(R146&lt;&gt;"3F4D+MD",R146&lt;&gt;"Both")),"",ROUND(SUMPRODUCT(T146:AE146,$T$5:$AE$5)*1000/MD_m2,2))</f>
        <v/>
      </c>
    </row>
    <row r="147">
      <c r="A147" s="37" t="n"/>
      <c r="B147" s="6">
        <f>IF(A147="","",IF(ISNUMBER(Schedule_Farmer!$D$5),A147-Schedule_Farmer!$D$5+1,""))</f>
        <v/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Q147" s="37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6">
        <f>IF(OR(Q147="",NOT(ISNUMBER(TransDate))),"",Q147-TransDate)</f>
        <v/>
      </c>
      <c r="AM147" s="6">
        <f>IF(OR(Q147="",NOT(ISNUMBER(FP_m2)),AND(R147&lt;&gt;"FP",R147&lt;&gt;"Both")),"",ROUND(SUMPRODUCT(T147:AE147,$T$4:$AE$4)*1000/FP_m2,2))</f>
        <v/>
      </c>
      <c r="AN147" s="6">
        <f>IF(OR(Q147="",NOT(ISNUMBER(FP_m2)),AND(R147&lt;&gt;"FP",R147&lt;&gt;"Both")),"",ROUND(SUMPRODUCT(T147:AE147,$T$5:$AE$5)*1000/FP_m2,2))</f>
        <v/>
      </c>
      <c r="AO147" s="6">
        <f>IF(OR(Q147="",NOT(ISNUMBER(MD_m2)),AND(R147&lt;&gt;"3F4D+MD",R147&lt;&gt;"Both")),"",ROUND(SUMPRODUCT(T147:AE147,$T$4:$AE$4)*1000/MD_m2,2))</f>
        <v/>
      </c>
      <c r="AP147" s="6">
        <f>IF(OR(Q147="",NOT(ISNUMBER(MD_m2)),AND(R147&lt;&gt;"3F4D+MD",R147&lt;&gt;"Both")),"",ROUND(SUMPRODUCT(T147:AE147,$T$5:$AE$5)*1000/MD_m2,2))</f>
        <v/>
      </c>
    </row>
    <row r="148">
      <c r="A148" s="37" t="n"/>
      <c r="B148" s="6">
        <f>IF(A148="","",IF(ISNUMBER(Schedule_Farmer!$D$5),A148-Schedule_Farmer!$D$5+1,""))</f>
        <v/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Q148" s="37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6">
        <f>IF(OR(Q148="",NOT(ISNUMBER(TransDate))),"",Q148-TransDate)</f>
        <v/>
      </c>
      <c r="AM148" s="6">
        <f>IF(OR(Q148="",NOT(ISNUMBER(FP_m2)),AND(R148&lt;&gt;"FP",R148&lt;&gt;"Both")),"",ROUND(SUMPRODUCT(T148:AE148,$T$4:$AE$4)*1000/FP_m2,2))</f>
        <v/>
      </c>
      <c r="AN148" s="6">
        <f>IF(OR(Q148="",NOT(ISNUMBER(FP_m2)),AND(R148&lt;&gt;"FP",R148&lt;&gt;"Both")),"",ROUND(SUMPRODUCT(T148:AE148,$T$5:$AE$5)*1000/FP_m2,2))</f>
        <v/>
      </c>
      <c r="AO148" s="6">
        <f>IF(OR(Q148="",NOT(ISNUMBER(MD_m2)),AND(R148&lt;&gt;"3F4D+MD",R148&lt;&gt;"Both")),"",ROUND(SUMPRODUCT(T148:AE148,$T$4:$AE$4)*1000/MD_m2,2))</f>
        <v/>
      </c>
      <c r="AP148" s="6">
        <f>IF(OR(Q148="",NOT(ISNUMBER(MD_m2)),AND(R148&lt;&gt;"3F4D+MD",R148&lt;&gt;"Both")),"",ROUND(SUMPRODUCT(T148:AE148,$T$5:$AE$5)*1000/MD_m2,2))</f>
        <v/>
      </c>
    </row>
    <row r="149">
      <c r="A149" s="37" t="n"/>
      <c r="B149" s="6">
        <f>IF(A149="","",IF(ISNUMBER(Schedule_Farmer!$D$5),A149-Schedule_Farmer!$D$5+1,""))</f>
        <v/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Q149" s="37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6">
        <f>IF(OR(Q149="",NOT(ISNUMBER(TransDate))),"",Q149-TransDate)</f>
        <v/>
      </c>
      <c r="AM149" s="6">
        <f>IF(OR(Q149="",NOT(ISNUMBER(FP_m2)),AND(R149&lt;&gt;"FP",R149&lt;&gt;"Both")),"",ROUND(SUMPRODUCT(T149:AE149,$T$4:$AE$4)*1000/FP_m2,2))</f>
        <v/>
      </c>
      <c r="AN149" s="6">
        <f>IF(OR(Q149="",NOT(ISNUMBER(FP_m2)),AND(R149&lt;&gt;"FP",R149&lt;&gt;"Both")),"",ROUND(SUMPRODUCT(T149:AE149,$T$5:$AE$5)*1000/FP_m2,2))</f>
        <v/>
      </c>
      <c r="AO149" s="6">
        <f>IF(OR(Q149="",NOT(ISNUMBER(MD_m2)),AND(R149&lt;&gt;"3F4D+MD",R149&lt;&gt;"Both")),"",ROUND(SUMPRODUCT(T149:AE149,$T$4:$AE$4)*1000/MD_m2,2))</f>
        <v/>
      </c>
      <c r="AP149" s="6">
        <f>IF(OR(Q149="",NOT(ISNUMBER(MD_m2)),AND(R149&lt;&gt;"3F4D+MD",R149&lt;&gt;"Both")),"",ROUND(SUMPRODUCT(T149:AE149,$T$5:$AE$5)*1000/MD_m2,2))</f>
        <v/>
      </c>
    </row>
    <row r="150">
      <c r="A150" s="37" t="n"/>
      <c r="B150" s="6">
        <f>IF(A150="","",IF(ISNUMBER(Schedule_Farmer!$D$5),A150-Schedule_Farmer!$D$5+1,""))</f>
        <v/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Q150" s="37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6">
        <f>IF(OR(Q150="",NOT(ISNUMBER(TransDate))),"",Q150-TransDate)</f>
        <v/>
      </c>
      <c r="AM150" s="6">
        <f>IF(OR(Q150="",NOT(ISNUMBER(FP_m2)),AND(R150&lt;&gt;"FP",R150&lt;&gt;"Both")),"",ROUND(SUMPRODUCT(T150:AE150,$T$4:$AE$4)*1000/FP_m2,2))</f>
        <v/>
      </c>
      <c r="AN150" s="6">
        <f>IF(OR(Q150="",NOT(ISNUMBER(FP_m2)),AND(R150&lt;&gt;"FP",R150&lt;&gt;"Both")),"",ROUND(SUMPRODUCT(T150:AE150,$T$5:$AE$5)*1000/FP_m2,2))</f>
        <v/>
      </c>
      <c r="AO150" s="6">
        <f>IF(OR(Q150="",NOT(ISNUMBER(MD_m2)),AND(R150&lt;&gt;"3F4D+MD",R150&lt;&gt;"Both")),"",ROUND(SUMPRODUCT(T150:AE150,$T$4:$AE$4)*1000/MD_m2,2))</f>
        <v/>
      </c>
      <c r="AP150" s="6">
        <f>IF(OR(Q150="",NOT(ISNUMBER(MD_m2)),AND(R150&lt;&gt;"3F4D+MD",R150&lt;&gt;"Both")),"",ROUND(SUMPRODUCT(T150:AE150,$T$5:$AE$5)*1000/MD_m2,2))</f>
        <v/>
      </c>
    </row>
    <row r="151">
      <c r="A151" s="37" t="n"/>
      <c r="B151" s="6">
        <f>IF(A151="","",IF(ISNUMBER(Schedule_Farmer!$D$5),A151-Schedule_Farmer!$D$5+1,""))</f>
        <v/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Q151" s="37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6">
        <f>IF(OR(Q151="",NOT(ISNUMBER(TransDate))),"",Q151-TransDate)</f>
        <v/>
      </c>
      <c r="AM151" s="6">
        <f>IF(OR(Q151="",NOT(ISNUMBER(FP_m2)),AND(R151&lt;&gt;"FP",R151&lt;&gt;"Both")),"",ROUND(SUMPRODUCT(T151:AE151,$T$4:$AE$4)*1000/FP_m2,2))</f>
        <v/>
      </c>
      <c r="AN151" s="6">
        <f>IF(OR(Q151="",NOT(ISNUMBER(FP_m2)),AND(R151&lt;&gt;"FP",R151&lt;&gt;"Both")),"",ROUND(SUMPRODUCT(T151:AE151,$T$5:$AE$5)*1000/FP_m2,2))</f>
        <v/>
      </c>
      <c r="AO151" s="6">
        <f>IF(OR(Q151="",NOT(ISNUMBER(MD_m2)),AND(R151&lt;&gt;"3F4D+MD",R151&lt;&gt;"Both")),"",ROUND(SUMPRODUCT(T151:AE151,$T$4:$AE$4)*1000/MD_m2,2))</f>
        <v/>
      </c>
      <c r="AP151" s="6">
        <f>IF(OR(Q151="",NOT(ISNUMBER(MD_m2)),AND(R151&lt;&gt;"3F4D+MD",R151&lt;&gt;"Both")),"",ROUND(SUMPRODUCT(T151:AE151,$T$5:$AE$5)*1000/MD_m2,2))</f>
        <v/>
      </c>
    </row>
    <row r="152">
      <c r="A152" s="37" t="n"/>
      <c r="B152" s="6">
        <f>IF(A152="","",IF(ISNUMBER(Schedule_Farmer!$D$5),A152-Schedule_Farmer!$D$5+1,""))</f>
        <v/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Q152" s="37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6">
        <f>IF(OR(Q152="",NOT(ISNUMBER(TransDate))),"",Q152-TransDate)</f>
        <v/>
      </c>
      <c r="AM152" s="6">
        <f>IF(OR(Q152="",NOT(ISNUMBER(FP_m2)),AND(R152&lt;&gt;"FP",R152&lt;&gt;"Both")),"",ROUND(SUMPRODUCT(T152:AE152,$T$4:$AE$4)*1000/FP_m2,2))</f>
        <v/>
      </c>
      <c r="AN152" s="6">
        <f>IF(OR(Q152="",NOT(ISNUMBER(FP_m2)),AND(R152&lt;&gt;"FP",R152&lt;&gt;"Both")),"",ROUND(SUMPRODUCT(T152:AE152,$T$5:$AE$5)*1000/FP_m2,2))</f>
        <v/>
      </c>
      <c r="AO152" s="6">
        <f>IF(OR(Q152="",NOT(ISNUMBER(MD_m2)),AND(R152&lt;&gt;"3F4D+MD",R152&lt;&gt;"Both")),"",ROUND(SUMPRODUCT(T152:AE152,$T$4:$AE$4)*1000/MD_m2,2))</f>
        <v/>
      </c>
      <c r="AP152" s="6">
        <f>IF(OR(Q152="",NOT(ISNUMBER(MD_m2)),AND(R152&lt;&gt;"3F4D+MD",R152&lt;&gt;"Both")),"",ROUND(SUMPRODUCT(T152:AE152,$T$5:$AE$5)*1000/MD_m2,2))</f>
        <v/>
      </c>
    </row>
    <row r="153">
      <c r="A153" s="37" t="n"/>
      <c r="B153" s="6">
        <f>IF(A153="","",IF(ISNUMBER(Schedule_Farmer!$D$5),A153-Schedule_Farmer!$D$5+1,""))</f>
        <v/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Q153" s="37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6">
        <f>IF(OR(Q153="",NOT(ISNUMBER(TransDate))),"",Q153-TransDate)</f>
        <v/>
      </c>
      <c r="AM153" s="6">
        <f>IF(OR(Q153="",NOT(ISNUMBER(FP_m2)),AND(R153&lt;&gt;"FP",R153&lt;&gt;"Both")),"",ROUND(SUMPRODUCT(T153:AE153,$T$4:$AE$4)*1000/FP_m2,2))</f>
        <v/>
      </c>
      <c r="AN153" s="6">
        <f>IF(OR(Q153="",NOT(ISNUMBER(FP_m2)),AND(R153&lt;&gt;"FP",R153&lt;&gt;"Both")),"",ROUND(SUMPRODUCT(T153:AE153,$T$5:$AE$5)*1000/FP_m2,2))</f>
        <v/>
      </c>
      <c r="AO153" s="6">
        <f>IF(OR(Q153="",NOT(ISNUMBER(MD_m2)),AND(R153&lt;&gt;"3F4D+MD",R153&lt;&gt;"Both")),"",ROUND(SUMPRODUCT(T153:AE153,$T$4:$AE$4)*1000/MD_m2,2))</f>
        <v/>
      </c>
      <c r="AP153" s="6">
        <f>IF(OR(Q153="",NOT(ISNUMBER(MD_m2)),AND(R153&lt;&gt;"3F4D+MD",R153&lt;&gt;"Both")),"",ROUND(SUMPRODUCT(T153:AE153,$T$5:$AE$5)*1000/MD_m2,2))</f>
        <v/>
      </c>
    </row>
    <row r="154">
      <c r="A154" s="37" t="n"/>
      <c r="B154" s="6">
        <f>IF(A154="","",IF(ISNUMBER(Schedule_Farmer!$D$5),A154-Schedule_Farmer!$D$5+1,""))</f>
        <v/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Q154" s="37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6">
        <f>IF(OR(Q154="",NOT(ISNUMBER(TransDate))),"",Q154-TransDate)</f>
        <v/>
      </c>
      <c r="AM154" s="6">
        <f>IF(OR(Q154="",NOT(ISNUMBER(FP_m2)),AND(R154&lt;&gt;"FP",R154&lt;&gt;"Both")),"",ROUND(SUMPRODUCT(T154:AE154,$T$4:$AE$4)*1000/FP_m2,2))</f>
        <v/>
      </c>
      <c r="AN154" s="6">
        <f>IF(OR(Q154="",NOT(ISNUMBER(FP_m2)),AND(R154&lt;&gt;"FP",R154&lt;&gt;"Both")),"",ROUND(SUMPRODUCT(T154:AE154,$T$5:$AE$5)*1000/FP_m2,2))</f>
        <v/>
      </c>
      <c r="AO154" s="6">
        <f>IF(OR(Q154="",NOT(ISNUMBER(MD_m2)),AND(R154&lt;&gt;"3F4D+MD",R154&lt;&gt;"Both")),"",ROUND(SUMPRODUCT(T154:AE154,$T$4:$AE$4)*1000/MD_m2,2))</f>
        <v/>
      </c>
      <c r="AP154" s="6">
        <f>IF(OR(Q154="",NOT(ISNUMBER(MD_m2)),AND(R154&lt;&gt;"3F4D+MD",R154&lt;&gt;"Both")),"",ROUND(SUMPRODUCT(T154:AE154,$T$5:$AE$5)*1000/MD_m2,2))</f>
        <v/>
      </c>
    </row>
    <row r="155">
      <c r="A155" s="37" t="n"/>
      <c r="B155" s="6">
        <f>IF(A155="","",IF(ISNUMBER(Schedule_Farmer!$D$5),A155-Schedule_Farmer!$D$5+1,""))</f>
        <v/>
      </c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Q155" s="37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6">
        <f>IF(OR(Q155="",NOT(ISNUMBER(TransDate))),"",Q155-TransDate)</f>
        <v/>
      </c>
      <c r="AM155" s="6">
        <f>IF(OR(Q155="",NOT(ISNUMBER(FP_m2)),AND(R155&lt;&gt;"FP",R155&lt;&gt;"Both")),"",ROUND(SUMPRODUCT(T155:AE155,$T$4:$AE$4)*1000/FP_m2,2))</f>
        <v/>
      </c>
      <c r="AN155" s="6">
        <f>IF(OR(Q155="",NOT(ISNUMBER(FP_m2)),AND(R155&lt;&gt;"FP",R155&lt;&gt;"Both")),"",ROUND(SUMPRODUCT(T155:AE155,$T$5:$AE$5)*1000/FP_m2,2))</f>
        <v/>
      </c>
      <c r="AO155" s="6">
        <f>IF(OR(Q155="",NOT(ISNUMBER(MD_m2)),AND(R155&lt;&gt;"3F4D+MD",R155&lt;&gt;"Both")),"",ROUND(SUMPRODUCT(T155:AE155,$T$4:$AE$4)*1000/MD_m2,2))</f>
        <v/>
      </c>
      <c r="AP155" s="6">
        <f>IF(OR(Q155="",NOT(ISNUMBER(MD_m2)),AND(R155&lt;&gt;"3F4D+MD",R155&lt;&gt;"Both")),"",ROUND(SUMPRODUCT(T155:AE155,$T$5:$AE$5)*1000/MD_m2,2))</f>
        <v/>
      </c>
    </row>
    <row r="156">
      <c r="A156" s="37" t="n"/>
      <c r="B156" s="6">
        <f>IF(A156="","",IF(ISNUMBER(Schedule_Farmer!$D$5),A156-Schedule_Farmer!$D$5+1,""))</f>
        <v/>
      </c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Q156" s="37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6">
        <f>IF(OR(Q156="",NOT(ISNUMBER(TransDate))),"",Q156-TransDate)</f>
        <v/>
      </c>
      <c r="AM156" s="6">
        <f>IF(OR(Q156="",NOT(ISNUMBER(FP_m2)),AND(R156&lt;&gt;"FP",R156&lt;&gt;"Both")),"",ROUND(SUMPRODUCT(T156:AE156,$T$4:$AE$4)*1000/FP_m2,2))</f>
        <v/>
      </c>
      <c r="AN156" s="6">
        <f>IF(OR(Q156="",NOT(ISNUMBER(FP_m2)),AND(R156&lt;&gt;"FP",R156&lt;&gt;"Both")),"",ROUND(SUMPRODUCT(T156:AE156,$T$5:$AE$5)*1000/FP_m2,2))</f>
        <v/>
      </c>
      <c r="AO156" s="6">
        <f>IF(OR(Q156="",NOT(ISNUMBER(MD_m2)),AND(R156&lt;&gt;"3F4D+MD",R156&lt;&gt;"Both")),"",ROUND(SUMPRODUCT(T156:AE156,$T$4:$AE$4)*1000/MD_m2,2))</f>
        <v/>
      </c>
      <c r="AP156" s="6">
        <f>IF(OR(Q156="",NOT(ISNUMBER(MD_m2)),AND(R156&lt;&gt;"3F4D+MD",R156&lt;&gt;"Both")),"",ROUND(SUMPRODUCT(T156:AE156,$T$5:$AE$5)*1000/MD_m2,2))</f>
        <v/>
      </c>
    </row>
    <row r="157">
      <c r="A157" s="37" t="n"/>
      <c r="B157" s="6">
        <f>IF(A157="","",IF(ISNUMBER(Schedule_Farmer!$D$5),A157-Schedule_Farmer!$D$5+1,""))</f>
        <v/>
      </c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Q157" s="37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6">
        <f>IF(OR(Q157="",NOT(ISNUMBER(TransDate))),"",Q157-TransDate)</f>
        <v/>
      </c>
      <c r="AM157" s="6">
        <f>IF(OR(Q157="",NOT(ISNUMBER(FP_m2)),AND(R157&lt;&gt;"FP",R157&lt;&gt;"Both")),"",ROUND(SUMPRODUCT(T157:AE157,$T$4:$AE$4)*1000/FP_m2,2))</f>
        <v/>
      </c>
      <c r="AN157" s="6">
        <f>IF(OR(Q157="",NOT(ISNUMBER(FP_m2)),AND(R157&lt;&gt;"FP",R157&lt;&gt;"Both")),"",ROUND(SUMPRODUCT(T157:AE157,$T$5:$AE$5)*1000/FP_m2,2))</f>
        <v/>
      </c>
      <c r="AO157" s="6">
        <f>IF(OR(Q157="",NOT(ISNUMBER(MD_m2)),AND(R157&lt;&gt;"3F4D+MD",R157&lt;&gt;"Both")),"",ROUND(SUMPRODUCT(T157:AE157,$T$4:$AE$4)*1000/MD_m2,2))</f>
        <v/>
      </c>
      <c r="AP157" s="6">
        <f>IF(OR(Q157="",NOT(ISNUMBER(MD_m2)),AND(R157&lt;&gt;"3F4D+MD",R157&lt;&gt;"Both")),"",ROUND(SUMPRODUCT(T157:AE157,$T$5:$AE$5)*1000/MD_m2,2))</f>
        <v/>
      </c>
    </row>
    <row r="158">
      <c r="A158" s="37" t="n"/>
      <c r="B158" s="6">
        <f>IF(A158="","",IF(ISNUMBER(Schedule_Farmer!$D$5),A158-Schedule_Farmer!$D$5+1,""))</f>
        <v/>
      </c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Q158" s="37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6">
        <f>IF(OR(Q158="",NOT(ISNUMBER(TransDate))),"",Q158-TransDate)</f>
        <v/>
      </c>
      <c r="AM158" s="6">
        <f>IF(OR(Q158="",NOT(ISNUMBER(FP_m2)),AND(R158&lt;&gt;"FP",R158&lt;&gt;"Both")),"",ROUND(SUMPRODUCT(T158:AE158,$T$4:$AE$4)*1000/FP_m2,2))</f>
        <v/>
      </c>
      <c r="AN158" s="6">
        <f>IF(OR(Q158="",NOT(ISNUMBER(FP_m2)),AND(R158&lt;&gt;"FP",R158&lt;&gt;"Both")),"",ROUND(SUMPRODUCT(T158:AE158,$T$5:$AE$5)*1000/FP_m2,2))</f>
        <v/>
      </c>
      <c r="AO158" s="6">
        <f>IF(OR(Q158="",NOT(ISNUMBER(MD_m2)),AND(R158&lt;&gt;"3F4D+MD",R158&lt;&gt;"Both")),"",ROUND(SUMPRODUCT(T158:AE158,$T$4:$AE$4)*1000/MD_m2,2))</f>
        <v/>
      </c>
      <c r="AP158" s="6">
        <f>IF(OR(Q158="",NOT(ISNUMBER(MD_m2)),AND(R158&lt;&gt;"3F4D+MD",R158&lt;&gt;"Both")),"",ROUND(SUMPRODUCT(T158:AE158,$T$5:$AE$5)*1000/MD_m2,2))</f>
        <v/>
      </c>
    </row>
    <row r="159">
      <c r="A159" s="37" t="n"/>
      <c r="B159" s="6">
        <f>IF(A159="","",IF(ISNUMBER(Schedule_Farmer!$D$5),A159-Schedule_Farmer!$D$5+1,""))</f>
        <v/>
      </c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Q159" s="37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6">
        <f>IF(OR(Q159="",NOT(ISNUMBER(TransDate))),"",Q159-TransDate)</f>
        <v/>
      </c>
      <c r="AM159" s="6">
        <f>IF(OR(Q159="",NOT(ISNUMBER(FP_m2)),AND(R159&lt;&gt;"FP",R159&lt;&gt;"Both")),"",ROUND(SUMPRODUCT(T159:AE159,$T$4:$AE$4)*1000/FP_m2,2))</f>
        <v/>
      </c>
      <c r="AN159" s="6">
        <f>IF(OR(Q159="",NOT(ISNUMBER(FP_m2)),AND(R159&lt;&gt;"FP",R159&lt;&gt;"Both")),"",ROUND(SUMPRODUCT(T159:AE159,$T$5:$AE$5)*1000/FP_m2,2))</f>
        <v/>
      </c>
      <c r="AO159" s="6">
        <f>IF(OR(Q159="",NOT(ISNUMBER(MD_m2)),AND(R159&lt;&gt;"3F4D+MD",R159&lt;&gt;"Both")),"",ROUND(SUMPRODUCT(T159:AE159,$T$4:$AE$4)*1000/MD_m2,2))</f>
        <v/>
      </c>
      <c r="AP159" s="6">
        <f>IF(OR(Q159="",NOT(ISNUMBER(MD_m2)),AND(R159&lt;&gt;"3F4D+MD",R159&lt;&gt;"Both")),"",ROUND(SUMPRODUCT(T159:AE159,$T$5:$AE$5)*1000/MD_m2,2))</f>
        <v/>
      </c>
    </row>
    <row r="160">
      <c r="A160" s="37" t="n"/>
      <c r="B160" s="6">
        <f>IF(A160="","",IF(ISNUMBER(Schedule_Farmer!$D$5),A160-Schedule_Farmer!$D$5+1,""))</f>
        <v/>
      </c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Q160" s="37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6">
        <f>IF(OR(Q160="",NOT(ISNUMBER(TransDate))),"",Q160-TransDate)</f>
        <v/>
      </c>
      <c r="AM160" s="6">
        <f>IF(OR(Q160="",NOT(ISNUMBER(FP_m2)),AND(R160&lt;&gt;"FP",R160&lt;&gt;"Both")),"",ROUND(SUMPRODUCT(T160:AE160,$T$4:$AE$4)*1000/FP_m2,2))</f>
        <v/>
      </c>
      <c r="AN160" s="6">
        <f>IF(OR(Q160="",NOT(ISNUMBER(FP_m2)),AND(R160&lt;&gt;"FP",R160&lt;&gt;"Both")),"",ROUND(SUMPRODUCT(T160:AE160,$T$5:$AE$5)*1000/FP_m2,2))</f>
        <v/>
      </c>
      <c r="AO160" s="6">
        <f>IF(OR(Q160="",NOT(ISNUMBER(MD_m2)),AND(R160&lt;&gt;"3F4D+MD",R160&lt;&gt;"Both")),"",ROUND(SUMPRODUCT(T160:AE160,$T$4:$AE$4)*1000/MD_m2,2))</f>
        <v/>
      </c>
      <c r="AP160" s="6">
        <f>IF(OR(Q160="",NOT(ISNUMBER(MD_m2)),AND(R160&lt;&gt;"3F4D+MD",R160&lt;&gt;"Both")),"",ROUND(SUMPRODUCT(T160:AE160,$T$5:$AE$5)*1000/MD_m2,2))</f>
        <v/>
      </c>
    </row>
    <row r="161">
      <c r="A161" s="37" t="n"/>
      <c r="B161" s="6">
        <f>IF(A161="","",IF(ISNUMBER(Schedule_Farmer!$D$5),A161-Schedule_Farmer!$D$5+1,""))</f>
        <v/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Q161" s="37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6">
        <f>IF(OR(Q161="",NOT(ISNUMBER(TransDate))),"",Q161-TransDate)</f>
        <v/>
      </c>
      <c r="AM161" s="6">
        <f>IF(OR(Q161="",NOT(ISNUMBER(FP_m2)),AND(R161&lt;&gt;"FP",R161&lt;&gt;"Both")),"",ROUND(SUMPRODUCT(T161:AE161,$T$4:$AE$4)*1000/FP_m2,2))</f>
        <v/>
      </c>
      <c r="AN161" s="6">
        <f>IF(OR(Q161="",NOT(ISNUMBER(FP_m2)),AND(R161&lt;&gt;"FP",R161&lt;&gt;"Both")),"",ROUND(SUMPRODUCT(T161:AE161,$T$5:$AE$5)*1000/FP_m2,2))</f>
        <v/>
      </c>
      <c r="AO161" s="6">
        <f>IF(OR(Q161="",NOT(ISNUMBER(MD_m2)),AND(R161&lt;&gt;"3F4D+MD",R161&lt;&gt;"Both")),"",ROUND(SUMPRODUCT(T161:AE161,$T$4:$AE$4)*1000/MD_m2,2))</f>
        <v/>
      </c>
      <c r="AP161" s="6">
        <f>IF(OR(Q161="",NOT(ISNUMBER(MD_m2)),AND(R161&lt;&gt;"3F4D+MD",R161&lt;&gt;"Both")),"",ROUND(SUMPRODUCT(T161:AE161,$T$5:$AE$5)*1000/MD_m2,2))</f>
        <v/>
      </c>
    </row>
    <row r="162">
      <c r="A162" s="37" t="n"/>
      <c r="B162" s="6">
        <f>IF(A162="","",IF(ISNUMBER(Schedule_Farmer!$D$5),A162-Schedule_Farmer!$D$5+1,""))</f>
        <v/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Q162" s="37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6">
        <f>IF(OR(Q162="",NOT(ISNUMBER(TransDate))),"",Q162-TransDate)</f>
        <v/>
      </c>
      <c r="AM162" s="6">
        <f>IF(OR(Q162="",NOT(ISNUMBER(FP_m2)),AND(R162&lt;&gt;"FP",R162&lt;&gt;"Both")),"",ROUND(SUMPRODUCT(T162:AE162,$T$4:$AE$4)*1000/FP_m2,2))</f>
        <v/>
      </c>
      <c r="AN162" s="6">
        <f>IF(OR(Q162="",NOT(ISNUMBER(FP_m2)),AND(R162&lt;&gt;"FP",R162&lt;&gt;"Both")),"",ROUND(SUMPRODUCT(T162:AE162,$T$5:$AE$5)*1000/FP_m2,2))</f>
        <v/>
      </c>
      <c r="AO162" s="6">
        <f>IF(OR(Q162="",NOT(ISNUMBER(MD_m2)),AND(R162&lt;&gt;"3F4D+MD",R162&lt;&gt;"Both")),"",ROUND(SUMPRODUCT(T162:AE162,$T$4:$AE$4)*1000/MD_m2,2))</f>
        <v/>
      </c>
      <c r="AP162" s="6">
        <f>IF(OR(Q162="",NOT(ISNUMBER(MD_m2)),AND(R162&lt;&gt;"3F4D+MD",R162&lt;&gt;"Both")),"",ROUND(SUMPRODUCT(T162:AE162,$T$5:$AE$5)*1000/MD_m2,2))</f>
        <v/>
      </c>
    </row>
    <row r="163">
      <c r="A163" s="37" t="n"/>
      <c r="B163" s="6">
        <f>IF(A163="","",IF(ISNUMBER(Schedule_Farmer!$D$5),A163-Schedule_Farmer!$D$5+1,""))</f>
        <v/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Q163" s="37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6">
        <f>IF(OR(Q163="",NOT(ISNUMBER(TransDate))),"",Q163-TransDate)</f>
        <v/>
      </c>
      <c r="AM163" s="6">
        <f>IF(OR(Q163="",NOT(ISNUMBER(FP_m2)),AND(R163&lt;&gt;"FP",R163&lt;&gt;"Both")),"",ROUND(SUMPRODUCT(T163:AE163,$T$4:$AE$4)*1000/FP_m2,2))</f>
        <v/>
      </c>
      <c r="AN163" s="6">
        <f>IF(OR(Q163="",NOT(ISNUMBER(FP_m2)),AND(R163&lt;&gt;"FP",R163&lt;&gt;"Both")),"",ROUND(SUMPRODUCT(T163:AE163,$T$5:$AE$5)*1000/FP_m2,2))</f>
        <v/>
      </c>
      <c r="AO163" s="6">
        <f>IF(OR(Q163="",NOT(ISNUMBER(MD_m2)),AND(R163&lt;&gt;"3F4D+MD",R163&lt;&gt;"Both")),"",ROUND(SUMPRODUCT(T163:AE163,$T$4:$AE$4)*1000/MD_m2,2))</f>
        <v/>
      </c>
      <c r="AP163" s="6">
        <f>IF(OR(Q163="",NOT(ISNUMBER(MD_m2)),AND(R163&lt;&gt;"3F4D+MD",R163&lt;&gt;"Both")),"",ROUND(SUMPRODUCT(T163:AE163,$T$5:$AE$5)*1000/MD_m2,2))</f>
        <v/>
      </c>
    </row>
    <row r="164">
      <c r="A164" s="37" t="n"/>
      <c r="B164" s="6">
        <f>IF(A164="","",IF(ISNUMBER(Schedule_Farmer!$D$5),A164-Schedule_Farmer!$D$5+1,""))</f>
        <v/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Q164" s="37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6">
        <f>IF(OR(Q164="",NOT(ISNUMBER(TransDate))),"",Q164-TransDate)</f>
        <v/>
      </c>
      <c r="AM164" s="6">
        <f>IF(OR(Q164="",NOT(ISNUMBER(FP_m2)),AND(R164&lt;&gt;"FP",R164&lt;&gt;"Both")),"",ROUND(SUMPRODUCT(T164:AE164,$T$4:$AE$4)*1000/FP_m2,2))</f>
        <v/>
      </c>
      <c r="AN164" s="6">
        <f>IF(OR(Q164="",NOT(ISNUMBER(FP_m2)),AND(R164&lt;&gt;"FP",R164&lt;&gt;"Both")),"",ROUND(SUMPRODUCT(T164:AE164,$T$5:$AE$5)*1000/FP_m2,2))</f>
        <v/>
      </c>
      <c r="AO164" s="6">
        <f>IF(OR(Q164="",NOT(ISNUMBER(MD_m2)),AND(R164&lt;&gt;"3F4D+MD",R164&lt;&gt;"Both")),"",ROUND(SUMPRODUCT(T164:AE164,$T$4:$AE$4)*1000/MD_m2,2))</f>
        <v/>
      </c>
      <c r="AP164" s="6">
        <f>IF(OR(Q164="",NOT(ISNUMBER(MD_m2)),AND(R164&lt;&gt;"3F4D+MD",R164&lt;&gt;"Both")),"",ROUND(SUMPRODUCT(T164:AE164,$T$5:$AE$5)*1000/MD_m2,2))</f>
        <v/>
      </c>
    </row>
    <row r="165">
      <c r="A165" s="37" t="n"/>
      <c r="B165" s="6">
        <f>IF(A165="","",IF(ISNUMBER(Schedule_Farmer!$D$5),A165-Schedule_Farmer!$D$5+1,""))</f>
        <v/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Q165" s="37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6">
        <f>IF(OR(Q165="",NOT(ISNUMBER(TransDate))),"",Q165-TransDate)</f>
        <v/>
      </c>
      <c r="AM165" s="6">
        <f>IF(OR(Q165="",NOT(ISNUMBER(FP_m2)),AND(R165&lt;&gt;"FP",R165&lt;&gt;"Both")),"",ROUND(SUMPRODUCT(T165:AE165,$T$4:$AE$4)*1000/FP_m2,2))</f>
        <v/>
      </c>
      <c r="AN165" s="6">
        <f>IF(OR(Q165="",NOT(ISNUMBER(FP_m2)),AND(R165&lt;&gt;"FP",R165&lt;&gt;"Both")),"",ROUND(SUMPRODUCT(T165:AE165,$T$5:$AE$5)*1000/FP_m2,2))</f>
        <v/>
      </c>
      <c r="AO165" s="6">
        <f>IF(OR(Q165="",NOT(ISNUMBER(MD_m2)),AND(R165&lt;&gt;"3F4D+MD",R165&lt;&gt;"Both")),"",ROUND(SUMPRODUCT(T165:AE165,$T$4:$AE$4)*1000/MD_m2,2))</f>
        <v/>
      </c>
      <c r="AP165" s="6">
        <f>IF(OR(Q165="",NOT(ISNUMBER(MD_m2)),AND(R165&lt;&gt;"3F4D+MD",R165&lt;&gt;"Both")),"",ROUND(SUMPRODUCT(T165:AE165,$T$5:$AE$5)*1000/MD_m2,2))</f>
        <v/>
      </c>
    </row>
    <row r="166">
      <c r="A166" s="37" t="n"/>
      <c r="B166" s="6">
        <f>IF(A166="","",IF(ISNUMBER(Schedule_Farmer!$D$5),A166-Schedule_Farmer!$D$5+1,""))</f>
        <v/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Q166" s="37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6">
        <f>IF(OR(Q166="",NOT(ISNUMBER(TransDate))),"",Q166-TransDate)</f>
        <v/>
      </c>
      <c r="AM166" s="6">
        <f>IF(OR(Q166="",NOT(ISNUMBER(FP_m2)),AND(R166&lt;&gt;"FP",R166&lt;&gt;"Both")),"",ROUND(SUMPRODUCT(T166:AE166,$T$4:$AE$4)*1000/FP_m2,2))</f>
        <v/>
      </c>
      <c r="AN166" s="6">
        <f>IF(OR(Q166="",NOT(ISNUMBER(FP_m2)),AND(R166&lt;&gt;"FP",R166&lt;&gt;"Both")),"",ROUND(SUMPRODUCT(T166:AE166,$T$5:$AE$5)*1000/FP_m2,2))</f>
        <v/>
      </c>
      <c r="AO166" s="6">
        <f>IF(OR(Q166="",NOT(ISNUMBER(MD_m2)),AND(R166&lt;&gt;"3F4D+MD",R166&lt;&gt;"Both")),"",ROUND(SUMPRODUCT(T166:AE166,$T$4:$AE$4)*1000/MD_m2,2))</f>
        <v/>
      </c>
      <c r="AP166" s="6">
        <f>IF(OR(Q166="",NOT(ISNUMBER(MD_m2)),AND(R166&lt;&gt;"3F4D+MD",R166&lt;&gt;"Both")),"",ROUND(SUMPRODUCT(T166:AE166,$T$5:$AE$5)*1000/MD_m2,2))</f>
        <v/>
      </c>
    </row>
    <row r="167">
      <c r="A167" s="37" t="n"/>
      <c r="B167" s="6">
        <f>IF(A167="","",IF(ISNUMBER(Schedule_Farmer!$D$5),A167-Schedule_Farmer!$D$5+1,""))</f>
        <v/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Q167" s="37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6">
        <f>IF(OR(Q167="",NOT(ISNUMBER(TransDate))),"",Q167-TransDate)</f>
        <v/>
      </c>
      <c r="AM167" s="6">
        <f>IF(OR(Q167="",NOT(ISNUMBER(FP_m2)),AND(R167&lt;&gt;"FP",R167&lt;&gt;"Both")),"",ROUND(SUMPRODUCT(T167:AE167,$T$4:$AE$4)*1000/FP_m2,2))</f>
        <v/>
      </c>
      <c r="AN167" s="6">
        <f>IF(OR(Q167="",NOT(ISNUMBER(FP_m2)),AND(R167&lt;&gt;"FP",R167&lt;&gt;"Both")),"",ROUND(SUMPRODUCT(T167:AE167,$T$5:$AE$5)*1000/FP_m2,2))</f>
        <v/>
      </c>
      <c r="AO167" s="6">
        <f>IF(OR(Q167="",NOT(ISNUMBER(MD_m2)),AND(R167&lt;&gt;"3F4D+MD",R167&lt;&gt;"Both")),"",ROUND(SUMPRODUCT(T167:AE167,$T$4:$AE$4)*1000/MD_m2,2))</f>
        <v/>
      </c>
      <c r="AP167" s="6">
        <f>IF(OR(Q167="",NOT(ISNUMBER(MD_m2)),AND(R167&lt;&gt;"3F4D+MD",R167&lt;&gt;"Both")),"",ROUND(SUMPRODUCT(T167:AE167,$T$5:$AE$5)*1000/MD_m2,2))</f>
        <v/>
      </c>
    </row>
    <row r="168">
      <c r="A168" s="37" t="n"/>
      <c r="B168" s="6">
        <f>IF(A168="","",IF(ISNUMBER(Schedule_Farmer!$D$5),A168-Schedule_Farmer!$D$5+1,""))</f>
        <v/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Q168" s="37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6">
        <f>IF(OR(Q168="",NOT(ISNUMBER(TransDate))),"",Q168-TransDate)</f>
        <v/>
      </c>
      <c r="AM168" s="6">
        <f>IF(OR(Q168="",NOT(ISNUMBER(FP_m2)),AND(R168&lt;&gt;"FP",R168&lt;&gt;"Both")),"",ROUND(SUMPRODUCT(T168:AE168,$T$4:$AE$4)*1000/FP_m2,2))</f>
        <v/>
      </c>
      <c r="AN168" s="6">
        <f>IF(OR(Q168="",NOT(ISNUMBER(FP_m2)),AND(R168&lt;&gt;"FP",R168&lt;&gt;"Both")),"",ROUND(SUMPRODUCT(T168:AE168,$T$5:$AE$5)*1000/FP_m2,2))</f>
        <v/>
      </c>
      <c r="AO168" s="6">
        <f>IF(OR(Q168="",NOT(ISNUMBER(MD_m2)),AND(R168&lt;&gt;"3F4D+MD",R168&lt;&gt;"Both")),"",ROUND(SUMPRODUCT(T168:AE168,$T$4:$AE$4)*1000/MD_m2,2))</f>
        <v/>
      </c>
      <c r="AP168" s="6">
        <f>IF(OR(Q168="",NOT(ISNUMBER(MD_m2)),AND(R168&lt;&gt;"3F4D+MD",R168&lt;&gt;"Both")),"",ROUND(SUMPRODUCT(T168:AE168,$T$5:$AE$5)*1000/MD_m2,2))</f>
        <v/>
      </c>
    </row>
    <row r="169">
      <c r="A169" s="37" t="n"/>
      <c r="B169" s="6">
        <f>IF(A169="","",IF(ISNUMBER(Schedule_Farmer!$D$5),A169-Schedule_Farmer!$D$5+1,""))</f>
        <v/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Q169" s="37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6">
        <f>IF(OR(Q169="",NOT(ISNUMBER(TransDate))),"",Q169-TransDate)</f>
        <v/>
      </c>
      <c r="AM169" s="6">
        <f>IF(OR(Q169="",NOT(ISNUMBER(FP_m2)),AND(R169&lt;&gt;"FP",R169&lt;&gt;"Both")),"",ROUND(SUMPRODUCT(T169:AE169,$T$4:$AE$4)*1000/FP_m2,2))</f>
        <v/>
      </c>
      <c r="AN169" s="6">
        <f>IF(OR(Q169="",NOT(ISNUMBER(FP_m2)),AND(R169&lt;&gt;"FP",R169&lt;&gt;"Both")),"",ROUND(SUMPRODUCT(T169:AE169,$T$5:$AE$5)*1000/FP_m2,2))</f>
        <v/>
      </c>
      <c r="AO169" s="6">
        <f>IF(OR(Q169="",NOT(ISNUMBER(MD_m2)),AND(R169&lt;&gt;"3F4D+MD",R169&lt;&gt;"Both")),"",ROUND(SUMPRODUCT(T169:AE169,$T$4:$AE$4)*1000/MD_m2,2))</f>
        <v/>
      </c>
      <c r="AP169" s="6">
        <f>IF(OR(Q169="",NOT(ISNUMBER(MD_m2)),AND(R169&lt;&gt;"3F4D+MD",R169&lt;&gt;"Both")),"",ROUND(SUMPRODUCT(T169:AE169,$T$5:$AE$5)*1000/MD_m2,2))</f>
        <v/>
      </c>
    </row>
    <row r="170">
      <c r="A170" s="37" t="n"/>
      <c r="B170" s="6">
        <f>IF(A170="","",IF(ISNUMBER(Schedule_Farmer!$D$5),A170-Schedule_Farmer!$D$5+1,""))</f>
        <v/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Q170" s="37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6">
        <f>IF(OR(Q170="",NOT(ISNUMBER(TransDate))),"",Q170-TransDate)</f>
        <v/>
      </c>
      <c r="AM170" s="6">
        <f>IF(OR(Q170="",NOT(ISNUMBER(FP_m2)),AND(R170&lt;&gt;"FP",R170&lt;&gt;"Both")),"",ROUND(SUMPRODUCT(T170:AE170,$T$4:$AE$4)*1000/FP_m2,2))</f>
        <v/>
      </c>
      <c r="AN170" s="6">
        <f>IF(OR(Q170="",NOT(ISNUMBER(FP_m2)),AND(R170&lt;&gt;"FP",R170&lt;&gt;"Both")),"",ROUND(SUMPRODUCT(T170:AE170,$T$5:$AE$5)*1000/FP_m2,2))</f>
        <v/>
      </c>
      <c r="AO170" s="6">
        <f>IF(OR(Q170="",NOT(ISNUMBER(MD_m2)),AND(R170&lt;&gt;"3F4D+MD",R170&lt;&gt;"Both")),"",ROUND(SUMPRODUCT(T170:AE170,$T$4:$AE$4)*1000/MD_m2,2))</f>
        <v/>
      </c>
      <c r="AP170" s="6">
        <f>IF(OR(Q170="",NOT(ISNUMBER(MD_m2)),AND(R170&lt;&gt;"3F4D+MD",R170&lt;&gt;"Both")),"",ROUND(SUMPRODUCT(T170:AE170,$T$5:$AE$5)*1000/MD_m2,2))</f>
        <v/>
      </c>
    </row>
    <row r="171">
      <c r="A171" s="37" t="n"/>
      <c r="B171" s="6">
        <f>IF(A171="","",IF(ISNUMBER(Schedule_Farmer!$D$5),A171-Schedule_Farmer!$D$5+1,""))</f>
        <v/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Q171" s="37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6">
        <f>IF(OR(Q171="",NOT(ISNUMBER(TransDate))),"",Q171-TransDate)</f>
        <v/>
      </c>
      <c r="AM171" s="6">
        <f>IF(OR(Q171="",NOT(ISNUMBER(FP_m2)),AND(R171&lt;&gt;"FP",R171&lt;&gt;"Both")),"",ROUND(SUMPRODUCT(T171:AE171,$T$4:$AE$4)*1000/FP_m2,2))</f>
        <v/>
      </c>
      <c r="AN171" s="6">
        <f>IF(OR(Q171="",NOT(ISNUMBER(FP_m2)),AND(R171&lt;&gt;"FP",R171&lt;&gt;"Both")),"",ROUND(SUMPRODUCT(T171:AE171,$T$5:$AE$5)*1000/FP_m2,2))</f>
        <v/>
      </c>
      <c r="AO171" s="6">
        <f>IF(OR(Q171="",NOT(ISNUMBER(MD_m2)),AND(R171&lt;&gt;"3F4D+MD",R171&lt;&gt;"Both")),"",ROUND(SUMPRODUCT(T171:AE171,$T$4:$AE$4)*1000/MD_m2,2))</f>
        <v/>
      </c>
      <c r="AP171" s="6">
        <f>IF(OR(Q171="",NOT(ISNUMBER(MD_m2)),AND(R171&lt;&gt;"3F4D+MD",R171&lt;&gt;"Both")),"",ROUND(SUMPRODUCT(T171:AE171,$T$5:$AE$5)*1000/MD_m2,2))</f>
        <v/>
      </c>
    </row>
    <row r="172">
      <c r="A172" s="37" t="n"/>
      <c r="B172" s="6">
        <f>IF(A172="","",IF(ISNUMBER(Schedule_Farmer!$D$5),A172-Schedule_Farmer!$D$5+1,""))</f>
        <v/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Q172" s="37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6">
        <f>IF(OR(Q172="",NOT(ISNUMBER(TransDate))),"",Q172-TransDate)</f>
        <v/>
      </c>
      <c r="AM172" s="6">
        <f>IF(OR(Q172="",NOT(ISNUMBER(FP_m2)),AND(R172&lt;&gt;"FP",R172&lt;&gt;"Both")),"",ROUND(SUMPRODUCT(T172:AE172,$T$4:$AE$4)*1000/FP_m2,2))</f>
        <v/>
      </c>
      <c r="AN172" s="6">
        <f>IF(OR(Q172="",NOT(ISNUMBER(FP_m2)),AND(R172&lt;&gt;"FP",R172&lt;&gt;"Both")),"",ROUND(SUMPRODUCT(T172:AE172,$T$5:$AE$5)*1000/FP_m2,2))</f>
        <v/>
      </c>
      <c r="AO172" s="6">
        <f>IF(OR(Q172="",NOT(ISNUMBER(MD_m2)),AND(R172&lt;&gt;"3F4D+MD",R172&lt;&gt;"Both")),"",ROUND(SUMPRODUCT(T172:AE172,$T$4:$AE$4)*1000/MD_m2,2))</f>
        <v/>
      </c>
      <c r="AP172" s="6">
        <f>IF(OR(Q172="",NOT(ISNUMBER(MD_m2)),AND(R172&lt;&gt;"3F4D+MD",R172&lt;&gt;"Both")),"",ROUND(SUMPRODUCT(T172:AE172,$T$5:$AE$5)*1000/MD_m2,2))</f>
        <v/>
      </c>
    </row>
    <row r="173">
      <c r="A173" s="37" t="n"/>
      <c r="B173" s="6">
        <f>IF(A173="","",IF(ISNUMBER(Schedule_Farmer!$D$5),A173-Schedule_Farmer!$D$5+1,""))</f>
        <v/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Q173" s="37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6">
        <f>IF(OR(Q173="",NOT(ISNUMBER(TransDate))),"",Q173-TransDate)</f>
        <v/>
      </c>
      <c r="AM173" s="6">
        <f>IF(OR(Q173="",NOT(ISNUMBER(FP_m2)),AND(R173&lt;&gt;"FP",R173&lt;&gt;"Both")),"",ROUND(SUMPRODUCT(T173:AE173,$T$4:$AE$4)*1000/FP_m2,2))</f>
        <v/>
      </c>
      <c r="AN173" s="6">
        <f>IF(OR(Q173="",NOT(ISNUMBER(FP_m2)),AND(R173&lt;&gt;"FP",R173&lt;&gt;"Both")),"",ROUND(SUMPRODUCT(T173:AE173,$T$5:$AE$5)*1000/FP_m2,2))</f>
        <v/>
      </c>
      <c r="AO173" s="6">
        <f>IF(OR(Q173="",NOT(ISNUMBER(MD_m2)),AND(R173&lt;&gt;"3F4D+MD",R173&lt;&gt;"Both")),"",ROUND(SUMPRODUCT(T173:AE173,$T$4:$AE$4)*1000/MD_m2,2))</f>
        <v/>
      </c>
      <c r="AP173" s="6">
        <f>IF(OR(Q173="",NOT(ISNUMBER(MD_m2)),AND(R173&lt;&gt;"3F4D+MD",R173&lt;&gt;"Both")),"",ROUND(SUMPRODUCT(T173:AE173,$T$5:$AE$5)*1000/MD_m2,2))</f>
        <v/>
      </c>
    </row>
    <row r="174">
      <c r="A174" s="37" t="n"/>
      <c r="B174" s="6">
        <f>IF(A174="","",IF(ISNUMBER(Schedule_Farmer!$D$5),A174-Schedule_Farmer!$D$5+1,""))</f>
        <v/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Q174" s="37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6">
        <f>IF(OR(Q174="",NOT(ISNUMBER(TransDate))),"",Q174-TransDate)</f>
        <v/>
      </c>
      <c r="AM174" s="6">
        <f>IF(OR(Q174="",NOT(ISNUMBER(FP_m2)),AND(R174&lt;&gt;"FP",R174&lt;&gt;"Both")),"",ROUND(SUMPRODUCT(T174:AE174,$T$4:$AE$4)*1000/FP_m2,2))</f>
        <v/>
      </c>
      <c r="AN174" s="6">
        <f>IF(OR(Q174="",NOT(ISNUMBER(FP_m2)),AND(R174&lt;&gt;"FP",R174&lt;&gt;"Both")),"",ROUND(SUMPRODUCT(T174:AE174,$T$5:$AE$5)*1000/FP_m2,2))</f>
        <v/>
      </c>
      <c r="AO174" s="6">
        <f>IF(OR(Q174="",NOT(ISNUMBER(MD_m2)),AND(R174&lt;&gt;"3F4D+MD",R174&lt;&gt;"Both")),"",ROUND(SUMPRODUCT(T174:AE174,$T$4:$AE$4)*1000/MD_m2,2))</f>
        <v/>
      </c>
      <c r="AP174" s="6">
        <f>IF(OR(Q174="",NOT(ISNUMBER(MD_m2)),AND(R174&lt;&gt;"3F4D+MD",R174&lt;&gt;"Both")),"",ROUND(SUMPRODUCT(T174:AE174,$T$5:$AE$5)*1000/MD_m2,2))</f>
        <v/>
      </c>
    </row>
    <row r="175">
      <c r="A175" s="37" t="n"/>
      <c r="B175" s="6">
        <f>IF(A175="","",IF(ISNUMBER(Schedule_Farmer!$D$5),A175-Schedule_Farmer!$D$5+1,""))</f>
        <v/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Q175" s="37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6">
        <f>IF(OR(Q175="",NOT(ISNUMBER(TransDate))),"",Q175-TransDate)</f>
        <v/>
      </c>
      <c r="AM175" s="6">
        <f>IF(OR(Q175="",NOT(ISNUMBER(FP_m2)),AND(R175&lt;&gt;"FP",R175&lt;&gt;"Both")),"",ROUND(SUMPRODUCT(T175:AE175,$T$4:$AE$4)*1000/FP_m2,2))</f>
        <v/>
      </c>
      <c r="AN175" s="6">
        <f>IF(OR(Q175="",NOT(ISNUMBER(FP_m2)),AND(R175&lt;&gt;"FP",R175&lt;&gt;"Both")),"",ROUND(SUMPRODUCT(T175:AE175,$T$5:$AE$5)*1000/FP_m2,2))</f>
        <v/>
      </c>
      <c r="AO175" s="6">
        <f>IF(OR(Q175="",NOT(ISNUMBER(MD_m2)),AND(R175&lt;&gt;"3F4D+MD",R175&lt;&gt;"Both")),"",ROUND(SUMPRODUCT(T175:AE175,$T$4:$AE$4)*1000/MD_m2,2))</f>
        <v/>
      </c>
      <c r="AP175" s="6">
        <f>IF(OR(Q175="",NOT(ISNUMBER(MD_m2)),AND(R175&lt;&gt;"3F4D+MD",R175&lt;&gt;"Both")),"",ROUND(SUMPRODUCT(T175:AE175,$T$5:$AE$5)*1000/MD_m2,2))</f>
        <v/>
      </c>
    </row>
    <row r="176">
      <c r="A176" s="37" t="n"/>
      <c r="B176" s="6">
        <f>IF(A176="","",IF(ISNUMBER(Schedule_Farmer!$D$5),A176-Schedule_Farmer!$D$5+1,""))</f>
        <v/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Q176" s="37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6">
        <f>IF(OR(Q176="",NOT(ISNUMBER(TransDate))),"",Q176-TransDate)</f>
        <v/>
      </c>
      <c r="AM176" s="6">
        <f>IF(OR(Q176="",NOT(ISNUMBER(FP_m2)),AND(R176&lt;&gt;"FP",R176&lt;&gt;"Both")),"",ROUND(SUMPRODUCT(T176:AE176,$T$4:$AE$4)*1000/FP_m2,2))</f>
        <v/>
      </c>
      <c r="AN176" s="6">
        <f>IF(OR(Q176="",NOT(ISNUMBER(FP_m2)),AND(R176&lt;&gt;"FP",R176&lt;&gt;"Both")),"",ROUND(SUMPRODUCT(T176:AE176,$T$5:$AE$5)*1000/FP_m2,2))</f>
        <v/>
      </c>
      <c r="AO176" s="6">
        <f>IF(OR(Q176="",NOT(ISNUMBER(MD_m2)),AND(R176&lt;&gt;"3F4D+MD",R176&lt;&gt;"Both")),"",ROUND(SUMPRODUCT(T176:AE176,$T$4:$AE$4)*1000/MD_m2,2))</f>
        <v/>
      </c>
      <c r="AP176" s="6">
        <f>IF(OR(Q176="",NOT(ISNUMBER(MD_m2)),AND(R176&lt;&gt;"3F4D+MD",R176&lt;&gt;"Both")),"",ROUND(SUMPRODUCT(T176:AE176,$T$5:$AE$5)*1000/MD_m2,2))</f>
        <v/>
      </c>
    </row>
    <row r="177">
      <c r="A177" s="37" t="n"/>
      <c r="B177" s="6">
        <f>IF(A177="","",IF(ISNUMBER(Schedule_Farmer!$D$5),A177-Schedule_Farmer!$D$5+1,""))</f>
        <v/>
      </c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Q177" s="37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6">
        <f>IF(OR(Q177="",NOT(ISNUMBER(TransDate))),"",Q177-TransDate)</f>
        <v/>
      </c>
      <c r="AM177" s="6">
        <f>IF(OR(Q177="",NOT(ISNUMBER(FP_m2)),AND(R177&lt;&gt;"FP",R177&lt;&gt;"Both")),"",ROUND(SUMPRODUCT(T177:AE177,$T$4:$AE$4)*1000/FP_m2,2))</f>
        <v/>
      </c>
      <c r="AN177" s="6">
        <f>IF(OR(Q177="",NOT(ISNUMBER(FP_m2)),AND(R177&lt;&gt;"FP",R177&lt;&gt;"Both")),"",ROUND(SUMPRODUCT(T177:AE177,$T$5:$AE$5)*1000/FP_m2,2))</f>
        <v/>
      </c>
      <c r="AO177" s="6">
        <f>IF(OR(Q177="",NOT(ISNUMBER(MD_m2)),AND(R177&lt;&gt;"3F4D+MD",R177&lt;&gt;"Both")),"",ROUND(SUMPRODUCT(T177:AE177,$T$4:$AE$4)*1000/MD_m2,2))</f>
        <v/>
      </c>
      <c r="AP177" s="6">
        <f>IF(OR(Q177="",NOT(ISNUMBER(MD_m2)),AND(R177&lt;&gt;"3F4D+MD",R177&lt;&gt;"Both")),"",ROUND(SUMPRODUCT(T177:AE177,$T$5:$AE$5)*1000/MD_m2,2))</f>
        <v/>
      </c>
    </row>
    <row r="178">
      <c r="A178" s="37" t="n"/>
      <c r="B178" s="6">
        <f>IF(A178="","",IF(ISNUMBER(Schedule_Farmer!$D$5),A178-Schedule_Farmer!$D$5+1,""))</f>
        <v/>
      </c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Q178" s="37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6">
        <f>IF(OR(Q178="",NOT(ISNUMBER(TransDate))),"",Q178-TransDate)</f>
        <v/>
      </c>
      <c r="AM178" s="6">
        <f>IF(OR(Q178="",NOT(ISNUMBER(FP_m2)),AND(R178&lt;&gt;"FP",R178&lt;&gt;"Both")),"",ROUND(SUMPRODUCT(T178:AE178,$T$4:$AE$4)*1000/FP_m2,2))</f>
        <v/>
      </c>
      <c r="AN178" s="6">
        <f>IF(OR(Q178="",NOT(ISNUMBER(FP_m2)),AND(R178&lt;&gt;"FP",R178&lt;&gt;"Both")),"",ROUND(SUMPRODUCT(T178:AE178,$T$5:$AE$5)*1000/FP_m2,2))</f>
        <v/>
      </c>
      <c r="AO178" s="6">
        <f>IF(OR(Q178="",NOT(ISNUMBER(MD_m2)),AND(R178&lt;&gt;"3F4D+MD",R178&lt;&gt;"Both")),"",ROUND(SUMPRODUCT(T178:AE178,$T$4:$AE$4)*1000/MD_m2,2))</f>
        <v/>
      </c>
      <c r="AP178" s="6">
        <f>IF(OR(Q178="",NOT(ISNUMBER(MD_m2)),AND(R178&lt;&gt;"3F4D+MD",R178&lt;&gt;"Both")),"",ROUND(SUMPRODUCT(T178:AE178,$T$5:$AE$5)*1000/MD_m2,2))</f>
        <v/>
      </c>
    </row>
    <row r="179">
      <c r="A179" s="37" t="n"/>
      <c r="B179" s="6">
        <f>IF(A179="","",IF(ISNUMBER(Schedule_Farmer!$D$5),A179-Schedule_Farmer!$D$5+1,""))</f>
        <v/>
      </c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Q179" s="37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6">
        <f>IF(OR(Q179="",NOT(ISNUMBER(TransDate))),"",Q179-TransDate)</f>
        <v/>
      </c>
      <c r="AM179" s="6">
        <f>IF(OR(Q179="",NOT(ISNUMBER(FP_m2)),AND(R179&lt;&gt;"FP",R179&lt;&gt;"Both")),"",ROUND(SUMPRODUCT(T179:AE179,$T$4:$AE$4)*1000/FP_m2,2))</f>
        <v/>
      </c>
      <c r="AN179" s="6">
        <f>IF(OR(Q179="",NOT(ISNUMBER(FP_m2)),AND(R179&lt;&gt;"FP",R179&lt;&gt;"Both")),"",ROUND(SUMPRODUCT(T179:AE179,$T$5:$AE$5)*1000/FP_m2,2))</f>
        <v/>
      </c>
      <c r="AO179" s="6">
        <f>IF(OR(Q179="",NOT(ISNUMBER(MD_m2)),AND(R179&lt;&gt;"3F4D+MD",R179&lt;&gt;"Both")),"",ROUND(SUMPRODUCT(T179:AE179,$T$4:$AE$4)*1000/MD_m2,2))</f>
        <v/>
      </c>
      <c r="AP179" s="6">
        <f>IF(OR(Q179="",NOT(ISNUMBER(MD_m2)),AND(R179&lt;&gt;"3F4D+MD",R179&lt;&gt;"Both")),"",ROUND(SUMPRODUCT(T179:AE179,$T$5:$AE$5)*1000/MD_m2,2))</f>
        <v/>
      </c>
    </row>
    <row r="180">
      <c r="A180" s="37" t="n"/>
      <c r="B180" s="6">
        <f>IF(A180="","",IF(ISNUMBER(Schedule_Farmer!$D$5),A180-Schedule_Farmer!$D$5+1,""))</f>
        <v/>
      </c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Q180" s="37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6">
        <f>IF(OR(Q180="",NOT(ISNUMBER(TransDate))),"",Q180-TransDate)</f>
        <v/>
      </c>
      <c r="AM180" s="6">
        <f>IF(OR(Q180="",NOT(ISNUMBER(FP_m2)),AND(R180&lt;&gt;"FP",R180&lt;&gt;"Both")),"",ROUND(SUMPRODUCT(T180:AE180,$T$4:$AE$4)*1000/FP_m2,2))</f>
        <v/>
      </c>
      <c r="AN180" s="6">
        <f>IF(OR(Q180="",NOT(ISNUMBER(FP_m2)),AND(R180&lt;&gt;"FP",R180&lt;&gt;"Both")),"",ROUND(SUMPRODUCT(T180:AE180,$T$5:$AE$5)*1000/FP_m2,2))</f>
        <v/>
      </c>
      <c r="AO180" s="6">
        <f>IF(OR(Q180="",NOT(ISNUMBER(MD_m2)),AND(R180&lt;&gt;"3F4D+MD",R180&lt;&gt;"Both")),"",ROUND(SUMPRODUCT(T180:AE180,$T$4:$AE$4)*1000/MD_m2,2))</f>
        <v/>
      </c>
      <c r="AP180" s="6">
        <f>IF(OR(Q180="",NOT(ISNUMBER(MD_m2)),AND(R180&lt;&gt;"3F4D+MD",R180&lt;&gt;"Both")),"",ROUND(SUMPRODUCT(T180:AE180,$T$5:$AE$5)*1000/MD_m2,2))</f>
        <v/>
      </c>
    </row>
    <row r="181">
      <c r="A181" s="37" t="n"/>
      <c r="B181" s="6">
        <f>IF(A181="","",IF(ISNUMBER(Schedule_Farmer!$D$5),A181-Schedule_Farmer!$D$5+1,""))</f>
        <v/>
      </c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Q181" s="37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6">
        <f>IF(OR(Q181="",NOT(ISNUMBER(TransDate))),"",Q181-TransDate)</f>
        <v/>
      </c>
      <c r="AM181" s="6">
        <f>IF(OR(Q181="",NOT(ISNUMBER(FP_m2)),AND(R181&lt;&gt;"FP",R181&lt;&gt;"Both")),"",ROUND(SUMPRODUCT(T181:AE181,$T$4:$AE$4)*1000/FP_m2,2))</f>
        <v/>
      </c>
      <c r="AN181" s="6">
        <f>IF(OR(Q181="",NOT(ISNUMBER(FP_m2)),AND(R181&lt;&gt;"FP",R181&lt;&gt;"Both")),"",ROUND(SUMPRODUCT(T181:AE181,$T$5:$AE$5)*1000/FP_m2,2))</f>
        <v/>
      </c>
      <c r="AO181" s="6">
        <f>IF(OR(Q181="",NOT(ISNUMBER(MD_m2)),AND(R181&lt;&gt;"3F4D+MD",R181&lt;&gt;"Both")),"",ROUND(SUMPRODUCT(T181:AE181,$T$4:$AE$4)*1000/MD_m2,2))</f>
        <v/>
      </c>
      <c r="AP181" s="6">
        <f>IF(OR(Q181="",NOT(ISNUMBER(MD_m2)),AND(R181&lt;&gt;"3F4D+MD",R181&lt;&gt;"Both")),"",ROUND(SUMPRODUCT(T181:AE181,$T$5:$AE$5)*1000/MD_m2,2))</f>
        <v/>
      </c>
    </row>
    <row r="182">
      <c r="A182" s="37" t="n"/>
      <c r="B182" s="6">
        <f>IF(A182="","",IF(ISNUMBER(Schedule_Farmer!$D$5),A182-Schedule_Farmer!$D$5+1,""))</f>
        <v/>
      </c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Q182" s="37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6">
        <f>IF(OR(Q182="",NOT(ISNUMBER(TransDate))),"",Q182-TransDate)</f>
        <v/>
      </c>
      <c r="AM182" s="6">
        <f>IF(OR(Q182="",NOT(ISNUMBER(FP_m2)),AND(R182&lt;&gt;"FP",R182&lt;&gt;"Both")),"",ROUND(SUMPRODUCT(T182:AE182,$T$4:$AE$4)*1000/FP_m2,2))</f>
        <v/>
      </c>
      <c r="AN182" s="6">
        <f>IF(OR(Q182="",NOT(ISNUMBER(FP_m2)),AND(R182&lt;&gt;"FP",R182&lt;&gt;"Both")),"",ROUND(SUMPRODUCT(T182:AE182,$T$5:$AE$5)*1000/FP_m2,2))</f>
        <v/>
      </c>
      <c r="AO182" s="6">
        <f>IF(OR(Q182="",NOT(ISNUMBER(MD_m2)),AND(R182&lt;&gt;"3F4D+MD",R182&lt;&gt;"Both")),"",ROUND(SUMPRODUCT(T182:AE182,$T$4:$AE$4)*1000/MD_m2,2))</f>
        <v/>
      </c>
      <c r="AP182" s="6">
        <f>IF(OR(Q182="",NOT(ISNUMBER(MD_m2)),AND(R182&lt;&gt;"3F4D+MD",R182&lt;&gt;"Both")),"",ROUND(SUMPRODUCT(T182:AE182,$T$5:$AE$5)*1000/MD_m2,2))</f>
        <v/>
      </c>
    </row>
    <row r="183">
      <c r="A183" s="37" t="n"/>
      <c r="B183" s="6">
        <f>IF(A183="","",IF(ISNUMBER(Schedule_Farmer!$D$5),A183-Schedule_Farmer!$D$5+1,""))</f>
        <v/>
      </c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Q183" s="37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6">
        <f>IF(OR(Q183="",NOT(ISNUMBER(TransDate))),"",Q183-TransDate)</f>
        <v/>
      </c>
      <c r="AM183" s="6">
        <f>IF(OR(Q183="",NOT(ISNUMBER(FP_m2)),AND(R183&lt;&gt;"FP",R183&lt;&gt;"Both")),"",ROUND(SUMPRODUCT(T183:AE183,$T$4:$AE$4)*1000/FP_m2,2))</f>
        <v/>
      </c>
      <c r="AN183" s="6">
        <f>IF(OR(Q183="",NOT(ISNUMBER(FP_m2)),AND(R183&lt;&gt;"FP",R183&lt;&gt;"Both")),"",ROUND(SUMPRODUCT(T183:AE183,$T$5:$AE$5)*1000/FP_m2,2))</f>
        <v/>
      </c>
      <c r="AO183" s="6">
        <f>IF(OR(Q183="",NOT(ISNUMBER(MD_m2)),AND(R183&lt;&gt;"3F4D+MD",R183&lt;&gt;"Both")),"",ROUND(SUMPRODUCT(T183:AE183,$T$4:$AE$4)*1000/MD_m2,2))</f>
        <v/>
      </c>
      <c r="AP183" s="6">
        <f>IF(OR(Q183="",NOT(ISNUMBER(MD_m2)),AND(R183&lt;&gt;"3F4D+MD",R183&lt;&gt;"Both")),"",ROUND(SUMPRODUCT(T183:AE183,$T$5:$AE$5)*1000/MD_m2,2))</f>
        <v/>
      </c>
    </row>
    <row r="184">
      <c r="A184" s="37" t="n"/>
      <c r="B184" s="6">
        <f>IF(A184="","",IF(ISNUMBER(Schedule_Farmer!$D$5),A184-Schedule_Farmer!$D$5+1,""))</f>
        <v/>
      </c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Q184" s="37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6">
        <f>IF(OR(Q184="",NOT(ISNUMBER(TransDate))),"",Q184-TransDate)</f>
        <v/>
      </c>
      <c r="AM184" s="6">
        <f>IF(OR(Q184="",NOT(ISNUMBER(FP_m2)),AND(R184&lt;&gt;"FP",R184&lt;&gt;"Both")),"",ROUND(SUMPRODUCT(T184:AE184,$T$4:$AE$4)*1000/FP_m2,2))</f>
        <v/>
      </c>
      <c r="AN184" s="6">
        <f>IF(OR(Q184="",NOT(ISNUMBER(FP_m2)),AND(R184&lt;&gt;"FP",R184&lt;&gt;"Both")),"",ROUND(SUMPRODUCT(T184:AE184,$T$5:$AE$5)*1000/FP_m2,2))</f>
        <v/>
      </c>
      <c r="AO184" s="6">
        <f>IF(OR(Q184="",NOT(ISNUMBER(MD_m2)),AND(R184&lt;&gt;"3F4D+MD",R184&lt;&gt;"Both")),"",ROUND(SUMPRODUCT(T184:AE184,$T$4:$AE$4)*1000/MD_m2,2))</f>
        <v/>
      </c>
      <c r="AP184" s="6">
        <f>IF(OR(Q184="",NOT(ISNUMBER(MD_m2)),AND(R184&lt;&gt;"3F4D+MD",R184&lt;&gt;"Both")),"",ROUND(SUMPRODUCT(T184:AE184,$T$5:$AE$5)*1000/MD_m2,2))</f>
        <v/>
      </c>
    </row>
    <row r="185">
      <c r="A185" s="37" t="n"/>
      <c r="B185" s="6">
        <f>IF(A185="","",IF(ISNUMBER(Schedule_Farmer!$D$5),A185-Schedule_Farmer!$D$5+1,""))</f>
        <v/>
      </c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Q185" s="37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6">
        <f>IF(OR(Q185="",NOT(ISNUMBER(TransDate))),"",Q185-TransDate)</f>
        <v/>
      </c>
      <c r="AM185" s="6">
        <f>IF(OR(Q185="",NOT(ISNUMBER(FP_m2)),AND(R185&lt;&gt;"FP",R185&lt;&gt;"Both")),"",ROUND(SUMPRODUCT(T185:AE185,$T$4:$AE$4)*1000/FP_m2,2))</f>
        <v/>
      </c>
      <c r="AN185" s="6">
        <f>IF(OR(Q185="",NOT(ISNUMBER(FP_m2)),AND(R185&lt;&gt;"FP",R185&lt;&gt;"Both")),"",ROUND(SUMPRODUCT(T185:AE185,$T$5:$AE$5)*1000/FP_m2,2))</f>
        <v/>
      </c>
      <c r="AO185" s="6">
        <f>IF(OR(Q185="",NOT(ISNUMBER(MD_m2)),AND(R185&lt;&gt;"3F4D+MD",R185&lt;&gt;"Both")),"",ROUND(SUMPRODUCT(T185:AE185,$T$4:$AE$4)*1000/MD_m2,2))</f>
        <v/>
      </c>
      <c r="AP185" s="6">
        <f>IF(OR(Q185="",NOT(ISNUMBER(MD_m2)),AND(R185&lt;&gt;"3F4D+MD",R185&lt;&gt;"Both")),"",ROUND(SUMPRODUCT(T185:AE185,$T$5:$AE$5)*1000/MD_m2,2))</f>
        <v/>
      </c>
    </row>
    <row r="186">
      <c r="A186" s="37" t="n"/>
      <c r="B186" s="6">
        <f>IF(A186="","",IF(ISNUMBER(Schedule_Farmer!$D$5),A186-Schedule_Farmer!$D$5+1,""))</f>
        <v/>
      </c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Q186" s="37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6">
        <f>IF(OR(Q186="",NOT(ISNUMBER(TransDate))),"",Q186-TransDate)</f>
        <v/>
      </c>
      <c r="AM186" s="6">
        <f>IF(OR(Q186="",NOT(ISNUMBER(FP_m2)),AND(R186&lt;&gt;"FP",R186&lt;&gt;"Both")),"",ROUND(SUMPRODUCT(T186:AE186,$T$4:$AE$4)*1000/FP_m2,2))</f>
        <v/>
      </c>
      <c r="AN186" s="6">
        <f>IF(OR(Q186="",NOT(ISNUMBER(FP_m2)),AND(R186&lt;&gt;"FP",R186&lt;&gt;"Both")),"",ROUND(SUMPRODUCT(T186:AE186,$T$5:$AE$5)*1000/FP_m2,2))</f>
        <v/>
      </c>
      <c r="AO186" s="6">
        <f>IF(OR(Q186="",NOT(ISNUMBER(MD_m2)),AND(R186&lt;&gt;"3F4D+MD",R186&lt;&gt;"Both")),"",ROUND(SUMPRODUCT(T186:AE186,$T$4:$AE$4)*1000/MD_m2,2))</f>
        <v/>
      </c>
      <c r="AP186" s="6">
        <f>IF(OR(Q186="",NOT(ISNUMBER(MD_m2)),AND(R186&lt;&gt;"3F4D+MD",R186&lt;&gt;"Both")),"",ROUND(SUMPRODUCT(T186:AE186,$T$5:$AE$5)*1000/MD_m2,2))</f>
        <v/>
      </c>
    </row>
    <row r="187">
      <c r="A187" s="37" t="n"/>
      <c r="B187" s="6">
        <f>IF(A187="","",IF(ISNUMBER(Schedule_Farmer!$D$5),A187-Schedule_Farmer!$D$5+1,""))</f>
        <v/>
      </c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Q187" s="37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6">
        <f>IF(OR(Q187="",NOT(ISNUMBER(TransDate))),"",Q187-TransDate)</f>
        <v/>
      </c>
      <c r="AM187" s="6">
        <f>IF(OR(Q187="",NOT(ISNUMBER(FP_m2)),AND(R187&lt;&gt;"FP",R187&lt;&gt;"Both")),"",ROUND(SUMPRODUCT(T187:AE187,$T$4:$AE$4)*1000/FP_m2,2))</f>
        <v/>
      </c>
      <c r="AN187" s="6">
        <f>IF(OR(Q187="",NOT(ISNUMBER(FP_m2)),AND(R187&lt;&gt;"FP",R187&lt;&gt;"Both")),"",ROUND(SUMPRODUCT(T187:AE187,$T$5:$AE$5)*1000/FP_m2,2))</f>
        <v/>
      </c>
      <c r="AO187" s="6">
        <f>IF(OR(Q187="",NOT(ISNUMBER(MD_m2)),AND(R187&lt;&gt;"3F4D+MD",R187&lt;&gt;"Both")),"",ROUND(SUMPRODUCT(T187:AE187,$T$4:$AE$4)*1000/MD_m2,2))</f>
        <v/>
      </c>
      <c r="AP187" s="6">
        <f>IF(OR(Q187="",NOT(ISNUMBER(MD_m2)),AND(R187&lt;&gt;"3F4D+MD",R187&lt;&gt;"Both")),"",ROUND(SUMPRODUCT(T187:AE187,$T$5:$AE$5)*1000/MD_m2,2))</f>
        <v/>
      </c>
    </row>
    <row r="188">
      <c r="A188" s="37" t="n"/>
      <c r="B188" s="6">
        <f>IF(A188="","",IF(ISNUMBER(Schedule_Farmer!$D$5),A188-Schedule_Farmer!$D$5+1,""))</f>
        <v/>
      </c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Q188" s="37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6">
        <f>IF(OR(Q188="",NOT(ISNUMBER(TransDate))),"",Q188-TransDate)</f>
        <v/>
      </c>
      <c r="AM188" s="6">
        <f>IF(OR(Q188="",NOT(ISNUMBER(FP_m2)),AND(R188&lt;&gt;"FP",R188&lt;&gt;"Both")),"",ROUND(SUMPRODUCT(T188:AE188,$T$4:$AE$4)*1000/FP_m2,2))</f>
        <v/>
      </c>
      <c r="AN188" s="6">
        <f>IF(OR(Q188="",NOT(ISNUMBER(FP_m2)),AND(R188&lt;&gt;"FP",R188&lt;&gt;"Both")),"",ROUND(SUMPRODUCT(T188:AE188,$T$5:$AE$5)*1000/FP_m2,2))</f>
        <v/>
      </c>
      <c r="AO188" s="6">
        <f>IF(OR(Q188="",NOT(ISNUMBER(MD_m2)),AND(R188&lt;&gt;"3F4D+MD",R188&lt;&gt;"Both")),"",ROUND(SUMPRODUCT(T188:AE188,$T$4:$AE$4)*1000/MD_m2,2))</f>
        <v/>
      </c>
      <c r="AP188" s="6">
        <f>IF(OR(Q188="",NOT(ISNUMBER(MD_m2)),AND(R188&lt;&gt;"3F4D+MD",R188&lt;&gt;"Both")),"",ROUND(SUMPRODUCT(T188:AE188,$T$5:$AE$5)*1000/MD_m2,2))</f>
        <v/>
      </c>
    </row>
    <row r="189">
      <c r="A189" s="37" t="n"/>
      <c r="B189" s="6">
        <f>IF(A189="","",IF(ISNUMBER(Schedule_Farmer!$D$5),A189-Schedule_Farmer!$D$5+1,""))</f>
        <v/>
      </c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Q189" s="37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6">
        <f>IF(OR(Q189="",NOT(ISNUMBER(TransDate))),"",Q189-TransDate)</f>
        <v/>
      </c>
      <c r="AM189" s="6">
        <f>IF(OR(Q189="",NOT(ISNUMBER(FP_m2)),AND(R189&lt;&gt;"FP",R189&lt;&gt;"Both")),"",ROUND(SUMPRODUCT(T189:AE189,$T$4:$AE$4)*1000/FP_m2,2))</f>
        <v/>
      </c>
      <c r="AN189" s="6">
        <f>IF(OR(Q189="",NOT(ISNUMBER(FP_m2)),AND(R189&lt;&gt;"FP",R189&lt;&gt;"Both")),"",ROUND(SUMPRODUCT(T189:AE189,$T$5:$AE$5)*1000/FP_m2,2))</f>
        <v/>
      </c>
      <c r="AO189" s="6">
        <f>IF(OR(Q189="",NOT(ISNUMBER(MD_m2)),AND(R189&lt;&gt;"3F4D+MD",R189&lt;&gt;"Both")),"",ROUND(SUMPRODUCT(T189:AE189,$T$4:$AE$4)*1000/MD_m2,2))</f>
        <v/>
      </c>
      <c r="AP189" s="6">
        <f>IF(OR(Q189="",NOT(ISNUMBER(MD_m2)),AND(R189&lt;&gt;"3F4D+MD",R189&lt;&gt;"Both")),"",ROUND(SUMPRODUCT(T189:AE189,$T$5:$AE$5)*1000/MD_m2,2))</f>
        <v/>
      </c>
    </row>
    <row r="190">
      <c r="A190" s="37" t="n"/>
      <c r="B190" s="6">
        <f>IF(A190="","",IF(ISNUMBER(Schedule_Farmer!$D$5),A190-Schedule_Farmer!$D$5+1,""))</f>
        <v/>
      </c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Q190" s="37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6">
        <f>IF(OR(Q190="",NOT(ISNUMBER(TransDate))),"",Q190-TransDate)</f>
        <v/>
      </c>
      <c r="AM190" s="6">
        <f>IF(OR(Q190="",NOT(ISNUMBER(FP_m2)),AND(R190&lt;&gt;"FP",R190&lt;&gt;"Both")),"",ROUND(SUMPRODUCT(T190:AE190,$T$4:$AE$4)*1000/FP_m2,2))</f>
        <v/>
      </c>
      <c r="AN190" s="6">
        <f>IF(OR(Q190="",NOT(ISNUMBER(FP_m2)),AND(R190&lt;&gt;"FP",R190&lt;&gt;"Both")),"",ROUND(SUMPRODUCT(T190:AE190,$T$5:$AE$5)*1000/FP_m2,2))</f>
        <v/>
      </c>
      <c r="AO190" s="6">
        <f>IF(OR(Q190="",NOT(ISNUMBER(MD_m2)),AND(R190&lt;&gt;"3F4D+MD",R190&lt;&gt;"Both")),"",ROUND(SUMPRODUCT(T190:AE190,$T$4:$AE$4)*1000/MD_m2,2))</f>
        <v/>
      </c>
      <c r="AP190" s="6">
        <f>IF(OR(Q190="",NOT(ISNUMBER(MD_m2)),AND(R190&lt;&gt;"3F4D+MD",R190&lt;&gt;"Both")),"",ROUND(SUMPRODUCT(T190:AE190,$T$5:$AE$5)*1000/MD_m2,2))</f>
        <v/>
      </c>
    </row>
    <row r="191">
      <c r="A191" s="37" t="n"/>
      <c r="B191" s="6">
        <f>IF(A191="","",IF(ISNUMBER(Schedule_Farmer!$D$5),A191-Schedule_Farmer!$D$5+1,""))</f>
        <v/>
      </c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Q191" s="37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6">
        <f>IF(OR(Q191="",NOT(ISNUMBER(TransDate))),"",Q191-TransDate)</f>
        <v/>
      </c>
      <c r="AM191" s="6">
        <f>IF(OR(Q191="",NOT(ISNUMBER(FP_m2)),AND(R191&lt;&gt;"FP",R191&lt;&gt;"Both")),"",ROUND(SUMPRODUCT(T191:AE191,$T$4:$AE$4)*1000/FP_m2,2))</f>
        <v/>
      </c>
      <c r="AN191" s="6">
        <f>IF(OR(Q191="",NOT(ISNUMBER(FP_m2)),AND(R191&lt;&gt;"FP",R191&lt;&gt;"Both")),"",ROUND(SUMPRODUCT(T191:AE191,$T$5:$AE$5)*1000/FP_m2,2))</f>
        <v/>
      </c>
      <c r="AO191" s="6">
        <f>IF(OR(Q191="",NOT(ISNUMBER(MD_m2)),AND(R191&lt;&gt;"3F4D+MD",R191&lt;&gt;"Both")),"",ROUND(SUMPRODUCT(T191:AE191,$T$4:$AE$4)*1000/MD_m2,2))</f>
        <v/>
      </c>
      <c r="AP191" s="6">
        <f>IF(OR(Q191="",NOT(ISNUMBER(MD_m2)),AND(R191&lt;&gt;"3F4D+MD",R191&lt;&gt;"Both")),"",ROUND(SUMPRODUCT(T191:AE191,$T$5:$AE$5)*1000/MD_m2,2))</f>
        <v/>
      </c>
    </row>
    <row r="192">
      <c r="A192" s="37" t="n"/>
      <c r="B192" s="6">
        <f>IF(A192="","",IF(ISNUMBER(Schedule_Farmer!$D$5),A192-Schedule_Farmer!$D$5+1,""))</f>
        <v/>
      </c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Q192" s="37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6">
        <f>IF(OR(Q192="",NOT(ISNUMBER(TransDate))),"",Q192-TransDate)</f>
        <v/>
      </c>
      <c r="AM192" s="6">
        <f>IF(OR(Q192="",NOT(ISNUMBER(FP_m2)),AND(R192&lt;&gt;"FP",R192&lt;&gt;"Both")),"",ROUND(SUMPRODUCT(T192:AE192,$T$4:$AE$4)*1000/FP_m2,2))</f>
        <v/>
      </c>
      <c r="AN192" s="6">
        <f>IF(OR(Q192="",NOT(ISNUMBER(FP_m2)),AND(R192&lt;&gt;"FP",R192&lt;&gt;"Both")),"",ROUND(SUMPRODUCT(T192:AE192,$T$5:$AE$5)*1000/FP_m2,2))</f>
        <v/>
      </c>
      <c r="AO192" s="6">
        <f>IF(OR(Q192="",NOT(ISNUMBER(MD_m2)),AND(R192&lt;&gt;"3F4D+MD",R192&lt;&gt;"Both")),"",ROUND(SUMPRODUCT(T192:AE192,$T$4:$AE$4)*1000/MD_m2,2))</f>
        <v/>
      </c>
      <c r="AP192" s="6">
        <f>IF(OR(Q192="",NOT(ISNUMBER(MD_m2)),AND(R192&lt;&gt;"3F4D+MD",R192&lt;&gt;"Both")),"",ROUND(SUMPRODUCT(T192:AE192,$T$5:$AE$5)*1000/MD_m2,2))</f>
        <v/>
      </c>
    </row>
    <row r="193">
      <c r="A193" s="37" t="n"/>
      <c r="B193" s="6">
        <f>IF(A193="","",IF(ISNUMBER(Schedule_Farmer!$D$5),A193-Schedule_Farmer!$D$5+1,""))</f>
        <v/>
      </c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Q193" s="37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6">
        <f>IF(OR(Q193="",NOT(ISNUMBER(TransDate))),"",Q193-TransDate)</f>
        <v/>
      </c>
      <c r="AM193" s="6">
        <f>IF(OR(Q193="",NOT(ISNUMBER(FP_m2)),AND(R193&lt;&gt;"FP",R193&lt;&gt;"Both")),"",ROUND(SUMPRODUCT(T193:AE193,$T$4:$AE$4)*1000/FP_m2,2))</f>
        <v/>
      </c>
      <c r="AN193" s="6">
        <f>IF(OR(Q193="",NOT(ISNUMBER(FP_m2)),AND(R193&lt;&gt;"FP",R193&lt;&gt;"Both")),"",ROUND(SUMPRODUCT(T193:AE193,$T$5:$AE$5)*1000/FP_m2,2))</f>
        <v/>
      </c>
      <c r="AO193" s="6">
        <f>IF(OR(Q193="",NOT(ISNUMBER(MD_m2)),AND(R193&lt;&gt;"3F4D+MD",R193&lt;&gt;"Both")),"",ROUND(SUMPRODUCT(T193:AE193,$T$4:$AE$4)*1000/MD_m2,2))</f>
        <v/>
      </c>
      <c r="AP193" s="6">
        <f>IF(OR(Q193="",NOT(ISNUMBER(MD_m2)),AND(R193&lt;&gt;"3F4D+MD",R193&lt;&gt;"Both")),"",ROUND(SUMPRODUCT(T193:AE193,$T$5:$AE$5)*1000/MD_m2,2))</f>
        <v/>
      </c>
    </row>
    <row r="194">
      <c r="A194" s="37" t="n"/>
      <c r="B194" s="6">
        <f>IF(A194="","",IF(ISNUMBER(Schedule_Farmer!$D$5),A194-Schedule_Farmer!$D$5+1,""))</f>
        <v/>
      </c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Q194" s="37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6">
        <f>IF(OR(Q194="",NOT(ISNUMBER(TransDate))),"",Q194-TransDate)</f>
        <v/>
      </c>
      <c r="AM194" s="6">
        <f>IF(OR(Q194="",NOT(ISNUMBER(FP_m2)),AND(R194&lt;&gt;"FP",R194&lt;&gt;"Both")),"",ROUND(SUMPRODUCT(T194:AE194,$T$4:$AE$4)*1000/FP_m2,2))</f>
        <v/>
      </c>
      <c r="AN194" s="6">
        <f>IF(OR(Q194="",NOT(ISNUMBER(FP_m2)),AND(R194&lt;&gt;"FP",R194&lt;&gt;"Both")),"",ROUND(SUMPRODUCT(T194:AE194,$T$5:$AE$5)*1000/FP_m2,2))</f>
        <v/>
      </c>
      <c r="AO194" s="6">
        <f>IF(OR(Q194="",NOT(ISNUMBER(MD_m2)),AND(R194&lt;&gt;"3F4D+MD",R194&lt;&gt;"Both")),"",ROUND(SUMPRODUCT(T194:AE194,$T$4:$AE$4)*1000/MD_m2,2))</f>
        <v/>
      </c>
      <c r="AP194" s="6">
        <f>IF(OR(Q194="",NOT(ISNUMBER(MD_m2)),AND(R194&lt;&gt;"3F4D+MD",R194&lt;&gt;"Both")),"",ROUND(SUMPRODUCT(T194:AE194,$T$5:$AE$5)*1000/MD_m2,2))</f>
        <v/>
      </c>
    </row>
    <row r="195">
      <c r="A195" s="37" t="n"/>
      <c r="B195" s="6">
        <f>IF(A195="","",IF(ISNUMBER(Schedule_Farmer!$D$5),A195-Schedule_Farmer!$D$5+1,""))</f>
        <v/>
      </c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Q195" s="37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6">
        <f>IF(OR(Q195="",NOT(ISNUMBER(TransDate))),"",Q195-TransDate)</f>
        <v/>
      </c>
      <c r="AM195" s="6">
        <f>IF(OR(Q195="",NOT(ISNUMBER(FP_m2)),AND(R195&lt;&gt;"FP",R195&lt;&gt;"Both")),"",ROUND(SUMPRODUCT(T195:AE195,$T$4:$AE$4)*1000/FP_m2,2))</f>
        <v/>
      </c>
      <c r="AN195" s="6">
        <f>IF(OR(Q195="",NOT(ISNUMBER(FP_m2)),AND(R195&lt;&gt;"FP",R195&lt;&gt;"Both")),"",ROUND(SUMPRODUCT(T195:AE195,$T$5:$AE$5)*1000/FP_m2,2))</f>
        <v/>
      </c>
      <c r="AO195" s="6">
        <f>IF(OR(Q195="",NOT(ISNUMBER(MD_m2)),AND(R195&lt;&gt;"3F4D+MD",R195&lt;&gt;"Both")),"",ROUND(SUMPRODUCT(T195:AE195,$T$4:$AE$4)*1000/MD_m2,2))</f>
        <v/>
      </c>
      <c r="AP195" s="6">
        <f>IF(OR(Q195="",NOT(ISNUMBER(MD_m2)),AND(R195&lt;&gt;"3F4D+MD",R195&lt;&gt;"Both")),"",ROUND(SUMPRODUCT(T195:AE195,$T$5:$AE$5)*1000/MD_m2,2))</f>
        <v/>
      </c>
    </row>
    <row r="196">
      <c r="A196" s="37" t="n"/>
      <c r="B196" s="6">
        <f>IF(A196="","",IF(ISNUMBER(Schedule_Farmer!$D$5),A196-Schedule_Farmer!$D$5+1,""))</f>
        <v/>
      </c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Q196" s="37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6">
        <f>IF(OR(Q196="",NOT(ISNUMBER(TransDate))),"",Q196-TransDate)</f>
        <v/>
      </c>
      <c r="AM196" s="6">
        <f>IF(OR(Q196="",NOT(ISNUMBER(FP_m2)),AND(R196&lt;&gt;"FP",R196&lt;&gt;"Both")),"",ROUND(SUMPRODUCT(T196:AE196,$T$4:$AE$4)*1000/FP_m2,2))</f>
        <v/>
      </c>
      <c r="AN196" s="6">
        <f>IF(OR(Q196="",NOT(ISNUMBER(FP_m2)),AND(R196&lt;&gt;"FP",R196&lt;&gt;"Both")),"",ROUND(SUMPRODUCT(T196:AE196,$T$5:$AE$5)*1000/FP_m2,2))</f>
        <v/>
      </c>
      <c r="AO196" s="6">
        <f>IF(OR(Q196="",NOT(ISNUMBER(MD_m2)),AND(R196&lt;&gt;"3F4D+MD",R196&lt;&gt;"Both")),"",ROUND(SUMPRODUCT(T196:AE196,$T$4:$AE$4)*1000/MD_m2,2))</f>
        <v/>
      </c>
      <c r="AP196" s="6">
        <f>IF(OR(Q196="",NOT(ISNUMBER(MD_m2)),AND(R196&lt;&gt;"3F4D+MD",R196&lt;&gt;"Both")),"",ROUND(SUMPRODUCT(T196:AE196,$T$5:$AE$5)*1000/MD_m2,2))</f>
        <v/>
      </c>
    </row>
    <row r="197">
      <c r="A197" s="37" t="n"/>
      <c r="B197" s="6">
        <f>IF(A197="","",IF(ISNUMBER(Schedule_Farmer!$D$5),A197-Schedule_Farmer!$D$5+1,""))</f>
        <v/>
      </c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Q197" s="37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6">
        <f>IF(OR(Q197="",NOT(ISNUMBER(TransDate))),"",Q197-TransDate)</f>
        <v/>
      </c>
      <c r="AM197" s="6">
        <f>IF(OR(Q197="",NOT(ISNUMBER(FP_m2)),AND(R197&lt;&gt;"FP",R197&lt;&gt;"Both")),"",ROUND(SUMPRODUCT(T197:AE197,$T$4:$AE$4)*1000/FP_m2,2))</f>
        <v/>
      </c>
      <c r="AN197" s="6">
        <f>IF(OR(Q197="",NOT(ISNUMBER(FP_m2)),AND(R197&lt;&gt;"FP",R197&lt;&gt;"Both")),"",ROUND(SUMPRODUCT(T197:AE197,$T$5:$AE$5)*1000/FP_m2,2))</f>
        <v/>
      </c>
      <c r="AO197" s="6">
        <f>IF(OR(Q197="",NOT(ISNUMBER(MD_m2)),AND(R197&lt;&gt;"3F4D+MD",R197&lt;&gt;"Both")),"",ROUND(SUMPRODUCT(T197:AE197,$T$4:$AE$4)*1000/MD_m2,2))</f>
        <v/>
      </c>
      <c r="AP197" s="6">
        <f>IF(OR(Q197="",NOT(ISNUMBER(MD_m2)),AND(R197&lt;&gt;"3F4D+MD",R197&lt;&gt;"Both")),"",ROUND(SUMPRODUCT(T197:AE197,$T$5:$AE$5)*1000/MD_m2,2))</f>
        <v/>
      </c>
    </row>
    <row r="198">
      <c r="A198" s="37" t="n"/>
      <c r="B198" s="6">
        <f>IF(A198="","",IF(ISNUMBER(Schedule_Farmer!$D$5),A198-Schedule_Farmer!$D$5+1,""))</f>
        <v/>
      </c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Q198" s="37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6">
        <f>IF(OR(Q198="",NOT(ISNUMBER(TransDate))),"",Q198-TransDate)</f>
        <v/>
      </c>
      <c r="AM198" s="6">
        <f>IF(OR(Q198="",NOT(ISNUMBER(FP_m2)),AND(R198&lt;&gt;"FP",R198&lt;&gt;"Both")),"",ROUND(SUMPRODUCT(T198:AE198,$T$4:$AE$4)*1000/FP_m2,2))</f>
        <v/>
      </c>
      <c r="AN198" s="6">
        <f>IF(OR(Q198="",NOT(ISNUMBER(FP_m2)),AND(R198&lt;&gt;"FP",R198&lt;&gt;"Both")),"",ROUND(SUMPRODUCT(T198:AE198,$T$5:$AE$5)*1000/FP_m2,2))</f>
        <v/>
      </c>
      <c r="AO198" s="6">
        <f>IF(OR(Q198="",NOT(ISNUMBER(MD_m2)),AND(R198&lt;&gt;"3F4D+MD",R198&lt;&gt;"Both")),"",ROUND(SUMPRODUCT(T198:AE198,$T$4:$AE$4)*1000/MD_m2,2))</f>
        <v/>
      </c>
      <c r="AP198" s="6">
        <f>IF(OR(Q198="",NOT(ISNUMBER(MD_m2)),AND(R198&lt;&gt;"3F4D+MD",R198&lt;&gt;"Both")),"",ROUND(SUMPRODUCT(T198:AE198,$T$5:$AE$5)*1000/MD_m2,2))</f>
        <v/>
      </c>
    </row>
    <row r="199">
      <c r="A199" s="37" t="n"/>
      <c r="B199" s="6">
        <f>IF(A199="","",IF(ISNUMBER(Schedule_Farmer!$D$5),A199-Schedule_Farmer!$D$5+1,""))</f>
        <v/>
      </c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Q199" s="37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6">
        <f>IF(OR(Q199="",NOT(ISNUMBER(TransDate))),"",Q199-TransDate)</f>
        <v/>
      </c>
      <c r="AM199" s="6">
        <f>IF(OR(Q199="",NOT(ISNUMBER(FP_m2)),AND(R199&lt;&gt;"FP",R199&lt;&gt;"Both")),"",ROUND(SUMPRODUCT(T199:AE199,$T$4:$AE$4)*1000/FP_m2,2))</f>
        <v/>
      </c>
      <c r="AN199" s="6">
        <f>IF(OR(Q199="",NOT(ISNUMBER(FP_m2)),AND(R199&lt;&gt;"FP",R199&lt;&gt;"Both")),"",ROUND(SUMPRODUCT(T199:AE199,$T$5:$AE$5)*1000/FP_m2,2))</f>
        <v/>
      </c>
      <c r="AO199" s="6">
        <f>IF(OR(Q199="",NOT(ISNUMBER(MD_m2)),AND(R199&lt;&gt;"3F4D+MD",R199&lt;&gt;"Both")),"",ROUND(SUMPRODUCT(T199:AE199,$T$4:$AE$4)*1000/MD_m2,2))</f>
        <v/>
      </c>
      <c r="AP199" s="6">
        <f>IF(OR(Q199="",NOT(ISNUMBER(MD_m2)),AND(R199&lt;&gt;"3F4D+MD",R199&lt;&gt;"Both")),"",ROUND(SUMPRODUCT(T199:AE199,$T$5:$AE$5)*1000/MD_m2,2))</f>
        <v/>
      </c>
    </row>
    <row r="200">
      <c r="A200" s="37" t="n"/>
      <c r="B200" s="6">
        <f>IF(A200="","",IF(ISNUMBER(Schedule_Farmer!$D$5),A200-Schedule_Farmer!$D$5+1,""))</f>
        <v/>
      </c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Q200" s="37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6">
        <f>IF(OR(Q200="",NOT(ISNUMBER(TransDate))),"",Q200-TransDate)</f>
        <v/>
      </c>
      <c r="AM200" s="6">
        <f>IF(OR(Q200="",NOT(ISNUMBER(FP_m2)),AND(R200&lt;&gt;"FP",R200&lt;&gt;"Both")),"",ROUND(SUMPRODUCT(T200:AE200,$T$4:$AE$4)*1000/FP_m2,2))</f>
        <v/>
      </c>
      <c r="AN200" s="6">
        <f>IF(OR(Q200="",NOT(ISNUMBER(FP_m2)),AND(R200&lt;&gt;"FP",R200&lt;&gt;"Both")),"",ROUND(SUMPRODUCT(T200:AE200,$T$5:$AE$5)*1000/FP_m2,2))</f>
        <v/>
      </c>
      <c r="AO200" s="6">
        <f>IF(OR(Q200="",NOT(ISNUMBER(MD_m2)),AND(R200&lt;&gt;"3F4D+MD",R200&lt;&gt;"Both")),"",ROUND(SUMPRODUCT(T200:AE200,$T$4:$AE$4)*1000/MD_m2,2))</f>
        <v/>
      </c>
      <c r="AP200" s="6">
        <f>IF(OR(Q200="",NOT(ISNUMBER(MD_m2)),AND(R200&lt;&gt;"3F4D+MD",R200&lt;&gt;"Both")),"",ROUND(SUMPRODUCT(T200:AE200,$T$5:$AE$5)*1000/MD_m2,2))</f>
        <v/>
      </c>
    </row>
    <row r="201">
      <c r="A201" s="37" t="n"/>
      <c r="B201" s="6">
        <f>IF(A201="","",IF(ISNUMBER(Schedule_Farmer!$D$5),A201-Schedule_Farmer!$D$5+1,""))</f>
        <v/>
      </c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Q201" s="37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6">
        <f>IF(OR(Q201="",NOT(ISNUMBER(TransDate))),"",Q201-TransDate)</f>
        <v/>
      </c>
      <c r="AM201" s="6">
        <f>IF(OR(Q201="",NOT(ISNUMBER(FP_m2)),AND(R201&lt;&gt;"FP",R201&lt;&gt;"Both")),"",ROUND(SUMPRODUCT(T201:AE201,$T$4:$AE$4)*1000/FP_m2,2))</f>
        <v/>
      </c>
      <c r="AN201" s="6">
        <f>IF(OR(Q201="",NOT(ISNUMBER(FP_m2)),AND(R201&lt;&gt;"FP",R201&lt;&gt;"Both")),"",ROUND(SUMPRODUCT(T201:AE201,$T$5:$AE$5)*1000/FP_m2,2))</f>
        <v/>
      </c>
      <c r="AO201" s="6">
        <f>IF(OR(Q201="",NOT(ISNUMBER(MD_m2)),AND(R201&lt;&gt;"3F4D+MD",R201&lt;&gt;"Both")),"",ROUND(SUMPRODUCT(T201:AE201,$T$4:$AE$4)*1000/MD_m2,2))</f>
        <v/>
      </c>
      <c r="AP201" s="6">
        <f>IF(OR(Q201="",NOT(ISNUMBER(MD_m2)),AND(R201&lt;&gt;"3F4D+MD",R201&lt;&gt;"Both")),"",ROUND(SUMPRODUCT(T201:AE201,$T$5:$AE$5)*1000/MD_m2,2))</f>
        <v/>
      </c>
    </row>
    <row r="202">
      <c r="A202" s="37" t="n"/>
      <c r="B202" s="6">
        <f>IF(A202="","",IF(ISNUMBER(Schedule_Farmer!$D$5),A202-Schedule_Farmer!$D$5+1,""))</f>
        <v/>
      </c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Q202" s="37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6">
        <f>IF(OR(Q202="",NOT(ISNUMBER(TransDate))),"",Q202-TransDate)</f>
        <v/>
      </c>
      <c r="AM202" s="6">
        <f>IF(OR(Q202="",NOT(ISNUMBER(FP_m2)),AND(R202&lt;&gt;"FP",R202&lt;&gt;"Both")),"",ROUND(SUMPRODUCT(T202:AE202,$T$4:$AE$4)*1000/FP_m2,2))</f>
        <v/>
      </c>
      <c r="AN202" s="6">
        <f>IF(OR(Q202="",NOT(ISNUMBER(FP_m2)),AND(R202&lt;&gt;"FP",R202&lt;&gt;"Both")),"",ROUND(SUMPRODUCT(T202:AE202,$T$5:$AE$5)*1000/FP_m2,2))</f>
        <v/>
      </c>
      <c r="AO202" s="6">
        <f>IF(OR(Q202="",NOT(ISNUMBER(MD_m2)),AND(R202&lt;&gt;"3F4D+MD",R202&lt;&gt;"Both")),"",ROUND(SUMPRODUCT(T202:AE202,$T$4:$AE$4)*1000/MD_m2,2))</f>
        <v/>
      </c>
      <c r="AP202" s="6">
        <f>IF(OR(Q202="",NOT(ISNUMBER(MD_m2)),AND(R202&lt;&gt;"3F4D+MD",R202&lt;&gt;"Both")),"",ROUND(SUMPRODUCT(T202:AE202,$T$5:$AE$5)*1000/MD_m2,2))</f>
        <v/>
      </c>
    </row>
    <row r="203">
      <c r="A203" s="37" t="n"/>
      <c r="B203" s="6">
        <f>IF(A203="","",IF(ISNUMBER(Schedule_Farmer!$D$5),A203-Schedule_Farmer!$D$5+1,""))</f>
        <v/>
      </c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Q203" s="37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6">
        <f>IF(OR(Q203="",NOT(ISNUMBER(TransDate))),"",Q203-TransDate)</f>
        <v/>
      </c>
      <c r="AM203" s="6">
        <f>IF(OR(Q203="",NOT(ISNUMBER(FP_m2)),AND(R203&lt;&gt;"FP",R203&lt;&gt;"Both")),"",ROUND(SUMPRODUCT(T203:AE203,$T$4:$AE$4)*1000/FP_m2,2))</f>
        <v/>
      </c>
      <c r="AN203" s="6">
        <f>IF(OR(Q203="",NOT(ISNUMBER(FP_m2)),AND(R203&lt;&gt;"FP",R203&lt;&gt;"Both")),"",ROUND(SUMPRODUCT(T203:AE203,$T$5:$AE$5)*1000/FP_m2,2))</f>
        <v/>
      </c>
      <c r="AO203" s="6">
        <f>IF(OR(Q203="",NOT(ISNUMBER(MD_m2)),AND(R203&lt;&gt;"3F4D+MD",R203&lt;&gt;"Both")),"",ROUND(SUMPRODUCT(T203:AE203,$T$4:$AE$4)*1000/MD_m2,2))</f>
        <v/>
      </c>
      <c r="AP203" s="6">
        <f>IF(OR(Q203="",NOT(ISNUMBER(MD_m2)),AND(R203&lt;&gt;"3F4D+MD",R203&lt;&gt;"Both")),"",ROUND(SUMPRODUCT(T203:AE203,$T$5:$AE$5)*1000/MD_m2,2))</f>
        <v/>
      </c>
    </row>
    <row r="204">
      <c r="A204" s="37" t="n"/>
      <c r="B204" s="6">
        <f>IF(A204="","",IF(ISNUMBER(Schedule_Farmer!$D$5),A204-Schedule_Farmer!$D$5+1,""))</f>
        <v/>
      </c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Q204" s="37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6">
        <f>IF(OR(Q204="",NOT(ISNUMBER(TransDate))),"",Q204-TransDate)</f>
        <v/>
      </c>
      <c r="AM204" s="6">
        <f>IF(OR(Q204="",NOT(ISNUMBER(FP_m2)),AND(R204&lt;&gt;"FP",R204&lt;&gt;"Both")),"",ROUND(SUMPRODUCT(T204:AE204,$T$4:$AE$4)*1000/FP_m2,2))</f>
        <v/>
      </c>
      <c r="AN204" s="6">
        <f>IF(OR(Q204="",NOT(ISNUMBER(FP_m2)),AND(R204&lt;&gt;"FP",R204&lt;&gt;"Both")),"",ROUND(SUMPRODUCT(T204:AE204,$T$5:$AE$5)*1000/FP_m2,2))</f>
        <v/>
      </c>
      <c r="AO204" s="6">
        <f>IF(OR(Q204="",NOT(ISNUMBER(MD_m2)),AND(R204&lt;&gt;"3F4D+MD",R204&lt;&gt;"Both")),"",ROUND(SUMPRODUCT(T204:AE204,$T$4:$AE$4)*1000/MD_m2,2))</f>
        <v/>
      </c>
      <c r="AP204" s="6">
        <f>IF(OR(Q204="",NOT(ISNUMBER(MD_m2)),AND(R204&lt;&gt;"3F4D+MD",R204&lt;&gt;"Both")),"",ROUND(SUMPRODUCT(T204:AE204,$T$5:$AE$5)*1000/MD_m2,2))</f>
        <v/>
      </c>
    </row>
    <row r="205">
      <c r="A205" s="37" t="n"/>
      <c r="B205" s="6">
        <f>IF(A205="","",IF(ISNUMBER(Schedule_Farmer!$D$5),A205-Schedule_Farmer!$D$5+1,""))</f>
        <v/>
      </c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Q205" s="37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6">
        <f>IF(OR(Q205="",NOT(ISNUMBER(TransDate))),"",Q205-TransDate)</f>
        <v/>
      </c>
      <c r="AM205" s="6">
        <f>IF(OR(Q205="",NOT(ISNUMBER(FP_m2)),AND(R205&lt;&gt;"FP",R205&lt;&gt;"Both")),"",ROUND(SUMPRODUCT(T205:AE205,$T$4:$AE$4)*1000/FP_m2,2))</f>
        <v/>
      </c>
      <c r="AN205" s="6">
        <f>IF(OR(Q205="",NOT(ISNUMBER(FP_m2)),AND(R205&lt;&gt;"FP",R205&lt;&gt;"Both")),"",ROUND(SUMPRODUCT(T205:AE205,$T$5:$AE$5)*1000/FP_m2,2))</f>
        <v/>
      </c>
      <c r="AO205" s="6">
        <f>IF(OR(Q205="",NOT(ISNUMBER(MD_m2)),AND(R205&lt;&gt;"3F4D+MD",R205&lt;&gt;"Both")),"",ROUND(SUMPRODUCT(T205:AE205,$T$4:$AE$4)*1000/MD_m2,2))</f>
        <v/>
      </c>
      <c r="AP205" s="6">
        <f>IF(OR(Q205="",NOT(ISNUMBER(MD_m2)),AND(R205&lt;&gt;"3F4D+MD",R205&lt;&gt;"Both")),"",ROUND(SUMPRODUCT(T205:AE205,$T$5:$AE$5)*1000/MD_m2,2))</f>
        <v/>
      </c>
    </row>
    <row r="206">
      <c r="A206" s="37" t="n"/>
      <c r="B206" s="6">
        <f>IF(A206="","",IF(ISNUMBER(Schedule_Farmer!$D$5),A206-Schedule_Farmer!$D$5+1,""))</f>
        <v/>
      </c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Q206" s="37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6">
        <f>IF(OR(Q206="",NOT(ISNUMBER(TransDate))),"",Q206-TransDate)</f>
        <v/>
      </c>
      <c r="AM206" s="6">
        <f>IF(OR(Q206="",NOT(ISNUMBER(FP_m2)),AND(R206&lt;&gt;"FP",R206&lt;&gt;"Both")),"",ROUND(SUMPRODUCT(T206:AE206,$T$4:$AE$4)*1000/FP_m2,2))</f>
        <v/>
      </c>
      <c r="AN206" s="6">
        <f>IF(OR(Q206="",NOT(ISNUMBER(FP_m2)),AND(R206&lt;&gt;"FP",R206&lt;&gt;"Both")),"",ROUND(SUMPRODUCT(T206:AE206,$T$5:$AE$5)*1000/FP_m2,2))</f>
        <v/>
      </c>
      <c r="AO206" s="6">
        <f>IF(OR(Q206="",NOT(ISNUMBER(MD_m2)),AND(R206&lt;&gt;"3F4D+MD",R206&lt;&gt;"Both")),"",ROUND(SUMPRODUCT(T206:AE206,$T$4:$AE$4)*1000/MD_m2,2))</f>
        <v/>
      </c>
      <c r="AP206" s="6">
        <f>IF(OR(Q206="",NOT(ISNUMBER(MD_m2)),AND(R206&lt;&gt;"3F4D+MD",R206&lt;&gt;"Both")),"",ROUND(SUMPRODUCT(T206:AE206,$T$5:$AE$5)*1000/MD_m2,2))</f>
        <v/>
      </c>
    </row>
    <row r="207">
      <c r="A207" s="37" t="n"/>
      <c r="B207" s="6">
        <f>IF(A207="","",IF(ISNUMBER(Schedule_Farmer!$D$5),A207-Schedule_Farmer!$D$5+1,""))</f>
        <v/>
      </c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Q207" s="37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6">
        <f>IF(OR(Q207="",NOT(ISNUMBER(TransDate))),"",Q207-TransDate)</f>
        <v/>
      </c>
      <c r="AM207" s="6">
        <f>IF(OR(Q207="",NOT(ISNUMBER(FP_m2)),AND(R207&lt;&gt;"FP",R207&lt;&gt;"Both")),"",ROUND(SUMPRODUCT(T207:AE207,$T$4:$AE$4)*1000/FP_m2,2))</f>
        <v/>
      </c>
      <c r="AN207" s="6">
        <f>IF(OR(Q207="",NOT(ISNUMBER(FP_m2)),AND(R207&lt;&gt;"FP",R207&lt;&gt;"Both")),"",ROUND(SUMPRODUCT(T207:AE207,$T$5:$AE$5)*1000/FP_m2,2))</f>
        <v/>
      </c>
      <c r="AO207" s="6">
        <f>IF(OR(Q207="",NOT(ISNUMBER(MD_m2)),AND(R207&lt;&gt;"3F4D+MD",R207&lt;&gt;"Both")),"",ROUND(SUMPRODUCT(T207:AE207,$T$4:$AE$4)*1000/MD_m2,2))</f>
        <v/>
      </c>
      <c r="AP207" s="6">
        <f>IF(OR(Q207="",NOT(ISNUMBER(MD_m2)),AND(R207&lt;&gt;"3F4D+MD",R207&lt;&gt;"Both")),"",ROUND(SUMPRODUCT(T207:AE207,$T$5:$AE$5)*1000/MD_m2,2))</f>
        <v/>
      </c>
    </row>
    <row r="208">
      <c r="A208" s="37" t="n"/>
      <c r="B208" s="6">
        <f>IF(A208="","",IF(ISNUMBER(Schedule_Farmer!$D$5),A208-Schedule_Farmer!$D$5+1,""))</f>
        <v/>
      </c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Q208" s="37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6">
        <f>IF(OR(Q208="",NOT(ISNUMBER(TransDate))),"",Q208-TransDate)</f>
        <v/>
      </c>
      <c r="AM208" s="6">
        <f>IF(OR(Q208="",NOT(ISNUMBER(FP_m2)),AND(R208&lt;&gt;"FP",R208&lt;&gt;"Both")),"",ROUND(SUMPRODUCT(T208:AE208,$T$4:$AE$4)*1000/FP_m2,2))</f>
        <v/>
      </c>
      <c r="AN208" s="6">
        <f>IF(OR(Q208="",NOT(ISNUMBER(FP_m2)),AND(R208&lt;&gt;"FP",R208&lt;&gt;"Both")),"",ROUND(SUMPRODUCT(T208:AE208,$T$5:$AE$5)*1000/FP_m2,2))</f>
        <v/>
      </c>
      <c r="AO208" s="6">
        <f>IF(OR(Q208="",NOT(ISNUMBER(MD_m2)),AND(R208&lt;&gt;"3F4D+MD",R208&lt;&gt;"Both")),"",ROUND(SUMPRODUCT(T208:AE208,$T$4:$AE$4)*1000/MD_m2,2))</f>
        <v/>
      </c>
      <c r="AP208" s="6">
        <f>IF(OR(Q208="",NOT(ISNUMBER(MD_m2)),AND(R208&lt;&gt;"3F4D+MD",R208&lt;&gt;"Both")),"",ROUND(SUMPRODUCT(T208:AE208,$T$5:$AE$5)*1000/MD_m2,2))</f>
        <v/>
      </c>
    </row>
    <row r="209">
      <c r="A209" s="37" t="n"/>
      <c r="B209" s="6">
        <f>IF(A209="","",IF(ISNUMBER(Schedule_Farmer!$D$5),A209-Schedule_Farmer!$D$5+1,""))</f>
        <v/>
      </c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Q209" s="37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6">
        <f>IF(OR(Q209="",NOT(ISNUMBER(TransDate))),"",Q209-TransDate)</f>
        <v/>
      </c>
      <c r="AM209" s="6">
        <f>IF(OR(Q209="",NOT(ISNUMBER(FP_m2)),AND(R209&lt;&gt;"FP",R209&lt;&gt;"Both")),"",ROUND(SUMPRODUCT(T209:AE209,$T$4:$AE$4)*1000/FP_m2,2))</f>
        <v/>
      </c>
      <c r="AN209" s="6">
        <f>IF(OR(Q209="",NOT(ISNUMBER(FP_m2)),AND(R209&lt;&gt;"FP",R209&lt;&gt;"Both")),"",ROUND(SUMPRODUCT(T209:AE209,$T$5:$AE$5)*1000/FP_m2,2))</f>
        <v/>
      </c>
      <c r="AO209" s="6">
        <f>IF(OR(Q209="",NOT(ISNUMBER(MD_m2)),AND(R209&lt;&gt;"3F4D+MD",R209&lt;&gt;"Both")),"",ROUND(SUMPRODUCT(T209:AE209,$T$4:$AE$4)*1000/MD_m2,2))</f>
        <v/>
      </c>
      <c r="AP209" s="6">
        <f>IF(OR(Q209="",NOT(ISNUMBER(MD_m2)),AND(R209&lt;&gt;"3F4D+MD",R209&lt;&gt;"Both")),"",ROUND(SUMPRODUCT(T209:AE209,$T$5:$AE$5)*1000/MD_m2,2))</f>
        <v/>
      </c>
    </row>
    <row r="210">
      <c r="A210" s="37" t="n"/>
      <c r="B210" s="6">
        <f>IF(A210="","",IF(ISNUMBER(Schedule_Farmer!$D$5),A210-Schedule_Farmer!$D$5+1,""))</f>
        <v/>
      </c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Q210" s="37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6">
        <f>IF(OR(Q210="",NOT(ISNUMBER(TransDate))),"",Q210-TransDate)</f>
        <v/>
      </c>
      <c r="AM210" s="6">
        <f>IF(OR(Q210="",NOT(ISNUMBER(FP_m2)),AND(R210&lt;&gt;"FP",R210&lt;&gt;"Both")),"",ROUND(SUMPRODUCT(T210:AE210,$T$4:$AE$4)*1000/FP_m2,2))</f>
        <v/>
      </c>
      <c r="AN210" s="6">
        <f>IF(OR(Q210="",NOT(ISNUMBER(FP_m2)),AND(R210&lt;&gt;"FP",R210&lt;&gt;"Both")),"",ROUND(SUMPRODUCT(T210:AE210,$T$5:$AE$5)*1000/FP_m2,2))</f>
        <v/>
      </c>
      <c r="AO210" s="6">
        <f>IF(OR(Q210="",NOT(ISNUMBER(MD_m2)),AND(R210&lt;&gt;"3F4D+MD",R210&lt;&gt;"Both")),"",ROUND(SUMPRODUCT(T210:AE210,$T$4:$AE$4)*1000/MD_m2,2))</f>
        <v/>
      </c>
      <c r="AP210" s="6">
        <f>IF(OR(Q210="",NOT(ISNUMBER(MD_m2)),AND(R210&lt;&gt;"3F4D+MD",R210&lt;&gt;"Both")),"",ROUND(SUMPRODUCT(T210:AE210,$T$5:$AE$5)*1000/MD_m2,2))</f>
        <v/>
      </c>
    </row>
    <row r="211">
      <c r="A211" s="37" t="n"/>
      <c r="B211" s="6">
        <f>IF(A211="","",IF(ISNUMBER(Schedule_Farmer!$D$5),A211-Schedule_Farmer!$D$5+1,""))</f>
        <v/>
      </c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Q211" s="37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6">
        <f>IF(OR(Q211="",NOT(ISNUMBER(TransDate))),"",Q211-TransDate)</f>
        <v/>
      </c>
      <c r="AM211" s="6">
        <f>IF(OR(Q211="",NOT(ISNUMBER(FP_m2)),AND(R211&lt;&gt;"FP",R211&lt;&gt;"Both")),"",ROUND(SUMPRODUCT(T211:AE211,$T$4:$AE$4)*1000/FP_m2,2))</f>
        <v/>
      </c>
      <c r="AN211" s="6">
        <f>IF(OR(Q211="",NOT(ISNUMBER(FP_m2)),AND(R211&lt;&gt;"FP",R211&lt;&gt;"Both")),"",ROUND(SUMPRODUCT(T211:AE211,$T$5:$AE$5)*1000/FP_m2,2))</f>
        <v/>
      </c>
      <c r="AO211" s="6">
        <f>IF(OR(Q211="",NOT(ISNUMBER(MD_m2)),AND(R211&lt;&gt;"3F4D+MD",R211&lt;&gt;"Both")),"",ROUND(SUMPRODUCT(T211:AE211,$T$4:$AE$4)*1000/MD_m2,2))</f>
        <v/>
      </c>
      <c r="AP211" s="6">
        <f>IF(OR(Q211="",NOT(ISNUMBER(MD_m2)),AND(R211&lt;&gt;"3F4D+MD",R211&lt;&gt;"Both")),"",ROUND(SUMPRODUCT(T211:AE211,$T$5:$AE$5)*1000/MD_m2,2))</f>
        <v/>
      </c>
    </row>
    <row r="212">
      <c r="A212" s="37" t="n"/>
      <c r="B212" s="6">
        <f>IF(A212="","",IF(ISNUMBER(Schedule_Farmer!$D$5),A212-Schedule_Farmer!$D$5+1,""))</f>
        <v/>
      </c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Q212" s="37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6">
        <f>IF(OR(Q212="",NOT(ISNUMBER(TransDate))),"",Q212-TransDate)</f>
        <v/>
      </c>
      <c r="AM212" s="6">
        <f>IF(OR(Q212="",NOT(ISNUMBER(FP_m2)),AND(R212&lt;&gt;"FP",R212&lt;&gt;"Both")),"",ROUND(SUMPRODUCT(T212:AE212,$T$4:$AE$4)*1000/FP_m2,2))</f>
        <v/>
      </c>
      <c r="AN212" s="6">
        <f>IF(OR(Q212="",NOT(ISNUMBER(FP_m2)),AND(R212&lt;&gt;"FP",R212&lt;&gt;"Both")),"",ROUND(SUMPRODUCT(T212:AE212,$T$5:$AE$5)*1000/FP_m2,2))</f>
        <v/>
      </c>
      <c r="AO212" s="6">
        <f>IF(OR(Q212="",NOT(ISNUMBER(MD_m2)),AND(R212&lt;&gt;"3F4D+MD",R212&lt;&gt;"Both")),"",ROUND(SUMPRODUCT(T212:AE212,$T$4:$AE$4)*1000/MD_m2,2))</f>
        <v/>
      </c>
      <c r="AP212" s="6">
        <f>IF(OR(Q212="",NOT(ISNUMBER(MD_m2)),AND(R212&lt;&gt;"3F4D+MD",R212&lt;&gt;"Both")),"",ROUND(SUMPRODUCT(T212:AE212,$T$5:$AE$5)*1000/MD_m2,2))</f>
        <v/>
      </c>
    </row>
    <row r="213">
      <c r="A213" s="37" t="n"/>
      <c r="B213" s="6">
        <f>IF(A213="","",IF(ISNUMBER(Schedule_Farmer!$D$5),A213-Schedule_Farmer!$D$5+1,""))</f>
        <v/>
      </c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Q213" s="37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6">
        <f>IF(OR(Q213="",NOT(ISNUMBER(TransDate))),"",Q213-TransDate)</f>
        <v/>
      </c>
      <c r="AM213" s="6">
        <f>IF(OR(Q213="",NOT(ISNUMBER(FP_m2)),AND(R213&lt;&gt;"FP",R213&lt;&gt;"Both")),"",ROUND(SUMPRODUCT(T213:AE213,$T$4:$AE$4)*1000/FP_m2,2))</f>
        <v/>
      </c>
      <c r="AN213" s="6">
        <f>IF(OR(Q213="",NOT(ISNUMBER(FP_m2)),AND(R213&lt;&gt;"FP",R213&lt;&gt;"Both")),"",ROUND(SUMPRODUCT(T213:AE213,$T$5:$AE$5)*1000/FP_m2,2))</f>
        <v/>
      </c>
      <c r="AO213" s="6">
        <f>IF(OR(Q213="",NOT(ISNUMBER(MD_m2)),AND(R213&lt;&gt;"3F4D+MD",R213&lt;&gt;"Both")),"",ROUND(SUMPRODUCT(T213:AE213,$T$4:$AE$4)*1000/MD_m2,2))</f>
        <v/>
      </c>
      <c r="AP213" s="6">
        <f>IF(OR(Q213="",NOT(ISNUMBER(MD_m2)),AND(R213&lt;&gt;"3F4D+MD",R213&lt;&gt;"Both")),"",ROUND(SUMPRODUCT(T213:AE213,$T$5:$AE$5)*1000/MD_m2,2))</f>
        <v/>
      </c>
    </row>
    <row r="214">
      <c r="A214" s="37" t="n"/>
      <c r="B214" s="6">
        <f>IF(A214="","",IF(ISNUMBER(Schedule_Farmer!$D$5),A214-Schedule_Farmer!$D$5+1,""))</f>
        <v/>
      </c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Q214" s="37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6">
        <f>IF(OR(Q214="",NOT(ISNUMBER(TransDate))),"",Q214-TransDate)</f>
        <v/>
      </c>
      <c r="AM214" s="6">
        <f>IF(OR(Q214="",NOT(ISNUMBER(FP_m2)),AND(R214&lt;&gt;"FP",R214&lt;&gt;"Both")),"",ROUND(SUMPRODUCT(T214:AE214,$T$4:$AE$4)*1000/FP_m2,2))</f>
        <v/>
      </c>
      <c r="AN214" s="6">
        <f>IF(OR(Q214="",NOT(ISNUMBER(FP_m2)),AND(R214&lt;&gt;"FP",R214&lt;&gt;"Both")),"",ROUND(SUMPRODUCT(T214:AE214,$T$5:$AE$5)*1000/FP_m2,2))</f>
        <v/>
      </c>
      <c r="AO214" s="6">
        <f>IF(OR(Q214="",NOT(ISNUMBER(MD_m2)),AND(R214&lt;&gt;"3F4D+MD",R214&lt;&gt;"Both")),"",ROUND(SUMPRODUCT(T214:AE214,$T$4:$AE$4)*1000/MD_m2,2))</f>
        <v/>
      </c>
      <c r="AP214" s="6">
        <f>IF(OR(Q214="",NOT(ISNUMBER(MD_m2)),AND(R214&lt;&gt;"3F4D+MD",R214&lt;&gt;"Both")),"",ROUND(SUMPRODUCT(T214:AE214,$T$5:$AE$5)*1000/MD_m2,2))</f>
        <v/>
      </c>
    </row>
    <row r="215">
      <c r="A215" s="37" t="n"/>
      <c r="B215" s="6">
        <f>IF(A215="","",IF(ISNUMBER(Schedule_Farmer!$D$5),A215-Schedule_Farmer!$D$5+1,""))</f>
        <v/>
      </c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Q215" s="37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6">
        <f>IF(OR(Q215="",NOT(ISNUMBER(TransDate))),"",Q215-TransDate)</f>
        <v/>
      </c>
      <c r="AM215" s="6">
        <f>IF(OR(Q215="",NOT(ISNUMBER(FP_m2)),AND(R215&lt;&gt;"FP",R215&lt;&gt;"Both")),"",ROUND(SUMPRODUCT(T215:AE215,$T$4:$AE$4)*1000/FP_m2,2))</f>
        <v/>
      </c>
      <c r="AN215" s="6">
        <f>IF(OR(Q215="",NOT(ISNUMBER(FP_m2)),AND(R215&lt;&gt;"FP",R215&lt;&gt;"Both")),"",ROUND(SUMPRODUCT(T215:AE215,$T$5:$AE$5)*1000/FP_m2,2))</f>
        <v/>
      </c>
      <c r="AO215" s="6">
        <f>IF(OR(Q215="",NOT(ISNUMBER(MD_m2)),AND(R215&lt;&gt;"3F4D+MD",R215&lt;&gt;"Both")),"",ROUND(SUMPRODUCT(T215:AE215,$T$4:$AE$4)*1000/MD_m2,2))</f>
        <v/>
      </c>
      <c r="AP215" s="6">
        <f>IF(OR(Q215="",NOT(ISNUMBER(MD_m2)),AND(R215&lt;&gt;"3F4D+MD",R215&lt;&gt;"Both")),"",ROUND(SUMPRODUCT(T215:AE215,$T$5:$AE$5)*1000/MD_m2,2))</f>
        <v/>
      </c>
    </row>
    <row r="216">
      <c r="A216" s="37" t="n"/>
      <c r="B216" s="6">
        <f>IF(A216="","",IF(ISNUMBER(Schedule_Farmer!$D$5),A216-Schedule_Farmer!$D$5+1,""))</f>
        <v/>
      </c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Q216" s="37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6">
        <f>IF(OR(Q216="",NOT(ISNUMBER(TransDate))),"",Q216-TransDate)</f>
        <v/>
      </c>
      <c r="AM216" s="6">
        <f>IF(OR(Q216="",NOT(ISNUMBER(FP_m2)),AND(R216&lt;&gt;"FP",R216&lt;&gt;"Both")),"",ROUND(SUMPRODUCT(T216:AE216,$T$4:$AE$4)*1000/FP_m2,2))</f>
        <v/>
      </c>
      <c r="AN216" s="6">
        <f>IF(OR(Q216="",NOT(ISNUMBER(FP_m2)),AND(R216&lt;&gt;"FP",R216&lt;&gt;"Both")),"",ROUND(SUMPRODUCT(T216:AE216,$T$5:$AE$5)*1000/FP_m2,2))</f>
        <v/>
      </c>
      <c r="AO216" s="6">
        <f>IF(OR(Q216="",NOT(ISNUMBER(MD_m2)),AND(R216&lt;&gt;"3F4D+MD",R216&lt;&gt;"Both")),"",ROUND(SUMPRODUCT(T216:AE216,$T$4:$AE$4)*1000/MD_m2,2))</f>
        <v/>
      </c>
      <c r="AP216" s="6">
        <f>IF(OR(Q216="",NOT(ISNUMBER(MD_m2)),AND(R216&lt;&gt;"3F4D+MD",R216&lt;&gt;"Both")),"",ROUND(SUMPRODUCT(T216:AE216,$T$5:$AE$5)*1000/MD_m2,2))</f>
        <v/>
      </c>
    </row>
    <row r="217">
      <c r="A217" s="37" t="n"/>
      <c r="B217" s="6">
        <f>IF(A217="","",IF(ISNUMBER(Schedule_Farmer!$D$5),A217-Schedule_Farmer!$D$5+1,""))</f>
        <v/>
      </c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Q217" s="37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6">
        <f>IF(OR(Q217="",NOT(ISNUMBER(TransDate))),"",Q217-TransDate)</f>
        <v/>
      </c>
      <c r="AM217" s="6">
        <f>IF(OR(Q217="",NOT(ISNUMBER(FP_m2)),AND(R217&lt;&gt;"FP",R217&lt;&gt;"Both")),"",ROUND(SUMPRODUCT(T217:AE217,$T$4:$AE$4)*1000/FP_m2,2))</f>
        <v/>
      </c>
      <c r="AN217" s="6">
        <f>IF(OR(Q217="",NOT(ISNUMBER(FP_m2)),AND(R217&lt;&gt;"FP",R217&lt;&gt;"Both")),"",ROUND(SUMPRODUCT(T217:AE217,$T$5:$AE$5)*1000/FP_m2,2))</f>
        <v/>
      </c>
      <c r="AO217" s="6">
        <f>IF(OR(Q217="",NOT(ISNUMBER(MD_m2)),AND(R217&lt;&gt;"3F4D+MD",R217&lt;&gt;"Both")),"",ROUND(SUMPRODUCT(T217:AE217,$T$4:$AE$4)*1000/MD_m2,2))</f>
        <v/>
      </c>
      <c r="AP217" s="6">
        <f>IF(OR(Q217="",NOT(ISNUMBER(MD_m2)),AND(R217&lt;&gt;"3F4D+MD",R217&lt;&gt;"Both")),"",ROUND(SUMPRODUCT(T217:AE217,$T$5:$AE$5)*1000/MD_m2,2))</f>
        <v/>
      </c>
    </row>
    <row r="218">
      <c r="A218" s="37" t="n"/>
      <c r="B218" s="6">
        <f>IF(A218="","",IF(ISNUMBER(Schedule_Farmer!$D$5),A218-Schedule_Farmer!$D$5+1,""))</f>
        <v/>
      </c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Q218" s="37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6">
        <f>IF(OR(Q218="",NOT(ISNUMBER(TransDate))),"",Q218-TransDate)</f>
        <v/>
      </c>
      <c r="AM218" s="6">
        <f>IF(OR(Q218="",NOT(ISNUMBER(FP_m2)),AND(R218&lt;&gt;"FP",R218&lt;&gt;"Both")),"",ROUND(SUMPRODUCT(T218:AE218,$T$4:$AE$4)*1000/FP_m2,2))</f>
        <v/>
      </c>
      <c r="AN218" s="6">
        <f>IF(OR(Q218="",NOT(ISNUMBER(FP_m2)),AND(R218&lt;&gt;"FP",R218&lt;&gt;"Both")),"",ROUND(SUMPRODUCT(T218:AE218,$T$5:$AE$5)*1000/FP_m2,2))</f>
        <v/>
      </c>
      <c r="AO218" s="6">
        <f>IF(OR(Q218="",NOT(ISNUMBER(MD_m2)),AND(R218&lt;&gt;"3F4D+MD",R218&lt;&gt;"Both")),"",ROUND(SUMPRODUCT(T218:AE218,$T$4:$AE$4)*1000/MD_m2,2))</f>
        <v/>
      </c>
      <c r="AP218" s="6">
        <f>IF(OR(Q218="",NOT(ISNUMBER(MD_m2)),AND(R218&lt;&gt;"3F4D+MD",R218&lt;&gt;"Both")),"",ROUND(SUMPRODUCT(T218:AE218,$T$5:$AE$5)*1000/MD_m2,2))</f>
        <v/>
      </c>
    </row>
    <row r="219">
      <c r="A219" s="37" t="n"/>
      <c r="B219" s="6">
        <f>IF(A219="","",IF(ISNUMBER(Schedule_Farmer!$D$5),A219-Schedule_Farmer!$D$5+1,""))</f>
        <v/>
      </c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Q219" s="37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6">
        <f>IF(OR(Q219="",NOT(ISNUMBER(TransDate))),"",Q219-TransDate)</f>
        <v/>
      </c>
      <c r="AM219" s="6">
        <f>IF(OR(Q219="",NOT(ISNUMBER(FP_m2)),AND(R219&lt;&gt;"FP",R219&lt;&gt;"Both")),"",ROUND(SUMPRODUCT(T219:AE219,$T$4:$AE$4)*1000/FP_m2,2))</f>
        <v/>
      </c>
      <c r="AN219" s="6">
        <f>IF(OR(Q219="",NOT(ISNUMBER(FP_m2)),AND(R219&lt;&gt;"FP",R219&lt;&gt;"Both")),"",ROUND(SUMPRODUCT(T219:AE219,$T$5:$AE$5)*1000/FP_m2,2))</f>
        <v/>
      </c>
      <c r="AO219" s="6">
        <f>IF(OR(Q219="",NOT(ISNUMBER(MD_m2)),AND(R219&lt;&gt;"3F4D+MD",R219&lt;&gt;"Both")),"",ROUND(SUMPRODUCT(T219:AE219,$T$4:$AE$4)*1000/MD_m2,2))</f>
        <v/>
      </c>
      <c r="AP219" s="6">
        <f>IF(OR(Q219="",NOT(ISNUMBER(MD_m2)),AND(R219&lt;&gt;"3F4D+MD",R219&lt;&gt;"Both")),"",ROUND(SUMPRODUCT(T219:AE219,$T$5:$AE$5)*1000/MD_m2,2))</f>
        <v/>
      </c>
    </row>
    <row r="220">
      <c r="A220" s="37" t="n"/>
      <c r="B220" s="6">
        <f>IF(A220="","",IF(ISNUMBER(Schedule_Farmer!$D$5),A220-Schedule_Farmer!$D$5+1,""))</f>
        <v/>
      </c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Q220" s="37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6">
        <f>IF(OR(Q220="",NOT(ISNUMBER(TransDate))),"",Q220-TransDate)</f>
        <v/>
      </c>
      <c r="AM220" s="6">
        <f>IF(OR(Q220="",NOT(ISNUMBER(FP_m2)),AND(R220&lt;&gt;"FP",R220&lt;&gt;"Both")),"",ROUND(SUMPRODUCT(T220:AE220,$T$4:$AE$4)*1000/FP_m2,2))</f>
        <v/>
      </c>
      <c r="AN220" s="6">
        <f>IF(OR(Q220="",NOT(ISNUMBER(FP_m2)),AND(R220&lt;&gt;"FP",R220&lt;&gt;"Both")),"",ROUND(SUMPRODUCT(T220:AE220,$T$5:$AE$5)*1000/FP_m2,2))</f>
        <v/>
      </c>
      <c r="AO220" s="6">
        <f>IF(OR(Q220="",NOT(ISNUMBER(MD_m2)),AND(R220&lt;&gt;"3F4D+MD",R220&lt;&gt;"Both")),"",ROUND(SUMPRODUCT(T220:AE220,$T$4:$AE$4)*1000/MD_m2,2))</f>
        <v/>
      </c>
      <c r="AP220" s="6">
        <f>IF(OR(Q220="",NOT(ISNUMBER(MD_m2)),AND(R220&lt;&gt;"3F4D+MD",R220&lt;&gt;"Both")),"",ROUND(SUMPRODUCT(T220:AE220,$T$5:$AE$5)*1000/MD_m2,2))</f>
        <v/>
      </c>
    </row>
  </sheetData>
  <mergeCells count="2">
    <mergeCell ref="A3:O3"/>
    <mergeCell ref="Q3:AO3"/>
  </mergeCells>
  <conditionalFormatting sqref="R8:R220">
    <cfRule type="expression" priority="1" dxfId="3">
      <formula>AND(Q8&lt;&gt;"",R8="")</formula>
    </cfRule>
  </conditionalFormatting>
  <dataValidations count="5">
    <dataValidation sqref="C8:C220" showDropDown="0" showInputMessage="0" showErrorMessage="0" allowBlank="1" type="list">
      <formula1>'pull-down list'!$F$3:$F$27</formula1>
    </dataValidation>
    <dataValidation sqref="M8:M220" showDropDown="0" showInputMessage="0" showErrorMessage="0" allowBlank="1" type="list">
      <formula1>'pull-down list'!$G$3:$G$27</formula1>
    </dataValidation>
    <dataValidation sqref="S8:S220" showDropDown="0" showInputMessage="0" showErrorMessage="0" allowBlank="1" type="list">
      <formula1>'pull-down list'!$F$3:$F$27</formula1>
    </dataValidation>
    <dataValidation sqref="AF8:AF220" showDropDown="0" showInputMessage="0" showErrorMessage="0" allowBlank="1" type="list">
      <formula1>'pull-down list'!$G$3:$G$27</formula1>
    </dataValidation>
    <dataValidation sqref="R8:R220" showDropDown="0" showInputMessage="0" showErrorMessage="0" allowBlank="1" type="list">
      <formula1>"FP,3F4D+MD,Both"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Graphs / গ্রাফ  (MD, Pitan and 3F4D periods are drawn as lines at the top of the water-level graph)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</cols>
  <sheetData>
    <row r="1">
      <c r="A1" s="8" t="inlineStr">
        <is>
          <t>Water level measurement method / পানির স্তর মাপার পদ্ধতি</t>
        </is>
      </c>
    </row>
    <row r="3">
      <c r="B3" s="15" t="inlineStr">
        <is>
          <t>Example</t>
        </is>
      </c>
      <c r="C3" s="15" t="inlineStr">
        <is>
          <t>Value</t>
        </is>
      </c>
    </row>
    <row r="4">
      <c r="B4" s="12" t="inlineStr">
        <is>
          <t>Tape measure length (total)</t>
        </is>
      </c>
      <c r="C4" s="22" t="n">
        <v>50</v>
      </c>
    </row>
    <row r="5">
      <c r="B5" s="12" t="inlineStr">
        <is>
          <t>b = height of the pipe top above the ground (cm)</t>
        </is>
      </c>
      <c r="C5" s="22" t="n">
        <v>13</v>
      </c>
    </row>
    <row r="6">
      <c r="B6" s="12" t="inlineStr">
        <is>
          <t>c = length of the pipe under the ground (cm)</t>
        </is>
      </c>
      <c r="C6" s="22" t="n">
        <v>5</v>
      </c>
    </row>
    <row r="7">
      <c r="B7" s="12" t="inlineStr">
        <is>
          <t>m = reading of the tape at the water surface (cm)</t>
        </is>
      </c>
      <c r="C7" s="22" t="n">
        <v>29.5</v>
      </c>
    </row>
    <row r="8">
      <c r="B8" s="12" t="inlineStr">
        <is>
          <t>TP = reading of the tape at the top of the pipe (cm)</t>
        </is>
      </c>
      <c r="C8" s="22" t="n">
        <v>45</v>
      </c>
    </row>
    <row r="9">
      <c r="B9" s="36" t="inlineStr">
        <is>
          <t>Water level = m - TP + b (cm)</t>
        </is>
      </c>
      <c r="C9" s="4">
        <f>C7-C8+C5</f>
        <v/>
      </c>
    </row>
    <row r="11" ht="32" customHeight="1">
      <c r="B11" s="44" t="inlineStr">
        <is>
          <t>• Negative water level = water below the soil surface.</t>
        </is>
      </c>
    </row>
    <row r="12" ht="32" customHeight="1">
      <c r="B12" s="44" t="inlineStr">
        <is>
          <t>• Check that the top hole of the pipe is at the ground surface.</t>
        </is>
      </c>
    </row>
    <row r="13" ht="32" customHeight="1">
      <c r="B13" s="44" t="inlineStr">
        <is>
          <t>• Are the pipes installed at an average position of the plot? Before the water is completely drained during Pitan or mid-season drainage, when the water level in the pipe matches the ground surface, check what percentage of the field still has water.</t>
        </is>
      </c>
    </row>
    <row r="14" ht="32" customHeight="1">
      <c r="B14" s="44" t="inlineStr">
        <is>
          <t>• Is b measured properly? b changes when the soil shrinks during Pitan or mid-season drainage. Measure TP and b again at that time and enter them in the tab TP-b.</t>
        </is>
      </c>
    </row>
  </sheetData>
  <mergeCells count="4">
    <mergeCell ref="B14:L14"/>
    <mergeCell ref="B13:L13"/>
    <mergeCell ref="B12:L12"/>
    <mergeCell ref="B11:L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8" t="inlineStr">
        <is>
          <t>pull-down list / ড্রপডাউন তালিকা  (the administrator may add items at the end of a list)</t>
        </is>
      </c>
    </row>
    <row r="2">
      <c r="A2" s="5" t="inlineStr">
        <is>
          <t>Weather (Both)</t>
        </is>
      </c>
      <c r="B2" s="5" t="inlineStr">
        <is>
          <t>Field (each plot)</t>
        </is>
      </c>
      <c r="C2" s="5" t="inlineStr">
        <is>
          <t>Pump and others (Both)</t>
        </is>
      </c>
      <c r="D2" s="5" t="inlineStr">
        <is>
          <t>Condition (each plot)</t>
        </is>
      </c>
      <c r="E2" s="5" t="inlineStr">
        <is>
          <t>Labour / Farmer work</t>
        </is>
      </c>
      <c r="F2" s="5" t="inlineStr">
        <is>
          <t>Activities (Other_info)</t>
        </is>
      </c>
      <c r="G2" s="5" t="inlineStr">
        <is>
          <t>Pesticide / herbicide type</t>
        </is>
      </c>
      <c r="H2" s="5" t="inlineStr">
        <is>
          <t>Plot</t>
        </is>
      </c>
    </row>
    <row r="3">
      <c r="A3" s="22" t="inlineStr">
        <is>
          <t>Rain</t>
        </is>
      </c>
      <c r="B3" s="22" t="inlineStr">
        <is>
          <t>Stunted growth</t>
        </is>
      </c>
      <c r="C3" s="22" t="inlineStr">
        <is>
          <t>Electric outage</t>
        </is>
      </c>
      <c r="D3" s="22" t="inlineStr">
        <is>
          <t>Good</t>
        </is>
      </c>
      <c r="E3" s="22" t="inlineStr">
        <is>
          <t>Irrigation</t>
        </is>
      </c>
      <c r="F3" s="22" t="inlineStr">
        <is>
          <t>Seed wetting</t>
        </is>
      </c>
      <c r="G3" s="22" t="inlineStr">
        <is>
          <t>Insecticide</t>
        </is>
      </c>
      <c r="H3" s="22" t="inlineStr">
        <is>
          <t>FP</t>
        </is>
      </c>
    </row>
    <row r="4">
      <c r="A4" s="22" t="inlineStr">
        <is>
          <t>Flood</t>
        </is>
      </c>
      <c r="B4" s="22" t="inlineStr">
        <is>
          <t>Non-rooting</t>
        </is>
      </c>
      <c r="C4" s="22" t="inlineStr">
        <is>
          <t>Pump or Boring trouble</t>
        </is>
      </c>
      <c r="D4" s="22" t="inlineStr">
        <is>
          <t>Need observation</t>
        </is>
      </c>
      <c r="E4" s="22" t="inlineStr">
        <is>
          <t>Weeding</t>
        </is>
      </c>
      <c r="F4" s="22" t="inlineStr">
        <is>
          <t>Seed sowing</t>
        </is>
      </c>
      <c r="G4" s="22" t="inlineStr">
        <is>
          <t>Fungicide</t>
        </is>
      </c>
      <c r="H4" s="22" t="inlineStr">
        <is>
          <t>3F4D+MD</t>
        </is>
      </c>
    </row>
    <row r="5">
      <c r="A5" s="22" t="inlineStr">
        <is>
          <t>Cold wave</t>
        </is>
      </c>
      <c r="B5" s="22" t="inlineStr">
        <is>
          <t>Insect</t>
        </is>
      </c>
      <c r="C5" s="22" t="inlineStr">
        <is>
          <t>Personal affairs</t>
        </is>
      </c>
      <c r="D5" s="22" t="inlineStr">
        <is>
          <t>Need consultation immediately</t>
        </is>
      </c>
      <c r="E5" s="22" t="inlineStr">
        <is>
          <t>Fertilizer application</t>
        </is>
      </c>
      <c r="F5" s="22" t="inlineStr">
        <is>
          <t>Cowdung application</t>
        </is>
      </c>
      <c r="G5" s="22" t="inlineStr">
        <is>
          <t>Herbicide</t>
        </is>
      </c>
      <c r="H5" s="22" t="inlineStr">
        <is>
          <t>Both</t>
        </is>
      </c>
    </row>
    <row r="6">
      <c r="A6" s="22" t="inlineStr">
        <is>
          <t>Hot wave</t>
        </is>
      </c>
      <c r="B6" s="22" t="inlineStr">
        <is>
          <t>Algae</t>
        </is>
      </c>
      <c r="C6" s="22" t="inlineStr">
        <is>
          <t>Others</t>
        </is>
      </c>
      <c r="D6" s="22" t="n"/>
      <c r="E6" s="22" t="inlineStr">
        <is>
          <t>Herbicide application</t>
        </is>
      </c>
      <c r="F6" s="22" t="inlineStr">
        <is>
          <t>Straw application</t>
        </is>
      </c>
      <c r="G6" s="22" t="inlineStr">
        <is>
          <t>Other</t>
        </is>
      </c>
      <c r="H6" s="22" t="n"/>
    </row>
    <row r="7">
      <c r="A7" s="22" t="inlineStr">
        <is>
          <t>Winds</t>
        </is>
      </c>
      <c r="B7" s="22" t="inlineStr">
        <is>
          <t>Disease</t>
        </is>
      </c>
      <c r="C7" s="22" t="n"/>
      <c r="D7" s="22" t="n"/>
      <c r="E7" s="22" t="inlineStr">
        <is>
          <t>Pest management</t>
        </is>
      </c>
      <c r="F7" s="22" t="inlineStr">
        <is>
          <t>Irrigation</t>
        </is>
      </c>
      <c r="G7" s="22" t="n"/>
      <c r="H7" s="22" t="n"/>
    </row>
    <row r="8">
      <c r="A8" s="22" t="inlineStr">
        <is>
          <t>Hail</t>
        </is>
      </c>
      <c r="B8" s="22" t="inlineStr">
        <is>
          <t>Water pollution on rice field</t>
        </is>
      </c>
      <c r="C8" s="22" t="n"/>
      <c r="D8" s="22" t="n"/>
      <c r="E8" s="22" t="inlineStr">
        <is>
          <t>Planting</t>
        </is>
      </c>
      <c r="F8" s="22" t="inlineStr">
        <is>
          <t>Fertilizer</t>
        </is>
      </c>
      <c r="G8" s="22" t="n"/>
      <c r="H8" s="22" t="n"/>
    </row>
    <row r="9">
      <c r="A9" s="22" t="inlineStr">
        <is>
          <t>Storm</t>
        </is>
      </c>
      <c r="B9" s="22" t="inlineStr">
        <is>
          <t>Worry about water shortage in future</t>
        </is>
      </c>
      <c r="C9" s="22" t="n"/>
      <c r="D9" s="22" t="n"/>
      <c r="E9" s="22" t="inlineStr">
        <is>
          <t>Harvesting</t>
        </is>
      </c>
      <c r="F9" s="22" t="inlineStr">
        <is>
          <t>Spray</t>
        </is>
      </c>
      <c r="G9" s="22" t="n"/>
      <c r="H9" s="22" t="n"/>
    </row>
    <row r="10">
      <c r="A10" s="22" t="inlineStr">
        <is>
          <t>Others</t>
        </is>
      </c>
      <c r="B10" s="22" t="inlineStr">
        <is>
          <t>Water shortage</t>
        </is>
      </c>
      <c r="C10" s="22" t="n"/>
      <c r="D10" s="22" t="n"/>
      <c r="E10" s="22" t="inlineStr">
        <is>
          <t>Plowing</t>
        </is>
      </c>
      <c r="F10" s="22" t="inlineStr">
        <is>
          <t>Plowing</t>
        </is>
      </c>
      <c r="G10" s="22" t="n"/>
      <c r="H10" s="22" t="n"/>
    </row>
    <row r="11">
      <c r="A11" s="22" t="n"/>
      <c r="B11" s="22" t="inlineStr">
        <is>
          <t>Risk of soil crack</t>
        </is>
      </c>
      <c r="C11" s="22" t="n"/>
      <c r="D11" s="22" t="n"/>
      <c r="E11" s="22" t="inlineStr">
        <is>
          <t>Leveling (Land)</t>
        </is>
      </c>
      <c r="F11" s="22" t="inlineStr">
        <is>
          <t>Puddling</t>
        </is>
      </c>
      <c r="G11" s="22" t="n"/>
      <c r="H11" s="22" t="n"/>
    </row>
    <row r="12">
      <c r="A12" s="22" t="n"/>
      <c r="B12" s="22" t="inlineStr">
        <is>
          <t>Weed infestation</t>
        </is>
      </c>
      <c r="C12" s="22" t="n"/>
      <c r="D12" s="22" t="n"/>
      <c r="E12" s="22" t="inlineStr">
        <is>
          <t>Border dressing</t>
        </is>
      </c>
      <c r="F12" s="22" t="inlineStr">
        <is>
          <t>Transplanting</t>
        </is>
      </c>
      <c r="G12" s="22" t="n"/>
      <c r="H12" s="22" t="n"/>
    </row>
    <row r="13">
      <c r="A13" s="22" t="n"/>
      <c r="B13" s="22" t="inlineStr">
        <is>
          <t>Leaf tends to yellow</t>
        </is>
      </c>
      <c r="C13" s="22" t="n"/>
      <c r="D13" s="22" t="n"/>
      <c r="E13" s="22" t="inlineStr">
        <is>
          <t>Other land related work</t>
        </is>
      </c>
      <c r="F13" s="22" t="inlineStr">
        <is>
          <t>Weeding</t>
        </is>
      </c>
      <c r="G13" s="22" t="n"/>
      <c r="H13" s="22" t="n"/>
    </row>
    <row r="14">
      <c r="A14" s="22" t="n"/>
      <c r="B14" s="22" t="inlineStr">
        <is>
          <t>Red worm</t>
        </is>
      </c>
      <c r="C14" s="22" t="n"/>
      <c r="D14" s="22" t="n"/>
      <c r="E14" s="22" t="inlineStr">
        <is>
          <t>Drainage</t>
        </is>
      </c>
      <c r="F14" s="22" t="inlineStr">
        <is>
          <t>Others</t>
        </is>
      </c>
      <c r="G14" s="22" t="n"/>
      <c r="H14" s="22" t="n"/>
    </row>
    <row r="15">
      <c r="A15" s="22" t="n"/>
      <c r="B15" s="22" t="inlineStr">
        <is>
          <t>Brown spot on leaf</t>
        </is>
      </c>
      <c r="C15" s="22" t="n"/>
      <c r="D15" s="22" t="n"/>
      <c r="E15" s="22" t="inlineStr">
        <is>
          <t>H2S check</t>
        </is>
      </c>
      <c r="F15" s="22" t="n"/>
      <c r="G15" s="22" t="n"/>
      <c r="H15" s="22" t="n"/>
    </row>
    <row r="16">
      <c r="A16" s="22" t="n"/>
      <c r="B16" s="22" t="inlineStr">
        <is>
          <t>Others</t>
        </is>
      </c>
      <c r="C16" s="22" t="n"/>
      <c r="D16" s="22" t="n"/>
      <c r="E16" s="22" t="inlineStr">
        <is>
          <t>Irrigation and Weeding</t>
        </is>
      </c>
      <c r="F16" s="22" t="n"/>
      <c r="G16" s="22" t="n"/>
      <c r="H16" s="22" t="n"/>
    </row>
    <row r="17">
      <c r="A17" s="22" t="n"/>
      <c r="B17" s="22" t="n"/>
      <c r="C17" s="22" t="n"/>
      <c r="D17" s="22" t="n"/>
      <c r="E17" s="22" t="inlineStr">
        <is>
          <t>Irrigation and fertilizer</t>
        </is>
      </c>
      <c r="F17" s="22" t="n"/>
      <c r="G17" s="22" t="n"/>
      <c r="H17" s="22" t="n"/>
    </row>
    <row r="18">
      <c r="A18" s="22" t="n"/>
      <c r="B18" s="22" t="n"/>
      <c r="C18" s="22" t="n"/>
      <c r="D18" s="22" t="n"/>
      <c r="E18" s="22" t="inlineStr">
        <is>
          <t>Others</t>
        </is>
      </c>
      <c r="F18" s="22" t="n"/>
      <c r="G18" s="22" t="n"/>
      <c r="H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5" t="inlineStr">
        <is>
          <t>3F4D Water Monitor - sheet version / শিট সংস্করণ</t>
        </is>
      </c>
    </row>
    <row r="2">
      <c r="A2" s="46" t="inlineStr">
        <is>
          <t>Water-level record of the FP plot and the 3F4D+MD plot, in the same layout as the field irrigation-schedule workbook. Enter data directly in this Google Sheet. Calculations, checks, schedule and graphs are automatic. No script is needed.</t>
        </is>
      </c>
    </row>
    <row r="3">
      <c r="A3" s="46" t="inlineStr">
        <is>
          <t>FP প্লট ও 3F4D+MD প্লটের পানির স্তরের রেকর্ড। সরাসরি এই গুগল শিটে তথ্য দিন। হিসাব, পরীক্ষা, সময়সূচি ও গ্রাফ স্বয়ংক্রিয়।</t>
        </is>
      </c>
    </row>
    <row r="4">
      <c r="A4" s="46" t="inlineStr"/>
    </row>
    <row r="5">
      <c r="A5" s="47" t="inlineStr">
        <is>
          <t>Colours / রং</t>
        </is>
      </c>
    </row>
    <row r="6">
      <c r="A6" s="48" t="inlineStr">
        <is>
          <t>Yellow = enter data here.  Grey = calculated, do not edit.  Red = a required item is missing.  Blue / brown numbers = water above / below the soil surface.</t>
        </is>
      </c>
    </row>
    <row r="7">
      <c r="A7" s="46" t="inlineStr"/>
    </row>
    <row r="8">
      <c r="A8" s="47" t="inlineStr">
        <is>
          <t>Order of work / কাজের ক্রম</t>
        </is>
      </c>
    </row>
    <row r="9">
      <c r="A9" s="46" t="inlineStr">
        <is>
          <t>1. Setup: site name, place, variety, sowing date, seedling age, plot area and TP / b of both plots. The transplanting date and the schedule are calculated.</t>
        </is>
      </c>
    </row>
    <row r="10">
      <c r="A10" s="46" t="inlineStr">
        <is>
          <t>2. Schedule_Farmer: check the planned dates (yellow bars). Enter the planned dates of seed wetting, plowing and puddling. When work is done, enter the actual date (green bars).</t>
        </is>
      </c>
    </row>
    <row r="11">
      <c r="A11" s="46" t="inlineStr">
        <is>
          <t>3. Data_Farmer: one column per day (dates across). Every day enter the tape reading m of both plots. If you irrigated, enter m before and after irrigation. Rain, temperature, humidity, field condition, condition, work time, labour and notes as needed. Tillers: count 5 hills on the measurement days (see Calendar).</t>
        </is>
      </c>
    </row>
    <row r="12">
      <c r="A12" s="46" t="inlineStr">
        <is>
          <t>4. TP-b: after Pitan and mid-season drainage, measure TP and b again and add a row.</t>
        </is>
      </c>
    </row>
    <row r="13">
      <c r="A13" s="46" t="inlineStr">
        <is>
          <t>5. Other_info: seedbed and main-field work, fertilizer (kg) and pesticide. N and P per 10a are calculated from the plot area in Setup.</t>
        </is>
      </c>
    </row>
    <row r="14">
      <c r="A14" s="46" t="inlineStr">
        <is>
          <t>6. Today: what to do today, latest water level, totals and next events. Calendar: planned and actual dates of both plots at a glance. Graphs: water level, rain, cumulative irrigation, daily decrease, tillers.</t>
        </is>
      </c>
    </row>
    <row r="15">
      <c r="A15" s="46" t="inlineStr"/>
    </row>
    <row r="16">
      <c r="A16" s="47" t="inlineStr">
        <is>
          <t>For the administrator (once per site) / প্রশাসকের জন্য</t>
        </is>
      </c>
    </row>
    <row r="17">
      <c r="A17" s="46" t="inlineStr">
        <is>
          <t>Upload this file to Google Drive, open it and choose File &gt; Save as Google Sheets. Make one copy per site (File &gt; Make a copy). Share it with the users of the site as Editor, and with the coordinator as Viewer.</t>
        </is>
      </c>
    </row>
    <row r="18">
      <c r="A18" s="46" t="inlineStr">
        <is>
          <t>Lists in the drop-down cells can be changed in the tab "pull-down list" (add items at the end of a list).</t>
        </is>
      </c>
    </row>
    <row r="19">
      <c r="A19" s="46" t="inlineStr"/>
    </row>
    <row r="20">
      <c r="A20" s="47" t="inlineStr">
        <is>
          <t>Rules / নিয়ম</t>
        </is>
      </c>
    </row>
    <row r="21">
      <c r="A21" s="46" t="inlineStr">
        <is>
          <t>Do not insert or delete rows or columns in Data_Farmer and Schedule_Farmer. Keep the tab names. Do not change the first date of Data_Farmer after data entry has started (Setup).</t>
        </is>
      </c>
    </row>
    <row r="22">
      <c r="A22" s="46" t="inlineStr">
        <is>
          <t>Water level (cm) = m - TP + b. Irrigation (mm) = (level after - max(level before, 0)) x 10. Daily decrease (mm) = (level at the end of the previous day - level today) x 10. Tillers per hill = mean of the 2nd, 3rd and 4th largest of 5 hills.</t>
        </is>
      </c>
    </row>
    <row r="23">
      <c r="A23" s="46" t="inlineStr">
        <is>
          <t>Schedule rules follow the 3F4D+MD scheduling app (Professional mode); the numbers of days are in Setup. 3F4D manuals: English https://doi.org/10.5281/zenodo.22932287 , Bengali https://doi.org/10.5281/zenodo.23075395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2026-10-18T04:54:23Z</dcterms:created>
  <dcterms:modified xmlns:dcterms="http://purl.org/dc/terms/" xmlns:xsi="http://www.w3.org/2001/XMLSchema-instance" xsi:type="dcterms:W3CDTF">2026-10-18T04:54:23Z</dcterms:modified>
</cp:coreProperties>
</file>