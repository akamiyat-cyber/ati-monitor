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" sheetId="1" state="visible" r:id="rId1"/>
    <sheet xmlns:r="http://schemas.openxmlformats.org/officeDocument/2006/relationships" name="Daily" sheetId="2" state="visible" r:id="rId2"/>
    <sheet xmlns:r="http://schemas.openxmlformats.org/officeDocument/2006/relationships" name="Setup" sheetId="3" state="visible" r:id="rId3"/>
    <sheet xmlns:r="http://schemas.openxmlformats.org/officeDocument/2006/relationships" name="Schedule" sheetId="4" state="visible" r:id="rId4"/>
    <sheet xmlns:r="http://schemas.openxmlformats.org/officeDocument/2006/relationships" name="TP-b" sheetId="5" state="visible" r:id="rId5"/>
    <sheet xmlns:r="http://schemas.openxmlformats.org/officeDocument/2006/relationships" name="Fertilizer" sheetId="6" state="visible" r:id="rId6"/>
    <sheet xmlns:r="http://schemas.openxmlformats.org/officeDocument/2006/relationships" name="Pesticide" sheetId="7" state="visible" r:id="rId7"/>
    <sheet xmlns:r="http://schemas.openxmlformats.org/officeDocument/2006/relationships" name="Tillers" sheetId="8" state="visible" r:id="rId8"/>
    <sheet xmlns:r="http://schemas.openxmlformats.org/officeDocument/2006/relationships" name="Graphs" sheetId="9" state="visible" r:id="rId9"/>
    <sheet xmlns:r="http://schemas.openxmlformats.org/officeDocument/2006/relationships" name="Guide" sheetId="10" state="visible" r:id="rId10"/>
    <sheet xmlns:r="http://schemas.openxmlformats.org/officeDocument/2006/relationships" name="ChartData" sheetId="11" state="visible" r:id="rId11"/>
  </sheets>
  <definedNames>
    <definedName name="SiteName">Setup!$B$3</definedName>
    <definedName name="Place">Setup!$B$4</definedName>
    <definedName name="SowDate">Setup!$B$8</definedName>
    <definedName name="SeedAge">Setup!$B$9</definedName>
    <definedName name="TransDate">Setup!$B$10</definedName>
    <definedName name="Day0">Setup!$B$11</definedName>
    <definedName name="FP_TP">Setup!$D$14</definedName>
    <definedName name="FP_b">Setup!$E$14</definedName>
    <definedName name="MD_TP">Setup!$D$15</definedName>
    <definedName name="MD_b">Setup!$E$15</definedName>
    <definedName name="TPDate">Setup!$B$16</definedName>
    <definedName name="P0">Setup!$B$20</definedName>
    <definedName name="P1">Setup!$B$21</definedName>
    <definedName name="P2">Setup!$B$22</definedName>
    <definedName name="P3">Setup!$B$23</definedName>
    <definedName name="P4">Setup!$B$24</definedName>
    <definedName name="P5">Setup!$B$25</definedName>
    <definedName name="P6">Setup!$B$26</definedName>
    <definedName name="P7">Setup!$B$27</definedName>
    <definedName name="P8">Setup!$B$28</definedName>
    <definedName name="P9">Setup!$B$29</definedName>
    <definedName name="PitanS">Schedule!$I$3</definedName>
    <definedName name="PitanE">Schedule!$I$4</definedName>
    <definedName name="MDS">Schedule!$I$5</definedName>
    <definedName name="MDE">Schedule!$I$6</definedName>
    <definedName name="C1S">Schedule!$I$10</definedName>
    <definedName name="C3E">Schedule!$I$17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13">
    <font>
      <name val="Calibri"/>
      <family val="2"/>
      <color theme="1"/>
      <sz val="11"/>
      <scheme val="minor"/>
    </font>
    <font>
      <name val="Arial"/>
      <b val="1"/>
      <color rgb="000B6B53"/>
      <sz val="14"/>
    </font>
    <font>
      <name val="Arial"/>
      <color rgb="00000000"/>
      <sz val="11"/>
    </font>
    <font>
      <name val="Arial"/>
      <b val="1"/>
      <color rgb="000B6B53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color rgb="000B6B53"/>
      <sz val="9"/>
    </font>
    <font>
      <name val="Arial"/>
      <i val="1"/>
      <sz val="9"/>
    </font>
    <font>
      <name val="Arial"/>
      <b val="1"/>
      <color rgb="00B4570A"/>
      <sz val="9"/>
    </font>
    <font>
      <name val="Arial"/>
      <b val="1"/>
      <color rgb="000B6B53"/>
      <sz val="12"/>
    </font>
    <font>
      <name val="Arial"/>
      <b val="1"/>
      <color rgb="000B6B53"/>
      <sz val="15"/>
    </font>
  </fonts>
  <fills count="8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EEF2F0"/>
      </patternFill>
    </fill>
    <fill>
      <patternFill patternType="solid">
        <fgColor rgb="000B6B53"/>
      </patternFill>
    </fill>
    <fill>
      <patternFill patternType="solid">
        <fgColor rgb="004F6F63"/>
      </patternFill>
    </fill>
    <fill>
      <patternFill patternType="solid">
        <fgColor rgb="00D9EDE5"/>
      </patternFill>
    </fill>
    <fill>
      <patternFill patternType="solid">
        <fgColor rgb="00E4E9E6"/>
      </patternFill>
    </fill>
  </fills>
  <borders count="2">
    <border>
      <left/>
      <right/>
      <top/>
      <bottom/>
      <diagonal/>
    </border>
    <border>
      <left style="thin">
        <color rgb="00C9D6CF"/>
      </left>
      <right style="thin">
        <color rgb="00C9D6CF"/>
      </right>
      <top style="thin">
        <color rgb="00C9D6CF"/>
      </top>
      <bottom style="thin">
        <color rgb="00C9D6C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164" fontId="6" fillId="3" borderId="1" pivotButton="0" quotePrefix="0" xfId="0"/>
    <xf numFmtId="0" fontId="6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3" borderId="0" pivotButton="0" quotePrefix="0" xfId="0"/>
    <xf numFmtId="0" fontId="4" fillId="3" borderId="1" pivotButton="0" quotePrefix="0" xfId="0"/>
    <xf numFmtId="164" fontId="4" fillId="3" borderId="1" pivotButton="0" quotePrefix="0" xfId="0"/>
    <xf numFmtId="0" fontId="6" fillId="0" borderId="0" pivotButton="0" quotePrefix="0" xfId="0"/>
    <xf numFmtId="0" fontId="4" fillId="3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5" fillId="5" borderId="1" applyAlignment="1" pivotButton="0" quotePrefix="0" xfId="0">
      <alignment horizontal="center" vertical="center" wrapText="1"/>
    </xf>
    <xf numFmtId="164" fontId="4" fillId="2" borderId="1" pivotButton="0" quotePrefix="0" xfId="0"/>
    <xf numFmtId="0" fontId="4" fillId="2" borderId="1" pivotButton="0" quotePrefix="0" xfId="0"/>
    <xf numFmtId="164" fontId="4" fillId="3" borderId="0" pivotButton="0" quotePrefix="0" xfId="0"/>
    <xf numFmtId="0" fontId="10" fillId="3" borderId="0" pivotButton="0" quotePrefix="0" xfId="0"/>
    <xf numFmtId="0" fontId="1" fillId="0" borderId="0" pivotButton="0" quotePrefix="0" xfId="0"/>
    <xf numFmtId="164" fontId="0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9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B4570A"/>
      </font>
      <fill>
        <patternFill patternType="solid">
          <fgColor rgb="00FDECDC"/>
        </patternFill>
      </fill>
    </dxf>
    <dxf>
      <font>
        <name val="Arial"/>
        <b val="1"/>
        <color rgb="000A7A4B"/>
      </font>
    </dxf>
    <dxf>
      <font>
        <name val="Arial"/>
        <b val="1"/>
        <color rgb="00B4570A"/>
      </font>
    </dxf>
    <dxf>
      <fill>
        <patternFill patternType="solid">
          <fgColor rgb="00F8C9C9"/>
        </patternFill>
      </fill>
    </dxf>
    <dxf>
      <font>
        <name val="Arial"/>
        <b val="1"/>
        <color rgb="000B5394"/>
      </font>
    </dxf>
    <dxf>
      <font>
        <name val="Arial"/>
        <b val="1"/>
        <color rgb="008A4B0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Water level (cm)</a:t>
            </a:r>
          </a:p>
        </rich>
      </tx>
    </title>
    <plotArea>
      <scatterChart>
        <ser>
          <idx val="0"/>
          <order val="0"/>
          <tx>
            <strRef>
              <f>'ChartData'!C1</f>
            </strRef>
          </tx>
          <spPr>
            <a:ln xmlns:a="http://schemas.openxmlformats.org/drawingml/2006/main" w="22000">
              <a:solidFill>
                <a:srgbClr val="D55E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solidFill>
                  <a:srgbClr val="D55E00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'ChartData'!$C$2:$C$251</f>
            </numRef>
          </yVal>
        </ser>
        <ser>
          <idx val="1"/>
          <order val="1"/>
          <tx>
            <strRef>
              <f>'ChartData'!D1</f>
            </strRef>
          </tx>
          <spPr>
            <a:ln xmlns:a="http://schemas.openxmlformats.org/drawingml/2006/main" w="22000">
              <a:solidFill>
                <a:srgbClr val="0072B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'ChartData'!$D$2:$D$251</f>
            </numRef>
          </yVal>
        </ser>
        <ser>
          <idx val="2"/>
          <order val="2"/>
          <tx>
            <strRef>
              <f>'ChartData'!J1</f>
            </strRef>
          </tx>
          <spPr>
            <a:ln xmlns:a="http://schemas.openxmlformats.org/drawingml/2006/main" w="60000">
              <a:solidFill>
                <a:srgbClr val="009E7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'ChartData'!$J$2:$J$251</f>
            </numRef>
          </yVal>
        </ser>
        <ser>
          <idx val="3"/>
          <order val="3"/>
          <tx>
            <strRef>
              <f>'ChartData'!K1</f>
            </strRef>
          </tx>
          <spPr>
            <a:ln xmlns:a="http://schemas.openxmlformats.org/drawingml/2006/main" w="60000">
              <a:solidFill>
                <a:srgbClr val="E69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'ChartData'!$K$2:$K$251</f>
            </numRef>
          </yVal>
        </ser>
        <ser>
          <idx val="4"/>
          <order val="4"/>
          <tx>
            <strRef>
              <f>'ChartData'!L1</f>
            </strRef>
          </tx>
          <spPr>
            <a:ln xmlns:a="http://schemas.openxmlformats.org/drawingml/2006/main" w="60000">
              <a:solidFill>
                <a:srgbClr val="CC79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'ChartData'!$L$2:$L$251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Rain (mm)</a:t>
            </a:r>
          </a:p>
        </rich>
      </tx>
    </title>
    <plotArea>
      <scatterChart>
        <ser>
          <idx val="0"/>
          <order val="0"/>
          <tx>
            <strRef>
              <f>'ChartData'!E1</f>
            </strRef>
          </tx>
          <spPr>
            <a:ln xmlns:a="http://schemas.openxmlformats.org/drawingml/2006/main" w="12000">
              <a:noFill/>
              <a:solidFill>
                <a:srgbClr val="56B4E9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56B4E9"/>
              </a:solidFill>
              <a:ln xmlns:a="http://schemas.openxmlformats.org/drawingml/2006/main">
                <a:solidFill>
                  <a:srgbClr val="56B4E9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'ChartData'!$E$2:$E$251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irrigation (mm)</a:t>
            </a:r>
          </a:p>
        </rich>
      </tx>
    </title>
    <plotArea>
      <scatterChart>
        <ser>
          <idx val="0"/>
          <order val="0"/>
          <tx>
            <strRef>
              <f>'ChartData'!F1</f>
            </strRef>
          </tx>
          <spPr>
            <a:ln xmlns:a="http://schemas.openxmlformats.org/drawingml/2006/main" w="28000">
              <a:solidFill>
                <a:srgbClr val="D55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'ChartData'!$F$2:$F$251</f>
            </numRef>
          </yVal>
        </ser>
        <ser>
          <idx val="1"/>
          <order val="1"/>
          <tx>
            <strRef>
              <f>'ChartData'!G1</f>
            </strRef>
          </tx>
          <spPr>
            <a:ln xmlns:a="http://schemas.openxmlformats.org/drawingml/2006/main" w="28000">
              <a:solidFill>
                <a:srgbClr val="0072B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'ChartData'!$G$2:$G$251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water-level decrease (mm/day)</a:t>
            </a:r>
          </a:p>
        </rich>
      </tx>
    </title>
    <plotArea>
      <scatterChart>
        <ser>
          <idx val="0"/>
          <order val="0"/>
          <tx>
            <strRef>
              <f>'ChartData'!H1</f>
            </strRef>
          </tx>
          <spPr>
            <a:ln xmlns:a="http://schemas.openxmlformats.org/drawingml/2006/main" w="15000">
              <a:solidFill>
                <a:srgbClr val="D55E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solidFill>
                  <a:srgbClr val="D55E00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'ChartData'!$H$2:$H$251</f>
            </numRef>
          </yVal>
        </ser>
        <ser>
          <idx val="1"/>
          <order val="1"/>
          <tx>
            <strRef>
              <f>'ChartData'!I1</f>
            </strRef>
          </tx>
          <spPr>
            <a:ln xmlns:a="http://schemas.openxmlformats.org/drawingml/2006/main" w="15000">
              <a:solidFill>
                <a:srgbClr val="0072B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'ChartData'!$I$2:$I$251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Tillers per hill</a:t>
            </a:r>
          </a:p>
        </rich>
      </tx>
    </title>
    <plotArea>
      <scatterChart>
        <ser>
          <idx val="0"/>
          <order val="0"/>
          <tx>
            <strRef>
              <f>'Tillers'!J1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prstDash val="solid"/>
              </a:ln>
            </spPr>
          </marker>
          <xVal>
            <numRef>
              <f>'Tillers'!$A$2:$A$120</f>
            </numRef>
          </xVal>
          <yVal>
            <numRef>
              <f>'Tillers'!$J$2:$J$120</f>
            </numRef>
          </yVal>
        </ser>
        <ser>
          <idx val="1"/>
          <order val="1"/>
          <tx>
            <strRef>
              <f>'Tillers'!K1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prstDash val="solid"/>
              </a:ln>
            </spPr>
          </marker>
          <xVal>
            <numRef>
              <f>'Tillers'!$A$2:$A$120</f>
            </numRef>
          </xVal>
          <yVal>
            <numRef>
              <f>'Tillers'!$K$2:$K$120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tillers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100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39</row>
      <rowOff>0</rowOff>
    </from>
    <ext cx="50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39</row>
      <rowOff>0</rowOff>
    </from>
    <ext cx="50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59</row>
      <rowOff>0</rowOff>
    </from>
    <ext cx="504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14" customWidth="1" min="4" max="4"/>
  </cols>
  <sheetData>
    <row r="1">
      <c r="A1" s="1">
        <f>IF(SiteName="","3F4D Water Monitor",SiteName&amp;IF(Place="",""," - "&amp;Place))</f>
        <v/>
      </c>
    </row>
    <row r="3">
      <c r="A3" s="2" t="inlineStr">
        <is>
          <t>Today / আজ</t>
        </is>
      </c>
      <c r="B3" s="3">
        <f>TODAY()</f>
        <v/>
      </c>
    </row>
    <row r="4">
      <c r="A4" s="2" t="inlineStr">
        <is>
          <t>Days after transplanting / রোপণের পর দিন</t>
        </is>
      </c>
      <c r="B4" s="4">
        <f>IF(ISNUMBER(TransDate),TODAY()-TransDate,"")</f>
        <v/>
      </c>
    </row>
    <row r="5">
      <c r="A5" s="2" t="inlineStr">
        <is>
          <t>Today's water level / আজকের পানির স্তর</t>
        </is>
      </c>
      <c r="B5" s="4">
        <f>IF(COUNTIF(Daily!$A$3:$A$252,TODAY())&gt;0,"Entered","NOT YET ENTERED")</f>
        <v/>
      </c>
    </row>
    <row r="6">
      <c r="A6" s="2" t="inlineStr">
        <is>
          <t>Last entry / শেষ এন্ট্রি</t>
        </is>
      </c>
      <c r="B6" s="3">
        <f>IF(COUNT(Daily!$A$3:$A$252)=0,"",MAX(Daily!$A$3:$A$252))</f>
        <v/>
      </c>
    </row>
    <row r="7">
      <c r="A7" s="2" t="inlineStr">
        <is>
          <t>Days without entry</t>
        </is>
      </c>
      <c r="B7" s="4">
        <f>IF(B6="","",MAX(0,TODAY()-B6-1))</f>
        <v/>
      </c>
    </row>
    <row r="8">
      <c r="A8" s="2" t="inlineStr"/>
    </row>
    <row r="9">
      <c r="A9" s="5" t="inlineStr">
        <is>
          <t>Latest water level (cm)</t>
        </is>
      </c>
      <c r="B9" s="5" t="inlineStr">
        <is>
          <t>FP</t>
        </is>
      </c>
      <c r="C9" s="5" t="inlineStr">
        <is>
          <t>3F4D+MD</t>
        </is>
      </c>
    </row>
    <row r="10">
      <c r="A10" s="2" t="inlineStr">
        <is>
          <t>Date</t>
        </is>
      </c>
      <c r="B10" s="3">
        <f>IF(_xlfn.MAXIFS(Daily!$A$3:$A$252,Daily!$AA$3:$AA$252,1)=0,"",_xlfn.MAXIFS(Daily!$A$3:$A$252,Daily!$AA$3:$AA$252,1))</f>
        <v/>
      </c>
      <c r="C10" s="3">
        <f>IF(_xlfn.MAXIFS(Daily!$A$3:$A$252,Daily!$AL$3:$AL$252,1)=0,"",_xlfn.MAXIFS(Daily!$A$3:$A$252,Daily!$AL$3:$AL$252,1))</f>
        <v/>
      </c>
    </row>
    <row r="11">
      <c r="A11" s="2" t="inlineStr">
        <is>
          <t>Water level (cm, after irrigation if irrigated)</t>
        </is>
      </c>
      <c r="B11" s="4">
        <f>IF(B10="","",INDEX(Daily!$X$3:$X$252,MATCH(B10,Daily!$A$3:$A$252,0)))</f>
        <v/>
      </c>
      <c r="C11" s="4">
        <f>IF(C10="","",INDEX(Daily!$AI$3:$AI$252,MATCH(C10,Daily!$A$3:$A$252,0)))</f>
        <v/>
      </c>
    </row>
    <row r="12">
      <c r="A12" s="2" t="inlineStr">
        <is>
          <t>State</t>
        </is>
      </c>
      <c r="B12" s="4">
        <f>IF(B11="","",IF(B11&gt;0,"water above the soil surface",IF(B11&lt;0,"water below the soil surface","at the soil surface")))</f>
        <v/>
      </c>
      <c r="C12" s="4">
        <f>IF(C11="","",IF(C11&gt;0,"water above the soil surface",IF(C11&lt;0,"water below the soil surface","at the soil surface")))</f>
        <v/>
      </c>
    </row>
    <row r="13">
      <c r="A13" s="2" t="inlineStr"/>
    </row>
    <row r="14">
      <c r="A14" s="5" t="inlineStr">
        <is>
          <t>Totals</t>
        </is>
      </c>
      <c r="B14" s="5" t="inlineStr">
        <is>
          <t>FP</t>
        </is>
      </c>
      <c r="C14" s="5" t="inlineStr">
        <is>
          <t>3F4D+MD</t>
        </is>
      </c>
    </row>
    <row r="15">
      <c r="A15" s="2" t="inlineStr">
        <is>
          <t>Total irrigation (mm)</t>
        </is>
      </c>
      <c r="B15" s="4">
        <f>ROUND(SUM(Daily!$W$3:$W$252),0)</f>
        <v/>
      </c>
      <c r="C15" s="4">
        <f>ROUND(SUM(Daily!$AH$3:$AH$252),0)</f>
        <v/>
      </c>
    </row>
    <row r="16">
      <c r="A16" s="2" t="inlineStr">
        <is>
          <t>Number of irrigations</t>
        </is>
      </c>
      <c r="B16" s="4">
        <f>COUNTIFS(Daily!$F$3:$F$252,"Yes",Daily!$AA$3:$AA$252,1)</f>
        <v/>
      </c>
      <c r="C16" s="4">
        <f>COUNTIFS(Daily!$K$3:$K$252,"Yes",Daily!$AL$3:$AL$252,1)</f>
        <v/>
      </c>
    </row>
    <row r="17">
      <c r="A17" s="2" t="inlineStr">
        <is>
          <t>Water saving by 3F4D+MD (mm)</t>
        </is>
      </c>
      <c r="B17" s="4">
        <f>IF(B15=0,"",B15-C15)</f>
        <v/>
      </c>
      <c r="C17" s="4">
        <f>IF(OR(B15=0,B17=""),"",ROUND(100*B17/B15,0)&amp;" %")</f>
        <v/>
      </c>
    </row>
    <row r="18">
      <c r="A18" s="2" t="inlineStr"/>
    </row>
    <row r="19">
      <c r="A19" s="5" t="inlineStr">
        <is>
          <t>Schedule</t>
        </is>
      </c>
      <c r="B19" s="5" t="inlineStr">
        <is>
          <t>Event</t>
        </is>
      </c>
      <c r="C19" s="5" t="inlineStr">
        <is>
          <t>Date</t>
        </is>
      </c>
    </row>
    <row r="20">
      <c r="A20" s="2" t="inlineStr">
        <is>
          <t>Now</t>
        </is>
      </c>
      <c r="B20" s="6">
        <f>TRIM(IF(AND(ISNUMBER(MDS),ISNUMBER(MDE),TODAY()&gt;=MDS,TODAY()&lt;=MDE),"MD until "&amp;TEXT(MDE,"dd mmm")&amp;"  ","")&amp;IF(AND(ISNUMBER(PitanS),ISNUMBER(PitanE),TODAY()&gt;=PitanS,TODAY()&lt;=PitanE),"Pitan until "&amp;TEXT(PitanE,"dd mmm")&amp;"  ","")&amp;IF(AND(ISNUMBER(C1S),ISNUMBER(C3E),TODAY()&gt;=C1S,TODAY()&lt;=C3E),"3F4D until "&amp;TEXT(C3E,"dd mmm"),""))</f>
        <v/>
      </c>
    </row>
    <row r="21">
      <c r="A21" s="2" t="inlineStr">
        <is>
          <t>Next 1</t>
        </is>
      </c>
      <c r="B21" s="7">
        <f>IFERROR(INDEX(Schedule!$A$3:$A$19,MATCH(SMALL(Schedule!$J$3:$J$19,1),Schedule!$J$3:$J$19,0)),"")</f>
        <v/>
      </c>
      <c r="C21" s="8">
        <f>IFERROR(INT(SMALL(Schedule!$J$3:$J$19,1)),"")</f>
        <v/>
      </c>
      <c r="D21" s="7">
        <f>IF(C21="","",IF(C21-TODAY()=0,"today","in "&amp;(C21-TODAY())&amp;" days"))</f>
        <v/>
      </c>
    </row>
    <row r="22">
      <c r="A22" s="2" t="inlineStr">
        <is>
          <t>Next 2</t>
        </is>
      </c>
      <c r="B22" s="7">
        <f>IFERROR(INDEX(Schedule!$A$3:$A$19,MATCH(SMALL(Schedule!$J$3:$J$19,2),Schedule!$J$3:$J$19,0)),"")</f>
        <v/>
      </c>
      <c r="C22" s="8">
        <f>IFERROR(INT(SMALL(Schedule!$J$3:$J$19,2)),"")</f>
        <v/>
      </c>
      <c r="D22" s="7">
        <f>IF(C22="","",IF(C22-TODAY()=0,"today","in "&amp;(C22-TODAY())&amp;" days"))</f>
        <v/>
      </c>
    </row>
    <row r="23">
      <c r="A23" s="2" t="inlineStr">
        <is>
          <t>Next 3</t>
        </is>
      </c>
      <c r="B23" s="7">
        <f>IFERROR(INDEX(Schedule!$A$3:$A$19,MATCH(SMALL(Schedule!$J$3:$J$19,3),Schedule!$J$3:$J$19,0)),"")</f>
        <v/>
      </c>
      <c r="C23" s="8">
        <f>IFERROR(INT(SMALL(Schedule!$J$3:$J$19,3)),"")</f>
        <v/>
      </c>
      <c r="D23" s="7">
        <f>IF(C23="","",IF(C23-TODAY()=0,"today","in "&amp;(C23-TODAY())&amp;" days"))</f>
        <v/>
      </c>
    </row>
    <row r="24">
      <c r="A24" s="2" t="inlineStr">
        <is>
          <t>Actual date not entered (overdue)</t>
        </is>
      </c>
      <c r="B24" s="6">
        <f>COUNTIF(Schedule!$G$3:$G$19,"OVERDUE")</f>
        <v/>
      </c>
    </row>
    <row r="26">
      <c r="A26" s="9" t="inlineStr">
        <is>
          <t>Fertilizer applied (kg)</t>
        </is>
      </c>
    </row>
    <row r="27">
      <c r="A27" s="5" t="inlineStr">
        <is>
          <t>Fertilizer</t>
        </is>
      </c>
      <c r="B27" s="5" t="inlineStr">
        <is>
          <t>FP</t>
        </is>
      </c>
      <c r="C27" s="5" t="inlineStr">
        <is>
          <t>3F4D+MD</t>
        </is>
      </c>
    </row>
    <row r="28">
      <c r="A28" s="2" t="inlineStr">
        <is>
          <t>Urea</t>
        </is>
      </c>
      <c r="B28" s="7">
        <f>SUMIFS(Fertilizer!$C$2:$C$120,Fertilizer!$B$2:$B$120,"FP")+SUMIFS(Fertilizer!$C$2:$C$120,Fertilizer!$B$2:$B$120,"Both")</f>
        <v/>
      </c>
      <c r="C28" s="7">
        <f>SUMIFS(Fertilizer!$C$2:$C$120,Fertilizer!$B$2:$B$120,"3F4D+MD")+SUMIFS(Fertilizer!$C$2:$C$120,Fertilizer!$B$2:$B$120,"Both")</f>
        <v/>
      </c>
    </row>
    <row r="29">
      <c r="A29" s="2" t="inlineStr">
        <is>
          <t>TSP</t>
        </is>
      </c>
      <c r="B29" s="7">
        <f>SUMIFS(Fertilizer!$D$2:$D$120,Fertilizer!$B$2:$B$120,"FP")+SUMIFS(Fertilizer!$D$2:$D$120,Fertilizer!$B$2:$B$120,"Both")</f>
        <v/>
      </c>
      <c r="C29" s="7">
        <f>SUMIFS(Fertilizer!$D$2:$D$120,Fertilizer!$B$2:$B$120,"3F4D+MD")+SUMIFS(Fertilizer!$D$2:$D$120,Fertilizer!$B$2:$B$120,"Both")</f>
        <v/>
      </c>
    </row>
    <row r="30">
      <c r="A30" s="2" t="inlineStr">
        <is>
          <t>DAP</t>
        </is>
      </c>
      <c r="B30" s="7">
        <f>SUMIFS(Fertilizer!$E$2:$E$120,Fertilizer!$B$2:$B$120,"FP")+SUMIFS(Fertilizer!$E$2:$E$120,Fertilizer!$B$2:$B$120,"Both")</f>
        <v/>
      </c>
      <c r="C30" s="7">
        <f>SUMIFS(Fertilizer!$E$2:$E$120,Fertilizer!$B$2:$B$120,"3F4D+MD")+SUMIFS(Fertilizer!$E$2:$E$120,Fertilizer!$B$2:$B$120,"Both")</f>
        <v/>
      </c>
    </row>
    <row r="31">
      <c r="A31" s="2" t="inlineStr">
        <is>
          <t>Gypsum</t>
        </is>
      </c>
      <c r="B31" s="7">
        <f>SUMIFS(Fertilizer!$F$2:$F$120,Fertilizer!$B$2:$B$120,"FP")+SUMIFS(Fertilizer!$F$2:$F$120,Fertilizer!$B$2:$B$120,"Both")</f>
        <v/>
      </c>
      <c r="C31" s="7">
        <f>SUMIFS(Fertilizer!$F$2:$F$120,Fertilizer!$B$2:$B$120,"3F4D+MD")+SUMIFS(Fertilizer!$F$2:$F$120,Fertilizer!$B$2:$B$120,"Both")</f>
        <v/>
      </c>
    </row>
    <row r="32">
      <c r="A32" s="2" t="inlineStr">
        <is>
          <t>MOP</t>
        </is>
      </c>
      <c r="B32" s="7">
        <f>SUMIFS(Fertilizer!$G$2:$G$120,Fertilizer!$B$2:$B$120,"FP")+SUMIFS(Fertilizer!$G$2:$G$120,Fertilizer!$B$2:$B$120,"Both")</f>
        <v/>
      </c>
      <c r="C32" s="7">
        <f>SUMIFS(Fertilizer!$G$2:$G$120,Fertilizer!$B$2:$B$120,"3F4D+MD")+SUMIFS(Fertilizer!$G$2:$G$120,Fertilizer!$B$2:$B$120,"Both")</f>
        <v/>
      </c>
    </row>
    <row r="33">
      <c r="A33" s="2" t="inlineStr">
        <is>
          <t>Boron</t>
        </is>
      </c>
      <c r="B33" s="7">
        <f>SUMIFS(Fertilizer!$H$2:$H$120,Fertilizer!$B$2:$B$120,"FP")+SUMIFS(Fertilizer!$H$2:$H$120,Fertilizer!$B$2:$B$120,"Both")</f>
        <v/>
      </c>
      <c r="C33" s="7">
        <f>SUMIFS(Fertilizer!$H$2:$H$120,Fertilizer!$B$2:$B$120,"3F4D+MD")+SUMIFS(Fertilizer!$H$2:$H$120,Fertilizer!$B$2:$B$120,"Both")</f>
        <v/>
      </c>
    </row>
    <row r="34">
      <c r="A34" s="2" t="inlineStr">
        <is>
          <t>Zinc</t>
        </is>
      </c>
      <c r="B34" s="7">
        <f>SUMIFS(Fertilizer!$I$2:$I$120,Fertilizer!$B$2:$B$120,"FP")+SUMIFS(Fertilizer!$I$2:$I$120,Fertilizer!$B$2:$B$120,"Both")</f>
        <v/>
      </c>
      <c r="C34" s="7">
        <f>SUMIFS(Fertilizer!$I$2:$I$120,Fertilizer!$B$2:$B$120,"3F4D+MD")+SUMIFS(Fertilizer!$I$2:$I$120,Fertilizer!$B$2:$B$120,"Both")</f>
        <v/>
      </c>
    </row>
    <row r="35">
      <c r="A35" s="2" t="inlineStr">
        <is>
          <t>Magnesium</t>
        </is>
      </c>
      <c r="B35" s="7">
        <f>SUMIFS(Fertilizer!$J$2:$J$120,Fertilizer!$B$2:$B$120,"FP")+SUMIFS(Fertilizer!$J$2:$J$120,Fertilizer!$B$2:$B$120,"Both")</f>
        <v/>
      </c>
      <c r="C35" s="7">
        <f>SUMIFS(Fertilizer!$J$2:$J$120,Fertilizer!$B$2:$B$120,"3F4D+MD")+SUMIFS(Fertilizer!$J$2:$J$120,Fertilizer!$B$2:$B$120,"Both")</f>
        <v/>
      </c>
    </row>
    <row r="36">
      <c r="A36" s="2" t="inlineStr">
        <is>
          <t>Thiovit</t>
        </is>
      </c>
      <c r="B36" s="7">
        <f>SUMIFS(Fertilizer!$K$2:$K$120,Fertilizer!$B$2:$B$120,"FP")+SUMIFS(Fertilizer!$K$2:$K$120,Fertilizer!$B$2:$B$120,"Both")</f>
        <v/>
      </c>
      <c r="C36" s="7">
        <f>SUMIFS(Fertilizer!$K$2:$K$120,Fertilizer!$B$2:$B$120,"3F4D+MD")+SUMIFS(Fertilizer!$K$2:$K$120,Fertilizer!$B$2:$B$120,"Both")</f>
        <v/>
      </c>
    </row>
    <row r="38">
      <c r="A38" s="2" t="inlineStr">
        <is>
          <t>Pesticide applications</t>
        </is>
      </c>
      <c r="B38" s="10">
        <f>COUNTIFS(Pesticide!$B$2:$B$120,"FP",Pesticide!$A$2:$A$120,"&lt;&gt;")+COUNTIFS(Pesticide!$B$2:$B$120,"Both",Pesticide!$A$2:$A$120,"&lt;&gt;")</f>
        <v/>
      </c>
      <c r="C38" s="10">
        <f>COUNTIFS(Pesticide!$B$2:$B$120,"3F4D+MD",Pesticide!$A$2:$A$120,"&lt;&gt;")+COUNTIFS(Pesticide!$B$2:$B$120,"Both",Pesticide!$A$2:$A$120,"&lt;&gt;")</f>
        <v/>
      </c>
    </row>
  </sheetData>
  <mergeCells count="1">
    <mergeCell ref="B20:C20"/>
  </mergeCells>
  <conditionalFormatting sqref="B5">
    <cfRule type="expression" priority="1" dxfId="0">
      <formula>B5="NOT YET ENTERED"</formula>
    </cfRule>
    <cfRule type="expression" priority="2" dxfId="1">
      <formula>B5="Entered"</formula>
    </cfRule>
  </conditionalFormatting>
  <conditionalFormatting sqref="B7">
    <cfRule type="expression" priority="3" dxfId="2">
      <formula>AND(ISNUMBER(B7),B7&gt;0)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52"/>
  <sheetViews>
    <sheetView zoomScale="10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8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9" customWidth="1" min="11" max="11"/>
    <col width="10" customWidth="1" min="12" max="12"/>
    <col width="10" customWidth="1" min="13" max="13"/>
    <col width="10" customWidth="1" min="14" max="14"/>
    <col width="22" customWidth="1" min="15" max="15"/>
    <col width="7" customWidth="1" min="16" max="16"/>
    <col hidden="1" width="11" customWidth="1" min="17" max="17"/>
    <col hidden="1" width="9" customWidth="1" min="18" max="18"/>
    <col hidden="1" width="9" customWidth="1" min="19" max="19"/>
    <col width="9" customWidth="1" min="20" max="20"/>
    <col width="9" customWidth="1" min="21" max="21"/>
    <col width="9" customWidth="1" min="22" max="22"/>
    <col width="9" customWidth="1" min="23" max="23"/>
    <col hidden="1" width="9" customWidth="1" min="24" max="24"/>
    <col width="9" customWidth="1" min="25" max="25"/>
    <col width="9" customWidth="1" min="26" max="26"/>
    <col hidden="1" width="9" customWidth="1" min="27" max="27"/>
    <col hidden="1" width="11" customWidth="1" min="28" max="28"/>
    <col hidden="1" width="9" customWidth="1" min="29" max="29"/>
    <col hidden="1" width="9" customWidth="1" min="30" max="30"/>
    <col width="9" customWidth="1" min="31" max="31"/>
    <col width="9" customWidth="1" min="32" max="32"/>
    <col width="9" customWidth="1" min="33" max="33"/>
    <col width="9" customWidth="1" min="34" max="34"/>
    <col hidden="1" width="9" customWidth="1" min="35" max="35"/>
    <col width="9" customWidth="1" min="36" max="36"/>
    <col width="9" customWidth="1" min="37" max="37"/>
    <col hidden="1" width="9" customWidth="1" min="38" max="38"/>
    <col width="18" customWidth="1" min="39" max="39"/>
    <col width="26" customWidth="1" min="40" max="40"/>
    <col width="30" customWidth="1" min="41" max="41"/>
  </cols>
  <sheetData>
    <row r="1">
      <c r="A1" s="11" t="inlineStr">
        <is>
          <t>INPUT / তথ্য দিন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2" t="inlineStr">
        <is>
          <t>CALCULATED - do not edit / হিসাব</t>
        </is>
      </c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</row>
    <row r="2" ht="44" customHeight="1">
      <c r="A2" s="5" t="inlineStr">
        <is>
          <t>Date
তারিখ</t>
        </is>
      </c>
      <c r="B2" s="5" t="inlineStr">
        <is>
          <t>Rain (mm)
বৃষ্টি</t>
        </is>
      </c>
      <c r="C2" s="5" t="inlineStr">
        <is>
          <t>Temp (°C)
তাপমাত্রা</t>
        </is>
      </c>
      <c r="D2" s="5" t="inlineStr">
        <is>
          <t>RH (%)
আর্দ্রতা</t>
        </is>
      </c>
      <c r="E2" s="5" t="inlineStr">
        <is>
          <t>FP m (cm) *
FP m রিডিং</t>
        </is>
      </c>
      <c r="F2" s="5" t="inlineStr">
        <is>
          <t>FP irrigated?
FP সেচ?</t>
        </is>
      </c>
      <c r="G2" s="5" t="inlineStr">
        <is>
          <t>FP before (cm)
সেচের আগে</t>
        </is>
      </c>
      <c r="H2" s="5" t="inlineStr">
        <is>
          <t>FP after (cm)
সেচের পরে</t>
        </is>
      </c>
      <c r="I2" s="5" t="inlineStr">
        <is>
          <t>FP irrigation time
সেচের সময়</t>
        </is>
      </c>
      <c r="J2" s="5" t="inlineStr">
        <is>
          <t>3F4D+MD m (cm) *
3F4D+MD m রিডিং</t>
        </is>
      </c>
      <c r="K2" s="5" t="inlineStr">
        <is>
          <t>3F4D+MD irrigated?
3F4D+MD সেচ?</t>
        </is>
      </c>
      <c r="L2" s="5" t="inlineStr">
        <is>
          <t>3F4D+MD before (cm)
সেচের আগে</t>
        </is>
      </c>
      <c r="M2" s="5" t="inlineStr">
        <is>
          <t>3F4D+MD after (cm)
সেচের পরে</t>
        </is>
      </c>
      <c r="N2" s="5" t="inlineStr">
        <is>
          <t>3F4D+MD irrigation time
সেচের সময়</t>
        </is>
      </c>
      <c r="O2" s="5" t="inlineStr">
        <is>
          <t>Note
মন্তব্য</t>
        </is>
      </c>
      <c r="P2" s="5" t="inlineStr">
        <is>
          <t>DAT
রোপণের পর দিন</t>
        </is>
      </c>
      <c r="Q2" s="13" t="inlineStr">
        <is>
          <t>FP TP-b date</t>
        </is>
      </c>
      <c r="R2" s="13" t="inlineStr">
        <is>
          <t>FP TP</t>
        </is>
      </c>
      <c r="S2" s="13" t="inlineStr">
        <is>
          <t>FP b</t>
        </is>
      </c>
      <c r="T2" s="5" t="inlineStr">
        <is>
          <t>FP Water level (cm)
পানির স্তর</t>
        </is>
      </c>
      <c r="U2" s="5" t="inlineStr">
        <is>
          <t>FP Before (cm)
আগে</t>
        </is>
      </c>
      <c r="V2" s="5" t="inlineStr">
        <is>
          <t>FP After (cm)
পরে</t>
        </is>
      </c>
      <c r="W2" s="5" t="inlineStr">
        <is>
          <t>FP Irrigation (mm)
সেচ (মিমি)</t>
        </is>
      </c>
      <c r="X2" s="13" t="inlineStr">
        <is>
          <t>FP End of day (cm)
দিনশেষ</t>
        </is>
      </c>
      <c r="Y2" s="5" t="inlineStr">
        <is>
          <t>FP Cumulative (mm)
মোট সেচ</t>
        </is>
      </c>
      <c r="Z2" s="5" t="inlineStr">
        <is>
          <t>FP Daily decrease (mm)
দৈনিক হ্রাস</t>
        </is>
      </c>
      <c r="AA2" s="13" t="inlineStr">
        <is>
          <t>FP has WL</t>
        </is>
      </c>
      <c r="AB2" s="13" t="inlineStr">
        <is>
          <t>3F4D+MD TP-b date</t>
        </is>
      </c>
      <c r="AC2" s="13" t="inlineStr">
        <is>
          <t>3F4D+MD TP</t>
        </is>
      </c>
      <c r="AD2" s="13" t="inlineStr">
        <is>
          <t>3F4D+MD b</t>
        </is>
      </c>
      <c r="AE2" s="5" t="inlineStr">
        <is>
          <t>3F4D+MD Water level (cm)
পানির স্তর</t>
        </is>
      </c>
      <c r="AF2" s="5" t="inlineStr">
        <is>
          <t>3F4D+MD Before (cm)
আগে</t>
        </is>
      </c>
      <c r="AG2" s="5" t="inlineStr">
        <is>
          <t>3F4D+MD After (cm)
পরে</t>
        </is>
      </c>
      <c r="AH2" s="5" t="inlineStr">
        <is>
          <t>3F4D+MD Irrigation (mm)
সেচ (মিমি)</t>
        </is>
      </c>
      <c r="AI2" s="13" t="inlineStr">
        <is>
          <t>3F4D+MD End of day (cm)
দিনশেষ</t>
        </is>
      </c>
      <c r="AJ2" s="5" t="inlineStr">
        <is>
          <t>3F4D+MD Cumulative (mm)
মোট সেচ</t>
        </is>
      </c>
      <c r="AK2" s="5" t="inlineStr">
        <is>
          <t>3F4D+MD Daily decrease (mm)
দৈনিক হ্রাস</t>
        </is>
      </c>
      <c r="AL2" s="13" t="inlineStr">
        <is>
          <t>3F4D+MD has WL</t>
        </is>
      </c>
      <c r="AM2" s="5" t="inlineStr">
        <is>
          <t>Check (day)
পরীক্ষা</t>
        </is>
      </c>
      <c r="AN2" s="5" t="inlineStr">
        <is>
          <t>Check FP</t>
        </is>
      </c>
      <c r="AO2" s="5" t="inlineStr">
        <is>
          <t>Check 3F4D+MD</t>
        </is>
      </c>
    </row>
    <row r="3">
      <c r="A3" s="14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0">
        <f>IF(OR($A3="",NOT(ISNUMBER(TransDate))),"",$A3-TransDate)</f>
        <v/>
      </c>
      <c r="Q3" s="16">
        <f>IF($A3="","",IF(_xlfn.MAXIFS('TP-b'!$B$2:$B$60,'TP-b'!$A$2:$A$60,"FP",'TP-b'!$E$2:$E$60,1,'TP-b'!$B$2:$B$60,"&lt;="&amp;$A3)&gt;0,_xlfn.MAXIFS('TP-b'!$B$2:$B$60,'TP-b'!$A$2:$A$60,"FP",'TP-b'!$E$2:$E$60,1,'TP-b'!$B$2:$B$60,"&lt;="&amp;$A3),IF(_xlfn.MINIFS('TP-b'!$B$2:$B$60,'TP-b'!$A$2:$A$60,"FP",'TP-b'!$E$2:$E$60,1)&gt;0,_xlfn.MINIFS('TP-b'!$B$2:$B$60,'TP-b'!$A$2:$A$60,"FP",'TP-b'!$E$2:$E$60,1),"")))</f>
        <v/>
      </c>
      <c r="R3" s="10">
        <f>IF(Q3="","",AVERAGEIFS('TP-b'!$C$2:$C$60,'TP-b'!$A$2:$A$60,"FP",'TP-b'!$B$2:$B$60,Q3,'TP-b'!$E$2:$E$60,1))</f>
        <v/>
      </c>
      <c r="S3" s="10">
        <f>IF(Q3="","",AVERAGEIFS('TP-b'!$D$2:$D$60,'TP-b'!$A$2:$A$60,"FP",'TP-b'!$B$2:$B$60,Q3,'TP-b'!$E$2:$E$60,1))</f>
        <v/>
      </c>
      <c r="T3" s="10">
        <f>IF(OR($A3="",NOT(ISNUMBER($E3)),R3=""),"",ROUND($E3-R3+S3,1))</f>
        <v/>
      </c>
      <c r="U3" s="10">
        <f>IF(AND($F3="Yes",ISNUMBER($G3),R3&lt;&gt;""),ROUND($G3-R3+S3,1),"")</f>
        <v/>
      </c>
      <c r="V3" s="10">
        <f>IF(AND($F3="Yes",ISNUMBER($H3),R3&lt;&gt;""),ROUND($H3-R3+S3,1),"")</f>
        <v/>
      </c>
      <c r="W3" s="10">
        <f>IF(AND(ISNUMBER($E3),ISNUMBER(U3),ISNUMBER(V3)),ROUND((V3-MAX(U3,0))*10,1),"")</f>
        <v/>
      </c>
      <c r="X3" s="10">
        <f>IF(T3="","",IF(AND($F3="Yes",ISNUMBER(V3)),V3,T3))</f>
        <v/>
      </c>
      <c r="Y3" s="10">
        <f>IF(T3="","",ROUND(SUMIFS($W$3:$W$252,$A$3:$A$252,"&lt;="&amp;$A3),1))</f>
        <v/>
      </c>
      <c r="Z3" s="10">
        <f>IF(OR(T3="",$A3=""),"",IF(ISNUMBER(IFERROR(INDEX($X$3:$X$252,MATCH($A3-1,$A$3:$A$252,0)),"")),ROUND((INDEX($X$3:$X$252,MATCH($A3-1,$A$3:$A$252,0))-T3)*10,1),""))</f>
        <v/>
      </c>
      <c r="AA3" s="10">
        <f>IF(ISNUMBER(T3),1,0)</f>
        <v/>
      </c>
      <c r="AB3" s="16">
        <f>IF($A3="","",IF(_xlfn.MAXIFS('TP-b'!$B$2:$B$60,'TP-b'!$A$2:$A$60,"3F4D+MD",'TP-b'!$E$2:$E$60,1,'TP-b'!$B$2:$B$60,"&lt;="&amp;$A3)&gt;0,_xlfn.MAXIFS('TP-b'!$B$2:$B$60,'TP-b'!$A$2:$A$60,"3F4D+MD",'TP-b'!$E$2:$E$60,1,'TP-b'!$B$2:$B$60,"&lt;="&amp;$A3),IF(_xlfn.MINIFS('TP-b'!$B$2:$B$60,'TP-b'!$A$2:$A$60,"3F4D+MD",'TP-b'!$E$2:$E$60,1)&gt;0,_xlfn.MINIFS('TP-b'!$B$2:$B$60,'TP-b'!$A$2:$A$60,"3F4D+MD",'TP-b'!$E$2:$E$60,1),"")))</f>
        <v/>
      </c>
      <c r="AC3" s="10">
        <f>IF(AB3="","",AVERAGEIFS('TP-b'!$C$2:$C$60,'TP-b'!$A$2:$A$60,"3F4D+MD",'TP-b'!$B$2:$B$60,AB3,'TP-b'!$E$2:$E$60,1))</f>
        <v/>
      </c>
      <c r="AD3" s="10">
        <f>IF(AB3="","",AVERAGEIFS('TP-b'!$D$2:$D$60,'TP-b'!$A$2:$A$60,"3F4D+MD",'TP-b'!$B$2:$B$60,AB3,'TP-b'!$E$2:$E$60,1))</f>
        <v/>
      </c>
      <c r="AE3" s="10">
        <f>IF(OR($A3="",NOT(ISNUMBER($J3)),AC3=""),"",ROUND($J3-AC3+AD3,1))</f>
        <v/>
      </c>
      <c r="AF3" s="10">
        <f>IF(AND($K3="Yes",ISNUMBER($L3),AC3&lt;&gt;""),ROUND($L3-AC3+AD3,1),"")</f>
        <v/>
      </c>
      <c r="AG3" s="10">
        <f>IF(AND($K3="Yes",ISNUMBER($M3),AC3&lt;&gt;""),ROUND($M3-AC3+AD3,1),"")</f>
        <v/>
      </c>
      <c r="AH3" s="10">
        <f>IF(AND(ISNUMBER($J3),ISNUMBER(AF3),ISNUMBER(AG3)),ROUND((AG3-MAX(AF3,0))*10,1),"")</f>
        <v/>
      </c>
      <c r="AI3" s="10">
        <f>IF(AE3="","",IF(AND($K3="Yes",ISNUMBER(AG3)),AG3,AE3))</f>
        <v/>
      </c>
      <c r="AJ3" s="10">
        <f>IF(AE3="","",ROUND(SUMIFS($AH$3:$AH$252,$A$3:$A$252,"&lt;="&amp;$A3),1))</f>
        <v/>
      </c>
      <c r="AK3" s="10">
        <f>IF(OR(AE3="",$A3=""),"",IF(ISNUMBER(IFERROR(INDEX($AI$3:$AI$252,MATCH($A3-1,$A$3:$A$252,0)),"")),ROUND((INDEX($AI$3:$AI$252,MATCH($A3-1,$A$3:$A$252,0))-AE3)*10,1),""))</f>
        <v/>
      </c>
      <c r="AL3" s="10">
        <f>IF(ISNUMBER(AE3),1,0)</f>
        <v/>
      </c>
      <c r="AM3" s="17">
        <f>IF($A3="","",IF(COUNTIF($A$3:$A$252,$A3)&gt;1,"same date twice; ","")&amp;IF(AND(ISNUMBER($B3),OR($B3&lt;0,$B3&gt;300)),"rain out of range; ","")&amp;IF(AND(ISNUMBER($C3),OR($C3&lt;0,$C3&gt;45)),"temp out of range; ","")&amp;IF(AND(ISNUMBER($D3),OR($D3&lt;0,$D3&gt;100)),"RH out of range; ",""))</f>
        <v/>
      </c>
      <c r="AN3" s="17">
        <f>IF($A3="","",IF(AND(ISNUMBER(T3),OR(T3&lt;-30,T3&gt;20)),"WL out of range; ","")&amp;IF(AND(ISNUMBER($E3),T3=""),"no TP/b; ","")&amp;IF(AND(ISNUMBER(U3),ISNUMBER(V3)),IF(V3&lt;U3,"After&lt;Before; ",""),"")&amp;IF(AND($F3="Yes",ISNUMBER($E3),W3=""),"irrigation readings missing; ","")&amp;IF(ISNUMBER(Z3),IF(AND(ABS(Z3)&gt;50,NOT(N($B3)&gt;0)),"WL jump &gt;5 cm; ",""),""))</f>
        <v/>
      </c>
      <c r="AO3" s="17">
        <f>IF($A3="","",IF(AND(ISNUMBER(AE3),OR(AE3&lt;-30,AE3&gt;20)),"WL out of range; ","")&amp;IF(AND(ISNUMBER($J3),AE3=""),"no TP/b; ","")&amp;IF(AND(ISNUMBER(AF3),ISNUMBER(AG3)),IF(AG3&lt;AF3,"After&lt;Before; ",""),"")&amp;IF(AND($K3="Yes",ISNUMBER($J3),AH3=""),"irrigation readings missing; ","")&amp;IF(ISNUMBER(AK3),IF(AND(ABS(AK3)&gt;50,NOT(N($B3)&gt;0)),"WL jump &gt;5 cm; ",""),"")&amp;IF(AND(ISNUMBER(PitanE),ISNUMBER(AB3),$A3&gt;PitanE+2,AB3&lt;PitanE),"re-measure TP/b after Pitan; ",""))</f>
        <v/>
      </c>
    </row>
    <row r="4">
      <c r="A4" s="14" t="n"/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0">
        <f>IF(OR($A4="",NOT(ISNUMBER(TransDate))),"",$A4-TransDate)</f>
        <v/>
      </c>
      <c r="Q4" s="16">
        <f>IF($A4="","",IF(_xlfn.MAXIFS('TP-b'!$B$2:$B$60,'TP-b'!$A$2:$A$60,"FP",'TP-b'!$E$2:$E$60,1,'TP-b'!$B$2:$B$60,"&lt;="&amp;$A4)&gt;0,_xlfn.MAXIFS('TP-b'!$B$2:$B$60,'TP-b'!$A$2:$A$60,"FP",'TP-b'!$E$2:$E$60,1,'TP-b'!$B$2:$B$60,"&lt;="&amp;$A4),IF(_xlfn.MINIFS('TP-b'!$B$2:$B$60,'TP-b'!$A$2:$A$60,"FP",'TP-b'!$E$2:$E$60,1)&gt;0,_xlfn.MINIFS('TP-b'!$B$2:$B$60,'TP-b'!$A$2:$A$60,"FP",'TP-b'!$E$2:$E$60,1),"")))</f>
        <v/>
      </c>
      <c r="R4" s="10">
        <f>IF(Q4="","",AVERAGEIFS('TP-b'!$C$2:$C$60,'TP-b'!$A$2:$A$60,"FP",'TP-b'!$B$2:$B$60,Q4,'TP-b'!$E$2:$E$60,1))</f>
        <v/>
      </c>
      <c r="S4" s="10">
        <f>IF(Q4="","",AVERAGEIFS('TP-b'!$D$2:$D$60,'TP-b'!$A$2:$A$60,"FP",'TP-b'!$B$2:$B$60,Q4,'TP-b'!$E$2:$E$60,1))</f>
        <v/>
      </c>
      <c r="T4" s="10">
        <f>IF(OR($A4="",NOT(ISNUMBER($E4)),R4=""),"",ROUND($E4-R4+S4,1))</f>
        <v/>
      </c>
      <c r="U4" s="10">
        <f>IF(AND($F4="Yes",ISNUMBER($G4),R4&lt;&gt;""),ROUND($G4-R4+S4,1),"")</f>
        <v/>
      </c>
      <c r="V4" s="10">
        <f>IF(AND($F4="Yes",ISNUMBER($H4),R4&lt;&gt;""),ROUND($H4-R4+S4,1),"")</f>
        <v/>
      </c>
      <c r="W4" s="10">
        <f>IF(AND(ISNUMBER($E4),ISNUMBER(U4),ISNUMBER(V4)),ROUND((V4-MAX(U4,0))*10,1),"")</f>
        <v/>
      </c>
      <c r="X4" s="10">
        <f>IF(T4="","",IF(AND($F4="Yes",ISNUMBER(V4)),V4,T4))</f>
        <v/>
      </c>
      <c r="Y4" s="10">
        <f>IF(T4="","",ROUND(SUMIFS($W$3:$W$252,$A$3:$A$252,"&lt;="&amp;$A4),1))</f>
        <v/>
      </c>
      <c r="Z4" s="10">
        <f>IF(OR(T4="",$A4=""),"",IF(ISNUMBER(IFERROR(INDEX($X$3:$X$252,MATCH($A4-1,$A$3:$A$252,0)),"")),ROUND((INDEX($X$3:$X$252,MATCH($A4-1,$A$3:$A$252,0))-T4)*10,1),""))</f>
        <v/>
      </c>
      <c r="AA4" s="10">
        <f>IF(ISNUMBER(T4),1,0)</f>
        <v/>
      </c>
      <c r="AB4" s="16">
        <f>IF($A4="","",IF(_xlfn.MAXIFS('TP-b'!$B$2:$B$60,'TP-b'!$A$2:$A$60,"3F4D+MD",'TP-b'!$E$2:$E$60,1,'TP-b'!$B$2:$B$60,"&lt;="&amp;$A4)&gt;0,_xlfn.MAXIFS('TP-b'!$B$2:$B$60,'TP-b'!$A$2:$A$60,"3F4D+MD",'TP-b'!$E$2:$E$60,1,'TP-b'!$B$2:$B$60,"&lt;="&amp;$A4),IF(_xlfn.MINIFS('TP-b'!$B$2:$B$60,'TP-b'!$A$2:$A$60,"3F4D+MD",'TP-b'!$E$2:$E$60,1)&gt;0,_xlfn.MINIFS('TP-b'!$B$2:$B$60,'TP-b'!$A$2:$A$60,"3F4D+MD",'TP-b'!$E$2:$E$60,1),"")))</f>
        <v/>
      </c>
      <c r="AC4" s="10">
        <f>IF(AB4="","",AVERAGEIFS('TP-b'!$C$2:$C$60,'TP-b'!$A$2:$A$60,"3F4D+MD",'TP-b'!$B$2:$B$60,AB4,'TP-b'!$E$2:$E$60,1))</f>
        <v/>
      </c>
      <c r="AD4" s="10">
        <f>IF(AB4="","",AVERAGEIFS('TP-b'!$D$2:$D$60,'TP-b'!$A$2:$A$60,"3F4D+MD",'TP-b'!$B$2:$B$60,AB4,'TP-b'!$E$2:$E$60,1))</f>
        <v/>
      </c>
      <c r="AE4" s="10">
        <f>IF(OR($A4="",NOT(ISNUMBER($J4)),AC4=""),"",ROUND($J4-AC4+AD4,1))</f>
        <v/>
      </c>
      <c r="AF4" s="10">
        <f>IF(AND($K4="Yes",ISNUMBER($L4),AC4&lt;&gt;""),ROUND($L4-AC4+AD4,1),"")</f>
        <v/>
      </c>
      <c r="AG4" s="10">
        <f>IF(AND($K4="Yes",ISNUMBER($M4),AC4&lt;&gt;""),ROUND($M4-AC4+AD4,1),"")</f>
        <v/>
      </c>
      <c r="AH4" s="10">
        <f>IF(AND(ISNUMBER($J4),ISNUMBER(AF4),ISNUMBER(AG4)),ROUND((AG4-MAX(AF4,0))*10,1),"")</f>
        <v/>
      </c>
      <c r="AI4" s="10">
        <f>IF(AE4="","",IF(AND($K4="Yes",ISNUMBER(AG4)),AG4,AE4))</f>
        <v/>
      </c>
      <c r="AJ4" s="10">
        <f>IF(AE4="","",ROUND(SUMIFS($AH$3:$AH$252,$A$3:$A$252,"&lt;="&amp;$A4),1))</f>
        <v/>
      </c>
      <c r="AK4" s="10">
        <f>IF(OR(AE4="",$A4=""),"",IF(ISNUMBER(IFERROR(INDEX($AI$3:$AI$252,MATCH($A4-1,$A$3:$A$252,0)),"")),ROUND((INDEX($AI$3:$AI$252,MATCH($A4-1,$A$3:$A$252,0))-AE4)*10,1),""))</f>
        <v/>
      </c>
      <c r="AL4" s="10">
        <f>IF(ISNUMBER(AE4),1,0)</f>
        <v/>
      </c>
      <c r="AM4" s="17">
        <f>IF($A4="","",IF(COUNTIF($A$3:$A$252,$A4)&gt;1,"same date twice; ","")&amp;IF(AND(ISNUMBER($B4),OR($B4&lt;0,$B4&gt;300)),"rain out of range; ","")&amp;IF(AND(ISNUMBER($C4),OR($C4&lt;0,$C4&gt;45)),"temp out of range; ","")&amp;IF(AND(ISNUMBER($D4),OR($D4&lt;0,$D4&gt;100)),"RH out of range; ",""))</f>
        <v/>
      </c>
      <c r="AN4" s="17">
        <f>IF($A4="","",IF(AND(ISNUMBER(T4),OR(T4&lt;-30,T4&gt;20)),"WL out of range; ","")&amp;IF(AND(ISNUMBER($E4),T4=""),"no TP/b; ","")&amp;IF(AND(ISNUMBER(U4),ISNUMBER(V4)),IF(V4&lt;U4,"After&lt;Before; ",""),"")&amp;IF(AND($F4="Yes",ISNUMBER($E4),W4=""),"irrigation readings missing; ","")&amp;IF(ISNUMBER(Z4),IF(AND(ABS(Z4)&gt;50,NOT(N($B4)&gt;0)),"WL jump &gt;5 cm; ",""),""))</f>
        <v/>
      </c>
      <c r="AO4" s="17">
        <f>IF($A4="","",IF(AND(ISNUMBER(AE4),OR(AE4&lt;-30,AE4&gt;20)),"WL out of range; ","")&amp;IF(AND(ISNUMBER($J4),AE4=""),"no TP/b; ","")&amp;IF(AND(ISNUMBER(AF4),ISNUMBER(AG4)),IF(AG4&lt;AF4,"After&lt;Before; ",""),"")&amp;IF(AND($K4="Yes",ISNUMBER($J4),AH4=""),"irrigation readings missing; ","")&amp;IF(ISNUMBER(AK4),IF(AND(ABS(AK4)&gt;50,NOT(N($B4)&gt;0)),"WL jump &gt;5 cm; ",""),"")&amp;IF(AND(ISNUMBER(PitanE),ISNUMBER(AB4),$A4&gt;PitanE+2,AB4&lt;PitanE),"re-measure TP/b after Pitan; ",""))</f>
        <v/>
      </c>
    </row>
    <row r="5">
      <c r="A5" s="14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0">
        <f>IF(OR($A5="",NOT(ISNUMBER(TransDate))),"",$A5-TransDate)</f>
        <v/>
      </c>
      <c r="Q5" s="16">
        <f>IF($A5="","",IF(_xlfn.MAXIFS('TP-b'!$B$2:$B$60,'TP-b'!$A$2:$A$60,"FP",'TP-b'!$E$2:$E$60,1,'TP-b'!$B$2:$B$60,"&lt;="&amp;$A5)&gt;0,_xlfn.MAXIFS('TP-b'!$B$2:$B$60,'TP-b'!$A$2:$A$60,"FP",'TP-b'!$E$2:$E$60,1,'TP-b'!$B$2:$B$60,"&lt;="&amp;$A5),IF(_xlfn.MINIFS('TP-b'!$B$2:$B$60,'TP-b'!$A$2:$A$60,"FP",'TP-b'!$E$2:$E$60,1)&gt;0,_xlfn.MINIFS('TP-b'!$B$2:$B$60,'TP-b'!$A$2:$A$60,"FP",'TP-b'!$E$2:$E$60,1),"")))</f>
        <v/>
      </c>
      <c r="R5" s="10">
        <f>IF(Q5="","",AVERAGEIFS('TP-b'!$C$2:$C$60,'TP-b'!$A$2:$A$60,"FP",'TP-b'!$B$2:$B$60,Q5,'TP-b'!$E$2:$E$60,1))</f>
        <v/>
      </c>
      <c r="S5" s="10">
        <f>IF(Q5="","",AVERAGEIFS('TP-b'!$D$2:$D$60,'TP-b'!$A$2:$A$60,"FP",'TP-b'!$B$2:$B$60,Q5,'TP-b'!$E$2:$E$60,1))</f>
        <v/>
      </c>
      <c r="T5" s="10">
        <f>IF(OR($A5="",NOT(ISNUMBER($E5)),R5=""),"",ROUND($E5-R5+S5,1))</f>
        <v/>
      </c>
      <c r="U5" s="10">
        <f>IF(AND($F5="Yes",ISNUMBER($G5),R5&lt;&gt;""),ROUND($G5-R5+S5,1),"")</f>
        <v/>
      </c>
      <c r="V5" s="10">
        <f>IF(AND($F5="Yes",ISNUMBER($H5),R5&lt;&gt;""),ROUND($H5-R5+S5,1),"")</f>
        <v/>
      </c>
      <c r="W5" s="10">
        <f>IF(AND(ISNUMBER($E5),ISNUMBER(U5),ISNUMBER(V5)),ROUND((V5-MAX(U5,0))*10,1),"")</f>
        <v/>
      </c>
      <c r="X5" s="10">
        <f>IF(T5="","",IF(AND($F5="Yes",ISNUMBER(V5)),V5,T5))</f>
        <v/>
      </c>
      <c r="Y5" s="10">
        <f>IF(T5="","",ROUND(SUMIFS($W$3:$W$252,$A$3:$A$252,"&lt;="&amp;$A5),1))</f>
        <v/>
      </c>
      <c r="Z5" s="10">
        <f>IF(OR(T5="",$A5=""),"",IF(ISNUMBER(IFERROR(INDEX($X$3:$X$252,MATCH($A5-1,$A$3:$A$252,0)),"")),ROUND((INDEX($X$3:$X$252,MATCH($A5-1,$A$3:$A$252,0))-T5)*10,1),""))</f>
        <v/>
      </c>
      <c r="AA5" s="10">
        <f>IF(ISNUMBER(T5),1,0)</f>
        <v/>
      </c>
      <c r="AB5" s="16">
        <f>IF($A5="","",IF(_xlfn.MAXIFS('TP-b'!$B$2:$B$60,'TP-b'!$A$2:$A$60,"3F4D+MD",'TP-b'!$E$2:$E$60,1,'TP-b'!$B$2:$B$60,"&lt;="&amp;$A5)&gt;0,_xlfn.MAXIFS('TP-b'!$B$2:$B$60,'TP-b'!$A$2:$A$60,"3F4D+MD",'TP-b'!$E$2:$E$60,1,'TP-b'!$B$2:$B$60,"&lt;="&amp;$A5),IF(_xlfn.MINIFS('TP-b'!$B$2:$B$60,'TP-b'!$A$2:$A$60,"3F4D+MD",'TP-b'!$E$2:$E$60,1)&gt;0,_xlfn.MINIFS('TP-b'!$B$2:$B$60,'TP-b'!$A$2:$A$60,"3F4D+MD",'TP-b'!$E$2:$E$60,1),"")))</f>
        <v/>
      </c>
      <c r="AC5" s="10">
        <f>IF(AB5="","",AVERAGEIFS('TP-b'!$C$2:$C$60,'TP-b'!$A$2:$A$60,"3F4D+MD",'TP-b'!$B$2:$B$60,AB5,'TP-b'!$E$2:$E$60,1))</f>
        <v/>
      </c>
      <c r="AD5" s="10">
        <f>IF(AB5="","",AVERAGEIFS('TP-b'!$D$2:$D$60,'TP-b'!$A$2:$A$60,"3F4D+MD",'TP-b'!$B$2:$B$60,AB5,'TP-b'!$E$2:$E$60,1))</f>
        <v/>
      </c>
      <c r="AE5" s="10">
        <f>IF(OR($A5="",NOT(ISNUMBER($J5)),AC5=""),"",ROUND($J5-AC5+AD5,1))</f>
        <v/>
      </c>
      <c r="AF5" s="10">
        <f>IF(AND($K5="Yes",ISNUMBER($L5),AC5&lt;&gt;""),ROUND($L5-AC5+AD5,1),"")</f>
        <v/>
      </c>
      <c r="AG5" s="10">
        <f>IF(AND($K5="Yes",ISNUMBER($M5),AC5&lt;&gt;""),ROUND($M5-AC5+AD5,1),"")</f>
        <v/>
      </c>
      <c r="AH5" s="10">
        <f>IF(AND(ISNUMBER($J5),ISNUMBER(AF5),ISNUMBER(AG5)),ROUND((AG5-MAX(AF5,0))*10,1),"")</f>
        <v/>
      </c>
      <c r="AI5" s="10">
        <f>IF(AE5="","",IF(AND($K5="Yes",ISNUMBER(AG5)),AG5,AE5))</f>
        <v/>
      </c>
      <c r="AJ5" s="10">
        <f>IF(AE5="","",ROUND(SUMIFS($AH$3:$AH$252,$A$3:$A$252,"&lt;="&amp;$A5),1))</f>
        <v/>
      </c>
      <c r="AK5" s="10">
        <f>IF(OR(AE5="",$A5=""),"",IF(ISNUMBER(IFERROR(INDEX($AI$3:$AI$252,MATCH($A5-1,$A$3:$A$252,0)),"")),ROUND((INDEX($AI$3:$AI$252,MATCH($A5-1,$A$3:$A$252,0))-AE5)*10,1),""))</f>
        <v/>
      </c>
      <c r="AL5" s="10">
        <f>IF(ISNUMBER(AE5),1,0)</f>
        <v/>
      </c>
      <c r="AM5" s="17">
        <f>IF($A5="","",IF(COUNTIF($A$3:$A$252,$A5)&gt;1,"same date twice; ","")&amp;IF(AND(ISNUMBER($B5),OR($B5&lt;0,$B5&gt;300)),"rain out of range; ","")&amp;IF(AND(ISNUMBER($C5),OR($C5&lt;0,$C5&gt;45)),"temp out of range; ","")&amp;IF(AND(ISNUMBER($D5),OR($D5&lt;0,$D5&gt;100)),"RH out of range; ",""))</f>
        <v/>
      </c>
      <c r="AN5" s="17">
        <f>IF($A5="","",IF(AND(ISNUMBER(T5),OR(T5&lt;-30,T5&gt;20)),"WL out of range; ","")&amp;IF(AND(ISNUMBER($E5),T5=""),"no TP/b; ","")&amp;IF(AND(ISNUMBER(U5),ISNUMBER(V5)),IF(V5&lt;U5,"After&lt;Before; ",""),"")&amp;IF(AND($F5="Yes",ISNUMBER($E5),W5=""),"irrigation readings missing; ","")&amp;IF(ISNUMBER(Z5),IF(AND(ABS(Z5)&gt;50,NOT(N($B5)&gt;0)),"WL jump &gt;5 cm; ",""),""))</f>
        <v/>
      </c>
      <c r="AO5" s="17">
        <f>IF($A5="","",IF(AND(ISNUMBER(AE5),OR(AE5&lt;-30,AE5&gt;20)),"WL out of range; ","")&amp;IF(AND(ISNUMBER($J5),AE5=""),"no TP/b; ","")&amp;IF(AND(ISNUMBER(AF5),ISNUMBER(AG5)),IF(AG5&lt;AF5,"After&lt;Before; ",""),"")&amp;IF(AND($K5="Yes",ISNUMBER($J5),AH5=""),"irrigation readings missing; ","")&amp;IF(ISNUMBER(AK5),IF(AND(ABS(AK5)&gt;50,NOT(N($B5)&gt;0)),"WL jump &gt;5 cm; ",""),"")&amp;IF(AND(ISNUMBER(PitanE),ISNUMBER(AB5),$A5&gt;PitanE+2,AB5&lt;PitanE),"re-measure TP/b after Pitan; ",""))</f>
        <v/>
      </c>
    </row>
    <row r="6">
      <c r="A6" s="14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0">
        <f>IF(OR($A6="",NOT(ISNUMBER(TransDate))),"",$A6-TransDate)</f>
        <v/>
      </c>
      <c r="Q6" s="16">
        <f>IF($A6="","",IF(_xlfn.MAXIFS('TP-b'!$B$2:$B$60,'TP-b'!$A$2:$A$60,"FP",'TP-b'!$E$2:$E$60,1,'TP-b'!$B$2:$B$60,"&lt;="&amp;$A6)&gt;0,_xlfn.MAXIFS('TP-b'!$B$2:$B$60,'TP-b'!$A$2:$A$60,"FP",'TP-b'!$E$2:$E$60,1,'TP-b'!$B$2:$B$60,"&lt;="&amp;$A6),IF(_xlfn.MINIFS('TP-b'!$B$2:$B$60,'TP-b'!$A$2:$A$60,"FP",'TP-b'!$E$2:$E$60,1)&gt;0,_xlfn.MINIFS('TP-b'!$B$2:$B$60,'TP-b'!$A$2:$A$60,"FP",'TP-b'!$E$2:$E$60,1),"")))</f>
        <v/>
      </c>
      <c r="R6" s="10">
        <f>IF(Q6="","",AVERAGEIFS('TP-b'!$C$2:$C$60,'TP-b'!$A$2:$A$60,"FP",'TP-b'!$B$2:$B$60,Q6,'TP-b'!$E$2:$E$60,1))</f>
        <v/>
      </c>
      <c r="S6" s="10">
        <f>IF(Q6="","",AVERAGEIFS('TP-b'!$D$2:$D$60,'TP-b'!$A$2:$A$60,"FP",'TP-b'!$B$2:$B$60,Q6,'TP-b'!$E$2:$E$60,1))</f>
        <v/>
      </c>
      <c r="T6" s="10">
        <f>IF(OR($A6="",NOT(ISNUMBER($E6)),R6=""),"",ROUND($E6-R6+S6,1))</f>
        <v/>
      </c>
      <c r="U6" s="10">
        <f>IF(AND($F6="Yes",ISNUMBER($G6),R6&lt;&gt;""),ROUND($G6-R6+S6,1),"")</f>
        <v/>
      </c>
      <c r="V6" s="10">
        <f>IF(AND($F6="Yes",ISNUMBER($H6),R6&lt;&gt;""),ROUND($H6-R6+S6,1),"")</f>
        <v/>
      </c>
      <c r="W6" s="10">
        <f>IF(AND(ISNUMBER($E6),ISNUMBER(U6),ISNUMBER(V6)),ROUND((V6-MAX(U6,0))*10,1),"")</f>
        <v/>
      </c>
      <c r="X6" s="10">
        <f>IF(T6="","",IF(AND($F6="Yes",ISNUMBER(V6)),V6,T6))</f>
        <v/>
      </c>
      <c r="Y6" s="10">
        <f>IF(T6="","",ROUND(SUMIFS($W$3:$W$252,$A$3:$A$252,"&lt;="&amp;$A6),1))</f>
        <v/>
      </c>
      <c r="Z6" s="10">
        <f>IF(OR(T6="",$A6=""),"",IF(ISNUMBER(IFERROR(INDEX($X$3:$X$252,MATCH($A6-1,$A$3:$A$252,0)),"")),ROUND((INDEX($X$3:$X$252,MATCH($A6-1,$A$3:$A$252,0))-T6)*10,1),""))</f>
        <v/>
      </c>
      <c r="AA6" s="10">
        <f>IF(ISNUMBER(T6),1,0)</f>
        <v/>
      </c>
      <c r="AB6" s="16">
        <f>IF($A6="","",IF(_xlfn.MAXIFS('TP-b'!$B$2:$B$60,'TP-b'!$A$2:$A$60,"3F4D+MD",'TP-b'!$E$2:$E$60,1,'TP-b'!$B$2:$B$60,"&lt;="&amp;$A6)&gt;0,_xlfn.MAXIFS('TP-b'!$B$2:$B$60,'TP-b'!$A$2:$A$60,"3F4D+MD",'TP-b'!$E$2:$E$60,1,'TP-b'!$B$2:$B$60,"&lt;="&amp;$A6),IF(_xlfn.MINIFS('TP-b'!$B$2:$B$60,'TP-b'!$A$2:$A$60,"3F4D+MD",'TP-b'!$E$2:$E$60,1)&gt;0,_xlfn.MINIFS('TP-b'!$B$2:$B$60,'TP-b'!$A$2:$A$60,"3F4D+MD",'TP-b'!$E$2:$E$60,1),"")))</f>
        <v/>
      </c>
      <c r="AC6" s="10">
        <f>IF(AB6="","",AVERAGEIFS('TP-b'!$C$2:$C$60,'TP-b'!$A$2:$A$60,"3F4D+MD",'TP-b'!$B$2:$B$60,AB6,'TP-b'!$E$2:$E$60,1))</f>
        <v/>
      </c>
      <c r="AD6" s="10">
        <f>IF(AB6="","",AVERAGEIFS('TP-b'!$D$2:$D$60,'TP-b'!$A$2:$A$60,"3F4D+MD",'TP-b'!$B$2:$B$60,AB6,'TP-b'!$E$2:$E$60,1))</f>
        <v/>
      </c>
      <c r="AE6" s="10">
        <f>IF(OR($A6="",NOT(ISNUMBER($J6)),AC6=""),"",ROUND($J6-AC6+AD6,1))</f>
        <v/>
      </c>
      <c r="AF6" s="10">
        <f>IF(AND($K6="Yes",ISNUMBER($L6),AC6&lt;&gt;""),ROUND($L6-AC6+AD6,1),"")</f>
        <v/>
      </c>
      <c r="AG6" s="10">
        <f>IF(AND($K6="Yes",ISNUMBER($M6),AC6&lt;&gt;""),ROUND($M6-AC6+AD6,1),"")</f>
        <v/>
      </c>
      <c r="AH6" s="10">
        <f>IF(AND(ISNUMBER($J6),ISNUMBER(AF6),ISNUMBER(AG6)),ROUND((AG6-MAX(AF6,0))*10,1),"")</f>
        <v/>
      </c>
      <c r="AI6" s="10">
        <f>IF(AE6="","",IF(AND($K6="Yes",ISNUMBER(AG6)),AG6,AE6))</f>
        <v/>
      </c>
      <c r="AJ6" s="10">
        <f>IF(AE6="","",ROUND(SUMIFS($AH$3:$AH$252,$A$3:$A$252,"&lt;="&amp;$A6),1))</f>
        <v/>
      </c>
      <c r="AK6" s="10">
        <f>IF(OR(AE6="",$A6=""),"",IF(ISNUMBER(IFERROR(INDEX($AI$3:$AI$252,MATCH($A6-1,$A$3:$A$252,0)),"")),ROUND((INDEX($AI$3:$AI$252,MATCH($A6-1,$A$3:$A$252,0))-AE6)*10,1),""))</f>
        <v/>
      </c>
      <c r="AL6" s="10">
        <f>IF(ISNUMBER(AE6),1,0)</f>
        <v/>
      </c>
      <c r="AM6" s="17">
        <f>IF($A6="","",IF(COUNTIF($A$3:$A$252,$A6)&gt;1,"same date twice; ","")&amp;IF(AND(ISNUMBER($B6),OR($B6&lt;0,$B6&gt;300)),"rain out of range; ","")&amp;IF(AND(ISNUMBER($C6),OR($C6&lt;0,$C6&gt;45)),"temp out of range; ","")&amp;IF(AND(ISNUMBER($D6),OR($D6&lt;0,$D6&gt;100)),"RH out of range; ",""))</f>
        <v/>
      </c>
      <c r="AN6" s="17">
        <f>IF($A6="","",IF(AND(ISNUMBER(T6),OR(T6&lt;-30,T6&gt;20)),"WL out of range; ","")&amp;IF(AND(ISNUMBER($E6),T6=""),"no TP/b; ","")&amp;IF(AND(ISNUMBER(U6),ISNUMBER(V6)),IF(V6&lt;U6,"After&lt;Before; ",""),"")&amp;IF(AND($F6="Yes",ISNUMBER($E6),W6=""),"irrigation readings missing; ","")&amp;IF(ISNUMBER(Z6),IF(AND(ABS(Z6)&gt;50,NOT(N($B6)&gt;0)),"WL jump &gt;5 cm; ",""),""))</f>
        <v/>
      </c>
      <c r="AO6" s="17">
        <f>IF($A6="","",IF(AND(ISNUMBER(AE6),OR(AE6&lt;-30,AE6&gt;20)),"WL out of range; ","")&amp;IF(AND(ISNUMBER($J6),AE6=""),"no TP/b; ","")&amp;IF(AND(ISNUMBER(AF6),ISNUMBER(AG6)),IF(AG6&lt;AF6,"After&lt;Before; ",""),"")&amp;IF(AND($K6="Yes",ISNUMBER($J6),AH6=""),"irrigation readings missing; ","")&amp;IF(ISNUMBER(AK6),IF(AND(ABS(AK6)&gt;50,NOT(N($B6)&gt;0)),"WL jump &gt;5 cm; ",""),"")&amp;IF(AND(ISNUMBER(PitanE),ISNUMBER(AB6),$A6&gt;PitanE+2,AB6&lt;PitanE),"re-measure TP/b after Pitan; ",""))</f>
        <v/>
      </c>
    </row>
    <row r="7">
      <c r="A7" s="14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0">
        <f>IF(OR($A7="",NOT(ISNUMBER(TransDate))),"",$A7-TransDate)</f>
        <v/>
      </c>
      <c r="Q7" s="16">
        <f>IF($A7="","",IF(_xlfn.MAXIFS('TP-b'!$B$2:$B$60,'TP-b'!$A$2:$A$60,"FP",'TP-b'!$E$2:$E$60,1,'TP-b'!$B$2:$B$60,"&lt;="&amp;$A7)&gt;0,_xlfn.MAXIFS('TP-b'!$B$2:$B$60,'TP-b'!$A$2:$A$60,"FP",'TP-b'!$E$2:$E$60,1,'TP-b'!$B$2:$B$60,"&lt;="&amp;$A7),IF(_xlfn.MINIFS('TP-b'!$B$2:$B$60,'TP-b'!$A$2:$A$60,"FP",'TP-b'!$E$2:$E$60,1)&gt;0,_xlfn.MINIFS('TP-b'!$B$2:$B$60,'TP-b'!$A$2:$A$60,"FP",'TP-b'!$E$2:$E$60,1),"")))</f>
        <v/>
      </c>
      <c r="R7" s="10">
        <f>IF(Q7="","",AVERAGEIFS('TP-b'!$C$2:$C$60,'TP-b'!$A$2:$A$60,"FP",'TP-b'!$B$2:$B$60,Q7,'TP-b'!$E$2:$E$60,1))</f>
        <v/>
      </c>
      <c r="S7" s="10">
        <f>IF(Q7="","",AVERAGEIFS('TP-b'!$D$2:$D$60,'TP-b'!$A$2:$A$60,"FP",'TP-b'!$B$2:$B$60,Q7,'TP-b'!$E$2:$E$60,1))</f>
        <v/>
      </c>
      <c r="T7" s="10">
        <f>IF(OR($A7="",NOT(ISNUMBER($E7)),R7=""),"",ROUND($E7-R7+S7,1))</f>
        <v/>
      </c>
      <c r="U7" s="10">
        <f>IF(AND($F7="Yes",ISNUMBER($G7),R7&lt;&gt;""),ROUND($G7-R7+S7,1),"")</f>
        <v/>
      </c>
      <c r="V7" s="10">
        <f>IF(AND($F7="Yes",ISNUMBER($H7),R7&lt;&gt;""),ROUND($H7-R7+S7,1),"")</f>
        <v/>
      </c>
      <c r="W7" s="10">
        <f>IF(AND(ISNUMBER($E7),ISNUMBER(U7),ISNUMBER(V7)),ROUND((V7-MAX(U7,0))*10,1),"")</f>
        <v/>
      </c>
      <c r="X7" s="10">
        <f>IF(T7="","",IF(AND($F7="Yes",ISNUMBER(V7)),V7,T7))</f>
        <v/>
      </c>
      <c r="Y7" s="10">
        <f>IF(T7="","",ROUND(SUMIFS($W$3:$W$252,$A$3:$A$252,"&lt;="&amp;$A7),1))</f>
        <v/>
      </c>
      <c r="Z7" s="10">
        <f>IF(OR(T7="",$A7=""),"",IF(ISNUMBER(IFERROR(INDEX($X$3:$X$252,MATCH($A7-1,$A$3:$A$252,0)),"")),ROUND((INDEX($X$3:$X$252,MATCH($A7-1,$A$3:$A$252,0))-T7)*10,1),""))</f>
        <v/>
      </c>
      <c r="AA7" s="10">
        <f>IF(ISNUMBER(T7),1,0)</f>
        <v/>
      </c>
      <c r="AB7" s="16">
        <f>IF($A7="","",IF(_xlfn.MAXIFS('TP-b'!$B$2:$B$60,'TP-b'!$A$2:$A$60,"3F4D+MD",'TP-b'!$E$2:$E$60,1,'TP-b'!$B$2:$B$60,"&lt;="&amp;$A7)&gt;0,_xlfn.MAXIFS('TP-b'!$B$2:$B$60,'TP-b'!$A$2:$A$60,"3F4D+MD",'TP-b'!$E$2:$E$60,1,'TP-b'!$B$2:$B$60,"&lt;="&amp;$A7),IF(_xlfn.MINIFS('TP-b'!$B$2:$B$60,'TP-b'!$A$2:$A$60,"3F4D+MD",'TP-b'!$E$2:$E$60,1)&gt;0,_xlfn.MINIFS('TP-b'!$B$2:$B$60,'TP-b'!$A$2:$A$60,"3F4D+MD",'TP-b'!$E$2:$E$60,1),"")))</f>
        <v/>
      </c>
      <c r="AC7" s="10">
        <f>IF(AB7="","",AVERAGEIFS('TP-b'!$C$2:$C$60,'TP-b'!$A$2:$A$60,"3F4D+MD",'TP-b'!$B$2:$B$60,AB7,'TP-b'!$E$2:$E$60,1))</f>
        <v/>
      </c>
      <c r="AD7" s="10">
        <f>IF(AB7="","",AVERAGEIFS('TP-b'!$D$2:$D$60,'TP-b'!$A$2:$A$60,"3F4D+MD",'TP-b'!$B$2:$B$60,AB7,'TP-b'!$E$2:$E$60,1))</f>
        <v/>
      </c>
      <c r="AE7" s="10">
        <f>IF(OR($A7="",NOT(ISNUMBER($J7)),AC7=""),"",ROUND($J7-AC7+AD7,1))</f>
        <v/>
      </c>
      <c r="AF7" s="10">
        <f>IF(AND($K7="Yes",ISNUMBER($L7),AC7&lt;&gt;""),ROUND($L7-AC7+AD7,1),"")</f>
        <v/>
      </c>
      <c r="AG7" s="10">
        <f>IF(AND($K7="Yes",ISNUMBER($M7),AC7&lt;&gt;""),ROUND($M7-AC7+AD7,1),"")</f>
        <v/>
      </c>
      <c r="AH7" s="10">
        <f>IF(AND(ISNUMBER($J7),ISNUMBER(AF7),ISNUMBER(AG7)),ROUND((AG7-MAX(AF7,0))*10,1),"")</f>
        <v/>
      </c>
      <c r="AI7" s="10">
        <f>IF(AE7="","",IF(AND($K7="Yes",ISNUMBER(AG7)),AG7,AE7))</f>
        <v/>
      </c>
      <c r="AJ7" s="10">
        <f>IF(AE7="","",ROUND(SUMIFS($AH$3:$AH$252,$A$3:$A$252,"&lt;="&amp;$A7),1))</f>
        <v/>
      </c>
      <c r="AK7" s="10">
        <f>IF(OR(AE7="",$A7=""),"",IF(ISNUMBER(IFERROR(INDEX($AI$3:$AI$252,MATCH($A7-1,$A$3:$A$252,0)),"")),ROUND((INDEX($AI$3:$AI$252,MATCH($A7-1,$A$3:$A$252,0))-AE7)*10,1),""))</f>
        <v/>
      </c>
      <c r="AL7" s="10">
        <f>IF(ISNUMBER(AE7),1,0)</f>
        <v/>
      </c>
      <c r="AM7" s="17">
        <f>IF($A7="","",IF(COUNTIF($A$3:$A$252,$A7)&gt;1,"same date twice; ","")&amp;IF(AND(ISNUMBER($B7),OR($B7&lt;0,$B7&gt;300)),"rain out of range; ","")&amp;IF(AND(ISNUMBER($C7),OR($C7&lt;0,$C7&gt;45)),"temp out of range; ","")&amp;IF(AND(ISNUMBER($D7),OR($D7&lt;0,$D7&gt;100)),"RH out of range; ",""))</f>
        <v/>
      </c>
      <c r="AN7" s="17">
        <f>IF($A7="","",IF(AND(ISNUMBER(T7),OR(T7&lt;-30,T7&gt;20)),"WL out of range; ","")&amp;IF(AND(ISNUMBER($E7),T7=""),"no TP/b; ","")&amp;IF(AND(ISNUMBER(U7),ISNUMBER(V7)),IF(V7&lt;U7,"After&lt;Before; ",""),"")&amp;IF(AND($F7="Yes",ISNUMBER($E7),W7=""),"irrigation readings missing; ","")&amp;IF(ISNUMBER(Z7),IF(AND(ABS(Z7)&gt;50,NOT(N($B7)&gt;0)),"WL jump &gt;5 cm; ",""),""))</f>
        <v/>
      </c>
      <c r="AO7" s="17">
        <f>IF($A7="","",IF(AND(ISNUMBER(AE7),OR(AE7&lt;-30,AE7&gt;20)),"WL out of range; ","")&amp;IF(AND(ISNUMBER($J7),AE7=""),"no TP/b; ","")&amp;IF(AND(ISNUMBER(AF7),ISNUMBER(AG7)),IF(AG7&lt;AF7,"After&lt;Before; ",""),"")&amp;IF(AND($K7="Yes",ISNUMBER($J7),AH7=""),"irrigation readings missing; ","")&amp;IF(ISNUMBER(AK7),IF(AND(ABS(AK7)&gt;50,NOT(N($B7)&gt;0)),"WL jump &gt;5 cm; ",""),"")&amp;IF(AND(ISNUMBER(PitanE),ISNUMBER(AB7),$A7&gt;PitanE+2,AB7&lt;PitanE),"re-measure TP/b after Pitan; ",""))</f>
        <v/>
      </c>
    </row>
    <row r="8">
      <c r="A8" s="14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0">
        <f>IF(OR($A8="",NOT(ISNUMBER(TransDate))),"",$A8-TransDate)</f>
        <v/>
      </c>
      <c r="Q8" s="16">
        <f>IF($A8="","",IF(_xlfn.MAXIFS('TP-b'!$B$2:$B$60,'TP-b'!$A$2:$A$60,"FP",'TP-b'!$E$2:$E$60,1,'TP-b'!$B$2:$B$60,"&lt;="&amp;$A8)&gt;0,_xlfn.MAXIFS('TP-b'!$B$2:$B$60,'TP-b'!$A$2:$A$60,"FP",'TP-b'!$E$2:$E$60,1,'TP-b'!$B$2:$B$60,"&lt;="&amp;$A8),IF(_xlfn.MINIFS('TP-b'!$B$2:$B$60,'TP-b'!$A$2:$A$60,"FP",'TP-b'!$E$2:$E$60,1)&gt;0,_xlfn.MINIFS('TP-b'!$B$2:$B$60,'TP-b'!$A$2:$A$60,"FP",'TP-b'!$E$2:$E$60,1),"")))</f>
        <v/>
      </c>
      <c r="R8" s="10">
        <f>IF(Q8="","",AVERAGEIFS('TP-b'!$C$2:$C$60,'TP-b'!$A$2:$A$60,"FP",'TP-b'!$B$2:$B$60,Q8,'TP-b'!$E$2:$E$60,1))</f>
        <v/>
      </c>
      <c r="S8" s="10">
        <f>IF(Q8="","",AVERAGEIFS('TP-b'!$D$2:$D$60,'TP-b'!$A$2:$A$60,"FP",'TP-b'!$B$2:$B$60,Q8,'TP-b'!$E$2:$E$60,1))</f>
        <v/>
      </c>
      <c r="T8" s="10">
        <f>IF(OR($A8="",NOT(ISNUMBER($E8)),R8=""),"",ROUND($E8-R8+S8,1))</f>
        <v/>
      </c>
      <c r="U8" s="10">
        <f>IF(AND($F8="Yes",ISNUMBER($G8),R8&lt;&gt;""),ROUND($G8-R8+S8,1),"")</f>
        <v/>
      </c>
      <c r="V8" s="10">
        <f>IF(AND($F8="Yes",ISNUMBER($H8),R8&lt;&gt;""),ROUND($H8-R8+S8,1),"")</f>
        <v/>
      </c>
      <c r="W8" s="10">
        <f>IF(AND(ISNUMBER($E8),ISNUMBER(U8),ISNUMBER(V8)),ROUND((V8-MAX(U8,0))*10,1),"")</f>
        <v/>
      </c>
      <c r="X8" s="10">
        <f>IF(T8="","",IF(AND($F8="Yes",ISNUMBER(V8)),V8,T8))</f>
        <v/>
      </c>
      <c r="Y8" s="10">
        <f>IF(T8="","",ROUND(SUMIFS($W$3:$W$252,$A$3:$A$252,"&lt;="&amp;$A8),1))</f>
        <v/>
      </c>
      <c r="Z8" s="10">
        <f>IF(OR(T8="",$A8=""),"",IF(ISNUMBER(IFERROR(INDEX($X$3:$X$252,MATCH($A8-1,$A$3:$A$252,0)),"")),ROUND((INDEX($X$3:$X$252,MATCH($A8-1,$A$3:$A$252,0))-T8)*10,1),""))</f>
        <v/>
      </c>
      <c r="AA8" s="10">
        <f>IF(ISNUMBER(T8),1,0)</f>
        <v/>
      </c>
      <c r="AB8" s="16">
        <f>IF($A8="","",IF(_xlfn.MAXIFS('TP-b'!$B$2:$B$60,'TP-b'!$A$2:$A$60,"3F4D+MD",'TP-b'!$E$2:$E$60,1,'TP-b'!$B$2:$B$60,"&lt;="&amp;$A8)&gt;0,_xlfn.MAXIFS('TP-b'!$B$2:$B$60,'TP-b'!$A$2:$A$60,"3F4D+MD",'TP-b'!$E$2:$E$60,1,'TP-b'!$B$2:$B$60,"&lt;="&amp;$A8),IF(_xlfn.MINIFS('TP-b'!$B$2:$B$60,'TP-b'!$A$2:$A$60,"3F4D+MD",'TP-b'!$E$2:$E$60,1)&gt;0,_xlfn.MINIFS('TP-b'!$B$2:$B$60,'TP-b'!$A$2:$A$60,"3F4D+MD",'TP-b'!$E$2:$E$60,1),"")))</f>
        <v/>
      </c>
      <c r="AC8" s="10">
        <f>IF(AB8="","",AVERAGEIFS('TP-b'!$C$2:$C$60,'TP-b'!$A$2:$A$60,"3F4D+MD",'TP-b'!$B$2:$B$60,AB8,'TP-b'!$E$2:$E$60,1))</f>
        <v/>
      </c>
      <c r="AD8" s="10">
        <f>IF(AB8="","",AVERAGEIFS('TP-b'!$D$2:$D$60,'TP-b'!$A$2:$A$60,"3F4D+MD",'TP-b'!$B$2:$B$60,AB8,'TP-b'!$E$2:$E$60,1))</f>
        <v/>
      </c>
      <c r="AE8" s="10">
        <f>IF(OR($A8="",NOT(ISNUMBER($J8)),AC8=""),"",ROUND($J8-AC8+AD8,1))</f>
        <v/>
      </c>
      <c r="AF8" s="10">
        <f>IF(AND($K8="Yes",ISNUMBER($L8),AC8&lt;&gt;""),ROUND($L8-AC8+AD8,1),"")</f>
        <v/>
      </c>
      <c r="AG8" s="10">
        <f>IF(AND($K8="Yes",ISNUMBER($M8),AC8&lt;&gt;""),ROUND($M8-AC8+AD8,1),"")</f>
        <v/>
      </c>
      <c r="AH8" s="10">
        <f>IF(AND(ISNUMBER($J8),ISNUMBER(AF8),ISNUMBER(AG8)),ROUND((AG8-MAX(AF8,0))*10,1),"")</f>
        <v/>
      </c>
      <c r="AI8" s="10">
        <f>IF(AE8="","",IF(AND($K8="Yes",ISNUMBER(AG8)),AG8,AE8))</f>
        <v/>
      </c>
      <c r="AJ8" s="10">
        <f>IF(AE8="","",ROUND(SUMIFS($AH$3:$AH$252,$A$3:$A$252,"&lt;="&amp;$A8),1))</f>
        <v/>
      </c>
      <c r="AK8" s="10">
        <f>IF(OR(AE8="",$A8=""),"",IF(ISNUMBER(IFERROR(INDEX($AI$3:$AI$252,MATCH($A8-1,$A$3:$A$252,0)),"")),ROUND((INDEX($AI$3:$AI$252,MATCH($A8-1,$A$3:$A$252,0))-AE8)*10,1),""))</f>
        <v/>
      </c>
      <c r="AL8" s="10">
        <f>IF(ISNUMBER(AE8),1,0)</f>
        <v/>
      </c>
      <c r="AM8" s="17">
        <f>IF($A8="","",IF(COUNTIF($A$3:$A$252,$A8)&gt;1,"same date twice; ","")&amp;IF(AND(ISNUMBER($B8),OR($B8&lt;0,$B8&gt;300)),"rain out of range; ","")&amp;IF(AND(ISNUMBER($C8),OR($C8&lt;0,$C8&gt;45)),"temp out of range; ","")&amp;IF(AND(ISNUMBER($D8),OR($D8&lt;0,$D8&gt;100)),"RH out of range; ",""))</f>
        <v/>
      </c>
      <c r="AN8" s="17">
        <f>IF($A8="","",IF(AND(ISNUMBER(T8),OR(T8&lt;-30,T8&gt;20)),"WL out of range; ","")&amp;IF(AND(ISNUMBER($E8),T8=""),"no TP/b; ","")&amp;IF(AND(ISNUMBER(U8),ISNUMBER(V8)),IF(V8&lt;U8,"After&lt;Before; ",""),"")&amp;IF(AND($F8="Yes",ISNUMBER($E8),W8=""),"irrigation readings missing; ","")&amp;IF(ISNUMBER(Z8),IF(AND(ABS(Z8)&gt;50,NOT(N($B8)&gt;0)),"WL jump &gt;5 cm; ",""),""))</f>
        <v/>
      </c>
      <c r="AO8" s="17">
        <f>IF($A8="","",IF(AND(ISNUMBER(AE8),OR(AE8&lt;-30,AE8&gt;20)),"WL out of range; ","")&amp;IF(AND(ISNUMBER($J8),AE8=""),"no TP/b; ","")&amp;IF(AND(ISNUMBER(AF8),ISNUMBER(AG8)),IF(AG8&lt;AF8,"After&lt;Before; ",""),"")&amp;IF(AND($K8="Yes",ISNUMBER($J8),AH8=""),"irrigation readings missing; ","")&amp;IF(ISNUMBER(AK8),IF(AND(ABS(AK8)&gt;50,NOT(N($B8)&gt;0)),"WL jump &gt;5 cm; ",""),"")&amp;IF(AND(ISNUMBER(PitanE),ISNUMBER(AB8),$A8&gt;PitanE+2,AB8&lt;PitanE),"re-measure TP/b after Pitan; ",""))</f>
        <v/>
      </c>
    </row>
    <row r="9">
      <c r="A9" s="14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0">
        <f>IF(OR($A9="",NOT(ISNUMBER(TransDate))),"",$A9-TransDate)</f>
        <v/>
      </c>
      <c r="Q9" s="16">
        <f>IF($A9="","",IF(_xlfn.MAXIFS('TP-b'!$B$2:$B$60,'TP-b'!$A$2:$A$60,"FP",'TP-b'!$E$2:$E$60,1,'TP-b'!$B$2:$B$60,"&lt;="&amp;$A9)&gt;0,_xlfn.MAXIFS('TP-b'!$B$2:$B$60,'TP-b'!$A$2:$A$60,"FP",'TP-b'!$E$2:$E$60,1,'TP-b'!$B$2:$B$60,"&lt;="&amp;$A9),IF(_xlfn.MINIFS('TP-b'!$B$2:$B$60,'TP-b'!$A$2:$A$60,"FP",'TP-b'!$E$2:$E$60,1)&gt;0,_xlfn.MINIFS('TP-b'!$B$2:$B$60,'TP-b'!$A$2:$A$60,"FP",'TP-b'!$E$2:$E$60,1),"")))</f>
        <v/>
      </c>
      <c r="R9" s="10">
        <f>IF(Q9="","",AVERAGEIFS('TP-b'!$C$2:$C$60,'TP-b'!$A$2:$A$60,"FP",'TP-b'!$B$2:$B$60,Q9,'TP-b'!$E$2:$E$60,1))</f>
        <v/>
      </c>
      <c r="S9" s="10">
        <f>IF(Q9="","",AVERAGEIFS('TP-b'!$D$2:$D$60,'TP-b'!$A$2:$A$60,"FP",'TP-b'!$B$2:$B$60,Q9,'TP-b'!$E$2:$E$60,1))</f>
        <v/>
      </c>
      <c r="T9" s="10">
        <f>IF(OR($A9="",NOT(ISNUMBER($E9)),R9=""),"",ROUND($E9-R9+S9,1))</f>
        <v/>
      </c>
      <c r="U9" s="10">
        <f>IF(AND($F9="Yes",ISNUMBER($G9),R9&lt;&gt;""),ROUND($G9-R9+S9,1),"")</f>
        <v/>
      </c>
      <c r="V9" s="10">
        <f>IF(AND($F9="Yes",ISNUMBER($H9),R9&lt;&gt;""),ROUND($H9-R9+S9,1),"")</f>
        <v/>
      </c>
      <c r="W9" s="10">
        <f>IF(AND(ISNUMBER($E9),ISNUMBER(U9),ISNUMBER(V9)),ROUND((V9-MAX(U9,0))*10,1),"")</f>
        <v/>
      </c>
      <c r="X9" s="10">
        <f>IF(T9="","",IF(AND($F9="Yes",ISNUMBER(V9)),V9,T9))</f>
        <v/>
      </c>
      <c r="Y9" s="10">
        <f>IF(T9="","",ROUND(SUMIFS($W$3:$W$252,$A$3:$A$252,"&lt;="&amp;$A9),1))</f>
        <v/>
      </c>
      <c r="Z9" s="10">
        <f>IF(OR(T9="",$A9=""),"",IF(ISNUMBER(IFERROR(INDEX($X$3:$X$252,MATCH($A9-1,$A$3:$A$252,0)),"")),ROUND((INDEX($X$3:$X$252,MATCH($A9-1,$A$3:$A$252,0))-T9)*10,1),""))</f>
        <v/>
      </c>
      <c r="AA9" s="10">
        <f>IF(ISNUMBER(T9),1,0)</f>
        <v/>
      </c>
      <c r="AB9" s="16">
        <f>IF($A9="","",IF(_xlfn.MAXIFS('TP-b'!$B$2:$B$60,'TP-b'!$A$2:$A$60,"3F4D+MD",'TP-b'!$E$2:$E$60,1,'TP-b'!$B$2:$B$60,"&lt;="&amp;$A9)&gt;0,_xlfn.MAXIFS('TP-b'!$B$2:$B$60,'TP-b'!$A$2:$A$60,"3F4D+MD",'TP-b'!$E$2:$E$60,1,'TP-b'!$B$2:$B$60,"&lt;="&amp;$A9),IF(_xlfn.MINIFS('TP-b'!$B$2:$B$60,'TP-b'!$A$2:$A$60,"3F4D+MD",'TP-b'!$E$2:$E$60,1)&gt;0,_xlfn.MINIFS('TP-b'!$B$2:$B$60,'TP-b'!$A$2:$A$60,"3F4D+MD",'TP-b'!$E$2:$E$60,1),"")))</f>
        <v/>
      </c>
      <c r="AC9" s="10">
        <f>IF(AB9="","",AVERAGEIFS('TP-b'!$C$2:$C$60,'TP-b'!$A$2:$A$60,"3F4D+MD",'TP-b'!$B$2:$B$60,AB9,'TP-b'!$E$2:$E$60,1))</f>
        <v/>
      </c>
      <c r="AD9" s="10">
        <f>IF(AB9="","",AVERAGEIFS('TP-b'!$D$2:$D$60,'TP-b'!$A$2:$A$60,"3F4D+MD",'TP-b'!$B$2:$B$60,AB9,'TP-b'!$E$2:$E$60,1))</f>
        <v/>
      </c>
      <c r="AE9" s="10">
        <f>IF(OR($A9="",NOT(ISNUMBER($J9)),AC9=""),"",ROUND($J9-AC9+AD9,1))</f>
        <v/>
      </c>
      <c r="AF9" s="10">
        <f>IF(AND($K9="Yes",ISNUMBER($L9),AC9&lt;&gt;""),ROUND($L9-AC9+AD9,1),"")</f>
        <v/>
      </c>
      <c r="AG9" s="10">
        <f>IF(AND($K9="Yes",ISNUMBER($M9),AC9&lt;&gt;""),ROUND($M9-AC9+AD9,1),"")</f>
        <v/>
      </c>
      <c r="AH9" s="10">
        <f>IF(AND(ISNUMBER($J9),ISNUMBER(AF9),ISNUMBER(AG9)),ROUND((AG9-MAX(AF9,0))*10,1),"")</f>
        <v/>
      </c>
      <c r="AI9" s="10">
        <f>IF(AE9="","",IF(AND($K9="Yes",ISNUMBER(AG9)),AG9,AE9))</f>
        <v/>
      </c>
      <c r="AJ9" s="10">
        <f>IF(AE9="","",ROUND(SUMIFS($AH$3:$AH$252,$A$3:$A$252,"&lt;="&amp;$A9),1))</f>
        <v/>
      </c>
      <c r="AK9" s="10">
        <f>IF(OR(AE9="",$A9=""),"",IF(ISNUMBER(IFERROR(INDEX($AI$3:$AI$252,MATCH($A9-1,$A$3:$A$252,0)),"")),ROUND((INDEX($AI$3:$AI$252,MATCH($A9-1,$A$3:$A$252,0))-AE9)*10,1),""))</f>
        <v/>
      </c>
      <c r="AL9" s="10">
        <f>IF(ISNUMBER(AE9),1,0)</f>
        <v/>
      </c>
      <c r="AM9" s="17">
        <f>IF($A9="","",IF(COUNTIF($A$3:$A$252,$A9)&gt;1,"same date twice; ","")&amp;IF(AND(ISNUMBER($B9),OR($B9&lt;0,$B9&gt;300)),"rain out of range; ","")&amp;IF(AND(ISNUMBER($C9),OR($C9&lt;0,$C9&gt;45)),"temp out of range; ","")&amp;IF(AND(ISNUMBER($D9),OR($D9&lt;0,$D9&gt;100)),"RH out of range; ",""))</f>
        <v/>
      </c>
      <c r="AN9" s="17">
        <f>IF($A9="","",IF(AND(ISNUMBER(T9),OR(T9&lt;-30,T9&gt;20)),"WL out of range; ","")&amp;IF(AND(ISNUMBER($E9),T9=""),"no TP/b; ","")&amp;IF(AND(ISNUMBER(U9),ISNUMBER(V9)),IF(V9&lt;U9,"After&lt;Before; ",""),"")&amp;IF(AND($F9="Yes",ISNUMBER($E9),W9=""),"irrigation readings missing; ","")&amp;IF(ISNUMBER(Z9),IF(AND(ABS(Z9)&gt;50,NOT(N($B9)&gt;0)),"WL jump &gt;5 cm; ",""),""))</f>
        <v/>
      </c>
      <c r="AO9" s="17">
        <f>IF($A9="","",IF(AND(ISNUMBER(AE9),OR(AE9&lt;-30,AE9&gt;20)),"WL out of range; ","")&amp;IF(AND(ISNUMBER($J9),AE9=""),"no TP/b; ","")&amp;IF(AND(ISNUMBER(AF9),ISNUMBER(AG9)),IF(AG9&lt;AF9,"After&lt;Before; ",""),"")&amp;IF(AND($K9="Yes",ISNUMBER($J9),AH9=""),"irrigation readings missing; ","")&amp;IF(ISNUMBER(AK9),IF(AND(ABS(AK9)&gt;50,NOT(N($B9)&gt;0)),"WL jump &gt;5 cm; ",""),"")&amp;IF(AND(ISNUMBER(PitanE),ISNUMBER(AB9),$A9&gt;PitanE+2,AB9&lt;PitanE),"re-measure TP/b after Pitan; ",""))</f>
        <v/>
      </c>
    </row>
    <row r="10">
      <c r="A10" s="14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0">
        <f>IF(OR($A10="",NOT(ISNUMBER(TransDate))),"",$A10-TransDate)</f>
        <v/>
      </c>
      <c r="Q10" s="16">
        <f>IF($A10="","",IF(_xlfn.MAXIFS('TP-b'!$B$2:$B$60,'TP-b'!$A$2:$A$60,"FP",'TP-b'!$E$2:$E$60,1,'TP-b'!$B$2:$B$60,"&lt;="&amp;$A10)&gt;0,_xlfn.MAXIFS('TP-b'!$B$2:$B$60,'TP-b'!$A$2:$A$60,"FP",'TP-b'!$E$2:$E$60,1,'TP-b'!$B$2:$B$60,"&lt;="&amp;$A10),IF(_xlfn.MINIFS('TP-b'!$B$2:$B$60,'TP-b'!$A$2:$A$60,"FP",'TP-b'!$E$2:$E$60,1)&gt;0,_xlfn.MINIFS('TP-b'!$B$2:$B$60,'TP-b'!$A$2:$A$60,"FP",'TP-b'!$E$2:$E$60,1),"")))</f>
        <v/>
      </c>
      <c r="R10" s="10">
        <f>IF(Q10="","",AVERAGEIFS('TP-b'!$C$2:$C$60,'TP-b'!$A$2:$A$60,"FP",'TP-b'!$B$2:$B$60,Q10,'TP-b'!$E$2:$E$60,1))</f>
        <v/>
      </c>
      <c r="S10" s="10">
        <f>IF(Q10="","",AVERAGEIFS('TP-b'!$D$2:$D$60,'TP-b'!$A$2:$A$60,"FP",'TP-b'!$B$2:$B$60,Q10,'TP-b'!$E$2:$E$60,1))</f>
        <v/>
      </c>
      <c r="T10" s="10">
        <f>IF(OR($A10="",NOT(ISNUMBER($E10)),R10=""),"",ROUND($E10-R10+S10,1))</f>
        <v/>
      </c>
      <c r="U10" s="10">
        <f>IF(AND($F10="Yes",ISNUMBER($G10),R10&lt;&gt;""),ROUND($G10-R10+S10,1),"")</f>
        <v/>
      </c>
      <c r="V10" s="10">
        <f>IF(AND($F10="Yes",ISNUMBER($H10),R10&lt;&gt;""),ROUND($H10-R10+S10,1),"")</f>
        <v/>
      </c>
      <c r="W10" s="10">
        <f>IF(AND(ISNUMBER($E10),ISNUMBER(U10),ISNUMBER(V10)),ROUND((V10-MAX(U10,0))*10,1),"")</f>
        <v/>
      </c>
      <c r="X10" s="10">
        <f>IF(T10="","",IF(AND($F10="Yes",ISNUMBER(V10)),V10,T10))</f>
        <v/>
      </c>
      <c r="Y10" s="10">
        <f>IF(T10="","",ROUND(SUMIFS($W$3:$W$252,$A$3:$A$252,"&lt;="&amp;$A10),1))</f>
        <v/>
      </c>
      <c r="Z10" s="10">
        <f>IF(OR(T10="",$A10=""),"",IF(ISNUMBER(IFERROR(INDEX($X$3:$X$252,MATCH($A10-1,$A$3:$A$252,0)),"")),ROUND((INDEX($X$3:$X$252,MATCH($A10-1,$A$3:$A$252,0))-T10)*10,1),""))</f>
        <v/>
      </c>
      <c r="AA10" s="10">
        <f>IF(ISNUMBER(T10),1,0)</f>
        <v/>
      </c>
      <c r="AB10" s="16">
        <f>IF($A10="","",IF(_xlfn.MAXIFS('TP-b'!$B$2:$B$60,'TP-b'!$A$2:$A$60,"3F4D+MD",'TP-b'!$E$2:$E$60,1,'TP-b'!$B$2:$B$60,"&lt;="&amp;$A10)&gt;0,_xlfn.MAXIFS('TP-b'!$B$2:$B$60,'TP-b'!$A$2:$A$60,"3F4D+MD",'TP-b'!$E$2:$E$60,1,'TP-b'!$B$2:$B$60,"&lt;="&amp;$A10),IF(_xlfn.MINIFS('TP-b'!$B$2:$B$60,'TP-b'!$A$2:$A$60,"3F4D+MD",'TP-b'!$E$2:$E$60,1)&gt;0,_xlfn.MINIFS('TP-b'!$B$2:$B$60,'TP-b'!$A$2:$A$60,"3F4D+MD",'TP-b'!$E$2:$E$60,1),"")))</f>
        <v/>
      </c>
      <c r="AC10" s="10">
        <f>IF(AB10="","",AVERAGEIFS('TP-b'!$C$2:$C$60,'TP-b'!$A$2:$A$60,"3F4D+MD",'TP-b'!$B$2:$B$60,AB10,'TP-b'!$E$2:$E$60,1))</f>
        <v/>
      </c>
      <c r="AD10" s="10">
        <f>IF(AB10="","",AVERAGEIFS('TP-b'!$D$2:$D$60,'TP-b'!$A$2:$A$60,"3F4D+MD",'TP-b'!$B$2:$B$60,AB10,'TP-b'!$E$2:$E$60,1))</f>
        <v/>
      </c>
      <c r="AE10" s="10">
        <f>IF(OR($A10="",NOT(ISNUMBER($J10)),AC10=""),"",ROUND($J10-AC10+AD10,1))</f>
        <v/>
      </c>
      <c r="AF10" s="10">
        <f>IF(AND($K10="Yes",ISNUMBER($L10),AC10&lt;&gt;""),ROUND($L10-AC10+AD10,1),"")</f>
        <v/>
      </c>
      <c r="AG10" s="10">
        <f>IF(AND($K10="Yes",ISNUMBER($M10),AC10&lt;&gt;""),ROUND($M10-AC10+AD10,1),"")</f>
        <v/>
      </c>
      <c r="AH10" s="10">
        <f>IF(AND(ISNUMBER($J10),ISNUMBER(AF10),ISNUMBER(AG10)),ROUND((AG10-MAX(AF10,0))*10,1),"")</f>
        <v/>
      </c>
      <c r="AI10" s="10">
        <f>IF(AE10="","",IF(AND($K10="Yes",ISNUMBER(AG10)),AG10,AE10))</f>
        <v/>
      </c>
      <c r="AJ10" s="10">
        <f>IF(AE10="","",ROUND(SUMIFS($AH$3:$AH$252,$A$3:$A$252,"&lt;="&amp;$A10),1))</f>
        <v/>
      </c>
      <c r="AK10" s="10">
        <f>IF(OR(AE10="",$A10=""),"",IF(ISNUMBER(IFERROR(INDEX($AI$3:$AI$252,MATCH($A10-1,$A$3:$A$252,0)),"")),ROUND((INDEX($AI$3:$AI$252,MATCH($A10-1,$A$3:$A$252,0))-AE10)*10,1),""))</f>
        <v/>
      </c>
      <c r="AL10" s="10">
        <f>IF(ISNUMBER(AE10),1,0)</f>
        <v/>
      </c>
      <c r="AM10" s="17">
        <f>IF($A10="","",IF(COUNTIF($A$3:$A$252,$A10)&gt;1,"same date twice; ","")&amp;IF(AND(ISNUMBER($B10),OR($B10&lt;0,$B10&gt;300)),"rain out of range; ","")&amp;IF(AND(ISNUMBER($C10),OR($C10&lt;0,$C10&gt;45)),"temp out of range; ","")&amp;IF(AND(ISNUMBER($D10),OR($D10&lt;0,$D10&gt;100)),"RH out of range; ",""))</f>
        <v/>
      </c>
      <c r="AN10" s="17">
        <f>IF($A10="","",IF(AND(ISNUMBER(T10),OR(T10&lt;-30,T10&gt;20)),"WL out of range; ","")&amp;IF(AND(ISNUMBER($E10),T10=""),"no TP/b; ","")&amp;IF(AND(ISNUMBER(U10),ISNUMBER(V10)),IF(V10&lt;U10,"After&lt;Before; ",""),"")&amp;IF(AND($F10="Yes",ISNUMBER($E10),W10=""),"irrigation readings missing; ","")&amp;IF(ISNUMBER(Z10),IF(AND(ABS(Z10)&gt;50,NOT(N($B10)&gt;0)),"WL jump &gt;5 cm; ",""),""))</f>
        <v/>
      </c>
      <c r="AO10" s="17">
        <f>IF($A10="","",IF(AND(ISNUMBER(AE10),OR(AE10&lt;-30,AE10&gt;20)),"WL out of range; ","")&amp;IF(AND(ISNUMBER($J10),AE10=""),"no TP/b; ","")&amp;IF(AND(ISNUMBER(AF10),ISNUMBER(AG10)),IF(AG10&lt;AF10,"After&lt;Before; ",""),"")&amp;IF(AND($K10="Yes",ISNUMBER($J10),AH10=""),"irrigation readings missing; ","")&amp;IF(ISNUMBER(AK10),IF(AND(ABS(AK10)&gt;50,NOT(N($B10)&gt;0)),"WL jump &gt;5 cm; ",""),"")&amp;IF(AND(ISNUMBER(PitanE),ISNUMBER(AB10),$A10&gt;PitanE+2,AB10&lt;PitanE),"re-measure TP/b after Pitan; ",""))</f>
        <v/>
      </c>
    </row>
    <row r="11">
      <c r="A11" s="14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0">
        <f>IF(OR($A11="",NOT(ISNUMBER(TransDate))),"",$A11-TransDate)</f>
        <v/>
      </c>
      <c r="Q11" s="16">
        <f>IF($A11="","",IF(_xlfn.MAXIFS('TP-b'!$B$2:$B$60,'TP-b'!$A$2:$A$60,"FP",'TP-b'!$E$2:$E$60,1,'TP-b'!$B$2:$B$60,"&lt;="&amp;$A11)&gt;0,_xlfn.MAXIFS('TP-b'!$B$2:$B$60,'TP-b'!$A$2:$A$60,"FP",'TP-b'!$E$2:$E$60,1,'TP-b'!$B$2:$B$60,"&lt;="&amp;$A11),IF(_xlfn.MINIFS('TP-b'!$B$2:$B$60,'TP-b'!$A$2:$A$60,"FP",'TP-b'!$E$2:$E$60,1)&gt;0,_xlfn.MINIFS('TP-b'!$B$2:$B$60,'TP-b'!$A$2:$A$60,"FP",'TP-b'!$E$2:$E$60,1),"")))</f>
        <v/>
      </c>
      <c r="R11" s="10">
        <f>IF(Q11="","",AVERAGEIFS('TP-b'!$C$2:$C$60,'TP-b'!$A$2:$A$60,"FP",'TP-b'!$B$2:$B$60,Q11,'TP-b'!$E$2:$E$60,1))</f>
        <v/>
      </c>
      <c r="S11" s="10">
        <f>IF(Q11="","",AVERAGEIFS('TP-b'!$D$2:$D$60,'TP-b'!$A$2:$A$60,"FP",'TP-b'!$B$2:$B$60,Q11,'TP-b'!$E$2:$E$60,1))</f>
        <v/>
      </c>
      <c r="T11" s="10">
        <f>IF(OR($A11="",NOT(ISNUMBER($E11)),R11=""),"",ROUND($E11-R11+S11,1))</f>
        <v/>
      </c>
      <c r="U11" s="10">
        <f>IF(AND($F11="Yes",ISNUMBER($G11),R11&lt;&gt;""),ROUND($G11-R11+S11,1),"")</f>
        <v/>
      </c>
      <c r="V11" s="10">
        <f>IF(AND($F11="Yes",ISNUMBER($H11),R11&lt;&gt;""),ROUND($H11-R11+S11,1),"")</f>
        <v/>
      </c>
      <c r="W11" s="10">
        <f>IF(AND(ISNUMBER($E11),ISNUMBER(U11),ISNUMBER(V11)),ROUND((V11-MAX(U11,0))*10,1),"")</f>
        <v/>
      </c>
      <c r="X11" s="10">
        <f>IF(T11="","",IF(AND($F11="Yes",ISNUMBER(V11)),V11,T11))</f>
        <v/>
      </c>
      <c r="Y11" s="10">
        <f>IF(T11="","",ROUND(SUMIFS($W$3:$W$252,$A$3:$A$252,"&lt;="&amp;$A11),1))</f>
        <v/>
      </c>
      <c r="Z11" s="10">
        <f>IF(OR(T11="",$A11=""),"",IF(ISNUMBER(IFERROR(INDEX($X$3:$X$252,MATCH($A11-1,$A$3:$A$252,0)),"")),ROUND((INDEX($X$3:$X$252,MATCH($A11-1,$A$3:$A$252,0))-T11)*10,1),""))</f>
        <v/>
      </c>
      <c r="AA11" s="10">
        <f>IF(ISNUMBER(T11),1,0)</f>
        <v/>
      </c>
      <c r="AB11" s="16">
        <f>IF($A11="","",IF(_xlfn.MAXIFS('TP-b'!$B$2:$B$60,'TP-b'!$A$2:$A$60,"3F4D+MD",'TP-b'!$E$2:$E$60,1,'TP-b'!$B$2:$B$60,"&lt;="&amp;$A11)&gt;0,_xlfn.MAXIFS('TP-b'!$B$2:$B$60,'TP-b'!$A$2:$A$60,"3F4D+MD",'TP-b'!$E$2:$E$60,1,'TP-b'!$B$2:$B$60,"&lt;="&amp;$A11),IF(_xlfn.MINIFS('TP-b'!$B$2:$B$60,'TP-b'!$A$2:$A$60,"3F4D+MD",'TP-b'!$E$2:$E$60,1)&gt;0,_xlfn.MINIFS('TP-b'!$B$2:$B$60,'TP-b'!$A$2:$A$60,"3F4D+MD",'TP-b'!$E$2:$E$60,1),"")))</f>
        <v/>
      </c>
      <c r="AC11" s="10">
        <f>IF(AB11="","",AVERAGEIFS('TP-b'!$C$2:$C$60,'TP-b'!$A$2:$A$60,"3F4D+MD",'TP-b'!$B$2:$B$60,AB11,'TP-b'!$E$2:$E$60,1))</f>
        <v/>
      </c>
      <c r="AD11" s="10">
        <f>IF(AB11="","",AVERAGEIFS('TP-b'!$D$2:$D$60,'TP-b'!$A$2:$A$60,"3F4D+MD",'TP-b'!$B$2:$B$60,AB11,'TP-b'!$E$2:$E$60,1))</f>
        <v/>
      </c>
      <c r="AE11" s="10">
        <f>IF(OR($A11="",NOT(ISNUMBER($J11)),AC11=""),"",ROUND($J11-AC11+AD11,1))</f>
        <v/>
      </c>
      <c r="AF11" s="10">
        <f>IF(AND($K11="Yes",ISNUMBER($L11),AC11&lt;&gt;""),ROUND($L11-AC11+AD11,1),"")</f>
        <v/>
      </c>
      <c r="AG11" s="10">
        <f>IF(AND($K11="Yes",ISNUMBER($M11),AC11&lt;&gt;""),ROUND($M11-AC11+AD11,1),"")</f>
        <v/>
      </c>
      <c r="AH11" s="10">
        <f>IF(AND(ISNUMBER($J11),ISNUMBER(AF11),ISNUMBER(AG11)),ROUND((AG11-MAX(AF11,0))*10,1),"")</f>
        <v/>
      </c>
      <c r="AI11" s="10">
        <f>IF(AE11="","",IF(AND($K11="Yes",ISNUMBER(AG11)),AG11,AE11))</f>
        <v/>
      </c>
      <c r="AJ11" s="10">
        <f>IF(AE11="","",ROUND(SUMIFS($AH$3:$AH$252,$A$3:$A$252,"&lt;="&amp;$A11),1))</f>
        <v/>
      </c>
      <c r="AK11" s="10">
        <f>IF(OR(AE11="",$A11=""),"",IF(ISNUMBER(IFERROR(INDEX($AI$3:$AI$252,MATCH($A11-1,$A$3:$A$252,0)),"")),ROUND((INDEX($AI$3:$AI$252,MATCH($A11-1,$A$3:$A$252,0))-AE11)*10,1),""))</f>
        <v/>
      </c>
      <c r="AL11" s="10">
        <f>IF(ISNUMBER(AE11),1,0)</f>
        <v/>
      </c>
      <c r="AM11" s="17">
        <f>IF($A11="","",IF(COUNTIF($A$3:$A$252,$A11)&gt;1,"same date twice; ","")&amp;IF(AND(ISNUMBER($B11),OR($B11&lt;0,$B11&gt;300)),"rain out of range; ","")&amp;IF(AND(ISNUMBER($C11),OR($C11&lt;0,$C11&gt;45)),"temp out of range; ","")&amp;IF(AND(ISNUMBER($D11),OR($D11&lt;0,$D11&gt;100)),"RH out of range; ",""))</f>
        <v/>
      </c>
      <c r="AN11" s="17">
        <f>IF($A11="","",IF(AND(ISNUMBER(T11),OR(T11&lt;-30,T11&gt;20)),"WL out of range; ","")&amp;IF(AND(ISNUMBER($E11),T11=""),"no TP/b; ","")&amp;IF(AND(ISNUMBER(U11),ISNUMBER(V11)),IF(V11&lt;U11,"After&lt;Before; ",""),"")&amp;IF(AND($F11="Yes",ISNUMBER($E11),W11=""),"irrigation readings missing; ","")&amp;IF(ISNUMBER(Z11),IF(AND(ABS(Z11)&gt;50,NOT(N($B11)&gt;0)),"WL jump &gt;5 cm; ",""),""))</f>
        <v/>
      </c>
      <c r="AO11" s="17">
        <f>IF($A11="","",IF(AND(ISNUMBER(AE11),OR(AE11&lt;-30,AE11&gt;20)),"WL out of range; ","")&amp;IF(AND(ISNUMBER($J11),AE11=""),"no TP/b; ","")&amp;IF(AND(ISNUMBER(AF11),ISNUMBER(AG11)),IF(AG11&lt;AF11,"After&lt;Before; ",""),"")&amp;IF(AND($K11="Yes",ISNUMBER($J11),AH11=""),"irrigation readings missing; ","")&amp;IF(ISNUMBER(AK11),IF(AND(ABS(AK11)&gt;50,NOT(N($B11)&gt;0)),"WL jump &gt;5 cm; ",""),"")&amp;IF(AND(ISNUMBER(PitanE),ISNUMBER(AB11),$A11&gt;PitanE+2,AB11&lt;PitanE),"re-measure TP/b after Pitan; ",""))</f>
        <v/>
      </c>
    </row>
    <row r="12">
      <c r="A12" s="14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0">
        <f>IF(OR($A12="",NOT(ISNUMBER(TransDate))),"",$A12-TransDate)</f>
        <v/>
      </c>
      <c r="Q12" s="16">
        <f>IF($A12="","",IF(_xlfn.MAXIFS('TP-b'!$B$2:$B$60,'TP-b'!$A$2:$A$60,"FP",'TP-b'!$E$2:$E$60,1,'TP-b'!$B$2:$B$60,"&lt;="&amp;$A12)&gt;0,_xlfn.MAXIFS('TP-b'!$B$2:$B$60,'TP-b'!$A$2:$A$60,"FP",'TP-b'!$E$2:$E$60,1,'TP-b'!$B$2:$B$60,"&lt;="&amp;$A12),IF(_xlfn.MINIFS('TP-b'!$B$2:$B$60,'TP-b'!$A$2:$A$60,"FP",'TP-b'!$E$2:$E$60,1)&gt;0,_xlfn.MINIFS('TP-b'!$B$2:$B$60,'TP-b'!$A$2:$A$60,"FP",'TP-b'!$E$2:$E$60,1),"")))</f>
        <v/>
      </c>
      <c r="R12" s="10">
        <f>IF(Q12="","",AVERAGEIFS('TP-b'!$C$2:$C$60,'TP-b'!$A$2:$A$60,"FP",'TP-b'!$B$2:$B$60,Q12,'TP-b'!$E$2:$E$60,1))</f>
        <v/>
      </c>
      <c r="S12" s="10">
        <f>IF(Q12="","",AVERAGEIFS('TP-b'!$D$2:$D$60,'TP-b'!$A$2:$A$60,"FP",'TP-b'!$B$2:$B$60,Q12,'TP-b'!$E$2:$E$60,1))</f>
        <v/>
      </c>
      <c r="T12" s="10">
        <f>IF(OR($A12="",NOT(ISNUMBER($E12)),R12=""),"",ROUND($E12-R12+S12,1))</f>
        <v/>
      </c>
      <c r="U12" s="10">
        <f>IF(AND($F12="Yes",ISNUMBER($G12),R12&lt;&gt;""),ROUND($G12-R12+S12,1),"")</f>
        <v/>
      </c>
      <c r="V12" s="10">
        <f>IF(AND($F12="Yes",ISNUMBER($H12),R12&lt;&gt;""),ROUND($H12-R12+S12,1),"")</f>
        <v/>
      </c>
      <c r="W12" s="10">
        <f>IF(AND(ISNUMBER($E12),ISNUMBER(U12),ISNUMBER(V12)),ROUND((V12-MAX(U12,0))*10,1),"")</f>
        <v/>
      </c>
      <c r="X12" s="10">
        <f>IF(T12="","",IF(AND($F12="Yes",ISNUMBER(V12)),V12,T12))</f>
        <v/>
      </c>
      <c r="Y12" s="10">
        <f>IF(T12="","",ROUND(SUMIFS($W$3:$W$252,$A$3:$A$252,"&lt;="&amp;$A12),1))</f>
        <v/>
      </c>
      <c r="Z12" s="10">
        <f>IF(OR(T12="",$A12=""),"",IF(ISNUMBER(IFERROR(INDEX($X$3:$X$252,MATCH($A12-1,$A$3:$A$252,0)),"")),ROUND((INDEX($X$3:$X$252,MATCH($A12-1,$A$3:$A$252,0))-T12)*10,1),""))</f>
        <v/>
      </c>
      <c r="AA12" s="10">
        <f>IF(ISNUMBER(T12),1,0)</f>
        <v/>
      </c>
      <c r="AB12" s="16">
        <f>IF($A12="","",IF(_xlfn.MAXIFS('TP-b'!$B$2:$B$60,'TP-b'!$A$2:$A$60,"3F4D+MD",'TP-b'!$E$2:$E$60,1,'TP-b'!$B$2:$B$60,"&lt;="&amp;$A12)&gt;0,_xlfn.MAXIFS('TP-b'!$B$2:$B$60,'TP-b'!$A$2:$A$60,"3F4D+MD",'TP-b'!$E$2:$E$60,1,'TP-b'!$B$2:$B$60,"&lt;="&amp;$A12),IF(_xlfn.MINIFS('TP-b'!$B$2:$B$60,'TP-b'!$A$2:$A$60,"3F4D+MD",'TP-b'!$E$2:$E$60,1)&gt;0,_xlfn.MINIFS('TP-b'!$B$2:$B$60,'TP-b'!$A$2:$A$60,"3F4D+MD",'TP-b'!$E$2:$E$60,1),"")))</f>
        <v/>
      </c>
      <c r="AC12" s="10">
        <f>IF(AB12="","",AVERAGEIFS('TP-b'!$C$2:$C$60,'TP-b'!$A$2:$A$60,"3F4D+MD",'TP-b'!$B$2:$B$60,AB12,'TP-b'!$E$2:$E$60,1))</f>
        <v/>
      </c>
      <c r="AD12" s="10">
        <f>IF(AB12="","",AVERAGEIFS('TP-b'!$D$2:$D$60,'TP-b'!$A$2:$A$60,"3F4D+MD",'TP-b'!$B$2:$B$60,AB12,'TP-b'!$E$2:$E$60,1))</f>
        <v/>
      </c>
      <c r="AE12" s="10">
        <f>IF(OR($A12="",NOT(ISNUMBER($J12)),AC12=""),"",ROUND($J12-AC12+AD12,1))</f>
        <v/>
      </c>
      <c r="AF12" s="10">
        <f>IF(AND($K12="Yes",ISNUMBER($L12),AC12&lt;&gt;""),ROUND($L12-AC12+AD12,1),"")</f>
        <v/>
      </c>
      <c r="AG12" s="10">
        <f>IF(AND($K12="Yes",ISNUMBER($M12),AC12&lt;&gt;""),ROUND($M12-AC12+AD12,1),"")</f>
        <v/>
      </c>
      <c r="AH12" s="10">
        <f>IF(AND(ISNUMBER($J12),ISNUMBER(AF12),ISNUMBER(AG12)),ROUND((AG12-MAX(AF12,0))*10,1),"")</f>
        <v/>
      </c>
      <c r="AI12" s="10">
        <f>IF(AE12="","",IF(AND($K12="Yes",ISNUMBER(AG12)),AG12,AE12))</f>
        <v/>
      </c>
      <c r="AJ12" s="10">
        <f>IF(AE12="","",ROUND(SUMIFS($AH$3:$AH$252,$A$3:$A$252,"&lt;="&amp;$A12),1))</f>
        <v/>
      </c>
      <c r="AK12" s="10">
        <f>IF(OR(AE12="",$A12=""),"",IF(ISNUMBER(IFERROR(INDEX($AI$3:$AI$252,MATCH($A12-1,$A$3:$A$252,0)),"")),ROUND((INDEX($AI$3:$AI$252,MATCH($A12-1,$A$3:$A$252,0))-AE12)*10,1),""))</f>
        <v/>
      </c>
      <c r="AL12" s="10">
        <f>IF(ISNUMBER(AE12),1,0)</f>
        <v/>
      </c>
      <c r="AM12" s="17">
        <f>IF($A12="","",IF(COUNTIF($A$3:$A$252,$A12)&gt;1,"same date twice; ","")&amp;IF(AND(ISNUMBER($B12),OR($B12&lt;0,$B12&gt;300)),"rain out of range; ","")&amp;IF(AND(ISNUMBER($C12),OR($C12&lt;0,$C12&gt;45)),"temp out of range; ","")&amp;IF(AND(ISNUMBER($D12),OR($D12&lt;0,$D12&gt;100)),"RH out of range; ",""))</f>
        <v/>
      </c>
      <c r="AN12" s="17">
        <f>IF($A12="","",IF(AND(ISNUMBER(T12),OR(T12&lt;-30,T12&gt;20)),"WL out of range; ","")&amp;IF(AND(ISNUMBER($E12),T12=""),"no TP/b; ","")&amp;IF(AND(ISNUMBER(U12),ISNUMBER(V12)),IF(V12&lt;U12,"After&lt;Before; ",""),"")&amp;IF(AND($F12="Yes",ISNUMBER($E12),W12=""),"irrigation readings missing; ","")&amp;IF(ISNUMBER(Z12),IF(AND(ABS(Z12)&gt;50,NOT(N($B12)&gt;0)),"WL jump &gt;5 cm; ",""),""))</f>
        <v/>
      </c>
      <c r="AO12" s="17">
        <f>IF($A12="","",IF(AND(ISNUMBER(AE12),OR(AE12&lt;-30,AE12&gt;20)),"WL out of range; ","")&amp;IF(AND(ISNUMBER($J12),AE12=""),"no TP/b; ","")&amp;IF(AND(ISNUMBER(AF12),ISNUMBER(AG12)),IF(AG12&lt;AF12,"After&lt;Before; ",""),"")&amp;IF(AND($K12="Yes",ISNUMBER($J12),AH12=""),"irrigation readings missing; ","")&amp;IF(ISNUMBER(AK12),IF(AND(ABS(AK12)&gt;50,NOT(N($B12)&gt;0)),"WL jump &gt;5 cm; ",""),"")&amp;IF(AND(ISNUMBER(PitanE),ISNUMBER(AB12),$A12&gt;PitanE+2,AB12&lt;PitanE),"re-measure TP/b after Pitan; ",""))</f>
        <v/>
      </c>
    </row>
    <row r="13">
      <c r="A13" s="14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0">
        <f>IF(OR($A13="",NOT(ISNUMBER(TransDate))),"",$A13-TransDate)</f>
        <v/>
      </c>
      <c r="Q13" s="16">
        <f>IF($A13="","",IF(_xlfn.MAXIFS('TP-b'!$B$2:$B$60,'TP-b'!$A$2:$A$60,"FP",'TP-b'!$E$2:$E$60,1,'TP-b'!$B$2:$B$60,"&lt;="&amp;$A13)&gt;0,_xlfn.MAXIFS('TP-b'!$B$2:$B$60,'TP-b'!$A$2:$A$60,"FP",'TP-b'!$E$2:$E$60,1,'TP-b'!$B$2:$B$60,"&lt;="&amp;$A13),IF(_xlfn.MINIFS('TP-b'!$B$2:$B$60,'TP-b'!$A$2:$A$60,"FP",'TP-b'!$E$2:$E$60,1)&gt;0,_xlfn.MINIFS('TP-b'!$B$2:$B$60,'TP-b'!$A$2:$A$60,"FP",'TP-b'!$E$2:$E$60,1),"")))</f>
        <v/>
      </c>
      <c r="R13" s="10">
        <f>IF(Q13="","",AVERAGEIFS('TP-b'!$C$2:$C$60,'TP-b'!$A$2:$A$60,"FP",'TP-b'!$B$2:$B$60,Q13,'TP-b'!$E$2:$E$60,1))</f>
        <v/>
      </c>
      <c r="S13" s="10">
        <f>IF(Q13="","",AVERAGEIFS('TP-b'!$D$2:$D$60,'TP-b'!$A$2:$A$60,"FP",'TP-b'!$B$2:$B$60,Q13,'TP-b'!$E$2:$E$60,1))</f>
        <v/>
      </c>
      <c r="T13" s="10">
        <f>IF(OR($A13="",NOT(ISNUMBER($E13)),R13=""),"",ROUND($E13-R13+S13,1))</f>
        <v/>
      </c>
      <c r="U13" s="10">
        <f>IF(AND($F13="Yes",ISNUMBER($G13),R13&lt;&gt;""),ROUND($G13-R13+S13,1),"")</f>
        <v/>
      </c>
      <c r="V13" s="10">
        <f>IF(AND($F13="Yes",ISNUMBER($H13),R13&lt;&gt;""),ROUND($H13-R13+S13,1),"")</f>
        <v/>
      </c>
      <c r="W13" s="10">
        <f>IF(AND(ISNUMBER($E13),ISNUMBER(U13),ISNUMBER(V13)),ROUND((V13-MAX(U13,0))*10,1),"")</f>
        <v/>
      </c>
      <c r="X13" s="10">
        <f>IF(T13="","",IF(AND($F13="Yes",ISNUMBER(V13)),V13,T13))</f>
        <v/>
      </c>
      <c r="Y13" s="10">
        <f>IF(T13="","",ROUND(SUMIFS($W$3:$W$252,$A$3:$A$252,"&lt;="&amp;$A13),1))</f>
        <v/>
      </c>
      <c r="Z13" s="10">
        <f>IF(OR(T13="",$A13=""),"",IF(ISNUMBER(IFERROR(INDEX($X$3:$X$252,MATCH($A13-1,$A$3:$A$252,0)),"")),ROUND((INDEX($X$3:$X$252,MATCH($A13-1,$A$3:$A$252,0))-T13)*10,1),""))</f>
        <v/>
      </c>
      <c r="AA13" s="10">
        <f>IF(ISNUMBER(T13),1,0)</f>
        <v/>
      </c>
      <c r="AB13" s="16">
        <f>IF($A13="","",IF(_xlfn.MAXIFS('TP-b'!$B$2:$B$60,'TP-b'!$A$2:$A$60,"3F4D+MD",'TP-b'!$E$2:$E$60,1,'TP-b'!$B$2:$B$60,"&lt;="&amp;$A13)&gt;0,_xlfn.MAXIFS('TP-b'!$B$2:$B$60,'TP-b'!$A$2:$A$60,"3F4D+MD",'TP-b'!$E$2:$E$60,1,'TP-b'!$B$2:$B$60,"&lt;="&amp;$A13),IF(_xlfn.MINIFS('TP-b'!$B$2:$B$60,'TP-b'!$A$2:$A$60,"3F4D+MD",'TP-b'!$E$2:$E$60,1)&gt;0,_xlfn.MINIFS('TP-b'!$B$2:$B$60,'TP-b'!$A$2:$A$60,"3F4D+MD",'TP-b'!$E$2:$E$60,1),"")))</f>
        <v/>
      </c>
      <c r="AC13" s="10">
        <f>IF(AB13="","",AVERAGEIFS('TP-b'!$C$2:$C$60,'TP-b'!$A$2:$A$60,"3F4D+MD",'TP-b'!$B$2:$B$60,AB13,'TP-b'!$E$2:$E$60,1))</f>
        <v/>
      </c>
      <c r="AD13" s="10">
        <f>IF(AB13="","",AVERAGEIFS('TP-b'!$D$2:$D$60,'TP-b'!$A$2:$A$60,"3F4D+MD",'TP-b'!$B$2:$B$60,AB13,'TP-b'!$E$2:$E$60,1))</f>
        <v/>
      </c>
      <c r="AE13" s="10">
        <f>IF(OR($A13="",NOT(ISNUMBER($J13)),AC13=""),"",ROUND($J13-AC13+AD13,1))</f>
        <v/>
      </c>
      <c r="AF13" s="10">
        <f>IF(AND($K13="Yes",ISNUMBER($L13),AC13&lt;&gt;""),ROUND($L13-AC13+AD13,1),"")</f>
        <v/>
      </c>
      <c r="AG13" s="10">
        <f>IF(AND($K13="Yes",ISNUMBER($M13),AC13&lt;&gt;""),ROUND($M13-AC13+AD13,1),"")</f>
        <v/>
      </c>
      <c r="AH13" s="10">
        <f>IF(AND(ISNUMBER($J13),ISNUMBER(AF13),ISNUMBER(AG13)),ROUND((AG13-MAX(AF13,0))*10,1),"")</f>
        <v/>
      </c>
      <c r="AI13" s="10">
        <f>IF(AE13="","",IF(AND($K13="Yes",ISNUMBER(AG13)),AG13,AE13))</f>
        <v/>
      </c>
      <c r="AJ13" s="10">
        <f>IF(AE13="","",ROUND(SUMIFS($AH$3:$AH$252,$A$3:$A$252,"&lt;="&amp;$A13),1))</f>
        <v/>
      </c>
      <c r="AK13" s="10">
        <f>IF(OR(AE13="",$A13=""),"",IF(ISNUMBER(IFERROR(INDEX($AI$3:$AI$252,MATCH($A13-1,$A$3:$A$252,0)),"")),ROUND((INDEX($AI$3:$AI$252,MATCH($A13-1,$A$3:$A$252,0))-AE13)*10,1),""))</f>
        <v/>
      </c>
      <c r="AL13" s="10">
        <f>IF(ISNUMBER(AE13),1,0)</f>
        <v/>
      </c>
      <c r="AM13" s="17">
        <f>IF($A13="","",IF(COUNTIF($A$3:$A$252,$A13)&gt;1,"same date twice; ","")&amp;IF(AND(ISNUMBER($B13),OR($B13&lt;0,$B13&gt;300)),"rain out of range; ","")&amp;IF(AND(ISNUMBER($C13),OR($C13&lt;0,$C13&gt;45)),"temp out of range; ","")&amp;IF(AND(ISNUMBER($D13),OR($D13&lt;0,$D13&gt;100)),"RH out of range; ",""))</f>
        <v/>
      </c>
      <c r="AN13" s="17">
        <f>IF($A13="","",IF(AND(ISNUMBER(T13),OR(T13&lt;-30,T13&gt;20)),"WL out of range; ","")&amp;IF(AND(ISNUMBER($E13),T13=""),"no TP/b; ","")&amp;IF(AND(ISNUMBER(U13),ISNUMBER(V13)),IF(V13&lt;U13,"After&lt;Before; ",""),"")&amp;IF(AND($F13="Yes",ISNUMBER($E13),W13=""),"irrigation readings missing; ","")&amp;IF(ISNUMBER(Z13),IF(AND(ABS(Z13)&gt;50,NOT(N($B13)&gt;0)),"WL jump &gt;5 cm; ",""),""))</f>
        <v/>
      </c>
      <c r="AO13" s="17">
        <f>IF($A13="","",IF(AND(ISNUMBER(AE13),OR(AE13&lt;-30,AE13&gt;20)),"WL out of range; ","")&amp;IF(AND(ISNUMBER($J13),AE13=""),"no TP/b; ","")&amp;IF(AND(ISNUMBER(AF13),ISNUMBER(AG13)),IF(AG13&lt;AF13,"After&lt;Before; ",""),"")&amp;IF(AND($K13="Yes",ISNUMBER($J13),AH13=""),"irrigation readings missing; ","")&amp;IF(ISNUMBER(AK13),IF(AND(ABS(AK13)&gt;50,NOT(N($B13)&gt;0)),"WL jump &gt;5 cm; ",""),"")&amp;IF(AND(ISNUMBER(PitanE),ISNUMBER(AB13),$A13&gt;PitanE+2,AB13&lt;PitanE),"re-measure TP/b after Pitan; ",""))</f>
        <v/>
      </c>
    </row>
    <row r="14">
      <c r="A14" s="14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0">
        <f>IF(OR($A14="",NOT(ISNUMBER(TransDate))),"",$A14-TransDate)</f>
        <v/>
      </c>
      <c r="Q14" s="16">
        <f>IF($A14="","",IF(_xlfn.MAXIFS('TP-b'!$B$2:$B$60,'TP-b'!$A$2:$A$60,"FP",'TP-b'!$E$2:$E$60,1,'TP-b'!$B$2:$B$60,"&lt;="&amp;$A14)&gt;0,_xlfn.MAXIFS('TP-b'!$B$2:$B$60,'TP-b'!$A$2:$A$60,"FP",'TP-b'!$E$2:$E$60,1,'TP-b'!$B$2:$B$60,"&lt;="&amp;$A14),IF(_xlfn.MINIFS('TP-b'!$B$2:$B$60,'TP-b'!$A$2:$A$60,"FP",'TP-b'!$E$2:$E$60,1)&gt;0,_xlfn.MINIFS('TP-b'!$B$2:$B$60,'TP-b'!$A$2:$A$60,"FP",'TP-b'!$E$2:$E$60,1),"")))</f>
        <v/>
      </c>
      <c r="R14" s="10">
        <f>IF(Q14="","",AVERAGEIFS('TP-b'!$C$2:$C$60,'TP-b'!$A$2:$A$60,"FP",'TP-b'!$B$2:$B$60,Q14,'TP-b'!$E$2:$E$60,1))</f>
        <v/>
      </c>
      <c r="S14" s="10">
        <f>IF(Q14="","",AVERAGEIFS('TP-b'!$D$2:$D$60,'TP-b'!$A$2:$A$60,"FP",'TP-b'!$B$2:$B$60,Q14,'TP-b'!$E$2:$E$60,1))</f>
        <v/>
      </c>
      <c r="T14" s="10">
        <f>IF(OR($A14="",NOT(ISNUMBER($E14)),R14=""),"",ROUND($E14-R14+S14,1))</f>
        <v/>
      </c>
      <c r="U14" s="10">
        <f>IF(AND($F14="Yes",ISNUMBER($G14),R14&lt;&gt;""),ROUND($G14-R14+S14,1),"")</f>
        <v/>
      </c>
      <c r="V14" s="10">
        <f>IF(AND($F14="Yes",ISNUMBER($H14),R14&lt;&gt;""),ROUND($H14-R14+S14,1),"")</f>
        <v/>
      </c>
      <c r="W14" s="10">
        <f>IF(AND(ISNUMBER($E14),ISNUMBER(U14),ISNUMBER(V14)),ROUND((V14-MAX(U14,0))*10,1),"")</f>
        <v/>
      </c>
      <c r="X14" s="10">
        <f>IF(T14="","",IF(AND($F14="Yes",ISNUMBER(V14)),V14,T14))</f>
        <v/>
      </c>
      <c r="Y14" s="10">
        <f>IF(T14="","",ROUND(SUMIFS($W$3:$W$252,$A$3:$A$252,"&lt;="&amp;$A14),1))</f>
        <v/>
      </c>
      <c r="Z14" s="10">
        <f>IF(OR(T14="",$A14=""),"",IF(ISNUMBER(IFERROR(INDEX($X$3:$X$252,MATCH($A14-1,$A$3:$A$252,0)),"")),ROUND((INDEX($X$3:$X$252,MATCH($A14-1,$A$3:$A$252,0))-T14)*10,1),""))</f>
        <v/>
      </c>
      <c r="AA14" s="10">
        <f>IF(ISNUMBER(T14),1,0)</f>
        <v/>
      </c>
      <c r="AB14" s="16">
        <f>IF($A14="","",IF(_xlfn.MAXIFS('TP-b'!$B$2:$B$60,'TP-b'!$A$2:$A$60,"3F4D+MD",'TP-b'!$E$2:$E$60,1,'TP-b'!$B$2:$B$60,"&lt;="&amp;$A14)&gt;0,_xlfn.MAXIFS('TP-b'!$B$2:$B$60,'TP-b'!$A$2:$A$60,"3F4D+MD",'TP-b'!$E$2:$E$60,1,'TP-b'!$B$2:$B$60,"&lt;="&amp;$A14),IF(_xlfn.MINIFS('TP-b'!$B$2:$B$60,'TP-b'!$A$2:$A$60,"3F4D+MD",'TP-b'!$E$2:$E$60,1)&gt;0,_xlfn.MINIFS('TP-b'!$B$2:$B$60,'TP-b'!$A$2:$A$60,"3F4D+MD",'TP-b'!$E$2:$E$60,1),"")))</f>
        <v/>
      </c>
      <c r="AC14" s="10">
        <f>IF(AB14="","",AVERAGEIFS('TP-b'!$C$2:$C$60,'TP-b'!$A$2:$A$60,"3F4D+MD",'TP-b'!$B$2:$B$60,AB14,'TP-b'!$E$2:$E$60,1))</f>
        <v/>
      </c>
      <c r="AD14" s="10">
        <f>IF(AB14="","",AVERAGEIFS('TP-b'!$D$2:$D$60,'TP-b'!$A$2:$A$60,"3F4D+MD",'TP-b'!$B$2:$B$60,AB14,'TP-b'!$E$2:$E$60,1))</f>
        <v/>
      </c>
      <c r="AE14" s="10">
        <f>IF(OR($A14="",NOT(ISNUMBER($J14)),AC14=""),"",ROUND($J14-AC14+AD14,1))</f>
        <v/>
      </c>
      <c r="AF14" s="10">
        <f>IF(AND($K14="Yes",ISNUMBER($L14),AC14&lt;&gt;""),ROUND($L14-AC14+AD14,1),"")</f>
        <v/>
      </c>
      <c r="AG14" s="10">
        <f>IF(AND($K14="Yes",ISNUMBER($M14),AC14&lt;&gt;""),ROUND($M14-AC14+AD14,1),"")</f>
        <v/>
      </c>
      <c r="AH14" s="10">
        <f>IF(AND(ISNUMBER($J14),ISNUMBER(AF14),ISNUMBER(AG14)),ROUND((AG14-MAX(AF14,0))*10,1),"")</f>
        <v/>
      </c>
      <c r="AI14" s="10">
        <f>IF(AE14="","",IF(AND($K14="Yes",ISNUMBER(AG14)),AG14,AE14))</f>
        <v/>
      </c>
      <c r="AJ14" s="10">
        <f>IF(AE14="","",ROUND(SUMIFS($AH$3:$AH$252,$A$3:$A$252,"&lt;="&amp;$A14),1))</f>
        <v/>
      </c>
      <c r="AK14" s="10">
        <f>IF(OR(AE14="",$A14=""),"",IF(ISNUMBER(IFERROR(INDEX($AI$3:$AI$252,MATCH($A14-1,$A$3:$A$252,0)),"")),ROUND((INDEX($AI$3:$AI$252,MATCH($A14-1,$A$3:$A$252,0))-AE14)*10,1),""))</f>
        <v/>
      </c>
      <c r="AL14" s="10">
        <f>IF(ISNUMBER(AE14),1,0)</f>
        <v/>
      </c>
      <c r="AM14" s="17">
        <f>IF($A14="","",IF(COUNTIF($A$3:$A$252,$A14)&gt;1,"same date twice; ","")&amp;IF(AND(ISNUMBER($B14),OR($B14&lt;0,$B14&gt;300)),"rain out of range; ","")&amp;IF(AND(ISNUMBER($C14),OR($C14&lt;0,$C14&gt;45)),"temp out of range; ","")&amp;IF(AND(ISNUMBER($D14),OR($D14&lt;0,$D14&gt;100)),"RH out of range; ",""))</f>
        <v/>
      </c>
      <c r="AN14" s="17">
        <f>IF($A14="","",IF(AND(ISNUMBER(T14),OR(T14&lt;-30,T14&gt;20)),"WL out of range; ","")&amp;IF(AND(ISNUMBER($E14),T14=""),"no TP/b; ","")&amp;IF(AND(ISNUMBER(U14),ISNUMBER(V14)),IF(V14&lt;U14,"After&lt;Before; ",""),"")&amp;IF(AND($F14="Yes",ISNUMBER($E14),W14=""),"irrigation readings missing; ","")&amp;IF(ISNUMBER(Z14),IF(AND(ABS(Z14)&gt;50,NOT(N($B14)&gt;0)),"WL jump &gt;5 cm; ",""),""))</f>
        <v/>
      </c>
      <c r="AO14" s="17">
        <f>IF($A14="","",IF(AND(ISNUMBER(AE14),OR(AE14&lt;-30,AE14&gt;20)),"WL out of range; ","")&amp;IF(AND(ISNUMBER($J14),AE14=""),"no TP/b; ","")&amp;IF(AND(ISNUMBER(AF14),ISNUMBER(AG14)),IF(AG14&lt;AF14,"After&lt;Before; ",""),"")&amp;IF(AND($K14="Yes",ISNUMBER($J14),AH14=""),"irrigation readings missing; ","")&amp;IF(ISNUMBER(AK14),IF(AND(ABS(AK14)&gt;50,NOT(N($B14)&gt;0)),"WL jump &gt;5 cm; ",""),"")&amp;IF(AND(ISNUMBER(PitanE),ISNUMBER(AB14),$A14&gt;PitanE+2,AB14&lt;PitanE),"re-measure TP/b after Pitan; ",""))</f>
        <v/>
      </c>
    </row>
    <row r="15">
      <c r="A15" s="14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0">
        <f>IF(OR($A15="",NOT(ISNUMBER(TransDate))),"",$A15-TransDate)</f>
        <v/>
      </c>
      <c r="Q15" s="16">
        <f>IF($A15="","",IF(_xlfn.MAXIFS('TP-b'!$B$2:$B$60,'TP-b'!$A$2:$A$60,"FP",'TP-b'!$E$2:$E$60,1,'TP-b'!$B$2:$B$60,"&lt;="&amp;$A15)&gt;0,_xlfn.MAXIFS('TP-b'!$B$2:$B$60,'TP-b'!$A$2:$A$60,"FP",'TP-b'!$E$2:$E$60,1,'TP-b'!$B$2:$B$60,"&lt;="&amp;$A15),IF(_xlfn.MINIFS('TP-b'!$B$2:$B$60,'TP-b'!$A$2:$A$60,"FP",'TP-b'!$E$2:$E$60,1)&gt;0,_xlfn.MINIFS('TP-b'!$B$2:$B$60,'TP-b'!$A$2:$A$60,"FP",'TP-b'!$E$2:$E$60,1),"")))</f>
        <v/>
      </c>
      <c r="R15" s="10">
        <f>IF(Q15="","",AVERAGEIFS('TP-b'!$C$2:$C$60,'TP-b'!$A$2:$A$60,"FP",'TP-b'!$B$2:$B$60,Q15,'TP-b'!$E$2:$E$60,1))</f>
        <v/>
      </c>
      <c r="S15" s="10">
        <f>IF(Q15="","",AVERAGEIFS('TP-b'!$D$2:$D$60,'TP-b'!$A$2:$A$60,"FP",'TP-b'!$B$2:$B$60,Q15,'TP-b'!$E$2:$E$60,1))</f>
        <v/>
      </c>
      <c r="T15" s="10">
        <f>IF(OR($A15="",NOT(ISNUMBER($E15)),R15=""),"",ROUND($E15-R15+S15,1))</f>
        <v/>
      </c>
      <c r="U15" s="10">
        <f>IF(AND($F15="Yes",ISNUMBER($G15),R15&lt;&gt;""),ROUND($G15-R15+S15,1),"")</f>
        <v/>
      </c>
      <c r="V15" s="10">
        <f>IF(AND($F15="Yes",ISNUMBER($H15),R15&lt;&gt;""),ROUND($H15-R15+S15,1),"")</f>
        <v/>
      </c>
      <c r="W15" s="10">
        <f>IF(AND(ISNUMBER($E15),ISNUMBER(U15),ISNUMBER(V15)),ROUND((V15-MAX(U15,0))*10,1),"")</f>
        <v/>
      </c>
      <c r="X15" s="10">
        <f>IF(T15="","",IF(AND($F15="Yes",ISNUMBER(V15)),V15,T15))</f>
        <v/>
      </c>
      <c r="Y15" s="10">
        <f>IF(T15="","",ROUND(SUMIFS($W$3:$W$252,$A$3:$A$252,"&lt;="&amp;$A15),1))</f>
        <v/>
      </c>
      <c r="Z15" s="10">
        <f>IF(OR(T15="",$A15=""),"",IF(ISNUMBER(IFERROR(INDEX($X$3:$X$252,MATCH($A15-1,$A$3:$A$252,0)),"")),ROUND((INDEX($X$3:$X$252,MATCH($A15-1,$A$3:$A$252,0))-T15)*10,1),""))</f>
        <v/>
      </c>
      <c r="AA15" s="10">
        <f>IF(ISNUMBER(T15),1,0)</f>
        <v/>
      </c>
      <c r="AB15" s="16">
        <f>IF($A15="","",IF(_xlfn.MAXIFS('TP-b'!$B$2:$B$60,'TP-b'!$A$2:$A$60,"3F4D+MD",'TP-b'!$E$2:$E$60,1,'TP-b'!$B$2:$B$60,"&lt;="&amp;$A15)&gt;0,_xlfn.MAXIFS('TP-b'!$B$2:$B$60,'TP-b'!$A$2:$A$60,"3F4D+MD",'TP-b'!$E$2:$E$60,1,'TP-b'!$B$2:$B$60,"&lt;="&amp;$A15),IF(_xlfn.MINIFS('TP-b'!$B$2:$B$60,'TP-b'!$A$2:$A$60,"3F4D+MD",'TP-b'!$E$2:$E$60,1)&gt;0,_xlfn.MINIFS('TP-b'!$B$2:$B$60,'TP-b'!$A$2:$A$60,"3F4D+MD",'TP-b'!$E$2:$E$60,1),"")))</f>
        <v/>
      </c>
      <c r="AC15" s="10">
        <f>IF(AB15="","",AVERAGEIFS('TP-b'!$C$2:$C$60,'TP-b'!$A$2:$A$60,"3F4D+MD",'TP-b'!$B$2:$B$60,AB15,'TP-b'!$E$2:$E$60,1))</f>
        <v/>
      </c>
      <c r="AD15" s="10">
        <f>IF(AB15="","",AVERAGEIFS('TP-b'!$D$2:$D$60,'TP-b'!$A$2:$A$60,"3F4D+MD",'TP-b'!$B$2:$B$60,AB15,'TP-b'!$E$2:$E$60,1))</f>
        <v/>
      </c>
      <c r="AE15" s="10">
        <f>IF(OR($A15="",NOT(ISNUMBER($J15)),AC15=""),"",ROUND($J15-AC15+AD15,1))</f>
        <v/>
      </c>
      <c r="AF15" s="10">
        <f>IF(AND($K15="Yes",ISNUMBER($L15),AC15&lt;&gt;""),ROUND($L15-AC15+AD15,1),"")</f>
        <v/>
      </c>
      <c r="AG15" s="10">
        <f>IF(AND($K15="Yes",ISNUMBER($M15),AC15&lt;&gt;""),ROUND($M15-AC15+AD15,1),"")</f>
        <v/>
      </c>
      <c r="AH15" s="10">
        <f>IF(AND(ISNUMBER($J15),ISNUMBER(AF15),ISNUMBER(AG15)),ROUND((AG15-MAX(AF15,0))*10,1),"")</f>
        <v/>
      </c>
      <c r="AI15" s="10">
        <f>IF(AE15="","",IF(AND($K15="Yes",ISNUMBER(AG15)),AG15,AE15))</f>
        <v/>
      </c>
      <c r="AJ15" s="10">
        <f>IF(AE15="","",ROUND(SUMIFS($AH$3:$AH$252,$A$3:$A$252,"&lt;="&amp;$A15),1))</f>
        <v/>
      </c>
      <c r="AK15" s="10">
        <f>IF(OR(AE15="",$A15=""),"",IF(ISNUMBER(IFERROR(INDEX($AI$3:$AI$252,MATCH($A15-1,$A$3:$A$252,0)),"")),ROUND((INDEX($AI$3:$AI$252,MATCH($A15-1,$A$3:$A$252,0))-AE15)*10,1),""))</f>
        <v/>
      </c>
      <c r="AL15" s="10">
        <f>IF(ISNUMBER(AE15),1,0)</f>
        <v/>
      </c>
      <c r="AM15" s="17">
        <f>IF($A15="","",IF(COUNTIF($A$3:$A$252,$A15)&gt;1,"same date twice; ","")&amp;IF(AND(ISNUMBER($B15),OR($B15&lt;0,$B15&gt;300)),"rain out of range; ","")&amp;IF(AND(ISNUMBER($C15),OR($C15&lt;0,$C15&gt;45)),"temp out of range; ","")&amp;IF(AND(ISNUMBER($D15),OR($D15&lt;0,$D15&gt;100)),"RH out of range; ",""))</f>
        <v/>
      </c>
      <c r="AN15" s="17">
        <f>IF($A15="","",IF(AND(ISNUMBER(T15),OR(T15&lt;-30,T15&gt;20)),"WL out of range; ","")&amp;IF(AND(ISNUMBER($E15),T15=""),"no TP/b; ","")&amp;IF(AND(ISNUMBER(U15),ISNUMBER(V15)),IF(V15&lt;U15,"After&lt;Before; ",""),"")&amp;IF(AND($F15="Yes",ISNUMBER($E15),W15=""),"irrigation readings missing; ","")&amp;IF(ISNUMBER(Z15),IF(AND(ABS(Z15)&gt;50,NOT(N($B15)&gt;0)),"WL jump &gt;5 cm; ",""),""))</f>
        <v/>
      </c>
      <c r="AO15" s="17">
        <f>IF($A15="","",IF(AND(ISNUMBER(AE15),OR(AE15&lt;-30,AE15&gt;20)),"WL out of range; ","")&amp;IF(AND(ISNUMBER($J15),AE15=""),"no TP/b; ","")&amp;IF(AND(ISNUMBER(AF15),ISNUMBER(AG15)),IF(AG15&lt;AF15,"After&lt;Before; ",""),"")&amp;IF(AND($K15="Yes",ISNUMBER($J15),AH15=""),"irrigation readings missing; ","")&amp;IF(ISNUMBER(AK15),IF(AND(ABS(AK15)&gt;50,NOT(N($B15)&gt;0)),"WL jump &gt;5 cm; ",""),"")&amp;IF(AND(ISNUMBER(PitanE),ISNUMBER(AB15),$A15&gt;PitanE+2,AB15&lt;PitanE),"re-measure TP/b after Pitan; ",""))</f>
        <v/>
      </c>
    </row>
    <row r="16">
      <c r="A16" s="14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0">
        <f>IF(OR($A16="",NOT(ISNUMBER(TransDate))),"",$A16-TransDate)</f>
        <v/>
      </c>
      <c r="Q16" s="16">
        <f>IF($A16="","",IF(_xlfn.MAXIFS('TP-b'!$B$2:$B$60,'TP-b'!$A$2:$A$60,"FP",'TP-b'!$E$2:$E$60,1,'TP-b'!$B$2:$B$60,"&lt;="&amp;$A16)&gt;0,_xlfn.MAXIFS('TP-b'!$B$2:$B$60,'TP-b'!$A$2:$A$60,"FP",'TP-b'!$E$2:$E$60,1,'TP-b'!$B$2:$B$60,"&lt;="&amp;$A16),IF(_xlfn.MINIFS('TP-b'!$B$2:$B$60,'TP-b'!$A$2:$A$60,"FP",'TP-b'!$E$2:$E$60,1)&gt;0,_xlfn.MINIFS('TP-b'!$B$2:$B$60,'TP-b'!$A$2:$A$60,"FP",'TP-b'!$E$2:$E$60,1),"")))</f>
        <v/>
      </c>
      <c r="R16" s="10">
        <f>IF(Q16="","",AVERAGEIFS('TP-b'!$C$2:$C$60,'TP-b'!$A$2:$A$60,"FP",'TP-b'!$B$2:$B$60,Q16,'TP-b'!$E$2:$E$60,1))</f>
        <v/>
      </c>
      <c r="S16" s="10">
        <f>IF(Q16="","",AVERAGEIFS('TP-b'!$D$2:$D$60,'TP-b'!$A$2:$A$60,"FP",'TP-b'!$B$2:$B$60,Q16,'TP-b'!$E$2:$E$60,1))</f>
        <v/>
      </c>
      <c r="T16" s="10">
        <f>IF(OR($A16="",NOT(ISNUMBER($E16)),R16=""),"",ROUND($E16-R16+S16,1))</f>
        <v/>
      </c>
      <c r="U16" s="10">
        <f>IF(AND($F16="Yes",ISNUMBER($G16),R16&lt;&gt;""),ROUND($G16-R16+S16,1),"")</f>
        <v/>
      </c>
      <c r="V16" s="10">
        <f>IF(AND($F16="Yes",ISNUMBER($H16),R16&lt;&gt;""),ROUND($H16-R16+S16,1),"")</f>
        <v/>
      </c>
      <c r="W16" s="10">
        <f>IF(AND(ISNUMBER($E16),ISNUMBER(U16),ISNUMBER(V16)),ROUND((V16-MAX(U16,0))*10,1),"")</f>
        <v/>
      </c>
      <c r="X16" s="10">
        <f>IF(T16="","",IF(AND($F16="Yes",ISNUMBER(V16)),V16,T16))</f>
        <v/>
      </c>
      <c r="Y16" s="10">
        <f>IF(T16="","",ROUND(SUMIFS($W$3:$W$252,$A$3:$A$252,"&lt;="&amp;$A16),1))</f>
        <v/>
      </c>
      <c r="Z16" s="10">
        <f>IF(OR(T16="",$A16=""),"",IF(ISNUMBER(IFERROR(INDEX($X$3:$X$252,MATCH($A16-1,$A$3:$A$252,0)),"")),ROUND((INDEX($X$3:$X$252,MATCH($A16-1,$A$3:$A$252,0))-T16)*10,1),""))</f>
        <v/>
      </c>
      <c r="AA16" s="10">
        <f>IF(ISNUMBER(T16),1,0)</f>
        <v/>
      </c>
      <c r="AB16" s="16">
        <f>IF($A16="","",IF(_xlfn.MAXIFS('TP-b'!$B$2:$B$60,'TP-b'!$A$2:$A$60,"3F4D+MD",'TP-b'!$E$2:$E$60,1,'TP-b'!$B$2:$B$60,"&lt;="&amp;$A16)&gt;0,_xlfn.MAXIFS('TP-b'!$B$2:$B$60,'TP-b'!$A$2:$A$60,"3F4D+MD",'TP-b'!$E$2:$E$60,1,'TP-b'!$B$2:$B$60,"&lt;="&amp;$A16),IF(_xlfn.MINIFS('TP-b'!$B$2:$B$60,'TP-b'!$A$2:$A$60,"3F4D+MD",'TP-b'!$E$2:$E$60,1)&gt;0,_xlfn.MINIFS('TP-b'!$B$2:$B$60,'TP-b'!$A$2:$A$60,"3F4D+MD",'TP-b'!$E$2:$E$60,1),"")))</f>
        <v/>
      </c>
      <c r="AC16" s="10">
        <f>IF(AB16="","",AVERAGEIFS('TP-b'!$C$2:$C$60,'TP-b'!$A$2:$A$60,"3F4D+MD",'TP-b'!$B$2:$B$60,AB16,'TP-b'!$E$2:$E$60,1))</f>
        <v/>
      </c>
      <c r="AD16" s="10">
        <f>IF(AB16="","",AVERAGEIFS('TP-b'!$D$2:$D$60,'TP-b'!$A$2:$A$60,"3F4D+MD",'TP-b'!$B$2:$B$60,AB16,'TP-b'!$E$2:$E$60,1))</f>
        <v/>
      </c>
      <c r="AE16" s="10">
        <f>IF(OR($A16="",NOT(ISNUMBER($J16)),AC16=""),"",ROUND($J16-AC16+AD16,1))</f>
        <v/>
      </c>
      <c r="AF16" s="10">
        <f>IF(AND($K16="Yes",ISNUMBER($L16),AC16&lt;&gt;""),ROUND($L16-AC16+AD16,1),"")</f>
        <v/>
      </c>
      <c r="AG16" s="10">
        <f>IF(AND($K16="Yes",ISNUMBER($M16),AC16&lt;&gt;""),ROUND($M16-AC16+AD16,1),"")</f>
        <v/>
      </c>
      <c r="AH16" s="10">
        <f>IF(AND(ISNUMBER($J16),ISNUMBER(AF16),ISNUMBER(AG16)),ROUND((AG16-MAX(AF16,0))*10,1),"")</f>
        <v/>
      </c>
      <c r="AI16" s="10">
        <f>IF(AE16="","",IF(AND($K16="Yes",ISNUMBER(AG16)),AG16,AE16))</f>
        <v/>
      </c>
      <c r="AJ16" s="10">
        <f>IF(AE16="","",ROUND(SUMIFS($AH$3:$AH$252,$A$3:$A$252,"&lt;="&amp;$A16),1))</f>
        <v/>
      </c>
      <c r="AK16" s="10">
        <f>IF(OR(AE16="",$A16=""),"",IF(ISNUMBER(IFERROR(INDEX($AI$3:$AI$252,MATCH($A16-1,$A$3:$A$252,0)),"")),ROUND((INDEX($AI$3:$AI$252,MATCH($A16-1,$A$3:$A$252,0))-AE16)*10,1),""))</f>
        <v/>
      </c>
      <c r="AL16" s="10">
        <f>IF(ISNUMBER(AE16),1,0)</f>
        <v/>
      </c>
      <c r="AM16" s="17">
        <f>IF($A16="","",IF(COUNTIF($A$3:$A$252,$A16)&gt;1,"same date twice; ","")&amp;IF(AND(ISNUMBER($B16),OR($B16&lt;0,$B16&gt;300)),"rain out of range; ","")&amp;IF(AND(ISNUMBER($C16),OR($C16&lt;0,$C16&gt;45)),"temp out of range; ","")&amp;IF(AND(ISNUMBER($D16),OR($D16&lt;0,$D16&gt;100)),"RH out of range; ",""))</f>
        <v/>
      </c>
      <c r="AN16" s="17">
        <f>IF($A16="","",IF(AND(ISNUMBER(T16),OR(T16&lt;-30,T16&gt;20)),"WL out of range; ","")&amp;IF(AND(ISNUMBER($E16),T16=""),"no TP/b; ","")&amp;IF(AND(ISNUMBER(U16),ISNUMBER(V16)),IF(V16&lt;U16,"After&lt;Before; ",""),"")&amp;IF(AND($F16="Yes",ISNUMBER($E16),W16=""),"irrigation readings missing; ","")&amp;IF(ISNUMBER(Z16),IF(AND(ABS(Z16)&gt;50,NOT(N($B16)&gt;0)),"WL jump &gt;5 cm; ",""),""))</f>
        <v/>
      </c>
      <c r="AO16" s="17">
        <f>IF($A16="","",IF(AND(ISNUMBER(AE16),OR(AE16&lt;-30,AE16&gt;20)),"WL out of range; ","")&amp;IF(AND(ISNUMBER($J16),AE16=""),"no TP/b; ","")&amp;IF(AND(ISNUMBER(AF16),ISNUMBER(AG16)),IF(AG16&lt;AF16,"After&lt;Before; ",""),"")&amp;IF(AND($K16="Yes",ISNUMBER($J16),AH16=""),"irrigation readings missing; ","")&amp;IF(ISNUMBER(AK16),IF(AND(ABS(AK16)&gt;50,NOT(N($B16)&gt;0)),"WL jump &gt;5 cm; ",""),"")&amp;IF(AND(ISNUMBER(PitanE),ISNUMBER(AB16),$A16&gt;PitanE+2,AB16&lt;PitanE),"re-measure TP/b after Pitan; ",""))</f>
        <v/>
      </c>
    </row>
    <row r="17">
      <c r="A17" s="14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0">
        <f>IF(OR($A17="",NOT(ISNUMBER(TransDate))),"",$A17-TransDate)</f>
        <v/>
      </c>
      <c r="Q17" s="16">
        <f>IF($A17="","",IF(_xlfn.MAXIFS('TP-b'!$B$2:$B$60,'TP-b'!$A$2:$A$60,"FP",'TP-b'!$E$2:$E$60,1,'TP-b'!$B$2:$B$60,"&lt;="&amp;$A17)&gt;0,_xlfn.MAXIFS('TP-b'!$B$2:$B$60,'TP-b'!$A$2:$A$60,"FP",'TP-b'!$E$2:$E$60,1,'TP-b'!$B$2:$B$60,"&lt;="&amp;$A17),IF(_xlfn.MINIFS('TP-b'!$B$2:$B$60,'TP-b'!$A$2:$A$60,"FP",'TP-b'!$E$2:$E$60,1)&gt;0,_xlfn.MINIFS('TP-b'!$B$2:$B$60,'TP-b'!$A$2:$A$60,"FP",'TP-b'!$E$2:$E$60,1),"")))</f>
        <v/>
      </c>
      <c r="R17" s="10">
        <f>IF(Q17="","",AVERAGEIFS('TP-b'!$C$2:$C$60,'TP-b'!$A$2:$A$60,"FP",'TP-b'!$B$2:$B$60,Q17,'TP-b'!$E$2:$E$60,1))</f>
        <v/>
      </c>
      <c r="S17" s="10">
        <f>IF(Q17="","",AVERAGEIFS('TP-b'!$D$2:$D$60,'TP-b'!$A$2:$A$60,"FP",'TP-b'!$B$2:$B$60,Q17,'TP-b'!$E$2:$E$60,1))</f>
        <v/>
      </c>
      <c r="T17" s="10">
        <f>IF(OR($A17="",NOT(ISNUMBER($E17)),R17=""),"",ROUND($E17-R17+S17,1))</f>
        <v/>
      </c>
      <c r="U17" s="10">
        <f>IF(AND($F17="Yes",ISNUMBER($G17),R17&lt;&gt;""),ROUND($G17-R17+S17,1),"")</f>
        <v/>
      </c>
      <c r="V17" s="10">
        <f>IF(AND($F17="Yes",ISNUMBER($H17),R17&lt;&gt;""),ROUND($H17-R17+S17,1),"")</f>
        <v/>
      </c>
      <c r="W17" s="10">
        <f>IF(AND(ISNUMBER($E17),ISNUMBER(U17),ISNUMBER(V17)),ROUND((V17-MAX(U17,0))*10,1),"")</f>
        <v/>
      </c>
      <c r="X17" s="10">
        <f>IF(T17="","",IF(AND($F17="Yes",ISNUMBER(V17)),V17,T17))</f>
        <v/>
      </c>
      <c r="Y17" s="10">
        <f>IF(T17="","",ROUND(SUMIFS($W$3:$W$252,$A$3:$A$252,"&lt;="&amp;$A17),1))</f>
        <v/>
      </c>
      <c r="Z17" s="10">
        <f>IF(OR(T17="",$A17=""),"",IF(ISNUMBER(IFERROR(INDEX($X$3:$X$252,MATCH($A17-1,$A$3:$A$252,0)),"")),ROUND((INDEX($X$3:$X$252,MATCH($A17-1,$A$3:$A$252,0))-T17)*10,1),""))</f>
        <v/>
      </c>
      <c r="AA17" s="10">
        <f>IF(ISNUMBER(T17),1,0)</f>
        <v/>
      </c>
      <c r="AB17" s="16">
        <f>IF($A17="","",IF(_xlfn.MAXIFS('TP-b'!$B$2:$B$60,'TP-b'!$A$2:$A$60,"3F4D+MD",'TP-b'!$E$2:$E$60,1,'TP-b'!$B$2:$B$60,"&lt;="&amp;$A17)&gt;0,_xlfn.MAXIFS('TP-b'!$B$2:$B$60,'TP-b'!$A$2:$A$60,"3F4D+MD",'TP-b'!$E$2:$E$60,1,'TP-b'!$B$2:$B$60,"&lt;="&amp;$A17),IF(_xlfn.MINIFS('TP-b'!$B$2:$B$60,'TP-b'!$A$2:$A$60,"3F4D+MD",'TP-b'!$E$2:$E$60,1)&gt;0,_xlfn.MINIFS('TP-b'!$B$2:$B$60,'TP-b'!$A$2:$A$60,"3F4D+MD",'TP-b'!$E$2:$E$60,1),"")))</f>
        <v/>
      </c>
      <c r="AC17" s="10">
        <f>IF(AB17="","",AVERAGEIFS('TP-b'!$C$2:$C$60,'TP-b'!$A$2:$A$60,"3F4D+MD",'TP-b'!$B$2:$B$60,AB17,'TP-b'!$E$2:$E$60,1))</f>
        <v/>
      </c>
      <c r="AD17" s="10">
        <f>IF(AB17="","",AVERAGEIFS('TP-b'!$D$2:$D$60,'TP-b'!$A$2:$A$60,"3F4D+MD",'TP-b'!$B$2:$B$60,AB17,'TP-b'!$E$2:$E$60,1))</f>
        <v/>
      </c>
      <c r="AE17" s="10">
        <f>IF(OR($A17="",NOT(ISNUMBER($J17)),AC17=""),"",ROUND($J17-AC17+AD17,1))</f>
        <v/>
      </c>
      <c r="AF17" s="10">
        <f>IF(AND($K17="Yes",ISNUMBER($L17),AC17&lt;&gt;""),ROUND($L17-AC17+AD17,1),"")</f>
        <v/>
      </c>
      <c r="AG17" s="10">
        <f>IF(AND($K17="Yes",ISNUMBER($M17),AC17&lt;&gt;""),ROUND($M17-AC17+AD17,1),"")</f>
        <v/>
      </c>
      <c r="AH17" s="10">
        <f>IF(AND(ISNUMBER($J17),ISNUMBER(AF17),ISNUMBER(AG17)),ROUND((AG17-MAX(AF17,0))*10,1),"")</f>
        <v/>
      </c>
      <c r="AI17" s="10">
        <f>IF(AE17="","",IF(AND($K17="Yes",ISNUMBER(AG17)),AG17,AE17))</f>
        <v/>
      </c>
      <c r="AJ17" s="10">
        <f>IF(AE17="","",ROUND(SUMIFS($AH$3:$AH$252,$A$3:$A$252,"&lt;="&amp;$A17),1))</f>
        <v/>
      </c>
      <c r="AK17" s="10">
        <f>IF(OR(AE17="",$A17=""),"",IF(ISNUMBER(IFERROR(INDEX($AI$3:$AI$252,MATCH($A17-1,$A$3:$A$252,0)),"")),ROUND((INDEX($AI$3:$AI$252,MATCH($A17-1,$A$3:$A$252,0))-AE17)*10,1),""))</f>
        <v/>
      </c>
      <c r="AL17" s="10">
        <f>IF(ISNUMBER(AE17),1,0)</f>
        <v/>
      </c>
      <c r="AM17" s="17">
        <f>IF($A17="","",IF(COUNTIF($A$3:$A$252,$A17)&gt;1,"same date twice; ","")&amp;IF(AND(ISNUMBER($B17),OR($B17&lt;0,$B17&gt;300)),"rain out of range; ","")&amp;IF(AND(ISNUMBER($C17),OR($C17&lt;0,$C17&gt;45)),"temp out of range; ","")&amp;IF(AND(ISNUMBER($D17),OR($D17&lt;0,$D17&gt;100)),"RH out of range; ",""))</f>
        <v/>
      </c>
      <c r="AN17" s="17">
        <f>IF($A17="","",IF(AND(ISNUMBER(T17),OR(T17&lt;-30,T17&gt;20)),"WL out of range; ","")&amp;IF(AND(ISNUMBER($E17),T17=""),"no TP/b; ","")&amp;IF(AND(ISNUMBER(U17),ISNUMBER(V17)),IF(V17&lt;U17,"After&lt;Before; ",""),"")&amp;IF(AND($F17="Yes",ISNUMBER($E17),W17=""),"irrigation readings missing; ","")&amp;IF(ISNUMBER(Z17),IF(AND(ABS(Z17)&gt;50,NOT(N($B17)&gt;0)),"WL jump &gt;5 cm; ",""),""))</f>
        <v/>
      </c>
      <c r="AO17" s="17">
        <f>IF($A17="","",IF(AND(ISNUMBER(AE17),OR(AE17&lt;-30,AE17&gt;20)),"WL out of range; ","")&amp;IF(AND(ISNUMBER($J17),AE17=""),"no TP/b; ","")&amp;IF(AND(ISNUMBER(AF17),ISNUMBER(AG17)),IF(AG17&lt;AF17,"After&lt;Before; ",""),"")&amp;IF(AND($K17="Yes",ISNUMBER($J17),AH17=""),"irrigation readings missing; ","")&amp;IF(ISNUMBER(AK17),IF(AND(ABS(AK17)&gt;50,NOT(N($B17)&gt;0)),"WL jump &gt;5 cm; ",""),"")&amp;IF(AND(ISNUMBER(PitanE),ISNUMBER(AB17),$A17&gt;PitanE+2,AB17&lt;PitanE),"re-measure TP/b after Pitan; ",""))</f>
        <v/>
      </c>
    </row>
    <row r="18">
      <c r="A18" s="14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0">
        <f>IF(OR($A18="",NOT(ISNUMBER(TransDate))),"",$A18-TransDate)</f>
        <v/>
      </c>
      <c r="Q18" s="16">
        <f>IF($A18="","",IF(_xlfn.MAXIFS('TP-b'!$B$2:$B$60,'TP-b'!$A$2:$A$60,"FP",'TP-b'!$E$2:$E$60,1,'TP-b'!$B$2:$B$60,"&lt;="&amp;$A18)&gt;0,_xlfn.MAXIFS('TP-b'!$B$2:$B$60,'TP-b'!$A$2:$A$60,"FP",'TP-b'!$E$2:$E$60,1,'TP-b'!$B$2:$B$60,"&lt;="&amp;$A18),IF(_xlfn.MINIFS('TP-b'!$B$2:$B$60,'TP-b'!$A$2:$A$60,"FP",'TP-b'!$E$2:$E$60,1)&gt;0,_xlfn.MINIFS('TP-b'!$B$2:$B$60,'TP-b'!$A$2:$A$60,"FP",'TP-b'!$E$2:$E$60,1),"")))</f>
        <v/>
      </c>
      <c r="R18" s="10">
        <f>IF(Q18="","",AVERAGEIFS('TP-b'!$C$2:$C$60,'TP-b'!$A$2:$A$60,"FP",'TP-b'!$B$2:$B$60,Q18,'TP-b'!$E$2:$E$60,1))</f>
        <v/>
      </c>
      <c r="S18" s="10">
        <f>IF(Q18="","",AVERAGEIFS('TP-b'!$D$2:$D$60,'TP-b'!$A$2:$A$60,"FP",'TP-b'!$B$2:$B$60,Q18,'TP-b'!$E$2:$E$60,1))</f>
        <v/>
      </c>
      <c r="T18" s="10">
        <f>IF(OR($A18="",NOT(ISNUMBER($E18)),R18=""),"",ROUND($E18-R18+S18,1))</f>
        <v/>
      </c>
      <c r="U18" s="10">
        <f>IF(AND($F18="Yes",ISNUMBER($G18),R18&lt;&gt;""),ROUND($G18-R18+S18,1),"")</f>
        <v/>
      </c>
      <c r="V18" s="10">
        <f>IF(AND($F18="Yes",ISNUMBER($H18),R18&lt;&gt;""),ROUND($H18-R18+S18,1),"")</f>
        <v/>
      </c>
      <c r="W18" s="10">
        <f>IF(AND(ISNUMBER($E18),ISNUMBER(U18),ISNUMBER(V18)),ROUND((V18-MAX(U18,0))*10,1),"")</f>
        <v/>
      </c>
      <c r="X18" s="10">
        <f>IF(T18="","",IF(AND($F18="Yes",ISNUMBER(V18)),V18,T18))</f>
        <v/>
      </c>
      <c r="Y18" s="10">
        <f>IF(T18="","",ROUND(SUMIFS($W$3:$W$252,$A$3:$A$252,"&lt;="&amp;$A18),1))</f>
        <v/>
      </c>
      <c r="Z18" s="10">
        <f>IF(OR(T18="",$A18=""),"",IF(ISNUMBER(IFERROR(INDEX($X$3:$X$252,MATCH($A18-1,$A$3:$A$252,0)),"")),ROUND((INDEX($X$3:$X$252,MATCH($A18-1,$A$3:$A$252,0))-T18)*10,1),""))</f>
        <v/>
      </c>
      <c r="AA18" s="10">
        <f>IF(ISNUMBER(T18),1,0)</f>
        <v/>
      </c>
      <c r="AB18" s="16">
        <f>IF($A18="","",IF(_xlfn.MAXIFS('TP-b'!$B$2:$B$60,'TP-b'!$A$2:$A$60,"3F4D+MD",'TP-b'!$E$2:$E$60,1,'TP-b'!$B$2:$B$60,"&lt;="&amp;$A18)&gt;0,_xlfn.MAXIFS('TP-b'!$B$2:$B$60,'TP-b'!$A$2:$A$60,"3F4D+MD",'TP-b'!$E$2:$E$60,1,'TP-b'!$B$2:$B$60,"&lt;="&amp;$A18),IF(_xlfn.MINIFS('TP-b'!$B$2:$B$60,'TP-b'!$A$2:$A$60,"3F4D+MD",'TP-b'!$E$2:$E$60,1)&gt;0,_xlfn.MINIFS('TP-b'!$B$2:$B$60,'TP-b'!$A$2:$A$60,"3F4D+MD",'TP-b'!$E$2:$E$60,1),"")))</f>
        <v/>
      </c>
      <c r="AC18" s="10">
        <f>IF(AB18="","",AVERAGEIFS('TP-b'!$C$2:$C$60,'TP-b'!$A$2:$A$60,"3F4D+MD",'TP-b'!$B$2:$B$60,AB18,'TP-b'!$E$2:$E$60,1))</f>
        <v/>
      </c>
      <c r="AD18" s="10">
        <f>IF(AB18="","",AVERAGEIFS('TP-b'!$D$2:$D$60,'TP-b'!$A$2:$A$60,"3F4D+MD",'TP-b'!$B$2:$B$60,AB18,'TP-b'!$E$2:$E$60,1))</f>
        <v/>
      </c>
      <c r="AE18" s="10">
        <f>IF(OR($A18="",NOT(ISNUMBER($J18)),AC18=""),"",ROUND($J18-AC18+AD18,1))</f>
        <v/>
      </c>
      <c r="AF18" s="10">
        <f>IF(AND($K18="Yes",ISNUMBER($L18),AC18&lt;&gt;""),ROUND($L18-AC18+AD18,1),"")</f>
        <v/>
      </c>
      <c r="AG18" s="10">
        <f>IF(AND($K18="Yes",ISNUMBER($M18),AC18&lt;&gt;""),ROUND($M18-AC18+AD18,1),"")</f>
        <v/>
      </c>
      <c r="AH18" s="10">
        <f>IF(AND(ISNUMBER($J18),ISNUMBER(AF18),ISNUMBER(AG18)),ROUND((AG18-MAX(AF18,0))*10,1),"")</f>
        <v/>
      </c>
      <c r="AI18" s="10">
        <f>IF(AE18="","",IF(AND($K18="Yes",ISNUMBER(AG18)),AG18,AE18))</f>
        <v/>
      </c>
      <c r="AJ18" s="10">
        <f>IF(AE18="","",ROUND(SUMIFS($AH$3:$AH$252,$A$3:$A$252,"&lt;="&amp;$A18),1))</f>
        <v/>
      </c>
      <c r="AK18" s="10">
        <f>IF(OR(AE18="",$A18=""),"",IF(ISNUMBER(IFERROR(INDEX($AI$3:$AI$252,MATCH($A18-1,$A$3:$A$252,0)),"")),ROUND((INDEX($AI$3:$AI$252,MATCH($A18-1,$A$3:$A$252,0))-AE18)*10,1),""))</f>
        <v/>
      </c>
      <c r="AL18" s="10">
        <f>IF(ISNUMBER(AE18),1,0)</f>
        <v/>
      </c>
      <c r="AM18" s="17">
        <f>IF($A18="","",IF(COUNTIF($A$3:$A$252,$A18)&gt;1,"same date twice; ","")&amp;IF(AND(ISNUMBER($B18),OR($B18&lt;0,$B18&gt;300)),"rain out of range; ","")&amp;IF(AND(ISNUMBER($C18),OR($C18&lt;0,$C18&gt;45)),"temp out of range; ","")&amp;IF(AND(ISNUMBER($D18),OR($D18&lt;0,$D18&gt;100)),"RH out of range; ",""))</f>
        <v/>
      </c>
      <c r="AN18" s="17">
        <f>IF($A18="","",IF(AND(ISNUMBER(T18),OR(T18&lt;-30,T18&gt;20)),"WL out of range; ","")&amp;IF(AND(ISNUMBER($E18),T18=""),"no TP/b; ","")&amp;IF(AND(ISNUMBER(U18),ISNUMBER(V18)),IF(V18&lt;U18,"After&lt;Before; ",""),"")&amp;IF(AND($F18="Yes",ISNUMBER($E18),W18=""),"irrigation readings missing; ","")&amp;IF(ISNUMBER(Z18),IF(AND(ABS(Z18)&gt;50,NOT(N($B18)&gt;0)),"WL jump &gt;5 cm; ",""),""))</f>
        <v/>
      </c>
      <c r="AO18" s="17">
        <f>IF($A18="","",IF(AND(ISNUMBER(AE18),OR(AE18&lt;-30,AE18&gt;20)),"WL out of range; ","")&amp;IF(AND(ISNUMBER($J18),AE18=""),"no TP/b; ","")&amp;IF(AND(ISNUMBER(AF18),ISNUMBER(AG18)),IF(AG18&lt;AF18,"After&lt;Before; ",""),"")&amp;IF(AND($K18="Yes",ISNUMBER($J18),AH18=""),"irrigation readings missing; ","")&amp;IF(ISNUMBER(AK18),IF(AND(ABS(AK18)&gt;50,NOT(N($B18)&gt;0)),"WL jump &gt;5 cm; ",""),"")&amp;IF(AND(ISNUMBER(PitanE),ISNUMBER(AB18),$A18&gt;PitanE+2,AB18&lt;PitanE),"re-measure TP/b after Pitan; ",""))</f>
        <v/>
      </c>
    </row>
    <row r="19">
      <c r="A19" s="14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0">
        <f>IF(OR($A19="",NOT(ISNUMBER(TransDate))),"",$A19-TransDate)</f>
        <v/>
      </c>
      <c r="Q19" s="16">
        <f>IF($A19="","",IF(_xlfn.MAXIFS('TP-b'!$B$2:$B$60,'TP-b'!$A$2:$A$60,"FP",'TP-b'!$E$2:$E$60,1,'TP-b'!$B$2:$B$60,"&lt;="&amp;$A19)&gt;0,_xlfn.MAXIFS('TP-b'!$B$2:$B$60,'TP-b'!$A$2:$A$60,"FP",'TP-b'!$E$2:$E$60,1,'TP-b'!$B$2:$B$60,"&lt;="&amp;$A19),IF(_xlfn.MINIFS('TP-b'!$B$2:$B$60,'TP-b'!$A$2:$A$60,"FP",'TP-b'!$E$2:$E$60,1)&gt;0,_xlfn.MINIFS('TP-b'!$B$2:$B$60,'TP-b'!$A$2:$A$60,"FP",'TP-b'!$E$2:$E$60,1),"")))</f>
        <v/>
      </c>
      <c r="R19" s="10">
        <f>IF(Q19="","",AVERAGEIFS('TP-b'!$C$2:$C$60,'TP-b'!$A$2:$A$60,"FP",'TP-b'!$B$2:$B$60,Q19,'TP-b'!$E$2:$E$60,1))</f>
        <v/>
      </c>
      <c r="S19" s="10">
        <f>IF(Q19="","",AVERAGEIFS('TP-b'!$D$2:$D$60,'TP-b'!$A$2:$A$60,"FP",'TP-b'!$B$2:$B$60,Q19,'TP-b'!$E$2:$E$60,1))</f>
        <v/>
      </c>
      <c r="T19" s="10">
        <f>IF(OR($A19="",NOT(ISNUMBER($E19)),R19=""),"",ROUND($E19-R19+S19,1))</f>
        <v/>
      </c>
      <c r="U19" s="10">
        <f>IF(AND($F19="Yes",ISNUMBER($G19),R19&lt;&gt;""),ROUND($G19-R19+S19,1),"")</f>
        <v/>
      </c>
      <c r="V19" s="10">
        <f>IF(AND($F19="Yes",ISNUMBER($H19),R19&lt;&gt;""),ROUND($H19-R19+S19,1),"")</f>
        <v/>
      </c>
      <c r="W19" s="10">
        <f>IF(AND(ISNUMBER($E19),ISNUMBER(U19),ISNUMBER(V19)),ROUND((V19-MAX(U19,0))*10,1),"")</f>
        <v/>
      </c>
      <c r="X19" s="10">
        <f>IF(T19="","",IF(AND($F19="Yes",ISNUMBER(V19)),V19,T19))</f>
        <v/>
      </c>
      <c r="Y19" s="10">
        <f>IF(T19="","",ROUND(SUMIFS($W$3:$W$252,$A$3:$A$252,"&lt;="&amp;$A19),1))</f>
        <v/>
      </c>
      <c r="Z19" s="10">
        <f>IF(OR(T19="",$A19=""),"",IF(ISNUMBER(IFERROR(INDEX($X$3:$X$252,MATCH($A19-1,$A$3:$A$252,0)),"")),ROUND((INDEX($X$3:$X$252,MATCH($A19-1,$A$3:$A$252,0))-T19)*10,1),""))</f>
        <v/>
      </c>
      <c r="AA19" s="10">
        <f>IF(ISNUMBER(T19),1,0)</f>
        <v/>
      </c>
      <c r="AB19" s="16">
        <f>IF($A19="","",IF(_xlfn.MAXIFS('TP-b'!$B$2:$B$60,'TP-b'!$A$2:$A$60,"3F4D+MD",'TP-b'!$E$2:$E$60,1,'TP-b'!$B$2:$B$60,"&lt;="&amp;$A19)&gt;0,_xlfn.MAXIFS('TP-b'!$B$2:$B$60,'TP-b'!$A$2:$A$60,"3F4D+MD",'TP-b'!$E$2:$E$60,1,'TP-b'!$B$2:$B$60,"&lt;="&amp;$A19),IF(_xlfn.MINIFS('TP-b'!$B$2:$B$60,'TP-b'!$A$2:$A$60,"3F4D+MD",'TP-b'!$E$2:$E$60,1)&gt;0,_xlfn.MINIFS('TP-b'!$B$2:$B$60,'TP-b'!$A$2:$A$60,"3F4D+MD",'TP-b'!$E$2:$E$60,1),"")))</f>
        <v/>
      </c>
      <c r="AC19" s="10">
        <f>IF(AB19="","",AVERAGEIFS('TP-b'!$C$2:$C$60,'TP-b'!$A$2:$A$60,"3F4D+MD",'TP-b'!$B$2:$B$60,AB19,'TP-b'!$E$2:$E$60,1))</f>
        <v/>
      </c>
      <c r="AD19" s="10">
        <f>IF(AB19="","",AVERAGEIFS('TP-b'!$D$2:$D$60,'TP-b'!$A$2:$A$60,"3F4D+MD",'TP-b'!$B$2:$B$60,AB19,'TP-b'!$E$2:$E$60,1))</f>
        <v/>
      </c>
      <c r="AE19" s="10">
        <f>IF(OR($A19="",NOT(ISNUMBER($J19)),AC19=""),"",ROUND($J19-AC19+AD19,1))</f>
        <v/>
      </c>
      <c r="AF19" s="10">
        <f>IF(AND($K19="Yes",ISNUMBER($L19),AC19&lt;&gt;""),ROUND($L19-AC19+AD19,1),"")</f>
        <v/>
      </c>
      <c r="AG19" s="10">
        <f>IF(AND($K19="Yes",ISNUMBER($M19),AC19&lt;&gt;""),ROUND($M19-AC19+AD19,1),"")</f>
        <v/>
      </c>
      <c r="AH19" s="10">
        <f>IF(AND(ISNUMBER($J19),ISNUMBER(AF19),ISNUMBER(AG19)),ROUND((AG19-MAX(AF19,0))*10,1),"")</f>
        <v/>
      </c>
      <c r="AI19" s="10">
        <f>IF(AE19="","",IF(AND($K19="Yes",ISNUMBER(AG19)),AG19,AE19))</f>
        <v/>
      </c>
      <c r="AJ19" s="10">
        <f>IF(AE19="","",ROUND(SUMIFS($AH$3:$AH$252,$A$3:$A$252,"&lt;="&amp;$A19),1))</f>
        <v/>
      </c>
      <c r="AK19" s="10">
        <f>IF(OR(AE19="",$A19=""),"",IF(ISNUMBER(IFERROR(INDEX($AI$3:$AI$252,MATCH($A19-1,$A$3:$A$252,0)),"")),ROUND((INDEX($AI$3:$AI$252,MATCH($A19-1,$A$3:$A$252,0))-AE19)*10,1),""))</f>
        <v/>
      </c>
      <c r="AL19" s="10">
        <f>IF(ISNUMBER(AE19),1,0)</f>
        <v/>
      </c>
      <c r="AM19" s="17">
        <f>IF($A19="","",IF(COUNTIF($A$3:$A$252,$A19)&gt;1,"same date twice; ","")&amp;IF(AND(ISNUMBER($B19),OR($B19&lt;0,$B19&gt;300)),"rain out of range; ","")&amp;IF(AND(ISNUMBER($C19),OR($C19&lt;0,$C19&gt;45)),"temp out of range; ","")&amp;IF(AND(ISNUMBER($D19),OR($D19&lt;0,$D19&gt;100)),"RH out of range; ",""))</f>
        <v/>
      </c>
      <c r="AN19" s="17">
        <f>IF($A19="","",IF(AND(ISNUMBER(T19),OR(T19&lt;-30,T19&gt;20)),"WL out of range; ","")&amp;IF(AND(ISNUMBER($E19),T19=""),"no TP/b; ","")&amp;IF(AND(ISNUMBER(U19),ISNUMBER(V19)),IF(V19&lt;U19,"After&lt;Before; ",""),"")&amp;IF(AND($F19="Yes",ISNUMBER($E19),W19=""),"irrigation readings missing; ","")&amp;IF(ISNUMBER(Z19),IF(AND(ABS(Z19)&gt;50,NOT(N($B19)&gt;0)),"WL jump &gt;5 cm; ",""),""))</f>
        <v/>
      </c>
      <c r="AO19" s="17">
        <f>IF($A19="","",IF(AND(ISNUMBER(AE19),OR(AE19&lt;-30,AE19&gt;20)),"WL out of range; ","")&amp;IF(AND(ISNUMBER($J19),AE19=""),"no TP/b; ","")&amp;IF(AND(ISNUMBER(AF19),ISNUMBER(AG19)),IF(AG19&lt;AF19,"After&lt;Before; ",""),"")&amp;IF(AND($K19="Yes",ISNUMBER($J19),AH19=""),"irrigation readings missing; ","")&amp;IF(ISNUMBER(AK19),IF(AND(ABS(AK19)&gt;50,NOT(N($B19)&gt;0)),"WL jump &gt;5 cm; ",""),"")&amp;IF(AND(ISNUMBER(PitanE),ISNUMBER(AB19),$A19&gt;PitanE+2,AB19&lt;PitanE),"re-measure TP/b after Pitan; ",""))</f>
        <v/>
      </c>
    </row>
    <row r="20">
      <c r="A20" s="14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0">
        <f>IF(OR($A20="",NOT(ISNUMBER(TransDate))),"",$A20-TransDate)</f>
        <v/>
      </c>
      <c r="Q20" s="16">
        <f>IF($A20="","",IF(_xlfn.MAXIFS('TP-b'!$B$2:$B$60,'TP-b'!$A$2:$A$60,"FP",'TP-b'!$E$2:$E$60,1,'TP-b'!$B$2:$B$60,"&lt;="&amp;$A20)&gt;0,_xlfn.MAXIFS('TP-b'!$B$2:$B$60,'TP-b'!$A$2:$A$60,"FP",'TP-b'!$E$2:$E$60,1,'TP-b'!$B$2:$B$60,"&lt;="&amp;$A20),IF(_xlfn.MINIFS('TP-b'!$B$2:$B$60,'TP-b'!$A$2:$A$60,"FP",'TP-b'!$E$2:$E$60,1)&gt;0,_xlfn.MINIFS('TP-b'!$B$2:$B$60,'TP-b'!$A$2:$A$60,"FP",'TP-b'!$E$2:$E$60,1),"")))</f>
        <v/>
      </c>
      <c r="R20" s="10">
        <f>IF(Q20="","",AVERAGEIFS('TP-b'!$C$2:$C$60,'TP-b'!$A$2:$A$60,"FP",'TP-b'!$B$2:$B$60,Q20,'TP-b'!$E$2:$E$60,1))</f>
        <v/>
      </c>
      <c r="S20" s="10">
        <f>IF(Q20="","",AVERAGEIFS('TP-b'!$D$2:$D$60,'TP-b'!$A$2:$A$60,"FP",'TP-b'!$B$2:$B$60,Q20,'TP-b'!$E$2:$E$60,1))</f>
        <v/>
      </c>
      <c r="T20" s="10">
        <f>IF(OR($A20="",NOT(ISNUMBER($E20)),R20=""),"",ROUND($E20-R20+S20,1))</f>
        <v/>
      </c>
      <c r="U20" s="10">
        <f>IF(AND($F20="Yes",ISNUMBER($G20),R20&lt;&gt;""),ROUND($G20-R20+S20,1),"")</f>
        <v/>
      </c>
      <c r="V20" s="10">
        <f>IF(AND($F20="Yes",ISNUMBER($H20),R20&lt;&gt;""),ROUND($H20-R20+S20,1),"")</f>
        <v/>
      </c>
      <c r="W20" s="10">
        <f>IF(AND(ISNUMBER($E20),ISNUMBER(U20),ISNUMBER(V20)),ROUND((V20-MAX(U20,0))*10,1),"")</f>
        <v/>
      </c>
      <c r="X20" s="10">
        <f>IF(T20="","",IF(AND($F20="Yes",ISNUMBER(V20)),V20,T20))</f>
        <v/>
      </c>
      <c r="Y20" s="10">
        <f>IF(T20="","",ROUND(SUMIFS($W$3:$W$252,$A$3:$A$252,"&lt;="&amp;$A20),1))</f>
        <v/>
      </c>
      <c r="Z20" s="10">
        <f>IF(OR(T20="",$A20=""),"",IF(ISNUMBER(IFERROR(INDEX($X$3:$X$252,MATCH($A20-1,$A$3:$A$252,0)),"")),ROUND((INDEX($X$3:$X$252,MATCH($A20-1,$A$3:$A$252,0))-T20)*10,1),""))</f>
        <v/>
      </c>
      <c r="AA20" s="10">
        <f>IF(ISNUMBER(T20),1,0)</f>
        <v/>
      </c>
      <c r="AB20" s="16">
        <f>IF($A20="","",IF(_xlfn.MAXIFS('TP-b'!$B$2:$B$60,'TP-b'!$A$2:$A$60,"3F4D+MD",'TP-b'!$E$2:$E$60,1,'TP-b'!$B$2:$B$60,"&lt;="&amp;$A20)&gt;0,_xlfn.MAXIFS('TP-b'!$B$2:$B$60,'TP-b'!$A$2:$A$60,"3F4D+MD",'TP-b'!$E$2:$E$60,1,'TP-b'!$B$2:$B$60,"&lt;="&amp;$A20),IF(_xlfn.MINIFS('TP-b'!$B$2:$B$60,'TP-b'!$A$2:$A$60,"3F4D+MD",'TP-b'!$E$2:$E$60,1)&gt;0,_xlfn.MINIFS('TP-b'!$B$2:$B$60,'TP-b'!$A$2:$A$60,"3F4D+MD",'TP-b'!$E$2:$E$60,1),"")))</f>
        <v/>
      </c>
      <c r="AC20" s="10">
        <f>IF(AB20="","",AVERAGEIFS('TP-b'!$C$2:$C$60,'TP-b'!$A$2:$A$60,"3F4D+MD",'TP-b'!$B$2:$B$60,AB20,'TP-b'!$E$2:$E$60,1))</f>
        <v/>
      </c>
      <c r="AD20" s="10">
        <f>IF(AB20="","",AVERAGEIFS('TP-b'!$D$2:$D$60,'TP-b'!$A$2:$A$60,"3F4D+MD",'TP-b'!$B$2:$B$60,AB20,'TP-b'!$E$2:$E$60,1))</f>
        <v/>
      </c>
      <c r="AE20" s="10">
        <f>IF(OR($A20="",NOT(ISNUMBER($J20)),AC20=""),"",ROUND($J20-AC20+AD20,1))</f>
        <v/>
      </c>
      <c r="AF20" s="10">
        <f>IF(AND($K20="Yes",ISNUMBER($L20),AC20&lt;&gt;""),ROUND($L20-AC20+AD20,1),"")</f>
        <v/>
      </c>
      <c r="AG20" s="10">
        <f>IF(AND($K20="Yes",ISNUMBER($M20),AC20&lt;&gt;""),ROUND($M20-AC20+AD20,1),"")</f>
        <v/>
      </c>
      <c r="AH20" s="10">
        <f>IF(AND(ISNUMBER($J20),ISNUMBER(AF20),ISNUMBER(AG20)),ROUND((AG20-MAX(AF20,0))*10,1),"")</f>
        <v/>
      </c>
      <c r="AI20" s="10">
        <f>IF(AE20="","",IF(AND($K20="Yes",ISNUMBER(AG20)),AG20,AE20))</f>
        <v/>
      </c>
      <c r="AJ20" s="10">
        <f>IF(AE20="","",ROUND(SUMIFS($AH$3:$AH$252,$A$3:$A$252,"&lt;="&amp;$A20),1))</f>
        <v/>
      </c>
      <c r="AK20" s="10">
        <f>IF(OR(AE20="",$A20=""),"",IF(ISNUMBER(IFERROR(INDEX($AI$3:$AI$252,MATCH($A20-1,$A$3:$A$252,0)),"")),ROUND((INDEX($AI$3:$AI$252,MATCH($A20-1,$A$3:$A$252,0))-AE20)*10,1),""))</f>
        <v/>
      </c>
      <c r="AL20" s="10">
        <f>IF(ISNUMBER(AE20),1,0)</f>
        <v/>
      </c>
      <c r="AM20" s="17">
        <f>IF($A20="","",IF(COUNTIF($A$3:$A$252,$A20)&gt;1,"same date twice; ","")&amp;IF(AND(ISNUMBER($B20),OR($B20&lt;0,$B20&gt;300)),"rain out of range; ","")&amp;IF(AND(ISNUMBER($C20),OR($C20&lt;0,$C20&gt;45)),"temp out of range; ","")&amp;IF(AND(ISNUMBER($D20),OR($D20&lt;0,$D20&gt;100)),"RH out of range; ",""))</f>
        <v/>
      </c>
      <c r="AN20" s="17">
        <f>IF($A20="","",IF(AND(ISNUMBER(T20),OR(T20&lt;-30,T20&gt;20)),"WL out of range; ","")&amp;IF(AND(ISNUMBER($E20),T20=""),"no TP/b; ","")&amp;IF(AND(ISNUMBER(U20),ISNUMBER(V20)),IF(V20&lt;U20,"After&lt;Before; ",""),"")&amp;IF(AND($F20="Yes",ISNUMBER($E20),W20=""),"irrigation readings missing; ","")&amp;IF(ISNUMBER(Z20),IF(AND(ABS(Z20)&gt;50,NOT(N($B20)&gt;0)),"WL jump &gt;5 cm; ",""),""))</f>
        <v/>
      </c>
      <c r="AO20" s="17">
        <f>IF($A20="","",IF(AND(ISNUMBER(AE20),OR(AE20&lt;-30,AE20&gt;20)),"WL out of range; ","")&amp;IF(AND(ISNUMBER($J20),AE20=""),"no TP/b; ","")&amp;IF(AND(ISNUMBER(AF20),ISNUMBER(AG20)),IF(AG20&lt;AF20,"After&lt;Before; ",""),"")&amp;IF(AND($K20="Yes",ISNUMBER($J20),AH20=""),"irrigation readings missing; ","")&amp;IF(ISNUMBER(AK20),IF(AND(ABS(AK20)&gt;50,NOT(N($B20)&gt;0)),"WL jump &gt;5 cm; ",""),"")&amp;IF(AND(ISNUMBER(PitanE),ISNUMBER(AB20),$A20&gt;PitanE+2,AB20&lt;PitanE),"re-measure TP/b after Pitan; ",""))</f>
        <v/>
      </c>
    </row>
    <row r="21">
      <c r="A21" s="14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0">
        <f>IF(OR($A21="",NOT(ISNUMBER(TransDate))),"",$A21-TransDate)</f>
        <v/>
      </c>
      <c r="Q21" s="16">
        <f>IF($A21="","",IF(_xlfn.MAXIFS('TP-b'!$B$2:$B$60,'TP-b'!$A$2:$A$60,"FP",'TP-b'!$E$2:$E$60,1,'TP-b'!$B$2:$B$60,"&lt;="&amp;$A21)&gt;0,_xlfn.MAXIFS('TP-b'!$B$2:$B$60,'TP-b'!$A$2:$A$60,"FP",'TP-b'!$E$2:$E$60,1,'TP-b'!$B$2:$B$60,"&lt;="&amp;$A21),IF(_xlfn.MINIFS('TP-b'!$B$2:$B$60,'TP-b'!$A$2:$A$60,"FP",'TP-b'!$E$2:$E$60,1)&gt;0,_xlfn.MINIFS('TP-b'!$B$2:$B$60,'TP-b'!$A$2:$A$60,"FP",'TP-b'!$E$2:$E$60,1),"")))</f>
        <v/>
      </c>
      <c r="R21" s="10">
        <f>IF(Q21="","",AVERAGEIFS('TP-b'!$C$2:$C$60,'TP-b'!$A$2:$A$60,"FP",'TP-b'!$B$2:$B$60,Q21,'TP-b'!$E$2:$E$60,1))</f>
        <v/>
      </c>
      <c r="S21" s="10">
        <f>IF(Q21="","",AVERAGEIFS('TP-b'!$D$2:$D$60,'TP-b'!$A$2:$A$60,"FP",'TP-b'!$B$2:$B$60,Q21,'TP-b'!$E$2:$E$60,1))</f>
        <v/>
      </c>
      <c r="T21" s="10">
        <f>IF(OR($A21="",NOT(ISNUMBER($E21)),R21=""),"",ROUND($E21-R21+S21,1))</f>
        <v/>
      </c>
      <c r="U21" s="10">
        <f>IF(AND($F21="Yes",ISNUMBER($G21),R21&lt;&gt;""),ROUND($G21-R21+S21,1),"")</f>
        <v/>
      </c>
      <c r="V21" s="10">
        <f>IF(AND($F21="Yes",ISNUMBER($H21),R21&lt;&gt;""),ROUND($H21-R21+S21,1),"")</f>
        <v/>
      </c>
      <c r="W21" s="10">
        <f>IF(AND(ISNUMBER($E21),ISNUMBER(U21),ISNUMBER(V21)),ROUND((V21-MAX(U21,0))*10,1),"")</f>
        <v/>
      </c>
      <c r="X21" s="10">
        <f>IF(T21="","",IF(AND($F21="Yes",ISNUMBER(V21)),V21,T21))</f>
        <v/>
      </c>
      <c r="Y21" s="10">
        <f>IF(T21="","",ROUND(SUMIFS($W$3:$W$252,$A$3:$A$252,"&lt;="&amp;$A21),1))</f>
        <v/>
      </c>
      <c r="Z21" s="10">
        <f>IF(OR(T21="",$A21=""),"",IF(ISNUMBER(IFERROR(INDEX($X$3:$X$252,MATCH($A21-1,$A$3:$A$252,0)),"")),ROUND((INDEX($X$3:$X$252,MATCH($A21-1,$A$3:$A$252,0))-T21)*10,1),""))</f>
        <v/>
      </c>
      <c r="AA21" s="10">
        <f>IF(ISNUMBER(T21),1,0)</f>
        <v/>
      </c>
      <c r="AB21" s="16">
        <f>IF($A21="","",IF(_xlfn.MAXIFS('TP-b'!$B$2:$B$60,'TP-b'!$A$2:$A$60,"3F4D+MD",'TP-b'!$E$2:$E$60,1,'TP-b'!$B$2:$B$60,"&lt;="&amp;$A21)&gt;0,_xlfn.MAXIFS('TP-b'!$B$2:$B$60,'TP-b'!$A$2:$A$60,"3F4D+MD",'TP-b'!$E$2:$E$60,1,'TP-b'!$B$2:$B$60,"&lt;="&amp;$A21),IF(_xlfn.MINIFS('TP-b'!$B$2:$B$60,'TP-b'!$A$2:$A$60,"3F4D+MD",'TP-b'!$E$2:$E$60,1)&gt;0,_xlfn.MINIFS('TP-b'!$B$2:$B$60,'TP-b'!$A$2:$A$60,"3F4D+MD",'TP-b'!$E$2:$E$60,1),"")))</f>
        <v/>
      </c>
      <c r="AC21" s="10">
        <f>IF(AB21="","",AVERAGEIFS('TP-b'!$C$2:$C$60,'TP-b'!$A$2:$A$60,"3F4D+MD",'TP-b'!$B$2:$B$60,AB21,'TP-b'!$E$2:$E$60,1))</f>
        <v/>
      </c>
      <c r="AD21" s="10">
        <f>IF(AB21="","",AVERAGEIFS('TP-b'!$D$2:$D$60,'TP-b'!$A$2:$A$60,"3F4D+MD",'TP-b'!$B$2:$B$60,AB21,'TP-b'!$E$2:$E$60,1))</f>
        <v/>
      </c>
      <c r="AE21" s="10">
        <f>IF(OR($A21="",NOT(ISNUMBER($J21)),AC21=""),"",ROUND($J21-AC21+AD21,1))</f>
        <v/>
      </c>
      <c r="AF21" s="10">
        <f>IF(AND($K21="Yes",ISNUMBER($L21),AC21&lt;&gt;""),ROUND($L21-AC21+AD21,1),"")</f>
        <v/>
      </c>
      <c r="AG21" s="10">
        <f>IF(AND($K21="Yes",ISNUMBER($M21),AC21&lt;&gt;""),ROUND($M21-AC21+AD21,1),"")</f>
        <v/>
      </c>
      <c r="AH21" s="10">
        <f>IF(AND(ISNUMBER($J21),ISNUMBER(AF21),ISNUMBER(AG21)),ROUND((AG21-MAX(AF21,0))*10,1),"")</f>
        <v/>
      </c>
      <c r="AI21" s="10">
        <f>IF(AE21="","",IF(AND($K21="Yes",ISNUMBER(AG21)),AG21,AE21))</f>
        <v/>
      </c>
      <c r="AJ21" s="10">
        <f>IF(AE21="","",ROUND(SUMIFS($AH$3:$AH$252,$A$3:$A$252,"&lt;="&amp;$A21),1))</f>
        <v/>
      </c>
      <c r="AK21" s="10">
        <f>IF(OR(AE21="",$A21=""),"",IF(ISNUMBER(IFERROR(INDEX($AI$3:$AI$252,MATCH($A21-1,$A$3:$A$252,0)),"")),ROUND((INDEX($AI$3:$AI$252,MATCH($A21-1,$A$3:$A$252,0))-AE21)*10,1),""))</f>
        <v/>
      </c>
      <c r="AL21" s="10">
        <f>IF(ISNUMBER(AE21),1,0)</f>
        <v/>
      </c>
      <c r="AM21" s="17">
        <f>IF($A21="","",IF(COUNTIF($A$3:$A$252,$A21)&gt;1,"same date twice; ","")&amp;IF(AND(ISNUMBER($B21),OR($B21&lt;0,$B21&gt;300)),"rain out of range; ","")&amp;IF(AND(ISNUMBER($C21),OR($C21&lt;0,$C21&gt;45)),"temp out of range; ","")&amp;IF(AND(ISNUMBER($D21),OR($D21&lt;0,$D21&gt;100)),"RH out of range; ",""))</f>
        <v/>
      </c>
      <c r="AN21" s="17">
        <f>IF($A21="","",IF(AND(ISNUMBER(T21),OR(T21&lt;-30,T21&gt;20)),"WL out of range; ","")&amp;IF(AND(ISNUMBER($E21),T21=""),"no TP/b; ","")&amp;IF(AND(ISNUMBER(U21),ISNUMBER(V21)),IF(V21&lt;U21,"After&lt;Before; ",""),"")&amp;IF(AND($F21="Yes",ISNUMBER($E21),W21=""),"irrigation readings missing; ","")&amp;IF(ISNUMBER(Z21),IF(AND(ABS(Z21)&gt;50,NOT(N($B21)&gt;0)),"WL jump &gt;5 cm; ",""),""))</f>
        <v/>
      </c>
      <c r="AO21" s="17">
        <f>IF($A21="","",IF(AND(ISNUMBER(AE21),OR(AE21&lt;-30,AE21&gt;20)),"WL out of range; ","")&amp;IF(AND(ISNUMBER($J21),AE21=""),"no TP/b; ","")&amp;IF(AND(ISNUMBER(AF21),ISNUMBER(AG21)),IF(AG21&lt;AF21,"After&lt;Before; ",""),"")&amp;IF(AND($K21="Yes",ISNUMBER($J21),AH21=""),"irrigation readings missing; ","")&amp;IF(ISNUMBER(AK21),IF(AND(ABS(AK21)&gt;50,NOT(N($B21)&gt;0)),"WL jump &gt;5 cm; ",""),"")&amp;IF(AND(ISNUMBER(PitanE),ISNUMBER(AB21),$A21&gt;PitanE+2,AB21&lt;PitanE),"re-measure TP/b after Pitan; ",""))</f>
        <v/>
      </c>
    </row>
    <row r="22">
      <c r="A22" s="14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0">
        <f>IF(OR($A22="",NOT(ISNUMBER(TransDate))),"",$A22-TransDate)</f>
        <v/>
      </c>
      <c r="Q22" s="16">
        <f>IF($A22="","",IF(_xlfn.MAXIFS('TP-b'!$B$2:$B$60,'TP-b'!$A$2:$A$60,"FP",'TP-b'!$E$2:$E$60,1,'TP-b'!$B$2:$B$60,"&lt;="&amp;$A22)&gt;0,_xlfn.MAXIFS('TP-b'!$B$2:$B$60,'TP-b'!$A$2:$A$60,"FP",'TP-b'!$E$2:$E$60,1,'TP-b'!$B$2:$B$60,"&lt;="&amp;$A22),IF(_xlfn.MINIFS('TP-b'!$B$2:$B$60,'TP-b'!$A$2:$A$60,"FP",'TP-b'!$E$2:$E$60,1)&gt;0,_xlfn.MINIFS('TP-b'!$B$2:$B$60,'TP-b'!$A$2:$A$60,"FP",'TP-b'!$E$2:$E$60,1),"")))</f>
        <v/>
      </c>
      <c r="R22" s="10">
        <f>IF(Q22="","",AVERAGEIFS('TP-b'!$C$2:$C$60,'TP-b'!$A$2:$A$60,"FP",'TP-b'!$B$2:$B$60,Q22,'TP-b'!$E$2:$E$60,1))</f>
        <v/>
      </c>
      <c r="S22" s="10">
        <f>IF(Q22="","",AVERAGEIFS('TP-b'!$D$2:$D$60,'TP-b'!$A$2:$A$60,"FP",'TP-b'!$B$2:$B$60,Q22,'TP-b'!$E$2:$E$60,1))</f>
        <v/>
      </c>
      <c r="T22" s="10">
        <f>IF(OR($A22="",NOT(ISNUMBER($E22)),R22=""),"",ROUND($E22-R22+S22,1))</f>
        <v/>
      </c>
      <c r="U22" s="10">
        <f>IF(AND($F22="Yes",ISNUMBER($G22),R22&lt;&gt;""),ROUND($G22-R22+S22,1),"")</f>
        <v/>
      </c>
      <c r="V22" s="10">
        <f>IF(AND($F22="Yes",ISNUMBER($H22),R22&lt;&gt;""),ROUND($H22-R22+S22,1),"")</f>
        <v/>
      </c>
      <c r="W22" s="10">
        <f>IF(AND(ISNUMBER($E22),ISNUMBER(U22),ISNUMBER(V22)),ROUND((V22-MAX(U22,0))*10,1),"")</f>
        <v/>
      </c>
      <c r="X22" s="10">
        <f>IF(T22="","",IF(AND($F22="Yes",ISNUMBER(V22)),V22,T22))</f>
        <v/>
      </c>
      <c r="Y22" s="10">
        <f>IF(T22="","",ROUND(SUMIFS($W$3:$W$252,$A$3:$A$252,"&lt;="&amp;$A22),1))</f>
        <v/>
      </c>
      <c r="Z22" s="10">
        <f>IF(OR(T22="",$A22=""),"",IF(ISNUMBER(IFERROR(INDEX($X$3:$X$252,MATCH($A22-1,$A$3:$A$252,0)),"")),ROUND((INDEX($X$3:$X$252,MATCH($A22-1,$A$3:$A$252,0))-T22)*10,1),""))</f>
        <v/>
      </c>
      <c r="AA22" s="10">
        <f>IF(ISNUMBER(T22),1,0)</f>
        <v/>
      </c>
      <c r="AB22" s="16">
        <f>IF($A22="","",IF(_xlfn.MAXIFS('TP-b'!$B$2:$B$60,'TP-b'!$A$2:$A$60,"3F4D+MD",'TP-b'!$E$2:$E$60,1,'TP-b'!$B$2:$B$60,"&lt;="&amp;$A22)&gt;0,_xlfn.MAXIFS('TP-b'!$B$2:$B$60,'TP-b'!$A$2:$A$60,"3F4D+MD",'TP-b'!$E$2:$E$60,1,'TP-b'!$B$2:$B$60,"&lt;="&amp;$A22),IF(_xlfn.MINIFS('TP-b'!$B$2:$B$60,'TP-b'!$A$2:$A$60,"3F4D+MD",'TP-b'!$E$2:$E$60,1)&gt;0,_xlfn.MINIFS('TP-b'!$B$2:$B$60,'TP-b'!$A$2:$A$60,"3F4D+MD",'TP-b'!$E$2:$E$60,1),"")))</f>
        <v/>
      </c>
      <c r="AC22" s="10">
        <f>IF(AB22="","",AVERAGEIFS('TP-b'!$C$2:$C$60,'TP-b'!$A$2:$A$60,"3F4D+MD",'TP-b'!$B$2:$B$60,AB22,'TP-b'!$E$2:$E$60,1))</f>
        <v/>
      </c>
      <c r="AD22" s="10">
        <f>IF(AB22="","",AVERAGEIFS('TP-b'!$D$2:$D$60,'TP-b'!$A$2:$A$60,"3F4D+MD",'TP-b'!$B$2:$B$60,AB22,'TP-b'!$E$2:$E$60,1))</f>
        <v/>
      </c>
      <c r="AE22" s="10">
        <f>IF(OR($A22="",NOT(ISNUMBER($J22)),AC22=""),"",ROUND($J22-AC22+AD22,1))</f>
        <v/>
      </c>
      <c r="AF22" s="10">
        <f>IF(AND($K22="Yes",ISNUMBER($L22),AC22&lt;&gt;""),ROUND($L22-AC22+AD22,1),"")</f>
        <v/>
      </c>
      <c r="AG22" s="10">
        <f>IF(AND($K22="Yes",ISNUMBER($M22),AC22&lt;&gt;""),ROUND($M22-AC22+AD22,1),"")</f>
        <v/>
      </c>
      <c r="AH22" s="10">
        <f>IF(AND(ISNUMBER($J22),ISNUMBER(AF22),ISNUMBER(AG22)),ROUND((AG22-MAX(AF22,0))*10,1),"")</f>
        <v/>
      </c>
      <c r="AI22" s="10">
        <f>IF(AE22="","",IF(AND($K22="Yes",ISNUMBER(AG22)),AG22,AE22))</f>
        <v/>
      </c>
      <c r="AJ22" s="10">
        <f>IF(AE22="","",ROUND(SUMIFS($AH$3:$AH$252,$A$3:$A$252,"&lt;="&amp;$A22),1))</f>
        <v/>
      </c>
      <c r="AK22" s="10">
        <f>IF(OR(AE22="",$A22=""),"",IF(ISNUMBER(IFERROR(INDEX($AI$3:$AI$252,MATCH($A22-1,$A$3:$A$252,0)),"")),ROUND((INDEX($AI$3:$AI$252,MATCH($A22-1,$A$3:$A$252,0))-AE22)*10,1),""))</f>
        <v/>
      </c>
      <c r="AL22" s="10">
        <f>IF(ISNUMBER(AE22),1,0)</f>
        <v/>
      </c>
      <c r="AM22" s="17">
        <f>IF($A22="","",IF(COUNTIF($A$3:$A$252,$A22)&gt;1,"same date twice; ","")&amp;IF(AND(ISNUMBER($B22),OR($B22&lt;0,$B22&gt;300)),"rain out of range; ","")&amp;IF(AND(ISNUMBER($C22),OR($C22&lt;0,$C22&gt;45)),"temp out of range; ","")&amp;IF(AND(ISNUMBER($D22),OR($D22&lt;0,$D22&gt;100)),"RH out of range; ",""))</f>
        <v/>
      </c>
      <c r="AN22" s="17">
        <f>IF($A22="","",IF(AND(ISNUMBER(T22),OR(T22&lt;-30,T22&gt;20)),"WL out of range; ","")&amp;IF(AND(ISNUMBER($E22),T22=""),"no TP/b; ","")&amp;IF(AND(ISNUMBER(U22),ISNUMBER(V22)),IF(V22&lt;U22,"After&lt;Before; ",""),"")&amp;IF(AND($F22="Yes",ISNUMBER($E22),W22=""),"irrigation readings missing; ","")&amp;IF(ISNUMBER(Z22),IF(AND(ABS(Z22)&gt;50,NOT(N($B22)&gt;0)),"WL jump &gt;5 cm; ",""),""))</f>
        <v/>
      </c>
      <c r="AO22" s="17">
        <f>IF($A22="","",IF(AND(ISNUMBER(AE22),OR(AE22&lt;-30,AE22&gt;20)),"WL out of range; ","")&amp;IF(AND(ISNUMBER($J22),AE22=""),"no TP/b; ","")&amp;IF(AND(ISNUMBER(AF22),ISNUMBER(AG22)),IF(AG22&lt;AF22,"After&lt;Before; ",""),"")&amp;IF(AND($K22="Yes",ISNUMBER($J22),AH22=""),"irrigation readings missing; ","")&amp;IF(ISNUMBER(AK22),IF(AND(ABS(AK22)&gt;50,NOT(N($B22)&gt;0)),"WL jump &gt;5 cm; ",""),"")&amp;IF(AND(ISNUMBER(PitanE),ISNUMBER(AB22),$A22&gt;PitanE+2,AB22&lt;PitanE),"re-measure TP/b after Pitan; ",""))</f>
        <v/>
      </c>
    </row>
    <row r="23">
      <c r="A23" s="14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0">
        <f>IF(OR($A23="",NOT(ISNUMBER(TransDate))),"",$A23-TransDate)</f>
        <v/>
      </c>
      <c r="Q23" s="16">
        <f>IF($A23="","",IF(_xlfn.MAXIFS('TP-b'!$B$2:$B$60,'TP-b'!$A$2:$A$60,"FP",'TP-b'!$E$2:$E$60,1,'TP-b'!$B$2:$B$60,"&lt;="&amp;$A23)&gt;0,_xlfn.MAXIFS('TP-b'!$B$2:$B$60,'TP-b'!$A$2:$A$60,"FP",'TP-b'!$E$2:$E$60,1,'TP-b'!$B$2:$B$60,"&lt;="&amp;$A23),IF(_xlfn.MINIFS('TP-b'!$B$2:$B$60,'TP-b'!$A$2:$A$60,"FP",'TP-b'!$E$2:$E$60,1)&gt;0,_xlfn.MINIFS('TP-b'!$B$2:$B$60,'TP-b'!$A$2:$A$60,"FP",'TP-b'!$E$2:$E$60,1),"")))</f>
        <v/>
      </c>
      <c r="R23" s="10">
        <f>IF(Q23="","",AVERAGEIFS('TP-b'!$C$2:$C$60,'TP-b'!$A$2:$A$60,"FP",'TP-b'!$B$2:$B$60,Q23,'TP-b'!$E$2:$E$60,1))</f>
        <v/>
      </c>
      <c r="S23" s="10">
        <f>IF(Q23="","",AVERAGEIFS('TP-b'!$D$2:$D$60,'TP-b'!$A$2:$A$60,"FP",'TP-b'!$B$2:$B$60,Q23,'TP-b'!$E$2:$E$60,1))</f>
        <v/>
      </c>
      <c r="T23" s="10">
        <f>IF(OR($A23="",NOT(ISNUMBER($E23)),R23=""),"",ROUND($E23-R23+S23,1))</f>
        <v/>
      </c>
      <c r="U23" s="10">
        <f>IF(AND($F23="Yes",ISNUMBER($G23),R23&lt;&gt;""),ROUND($G23-R23+S23,1),"")</f>
        <v/>
      </c>
      <c r="V23" s="10">
        <f>IF(AND($F23="Yes",ISNUMBER($H23),R23&lt;&gt;""),ROUND($H23-R23+S23,1),"")</f>
        <v/>
      </c>
      <c r="W23" s="10">
        <f>IF(AND(ISNUMBER($E23),ISNUMBER(U23),ISNUMBER(V23)),ROUND((V23-MAX(U23,0))*10,1),"")</f>
        <v/>
      </c>
      <c r="X23" s="10">
        <f>IF(T23="","",IF(AND($F23="Yes",ISNUMBER(V23)),V23,T23))</f>
        <v/>
      </c>
      <c r="Y23" s="10">
        <f>IF(T23="","",ROUND(SUMIFS($W$3:$W$252,$A$3:$A$252,"&lt;="&amp;$A23),1))</f>
        <v/>
      </c>
      <c r="Z23" s="10">
        <f>IF(OR(T23="",$A23=""),"",IF(ISNUMBER(IFERROR(INDEX($X$3:$X$252,MATCH($A23-1,$A$3:$A$252,0)),"")),ROUND((INDEX($X$3:$X$252,MATCH($A23-1,$A$3:$A$252,0))-T23)*10,1),""))</f>
        <v/>
      </c>
      <c r="AA23" s="10">
        <f>IF(ISNUMBER(T23),1,0)</f>
        <v/>
      </c>
      <c r="AB23" s="16">
        <f>IF($A23="","",IF(_xlfn.MAXIFS('TP-b'!$B$2:$B$60,'TP-b'!$A$2:$A$60,"3F4D+MD",'TP-b'!$E$2:$E$60,1,'TP-b'!$B$2:$B$60,"&lt;="&amp;$A23)&gt;0,_xlfn.MAXIFS('TP-b'!$B$2:$B$60,'TP-b'!$A$2:$A$60,"3F4D+MD",'TP-b'!$E$2:$E$60,1,'TP-b'!$B$2:$B$60,"&lt;="&amp;$A23),IF(_xlfn.MINIFS('TP-b'!$B$2:$B$60,'TP-b'!$A$2:$A$60,"3F4D+MD",'TP-b'!$E$2:$E$60,1)&gt;0,_xlfn.MINIFS('TP-b'!$B$2:$B$60,'TP-b'!$A$2:$A$60,"3F4D+MD",'TP-b'!$E$2:$E$60,1),"")))</f>
        <v/>
      </c>
      <c r="AC23" s="10">
        <f>IF(AB23="","",AVERAGEIFS('TP-b'!$C$2:$C$60,'TP-b'!$A$2:$A$60,"3F4D+MD",'TP-b'!$B$2:$B$60,AB23,'TP-b'!$E$2:$E$60,1))</f>
        <v/>
      </c>
      <c r="AD23" s="10">
        <f>IF(AB23="","",AVERAGEIFS('TP-b'!$D$2:$D$60,'TP-b'!$A$2:$A$60,"3F4D+MD",'TP-b'!$B$2:$B$60,AB23,'TP-b'!$E$2:$E$60,1))</f>
        <v/>
      </c>
      <c r="AE23" s="10">
        <f>IF(OR($A23="",NOT(ISNUMBER($J23)),AC23=""),"",ROUND($J23-AC23+AD23,1))</f>
        <v/>
      </c>
      <c r="AF23" s="10">
        <f>IF(AND($K23="Yes",ISNUMBER($L23),AC23&lt;&gt;""),ROUND($L23-AC23+AD23,1),"")</f>
        <v/>
      </c>
      <c r="AG23" s="10">
        <f>IF(AND($K23="Yes",ISNUMBER($M23),AC23&lt;&gt;""),ROUND($M23-AC23+AD23,1),"")</f>
        <v/>
      </c>
      <c r="AH23" s="10">
        <f>IF(AND(ISNUMBER($J23),ISNUMBER(AF23),ISNUMBER(AG23)),ROUND((AG23-MAX(AF23,0))*10,1),"")</f>
        <v/>
      </c>
      <c r="AI23" s="10">
        <f>IF(AE23="","",IF(AND($K23="Yes",ISNUMBER(AG23)),AG23,AE23))</f>
        <v/>
      </c>
      <c r="AJ23" s="10">
        <f>IF(AE23="","",ROUND(SUMIFS($AH$3:$AH$252,$A$3:$A$252,"&lt;="&amp;$A23),1))</f>
        <v/>
      </c>
      <c r="AK23" s="10">
        <f>IF(OR(AE23="",$A23=""),"",IF(ISNUMBER(IFERROR(INDEX($AI$3:$AI$252,MATCH($A23-1,$A$3:$A$252,0)),"")),ROUND((INDEX($AI$3:$AI$252,MATCH($A23-1,$A$3:$A$252,0))-AE23)*10,1),""))</f>
        <v/>
      </c>
      <c r="AL23" s="10">
        <f>IF(ISNUMBER(AE23),1,0)</f>
        <v/>
      </c>
      <c r="AM23" s="17">
        <f>IF($A23="","",IF(COUNTIF($A$3:$A$252,$A23)&gt;1,"same date twice; ","")&amp;IF(AND(ISNUMBER($B23),OR($B23&lt;0,$B23&gt;300)),"rain out of range; ","")&amp;IF(AND(ISNUMBER($C23),OR($C23&lt;0,$C23&gt;45)),"temp out of range; ","")&amp;IF(AND(ISNUMBER($D23),OR($D23&lt;0,$D23&gt;100)),"RH out of range; ",""))</f>
        <v/>
      </c>
      <c r="AN23" s="17">
        <f>IF($A23="","",IF(AND(ISNUMBER(T23),OR(T23&lt;-30,T23&gt;20)),"WL out of range; ","")&amp;IF(AND(ISNUMBER($E23),T23=""),"no TP/b; ","")&amp;IF(AND(ISNUMBER(U23),ISNUMBER(V23)),IF(V23&lt;U23,"After&lt;Before; ",""),"")&amp;IF(AND($F23="Yes",ISNUMBER($E23),W23=""),"irrigation readings missing; ","")&amp;IF(ISNUMBER(Z23),IF(AND(ABS(Z23)&gt;50,NOT(N($B23)&gt;0)),"WL jump &gt;5 cm; ",""),""))</f>
        <v/>
      </c>
      <c r="AO23" s="17">
        <f>IF($A23="","",IF(AND(ISNUMBER(AE23),OR(AE23&lt;-30,AE23&gt;20)),"WL out of range; ","")&amp;IF(AND(ISNUMBER($J23),AE23=""),"no TP/b; ","")&amp;IF(AND(ISNUMBER(AF23),ISNUMBER(AG23)),IF(AG23&lt;AF23,"After&lt;Before; ",""),"")&amp;IF(AND($K23="Yes",ISNUMBER($J23),AH23=""),"irrigation readings missing; ","")&amp;IF(ISNUMBER(AK23),IF(AND(ABS(AK23)&gt;50,NOT(N($B23)&gt;0)),"WL jump &gt;5 cm; ",""),"")&amp;IF(AND(ISNUMBER(PitanE),ISNUMBER(AB23),$A23&gt;PitanE+2,AB23&lt;PitanE),"re-measure TP/b after Pitan; ",""))</f>
        <v/>
      </c>
    </row>
    <row r="24">
      <c r="A24" s="14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0">
        <f>IF(OR($A24="",NOT(ISNUMBER(TransDate))),"",$A24-TransDate)</f>
        <v/>
      </c>
      <c r="Q24" s="16">
        <f>IF($A24="","",IF(_xlfn.MAXIFS('TP-b'!$B$2:$B$60,'TP-b'!$A$2:$A$60,"FP",'TP-b'!$E$2:$E$60,1,'TP-b'!$B$2:$B$60,"&lt;="&amp;$A24)&gt;0,_xlfn.MAXIFS('TP-b'!$B$2:$B$60,'TP-b'!$A$2:$A$60,"FP",'TP-b'!$E$2:$E$60,1,'TP-b'!$B$2:$B$60,"&lt;="&amp;$A24),IF(_xlfn.MINIFS('TP-b'!$B$2:$B$60,'TP-b'!$A$2:$A$60,"FP",'TP-b'!$E$2:$E$60,1)&gt;0,_xlfn.MINIFS('TP-b'!$B$2:$B$60,'TP-b'!$A$2:$A$60,"FP",'TP-b'!$E$2:$E$60,1),"")))</f>
        <v/>
      </c>
      <c r="R24" s="10">
        <f>IF(Q24="","",AVERAGEIFS('TP-b'!$C$2:$C$60,'TP-b'!$A$2:$A$60,"FP",'TP-b'!$B$2:$B$60,Q24,'TP-b'!$E$2:$E$60,1))</f>
        <v/>
      </c>
      <c r="S24" s="10">
        <f>IF(Q24="","",AVERAGEIFS('TP-b'!$D$2:$D$60,'TP-b'!$A$2:$A$60,"FP",'TP-b'!$B$2:$B$60,Q24,'TP-b'!$E$2:$E$60,1))</f>
        <v/>
      </c>
      <c r="T24" s="10">
        <f>IF(OR($A24="",NOT(ISNUMBER($E24)),R24=""),"",ROUND($E24-R24+S24,1))</f>
        <v/>
      </c>
      <c r="U24" s="10">
        <f>IF(AND($F24="Yes",ISNUMBER($G24),R24&lt;&gt;""),ROUND($G24-R24+S24,1),"")</f>
        <v/>
      </c>
      <c r="V24" s="10">
        <f>IF(AND($F24="Yes",ISNUMBER($H24),R24&lt;&gt;""),ROUND($H24-R24+S24,1),"")</f>
        <v/>
      </c>
      <c r="W24" s="10">
        <f>IF(AND(ISNUMBER($E24),ISNUMBER(U24),ISNUMBER(V24)),ROUND((V24-MAX(U24,0))*10,1),"")</f>
        <v/>
      </c>
      <c r="X24" s="10">
        <f>IF(T24="","",IF(AND($F24="Yes",ISNUMBER(V24)),V24,T24))</f>
        <v/>
      </c>
      <c r="Y24" s="10">
        <f>IF(T24="","",ROUND(SUMIFS($W$3:$W$252,$A$3:$A$252,"&lt;="&amp;$A24),1))</f>
        <v/>
      </c>
      <c r="Z24" s="10">
        <f>IF(OR(T24="",$A24=""),"",IF(ISNUMBER(IFERROR(INDEX($X$3:$X$252,MATCH($A24-1,$A$3:$A$252,0)),"")),ROUND((INDEX($X$3:$X$252,MATCH($A24-1,$A$3:$A$252,0))-T24)*10,1),""))</f>
        <v/>
      </c>
      <c r="AA24" s="10">
        <f>IF(ISNUMBER(T24),1,0)</f>
        <v/>
      </c>
      <c r="AB24" s="16">
        <f>IF($A24="","",IF(_xlfn.MAXIFS('TP-b'!$B$2:$B$60,'TP-b'!$A$2:$A$60,"3F4D+MD",'TP-b'!$E$2:$E$60,1,'TP-b'!$B$2:$B$60,"&lt;="&amp;$A24)&gt;0,_xlfn.MAXIFS('TP-b'!$B$2:$B$60,'TP-b'!$A$2:$A$60,"3F4D+MD",'TP-b'!$E$2:$E$60,1,'TP-b'!$B$2:$B$60,"&lt;="&amp;$A24),IF(_xlfn.MINIFS('TP-b'!$B$2:$B$60,'TP-b'!$A$2:$A$60,"3F4D+MD",'TP-b'!$E$2:$E$60,1)&gt;0,_xlfn.MINIFS('TP-b'!$B$2:$B$60,'TP-b'!$A$2:$A$60,"3F4D+MD",'TP-b'!$E$2:$E$60,1),"")))</f>
        <v/>
      </c>
      <c r="AC24" s="10">
        <f>IF(AB24="","",AVERAGEIFS('TP-b'!$C$2:$C$60,'TP-b'!$A$2:$A$60,"3F4D+MD",'TP-b'!$B$2:$B$60,AB24,'TP-b'!$E$2:$E$60,1))</f>
        <v/>
      </c>
      <c r="AD24" s="10">
        <f>IF(AB24="","",AVERAGEIFS('TP-b'!$D$2:$D$60,'TP-b'!$A$2:$A$60,"3F4D+MD",'TP-b'!$B$2:$B$60,AB24,'TP-b'!$E$2:$E$60,1))</f>
        <v/>
      </c>
      <c r="AE24" s="10">
        <f>IF(OR($A24="",NOT(ISNUMBER($J24)),AC24=""),"",ROUND($J24-AC24+AD24,1))</f>
        <v/>
      </c>
      <c r="AF24" s="10">
        <f>IF(AND($K24="Yes",ISNUMBER($L24),AC24&lt;&gt;""),ROUND($L24-AC24+AD24,1),"")</f>
        <v/>
      </c>
      <c r="AG24" s="10">
        <f>IF(AND($K24="Yes",ISNUMBER($M24),AC24&lt;&gt;""),ROUND($M24-AC24+AD24,1),"")</f>
        <v/>
      </c>
      <c r="AH24" s="10">
        <f>IF(AND(ISNUMBER($J24),ISNUMBER(AF24),ISNUMBER(AG24)),ROUND((AG24-MAX(AF24,0))*10,1),"")</f>
        <v/>
      </c>
      <c r="AI24" s="10">
        <f>IF(AE24="","",IF(AND($K24="Yes",ISNUMBER(AG24)),AG24,AE24))</f>
        <v/>
      </c>
      <c r="AJ24" s="10">
        <f>IF(AE24="","",ROUND(SUMIFS($AH$3:$AH$252,$A$3:$A$252,"&lt;="&amp;$A24),1))</f>
        <v/>
      </c>
      <c r="AK24" s="10">
        <f>IF(OR(AE24="",$A24=""),"",IF(ISNUMBER(IFERROR(INDEX($AI$3:$AI$252,MATCH($A24-1,$A$3:$A$252,0)),"")),ROUND((INDEX($AI$3:$AI$252,MATCH($A24-1,$A$3:$A$252,0))-AE24)*10,1),""))</f>
        <v/>
      </c>
      <c r="AL24" s="10">
        <f>IF(ISNUMBER(AE24),1,0)</f>
        <v/>
      </c>
      <c r="AM24" s="17">
        <f>IF($A24="","",IF(COUNTIF($A$3:$A$252,$A24)&gt;1,"same date twice; ","")&amp;IF(AND(ISNUMBER($B24),OR($B24&lt;0,$B24&gt;300)),"rain out of range; ","")&amp;IF(AND(ISNUMBER($C24),OR($C24&lt;0,$C24&gt;45)),"temp out of range; ","")&amp;IF(AND(ISNUMBER($D24),OR($D24&lt;0,$D24&gt;100)),"RH out of range; ",""))</f>
        <v/>
      </c>
      <c r="AN24" s="17">
        <f>IF($A24="","",IF(AND(ISNUMBER(T24),OR(T24&lt;-30,T24&gt;20)),"WL out of range; ","")&amp;IF(AND(ISNUMBER($E24),T24=""),"no TP/b; ","")&amp;IF(AND(ISNUMBER(U24),ISNUMBER(V24)),IF(V24&lt;U24,"After&lt;Before; ",""),"")&amp;IF(AND($F24="Yes",ISNUMBER($E24),W24=""),"irrigation readings missing; ","")&amp;IF(ISNUMBER(Z24),IF(AND(ABS(Z24)&gt;50,NOT(N($B24)&gt;0)),"WL jump &gt;5 cm; ",""),""))</f>
        <v/>
      </c>
      <c r="AO24" s="17">
        <f>IF($A24="","",IF(AND(ISNUMBER(AE24),OR(AE24&lt;-30,AE24&gt;20)),"WL out of range; ","")&amp;IF(AND(ISNUMBER($J24),AE24=""),"no TP/b; ","")&amp;IF(AND(ISNUMBER(AF24),ISNUMBER(AG24)),IF(AG24&lt;AF24,"After&lt;Before; ",""),"")&amp;IF(AND($K24="Yes",ISNUMBER($J24),AH24=""),"irrigation readings missing; ","")&amp;IF(ISNUMBER(AK24),IF(AND(ABS(AK24)&gt;50,NOT(N($B24)&gt;0)),"WL jump &gt;5 cm; ",""),"")&amp;IF(AND(ISNUMBER(PitanE),ISNUMBER(AB24),$A24&gt;PitanE+2,AB24&lt;PitanE),"re-measure TP/b after Pitan; ",""))</f>
        <v/>
      </c>
    </row>
    <row r="25">
      <c r="A25" s="14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0">
        <f>IF(OR($A25="",NOT(ISNUMBER(TransDate))),"",$A25-TransDate)</f>
        <v/>
      </c>
      <c r="Q25" s="16">
        <f>IF($A25="","",IF(_xlfn.MAXIFS('TP-b'!$B$2:$B$60,'TP-b'!$A$2:$A$60,"FP",'TP-b'!$E$2:$E$60,1,'TP-b'!$B$2:$B$60,"&lt;="&amp;$A25)&gt;0,_xlfn.MAXIFS('TP-b'!$B$2:$B$60,'TP-b'!$A$2:$A$60,"FP",'TP-b'!$E$2:$E$60,1,'TP-b'!$B$2:$B$60,"&lt;="&amp;$A25),IF(_xlfn.MINIFS('TP-b'!$B$2:$B$60,'TP-b'!$A$2:$A$60,"FP",'TP-b'!$E$2:$E$60,1)&gt;0,_xlfn.MINIFS('TP-b'!$B$2:$B$60,'TP-b'!$A$2:$A$60,"FP",'TP-b'!$E$2:$E$60,1),"")))</f>
        <v/>
      </c>
      <c r="R25" s="10">
        <f>IF(Q25="","",AVERAGEIFS('TP-b'!$C$2:$C$60,'TP-b'!$A$2:$A$60,"FP",'TP-b'!$B$2:$B$60,Q25,'TP-b'!$E$2:$E$60,1))</f>
        <v/>
      </c>
      <c r="S25" s="10">
        <f>IF(Q25="","",AVERAGEIFS('TP-b'!$D$2:$D$60,'TP-b'!$A$2:$A$60,"FP",'TP-b'!$B$2:$B$60,Q25,'TP-b'!$E$2:$E$60,1))</f>
        <v/>
      </c>
      <c r="T25" s="10">
        <f>IF(OR($A25="",NOT(ISNUMBER($E25)),R25=""),"",ROUND($E25-R25+S25,1))</f>
        <v/>
      </c>
      <c r="U25" s="10">
        <f>IF(AND($F25="Yes",ISNUMBER($G25),R25&lt;&gt;""),ROUND($G25-R25+S25,1),"")</f>
        <v/>
      </c>
      <c r="V25" s="10">
        <f>IF(AND($F25="Yes",ISNUMBER($H25),R25&lt;&gt;""),ROUND($H25-R25+S25,1),"")</f>
        <v/>
      </c>
      <c r="W25" s="10">
        <f>IF(AND(ISNUMBER($E25),ISNUMBER(U25),ISNUMBER(V25)),ROUND((V25-MAX(U25,0))*10,1),"")</f>
        <v/>
      </c>
      <c r="X25" s="10">
        <f>IF(T25="","",IF(AND($F25="Yes",ISNUMBER(V25)),V25,T25))</f>
        <v/>
      </c>
      <c r="Y25" s="10">
        <f>IF(T25="","",ROUND(SUMIFS($W$3:$W$252,$A$3:$A$252,"&lt;="&amp;$A25),1))</f>
        <v/>
      </c>
      <c r="Z25" s="10">
        <f>IF(OR(T25="",$A25=""),"",IF(ISNUMBER(IFERROR(INDEX($X$3:$X$252,MATCH($A25-1,$A$3:$A$252,0)),"")),ROUND((INDEX($X$3:$X$252,MATCH($A25-1,$A$3:$A$252,0))-T25)*10,1),""))</f>
        <v/>
      </c>
      <c r="AA25" s="10">
        <f>IF(ISNUMBER(T25),1,0)</f>
        <v/>
      </c>
      <c r="AB25" s="16">
        <f>IF($A25="","",IF(_xlfn.MAXIFS('TP-b'!$B$2:$B$60,'TP-b'!$A$2:$A$60,"3F4D+MD",'TP-b'!$E$2:$E$60,1,'TP-b'!$B$2:$B$60,"&lt;="&amp;$A25)&gt;0,_xlfn.MAXIFS('TP-b'!$B$2:$B$60,'TP-b'!$A$2:$A$60,"3F4D+MD",'TP-b'!$E$2:$E$60,1,'TP-b'!$B$2:$B$60,"&lt;="&amp;$A25),IF(_xlfn.MINIFS('TP-b'!$B$2:$B$60,'TP-b'!$A$2:$A$60,"3F4D+MD",'TP-b'!$E$2:$E$60,1)&gt;0,_xlfn.MINIFS('TP-b'!$B$2:$B$60,'TP-b'!$A$2:$A$60,"3F4D+MD",'TP-b'!$E$2:$E$60,1),"")))</f>
        <v/>
      </c>
      <c r="AC25" s="10">
        <f>IF(AB25="","",AVERAGEIFS('TP-b'!$C$2:$C$60,'TP-b'!$A$2:$A$60,"3F4D+MD",'TP-b'!$B$2:$B$60,AB25,'TP-b'!$E$2:$E$60,1))</f>
        <v/>
      </c>
      <c r="AD25" s="10">
        <f>IF(AB25="","",AVERAGEIFS('TP-b'!$D$2:$D$60,'TP-b'!$A$2:$A$60,"3F4D+MD",'TP-b'!$B$2:$B$60,AB25,'TP-b'!$E$2:$E$60,1))</f>
        <v/>
      </c>
      <c r="AE25" s="10">
        <f>IF(OR($A25="",NOT(ISNUMBER($J25)),AC25=""),"",ROUND($J25-AC25+AD25,1))</f>
        <v/>
      </c>
      <c r="AF25" s="10">
        <f>IF(AND($K25="Yes",ISNUMBER($L25),AC25&lt;&gt;""),ROUND($L25-AC25+AD25,1),"")</f>
        <v/>
      </c>
      <c r="AG25" s="10">
        <f>IF(AND($K25="Yes",ISNUMBER($M25),AC25&lt;&gt;""),ROUND($M25-AC25+AD25,1),"")</f>
        <v/>
      </c>
      <c r="AH25" s="10">
        <f>IF(AND(ISNUMBER($J25),ISNUMBER(AF25),ISNUMBER(AG25)),ROUND((AG25-MAX(AF25,0))*10,1),"")</f>
        <v/>
      </c>
      <c r="AI25" s="10">
        <f>IF(AE25="","",IF(AND($K25="Yes",ISNUMBER(AG25)),AG25,AE25))</f>
        <v/>
      </c>
      <c r="AJ25" s="10">
        <f>IF(AE25="","",ROUND(SUMIFS($AH$3:$AH$252,$A$3:$A$252,"&lt;="&amp;$A25),1))</f>
        <v/>
      </c>
      <c r="AK25" s="10">
        <f>IF(OR(AE25="",$A25=""),"",IF(ISNUMBER(IFERROR(INDEX($AI$3:$AI$252,MATCH($A25-1,$A$3:$A$252,0)),"")),ROUND((INDEX($AI$3:$AI$252,MATCH($A25-1,$A$3:$A$252,0))-AE25)*10,1),""))</f>
        <v/>
      </c>
      <c r="AL25" s="10">
        <f>IF(ISNUMBER(AE25),1,0)</f>
        <v/>
      </c>
      <c r="AM25" s="17">
        <f>IF($A25="","",IF(COUNTIF($A$3:$A$252,$A25)&gt;1,"same date twice; ","")&amp;IF(AND(ISNUMBER($B25),OR($B25&lt;0,$B25&gt;300)),"rain out of range; ","")&amp;IF(AND(ISNUMBER($C25),OR($C25&lt;0,$C25&gt;45)),"temp out of range; ","")&amp;IF(AND(ISNUMBER($D25),OR($D25&lt;0,$D25&gt;100)),"RH out of range; ",""))</f>
        <v/>
      </c>
      <c r="AN25" s="17">
        <f>IF($A25="","",IF(AND(ISNUMBER(T25),OR(T25&lt;-30,T25&gt;20)),"WL out of range; ","")&amp;IF(AND(ISNUMBER($E25),T25=""),"no TP/b; ","")&amp;IF(AND(ISNUMBER(U25),ISNUMBER(V25)),IF(V25&lt;U25,"After&lt;Before; ",""),"")&amp;IF(AND($F25="Yes",ISNUMBER($E25),W25=""),"irrigation readings missing; ","")&amp;IF(ISNUMBER(Z25),IF(AND(ABS(Z25)&gt;50,NOT(N($B25)&gt;0)),"WL jump &gt;5 cm; ",""),""))</f>
        <v/>
      </c>
      <c r="AO25" s="17">
        <f>IF($A25="","",IF(AND(ISNUMBER(AE25),OR(AE25&lt;-30,AE25&gt;20)),"WL out of range; ","")&amp;IF(AND(ISNUMBER($J25),AE25=""),"no TP/b; ","")&amp;IF(AND(ISNUMBER(AF25),ISNUMBER(AG25)),IF(AG25&lt;AF25,"After&lt;Before; ",""),"")&amp;IF(AND($K25="Yes",ISNUMBER($J25),AH25=""),"irrigation readings missing; ","")&amp;IF(ISNUMBER(AK25),IF(AND(ABS(AK25)&gt;50,NOT(N($B25)&gt;0)),"WL jump &gt;5 cm; ",""),"")&amp;IF(AND(ISNUMBER(PitanE),ISNUMBER(AB25),$A25&gt;PitanE+2,AB25&lt;PitanE),"re-measure TP/b after Pitan; ",""))</f>
        <v/>
      </c>
    </row>
    <row r="26">
      <c r="A26" s="14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0">
        <f>IF(OR($A26="",NOT(ISNUMBER(TransDate))),"",$A26-TransDate)</f>
        <v/>
      </c>
      <c r="Q26" s="16">
        <f>IF($A26="","",IF(_xlfn.MAXIFS('TP-b'!$B$2:$B$60,'TP-b'!$A$2:$A$60,"FP",'TP-b'!$E$2:$E$60,1,'TP-b'!$B$2:$B$60,"&lt;="&amp;$A26)&gt;0,_xlfn.MAXIFS('TP-b'!$B$2:$B$60,'TP-b'!$A$2:$A$60,"FP",'TP-b'!$E$2:$E$60,1,'TP-b'!$B$2:$B$60,"&lt;="&amp;$A26),IF(_xlfn.MINIFS('TP-b'!$B$2:$B$60,'TP-b'!$A$2:$A$60,"FP",'TP-b'!$E$2:$E$60,1)&gt;0,_xlfn.MINIFS('TP-b'!$B$2:$B$60,'TP-b'!$A$2:$A$60,"FP",'TP-b'!$E$2:$E$60,1),"")))</f>
        <v/>
      </c>
      <c r="R26" s="10">
        <f>IF(Q26="","",AVERAGEIFS('TP-b'!$C$2:$C$60,'TP-b'!$A$2:$A$60,"FP",'TP-b'!$B$2:$B$60,Q26,'TP-b'!$E$2:$E$60,1))</f>
        <v/>
      </c>
      <c r="S26" s="10">
        <f>IF(Q26="","",AVERAGEIFS('TP-b'!$D$2:$D$60,'TP-b'!$A$2:$A$60,"FP",'TP-b'!$B$2:$B$60,Q26,'TP-b'!$E$2:$E$60,1))</f>
        <v/>
      </c>
      <c r="T26" s="10">
        <f>IF(OR($A26="",NOT(ISNUMBER($E26)),R26=""),"",ROUND($E26-R26+S26,1))</f>
        <v/>
      </c>
      <c r="U26" s="10">
        <f>IF(AND($F26="Yes",ISNUMBER($G26),R26&lt;&gt;""),ROUND($G26-R26+S26,1),"")</f>
        <v/>
      </c>
      <c r="V26" s="10">
        <f>IF(AND($F26="Yes",ISNUMBER($H26),R26&lt;&gt;""),ROUND($H26-R26+S26,1),"")</f>
        <v/>
      </c>
      <c r="W26" s="10">
        <f>IF(AND(ISNUMBER($E26),ISNUMBER(U26),ISNUMBER(V26)),ROUND((V26-MAX(U26,0))*10,1),"")</f>
        <v/>
      </c>
      <c r="X26" s="10">
        <f>IF(T26="","",IF(AND($F26="Yes",ISNUMBER(V26)),V26,T26))</f>
        <v/>
      </c>
      <c r="Y26" s="10">
        <f>IF(T26="","",ROUND(SUMIFS($W$3:$W$252,$A$3:$A$252,"&lt;="&amp;$A26),1))</f>
        <v/>
      </c>
      <c r="Z26" s="10">
        <f>IF(OR(T26="",$A26=""),"",IF(ISNUMBER(IFERROR(INDEX($X$3:$X$252,MATCH($A26-1,$A$3:$A$252,0)),"")),ROUND((INDEX($X$3:$X$252,MATCH($A26-1,$A$3:$A$252,0))-T26)*10,1),""))</f>
        <v/>
      </c>
      <c r="AA26" s="10">
        <f>IF(ISNUMBER(T26),1,0)</f>
        <v/>
      </c>
      <c r="AB26" s="16">
        <f>IF($A26="","",IF(_xlfn.MAXIFS('TP-b'!$B$2:$B$60,'TP-b'!$A$2:$A$60,"3F4D+MD",'TP-b'!$E$2:$E$60,1,'TP-b'!$B$2:$B$60,"&lt;="&amp;$A26)&gt;0,_xlfn.MAXIFS('TP-b'!$B$2:$B$60,'TP-b'!$A$2:$A$60,"3F4D+MD",'TP-b'!$E$2:$E$60,1,'TP-b'!$B$2:$B$60,"&lt;="&amp;$A26),IF(_xlfn.MINIFS('TP-b'!$B$2:$B$60,'TP-b'!$A$2:$A$60,"3F4D+MD",'TP-b'!$E$2:$E$60,1)&gt;0,_xlfn.MINIFS('TP-b'!$B$2:$B$60,'TP-b'!$A$2:$A$60,"3F4D+MD",'TP-b'!$E$2:$E$60,1),"")))</f>
        <v/>
      </c>
      <c r="AC26" s="10">
        <f>IF(AB26="","",AVERAGEIFS('TP-b'!$C$2:$C$60,'TP-b'!$A$2:$A$60,"3F4D+MD",'TP-b'!$B$2:$B$60,AB26,'TP-b'!$E$2:$E$60,1))</f>
        <v/>
      </c>
      <c r="AD26" s="10">
        <f>IF(AB26="","",AVERAGEIFS('TP-b'!$D$2:$D$60,'TP-b'!$A$2:$A$60,"3F4D+MD",'TP-b'!$B$2:$B$60,AB26,'TP-b'!$E$2:$E$60,1))</f>
        <v/>
      </c>
      <c r="AE26" s="10">
        <f>IF(OR($A26="",NOT(ISNUMBER($J26)),AC26=""),"",ROUND($J26-AC26+AD26,1))</f>
        <v/>
      </c>
      <c r="AF26" s="10">
        <f>IF(AND($K26="Yes",ISNUMBER($L26),AC26&lt;&gt;""),ROUND($L26-AC26+AD26,1),"")</f>
        <v/>
      </c>
      <c r="AG26" s="10">
        <f>IF(AND($K26="Yes",ISNUMBER($M26),AC26&lt;&gt;""),ROUND($M26-AC26+AD26,1),"")</f>
        <v/>
      </c>
      <c r="AH26" s="10">
        <f>IF(AND(ISNUMBER($J26),ISNUMBER(AF26),ISNUMBER(AG26)),ROUND((AG26-MAX(AF26,0))*10,1),"")</f>
        <v/>
      </c>
      <c r="AI26" s="10">
        <f>IF(AE26="","",IF(AND($K26="Yes",ISNUMBER(AG26)),AG26,AE26))</f>
        <v/>
      </c>
      <c r="AJ26" s="10">
        <f>IF(AE26="","",ROUND(SUMIFS($AH$3:$AH$252,$A$3:$A$252,"&lt;="&amp;$A26),1))</f>
        <v/>
      </c>
      <c r="AK26" s="10">
        <f>IF(OR(AE26="",$A26=""),"",IF(ISNUMBER(IFERROR(INDEX($AI$3:$AI$252,MATCH($A26-1,$A$3:$A$252,0)),"")),ROUND((INDEX($AI$3:$AI$252,MATCH($A26-1,$A$3:$A$252,0))-AE26)*10,1),""))</f>
        <v/>
      </c>
      <c r="AL26" s="10">
        <f>IF(ISNUMBER(AE26),1,0)</f>
        <v/>
      </c>
      <c r="AM26" s="17">
        <f>IF($A26="","",IF(COUNTIF($A$3:$A$252,$A26)&gt;1,"same date twice; ","")&amp;IF(AND(ISNUMBER($B26),OR($B26&lt;0,$B26&gt;300)),"rain out of range; ","")&amp;IF(AND(ISNUMBER($C26),OR($C26&lt;0,$C26&gt;45)),"temp out of range; ","")&amp;IF(AND(ISNUMBER($D26),OR($D26&lt;0,$D26&gt;100)),"RH out of range; ",""))</f>
        <v/>
      </c>
      <c r="AN26" s="17">
        <f>IF($A26="","",IF(AND(ISNUMBER(T26),OR(T26&lt;-30,T26&gt;20)),"WL out of range; ","")&amp;IF(AND(ISNUMBER($E26),T26=""),"no TP/b; ","")&amp;IF(AND(ISNUMBER(U26),ISNUMBER(V26)),IF(V26&lt;U26,"After&lt;Before; ",""),"")&amp;IF(AND($F26="Yes",ISNUMBER($E26),W26=""),"irrigation readings missing; ","")&amp;IF(ISNUMBER(Z26),IF(AND(ABS(Z26)&gt;50,NOT(N($B26)&gt;0)),"WL jump &gt;5 cm; ",""),""))</f>
        <v/>
      </c>
      <c r="AO26" s="17">
        <f>IF($A26="","",IF(AND(ISNUMBER(AE26),OR(AE26&lt;-30,AE26&gt;20)),"WL out of range; ","")&amp;IF(AND(ISNUMBER($J26),AE26=""),"no TP/b; ","")&amp;IF(AND(ISNUMBER(AF26),ISNUMBER(AG26)),IF(AG26&lt;AF26,"After&lt;Before; ",""),"")&amp;IF(AND($K26="Yes",ISNUMBER($J26),AH26=""),"irrigation readings missing; ","")&amp;IF(ISNUMBER(AK26),IF(AND(ABS(AK26)&gt;50,NOT(N($B26)&gt;0)),"WL jump &gt;5 cm; ",""),"")&amp;IF(AND(ISNUMBER(PitanE),ISNUMBER(AB26),$A26&gt;PitanE+2,AB26&lt;PitanE),"re-measure TP/b after Pitan; ",""))</f>
        <v/>
      </c>
    </row>
    <row r="27">
      <c r="A27" s="14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0">
        <f>IF(OR($A27="",NOT(ISNUMBER(TransDate))),"",$A27-TransDate)</f>
        <v/>
      </c>
      <c r="Q27" s="16">
        <f>IF($A27="","",IF(_xlfn.MAXIFS('TP-b'!$B$2:$B$60,'TP-b'!$A$2:$A$60,"FP",'TP-b'!$E$2:$E$60,1,'TP-b'!$B$2:$B$60,"&lt;="&amp;$A27)&gt;0,_xlfn.MAXIFS('TP-b'!$B$2:$B$60,'TP-b'!$A$2:$A$60,"FP",'TP-b'!$E$2:$E$60,1,'TP-b'!$B$2:$B$60,"&lt;="&amp;$A27),IF(_xlfn.MINIFS('TP-b'!$B$2:$B$60,'TP-b'!$A$2:$A$60,"FP",'TP-b'!$E$2:$E$60,1)&gt;0,_xlfn.MINIFS('TP-b'!$B$2:$B$60,'TP-b'!$A$2:$A$60,"FP",'TP-b'!$E$2:$E$60,1),"")))</f>
        <v/>
      </c>
      <c r="R27" s="10">
        <f>IF(Q27="","",AVERAGEIFS('TP-b'!$C$2:$C$60,'TP-b'!$A$2:$A$60,"FP",'TP-b'!$B$2:$B$60,Q27,'TP-b'!$E$2:$E$60,1))</f>
        <v/>
      </c>
      <c r="S27" s="10">
        <f>IF(Q27="","",AVERAGEIFS('TP-b'!$D$2:$D$60,'TP-b'!$A$2:$A$60,"FP",'TP-b'!$B$2:$B$60,Q27,'TP-b'!$E$2:$E$60,1))</f>
        <v/>
      </c>
      <c r="T27" s="10">
        <f>IF(OR($A27="",NOT(ISNUMBER($E27)),R27=""),"",ROUND($E27-R27+S27,1))</f>
        <v/>
      </c>
      <c r="U27" s="10">
        <f>IF(AND($F27="Yes",ISNUMBER($G27),R27&lt;&gt;""),ROUND($G27-R27+S27,1),"")</f>
        <v/>
      </c>
      <c r="V27" s="10">
        <f>IF(AND($F27="Yes",ISNUMBER($H27),R27&lt;&gt;""),ROUND($H27-R27+S27,1),"")</f>
        <v/>
      </c>
      <c r="W27" s="10">
        <f>IF(AND(ISNUMBER($E27),ISNUMBER(U27),ISNUMBER(V27)),ROUND((V27-MAX(U27,0))*10,1),"")</f>
        <v/>
      </c>
      <c r="X27" s="10">
        <f>IF(T27="","",IF(AND($F27="Yes",ISNUMBER(V27)),V27,T27))</f>
        <v/>
      </c>
      <c r="Y27" s="10">
        <f>IF(T27="","",ROUND(SUMIFS($W$3:$W$252,$A$3:$A$252,"&lt;="&amp;$A27),1))</f>
        <v/>
      </c>
      <c r="Z27" s="10">
        <f>IF(OR(T27="",$A27=""),"",IF(ISNUMBER(IFERROR(INDEX($X$3:$X$252,MATCH($A27-1,$A$3:$A$252,0)),"")),ROUND((INDEX($X$3:$X$252,MATCH($A27-1,$A$3:$A$252,0))-T27)*10,1),""))</f>
        <v/>
      </c>
      <c r="AA27" s="10">
        <f>IF(ISNUMBER(T27),1,0)</f>
        <v/>
      </c>
      <c r="AB27" s="16">
        <f>IF($A27="","",IF(_xlfn.MAXIFS('TP-b'!$B$2:$B$60,'TP-b'!$A$2:$A$60,"3F4D+MD",'TP-b'!$E$2:$E$60,1,'TP-b'!$B$2:$B$60,"&lt;="&amp;$A27)&gt;0,_xlfn.MAXIFS('TP-b'!$B$2:$B$60,'TP-b'!$A$2:$A$60,"3F4D+MD",'TP-b'!$E$2:$E$60,1,'TP-b'!$B$2:$B$60,"&lt;="&amp;$A27),IF(_xlfn.MINIFS('TP-b'!$B$2:$B$60,'TP-b'!$A$2:$A$60,"3F4D+MD",'TP-b'!$E$2:$E$60,1)&gt;0,_xlfn.MINIFS('TP-b'!$B$2:$B$60,'TP-b'!$A$2:$A$60,"3F4D+MD",'TP-b'!$E$2:$E$60,1),"")))</f>
        <v/>
      </c>
      <c r="AC27" s="10">
        <f>IF(AB27="","",AVERAGEIFS('TP-b'!$C$2:$C$60,'TP-b'!$A$2:$A$60,"3F4D+MD",'TP-b'!$B$2:$B$60,AB27,'TP-b'!$E$2:$E$60,1))</f>
        <v/>
      </c>
      <c r="AD27" s="10">
        <f>IF(AB27="","",AVERAGEIFS('TP-b'!$D$2:$D$60,'TP-b'!$A$2:$A$60,"3F4D+MD",'TP-b'!$B$2:$B$60,AB27,'TP-b'!$E$2:$E$60,1))</f>
        <v/>
      </c>
      <c r="AE27" s="10">
        <f>IF(OR($A27="",NOT(ISNUMBER($J27)),AC27=""),"",ROUND($J27-AC27+AD27,1))</f>
        <v/>
      </c>
      <c r="AF27" s="10">
        <f>IF(AND($K27="Yes",ISNUMBER($L27),AC27&lt;&gt;""),ROUND($L27-AC27+AD27,1),"")</f>
        <v/>
      </c>
      <c r="AG27" s="10">
        <f>IF(AND($K27="Yes",ISNUMBER($M27),AC27&lt;&gt;""),ROUND($M27-AC27+AD27,1),"")</f>
        <v/>
      </c>
      <c r="AH27" s="10">
        <f>IF(AND(ISNUMBER($J27),ISNUMBER(AF27),ISNUMBER(AG27)),ROUND((AG27-MAX(AF27,0))*10,1),"")</f>
        <v/>
      </c>
      <c r="AI27" s="10">
        <f>IF(AE27="","",IF(AND($K27="Yes",ISNUMBER(AG27)),AG27,AE27))</f>
        <v/>
      </c>
      <c r="AJ27" s="10">
        <f>IF(AE27="","",ROUND(SUMIFS($AH$3:$AH$252,$A$3:$A$252,"&lt;="&amp;$A27),1))</f>
        <v/>
      </c>
      <c r="AK27" s="10">
        <f>IF(OR(AE27="",$A27=""),"",IF(ISNUMBER(IFERROR(INDEX($AI$3:$AI$252,MATCH($A27-1,$A$3:$A$252,0)),"")),ROUND((INDEX($AI$3:$AI$252,MATCH($A27-1,$A$3:$A$252,0))-AE27)*10,1),""))</f>
        <v/>
      </c>
      <c r="AL27" s="10">
        <f>IF(ISNUMBER(AE27),1,0)</f>
        <v/>
      </c>
      <c r="AM27" s="17">
        <f>IF($A27="","",IF(COUNTIF($A$3:$A$252,$A27)&gt;1,"same date twice; ","")&amp;IF(AND(ISNUMBER($B27),OR($B27&lt;0,$B27&gt;300)),"rain out of range; ","")&amp;IF(AND(ISNUMBER($C27),OR($C27&lt;0,$C27&gt;45)),"temp out of range; ","")&amp;IF(AND(ISNUMBER($D27),OR($D27&lt;0,$D27&gt;100)),"RH out of range; ",""))</f>
        <v/>
      </c>
      <c r="AN27" s="17">
        <f>IF($A27="","",IF(AND(ISNUMBER(T27),OR(T27&lt;-30,T27&gt;20)),"WL out of range; ","")&amp;IF(AND(ISNUMBER($E27),T27=""),"no TP/b; ","")&amp;IF(AND(ISNUMBER(U27),ISNUMBER(V27)),IF(V27&lt;U27,"After&lt;Before; ",""),"")&amp;IF(AND($F27="Yes",ISNUMBER($E27),W27=""),"irrigation readings missing; ","")&amp;IF(ISNUMBER(Z27),IF(AND(ABS(Z27)&gt;50,NOT(N($B27)&gt;0)),"WL jump &gt;5 cm; ",""),""))</f>
        <v/>
      </c>
      <c r="AO27" s="17">
        <f>IF($A27="","",IF(AND(ISNUMBER(AE27),OR(AE27&lt;-30,AE27&gt;20)),"WL out of range; ","")&amp;IF(AND(ISNUMBER($J27),AE27=""),"no TP/b; ","")&amp;IF(AND(ISNUMBER(AF27),ISNUMBER(AG27)),IF(AG27&lt;AF27,"After&lt;Before; ",""),"")&amp;IF(AND($K27="Yes",ISNUMBER($J27),AH27=""),"irrigation readings missing; ","")&amp;IF(ISNUMBER(AK27),IF(AND(ABS(AK27)&gt;50,NOT(N($B27)&gt;0)),"WL jump &gt;5 cm; ",""),"")&amp;IF(AND(ISNUMBER(PitanE),ISNUMBER(AB27),$A27&gt;PitanE+2,AB27&lt;PitanE),"re-measure TP/b after Pitan; ",""))</f>
        <v/>
      </c>
    </row>
    <row r="28">
      <c r="A28" s="14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0">
        <f>IF(OR($A28="",NOT(ISNUMBER(TransDate))),"",$A28-TransDate)</f>
        <v/>
      </c>
      <c r="Q28" s="16">
        <f>IF($A28="","",IF(_xlfn.MAXIFS('TP-b'!$B$2:$B$60,'TP-b'!$A$2:$A$60,"FP",'TP-b'!$E$2:$E$60,1,'TP-b'!$B$2:$B$60,"&lt;="&amp;$A28)&gt;0,_xlfn.MAXIFS('TP-b'!$B$2:$B$60,'TP-b'!$A$2:$A$60,"FP",'TP-b'!$E$2:$E$60,1,'TP-b'!$B$2:$B$60,"&lt;="&amp;$A28),IF(_xlfn.MINIFS('TP-b'!$B$2:$B$60,'TP-b'!$A$2:$A$60,"FP",'TP-b'!$E$2:$E$60,1)&gt;0,_xlfn.MINIFS('TP-b'!$B$2:$B$60,'TP-b'!$A$2:$A$60,"FP",'TP-b'!$E$2:$E$60,1),"")))</f>
        <v/>
      </c>
      <c r="R28" s="10">
        <f>IF(Q28="","",AVERAGEIFS('TP-b'!$C$2:$C$60,'TP-b'!$A$2:$A$60,"FP",'TP-b'!$B$2:$B$60,Q28,'TP-b'!$E$2:$E$60,1))</f>
        <v/>
      </c>
      <c r="S28" s="10">
        <f>IF(Q28="","",AVERAGEIFS('TP-b'!$D$2:$D$60,'TP-b'!$A$2:$A$60,"FP",'TP-b'!$B$2:$B$60,Q28,'TP-b'!$E$2:$E$60,1))</f>
        <v/>
      </c>
      <c r="T28" s="10">
        <f>IF(OR($A28="",NOT(ISNUMBER($E28)),R28=""),"",ROUND($E28-R28+S28,1))</f>
        <v/>
      </c>
      <c r="U28" s="10">
        <f>IF(AND($F28="Yes",ISNUMBER($G28),R28&lt;&gt;""),ROUND($G28-R28+S28,1),"")</f>
        <v/>
      </c>
      <c r="V28" s="10">
        <f>IF(AND($F28="Yes",ISNUMBER($H28),R28&lt;&gt;""),ROUND($H28-R28+S28,1),"")</f>
        <v/>
      </c>
      <c r="W28" s="10">
        <f>IF(AND(ISNUMBER($E28),ISNUMBER(U28),ISNUMBER(V28)),ROUND((V28-MAX(U28,0))*10,1),"")</f>
        <v/>
      </c>
      <c r="X28" s="10">
        <f>IF(T28="","",IF(AND($F28="Yes",ISNUMBER(V28)),V28,T28))</f>
        <v/>
      </c>
      <c r="Y28" s="10">
        <f>IF(T28="","",ROUND(SUMIFS($W$3:$W$252,$A$3:$A$252,"&lt;="&amp;$A28),1))</f>
        <v/>
      </c>
      <c r="Z28" s="10">
        <f>IF(OR(T28="",$A28=""),"",IF(ISNUMBER(IFERROR(INDEX($X$3:$X$252,MATCH($A28-1,$A$3:$A$252,0)),"")),ROUND((INDEX($X$3:$X$252,MATCH($A28-1,$A$3:$A$252,0))-T28)*10,1),""))</f>
        <v/>
      </c>
      <c r="AA28" s="10">
        <f>IF(ISNUMBER(T28),1,0)</f>
        <v/>
      </c>
      <c r="AB28" s="16">
        <f>IF($A28="","",IF(_xlfn.MAXIFS('TP-b'!$B$2:$B$60,'TP-b'!$A$2:$A$60,"3F4D+MD",'TP-b'!$E$2:$E$60,1,'TP-b'!$B$2:$B$60,"&lt;="&amp;$A28)&gt;0,_xlfn.MAXIFS('TP-b'!$B$2:$B$60,'TP-b'!$A$2:$A$60,"3F4D+MD",'TP-b'!$E$2:$E$60,1,'TP-b'!$B$2:$B$60,"&lt;="&amp;$A28),IF(_xlfn.MINIFS('TP-b'!$B$2:$B$60,'TP-b'!$A$2:$A$60,"3F4D+MD",'TP-b'!$E$2:$E$60,1)&gt;0,_xlfn.MINIFS('TP-b'!$B$2:$B$60,'TP-b'!$A$2:$A$60,"3F4D+MD",'TP-b'!$E$2:$E$60,1),"")))</f>
        <v/>
      </c>
      <c r="AC28" s="10">
        <f>IF(AB28="","",AVERAGEIFS('TP-b'!$C$2:$C$60,'TP-b'!$A$2:$A$60,"3F4D+MD",'TP-b'!$B$2:$B$60,AB28,'TP-b'!$E$2:$E$60,1))</f>
        <v/>
      </c>
      <c r="AD28" s="10">
        <f>IF(AB28="","",AVERAGEIFS('TP-b'!$D$2:$D$60,'TP-b'!$A$2:$A$60,"3F4D+MD",'TP-b'!$B$2:$B$60,AB28,'TP-b'!$E$2:$E$60,1))</f>
        <v/>
      </c>
      <c r="AE28" s="10">
        <f>IF(OR($A28="",NOT(ISNUMBER($J28)),AC28=""),"",ROUND($J28-AC28+AD28,1))</f>
        <v/>
      </c>
      <c r="AF28" s="10">
        <f>IF(AND($K28="Yes",ISNUMBER($L28),AC28&lt;&gt;""),ROUND($L28-AC28+AD28,1),"")</f>
        <v/>
      </c>
      <c r="AG28" s="10">
        <f>IF(AND($K28="Yes",ISNUMBER($M28),AC28&lt;&gt;""),ROUND($M28-AC28+AD28,1),"")</f>
        <v/>
      </c>
      <c r="AH28" s="10">
        <f>IF(AND(ISNUMBER($J28),ISNUMBER(AF28),ISNUMBER(AG28)),ROUND((AG28-MAX(AF28,0))*10,1),"")</f>
        <v/>
      </c>
      <c r="AI28" s="10">
        <f>IF(AE28="","",IF(AND($K28="Yes",ISNUMBER(AG28)),AG28,AE28))</f>
        <v/>
      </c>
      <c r="AJ28" s="10">
        <f>IF(AE28="","",ROUND(SUMIFS($AH$3:$AH$252,$A$3:$A$252,"&lt;="&amp;$A28),1))</f>
        <v/>
      </c>
      <c r="AK28" s="10">
        <f>IF(OR(AE28="",$A28=""),"",IF(ISNUMBER(IFERROR(INDEX($AI$3:$AI$252,MATCH($A28-1,$A$3:$A$252,0)),"")),ROUND((INDEX($AI$3:$AI$252,MATCH($A28-1,$A$3:$A$252,0))-AE28)*10,1),""))</f>
        <v/>
      </c>
      <c r="AL28" s="10">
        <f>IF(ISNUMBER(AE28),1,0)</f>
        <v/>
      </c>
      <c r="AM28" s="17">
        <f>IF($A28="","",IF(COUNTIF($A$3:$A$252,$A28)&gt;1,"same date twice; ","")&amp;IF(AND(ISNUMBER($B28),OR($B28&lt;0,$B28&gt;300)),"rain out of range; ","")&amp;IF(AND(ISNUMBER($C28),OR($C28&lt;0,$C28&gt;45)),"temp out of range; ","")&amp;IF(AND(ISNUMBER($D28),OR($D28&lt;0,$D28&gt;100)),"RH out of range; ",""))</f>
        <v/>
      </c>
      <c r="AN28" s="17">
        <f>IF($A28="","",IF(AND(ISNUMBER(T28),OR(T28&lt;-30,T28&gt;20)),"WL out of range; ","")&amp;IF(AND(ISNUMBER($E28),T28=""),"no TP/b; ","")&amp;IF(AND(ISNUMBER(U28),ISNUMBER(V28)),IF(V28&lt;U28,"After&lt;Before; ",""),"")&amp;IF(AND($F28="Yes",ISNUMBER($E28),W28=""),"irrigation readings missing; ","")&amp;IF(ISNUMBER(Z28),IF(AND(ABS(Z28)&gt;50,NOT(N($B28)&gt;0)),"WL jump &gt;5 cm; ",""),""))</f>
        <v/>
      </c>
      <c r="AO28" s="17">
        <f>IF($A28="","",IF(AND(ISNUMBER(AE28),OR(AE28&lt;-30,AE28&gt;20)),"WL out of range; ","")&amp;IF(AND(ISNUMBER($J28),AE28=""),"no TP/b; ","")&amp;IF(AND(ISNUMBER(AF28),ISNUMBER(AG28)),IF(AG28&lt;AF28,"After&lt;Before; ",""),"")&amp;IF(AND($K28="Yes",ISNUMBER($J28),AH28=""),"irrigation readings missing; ","")&amp;IF(ISNUMBER(AK28),IF(AND(ABS(AK28)&gt;50,NOT(N($B28)&gt;0)),"WL jump &gt;5 cm; ",""),"")&amp;IF(AND(ISNUMBER(PitanE),ISNUMBER(AB28),$A28&gt;PitanE+2,AB28&lt;PitanE),"re-measure TP/b after Pitan; ",""))</f>
        <v/>
      </c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0">
        <f>IF(OR($A29="",NOT(ISNUMBER(TransDate))),"",$A29-TransDate)</f>
        <v/>
      </c>
      <c r="Q29" s="16">
        <f>IF($A29="","",IF(_xlfn.MAXIFS('TP-b'!$B$2:$B$60,'TP-b'!$A$2:$A$60,"FP",'TP-b'!$E$2:$E$60,1,'TP-b'!$B$2:$B$60,"&lt;="&amp;$A29)&gt;0,_xlfn.MAXIFS('TP-b'!$B$2:$B$60,'TP-b'!$A$2:$A$60,"FP",'TP-b'!$E$2:$E$60,1,'TP-b'!$B$2:$B$60,"&lt;="&amp;$A29),IF(_xlfn.MINIFS('TP-b'!$B$2:$B$60,'TP-b'!$A$2:$A$60,"FP",'TP-b'!$E$2:$E$60,1)&gt;0,_xlfn.MINIFS('TP-b'!$B$2:$B$60,'TP-b'!$A$2:$A$60,"FP",'TP-b'!$E$2:$E$60,1),"")))</f>
        <v/>
      </c>
      <c r="R29" s="10">
        <f>IF(Q29="","",AVERAGEIFS('TP-b'!$C$2:$C$60,'TP-b'!$A$2:$A$60,"FP",'TP-b'!$B$2:$B$60,Q29,'TP-b'!$E$2:$E$60,1))</f>
        <v/>
      </c>
      <c r="S29" s="10">
        <f>IF(Q29="","",AVERAGEIFS('TP-b'!$D$2:$D$60,'TP-b'!$A$2:$A$60,"FP",'TP-b'!$B$2:$B$60,Q29,'TP-b'!$E$2:$E$60,1))</f>
        <v/>
      </c>
      <c r="T29" s="10">
        <f>IF(OR($A29="",NOT(ISNUMBER($E29)),R29=""),"",ROUND($E29-R29+S29,1))</f>
        <v/>
      </c>
      <c r="U29" s="10">
        <f>IF(AND($F29="Yes",ISNUMBER($G29),R29&lt;&gt;""),ROUND($G29-R29+S29,1),"")</f>
        <v/>
      </c>
      <c r="V29" s="10">
        <f>IF(AND($F29="Yes",ISNUMBER($H29),R29&lt;&gt;""),ROUND($H29-R29+S29,1),"")</f>
        <v/>
      </c>
      <c r="W29" s="10">
        <f>IF(AND(ISNUMBER($E29),ISNUMBER(U29),ISNUMBER(V29)),ROUND((V29-MAX(U29,0))*10,1),"")</f>
        <v/>
      </c>
      <c r="X29" s="10">
        <f>IF(T29="","",IF(AND($F29="Yes",ISNUMBER(V29)),V29,T29))</f>
        <v/>
      </c>
      <c r="Y29" s="10">
        <f>IF(T29="","",ROUND(SUMIFS($W$3:$W$252,$A$3:$A$252,"&lt;="&amp;$A29),1))</f>
        <v/>
      </c>
      <c r="Z29" s="10">
        <f>IF(OR(T29="",$A29=""),"",IF(ISNUMBER(IFERROR(INDEX($X$3:$X$252,MATCH($A29-1,$A$3:$A$252,0)),"")),ROUND((INDEX($X$3:$X$252,MATCH($A29-1,$A$3:$A$252,0))-T29)*10,1),""))</f>
        <v/>
      </c>
      <c r="AA29" s="10">
        <f>IF(ISNUMBER(T29),1,0)</f>
        <v/>
      </c>
      <c r="AB29" s="16">
        <f>IF($A29="","",IF(_xlfn.MAXIFS('TP-b'!$B$2:$B$60,'TP-b'!$A$2:$A$60,"3F4D+MD",'TP-b'!$E$2:$E$60,1,'TP-b'!$B$2:$B$60,"&lt;="&amp;$A29)&gt;0,_xlfn.MAXIFS('TP-b'!$B$2:$B$60,'TP-b'!$A$2:$A$60,"3F4D+MD",'TP-b'!$E$2:$E$60,1,'TP-b'!$B$2:$B$60,"&lt;="&amp;$A29),IF(_xlfn.MINIFS('TP-b'!$B$2:$B$60,'TP-b'!$A$2:$A$60,"3F4D+MD",'TP-b'!$E$2:$E$60,1)&gt;0,_xlfn.MINIFS('TP-b'!$B$2:$B$60,'TP-b'!$A$2:$A$60,"3F4D+MD",'TP-b'!$E$2:$E$60,1),"")))</f>
        <v/>
      </c>
      <c r="AC29" s="10">
        <f>IF(AB29="","",AVERAGEIFS('TP-b'!$C$2:$C$60,'TP-b'!$A$2:$A$60,"3F4D+MD",'TP-b'!$B$2:$B$60,AB29,'TP-b'!$E$2:$E$60,1))</f>
        <v/>
      </c>
      <c r="AD29" s="10">
        <f>IF(AB29="","",AVERAGEIFS('TP-b'!$D$2:$D$60,'TP-b'!$A$2:$A$60,"3F4D+MD",'TP-b'!$B$2:$B$60,AB29,'TP-b'!$E$2:$E$60,1))</f>
        <v/>
      </c>
      <c r="AE29" s="10">
        <f>IF(OR($A29="",NOT(ISNUMBER($J29)),AC29=""),"",ROUND($J29-AC29+AD29,1))</f>
        <v/>
      </c>
      <c r="AF29" s="10">
        <f>IF(AND($K29="Yes",ISNUMBER($L29),AC29&lt;&gt;""),ROUND($L29-AC29+AD29,1),"")</f>
        <v/>
      </c>
      <c r="AG29" s="10">
        <f>IF(AND($K29="Yes",ISNUMBER($M29),AC29&lt;&gt;""),ROUND($M29-AC29+AD29,1),"")</f>
        <v/>
      </c>
      <c r="AH29" s="10">
        <f>IF(AND(ISNUMBER($J29),ISNUMBER(AF29),ISNUMBER(AG29)),ROUND((AG29-MAX(AF29,0))*10,1),"")</f>
        <v/>
      </c>
      <c r="AI29" s="10">
        <f>IF(AE29="","",IF(AND($K29="Yes",ISNUMBER(AG29)),AG29,AE29))</f>
        <v/>
      </c>
      <c r="AJ29" s="10">
        <f>IF(AE29="","",ROUND(SUMIFS($AH$3:$AH$252,$A$3:$A$252,"&lt;="&amp;$A29),1))</f>
        <v/>
      </c>
      <c r="AK29" s="10">
        <f>IF(OR(AE29="",$A29=""),"",IF(ISNUMBER(IFERROR(INDEX($AI$3:$AI$252,MATCH($A29-1,$A$3:$A$252,0)),"")),ROUND((INDEX($AI$3:$AI$252,MATCH($A29-1,$A$3:$A$252,0))-AE29)*10,1),""))</f>
        <v/>
      </c>
      <c r="AL29" s="10">
        <f>IF(ISNUMBER(AE29),1,0)</f>
        <v/>
      </c>
      <c r="AM29" s="17">
        <f>IF($A29="","",IF(COUNTIF($A$3:$A$252,$A29)&gt;1,"same date twice; ","")&amp;IF(AND(ISNUMBER($B29),OR($B29&lt;0,$B29&gt;300)),"rain out of range; ","")&amp;IF(AND(ISNUMBER($C29),OR($C29&lt;0,$C29&gt;45)),"temp out of range; ","")&amp;IF(AND(ISNUMBER($D29),OR($D29&lt;0,$D29&gt;100)),"RH out of range; ",""))</f>
        <v/>
      </c>
      <c r="AN29" s="17">
        <f>IF($A29="","",IF(AND(ISNUMBER(T29),OR(T29&lt;-30,T29&gt;20)),"WL out of range; ","")&amp;IF(AND(ISNUMBER($E29),T29=""),"no TP/b; ","")&amp;IF(AND(ISNUMBER(U29),ISNUMBER(V29)),IF(V29&lt;U29,"After&lt;Before; ",""),"")&amp;IF(AND($F29="Yes",ISNUMBER($E29),W29=""),"irrigation readings missing; ","")&amp;IF(ISNUMBER(Z29),IF(AND(ABS(Z29)&gt;50,NOT(N($B29)&gt;0)),"WL jump &gt;5 cm; ",""),""))</f>
        <v/>
      </c>
      <c r="AO29" s="17">
        <f>IF($A29="","",IF(AND(ISNUMBER(AE29),OR(AE29&lt;-30,AE29&gt;20)),"WL out of range; ","")&amp;IF(AND(ISNUMBER($J29),AE29=""),"no TP/b; ","")&amp;IF(AND(ISNUMBER(AF29),ISNUMBER(AG29)),IF(AG29&lt;AF29,"After&lt;Before; ",""),"")&amp;IF(AND($K29="Yes",ISNUMBER($J29),AH29=""),"irrigation readings missing; ","")&amp;IF(ISNUMBER(AK29),IF(AND(ABS(AK29)&gt;50,NOT(N($B29)&gt;0)),"WL jump &gt;5 cm; ",""),"")&amp;IF(AND(ISNUMBER(PitanE),ISNUMBER(AB29),$A29&gt;PitanE+2,AB29&lt;PitanE),"re-measure TP/b after Pitan; ",""))</f>
        <v/>
      </c>
    </row>
    <row r="30">
      <c r="A30" s="14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0">
        <f>IF(OR($A30="",NOT(ISNUMBER(TransDate))),"",$A30-TransDate)</f>
        <v/>
      </c>
      <c r="Q30" s="16">
        <f>IF($A30="","",IF(_xlfn.MAXIFS('TP-b'!$B$2:$B$60,'TP-b'!$A$2:$A$60,"FP",'TP-b'!$E$2:$E$60,1,'TP-b'!$B$2:$B$60,"&lt;="&amp;$A30)&gt;0,_xlfn.MAXIFS('TP-b'!$B$2:$B$60,'TP-b'!$A$2:$A$60,"FP",'TP-b'!$E$2:$E$60,1,'TP-b'!$B$2:$B$60,"&lt;="&amp;$A30),IF(_xlfn.MINIFS('TP-b'!$B$2:$B$60,'TP-b'!$A$2:$A$60,"FP",'TP-b'!$E$2:$E$60,1)&gt;0,_xlfn.MINIFS('TP-b'!$B$2:$B$60,'TP-b'!$A$2:$A$60,"FP",'TP-b'!$E$2:$E$60,1),"")))</f>
        <v/>
      </c>
      <c r="R30" s="10">
        <f>IF(Q30="","",AVERAGEIFS('TP-b'!$C$2:$C$60,'TP-b'!$A$2:$A$60,"FP",'TP-b'!$B$2:$B$60,Q30,'TP-b'!$E$2:$E$60,1))</f>
        <v/>
      </c>
      <c r="S30" s="10">
        <f>IF(Q30="","",AVERAGEIFS('TP-b'!$D$2:$D$60,'TP-b'!$A$2:$A$60,"FP",'TP-b'!$B$2:$B$60,Q30,'TP-b'!$E$2:$E$60,1))</f>
        <v/>
      </c>
      <c r="T30" s="10">
        <f>IF(OR($A30="",NOT(ISNUMBER($E30)),R30=""),"",ROUND($E30-R30+S30,1))</f>
        <v/>
      </c>
      <c r="U30" s="10">
        <f>IF(AND($F30="Yes",ISNUMBER($G30),R30&lt;&gt;""),ROUND($G30-R30+S30,1),"")</f>
        <v/>
      </c>
      <c r="V30" s="10">
        <f>IF(AND($F30="Yes",ISNUMBER($H30),R30&lt;&gt;""),ROUND($H30-R30+S30,1),"")</f>
        <v/>
      </c>
      <c r="W30" s="10">
        <f>IF(AND(ISNUMBER($E30),ISNUMBER(U30),ISNUMBER(V30)),ROUND((V30-MAX(U30,0))*10,1),"")</f>
        <v/>
      </c>
      <c r="X30" s="10">
        <f>IF(T30="","",IF(AND($F30="Yes",ISNUMBER(V30)),V30,T30))</f>
        <v/>
      </c>
      <c r="Y30" s="10">
        <f>IF(T30="","",ROUND(SUMIFS($W$3:$W$252,$A$3:$A$252,"&lt;="&amp;$A30),1))</f>
        <v/>
      </c>
      <c r="Z30" s="10">
        <f>IF(OR(T30="",$A30=""),"",IF(ISNUMBER(IFERROR(INDEX($X$3:$X$252,MATCH($A30-1,$A$3:$A$252,0)),"")),ROUND((INDEX($X$3:$X$252,MATCH($A30-1,$A$3:$A$252,0))-T30)*10,1),""))</f>
        <v/>
      </c>
      <c r="AA30" s="10">
        <f>IF(ISNUMBER(T30),1,0)</f>
        <v/>
      </c>
      <c r="AB30" s="16">
        <f>IF($A30="","",IF(_xlfn.MAXIFS('TP-b'!$B$2:$B$60,'TP-b'!$A$2:$A$60,"3F4D+MD",'TP-b'!$E$2:$E$60,1,'TP-b'!$B$2:$B$60,"&lt;="&amp;$A30)&gt;0,_xlfn.MAXIFS('TP-b'!$B$2:$B$60,'TP-b'!$A$2:$A$60,"3F4D+MD",'TP-b'!$E$2:$E$60,1,'TP-b'!$B$2:$B$60,"&lt;="&amp;$A30),IF(_xlfn.MINIFS('TP-b'!$B$2:$B$60,'TP-b'!$A$2:$A$60,"3F4D+MD",'TP-b'!$E$2:$E$60,1)&gt;0,_xlfn.MINIFS('TP-b'!$B$2:$B$60,'TP-b'!$A$2:$A$60,"3F4D+MD",'TP-b'!$E$2:$E$60,1),"")))</f>
        <v/>
      </c>
      <c r="AC30" s="10">
        <f>IF(AB30="","",AVERAGEIFS('TP-b'!$C$2:$C$60,'TP-b'!$A$2:$A$60,"3F4D+MD",'TP-b'!$B$2:$B$60,AB30,'TP-b'!$E$2:$E$60,1))</f>
        <v/>
      </c>
      <c r="AD30" s="10">
        <f>IF(AB30="","",AVERAGEIFS('TP-b'!$D$2:$D$60,'TP-b'!$A$2:$A$60,"3F4D+MD",'TP-b'!$B$2:$B$60,AB30,'TP-b'!$E$2:$E$60,1))</f>
        <v/>
      </c>
      <c r="AE30" s="10">
        <f>IF(OR($A30="",NOT(ISNUMBER($J30)),AC30=""),"",ROUND($J30-AC30+AD30,1))</f>
        <v/>
      </c>
      <c r="AF30" s="10">
        <f>IF(AND($K30="Yes",ISNUMBER($L30),AC30&lt;&gt;""),ROUND($L30-AC30+AD30,1),"")</f>
        <v/>
      </c>
      <c r="AG30" s="10">
        <f>IF(AND($K30="Yes",ISNUMBER($M30),AC30&lt;&gt;""),ROUND($M30-AC30+AD30,1),"")</f>
        <v/>
      </c>
      <c r="AH30" s="10">
        <f>IF(AND(ISNUMBER($J30),ISNUMBER(AF30),ISNUMBER(AG30)),ROUND((AG30-MAX(AF30,0))*10,1),"")</f>
        <v/>
      </c>
      <c r="AI30" s="10">
        <f>IF(AE30="","",IF(AND($K30="Yes",ISNUMBER(AG30)),AG30,AE30))</f>
        <v/>
      </c>
      <c r="AJ30" s="10">
        <f>IF(AE30="","",ROUND(SUMIFS($AH$3:$AH$252,$A$3:$A$252,"&lt;="&amp;$A30),1))</f>
        <v/>
      </c>
      <c r="AK30" s="10">
        <f>IF(OR(AE30="",$A30=""),"",IF(ISNUMBER(IFERROR(INDEX($AI$3:$AI$252,MATCH($A30-1,$A$3:$A$252,0)),"")),ROUND((INDEX($AI$3:$AI$252,MATCH($A30-1,$A$3:$A$252,0))-AE30)*10,1),""))</f>
        <v/>
      </c>
      <c r="AL30" s="10">
        <f>IF(ISNUMBER(AE30),1,0)</f>
        <v/>
      </c>
      <c r="AM30" s="17">
        <f>IF($A30="","",IF(COUNTIF($A$3:$A$252,$A30)&gt;1,"same date twice; ","")&amp;IF(AND(ISNUMBER($B30),OR($B30&lt;0,$B30&gt;300)),"rain out of range; ","")&amp;IF(AND(ISNUMBER($C30),OR($C30&lt;0,$C30&gt;45)),"temp out of range; ","")&amp;IF(AND(ISNUMBER($D30),OR($D30&lt;0,$D30&gt;100)),"RH out of range; ",""))</f>
        <v/>
      </c>
      <c r="AN30" s="17">
        <f>IF($A30="","",IF(AND(ISNUMBER(T30),OR(T30&lt;-30,T30&gt;20)),"WL out of range; ","")&amp;IF(AND(ISNUMBER($E30),T30=""),"no TP/b; ","")&amp;IF(AND(ISNUMBER(U30),ISNUMBER(V30)),IF(V30&lt;U30,"After&lt;Before; ",""),"")&amp;IF(AND($F30="Yes",ISNUMBER($E30),W30=""),"irrigation readings missing; ","")&amp;IF(ISNUMBER(Z30),IF(AND(ABS(Z30)&gt;50,NOT(N($B30)&gt;0)),"WL jump &gt;5 cm; ",""),""))</f>
        <v/>
      </c>
      <c r="AO30" s="17">
        <f>IF($A30="","",IF(AND(ISNUMBER(AE30),OR(AE30&lt;-30,AE30&gt;20)),"WL out of range; ","")&amp;IF(AND(ISNUMBER($J30),AE30=""),"no TP/b; ","")&amp;IF(AND(ISNUMBER(AF30),ISNUMBER(AG30)),IF(AG30&lt;AF30,"After&lt;Before; ",""),"")&amp;IF(AND($K30="Yes",ISNUMBER($J30),AH30=""),"irrigation readings missing; ","")&amp;IF(ISNUMBER(AK30),IF(AND(ABS(AK30)&gt;50,NOT(N($B30)&gt;0)),"WL jump &gt;5 cm; ",""),"")&amp;IF(AND(ISNUMBER(PitanE),ISNUMBER(AB30),$A30&gt;PitanE+2,AB30&lt;PitanE),"re-measure TP/b after Pitan; ",""))</f>
        <v/>
      </c>
    </row>
    <row r="31">
      <c r="A31" s="14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0">
        <f>IF(OR($A31="",NOT(ISNUMBER(TransDate))),"",$A31-TransDate)</f>
        <v/>
      </c>
      <c r="Q31" s="16">
        <f>IF($A31="","",IF(_xlfn.MAXIFS('TP-b'!$B$2:$B$60,'TP-b'!$A$2:$A$60,"FP",'TP-b'!$E$2:$E$60,1,'TP-b'!$B$2:$B$60,"&lt;="&amp;$A31)&gt;0,_xlfn.MAXIFS('TP-b'!$B$2:$B$60,'TP-b'!$A$2:$A$60,"FP",'TP-b'!$E$2:$E$60,1,'TP-b'!$B$2:$B$60,"&lt;="&amp;$A31),IF(_xlfn.MINIFS('TP-b'!$B$2:$B$60,'TP-b'!$A$2:$A$60,"FP",'TP-b'!$E$2:$E$60,1)&gt;0,_xlfn.MINIFS('TP-b'!$B$2:$B$60,'TP-b'!$A$2:$A$60,"FP",'TP-b'!$E$2:$E$60,1),"")))</f>
        <v/>
      </c>
      <c r="R31" s="10">
        <f>IF(Q31="","",AVERAGEIFS('TP-b'!$C$2:$C$60,'TP-b'!$A$2:$A$60,"FP",'TP-b'!$B$2:$B$60,Q31,'TP-b'!$E$2:$E$60,1))</f>
        <v/>
      </c>
      <c r="S31" s="10">
        <f>IF(Q31="","",AVERAGEIFS('TP-b'!$D$2:$D$60,'TP-b'!$A$2:$A$60,"FP",'TP-b'!$B$2:$B$60,Q31,'TP-b'!$E$2:$E$60,1))</f>
        <v/>
      </c>
      <c r="T31" s="10">
        <f>IF(OR($A31="",NOT(ISNUMBER($E31)),R31=""),"",ROUND($E31-R31+S31,1))</f>
        <v/>
      </c>
      <c r="U31" s="10">
        <f>IF(AND($F31="Yes",ISNUMBER($G31),R31&lt;&gt;""),ROUND($G31-R31+S31,1),"")</f>
        <v/>
      </c>
      <c r="V31" s="10">
        <f>IF(AND($F31="Yes",ISNUMBER($H31),R31&lt;&gt;""),ROUND($H31-R31+S31,1),"")</f>
        <v/>
      </c>
      <c r="W31" s="10">
        <f>IF(AND(ISNUMBER($E31),ISNUMBER(U31),ISNUMBER(V31)),ROUND((V31-MAX(U31,0))*10,1),"")</f>
        <v/>
      </c>
      <c r="X31" s="10">
        <f>IF(T31="","",IF(AND($F31="Yes",ISNUMBER(V31)),V31,T31))</f>
        <v/>
      </c>
      <c r="Y31" s="10">
        <f>IF(T31="","",ROUND(SUMIFS($W$3:$W$252,$A$3:$A$252,"&lt;="&amp;$A31),1))</f>
        <v/>
      </c>
      <c r="Z31" s="10">
        <f>IF(OR(T31="",$A31=""),"",IF(ISNUMBER(IFERROR(INDEX($X$3:$X$252,MATCH($A31-1,$A$3:$A$252,0)),"")),ROUND((INDEX($X$3:$X$252,MATCH($A31-1,$A$3:$A$252,0))-T31)*10,1),""))</f>
        <v/>
      </c>
      <c r="AA31" s="10">
        <f>IF(ISNUMBER(T31),1,0)</f>
        <v/>
      </c>
      <c r="AB31" s="16">
        <f>IF($A31="","",IF(_xlfn.MAXIFS('TP-b'!$B$2:$B$60,'TP-b'!$A$2:$A$60,"3F4D+MD",'TP-b'!$E$2:$E$60,1,'TP-b'!$B$2:$B$60,"&lt;="&amp;$A31)&gt;0,_xlfn.MAXIFS('TP-b'!$B$2:$B$60,'TP-b'!$A$2:$A$60,"3F4D+MD",'TP-b'!$E$2:$E$60,1,'TP-b'!$B$2:$B$60,"&lt;="&amp;$A31),IF(_xlfn.MINIFS('TP-b'!$B$2:$B$60,'TP-b'!$A$2:$A$60,"3F4D+MD",'TP-b'!$E$2:$E$60,1)&gt;0,_xlfn.MINIFS('TP-b'!$B$2:$B$60,'TP-b'!$A$2:$A$60,"3F4D+MD",'TP-b'!$E$2:$E$60,1),"")))</f>
        <v/>
      </c>
      <c r="AC31" s="10">
        <f>IF(AB31="","",AVERAGEIFS('TP-b'!$C$2:$C$60,'TP-b'!$A$2:$A$60,"3F4D+MD",'TP-b'!$B$2:$B$60,AB31,'TP-b'!$E$2:$E$60,1))</f>
        <v/>
      </c>
      <c r="AD31" s="10">
        <f>IF(AB31="","",AVERAGEIFS('TP-b'!$D$2:$D$60,'TP-b'!$A$2:$A$60,"3F4D+MD",'TP-b'!$B$2:$B$60,AB31,'TP-b'!$E$2:$E$60,1))</f>
        <v/>
      </c>
      <c r="AE31" s="10">
        <f>IF(OR($A31="",NOT(ISNUMBER($J31)),AC31=""),"",ROUND($J31-AC31+AD31,1))</f>
        <v/>
      </c>
      <c r="AF31" s="10">
        <f>IF(AND($K31="Yes",ISNUMBER($L31),AC31&lt;&gt;""),ROUND($L31-AC31+AD31,1),"")</f>
        <v/>
      </c>
      <c r="AG31" s="10">
        <f>IF(AND($K31="Yes",ISNUMBER($M31),AC31&lt;&gt;""),ROUND($M31-AC31+AD31,1),"")</f>
        <v/>
      </c>
      <c r="AH31" s="10">
        <f>IF(AND(ISNUMBER($J31),ISNUMBER(AF31),ISNUMBER(AG31)),ROUND((AG31-MAX(AF31,0))*10,1),"")</f>
        <v/>
      </c>
      <c r="AI31" s="10">
        <f>IF(AE31="","",IF(AND($K31="Yes",ISNUMBER(AG31)),AG31,AE31))</f>
        <v/>
      </c>
      <c r="AJ31" s="10">
        <f>IF(AE31="","",ROUND(SUMIFS($AH$3:$AH$252,$A$3:$A$252,"&lt;="&amp;$A31),1))</f>
        <v/>
      </c>
      <c r="AK31" s="10">
        <f>IF(OR(AE31="",$A31=""),"",IF(ISNUMBER(IFERROR(INDEX($AI$3:$AI$252,MATCH($A31-1,$A$3:$A$252,0)),"")),ROUND((INDEX($AI$3:$AI$252,MATCH($A31-1,$A$3:$A$252,0))-AE31)*10,1),""))</f>
        <v/>
      </c>
      <c r="AL31" s="10">
        <f>IF(ISNUMBER(AE31),1,0)</f>
        <v/>
      </c>
      <c r="AM31" s="17">
        <f>IF($A31="","",IF(COUNTIF($A$3:$A$252,$A31)&gt;1,"same date twice; ","")&amp;IF(AND(ISNUMBER($B31),OR($B31&lt;0,$B31&gt;300)),"rain out of range; ","")&amp;IF(AND(ISNUMBER($C31),OR($C31&lt;0,$C31&gt;45)),"temp out of range; ","")&amp;IF(AND(ISNUMBER($D31),OR($D31&lt;0,$D31&gt;100)),"RH out of range; ",""))</f>
        <v/>
      </c>
      <c r="AN31" s="17">
        <f>IF($A31="","",IF(AND(ISNUMBER(T31),OR(T31&lt;-30,T31&gt;20)),"WL out of range; ","")&amp;IF(AND(ISNUMBER($E31),T31=""),"no TP/b; ","")&amp;IF(AND(ISNUMBER(U31),ISNUMBER(V31)),IF(V31&lt;U31,"After&lt;Before; ",""),"")&amp;IF(AND($F31="Yes",ISNUMBER($E31),W31=""),"irrigation readings missing; ","")&amp;IF(ISNUMBER(Z31),IF(AND(ABS(Z31)&gt;50,NOT(N($B31)&gt;0)),"WL jump &gt;5 cm; ",""),""))</f>
        <v/>
      </c>
      <c r="AO31" s="17">
        <f>IF($A31="","",IF(AND(ISNUMBER(AE31),OR(AE31&lt;-30,AE31&gt;20)),"WL out of range; ","")&amp;IF(AND(ISNUMBER($J31),AE31=""),"no TP/b; ","")&amp;IF(AND(ISNUMBER(AF31),ISNUMBER(AG31)),IF(AG31&lt;AF31,"After&lt;Before; ",""),"")&amp;IF(AND($K31="Yes",ISNUMBER($J31),AH31=""),"irrigation readings missing; ","")&amp;IF(ISNUMBER(AK31),IF(AND(ABS(AK31)&gt;50,NOT(N($B31)&gt;0)),"WL jump &gt;5 cm; ",""),"")&amp;IF(AND(ISNUMBER(PitanE),ISNUMBER(AB31),$A31&gt;PitanE+2,AB31&lt;PitanE),"re-measure TP/b after Pitan; ",""))</f>
        <v/>
      </c>
    </row>
    <row r="32">
      <c r="A32" s="14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0">
        <f>IF(OR($A32="",NOT(ISNUMBER(TransDate))),"",$A32-TransDate)</f>
        <v/>
      </c>
      <c r="Q32" s="16">
        <f>IF($A32="","",IF(_xlfn.MAXIFS('TP-b'!$B$2:$B$60,'TP-b'!$A$2:$A$60,"FP",'TP-b'!$E$2:$E$60,1,'TP-b'!$B$2:$B$60,"&lt;="&amp;$A32)&gt;0,_xlfn.MAXIFS('TP-b'!$B$2:$B$60,'TP-b'!$A$2:$A$60,"FP",'TP-b'!$E$2:$E$60,1,'TP-b'!$B$2:$B$60,"&lt;="&amp;$A32),IF(_xlfn.MINIFS('TP-b'!$B$2:$B$60,'TP-b'!$A$2:$A$60,"FP",'TP-b'!$E$2:$E$60,1)&gt;0,_xlfn.MINIFS('TP-b'!$B$2:$B$60,'TP-b'!$A$2:$A$60,"FP",'TP-b'!$E$2:$E$60,1),"")))</f>
        <v/>
      </c>
      <c r="R32" s="10">
        <f>IF(Q32="","",AVERAGEIFS('TP-b'!$C$2:$C$60,'TP-b'!$A$2:$A$60,"FP",'TP-b'!$B$2:$B$60,Q32,'TP-b'!$E$2:$E$60,1))</f>
        <v/>
      </c>
      <c r="S32" s="10">
        <f>IF(Q32="","",AVERAGEIFS('TP-b'!$D$2:$D$60,'TP-b'!$A$2:$A$60,"FP",'TP-b'!$B$2:$B$60,Q32,'TP-b'!$E$2:$E$60,1))</f>
        <v/>
      </c>
      <c r="T32" s="10">
        <f>IF(OR($A32="",NOT(ISNUMBER($E32)),R32=""),"",ROUND($E32-R32+S32,1))</f>
        <v/>
      </c>
      <c r="U32" s="10">
        <f>IF(AND($F32="Yes",ISNUMBER($G32),R32&lt;&gt;""),ROUND($G32-R32+S32,1),"")</f>
        <v/>
      </c>
      <c r="V32" s="10">
        <f>IF(AND($F32="Yes",ISNUMBER($H32),R32&lt;&gt;""),ROUND($H32-R32+S32,1),"")</f>
        <v/>
      </c>
      <c r="W32" s="10">
        <f>IF(AND(ISNUMBER($E32),ISNUMBER(U32),ISNUMBER(V32)),ROUND((V32-MAX(U32,0))*10,1),"")</f>
        <v/>
      </c>
      <c r="X32" s="10">
        <f>IF(T32="","",IF(AND($F32="Yes",ISNUMBER(V32)),V32,T32))</f>
        <v/>
      </c>
      <c r="Y32" s="10">
        <f>IF(T32="","",ROUND(SUMIFS($W$3:$W$252,$A$3:$A$252,"&lt;="&amp;$A32),1))</f>
        <v/>
      </c>
      <c r="Z32" s="10">
        <f>IF(OR(T32="",$A32=""),"",IF(ISNUMBER(IFERROR(INDEX($X$3:$X$252,MATCH($A32-1,$A$3:$A$252,0)),"")),ROUND((INDEX($X$3:$X$252,MATCH($A32-1,$A$3:$A$252,0))-T32)*10,1),""))</f>
        <v/>
      </c>
      <c r="AA32" s="10">
        <f>IF(ISNUMBER(T32),1,0)</f>
        <v/>
      </c>
      <c r="AB32" s="16">
        <f>IF($A32="","",IF(_xlfn.MAXIFS('TP-b'!$B$2:$B$60,'TP-b'!$A$2:$A$60,"3F4D+MD",'TP-b'!$E$2:$E$60,1,'TP-b'!$B$2:$B$60,"&lt;="&amp;$A32)&gt;0,_xlfn.MAXIFS('TP-b'!$B$2:$B$60,'TP-b'!$A$2:$A$60,"3F4D+MD",'TP-b'!$E$2:$E$60,1,'TP-b'!$B$2:$B$60,"&lt;="&amp;$A32),IF(_xlfn.MINIFS('TP-b'!$B$2:$B$60,'TP-b'!$A$2:$A$60,"3F4D+MD",'TP-b'!$E$2:$E$60,1)&gt;0,_xlfn.MINIFS('TP-b'!$B$2:$B$60,'TP-b'!$A$2:$A$60,"3F4D+MD",'TP-b'!$E$2:$E$60,1),"")))</f>
        <v/>
      </c>
      <c r="AC32" s="10">
        <f>IF(AB32="","",AVERAGEIFS('TP-b'!$C$2:$C$60,'TP-b'!$A$2:$A$60,"3F4D+MD",'TP-b'!$B$2:$B$60,AB32,'TP-b'!$E$2:$E$60,1))</f>
        <v/>
      </c>
      <c r="AD32" s="10">
        <f>IF(AB32="","",AVERAGEIFS('TP-b'!$D$2:$D$60,'TP-b'!$A$2:$A$60,"3F4D+MD",'TP-b'!$B$2:$B$60,AB32,'TP-b'!$E$2:$E$60,1))</f>
        <v/>
      </c>
      <c r="AE32" s="10">
        <f>IF(OR($A32="",NOT(ISNUMBER($J32)),AC32=""),"",ROUND($J32-AC32+AD32,1))</f>
        <v/>
      </c>
      <c r="AF32" s="10">
        <f>IF(AND($K32="Yes",ISNUMBER($L32),AC32&lt;&gt;""),ROUND($L32-AC32+AD32,1),"")</f>
        <v/>
      </c>
      <c r="AG32" s="10">
        <f>IF(AND($K32="Yes",ISNUMBER($M32),AC32&lt;&gt;""),ROUND($M32-AC32+AD32,1),"")</f>
        <v/>
      </c>
      <c r="AH32" s="10">
        <f>IF(AND(ISNUMBER($J32),ISNUMBER(AF32),ISNUMBER(AG32)),ROUND((AG32-MAX(AF32,0))*10,1),"")</f>
        <v/>
      </c>
      <c r="AI32" s="10">
        <f>IF(AE32="","",IF(AND($K32="Yes",ISNUMBER(AG32)),AG32,AE32))</f>
        <v/>
      </c>
      <c r="AJ32" s="10">
        <f>IF(AE32="","",ROUND(SUMIFS($AH$3:$AH$252,$A$3:$A$252,"&lt;="&amp;$A32),1))</f>
        <v/>
      </c>
      <c r="AK32" s="10">
        <f>IF(OR(AE32="",$A32=""),"",IF(ISNUMBER(IFERROR(INDEX($AI$3:$AI$252,MATCH($A32-1,$A$3:$A$252,0)),"")),ROUND((INDEX($AI$3:$AI$252,MATCH($A32-1,$A$3:$A$252,0))-AE32)*10,1),""))</f>
        <v/>
      </c>
      <c r="AL32" s="10">
        <f>IF(ISNUMBER(AE32),1,0)</f>
        <v/>
      </c>
      <c r="AM32" s="17">
        <f>IF($A32="","",IF(COUNTIF($A$3:$A$252,$A32)&gt;1,"same date twice; ","")&amp;IF(AND(ISNUMBER($B32),OR($B32&lt;0,$B32&gt;300)),"rain out of range; ","")&amp;IF(AND(ISNUMBER($C32),OR($C32&lt;0,$C32&gt;45)),"temp out of range; ","")&amp;IF(AND(ISNUMBER($D32),OR($D32&lt;0,$D32&gt;100)),"RH out of range; ",""))</f>
        <v/>
      </c>
      <c r="AN32" s="17">
        <f>IF($A32="","",IF(AND(ISNUMBER(T32),OR(T32&lt;-30,T32&gt;20)),"WL out of range; ","")&amp;IF(AND(ISNUMBER($E32),T32=""),"no TP/b; ","")&amp;IF(AND(ISNUMBER(U32),ISNUMBER(V32)),IF(V32&lt;U32,"After&lt;Before; ",""),"")&amp;IF(AND($F32="Yes",ISNUMBER($E32),W32=""),"irrigation readings missing; ","")&amp;IF(ISNUMBER(Z32),IF(AND(ABS(Z32)&gt;50,NOT(N($B32)&gt;0)),"WL jump &gt;5 cm; ",""),""))</f>
        <v/>
      </c>
      <c r="AO32" s="17">
        <f>IF($A32="","",IF(AND(ISNUMBER(AE32),OR(AE32&lt;-30,AE32&gt;20)),"WL out of range; ","")&amp;IF(AND(ISNUMBER($J32),AE32=""),"no TP/b; ","")&amp;IF(AND(ISNUMBER(AF32),ISNUMBER(AG32)),IF(AG32&lt;AF32,"After&lt;Before; ",""),"")&amp;IF(AND($K32="Yes",ISNUMBER($J32),AH32=""),"irrigation readings missing; ","")&amp;IF(ISNUMBER(AK32),IF(AND(ABS(AK32)&gt;50,NOT(N($B32)&gt;0)),"WL jump &gt;5 cm; ",""),"")&amp;IF(AND(ISNUMBER(PitanE),ISNUMBER(AB32),$A32&gt;PitanE+2,AB32&lt;PitanE),"re-measure TP/b after Pitan; ",""))</f>
        <v/>
      </c>
    </row>
    <row r="33">
      <c r="A33" s="14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0">
        <f>IF(OR($A33="",NOT(ISNUMBER(TransDate))),"",$A33-TransDate)</f>
        <v/>
      </c>
      <c r="Q33" s="16">
        <f>IF($A33="","",IF(_xlfn.MAXIFS('TP-b'!$B$2:$B$60,'TP-b'!$A$2:$A$60,"FP",'TP-b'!$E$2:$E$60,1,'TP-b'!$B$2:$B$60,"&lt;="&amp;$A33)&gt;0,_xlfn.MAXIFS('TP-b'!$B$2:$B$60,'TP-b'!$A$2:$A$60,"FP",'TP-b'!$E$2:$E$60,1,'TP-b'!$B$2:$B$60,"&lt;="&amp;$A33),IF(_xlfn.MINIFS('TP-b'!$B$2:$B$60,'TP-b'!$A$2:$A$60,"FP",'TP-b'!$E$2:$E$60,1)&gt;0,_xlfn.MINIFS('TP-b'!$B$2:$B$60,'TP-b'!$A$2:$A$60,"FP",'TP-b'!$E$2:$E$60,1),"")))</f>
        <v/>
      </c>
      <c r="R33" s="10">
        <f>IF(Q33="","",AVERAGEIFS('TP-b'!$C$2:$C$60,'TP-b'!$A$2:$A$60,"FP",'TP-b'!$B$2:$B$60,Q33,'TP-b'!$E$2:$E$60,1))</f>
        <v/>
      </c>
      <c r="S33" s="10">
        <f>IF(Q33="","",AVERAGEIFS('TP-b'!$D$2:$D$60,'TP-b'!$A$2:$A$60,"FP",'TP-b'!$B$2:$B$60,Q33,'TP-b'!$E$2:$E$60,1))</f>
        <v/>
      </c>
      <c r="T33" s="10">
        <f>IF(OR($A33="",NOT(ISNUMBER($E33)),R33=""),"",ROUND($E33-R33+S33,1))</f>
        <v/>
      </c>
      <c r="U33" s="10">
        <f>IF(AND($F33="Yes",ISNUMBER($G33),R33&lt;&gt;""),ROUND($G33-R33+S33,1),"")</f>
        <v/>
      </c>
      <c r="V33" s="10">
        <f>IF(AND($F33="Yes",ISNUMBER($H33),R33&lt;&gt;""),ROUND($H33-R33+S33,1),"")</f>
        <v/>
      </c>
      <c r="W33" s="10">
        <f>IF(AND(ISNUMBER($E33),ISNUMBER(U33),ISNUMBER(V33)),ROUND((V33-MAX(U33,0))*10,1),"")</f>
        <v/>
      </c>
      <c r="X33" s="10">
        <f>IF(T33="","",IF(AND($F33="Yes",ISNUMBER(V33)),V33,T33))</f>
        <v/>
      </c>
      <c r="Y33" s="10">
        <f>IF(T33="","",ROUND(SUMIFS($W$3:$W$252,$A$3:$A$252,"&lt;="&amp;$A33),1))</f>
        <v/>
      </c>
      <c r="Z33" s="10">
        <f>IF(OR(T33="",$A33=""),"",IF(ISNUMBER(IFERROR(INDEX($X$3:$X$252,MATCH($A33-1,$A$3:$A$252,0)),"")),ROUND((INDEX($X$3:$X$252,MATCH($A33-1,$A$3:$A$252,0))-T33)*10,1),""))</f>
        <v/>
      </c>
      <c r="AA33" s="10">
        <f>IF(ISNUMBER(T33),1,0)</f>
        <v/>
      </c>
      <c r="AB33" s="16">
        <f>IF($A33="","",IF(_xlfn.MAXIFS('TP-b'!$B$2:$B$60,'TP-b'!$A$2:$A$60,"3F4D+MD",'TP-b'!$E$2:$E$60,1,'TP-b'!$B$2:$B$60,"&lt;="&amp;$A33)&gt;0,_xlfn.MAXIFS('TP-b'!$B$2:$B$60,'TP-b'!$A$2:$A$60,"3F4D+MD",'TP-b'!$E$2:$E$60,1,'TP-b'!$B$2:$B$60,"&lt;="&amp;$A33),IF(_xlfn.MINIFS('TP-b'!$B$2:$B$60,'TP-b'!$A$2:$A$60,"3F4D+MD",'TP-b'!$E$2:$E$60,1)&gt;0,_xlfn.MINIFS('TP-b'!$B$2:$B$60,'TP-b'!$A$2:$A$60,"3F4D+MD",'TP-b'!$E$2:$E$60,1),"")))</f>
        <v/>
      </c>
      <c r="AC33" s="10">
        <f>IF(AB33="","",AVERAGEIFS('TP-b'!$C$2:$C$60,'TP-b'!$A$2:$A$60,"3F4D+MD",'TP-b'!$B$2:$B$60,AB33,'TP-b'!$E$2:$E$60,1))</f>
        <v/>
      </c>
      <c r="AD33" s="10">
        <f>IF(AB33="","",AVERAGEIFS('TP-b'!$D$2:$D$60,'TP-b'!$A$2:$A$60,"3F4D+MD",'TP-b'!$B$2:$B$60,AB33,'TP-b'!$E$2:$E$60,1))</f>
        <v/>
      </c>
      <c r="AE33" s="10">
        <f>IF(OR($A33="",NOT(ISNUMBER($J33)),AC33=""),"",ROUND($J33-AC33+AD33,1))</f>
        <v/>
      </c>
      <c r="AF33" s="10">
        <f>IF(AND($K33="Yes",ISNUMBER($L33),AC33&lt;&gt;""),ROUND($L33-AC33+AD33,1),"")</f>
        <v/>
      </c>
      <c r="AG33" s="10">
        <f>IF(AND($K33="Yes",ISNUMBER($M33),AC33&lt;&gt;""),ROUND($M33-AC33+AD33,1),"")</f>
        <v/>
      </c>
      <c r="AH33" s="10">
        <f>IF(AND(ISNUMBER($J33),ISNUMBER(AF33),ISNUMBER(AG33)),ROUND((AG33-MAX(AF33,0))*10,1),"")</f>
        <v/>
      </c>
      <c r="AI33" s="10">
        <f>IF(AE33="","",IF(AND($K33="Yes",ISNUMBER(AG33)),AG33,AE33))</f>
        <v/>
      </c>
      <c r="AJ33" s="10">
        <f>IF(AE33="","",ROUND(SUMIFS($AH$3:$AH$252,$A$3:$A$252,"&lt;="&amp;$A33),1))</f>
        <v/>
      </c>
      <c r="AK33" s="10">
        <f>IF(OR(AE33="",$A33=""),"",IF(ISNUMBER(IFERROR(INDEX($AI$3:$AI$252,MATCH($A33-1,$A$3:$A$252,0)),"")),ROUND((INDEX($AI$3:$AI$252,MATCH($A33-1,$A$3:$A$252,0))-AE33)*10,1),""))</f>
        <v/>
      </c>
      <c r="AL33" s="10">
        <f>IF(ISNUMBER(AE33),1,0)</f>
        <v/>
      </c>
      <c r="AM33" s="17">
        <f>IF($A33="","",IF(COUNTIF($A$3:$A$252,$A33)&gt;1,"same date twice; ","")&amp;IF(AND(ISNUMBER($B33),OR($B33&lt;0,$B33&gt;300)),"rain out of range; ","")&amp;IF(AND(ISNUMBER($C33),OR($C33&lt;0,$C33&gt;45)),"temp out of range; ","")&amp;IF(AND(ISNUMBER($D33),OR($D33&lt;0,$D33&gt;100)),"RH out of range; ",""))</f>
        <v/>
      </c>
      <c r="AN33" s="17">
        <f>IF($A33="","",IF(AND(ISNUMBER(T33),OR(T33&lt;-30,T33&gt;20)),"WL out of range; ","")&amp;IF(AND(ISNUMBER($E33),T33=""),"no TP/b; ","")&amp;IF(AND(ISNUMBER(U33),ISNUMBER(V33)),IF(V33&lt;U33,"After&lt;Before; ",""),"")&amp;IF(AND($F33="Yes",ISNUMBER($E33),W33=""),"irrigation readings missing; ","")&amp;IF(ISNUMBER(Z33),IF(AND(ABS(Z33)&gt;50,NOT(N($B33)&gt;0)),"WL jump &gt;5 cm; ",""),""))</f>
        <v/>
      </c>
      <c r="AO33" s="17">
        <f>IF($A33="","",IF(AND(ISNUMBER(AE33),OR(AE33&lt;-30,AE33&gt;20)),"WL out of range; ","")&amp;IF(AND(ISNUMBER($J33),AE33=""),"no TP/b; ","")&amp;IF(AND(ISNUMBER(AF33),ISNUMBER(AG33)),IF(AG33&lt;AF33,"After&lt;Before; ",""),"")&amp;IF(AND($K33="Yes",ISNUMBER($J33),AH33=""),"irrigation readings missing; ","")&amp;IF(ISNUMBER(AK33),IF(AND(ABS(AK33)&gt;50,NOT(N($B33)&gt;0)),"WL jump &gt;5 cm; ",""),"")&amp;IF(AND(ISNUMBER(PitanE),ISNUMBER(AB33),$A33&gt;PitanE+2,AB33&lt;PitanE),"re-measure TP/b after Pitan; ",""))</f>
        <v/>
      </c>
    </row>
    <row r="34">
      <c r="A34" s="14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0">
        <f>IF(OR($A34="",NOT(ISNUMBER(TransDate))),"",$A34-TransDate)</f>
        <v/>
      </c>
      <c r="Q34" s="16">
        <f>IF($A34="","",IF(_xlfn.MAXIFS('TP-b'!$B$2:$B$60,'TP-b'!$A$2:$A$60,"FP",'TP-b'!$E$2:$E$60,1,'TP-b'!$B$2:$B$60,"&lt;="&amp;$A34)&gt;0,_xlfn.MAXIFS('TP-b'!$B$2:$B$60,'TP-b'!$A$2:$A$60,"FP",'TP-b'!$E$2:$E$60,1,'TP-b'!$B$2:$B$60,"&lt;="&amp;$A34),IF(_xlfn.MINIFS('TP-b'!$B$2:$B$60,'TP-b'!$A$2:$A$60,"FP",'TP-b'!$E$2:$E$60,1)&gt;0,_xlfn.MINIFS('TP-b'!$B$2:$B$60,'TP-b'!$A$2:$A$60,"FP",'TP-b'!$E$2:$E$60,1),"")))</f>
        <v/>
      </c>
      <c r="R34" s="10">
        <f>IF(Q34="","",AVERAGEIFS('TP-b'!$C$2:$C$60,'TP-b'!$A$2:$A$60,"FP",'TP-b'!$B$2:$B$60,Q34,'TP-b'!$E$2:$E$60,1))</f>
        <v/>
      </c>
      <c r="S34" s="10">
        <f>IF(Q34="","",AVERAGEIFS('TP-b'!$D$2:$D$60,'TP-b'!$A$2:$A$60,"FP",'TP-b'!$B$2:$B$60,Q34,'TP-b'!$E$2:$E$60,1))</f>
        <v/>
      </c>
      <c r="T34" s="10">
        <f>IF(OR($A34="",NOT(ISNUMBER($E34)),R34=""),"",ROUND($E34-R34+S34,1))</f>
        <v/>
      </c>
      <c r="U34" s="10">
        <f>IF(AND($F34="Yes",ISNUMBER($G34),R34&lt;&gt;""),ROUND($G34-R34+S34,1),"")</f>
        <v/>
      </c>
      <c r="V34" s="10">
        <f>IF(AND($F34="Yes",ISNUMBER($H34),R34&lt;&gt;""),ROUND($H34-R34+S34,1),"")</f>
        <v/>
      </c>
      <c r="W34" s="10">
        <f>IF(AND(ISNUMBER($E34),ISNUMBER(U34),ISNUMBER(V34)),ROUND((V34-MAX(U34,0))*10,1),"")</f>
        <v/>
      </c>
      <c r="X34" s="10">
        <f>IF(T34="","",IF(AND($F34="Yes",ISNUMBER(V34)),V34,T34))</f>
        <v/>
      </c>
      <c r="Y34" s="10">
        <f>IF(T34="","",ROUND(SUMIFS($W$3:$W$252,$A$3:$A$252,"&lt;="&amp;$A34),1))</f>
        <v/>
      </c>
      <c r="Z34" s="10">
        <f>IF(OR(T34="",$A34=""),"",IF(ISNUMBER(IFERROR(INDEX($X$3:$X$252,MATCH($A34-1,$A$3:$A$252,0)),"")),ROUND((INDEX($X$3:$X$252,MATCH($A34-1,$A$3:$A$252,0))-T34)*10,1),""))</f>
        <v/>
      </c>
      <c r="AA34" s="10">
        <f>IF(ISNUMBER(T34),1,0)</f>
        <v/>
      </c>
      <c r="AB34" s="16">
        <f>IF($A34="","",IF(_xlfn.MAXIFS('TP-b'!$B$2:$B$60,'TP-b'!$A$2:$A$60,"3F4D+MD",'TP-b'!$E$2:$E$60,1,'TP-b'!$B$2:$B$60,"&lt;="&amp;$A34)&gt;0,_xlfn.MAXIFS('TP-b'!$B$2:$B$60,'TP-b'!$A$2:$A$60,"3F4D+MD",'TP-b'!$E$2:$E$60,1,'TP-b'!$B$2:$B$60,"&lt;="&amp;$A34),IF(_xlfn.MINIFS('TP-b'!$B$2:$B$60,'TP-b'!$A$2:$A$60,"3F4D+MD",'TP-b'!$E$2:$E$60,1)&gt;0,_xlfn.MINIFS('TP-b'!$B$2:$B$60,'TP-b'!$A$2:$A$60,"3F4D+MD",'TP-b'!$E$2:$E$60,1),"")))</f>
        <v/>
      </c>
      <c r="AC34" s="10">
        <f>IF(AB34="","",AVERAGEIFS('TP-b'!$C$2:$C$60,'TP-b'!$A$2:$A$60,"3F4D+MD",'TP-b'!$B$2:$B$60,AB34,'TP-b'!$E$2:$E$60,1))</f>
        <v/>
      </c>
      <c r="AD34" s="10">
        <f>IF(AB34="","",AVERAGEIFS('TP-b'!$D$2:$D$60,'TP-b'!$A$2:$A$60,"3F4D+MD",'TP-b'!$B$2:$B$60,AB34,'TP-b'!$E$2:$E$60,1))</f>
        <v/>
      </c>
      <c r="AE34" s="10">
        <f>IF(OR($A34="",NOT(ISNUMBER($J34)),AC34=""),"",ROUND($J34-AC34+AD34,1))</f>
        <v/>
      </c>
      <c r="AF34" s="10">
        <f>IF(AND($K34="Yes",ISNUMBER($L34),AC34&lt;&gt;""),ROUND($L34-AC34+AD34,1),"")</f>
        <v/>
      </c>
      <c r="AG34" s="10">
        <f>IF(AND($K34="Yes",ISNUMBER($M34),AC34&lt;&gt;""),ROUND($M34-AC34+AD34,1),"")</f>
        <v/>
      </c>
      <c r="AH34" s="10">
        <f>IF(AND(ISNUMBER($J34),ISNUMBER(AF34),ISNUMBER(AG34)),ROUND((AG34-MAX(AF34,0))*10,1),"")</f>
        <v/>
      </c>
      <c r="AI34" s="10">
        <f>IF(AE34="","",IF(AND($K34="Yes",ISNUMBER(AG34)),AG34,AE34))</f>
        <v/>
      </c>
      <c r="AJ34" s="10">
        <f>IF(AE34="","",ROUND(SUMIFS($AH$3:$AH$252,$A$3:$A$252,"&lt;="&amp;$A34),1))</f>
        <v/>
      </c>
      <c r="AK34" s="10">
        <f>IF(OR(AE34="",$A34=""),"",IF(ISNUMBER(IFERROR(INDEX($AI$3:$AI$252,MATCH($A34-1,$A$3:$A$252,0)),"")),ROUND((INDEX($AI$3:$AI$252,MATCH($A34-1,$A$3:$A$252,0))-AE34)*10,1),""))</f>
        <v/>
      </c>
      <c r="AL34" s="10">
        <f>IF(ISNUMBER(AE34),1,0)</f>
        <v/>
      </c>
      <c r="AM34" s="17">
        <f>IF($A34="","",IF(COUNTIF($A$3:$A$252,$A34)&gt;1,"same date twice; ","")&amp;IF(AND(ISNUMBER($B34),OR($B34&lt;0,$B34&gt;300)),"rain out of range; ","")&amp;IF(AND(ISNUMBER($C34),OR($C34&lt;0,$C34&gt;45)),"temp out of range; ","")&amp;IF(AND(ISNUMBER($D34),OR($D34&lt;0,$D34&gt;100)),"RH out of range; ",""))</f>
        <v/>
      </c>
      <c r="AN34" s="17">
        <f>IF($A34="","",IF(AND(ISNUMBER(T34),OR(T34&lt;-30,T34&gt;20)),"WL out of range; ","")&amp;IF(AND(ISNUMBER($E34),T34=""),"no TP/b; ","")&amp;IF(AND(ISNUMBER(U34),ISNUMBER(V34)),IF(V34&lt;U34,"After&lt;Before; ",""),"")&amp;IF(AND($F34="Yes",ISNUMBER($E34),W34=""),"irrigation readings missing; ","")&amp;IF(ISNUMBER(Z34),IF(AND(ABS(Z34)&gt;50,NOT(N($B34)&gt;0)),"WL jump &gt;5 cm; ",""),""))</f>
        <v/>
      </c>
      <c r="AO34" s="17">
        <f>IF($A34="","",IF(AND(ISNUMBER(AE34),OR(AE34&lt;-30,AE34&gt;20)),"WL out of range; ","")&amp;IF(AND(ISNUMBER($J34),AE34=""),"no TP/b; ","")&amp;IF(AND(ISNUMBER(AF34),ISNUMBER(AG34)),IF(AG34&lt;AF34,"After&lt;Before; ",""),"")&amp;IF(AND($K34="Yes",ISNUMBER($J34),AH34=""),"irrigation readings missing; ","")&amp;IF(ISNUMBER(AK34),IF(AND(ABS(AK34)&gt;50,NOT(N($B34)&gt;0)),"WL jump &gt;5 cm; ",""),"")&amp;IF(AND(ISNUMBER(PitanE),ISNUMBER(AB34),$A34&gt;PitanE+2,AB34&lt;PitanE),"re-measure TP/b after Pitan; ",""))</f>
        <v/>
      </c>
    </row>
    <row r="35">
      <c r="A35" s="14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0">
        <f>IF(OR($A35="",NOT(ISNUMBER(TransDate))),"",$A35-TransDate)</f>
        <v/>
      </c>
      <c r="Q35" s="16">
        <f>IF($A35="","",IF(_xlfn.MAXIFS('TP-b'!$B$2:$B$60,'TP-b'!$A$2:$A$60,"FP",'TP-b'!$E$2:$E$60,1,'TP-b'!$B$2:$B$60,"&lt;="&amp;$A35)&gt;0,_xlfn.MAXIFS('TP-b'!$B$2:$B$60,'TP-b'!$A$2:$A$60,"FP",'TP-b'!$E$2:$E$60,1,'TP-b'!$B$2:$B$60,"&lt;="&amp;$A35),IF(_xlfn.MINIFS('TP-b'!$B$2:$B$60,'TP-b'!$A$2:$A$60,"FP",'TP-b'!$E$2:$E$60,1)&gt;0,_xlfn.MINIFS('TP-b'!$B$2:$B$60,'TP-b'!$A$2:$A$60,"FP",'TP-b'!$E$2:$E$60,1),"")))</f>
        <v/>
      </c>
      <c r="R35" s="10">
        <f>IF(Q35="","",AVERAGEIFS('TP-b'!$C$2:$C$60,'TP-b'!$A$2:$A$60,"FP",'TP-b'!$B$2:$B$60,Q35,'TP-b'!$E$2:$E$60,1))</f>
        <v/>
      </c>
      <c r="S35" s="10">
        <f>IF(Q35="","",AVERAGEIFS('TP-b'!$D$2:$D$60,'TP-b'!$A$2:$A$60,"FP",'TP-b'!$B$2:$B$60,Q35,'TP-b'!$E$2:$E$60,1))</f>
        <v/>
      </c>
      <c r="T35" s="10">
        <f>IF(OR($A35="",NOT(ISNUMBER($E35)),R35=""),"",ROUND($E35-R35+S35,1))</f>
        <v/>
      </c>
      <c r="U35" s="10">
        <f>IF(AND($F35="Yes",ISNUMBER($G35),R35&lt;&gt;""),ROUND($G35-R35+S35,1),"")</f>
        <v/>
      </c>
      <c r="V35" s="10">
        <f>IF(AND($F35="Yes",ISNUMBER($H35),R35&lt;&gt;""),ROUND($H35-R35+S35,1),"")</f>
        <v/>
      </c>
      <c r="W35" s="10">
        <f>IF(AND(ISNUMBER($E35),ISNUMBER(U35),ISNUMBER(V35)),ROUND((V35-MAX(U35,0))*10,1),"")</f>
        <v/>
      </c>
      <c r="X35" s="10">
        <f>IF(T35="","",IF(AND($F35="Yes",ISNUMBER(V35)),V35,T35))</f>
        <v/>
      </c>
      <c r="Y35" s="10">
        <f>IF(T35="","",ROUND(SUMIFS($W$3:$W$252,$A$3:$A$252,"&lt;="&amp;$A35),1))</f>
        <v/>
      </c>
      <c r="Z35" s="10">
        <f>IF(OR(T35="",$A35=""),"",IF(ISNUMBER(IFERROR(INDEX($X$3:$X$252,MATCH($A35-1,$A$3:$A$252,0)),"")),ROUND((INDEX($X$3:$X$252,MATCH($A35-1,$A$3:$A$252,0))-T35)*10,1),""))</f>
        <v/>
      </c>
      <c r="AA35" s="10">
        <f>IF(ISNUMBER(T35),1,0)</f>
        <v/>
      </c>
      <c r="AB35" s="16">
        <f>IF($A35="","",IF(_xlfn.MAXIFS('TP-b'!$B$2:$B$60,'TP-b'!$A$2:$A$60,"3F4D+MD",'TP-b'!$E$2:$E$60,1,'TP-b'!$B$2:$B$60,"&lt;="&amp;$A35)&gt;0,_xlfn.MAXIFS('TP-b'!$B$2:$B$60,'TP-b'!$A$2:$A$60,"3F4D+MD",'TP-b'!$E$2:$E$60,1,'TP-b'!$B$2:$B$60,"&lt;="&amp;$A35),IF(_xlfn.MINIFS('TP-b'!$B$2:$B$60,'TP-b'!$A$2:$A$60,"3F4D+MD",'TP-b'!$E$2:$E$60,1)&gt;0,_xlfn.MINIFS('TP-b'!$B$2:$B$60,'TP-b'!$A$2:$A$60,"3F4D+MD",'TP-b'!$E$2:$E$60,1),"")))</f>
        <v/>
      </c>
      <c r="AC35" s="10">
        <f>IF(AB35="","",AVERAGEIFS('TP-b'!$C$2:$C$60,'TP-b'!$A$2:$A$60,"3F4D+MD",'TP-b'!$B$2:$B$60,AB35,'TP-b'!$E$2:$E$60,1))</f>
        <v/>
      </c>
      <c r="AD35" s="10">
        <f>IF(AB35="","",AVERAGEIFS('TP-b'!$D$2:$D$60,'TP-b'!$A$2:$A$60,"3F4D+MD",'TP-b'!$B$2:$B$60,AB35,'TP-b'!$E$2:$E$60,1))</f>
        <v/>
      </c>
      <c r="AE35" s="10">
        <f>IF(OR($A35="",NOT(ISNUMBER($J35)),AC35=""),"",ROUND($J35-AC35+AD35,1))</f>
        <v/>
      </c>
      <c r="AF35" s="10">
        <f>IF(AND($K35="Yes",ISNUMBER($L35),AC35&lt;&gt;""),ROUND($L35-AC35+AD35,1),"")</f>
        <v/>
      </c>
      <c r="AG35" s="10">
        <f>IF(AND($K35="Yes",ISNUMBER($M35),AC35&lt;&gt;""),ROUND($M35-AC35+AD35,1),"")</f>
        <v/>
      </c>
      <c r="AH35" s="10">
        <f>IF(AND(ISNUMBER($J35),ISNUMBER(AF35),ISNUMBER(AG35)),ROUND((AG35-MAX(AF35,0))*10,1),"")</f>
        <v/>
      </c>
      <c r="AI35" s="10">
        <f>IF(AE35="","",IF(AND($K35="Yes",ISNUMBER(AG35)),AG35,AE35))</f>
        <v/>
      </c>
      <c r="AJ35" s="10">
        <f>IF(AE35="","",ROUND(SUMIFS($AH$3:$AH$252,$A$3:$A$252,"&lt;="&amp;$A35),1))</f>
        <v/>
      </c>
      <c r="AK35" s="10">
        <f>IF(OR(AE35="",$A35=""),"",IF(ISNUMBER(IFERROR(INDEX($AI$3:$AI$252,MATCH($A35-1,$A$3:$A$252,0)),"")),ROUND((INDEX($AI$3:$AI$252,MATCH($A35-1,$A$3:$A$252,0))-AE35)*10,1),""))</f>
        <v/>
      </c>
      <c r="AL35" s="10">
        <f>IF(ISNUMBER(AE35),1,0)</f>
        <v/>
      </c>
      <c r="AM35" s="17">
        <f>IF($A35="","",IF(COUNTIF($A$3:$A$252,$A35)&gt;1,"same date twice; ","")&amp;IF(AND(ISNUMBER($B35),OR($B35&lt;0,$B35&gt;300)),"rain out of range; ","")&amp;IF(AND(ISNUMBER($C35),OR($C35&lt;0,$C35&gt;45)),"temp out of range; ","")&amp;IF(AND(ISNUMBER($D35),OR($D35&lt;0,$D35&gt;100)),"RH out of range; ",""))</f>
        <v/>
      </c>
      <c r="AN35" s="17">
        <f>IF($A35="","",IF(AND(ISNUMBER(T35),OR(T35&lt;-30,T35&gt;20)),"WL out of range; ","")&amp;IF(AND(ISNUMBER($E35),T35=""),"no TP/b; ","")&amp;IF(AND(ISNUMBER(U35),ISNUMBER(V35)),IF(V35&lt;U35,"After&lt;Before; ",""),"")&amp;IF(AND($F35="Yes",ISNUMBER($E35),W35=""),"irrigation readings missing; ","")&amp;IF(ISNUMBER(Z35),IF(AND(ABS(Z35)&gt;50,NOT(N($B35)&gt;0)),"WL jump &gt;5 cm; ",""),""))</f>
        <v/>
      </c>
      <c r="AO35" s="17">
        <f>IF($A35="","",IF(AND(ISNUMBER(AE35),OR(AE35&lt;-30,AE35&gt;20)),"WL out of range; ","")&amp;IF(AND(ISNUMBER($J35),AE35=""),"no TP/b; ","")&amp;IF(AND(ISNUMBER(AF35),ISNUMBER(AG35)),IF(AG35&lt;AF35,"After&lt;Before; ",""),"")&amp;IF(AND($K35="Yes",ISNUMBER($J35),AH35=""),"irrigation readings missing; ","")&amp;IF(ISNUMBER(AK35),IF(AND(ABS(AK35)&gt;50,NOT(N($B35)&gt;0)),"WL jump &gt;5 cm; ",""),"")&amp;IF(AND(ISNUMBER(PitanE),ISNUMBER(AB35),$A35&gt;PitanE+2,AB35&lt;PitanE),"re-measure TP/b after Pitan; ",""))</f>
        <v/>
      </c>
    </row>
    <row r="36">
      <c r="A36" s="14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0">
        <f>IF(OR($A36="",NOT(ISNUMBER(TransDate))),"",$A36-TransDate)</f>
        <v/>
      </c>
      <c r="Q36" s="16">
        <f>IF($A36="","",IF(_xlfn.MAXIFS('TP-b'!$B$2:$B$60,'TP-b'!$A$2:$A$60,"FP",'TP-b'!$E$2:$E$60,1,'TP-b'!$B$2:$B$60,"&lt;="&amp;$A36)&gt;0,_xlfn.MAXIFS('TP-b'!$B$2:$B$60,'TP-b'!$A$2:$A$60,"FP",'TP-b'!$E$2:$E$60,1,'TP-b'!$B$2:$B$60,"&lt;="&amp;$A36),IF(_xlfn.MINIFS('TP-b'!$B$2:$B$60,'TP-b'!$A$2:$A$60,"FP",'TP-b'!$E$2:$E$60,1)&gt;0,_xlfn.MINIFS('TP-b'!$B$2:$B$60,'TP-b'!$A$2:$A$60,"FP",'TP-b'!$E$2:$E$60,1),"")))</f>
        <v/>
      </c>
      <c r="R36" s="10">
        <f>IF(Q36="","",AVERAGEIFS('TP-b'!$C$2:$C$60,'TP-b'!$A$2:$A$60,"FP",'TP-b'!$B$2:$B$60,Q36,'TP-b'!$E$2:$E$60,1))</f>
        <v/>
      </c>
      <c r="S36" s="10">
        <f>IF(Q36="","",AVERAGEIFS('TP-b'!$D$2:$D$60,'TP-b'!$A$2:$A$60,"FP",'TP-b'!$B$2:$B$60,Q36,'TP-b'!$E$2:$E$60,1))</f>
        <v/>
      </c>
      <c r="T36" s="10">
        <f>IF(OR($A36="",NOT(ISNUMBER($E36)),R36=""),"",ROUND($E36-R36+S36,1))</f>
        <v/>
      </c>
      <c r="U36" s="10">
        <f>IF(AND($F36="Yes",ISNUMBER($G36),R36&lt;&gt;""),ROUND($G36-R36+S36,1),"")</f>
        <v/>
      </c>
      <c r="V36" s="10">
        <f>IF(AND($F36="Yes",ISNUMBER($H36),R36&lt;&gt;""),ROUND($H36-R36+S36,1),"")</f>
        <v/>
      </c>
      <c r="W36" s="10">
        <f>IF(AND(ISNUMBER($E36),ISNUMBER(U36),ISNUMBER(V36)),ROUND((V36-MAX(U36,0))*10,1),"")</f>
        <v/>
      </c>
      <c r="X36" s="10">
        <f>IF(T36="","",IF(AND($F36="Yes",ISNUMBER(V36)),V36,T36))</f>
        <v/>
      </c>
      <c r="Y36" s="10">
        <f>IF(T36="","",ROUND(SUMIFS($W$3:$W$252,$A$3:$A$252,"&lt;="&amp;$A36),1))</f>
        <v/>
      </c>
      <c r="Z36" s="10">
        <f>IF(OR(T36="",$A36=""),"",IF(ISNUMBER(IFERROR(INDEX($X$3:$X$252,MATCH($A36-1,$A$3:$A$252,0)),"")),ROUND((INDEX($X$3:$X$252,MATCH($A36-1,$A$3:$A$252,0))-T36)*10,1),""))</f>
        <v/>
      </c>
      <c r="AA36" s="10">
        <f>IF(ISNUMBER(T36),1,0)</f>
        <v/>
      </c>
      <c r="AB36" s="16">
        <f>IF($A36="","",IF(_xlfn.MAXIFS('TP-b'!$B$2:$B$60,'TP-b'!$A$2:$A$60,"3F4D+MD",'TP-b'!$E$2:$E$60,1,'TP-b'!$B$2:$B$60,"&lt;="&amp;$A36)&gt;0,_xlfn.MAXIFS('TP-b'!$B$2:$B$60,'TP-b'!$A$2:$A$60,"3F4D+MD",'TP-b'!$E$2:$E$60,1,'TP-b'!$B$2:$B$60,"&lt;="&amp;$A36),IF(_xlfn.MINIFS('TP-b'!$B$2:$B$60,'TP-b'!$A$2:$A$60,"3F4D+MD",'TP-b'!$E$2:$E$60,1)&gt;0,_xlfn.MINIFS('TP-b'!$B$2:$B$60,'TP-b'!$A$2:$A$60,"3F4D+MD",'TP-b'!$E$2:$E$60,1),"")))</f>
        <v/>
      </c>
      <c r="AC36" s="10">
        <f>IF(AB36="","",AVERAGEIFS('TP-b'!$C$2:$C$60,'TP-b'!$A$2:$A$60,"3F4D+MD",'TP-b'!$B$2:$B$60,AB36,'TP-b'!$E$2:$E$60,1))</f>
        <v/>
      </c>
      <c r="AD36" s="10">
        <f>IF(AB36="","",AVERAGEIFS('TP-b'!$D$2:$D$60,'TP-b'!$A$2:$A$60,"3F4D+MD",'TP-b'!$B$2:$B$60,AB36,'TP-b'!$E$2:$E$60,1))</f>
        <v/>
      </c>
      <c r="AE36" s="10">
        <f>IF(OR($A36="",NOT(ISNUMBER($J36)),AC36=""),"",ROUND($J36-AC36+AD36,1))</f>
        <v/>
      </c>
      <c r="AF36" s="10">
        <f>IF(AND($K36="Yes",ISNUMBER($L36),AC36&lt;&gt;""),ROUND($L36-AC36+AD36,1),"")</f>
        <v/>
      </c>
      <c r="AG36" s="10">
        <f>IF(AND($K36="Yes",ISNUMBER($M36),AC36&lt;&gt;""),ROUND($M36-AC36+AD36,1),"")</f>
        <v/>
      </c>
      <c r="AH36" s="10">
        <f>IF(AND(ISNUMBER($J36),ISNUMBER(AF36),ISNUMBER(AG36)),ROUND((AG36-MAX(AF36,0))*10,1),"")</f>
        <v/>
      </c>
      <c r="AI36" s="10">
        <f>IF(AE36="","",IF(AND($K36="Yes",ISNUMBER(AG36)),AG36,AE36))</f>
        <v/>
      </c>
      <c r="AJ36" s="10">
        <f>IF(AE36="","",ROUND(SUMIFS($AH$3:$AH$252,$A$3:$A$252,"&lt;="&amp;$A36),1))</f>
        <v/>
      </c>
      <c r="AK36" s="10">
        <f>IF(OR(AE36="",$A36=""),"",IF(ISNUMBER(IFERROR(INDEX($AI$3:$AI$252,MATCH($A36-1,$A$3:$A$252,0)),"")),ROUND((INDEX($AI$3:$AI$252,MATCH($A36-1,$A$3:$A$252,0))-AE36)*10,1),""))</f>
        <v/>
      </c>
      <c r="AL36" s="10">
        <f>IF(ISNUMBER(AE36),1,0)</f>
        <v/>
      </c>
      <c r="AM36" s="17">
        <f>IF($A36="","",IF(COUNTIF($A$3:$A$252,$A36)&gt;1,"same date twice; ","")&amp;IF(AND(ISNUMBER($B36),OR($B36&lt;0,$B36&gt;300)),"rain out of range; ","")&amp;IF(AND(ISNUMBER($C36),OR($C36&lt;0,$C36&gt;45)),"temp out of range; ","")&amp;IF(AND(ISNUMBER($D36),OR($D36&lt;0,$D36&gt;100)),"RH out of range; ",""))</f>
        <v/>
      </c>
      <c r="AN36" s="17">
        <f>IF($A36="","",IF(AND(ISNUMBER(T36),OR(T36&lt;-30,T36&gt;20)),"WL out of range; ","")&amp;IF(AND(ISNUMBER($E36),T36=""),"no TP/b; ","")&amp;IF(AND(ISNUMBER(U36),ISNUMBER(V36)),IF(V36&lt;U36,"After&lt;Before; ",""),"")&amp;IF(AND($F36="Yes",ISNUMBER($E36),W36=""),"irrigation readings missing; ","")&amp;IF(ISNUMBER(Z36),IF(AND(ABS(Z36)&gt;50,NOT(N($B36)&gt;0)),"WL jump &gt;5 cm; ",""),""))</f>
        <v/>
      </c>
      <c r="AO36" s="17">
        <f>IF($A36="","",IF(AND(ISNUMBER(AE36),OR(AE36&lt;-30,AE36&gt;20)),"WL out of range; ","")&amp;IF(AND(ISNUMBER($J36),AE36=""),"no TP/b; ","")&amp;IF(AND(ISNUMBER(AF36),ISNUMBER(AG36)),IF(AG36&lt;AF36,"After&lt;Before; ",""),"")&amp;IF(AND($K36="Yes",ISNUMBER($J36),AH36=""),"irrigation readings missing; ","")&amp;IF(ISNUMBER(AK36),IF(AND(ABS(AK36)&gt;50,NOT(N($B36)&gt;0)),"WL jump &gt;5 cm; ",""),"")&amp;IF(AND(ISNUMBER(PitanE),ISNUMBER(AB36),$A36&gt;PitanE+2,AB36&lt;PitanE),"re-measure TP/b after Pitan; ",""))</f>
        <v/>
      </c>
    </row>
    <row r="37">
      <c r="A37" s="14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0">
        <f>IF(OR($A37="",NOT(ISNUMBER(TransDate))),"",$A37-TransDate)</f>
        <v/>
      </c>
      <c r="Q37" s="16">
        <f>IF($A37="","",IF(_xlfn.MAXIFS('TP-b'!$B$2:$B$60,'TP-b'!$A$2:$A$60,"FP",'TP-b'!$E$2:$E$60,1,'TP-b'!$B$2:$B$60,"&lt;="&amp;$A37)&gt;0,_xlfn.MAXIFS('TP-b'!$B$2:$B$60,'TP-b'!$A$2:$A$60,"FP",'TP-b'!$E$2:$E$60,1,'TP-b'!$B$2:$B$60,"&lt;="&amp;$A37),IF(_xlfn.MINIFS('TP-b'!$B$2:$B$60,'TP-b'!$A$2:$A$60,"FP",'TP-b'!$E$2:$E$60,1)&gt;0,_xlfn.MINIFS('TP-b'!$B$2:$B$60,'TP-b'!$A$2:$A$60,"FP",'TP-b'!$E$2:$E$60,1),"")))</f>
        <v/>
      </c>
      <c r="R37" s="10">
        <f>IF(Q37="","",AVERAGEIFS('TP-b'!$C$2:$C$60,'TP-b'!$A$2:$A$60,"FP",'TP-b'!$B$2:$B$60,Q37,'TP-b'!$E$2:$E$60,1))</f>
        <v/>
      </c>
      <c r="S37" s="10">
        <f>IF(Q37="","",AVERAGEIFS('TP-b'!$D$2:$D$60,'TP-b'!$A$2:$A$60,"FP",'TP-b'!$B$2:$B$60,Q37,'TP-b'!$E$2:$E$60,1))</f>
        <v/>
      </c>
      <c r="T37" s="10">
        <f>IF(OR($A37="",NOT(ISNUMBER($E37)),R37=""),"",ROUND($E37-R37+S37,1))</f>
        <v/>
      </c>
      <c r="U37" s="10">
        <f>IF(AND($F37="Yes",ISNUMBER($G37),R37&lt;&gt;""),ROUND($G37-R37+S37,1),"")</f>
        <v/>
      </c>
      <c r="V37" s="10">
        <f>IF(AND($F37="Yes",ISNUMBER($H37),R37&lt;&gt;""),ROUND($H37-R37+S37,1),"")</f>
        <v/>
      </c>
      <c r="W37" s="10">
        <f>IF(AND(ISNUMBER($E37),ISNUMBER(U37),ISNUMBER(V37)),ROUND((V37-MAX(U37,0))*10,1),"")</f>
        <v/>
      </c>
      <c r="X37" s="10">
        <f>IF(T37="","",IF(AND($F37="Yes",ISNUMBER(V37)),V37,T37))</f>
        <v/>
      </c>
      <c r="Y37" s="10">
        <f>IF(T37="","",ROUND(SUMIFS($W$3:$W$252,$A$3:$A$252,"&lt;="&amp;$A37),1))</f>
        <v/>
      </c>
      <c r="Z37" s="10">
        <f>IF(OR(T37="",$A37=""),"",IF(ISNUMBER(IFERROR(INDEX($X$3:$X$252,MATCH($A37-1,$A$3:$A$252,0)),"")),ROUND((INDEX($X$3:$X$252,MATCH($A37-1,$A$3:$A$252,0))-T37)*10,1),""))</f>
        <v/>
      </c>
      <c r="AA37" s="10">
        <f>IF(ISNUMBER(T37),1,0)</f>
        <v/>
      </c>
      <c r="AB37" s="16">
        <f>IF($A37="","",IF(_xlfn.MAXIFS('TP-b'!$B$2:$B$60,'TP-b'!$A$2:$A$60,"3F4D+MD",'TP-b'!$E$2:$E$60,1,'TP-b'!$B$2:$B$60,"&lt;="&amp;$A37)&gt;0,_xlfn.MAXIFS('TP-b'!$B$2:$B$60,'TP-b'!$A$2:$A$60,"3F4D+MD",'TP-b'!$E$2:$E$60,1,'TP-b'!$B$2:$B$60,"&lt;="&amp;$A37),IF(_xlfn.MINIFS('TP-b'!$B$2:$B$60,'TP-b'!$A$2:$A$60,"3F4D+MD",'TP-b'!$E$2:$E$60,1)&gt;0,_xlfn.MINIFS('TP-b'!$B$2:$B$60,'TP-b'!$A$2:$A$60,"3F4D+MD",'TP-b'!$E$2:$E$60,1),"")))</f>
        <v/>
      </c>
      <c r="AC37" s="10">
        <f>IF(AB37="","",AVERAGEIFS('TP-b'!$C$2:$C$60,'TP-b'!$A$2:$A$60,"3F4D+MD",'TP-b'!$B$2:$B$60,AB37,'TP-b'!$E$2:$E$60,1))</f>
        <v/>
      </c>
      <c r="AD37" s="10">
        <f>IF(AB37="","",AVERAGEIFS('TP-b'!$D$2:$D$60,'TP-b'!$A$2:$A$60,"3F4D+MD",'TP-b'!$B$2:$B$60,AB37,'TP-b'!$E$2:$E$60,1))</f>
        <v/>
      </c>
      <c r="AE37" s="10">
        <f>IF(OR($A37="",NOT(ISNUMBER($J37)),AC37=""),"",ROUND($J37-AC37+AD37,1))</f>
        <v/>
      </c>
      <c r="AF37" s="10">
        <f>IF(AND($K37="Yes",ISNUMBER($L37),AC37&lt;&gt;""),ROUND($L37-AC37+AD37,1),"")</f>
        <v/>
      </c>
      <c r="AG37" s="10">
        <f>IF(AND($K37="Yes",ISNUMBER($M37),AC37&lt;&gt;""),ROUND($M37-AC37+AD37,1),"")</f>
        <v/>
      </c>
      <c r="AH37" s="10">
        <f>IF(AND(ISNUMBER($J37),ISNUMBER(AF37),ISNUMBER(AG37)),ROUND((AG37-MAX(AF37,0))*10,1),"")</f>
        <v/>
      </c>
      <c r="AI37" s="10">
        <f>IF(AE37="","",IF(AND($K37="Yes",ISNUMBER(AG37)),AG37,AE37))</f>
        <v/>
      </c>
      <c r="AJ37" s="10">
        <f>IF(AE37="","",ROUND(SUMIFS($AH$3:$AH$252,$A$3:$A$252,"&lt;="&amp;$A37),1))</f>
        <v/>
      </c>
      <c r="AK37" s="10">
        <f>IF(OR(AE37="",$A37=""),"",IF(ISNUMBER(IFERROR(INDEX($AI$3:$AI$252,MATCH($A37-1,$A$3:$A$252,0)),"")),ROUND((INDEX($AI$3:$AI$252,MATCH($A37-1,$A$3:$A$252,0))-AE37)*10,1),""))</f>
        <v/>
      </c>
      <c r="AL37" s="10">
        <f>IF(ISNUMBER(AE37),1,0)</f>
        <v/>
      </c>
      <c r="AM37" s="17">
        <f>IF($A37="","",IF(COUNTIF($A$3:$A$252,$A37)&gt;1,"same date twice; ","")&amp;IF(AND(ISNUMBER($B37),OR($B37&lt;0,$B37&gt;300)),"rain out of range; ","")&amp;IF(AND(ISNUMBER($C37),OR($C37&lt;0,$C37&gt;45)),"temp out of range; ","")&amp;IF(AND(ISNUMBER($D37),OR($D37&lt;0,$D37&gt;100)),"RH out of range; ",""))</f>
        <v/>
      </c>
      <c r="AN37" s="17">
        <f>IF($A37="","",IF(AND(ISNUMBER(T37),OR(T37&lt;-30,T37&gt;20)),"WL out of range; ","")&amp;IF(AND(ISNUMBER($E37),T37=""),"no TP/b; ","")&amp;IF(AND(ISNUMBER(U37),ISNUMBER(V37)),IF(V37&lt;U37,"After&lt;Before; ",""),"")&amp;IF(AND($F37="Yes",ISNUMBER($E37),W37=""),"irrigation readings missing; ","")&amp;IF(ISNUMBER(Z37),IF(AND(ABS(Z37)&gt;50,NOT(N($B37)&gt;0)),"WL jump &gt;5 cm; ",""),""))</f>
        <v/>
      </c>
      <c r="AO37" s="17">
        <f>IF($A37="","",IF(AND(ISNUMBER(AE37),OR(AE37&lt;-30,AE37&gt;20)),"WL out of range; ","")&amp;IF(AND(ISNUMBER($J37),AE37=""),"no TP/b; ","")&amp;IF(AND(ISNUMBER(AF37),ISNUMBER(AG37)),IF(AG37&lt;AF37,"After&lt;Before; ",""),"")&amp;IF(AND($K37="Yes",ISNUMBER($J37),AH37=""),"irrigation readings missing; ","")&amp;IF(ISNUMBER(AK37),IF(AND(ABS(AK37)&gt;50,NOT(N($B37)&gt;0)),"WL jump &gt;5 cm; ",""),"")&amp;IF(AND(ISNUMBER(PitanE),ISNUMBER(AB37),$A37&gt;PitanE+2,AB37&lt;PitanE),"re-measure TP/b after Pitan; ",""))</f>
        <v/>
      </c>
    </row>
    <row r="38">
      <c r="A38" s="14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0">
        <f>IF(OR($A38="",NOT(ISNUMBER(TransDate))),"",$A38-TransDate)</f>
        <v/>
      </c>
      <c r="Q38" s="16">
        <f>IF($A38="","",IF(_xlfn.MAXIFS('TP-b'!$B$2:$B$60,'TP-b'!$A$2:$A$60,"FP",'TP-b'!$E$2:$E$60,1,'TP-b'!$B$2:$B$60,"&lt;="&amp;$A38)&gt;0,_xlfn.MAXIFS('TP-b'!$B$2:$B$60,'TP-b'!$A$2:$A$60,"FP",'TP-b'!$E$2:$E$60,1,'TP-b'!$B$2:$B$60,"&lt;="&amp;$A38),IF(_xlfn.MINIFS('TP-b'!$B$2:$B$60,'TP-b'!$A$2:$A$60,"FP",'TP-b'!$E$2:$E$60,1)&gt;0,_xlfn.MINIFS('TP-b'!$B$2:$B$60,'TP-b'!$A$2:$A$60,"FP",'TP-b'!$E$2:$E$60,1),"")))</f>
        <v/>
      </c>
      <c r="R38" s="10">
        <f>IF(Q38="","",AVERAGEIFS('TP-b'!$C$2:$C$60,'TP-b'!$A$2:$A$60,"FP",'TP-b'!$B$2:$B$60,Q38,'TP-b'!$E$2:$E$60,1))</f>
        <v/>
      </c>
      <c r="S38" s="10">
        <f>IF(Q38="","",AVERAGEIFS('TP-b'!$D$2:$D$60,'TP-b'!$A$2:$A$60,"FP",'TP-b'!$B$2:$B$60,Q38,'TP-b'!$E$2:$E$60,1))</f>
        <v/>
      </c>
      <c r="T38" s="10">
        <f>IF(OR($A38="",NOT(ISNUMBER($E38)),R38=""),"",ROUND($E38-R38+S38,1))</f>
        <v/>
      </c>
      <c r="U38" s="10">
        <f>IF(AND($F38="Yes",ISNUMBER($G38),R38&lt;&gt;""),ROUND($G38-R38+S38,1),"")</f>
        <v/>
      </c>
      <c r="V38" s="10">
        <f>IF(AND($F38="Yes",ISNUMBER($H38),R38&lt;&gt;""),ROUND($H38-R38+S38,1),"")</f>
        <v/>
      </c>
      <c r="W38" s="10">
        <f>IF(AND(ISNUMBER($E38),ISNUMBER(U38),ISNUMBER(V38)),ROUND((V38-MAX(U38,0))*10,1),"")</f>
        <v/>
      </c>
      <c r="X38" s="10">
        <f>IF(T38="","",IF(AND($F38="Yes",ISNUMBER(V38)),V38,T38))</f>
        <v/>
      </c>
      <c r="Y38" s="10">
        <f>IF(T38="","",ROUND(SUMIFS($W$3:$W$252,$A$3:$A$252,"&lt;="&amp;$A38),1))</f>
        <v/>
      </c>
      <c r="Z38" s="10">
        <f>IF(OR(T38="",$A38=""),"",IF(ISNUMBER(IFERROR(INDEX($X$3:$X$252,MATCH($A38-1,$A$3:$A$252,0)),"")),ROUND((INDEX($X$3:$X$252,MATCH($A38-1,$A$3:$A$252,0))-T38)*10,1),""))</f>
        <v/>
      </c>
      <c r="AA38" s="10">
        <f>IF(ISNUMBER(T38),1,0)</f>
        <v/>
      </c>
      <c r="AB38" s="16">
        <f>IF($A38="","",IF(_xlfn.MAXIFS('TP-b'!$B$2:$B$60,'TP-b'!$A$2:$A$60,"3F4D+MD",'TP-b'!$E$2:$E$60,1,'TP-b'!$B$2:$B$60,"&lt;="&amp;$A38)&gt;0,_xlfn.MAXIFS('TP-b'!$B$2:$B$60,'TP-b'!$A$2:$A$60,"3F4D+MD",'TP-b'!$E$2:$E$60,1,'TP-b'!$B$2:$B$60,"&lt;="&amp;$A38),IF(_xlfn.MINIFS('TP-b'!$B$2:$B$60,'TP-b'!$A$2:$A$60,"3F4D+MD",'TP-b'!$E$2:$E$60,1)&gt;0,_xlfn.MINIFS('TP-b'!$B$2:$B$60,'TP-b'!$A$2:$A$60,"3F4D+MD",'TP-b'!$E$2:$E$60,1),"")))</f>
        <v/>
      </c>
      <c r="AC38" s="10">
        <f>IF(AB38="","",AVERAGEIFS('TP-b'!$C$2:$C$60,'TP-b'!$A$2:$A$60,"3F4D+MD",'TP-b'!$B$2:$B$60,AB38,'TP-b'!$E$2:$E$60,1))</f>
        <v/>
      </c>
      <c r="AD38" s="10">
        <f>IF(AB38="","",AVERAGEIFS('TP-b'!$D$2:$D$60,'TP-b'!$A$2:$A$60,"3F4D+MD",'TP-b'!$B$2:$B$60,AB38,'TP-b'!$E$2:$E$60,1))</f>
        <v/>
      </c>
      <c r="AE38" s="10">
        <f>IF(OR($A38="",NOT(ISNUMBER($J38)),AC38=""),"",ROUND($J38-AC38+AD38,1))</f>
        <v/>
      </c>
      <c r="AF38" s="10">
        <f>IF(AND($K38="Yes",ISNUMBER($L38),AC38&lt;&gt;""),ROUND($L38-AC38+AD38,1),"")</f>
        <v/>
      </c>
      <c r="AG38" s="10">
        <f>IF(AND($K38="Yes",ISNUMBER($M38),AC38&lt;&gt;""),ROUND($M38-AC38+AD38,1),"")</f>
        <v/>
      </c>
      <c r="AH38" s="10">
        <f>IF(AND(ISNUMBER($J38),ISNUMBER(AF38),ISNUMBER(AG38)),ROUND((AG38-MAX(AF38,0))*10,1),"")</f>
        <v/>
      </c>
      <c r="AI38" s="10">
        <f>IF(AE38="","",IF(AND($K38="Yes",ISNUMBER(AG38)),AG38,AE38))</f>
        <v/>
      </c>
      <c r="AJ38" s="10">
        <f>IF(AE38="","",ROUND(SUMIFS($AH$3:$AH$252,$A$3:$A$252,"&lt;="&amp;$A38),1))</f>
        <v/>
      </c>
      <c r="AK38" s="10">
        <f>IF(OR(AE38="",$A38=""),"",IF(ISNUMBER(IFERROR(INDEX($AI$3:$AI$252,MATCH($A38-1,$A$3:$A$252,0)),"")),ROUND((INDEX($AI$3:$AI$252,MATCH($A38-1,$A$3:$A$252,0))-AE38)*10,1),""))</f>
        <v/>
      </c>
      <c r="AL38" s="10">
        <f>IF(ISNUMBER(AE38),1,0)</f>
        <v/>
      </c>
      <c r="AM38" s="17">
        <f>IF($A38="","",IF(COUNTIF($A$3:$A$252,$A38)&gt;1,"same date twice; ","")&amp;IF(AND(ISNUMBER($B38),OR($B38&lt;0,$B38&gt;300)),"rain out of range; ","")&amp;IF(AND(ISNUMBER($C38),OR($C38&lt;0,$C38&gt;45)),"temp out of range; ","")&amp;IF(AND(ISNUMBER($D38),OR($D38&lt;0,$D38&gt;100)),"RH out of range; ",""))</f>
        <v/>
      </c>
      <c r="AN38" s="17">
        <f>IF($A38="","",IF(AND(ISNUMBER(T38),OR(T38&lt;-30,T38&gt;20)),"WL out of range; ","")&amp;IF(AND(ISNUMBER($E38),T38=""),"no TP/b; ","")&amp;IF(AND(ISNUMBER(U38),ISNUMBER(V38)),IF(V38&lt;U38,"After&lt;Before; ",""),"")&amp;IF(AND($F38="Yes",ISNUMBER($E38),W38=""),"irrigation readings missing; ","")&amp;IF(ISNUMBER(Z38),IF(AND(ABS(Z38)&gt;50,NOT(N($B38)&gt;0)),"WL jump &gt;5 cm; ",""),""))</f>
        <v/>
      </c>
      <c r="AO38" s="17">
        <f>IF($A38="","",IF(AND(ISNUMBER(AE38),OR(AE38&lt;-30,AE38&gt;20)),"WL out of range; ","")&amp;IF(AND(ISNUMBER($J38),AE38=""),"no TP/b; ","")&amp;IF(AND(ISNUMBER(AF38),ISNUMBER(AG38)),IF(AG38&lt;AF38,"After&lt;Before; ",""),"")&amp;IF(AND($K38="Yes",ISNUMBER($J38),AH38=""),"irrigation readings missing; ","")&amp;IF(ISNUMBER(AK38),IF(AND(ABS(AK38)&gt;50,NOT(N($B38)&gt;0)),"WL jump &gt;5 cm; ",""),"")&amp;IF(AND(ISNUMBER(PitanE),ISNUMBER(AB38),$A38&gt;PitanE+2,AB38&lt;PitanE),"re-measure TP/b after Pitan; ",""))</f>
        <v/>
      </c>
    </row>
    <row r="39">
      <c r="A39" s="14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0">
        <f>IF(OR($A39="",NOT(ISNUMBER(TransDate))),"",$A39-TransDate)</f>
        <v/>
      </c>
      <c r="Q39" s="16">
        <f>IF($A39="","",IF(_xlfn.MAXIFS('TP-b'!$B$2:$B$60,'TP-b'!$A$2:$A$60,"FP",'TP-b'!$E$2:$E$60,1,'TP-b'!$B$2:$B$60,"&lt;="&amp;$A39)&gt;0,_xlfn.MAXIFS('TP-b'!$B$2:$B$60,'TP-b'!$A$2:$A$60,"FP",'TP-b'!$E$2:$E$60,1,'TP-b'!$B$2:$B$60,"&lt;="&amp;$A39),IF(_xlfn.MINIFS('TP-b'!$B$2:$B$60,'TP-b'!$A$2:$A$60,"FP",'TP-b'!$E$2:$E$60,1)&gt;0,_xlfn.MINIFS('TP-b'!$B$2:$B$60,'TP-b'!$A$2:$A$60,"FP",'TP-b'!$E$2:$E$60,1),"")))</f>
        <v/>
      </c>
      <c r="R39" s="10">
        <f>IF(Q39="","",AVERAGEIFS('TP-b'!$C$2:$C$60,'TP-b'!$A$2:$A$60,"FP",'TP-b'!$B$2:$B$60,Q39,'TP-b'!$E$2:$E$60,1))</f>
        <v/>
      </c>
      <c r="S39" s="10">
        <f>IF(Q39="","",AVERAGEIFS('TP-b'!$D$2:$D$60,'TP-b'!$A$2:$A$60,"FP",'TP-b'!$B$2:$B$60,Q39,'TP-b'!$E$2:$E$60,1))</f>
        <v/>
      </c>
      <c r="T39" s="10">
        <f>IF(OR($A39="",NOT(ISNUMBER($E39)),R39=""),"",ROUND($E39-R39+S39,1))</f>
        <v/>
      </c>
      <c r="U39" s="10">
        <f>IF(AND($F39="Yes",ISNUMBER($G39),R39&lt;&gt;""),ROUND($G39-R39+S39,1),"")</f>
        <v/>
      </c>
      <c r="V39" s="10">
        <f>IF(AND($F39="Yes",ISNUMBER($H39),R39&lt;&gt;""),ROUND($H39-R39+S39,1),"")</f>
        <v/>
      </c>
      <c r="W39" s="10">
        <f>IF(AND(ISNUMBER($E39),ISNUMBER(U39),ISNUMBER(V39)),ROUND((V39-MAX(U39,0))*10,1),"")</f>
        <v/>
      </c>
      <c r="X39" s="10">
        <f>IF(T39="","",IF(AND($F39="Yes",ISNUMBER(V39)),V39,T39))</f>
        <v/>
      </c>
      <c r="Y39" s="10">
        <f>IF(T39="","",ROUND(SUMIFS($W$3:$W$252,$A$3:$A$252,"&lt;="&amp;$A39),1))</f>
        <v/>
      </c>
      <c r="Z39" s="10">
        <f>IF(OR(T39="",$A39=""),"",IF(ISNUMBER(IFERROR(INDEX($X$3:$X$252,MATCH($A39-1,$A$3:$A$252,0)),"")),ROUND((INDEX($X$3:$X$252,MATCH($A39-1,$A$3:$A$252,0))-T39)*10,1),""))</f>
        <v/>
      </c>
      <c r="AA39" s="10">
        <f>IF(ISNUMBER(T39),1,0)</f>
        <v/>
      </c>
      <c r="AB39" s="16">
        <f>IF($A39="","",IF(_xlfn.MAXIFS('TP-b'!$B$2:$B$60,'TP-b'!$A$2:$A$60,"3F4D+MD",'TP-b'!$E$2:$E$60,1,'TP-b'!$B$2:$B$60,"&lt;="&amp;$A39)&gt;0,_xlfn.MAXIFS('TP-b'!$B$2:$B$60,'TP-b'!$A$2:$A$60,"3F4D+MD",'TP-b'!$E$2:$E$60,1,'TP-b'!$B$2:$B$60,"&lt;="&amp;$A39),IF(_xlfn.MINIFS('TP-b'!$B$2:$B$60,'TP-b'!$A$2:$A$60,"3F4D+MD",'TP-b'!$E$2:$E$60,1)&gt;0,_xlfn.MINIFS('TP-b'!$B$2:$B$60,'TP-b'!$A$2:$A$60,"3F4D+MD",'TP-b'!$E$2:$E$60,1),"")))</f>
        <v/>
      </c>
      <c r="AC39" s="10">
        <f>IF(AB39="","",AVERAGEIFS('TP-b'!$C$2:$C$60,'TP-b'!$A$2:$A$60,"3F4D+MD",'TP-b'!$B$2:$B$60,AB39,'TP-b'!$E$2:$E$60,1))</f>
        <v/>
      </c>
      <c r="AD39" s="10">
        <f>IF(AB39="","",AVERAGEIFS('TP-b'!$D$2:$D$60,'TP-b'!$A$2:$A$60,"3F4D+MD",'TP-b'!$B$2:$B$60,AB39,'TP-b'!$E$2:$E$60,1))</f>
        <v/>
      </c>
      <c r="AE39" s="10">
        <f>IF(OR($A39="",NOT(ISNUMBER($J39)),AC39=""),"",ROUND($J39-AC39+AD39,1))</f>
        <v/>
      </c>
      <c r="AF39" s="10">
        <f>IF(AND($K39="Yes",ISNUMBER($L39),AC39&lt;&gt;""),ROUND($L39-AC39+AD39,1),"")</f>
        <v/>
      </c>
      <c r="AG39" s="10">
        <f>IF(AND($K39="Yes",ISNUMBER($M39),AC39&lt;&gt;""),ROUND($M39-AC39+AD39,1),"")</f>
        <v/>
      </c>
      <c r="AH39" s="10">
        <f>IF(AND(ISNUMBER($J39),ISNUMBER(AF39),ISNUMBER(AG39)),ROUND((AG39-MAX(AF39,0))*10,1),"")</f>
        <v/>
      </c>
      <c r="AI39" s="10">
        <f>IF(AE39="","",IF(AND($K39="Yes",ISNUMBER(AG39)),AG39,AE39))</f>
        <v/>
      </c>
      <c r="AJ39" s="10">
        <f>IF(AE39="","",ROUND(SUMIFS($AH$3:$AH$252,$A$3:$A$252,"&lt;="&amp;$A39),1))</f>
        <v/>
      </c>
      <c r="AK39" s="10">
        <f>IF(OR(AE39="",$A39=""),"",IF(ISNUMBER(IFERROR(INDEX($AI$3:$AI$252,MATCH($A39-1,$A$3:$A$252,0)),"")),ROUND((INDEX($AI$3:$AI$252,MATCH($A39-1,$A$3:$A$252,0))-AE39)*10,1),""))</f>
        <v/>
      </c>
      <c r="AL39" s="10">
        <f>IF(ISNUMBER(AE39),1,0)</f>
        <v/>
      </c>
      <c r="AM39" s="17">
        <f>IF($A39="","",IF(COUNTIF($A$3:$A$252,$A39)&gt;1,"same date twice; ","")&amp;IF(AND(ISNUMBER($B39),OR($B39&lt;0,$B39&gt;300)),"rain out of range; ","")&amp;IF(AND(ISNUMBER($C39),OR($C39&lt;0,$C39&gt;45)),"temp out of range; ","")&amp;IF(AND(ISNUMBER($D39),OR($D39&lt;0,$D39&gt;100)),"RH out of range; ",""))</f>
        <v/>
      </c>
      <c r="AN39" s="17">
        <f>IF($A39="","",IF(AND(ISNUMBER(T39),OR(T39&lt;-30,T39&gt;20)),"WL out of range; ","")&amp;IF(AND(ISNUMBER($E39),T39=""),"no TP/b; ","")&amp;IF(AND(ISNUMBER(U39),ISNUMBER(V39)),IF(V39&lt;U39,"After&lt;Before; ",""),"")&amp;IF(AND($F39="Yes",ISNUMBER($E39),W39=""),"irrigation readings missing; ","")&amp;IF(ISNUMBER(Z39),IF(AND(ABS(Z39)&gt;50,NOT(N($B39)&gt;0)),"WL jump &gt;5 cm; ",""),""))</f>
        <v/>
      </c>
      <c r="AO39" s="17">
        <f>IF($A39="","",IF(AND(ISNUMBER(AE39),OR(AE39&lt;-30,AE39&gt;20)),"WL out of range; ","")&amp;IF(AND(ISNUMBER($J39),AE39=""),"no TP/b; ","")&amp;IF(AND(ISNUMBER(AF39),ISNUMBER(AG39)),IF(AG39&lt;AF39,"After&lt;Before; ",""),"")&amp;IF(AND($K39="Yes",ISNUMBER($J39),AH39=""),"irrigation readings missing; ","")&amp;IF(ISNUMBER(AK39),IF(AND(ABS(AK39)&gt;50,NOT(N($B39)&gt;0)),"WL jump &gt;5 cm; ",""),"")&amp;IF(AND(ISNUMBER(PitanE),ISNUMBER(AB39),$A39&gt;PitanE+2,AB39&lt;PitanE),"re-measure TP/b after Pitan; ",""))</f>
        <v/>
      </c>
    </row>
    <row r="40">
      <c r="A40" s="14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0">
        <f>IF(OR($A40="",NOT(ISNUMBER(TransDate))),"",$A40-TransDate)</f>
        <v/>
      </c>
      <c r="Q40" s="16">
        <f>IF($A40="","",IF(_xlfn.MAXIFS('TP-b'!$B$2:$B$60,'TP-b'!$A$2:$A$60,"FP",'TP-b'!$E$2:$E$60,1,'TP-b'!$B$2:$B$60,"&lt;="&amp;$A40)&gt;0,_xlfn.MAXIFS('TP-b'!$B$2:$B$60,'TP-b'!$A$2:$A$60,"FP",'TP-b'!$E$2:$E$60,1,'TP-b'!$B$2:$B$60,"&lt;="&amp;$A40),IF(_xlfn.MINIFS('TP-b'!$B$2:$B$60,'TP-b'!$A$2:$A$60,"FP",'TP-b'!$E$2:$E$60,1)&gt;0,_xlfn.MINIFS('TP-b'!$B$2:$B$60,'TP-b'!$A$2:$A$60,"FP",'TP-b'!$E$2:$E$60,1),"")))</f>
        <v/>
      </c>
      <c r="R40" s="10">
        <f>IF(Q40="","",AVERAGEIFS('TP-b'!$C$2:$C$60,'TP-b'!$A$2:$A$60,"FP",'TP-b'!$B$2:$B$60,Q40,'TP-b'!$E$2:$E$60,1))</f>
        <v/>
      </c>
      <c r="S40" s="10">
        <f>IF(Q40="","",AVERAGEIFS('TP-b'!$D$2:$D$60,'TP-b'!$A$2:$A$60,"FP",'TP-b'!$B$2:$B$60,Q40,'TP-b'!$E$2:$E$60,1))</f>
        <v/>
      </c>
      <c r="T40" s="10">
        <f>IF(OR($A40="",NOT(ISNUMBER($E40)),R40=""),"",ROUND($E40-R40+S40,1))</f>
        <v/>
      </c>
      <c r="U40" s="10">
        <f>IF(AND($F40="Yes",ISNUMBER($G40),R40&lt;&gt;""),ROUND($G40-R40+S40,1),"")</f>
        <v/>
      </c>
      <c r="V40" s="10">
        <f>IF(AND($F40="Yes",ISNUMBER($H40),R40&lt;&gt;""),ROUND($H40-R40+S40,1),"")</f>
        <v/>
      </c>
      <c r="W40" s="10">
        <f>IF(AND(ISNUMBER($E40),ISNUMBER(U40),ISNUMBER(V40)),ROUND((V40-MAX(U40,0))*10,1),"")</f>
        <v/>
      </c>
      <c r="X40" s="10">
        <f>IF(T40="","",IF(AND($F40="Yes",ISNUMBER(V40)),V40,T40))</f>
        <v/>
      </c>
      <c r="Y40" s="10">
        <f>IF(T40="","",ROUND(SUMIFS($W$3:$W$252,$A$3:$A$252,"&lt;="&amp;$A40),1))</f>
        <v/>
      </c>
      <c r="Z40" s="10">
        <f>IF(OR(T40="",$A40=""),"",IF(ISNUMBER(IFERROR(INDEX($X$3:$X$252,MATCH($A40-1,$A$3:$A$252,0)),"")),ROUND((INDEX($X$3:$X$252,MATCH($A40-1,$A$3:$A$252,0))-T40)*10,1),""))</f>
        <v/>
      </c>
      <c r="AA40" s="10">
        <f>IF(ISNUMBER(T40),1,0)</f>
        <v/>
      </c>
      <c r="AB40" s="16">
        <f>IF($A40="","",IF(_xlfn.MAXIFS('TP-b'!$B$2:$B$60,'TP-b'!$A$2:$A$60,"3F4D+MD",'TP-b'!$E$2:$E$60,1,'TP-b'!$B$2:$B$60,"&lt;="&amp;$A40)&gt;0,_xlfn.MAXIFS('TP-b'!$B$2:$B$60,'TP-b'!$A$2:$A$60,"3F4D+MD",'TP-b'!$E$2:$E$60,1,'TP-b'!$B$2:$B$60,"&lt;="&amp;$A40),IF(_xlfn.MINIFS('TP-b'!$B$2:$B$60,'TP-b'!$A$2:$A$60,"3F4D+MD",'TP-b'!$E$2:$E$60,1)&gt;0,_xlfn.MINIFS('TP-b'!$B$2:$B$60,'TP-b'!$A$2:$A$60,"3F4D+MD",'TP-b'!$E$2:$E$60,1),"")))</f>
        <v/>
      </c>
      <c r="AC40" s="10">
        <f>IF(AB40="","",AVERAGEIFS('TP-b'!$C$2:$C$60,'TP-b'!$A$2:$A$60,"3F4D+MD",'TP-b'!$B$2:$B$60,AB40,'TP-b'!$E$2:$E$60,1))</f>
        <v/>
      </c>
      <c r="AD40" s="10">
        <f>IF(AB40="","",AVERAGEIFS('TP-b'!$D$2:$D$60,'TP-b'!$A$2:$A$60,"3F4D+MD",'TP-b'!$B$2:$B$60,AB40,'TP-b'!$E$2:$E$60,1))</f>
        <v/>
      </c>
      <c r="AE40" s="10">
        <f>IF(OR($A40="",NOT(ISNUMBER($J40)),AC40=""),"",ROUND($J40-AC40+AD40,1))</f>
        <v/>
      </c>
      <c r="AF40" s="10">
        <f>IF(AND($K40="Yes",ISNUMBER($L40),AC40&lt;&gt;""),ROUND($L40-AC40+AD40,1),"")</f>
        <v/>
      </c>
      <c r="AG40" s="10">
        <f>IF(AND($K40="Yes",ISNUMBER($M40),AC40&lt;&gt;""),ROUND($M40-AC40+AD40,1),"")</f>
        <v/>
      </c>
      <c r="AH40" s="10">
        <f>IF(AND(ISNUMBER($J40),ISNUMBER(AF40),ISNUMBER(AG40)),ROUND((AG40-MAX(AF40,0))*10,1),"")</f>
        <v/>
      </c>
      <c r="AI40" s="10">
        <f>IF(AE40="","",IF(AND($K40="Yes",ISNUMBER(AG40)),AG40,AE40))</f>
        <v/>
      </c>
      <c r="AJ40" s="10">
        <f>IF(AE40="","",ROUND(SUMIFS($AH$3:$AH$252,$A$3:$A$252,"&lt;="&amp;$A40),1))</f>
        <v/>
      </c>
      <c r="AK40" s="10">
        <f>IF(OR(AE40="",$A40=""),"",IF(ISNUMBER(IFERROR(INDEX($AI$3:$AI$252,MATCH($A40-1,$A$3:$A$252,0)),"")),ROUND((INDEX($AI$3:$AI$252,MATCH($A40-1,$A$3:$A$252,0))-AE40)*10,1),""))</f>
        <v/>
      </c>
      <c r="AL40" s="10">
        <f>IF(ISNUMBER(AE40),1,0)</f>
        <v/>
      </c>
      <c r="AM40" s="17">
        <f>IF($A40="","",IF(COUNTIF($A$3:$A$252,$A40)&gt;1,"same date twice; ","")&amp;IF(AND(ISNUMBER($B40),OR($B40&lt;0,$B40&gt;300)),"rain out of range; ","")&amp;IF(AND(ISNUMBER($C40),OR($C40&lt;0,$C40&gt;45)),"temp out of range; ","")&amp;IF(AND(ISNUMBER($D40),OR($D40&lt;0,$D40&gt;100)),"RH out of range; ",""))</f>
        <v/>
      </c>
      <c r="AN40" s="17">
        <f>IF($A40="","",IF(AND(ISNUMBER(T40),OR(T40&lt;-30,T40&gt;20)),"WL out of range; ","")&amp;IF(AND(ISNUMBER($E40),T40=""),"no TP/b; ","")&amp;IF(AND(ISNUMBER(U40),ISNUMBER(V40)),IF(V40&lt;U40,"After&lt;Before; ",""),"")&amp;IF(AND($F40="Yes",ISNUMBER($E40),W40=""),"irrigation readings missing; ","")&amp;IF(ISNUMBER(Z40),IF(AND(ABS(Z40)&gt;50,NOT(N($B40)&gt;0)),"WL jump &gt;5 cm; ",""),""))</f>
        <v/>
      </c>
      <c r="AO40" s="17">
        <f>IF($A40="","",IF(AND(ISNUMBER(AE40),OR(AE40&lt;-30,AE40&gt;20)),"WL out of range; ","")&amp;IF(AND(ISNUMBER($J40),AE40=""),"no TP/b; ","")&amp;IF(AND(ISNUMBER(AF40),ISNUMBER(AG40)),IF(AG40&lt;AF40,"After&lt;Before; ",""),"")&amp;IF(AND($K40="Yes",ISNUMBER($J40),AH40=""),"irrigation readings missing; ","")&amp;IF(ISNUMBER(AK40),IF(AND(ABS(AK40)&gt;50,NOT(N($B40)&gt;0)),"WL jump &gt;5 cm; ",""),"")&amp;IF(AND(ISNUMBER(PitanE),ISNUMBER(AB40),$A40&gt;PitanE+2,AB40&lt;PitanE),"re-measure TP/b after Pitan; ",""))</f>
        <v/>
      </c>
    </row>
    <row r="41">
      <c r="A41" s="14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0">
        <f>IF(OR($A41="",NOT(ISNUMBER(TransDate))),"",$A41-TransDate)</f>
        <v/>
      </c>
      <c r="Q41" s="16">
        <f>IF($A41="","",IF(_xlfn.MAXIFS('TP-b'!$B$2:$B$60,'TP-b'!$A$2:$A$60,"FP",'TP-b'!$E$2:$E$60,1,'TP-b'!$B$2:$B$60,"&lt;="&amp;$A41)&gt;0,_xlfn.MAXIFS('TP-b'!$B$2:$B$60,'TP-b'!$A$2:$A$60,"FP",'TP-b'!$E$2:$E$60,1,'TP-b'!$B$2:$B$60,"&lt;="&amp;$A41),IF(_xlfn.MINIFS('TP-b'!$B$2:$B$60,'TP-b'!$A$2:$A$60,"FP",'TP-b'!$E$2:$E$60,1)&gt;0,_xlfn.MINIFS('TP-b'!$B$2:$B$60,'TP-b'!$A$2:$A$60,"FP",'TP-b'!$E$2:$E$60,1),"")))</f>
        <v/>
      </c>
      <c r="R41" s="10">
        <f>IF(Q41="","",AVERAGEIFS('TP-b'!$C$2:$C$60,'TP-b'!$A$2:$A$60,"FP",'TP-b'!$B$2:$B$60,Q41,'TP-b'!$E$2:$E$60,1))</f>
        <v/>
      </c>
      <c r="S41" s="10">
        <f>IF(Q41="","",AVERAGEIFS('TP-b'!$D$2:$D$60,'TP-b'!$A$2:$A$60,"FP",'TP-b'!$B$2:$B$60,Q41,'TP-b'!$E$2:$E$60,1))</f>
        <v/>
      </c>
      <c r="T41" s="10">
        <f>IF(OR($A41="",NOT(ISNUMBER($E41)),R41=""),"",ROUND($E41-R41+S41,1))</f>
        <v/>
      </c>
      <c r="U41" s="10">
        <f>IF(AND($F41="Yes",ISNUMBER($G41),R41&lt;&gt;""),ROUND($G41-R41+S41,1),"")</f>
        <v/>
      </c>
      <c r="V41" s="10">
        <f>IF(AND($F41="Yes",ISNUMBER($H41),R41&lt;&gt;""),ROUND($H41-R41+S41,1),"")</f>
        <v/>
      </c>
      <c r="W41" s="10">
        <f>IF(AND(ISNUMBER($E41),ISNUMBER(U41),ISNUMBER(V41)),ROUND((V41-MAX(U41,0))*10,1),"")</f>
        <v/>
      </c>
      <c r="X41" s="10">
        <f>IF(T41="","",IF(AND($F41="Yes",ISNUMBER(V41)),V41,T41))</f>
        <v/>
      </c>
      <c r="Y41" s="10">
        <f>IF(T41="","",ROUND(SUMIFS($W$3:$W$252,$A$3:$A$252,"&lt;="&amp;$A41),1))</f>
        <v/>
      </c>
      <c r="Z41" s="10">
        <f>IF(OR(T41="",$A41=""),"",IF(ISNUMBER(IFERROR(INDEX($X$3:$X$252,MATCH($A41-1,$A$3:$A$252,0)),"")),ROUND((INDEX($X$3:$X$252,MATCH($A41-1,$A$3:$A$252,0))-T41)*10,1),""))</f>
        <v/>
      </c>
      <c r="AA41" s="10">
        <f>IF(ISNUMBER(T41),1,0)</f>
        <v/>
      </c>
      <c r="AB41" s="16">
        <f>IF($A41="","",IF(_xlfn.MAXIFS('TP-b'!$B$2:$B$60,'TP-b'!$A$2:$A$60,"3F4D+MD",'TP-b'!$E$2:$E$60,1,'TP-b'!$B$2:$B$60,"&lt;="&amp;$A41)&gt;0,_xlfn.MAXIFS('TP-b'!$B$2:$B$60,'TP-b'!$A$2:$A$60,"3F4D+MD",'TP-b'!$E$2:$E$60,1,'TP-b'!$B$2:$B$60,"&lt;="&amp;$A41),IF(_xlfn.MINIFS('TP-b'!$B$2:$B$60,'TP-b'!$A$2:$A$60,"3F4D+MD",'TP-b'!$E$2:$E$60,1)&gt;0,_xlfn.MINIFS('TP-b'!$B$2:$B$60,'TP-b'!$A$2:$A$60,"3F4D+MD",'TP-b'!$E$2:$E$60,1),"")))</f>
        <v/>
      </c>
      <c r="AC41" s="10">
        <f>IF(AB41="","",AVERAGEIFS('TP-b'!$C$2:$C$60,'TP-b'!$A$2:$A$60,"3F4D+MD",'TP-b'!$B$2:$B$60,AB41,'TP-b'!$E$2:$E$60,1))</f>
        <v/>
      </c>
      <c r="AD41" s="10">
        <f>IF(AB41="","",AVERAGEIFS('TP-b'!$D$2:$D$60,'TP-b'!$A$2:$A$60,"3F4D+MD",'TP-b'!$B$2:$B$60,AB41,'TP-b'!$E$2:$E$60,1))</f>
        <v/>
      </c>
      <c r="AE41" s="10">
        <f>IF(OR($A41="",NOT(ISNUMBER($J41)),AC41=""),"",ROUND($J41-AC41+AD41,1))</f>
        <v/>
      </c>
      <c r="AF41" s="10">
        <f>IF(AND($K41="Yes",ISNUMBER($L41),AC41&lt;&gt;""),ROUND($L41-AC41+AD41,1),"")</f>
        <v/>
      </c>
      <c r="AG41" s="10">
        <f>IF(AND($K41="Yes",ISNUMBER($M41),AC41&lt;&gt;""),ROUND($M41-AC41+AD41,1),"")</f>
        <v/>
      </c>
      <c r="AH41" s="10">
        <f>IF(AND(ISNUMBER($J41),ISNUMBER(AF41),ISNUMBER(AG41)),ROUND((AG41-MAX(AF41,0))*10,1),"")</f>
        <v/>
      </c>
      <c r="AI41" s="10">
        <f>IF(AE41="","",IF(AND($K41="Yes",ISNUMBER(AG41)),AG41,AE41))</f>
        <v/>
      </c>
      <c r="AJ41" s="10">
        <f>IF(AE41="","",ROUND(SUMIFS($AH$3:$AH$252,$A$3:$A$252,"&lt;="&amp;$A41),1))</f>
        <v/>
      </c>
      <c r="AK41" s="10">
        <f>IF(OR(AE41="",$A41=""),"",IF(ISNUMBER(IFERROR(INDEX($AI$3:$AI$252,MATCH($A41-1,$A$3:$A$252,0)),"")),ROUND((INDEX($AI$3:$AI$252,MATCH($A41-1,$A$3:$A$252,0))-AE41)*10,1),""))</f>
        <v/>
      </c>
      <c r="AL41" s="10">
        <f>IF(ISNUMBER(AE41),1,0)</f>
        <v/>
      </c>
      <c r="AM41" s="17">
        <f>IF($A41="","",IF(COUNTIF($A$3:$A$252,$A41)&gt;1,"same date twice; ","")&amp;IF(AND(ISNUMBER($B41),OR($B41&lt;0,$B41&gt;300)),"rain out of range; ","")&amp;IF(AND(ISNUMBER($C41),OR($C41&lt;0,$C41&gt;45)),"temp out of range; ","")&amp;IF(AND(ISNUMBER($D41),OR($D41&lt;0,$D41&gt;100)),"RH out of range; ",""))</f>
        <v/>
      </c>
      <c r="AN41" s="17">
        <f>IF($A41="","",IF(AND(ISNUMBER(T41),OR(T41&lt;-30,T41&gt;20)),"WL out of range; ","")&amp;IF(AND(ISNUMBER($E41),T41=""),"no TP/b; ","")&amp;IF(AND(ISNUMBER(U41),ISNUMBER(V41)),IF(V41&lt;U41,"After&lt;Before; ",""),"")&amp;IF(AND($F41="Yes",ISNUMBER($E41),W41=""),"irrigation readings missing; ","")&amp;IF(ISNUMBER(Z41),IF(AND(ABS(Z41)&gt;50,NOT(N($B41)&gt;0)),"WL jump &gt;5 cm; ",""),""))</f>
        <v/>
      </c>
      <c r="AO41" s="17">
        <f>IF($A41="","",IF(AND(ISNUMBER(AE41),OR(AE41&lt;-30,AE41&gt;20)),"WL out of range; ","")&amp;IF(AND(ISNUMBER($J41),AE41=""),"no TP/b; ","")&amp;IF(AND(ISNUMBER(AF41),ISNUMBER(AG41)),IF(AG41&lt;AF41,"After&lt;Before; ",""),"")&amp;IF(AND($K41="Yes",ISNUMBER($J41),AH41=""),"irrigation readings missing; ","")&amp;IF(ISNUMBER(AK41),IF(AND(ABS(AK41)&gt;50,NOT(N($B41)&gt;0)),"WL jump &gt;5 cm; ",""),"")&amp;IF(AND(ISNUMBER(PitanE),ISNUMBER(AB41),$A41&gt;PitanE+2,AB41&lt;PitanE),"re-measure TP/b after Pitan; ",""))</f>
        <v/>
      </c>
    </row>
    <row r="42">
      <c r="A42" s="14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0">
        <f>IF(OR($A42="",NOT(ISNUMBER(TransDate))),"",$A42-TransDate)</f>
        <v/>
      </c>
      <c r="Q42" s="16">
        <f>IF($A42="","",IF(_xlfn.MAXIFS('TP-b'!$B$2:$B$60,'TP-b'!$A$2:$A$60,"FP",'TP-b'!$E$2:$E$60,1,'TP-b'!$B$2:$B$60,"&lt;="&amp;$A42)&gt;0,_xlfn.MAXIFS('TP-b'!$B$2:$B$60,'TP-b'!$A$2:$A$60,"FP",'TP-b'!$E$2:$E$60,1,'TP-b'!$B$2:$B$60,"&lt;="&amp;$A42),IF(_xlfn.MINIFS('TP-b'!$B$2:$B$60,'TP-b'!$A$2:$A$60,"FP",'TP-b'!$E$2:$E$60,1)&gt;0,_xlfn.MINIFS('TP-b'!$B$2:$B$60,'TP-b'!$A$2:$A$60,"FP",'TP-b'!$E$2:$E$60,1),"")))</f>
        <v/>
      </c>
      <c r="R42" s="10">
        <f>IF(Q42="","",AVERAGEIFS('TP-b'!$C$2:$C$60,'TP-b'!$A$2:$A$60,"FP",'TP-b'!$B$2:$B$60,Q42,'TP-b'!$E$2:$E$60,1))</f>
        <v/>
      </c>
      <c r="S42" s="10">
        <f>IF(Q42="","",AVERAGEIFS('TP-b'!$D$2:$D$60,'TP-b'!$A$2:$A$60,"FP",'TP-b'!$B$2:$B$60,Q42,'TP-b'!$E$2:$E$60,1))</f>
        <v/>
      </c>
      <c r="T42" s="10">
        <f>IF(OR($A42="",NOT(ISNUMBER($E42)),R42=""),"",ROUND($E42-R42+S42,1))</f>
        <v/>
      </c>
      <c r="U42" s="10">
        <f>IF(AND($F42="Yes",ISNUMBER($G42),R42&lt;&gt;""),ROUND($G42-R42+S42,1),"")</f>
        <v/>
      </c>
      <c r="V42" s="10">
        <f>IF(AND($F42="Yes",ISNUMBER($H42),R42&lt;&gt;""),ROUND($H42-R42+S42,1),"")</f>
        <v/>
      </c>
      <c r="W42" s="10">
        <f>IF(AND(ISNUMBER($E42),ISNUMBER(U42),ISNUMBER(V42)),ROUND((V42-MAX(U42,0))*10,1),"")</f>
        <v/>
      </c>
      <c r="X42" s="10">
        <f>IF(T42="","",IF(AND($F42="Yes",ISNUMBER(V42)),V42,T42))</f>
        <v/>
      </c>
      <c r="Y42" s="10">
        <f>IF(T42="","",ROUND(SUMIFS($W$3:$W$252,$A$3:$A$252,"&lt;="&amp;$A42),1))</f>
        <v/>
      </c>
      <c r="Z42" s="10">
        <f>IF(OR(T42="",$A42=""),"",IF(ISNUMBER(IFERROR(INDEX($X$3:$X$252,MATCH($A42-1,$A$3:$A$252,0)),"")),ROUND((INDEX($X$3:$X$252,MATCH($A42-1,$A$3:$A$252,0))-T42)*10,1),""))</f>
        <v/>
      </c>
      <c r="AA42" s="10">
        <f>IF(ISNUMBER(T42),1,0)</f>
        <v/>
      </c>
      <c r="AB42" s="16">
        <f>IF($A42="","",IF(_xlfn.MAXIFS('TP-b'!$B$2:$B$60,'TP-b'!$A$2:$A$60,"3F4D+MD",'TP-b'!$E$2:$E$60,1,'TP-b'!$B$2:$B$60,"&lt;="&amp;$A42)&gt;0,_xlfn.MAXIFS('TP-b'!$B$2:$B$60,'TP-b'!$A$2:$A$60,"3F4D+MD",'TP-b'!$E$2:$E$60,1,'TP-b'!$B$2:$B$60,"&lt;="&amp;$A42),IF(_xlfn.MINIFS('TP-b'!$B$2:$B$60,'TP-b'!$A$2:$A$60,"3F4D+MD",'TP-b'!$E$2:$E$60,1)&gt;0,_xlfn.MINIFS('TP-b'!$B$2:$B$60,'TP-b'!$A$2:$A$60,"3F4D+MD",'TP-b'!$E$2:$E$60,1),"")))</f>
        <v/>
      </c>
      <c r="AC42" s="10">
        <f>IF(AB42="","",AVERAGEIFS('TP-b'!$C$2:$C$60,'TP-b'!$A$2:$A$60,"3F4D+MD",'TP-b'!$B$2:$B$60,AB42,'TP-b'!$E$2:$E$60,1))</f>
        <v/>
      </c>
      <c r="AD42" s="10">
        <f>IF(AB42="","",AVERAGEIFS('TP-b'!$D$2:$D$60,'TP-b'!$A$2:$A$60,"3F4D+MD",'TP-b'!$B$2:$B$60,AB42,'TP-b'!$E$2:$E$60,1))</f>
        <v/>
      </c>
      <c r="AE42" s="10">
        <f>IF(OR($A42="",NOT(ISNUMBER($J42)),AC42=""),"",ROUND($J42-AC42+AD42,1))</f>
        <v/>
      </c>
      <c r="AF42" s="10">
        <f>IF(AND($K42="Yes",ISNUMBER($L42),AC42&lt;&gt;""),ROUND($L42-AC42+AD42,1),"")</f>
        <v/>
      </c>
      <c r="AG42" s="10">
        <f>IF(AND($K42="Yes",ISNUMBER($M42),AC42&lt;&gt;""),ROUND($M42-AC42+AD42,1),"")</f>
        <v/>
      </c>
      <c r="AH42" s="10">
        <f>IF(AND(ISNUMBER($J42),ISNUMBER(AF42),ISNUMBER(AG42)),ROUND((AG42-MAX(AF42,0))*10,1),"")</f>
        <v/>
      </c>
      <c r="AI42" s="10">
        <f>IF(AE42="","",IF(AND($K42="Yes",ISNUMBER(AG42)),AG42,AE42))</f>
        <v/>
      </c>
      <c r="AJ42" s="10">
        <f>IF(AE42="","",ROUND(SUMIFS($AH$3:$AH$252,$A$3:$A$252,"&lt;="&amp;$A42),1))</f>
        <v/>
      </c>
      <c r="AK42" s="10">
        <f>IF(OR(AE42="",$A42=""),"",IF(ISNUMBER(IFERROR(INDEX($AI$3:$AI$252,MATCH($A42-1,$A$3:$A$252,0)),"")),ROUND((INDEX($AI$3:$AI$252,MATCH($A42-1,$A$3:$A$252,0))-AE42)*10,1),""))</f>
        <v/>
      </c>
      <c r="AL42" s="10">
        <f>IF(ISNUMBER(AE42),1,0)</f>
        <v/>
      </c>
      <c r="AM42" s="17">
        <f>IF($A42="","",IF(COUNTIF($A$3:$A$252,$A42)&gt;1,"same date twice; ","")&amp;IF(AND(ISNUMBER($B42),OR($B42&lt;0,$B42&gt;300)),"rain out of range; ","")&amp;IF(AND(ISNUMBER($C42),OR($C42&lt;0,$C42&gt;45)),"temp out of range; ","")&amp;IF(AND(ISNUMBER($D42),OR($D42&lt;0,$D42&gt;100)),"RH out of range; ",""))</f>
        <v/>
      </c>
      <c r="AN42" s="17">
        <f>IF($A42="","",IF(AND(ISNUMBER(T42),OR(T42&lt;-30,T42&gt;20)),"WL out of range; ","")&amp;IF(AND(ISNUMBER($E42),T42=""),"no TP/b; ","")&amp;IF(AND(ISNUMBER(U42),ISNUMBER(V42)),IF(V42&lt;U42,"After&lt;Before; ",""),"")&amp;IF(AND($F42="Yes",ISNUMBER($E42),W42=""),"irrigation readings missing; ","")&amp;IF(ISNUMBER(Z42),IF(AND(ABS(Z42)&gt;50,NOT(N($B42)&gt;0)),"WL jump &gt;5 cm; ",""),""))</f>
        <v/>
      </c>
      <c r="AO42" s="17">
        <f>IF($A42="","",IF(AND(ISNUMBER(AE42),OR(AE42&lt;-30,AE42&gt;20)),"WL out of range; ","")&amp;IF(AND(ISNUMBER($J42),AE42=""),"no TP/b; ","")&amp;IF(AND(ISNUMBER(AF42),ISNUMBER(AG42)),IF(AG42&lt;AF42,"After&lt;Before; ",""),"")&amp;IF(AND($K42="Yes",ISNUMBER($J42),AH42=""),"irrigation readings missing; ","")&amp;IF(ISNUMBER(AK42),IF(AND(ABS(AK42)&gt;50,NOT(N($B42)&gt;0)),"WL jump &gt;5 cm; ",""),"")&amp;IF(AND(ISNUMBER(PitanE),ISNUMBER(AB42),$A42&gt;PitanE+2,AB42&lt;PitanE),"re-measure TP/b after Pitan; ",""))</f>
        <v/>
      </c>
    </row>
    <row r="43">
      <c r="A43" s="14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0">
        <f>IF(OR($A43="",NOT(ISNUMBER(TransDate))),"",$A43-TransDate)</f>
        <v/>
      </c>
      <c r="Q43" s="16">
        <f>IF($A43="","",IF(_xlfn.MAXIFS('TP-b'!$B$2:$B$60,'TP-b'!$A$2:$A$60,"FP",'TP-b'!$E$2:$E$60,1,'TP-b'!$B$2:$B$60,"&lt;="&amp;$A43)&gt;0,_xlfn.MAXIFS('TP-b'!$B$2:$B$60,'TP-b'!$A$2:$A$60,"FP",'TP-b'!$E$2:$E$60,1,'TP-b'!$B$2:$B$60,"&lt;="&amp;$A43),IF(_xlfn.MINIFS('TP-b'!$B$2:$B$60,'TP-b'!$A$2:$A$60,"FP",'TP-b'!$E$2:$E$60,1)&gt;0,_xlfn.MINIFS('TP-b'!$B$2:$B$60,'TP-b'!$A$2:$A$60,"FP",'TP-b'!$E$2:$E$60,1),"")))</f>
        <v/>
      </c>
      <c r="R43" s="10">
        <f>IF(Q43="","",AVERAGEIFS('TP-b'!$C$2:$C$60,'TP-b'!$A$2:$A$60,"FP",'TP-b'!$B$2:$B$60,Q43,'TP-b'!$E$2:$E$60,1))</f>
        <v/>
      </c>
      <c r="S43" s="10">
        <f>IF(Q43="","",AVERAGEIFS('TP-b'!$D$2:$D$60,'TP-b'!$A$2:$A$60,"FP",'TP-b'!$B$2:$B$60,Q43,'TP-b'!$E$2:$E$60,1))</f>
        <v/>
      </c>
      <c r="T43" s="10">
        <f>IF(OR($A43="",NOT(ISNUMBER($E43)),R43=""),"",ROUND($E43-R43+S43,1))</f>
        <v/>
      </c>
      <c r="U43" s="10">
        <f>IF(AND($F43="Yes",ISNUMBER($G43),R43&lt;&gt;""),ROUND($G43-R43+S43,1),"")</f>
        <v/>
      </c>
      <c r="V43" s="10">
        <f>IF(AND($F43="Yes",ISNUMBER($H43),R43&lt;&gt;""),ROUND($H43-R43+S43,1),"")</f>
        <v/>
      </c>
      <c r="W43" s="10">
        <f>IF(AND(ISNUMBER($E43),ISNUMBER(U43),ISNUMBER(V43)),ROUND((V43-MAX(U43,0))*10,1),"")</f>
        <v/>
      </c>
      <c r="X43" s="10">
        <f>IF(T43="","",IF(AND($F43="Yes",ISNUMBER(V43)),V43,T43))</f>
        <v/>
      </c>
      <c r="Y43" s="10">
        <f>IF(T43="","",ROUND(SUMIFS($W$3:$W$252,$A$3:$A$252,"&lt;="&amp;$A43),1))</f>
        <v/>
      </c>
      <c r="Z43" s="10">
        <f>IF(OR(T43="",$A43=""),"",IF(ISNUMBER(IFERROR(INDEX($X$3:$X$252,MATCH($A43-1,$A$3:$A$252,0)),"")),ROUND((INDEX($X$3:$X$252,MATCH($A43-1,$A$3:$A$252,0))-T43)*10,1),""))</f>
        <v/>
      </c>
      <c r="AA43" s="10">
        <f>IF(ISNUMBER(T43),1,0)</f>
        <v/>
      </c>
      <c r="AB43" s="16">
        <f>IF($A43="","",IF(_xlfn.MAXIFS('TP-b'!$B$2:$B$60,'TP-b'!$A$2:$A$60,"3F4D+MD",'TP-b'!$E$2:$E$60,1,'TP-b'!$B$2:$B$60,"&lt;="&amp;$A43)&gt;0,_xlfn.MAXIFS('TP-b'!$B$2:$B$60,'TP-b'!$A$2:$A$60,"3F4D+MD",'TP-b'!$E$2:$E$60,1,'TP-b'!$B$2:$B$60,"&lt;="&amp;$A43),IF(_xlfn.MINIFS('TP-b'!$B$2:$B$60,'TP-b'!$A$2:$A$60,"3F4D+MD",'TP-b'!$E$2:$E$60,1)&gt;0,_xlfn.MINIFS('TP-b'!$B$2:$B$60,'TP-b'!$A$2:$A$60,"3F4D+MD",'TP-b'!$E$2:$E$60,1),"")))</f>
        <v/>
      </c>
      <c r="AC43" s="10">
        <f>IF(AB43="","",AVERAGEIFS('TP-b'!$C$2:$C$60,'TP-b'!$A$2:$A$60,"3F4D+MD",'TP-b'!$B$2:$B$60,AB43,'TP-b'!$E$2:$E$60,1))</f>
        <v/>
      </c>
      <c r="AD43" s="10">
        <f>IF(AB43="","",AVERAGEIFS('TP-b'!$D$2:$D$60,'TP-b'!$A$2:$A$60,"3F4D+MD",'TP-b'!$B$2:$B$60,AB43,'TP-b'!$E$2:$E$60,1))</f>
        <v/>
      </c>
      <c r="AE43" s="10">
        <f>IF(OR($A43="",NOT(ISNUMBER($J43)),AC43=""),"",ROUND($J43-AC43+AD43,1))</f>
        <v/>
      </c>
      <c r="AF43" s="10">
        <f>IF(AND($K43="Yes",ISNUMBER($L43),AC43&lt;&gt;""),ROUND($L43-AC43+AD43,1),"")</f>
        <v/>
      </c>
      <c r="AG43" s="10">
        <f>IF(AND($K43="Yes",ISNUMBER($M43),AC43&lt;&gt;""),ROUND($M43-AC43+AD43,1),"")</f>
        <v/>
      </c>
      <c r="AH43" s="10">
        <f>IF(AND(ISNUMBER($J43),ISNUMBER(AF43),ISNUMBER(AG43)),ROUND((AG43-MAX(AF43,0))*10,1),"")</f>
        <v/>
      </c>
      <c r="AI43" s="10">
        <f>IF(AE43="","",IF(AND($K43="Yes",ISNUMBER(AG43)),AG43,AE43))</f>
        <v/>
      </c>
      <c r="AJ43" s="10">
        <f>IF(AE43="","",ROUND(SUMIFS($AH$3:$AH$252,$A$3:$A$252,"&lt;="&amp;$A43),1))</f>
        <v/>
      </c>
      <c r="AK43" s="10">
        <f>IF(OR(AE43="",$A43=""),"",IF(ISNUMBER(IFERROR(INDEX($AI$3:$AI$252,MATCH($A43-1,$A$3:$A$252,0)),"")),ROUND((INDEX($AI$3:$AI$252,MATCH($A43-1,$A$3:$A$252,0))-AE43)*10,1),""))</f>
        <v/>
      </c>
      <c r="AL43" s="10">
        <f>IF(ISNUMBER(AE43),1,0)</f>
        <v/>
      </c>
      <c r="AM43" s="17">
        <f>IF($A43="","",IF(COUNTIF($A$3:$A$252,$A43)&gt;1,"same date twice; ","")&amp;IF(AND(ISNUMBER($B43),OR($B43&lt;0,$B43&gt;300)),"rain out of range; ","")&amp;IF(AND(ISNUMBER($C43),OR($C43&lt;0,$C43&gt;45)),"temp out of range; ","")&amp;IF(AND(ISNUMBER($D43),OR($D43&lt;0,$D43&gt;100)),"RH out of range; ",""))</f>
        <v/>
      </c>
      <c r="AN43" s="17">
        <f>IF($A43="","",IF(AND(ISNUMBER(T43),OR(T43&lt;-30,T43&gt;20)),"WL out of range; ","")&amp;IF(AND(ISNUMBER($E43),T43=""),"no TP/b; ","")&amp;IF(AND(ISNUMBER(U43),ISNUMBER(V43)),IF(V43&lt;U43,"After&lt;Before; ",""),"")&amp;IF(AND($F43="Yes",ISNUMBER($E43),W43=""),"irrigation readings missing; ","")&amp;IF(ISNUMBER(Z43),IF(AND(ABS(Z43)&gt;50,NOT(N($B43)&gt;0)),"WL jump &gt;5 cm; ",""),""))</f>
        <v/>
      </c>
      <c r="AO43" s="17">
        <f>IF($A43="","",IF(AND(ISNUMBER(AE43),OR(AE43&lt;-30,AE43&gt;20)),"WL out of range; ","")&amp;IF(AND(ISNUMBER($J43),AE43=""),"no TP/b; ","")&amp;IF(AND(ISNUMBER(AF43),ISNUMBER(AG43)),IF(AG43&lt;AF43,"After&lt;Before; ",""),"")&amp;IF(AND($K43="Yes",ISNUMBER($J43),AH43=""),"irrigation readings missing; ","")&amp;IF(ISNUMBER(AK43),IF(AND(ABS(AK43)&gt;50,NOT(N($B43)&gt;0)),"WL jump &gt;5 cm; ",""),"")&amp;IF(AND(ISNUMBER(PitanE),ISNUMBER(AB43),$A43&gt;PitanE+2,AB43&lt;PitanE),"re-measure TP/b after Pitan; ",""))</f>
        <v/>
      </c>
    </row>
    <row r="44">
      <c r="A44" s="14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0">
        <f>IF(OR($A44="",NOT(ISNUMBER(TransDate))),"",$A44-TransDate)</f>
        <v/>
      </c>
      <c r="Q44" s="16">
        <f>IF($A44="","",IF(_xlfn.MAXIFS('TP-b'!$B$2:$B$60,'TP-b'!$A$2:$A$60,"FP",'TP-b'!$E$2:$E$60,1,'TP-b'!$B$2:$B$60,"&lt;="&amp;$A44)&gt;0,_xlfn.MAXIFS('TP-b'!$B$2:$B$60,'TP-b'!$A$2:$A$60,"FP",'TP-b'!$E$2:$E$60,1,'TP-b'!$B$2:$B$60,"&lt;="&amp;$A44),IF(_xlfn.MINIFS('TP-b'!$B$2:$B$60,'TP-b'!$A$2:$A$60,"FP",'TP-b'!$E$2:$E$60,1)&gt;0,_xlfn.MINIFS('TP-b'!$B$2:$B$60,'TP-b'!$A$2:$A$60,"FP",'TP-b'!$E$2:$E$60,1),"")))</f>
        <v/>
      </c>
      <c r="R44" s="10">
        <f>IF(Q44="","",AVERAGEIFS('TP-b'!$C$2:$C$60,'TP-b'!$A$2:$A$60,"FP",'TP-b'!$B$2:$B$60,Q44,'TP-b'!$E$2:$E$60,1))</f>
        <v/>
      </c>
      <c r="S44" s="10">
        <f>IF(Q44="","",AVERAGEIFS('TP-b'!$D$2:$D$60,'TP-b'!$A$2:$A$60,"FP",'TP-b'!$B$2:$B$60,Q44,'TP-b'!$E$2:$E$60,1))</f>
        <v/>
      </c>
      <c r="T44" s="10">
        <f>IF(OR($A44="",NOT(ISNUMBER($E44)),R44=""),"",ROUND($E44-R44+S44,1))</f>
        <v/>
      </c>
      <c r="U44" s="10">
        <f>IF(AND($F44="Yes",ISNUMBER($G44),R44&lt;&gt;""),ROUND($G44-R44+S44,1),"")</f>
        <v/>
      </c>
      <c r="V44" s="10">
        <f>IF(AND($F44="Yes",ISNUMBER($H44),R44&lt;&gt;""),ROUND($H44-R44+S44,1),"")</f>
        <v/>
      </c>
      <c r="W44" s="10">
        <f>IF(AND(ISNUMBER($E44),ISNUMBER(U44),ISNUMBER(V44)),ROUND((V44-MAX(U44,0))*10,1),"")</f>
        <v/>
      </c>
      <c r="X44" s="10">
        <f>IF(T44="","",IF(AND($F44="Yes",ISNUMBER(V44)),V44,T44))</f>
        <v/>
      </c>
      <c r="Y44" s="10">
        <f>IF(T44="","",ROUND(SUMIFS($W$3:$W$252,$A$3:$A$252,"&lt;="&amp;$A44),1))</f>
        <v/>
      </c>
      <c r="Z44" s="10">
        <f>IF(OR(T44="",$A44=""),"",IF(ISNUMBER(IFERROR(INDEX($X$3:$X$252,MATCH($A44-1,$A$3:$A$252,0)),"")),ROUND((INDEX($X$3:$X$252,MATCH($A44-1,$A$3:$A$252,0))-T44)*10,1),""))</f>
        <v/>
      </c>
      <c r="AA44" s="10">
        <f>IF(ISNUMBER(T44),1,0)</f>
        <v/>
      </c>
      <c r="AB44" s="16">
        <f>IF($A44="","",IF(_xlfn.MAXIFS('TP-b'!$B$2:$B$60,'TP-b'!$A$2:$A$60,"3F4D+MD",'TP-b'!$E$2:$E$60,1,'TP-b'!$B$2:$B$60,"&lt;="&amp;$A44)&gt;0,_xlfn.MAXIFS('TP-b'!$B$2:$B$60,'TP-b'!$A$2:$A$60,"3F4D+MD",'TP-b'!$E$2:$E$60,1,'TP-b'!$B$2:$B$60,"&lt;="&amp;$A44),IF(_xlfn.MINIFS('TP-b'!$B$2:$B$60,'TP-b'!$A$2:$A$60,"3F4D+MD",'TP-b'!$E$2:$E$60,1)&gt;0,_xlfn.MINIFS('TP-b'!$B$2:$B$60,'TP-b'!$A$2:$A$60,"3F4D+MD",'TP-b'!$E$2:$E$60,1),"")))</f>
        <v/>
      </c>
      <c r="AC44" s="10">
        <f>IF(AB44="","",AVERAGEIFS('TP-b'!$C$2:$C$60,'TP-b'!$A$2:$A$60,"3F4D+MD",'TP-b'!$B$2:$B$60,AB44,'TP-b'!$E$2:$E$60,1))</f>
        <v/>
      </c>
      <c r="AD44" s="10">
        <f>IF(AB44="","",AVERAGEIFS('TP-b'!$D$2:$D$60,'TP-b'!$A$2:$A$60,"3F4D+MD",'TP-b'!$B$2:$B$60,AB44,'TP-b'!$E$2:$E$60,1))</f>
        <v/>
      </c>
      <c r="AE44" s="10">
        <f>IF(OR($A44="",NOT(ISNUMBER($J44)),AC44=""),"",ROUND($J44-AC44+AD44,1))</f>
        <v/>
      </c>
      <c r="AF44" s="10">
        <f>IF(AND($K44="Yes",ISNUMBER($L44),AC44&lt;&gt;""),ROUND($L44-AC44+AD44,1),"")</f>
        <v/>
      </c>
      <c r="AG44" s="10">
        <f>IF(AND($K44="Yes",ISNUMBER($M44),AC44&lt;&gt;""),ROUND($M44-AC44+AD44,1),"")</f>
        <v/>
      </c>
      <c r="AH44" s="10">
        <f>IF(AND(ISNUMBER($J44),ISNUMBER(AF44),ISNUMBER(AG44)),ROUND((AG44-MAX(AF44,0))*10,1),"")</f>
        <v/>
      </c>
      <c r="AI44" s="10">
        <f>IF(AE44="","",IF(AND($K44="Yes",ISNUMBER(AG44)),AG44,AE44))</f>
        <v/>
      </c>
      <c r="AJ44" s="10">
        <f>IF(AE44="","",ROUND(SUMIFS($AH$3:$AH$252,$A$3:$A$252,"&lt;="&amp;$A44),1))</f>
        <v/>
      </c>
      <c r="AK44" s="10">
        <f>IF(OR(AE44="",$A44=""),"",IF(ISNUMBER(IFERROR(INDEX($AI$3:$AI$252,MATCH($A44-1,$A$3:$A$252,0)),"")),ROUND((INDEX($AI$3:$AI$252,MATCH($A44-1,$A$3:$A$252,0))-AE44)*10,1),""))</f>
        <v/>
      </c>
      <c r="AL44" s="10">
        <f>IF(ISNUMBER(AE44),1,0)</f>
        <v/>
      </c>
      <c r="AM44" s="17">
        <f>IF($A44="","",IF(COUNTIF($A$3:$A$252,$A44)&gt;1,"same date twice; ","")&amp;IF(AND(ISNUMBER($B44),OR($B44&lt;0,$B44&gt;300)),"rain out of range; ","")&amp;IF(AND(ISNUMBER($C44),OR($C44&lt;0,$C44&gt;45)),"temp out of range; ","")&amp;IF(AND(ISNUMBER($D44),OR($D44&lt;0,$D44&gt;100)),"RH out of range; ",""))</f>
        <v/>
      </c>
      <c r="AN44" s="17">
        <f>IF($A44="","",IF(AND(ISNUMBER(T44),OR(T44&lt;-30,T44&gt;20)),"WL out of range; ","")&amp;IF(AND(ISNUMBER($E44),T44=""),"no TP/b; ","")&amp;IF(AND(ISNUMBER(U44),ISNUMBER(V44)),IF(V44&lt;U44,"After&lt;Before; ",""),"")&amp;IF(AND($F44="Yes",ISNUMBER($E44),W44=""),"irrigation readings missing; ","")&amp;IF(ISNUMBER(Z44),IF(AND(ABS(Z44)&gt;50,NOT(N($B44)&gt;0)),"WL jump &gt;5 cm; ",""),""))</f>
        <v/>
      </c>
      <c r="AO44" s="17">
        <f>IF($A44="","",IF(AND(ISNUMBER(AE44),OR(AE44&lt;-30,AE44&gt;20)),"WL out of range; ","")&amp;IF(AND(ISNUMBER($J44),AE44=""),"no TP/b; ","")&amp;IF(AND(ISNUMBER(AF44),ISNUMBER(AG44)),IF(AG44&lt;AF44,"After&lt;Before; ",""),"")&amp;IF(AND($K44="Yes",ISNUMBER($J44),AH44=""),"irrigation readings missing; ","")&amp;IF(ISNUMBER(AK44),IF(AND(ABS(AK44)&gt;50,NOT(N($B44)&gt;0)),"WL jump &gt;5 cm; ",""),"")&amp;IF(AND(ISNUMBER(PitanE),ISNUMBER(AB44),$A44&gt;PitanE+2,AB44&lt;PitanE),"re-measure TP/b after Pitan; ",""))</f>
        <v/>
      </c>
    </row>
    <row r="45">
      <c r="A45" s="14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0">
        <f>IF(OR($A45="",NOT(ISNUMBER(TransDate))),"",$A45-TransDate)</f>
        <v/>
      </c>
      <c r="Q45" s="16">
        <f>IF($A45="","",IF(_xlfn.MAXIFS('TP-b'!$B$2:$B$60,'TP-b'!$A$2:$A$60,"FP",'TP-b'!$E$2:$E$60,1,'TP-b'!$B$2:$B$60,"&lt;="&amp;$A45)&gt;0,_xlfn.MAXIFS('TP-b'!$B$2:$B$60,'TP-b'!$A$2:$A$60,"FP",'TP-b'!$E$2:$E$60,1,'TP-b'!$B$2:$B$60,"&lt;="&amp;$A45),IF(_xlfn.MINIFS('TP-b'!$B$2:$B$60,'TP-b'!$A$2:$A$60,"FP",'TP-b'!$E$2:$E$60,1)&gt;0,_xlfn.MINIFS('TP-b'!$B$2:$B$60,'TP-b'!$A$2:$A$60,"FP",'TP-b'!$E$2:$E$60,1),"")))</f>
        <v/>
      </c>
      <c r="R45" s="10">
        <f>IF(Q45="","",AVERAGEIFS('TP-b'!$C$2:$C$60,'TP-b'!$A$2:$A$60,"FP",'TP-b'!$B$2:$B$60,Q45,'TP-b'!$E$2:$E$60,1))</f>
        <v/>
      </c>
      <c r="S45" s="10">
        <f>IF(Q45="","",AVERAGEIFS('TP-b'!$D$2:$D$60,'TP-b'!$A$2:$A$60,"FP",'TP-b'!$B$2:$B$60,Q45,'TP-b'!$E$2:$E$60,1))</f>
        <v/>
      </c>
      <c r="T45" s="10">
        <f>IF(OR($A45="",NOT(ISNUMBER($E45)),R45=""),"",ROUND($E45-R45+S45,1))</f>
        <v/>
      </c>
      <c r="U45" s="10">
        <f>IF(AND($F45="Yes",ISNUMBER($G45),R45&lt;&gt;""),ROUND($G45-R45+S45,1),"")</f>
        <v/>
      </c>
      <c r="V45" s="10">
        <f>IF(AND($F45="Yes",ISNUMBER($H45),R45&lt;&gt;""),ROUND($H45-R45+S45,1),"")</f>
        <v/>
      </c>
      <c r="W45" s="10">
        <f>IF(AND(ISNUMBER($E45),ISNUMBER(U45),ISNUMBER(V45)),ROUND((V45-MAX(U45,0))*10,1),"")</f>
        <v/>
      </c>
      <c r="X45" s="10">
        <f>IF(T45="","",IF(AND($F45="Yes",ISNUMBER(V45)),V45,T45))</f>
        <v/>
      </c>
      <c r="Y45" s="10">
        <f>IF(T45="","",ROUND(SUMIFS($W$3:$W$252,$A$3:$A$252,"&lt;="&amp;$A45),1))</f>
        <v/>
      </c>
      <c r="Z45" s="10">
        <f>IF(OR(T45="",$A45=""),"",IF(ISNUMBER(IFERROR(INDEX($X$3:$X$252,MATCH($A45-1,$A$3:$A$252,0)),"")),ROUND((INDEX($X$3:$X$252,MATCH($A45-1,$A$3:$A$252,0))-T45)*10,1),""))</f>
        <v/>
      </c>
      <c r="AA45" s="10">
        <f>IF(ISNUMBER(T45),1,0)</f>
        <v/>
      </c>
      <c r="AB45" s="16">
        <f>IF($A45="","",IF(_xlfn.MAXIFS('TP-b'!$B$2:$B$60,'TP-b'!$A$2:$A$60,"3F4D+MD",'TP-b'!$E$2:$E$60,1,'TP-b'!$B$2:$B$60,"&lt;="&amp;$A45)&gt;0,_xlfn.MAXIFS('TP-b'!$B$2:$B$60,'TP-b'!$A$2:$A$60,"3F4D+MD",'TP-b'!$E$2:$E$60,1,'TP-b'!$B$2:$B$60,"&lt;="&amp;$A45),IF(_xlfn.MINIFS('TP-b'!$B$2:$B$60,'TP-b'!$A$2:$A$60,"3F4D+MD",'TP-b'!$E$2:$E$60,1)&gt;0,_xlfn.MINIFS('TP-b'!$B$2:$B$60,'TP-b'!$A$2:$A$60,"3F4D+MD",'TP-b'!$E$2:$E$60,1),"")))</f>
        <v/>
      </c>
      <c r="AC45" s="10">
        <f>IF(AB45="","",AVERAGEIFS('TP-b'!$C$2:$C$60,'TP-b'!$A$2:$A$60,"3F4D+MD",'TP-b'!$B$2:$B$60,AB45,'TP-b'!$E$2:$E$60,1))</f>
        <v/>
      </c>
      <c r="AD45" s="10">
        <f>IF(AB45="","",AVERAGEIFS('TP-b'!$D$2:$D$60,'TP-b'!$A$2:$A$60,"3F4D+MD",'TP-b'!$B$2:$B$60,AB45,'TP-b'!$E$2:$E$60,1))</f>
        <v/>
      </c>
      <c r="AE45" s="10">
        <f>IF(OR($A45="",NOT(ISNUMBER($J45)),AC45=""),"",ROUND($J45-AC45+AD45,1))</f>
        <v/>
      </c>
      <c r="AF45" s="10">
        <f>IF(AND($K45="Yes",ISNUMBER($L45),AC45&lt;&gt;""),ROUND($L45-AC45+AD45,1),"")</f>
        <v/>
      </c>
      <c r="AG45" s="10">
        <f>IF(AND($K45="Yes",ISNUMBER($M45),AC45&lt;&gt;""),ROUND($M45-AC45+AD45,1),"")</f>
        <v/>
      </c>
      <c r="AH45" s="10">
        <f>IF(AND(ISNUMBER($J45),ISNUMBER(AF45),ISNUMBER(AG45)),ROUND((AG45-MAX(AF45,0))*10,1),"")</f>
        <v/>
      </c>
      <c r="AI45" s="10">
        <f>IF(AE45="","",IF(AND($K45="Yes",ISNUMBER(AG45)),AG45,AE45))</f>
        <v/>
      </c>
      <c r="AJ45" s="10">
        <f>IF(AE45="","",ROUND(SUMIFS($AH$3:$AH$252,$A$3:$A$252,"&lt;="&amp;$A45),1))</f>
        <v/>
      </c>
      <c r="AK45" s="10">
        <f>IF(OR(AE45="",$A45=""),"",IF(ISNUMBER(IFERROR(INDEX($AI$3:$AI$252,MATCH($A45-1,$A$3:$A$252,0)),"")),ROUND((INDEX($AI$3:$AI$252,MATCH($A45-1,$A$3:$A$252,0))-AE45)*10,1),""))</f>
        <v/>
      </c>
      <c r="AL45" s="10">
        <f>IF(ISNUMBER(AE45),1,0)</f>
        <v/>
      </c>
      <c r="AM45" s="17">
        <f>IF($A45="","",IF(COUNTIF($A$3:$A$252,$A45)&gt;1,"same date twice; ","")&amp;IF(AND(ISNUMBER($B45),OR($B45&lt;0,$B45&gt;300)),"rain out of range; ","")&amp;IF(AND(ISNUMBER($C45),OR($C45&lt;0,$C45&gt;45)),"temp out of range; ","")&amp;IF(AND(ISNUMBER($D45),OR($D45&lt;0,$D45&gt;100)),"RH out of range; ",""))</f>
        <v/>
      </c>
      <c r="AN45" s="17">
        <f>IF($A45="","",IF(AND(ISNUMBER(T45),OR(T45&lt;-30,T45&gt;20)),"WL out of range; ","")&amp;IF(AND(ISNUMBER($E45),T45=""),"no TP/b; ","")&amp;IF(AND(ISNUMBER(U45),ISNUMBER(V45)),IF(V45&lt;U45,"After&lt;Before; ",""),"")&amp;IF(AND($F45="Yes",ISNUMBER($E45),W45=""),"irrigation readings missing; ","")&amp;IF(ISNUMBER(Z45),IF(AND(ABS(Z45)&gt;50,NOT(N($B45)&gt;0)),"WL jump &gt;5 cm; ",""),""))</f>
        <v/>
      </c>
      <c r="AO45" s="17">
        <f>IF($A45="","",IF(AND(ISNUMBER(AE45),OR(AE45&lt;-30,AE45&gt;20)),"WL out of range; ","")&amp;IF(AND(ISNUMBER($J45),AE45=""),"no TP/b; ","")&amp;IF(AND(ISNUMBER(AF45),ISNUMBER(AG45)),IF(AG45&lt;AF45,"After&lt;Before; ",""),"")&amp;IF(AND($K45="Yes",ISNUMBER($J45),AH45=""),"irrigation readings missing; ","")&amp;IF(ISNUMBER(AK45),IF(AND(ABS(AK45)&gt;50,NOT(N($B45)&gt;0)),"WL jump &gt;5 cm; ",""),"")&amp;IF(AND(ISNUMBER(PitanE),ISNUMBER(AB45),$A45&gt;PitanE+2,AB45&lt;PitanE),"re-measure TP/b after Pitan; ",""))</f>
        <v/>
      </c>
    </row>
    <row r="46">
      <c r="A46" s="14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0">
        <f>IF(OR($A46="",NOT(ISNUMBER(TransDate))),"",$A46-TransDate)</f>
        <v/>
      </c>
      <c r="Q46" s="16">
        <f>IF($A46="","",IF(_xlfn.MAXIFS('TP-b'!$B$2:$B$60,'TP-b'!$A$2:$A$60,"FP",'TP-b'!$E$2:$E$60,1,'TP-b'!$B$2:$B$60,"&lt;="&amp;$A46)&gt;0,_xlfn.MAXIFS('TP-b'!$B$2:$B$60,'TP-b'!$A$2:$A$60,"FP",'TP-b'!$E$2:$E$60,1,'TP-b'!$B$2:$B$60,"&lt;="&amp;$A46),IF(_xlfn.MINIFS('TP-b'!$B$2:$B$60,'TP-b'!$A$2:$A$60,"FP",'TP-b'!$E$2:$E$60,1)&gt;0,_xlfn.MINIFS('TP-b'!$B$2:$B$60,'TP-b'!$A$2:$A$60,"FP",'TP-b'!$E$2:$E$60,1),"")))</f>
        <v/>
      </c>
      <c r="R46" s="10">
        <f>IF(Q46="","",AVERAGEIFS('TP-b'!$C$2:$C$60,'TP-b'!$A$2:$A$60,"FP",'TP-b'!$B$2:$B$60,Q46,'TP-b'!$E$2:$E$60,1))</f>
        <v/>
      </c>
      <c r="S46" s="10">
        <f>IF(Q46="","",AVERAGEIFS('TP-b'!$D$2:$D$60,'TP-b'!$A$2:$A$60,"FP",'TP-b'!$B$2:$B$60,Q46,'TP-b'!$E$2:$E$60,1))</f>
        <v/>
      </c>
      <c r="T46" s="10">
        <f>IF(OR($A46="",NOT(ISNUMBER($E46)),R46=""),"",ROUND($E46-R46+S46,1))</f>
        <v/>
      </c>
      <c r="U46" s="10">
        <f>IF(AND($F46="Yes",ISNUMBER($G46),R46&lt;&gt;""),ROUND($G46-R46+S46,1),"")</f>
        <v/>
      </c>
      <c r="V46" s="10">
        <f>IF(AND($F46="Yes",ISNUMBER($H46),R46&lt;&gt;""),ROUND($H46-R46+S46,1),"")</f>
        <v/>
      </c>
      <c r="W46" s="10">
        <f>IF(AND(ISNUMBER($E46),ISNUMBER(U46),ISNUMBER(V46)),ROUND((V46-MAX(U46,0))*10,1),"")</f>
        <v/>
      </c>
      <c r="X46" s="10">
        <f>IF(T46="","",IF(AND($F46="Yes",ISNUMBER(V46)),V46,T46))</f>
        <v/>
      </c>
      <c r="Y46" s="10">
        <f>IF(T46="","",ROUND(SUMIFS($W$3:$W$252,$A$3:$A$252,"&lt;="&amp;$A46),1))</f>
        <v/>
      </c>
      <c r="Z46" s="10">
        <f>IF(OR(T46="",$A46=""),"",IF(ISNUMBER(IFERROR(INDEX($X$3:$X$252,MATCH($A46-1,$A$3:$A$252,0)),"")),ROUND((INDEX($X$3:$X$252,MATCH($A46-1,$A$3:$A$252,0))-T46)*10,1),""))</f>
        <v/>
      </c>
      <c r="AA46" s="10">
        <f>IF(ISNUMBER(T46),1,0)</f>
        <v/>
      </c>
      <c r="AB46" s="16">
        <f>IF($A46="","",IF(_xlfn.MAXIFS('TP-b'!$B$2:$B$60,'TP-b'!$A$2:$A$60,"3F4D+MD",'TP-b'!$E$2:$E$60,1,'TP-b'!$B$2:$B$60,"&lt;="&amp;$A46)&gt;0,_xlfn.MAXIFS('TP-b'!$B$2:$B$60,'TP-b'!$A$2:$A$60,"3F4D+MD",'TP-b'!$E$2:$E$60,1,'TP-b'!$B$2:$B$60,"&lt;="&amp;$A46),IF(_xlfn.MINIFS('TP-b'!$B$2:$B$60,'TP-b'!$A$2:$A$60,"3F4D+MD",'TP-b'!$E$2:$E$60,1)&gt;0,_xlfn.MINIFS('TP-b'!$B$2:$B$60,'TP-b'!$A$2:$A$60,"3F4D+MD",'TP-b'!$E$2:$E$60,1),"")))</f>
        <v/>
      </c>
      <c r="AC46" s="10">
        <f>IF(AB46="","",AVERAGEIFS('TP-b'!$C$2:$C$60,'TP-b'!$A$2:$A$60,"3F4D+MD",'TP-b'!$B$2:$B$60,AB46,'TP-b'!$E$2:$E$60,1))</f>
        <v/>
      </c>
      <c r="AD46" s="10">
        <f>IF(AB46="","",AVERAGEIFS('TP-b'!$D$2:$D$60,'TP-b'!$A$2:$A$60,"3F4D+MD",'TP-b'!$B$2:$B$60,AB46,'TP-b'!$E$2:$E$60,1))</f>
        <v/>
      </c>
      <c r="AE46" s="10">
        <f>IF(OR($A46="",NOT(ISNUMBER($J46)),AC46=""),"",ROUND($J46-AC46+AD46,1))</f>
        <v/>
      </c>
      <c r="AF46" s="10">
        <f>IF(AND($K46="Yes",ISNUMBER($L46),AC46&lt;&gt;""),ROUND($L46-AC46+AD46,1),"")</f>
        <v/>
      </c>
      <c r="AG46" s="10">
        <f>IF(AND($K46="Yes",ISNUMBER($M46),AC46&lt;&gt;""),ROUND($M46-AC46+AD46,1),"")</f>
        <v/>
      </c>
      <c r="AH46" s="10">
        <f>IF(AND(ISNUMBER($J46),ISNUMBER(AF46),ISNUMBER(AG46)),ROUND((AG46-MAX(AF46,0))*10,1),"")</f>
        <v/>
      </c>
      <c r="AI46" s="10">
        <f>IF(AE46="","",IF(AND($K46="Yes",ISNUMBER(AG46)),AG46,AE46))</f>
        <v/>
      </c>
      <c r="AJ46" s="10">
        <f>IF(AE46="","",ROUND(SUMIFS($AH$3:$AH$252,$A$3:$A$252,"&lt;="&amp;$A46),1))</f>
        <v/>
      </c>
      <c r="AK46" s="10">
        <f>IF(OR(AE46="",$A46=""),"",IF(ISNUMBER(IFERROR(INDEX($AI$3:$AI$252,MATCH($A46-1,$A$3:$A$252,0)),"")),ROUND((INDEX($AI$3:$AI$252,MATCH($A46-1,$A$3:$A$252,0))-AE46)*10,1),""))</f>
        <v/>
      </c>
      <c r="AL46" s="10">
        <f>IF(ISNUMBER(AE46),1,0)</f>
        <v/>
      </c>
      <c r="AM46" s="17">
        <f>IF($A46="","",IF(COUNTIF($A$3:$A$252,$A46)&gt;1,"same date twice; ","")&amp;IF(AND(ISNUMBER($B46),OR($B46&lt;0,$B46&gt;300)),"rain out of range; ","")&amp;IF(AND(ISNUMBER($C46),OR($C46&lt;0,$C46&gt;45)),"temp out of range; ","")&amp;IF(AND(ISNUMBER($D46),OR($D46&lt;0,$D46&gt;100)),"RH out of range; ",""))</f>
        <v/>
      </c>
      <c r="AN46" s="17">
        <f>IF($A46="","",IF(AND(ISNUMBER(T46),OR(T46&lt;-30,T46&gt;20)),"WL out of range; ","")&amp;IF(AND(ISNUMBER($E46),T46=""),"no TP/b; ","")&amp;IF(AND(ISNUMBER(U46),ISNUMBER(V46)),IF(V46&lt;U46,"After&lt;Before; ",""),"")&amp;IF(AND($F46="Yes",ISNUMBER($E46),W46=""),"irrigation readings missing; ","")&amp;IF(ISNUMBER(Z46),IF(AND(ABS(Z46)&gt;50,NOT(N($B46)&gt;0)),"WL jump &gt;5 cm; ",""),""))</f>
        <v/>
      </c>
      <c r="AO46" s="17">
        <f>IF($A46="","",IF(AND(ISNUMBER(AE46),OR(AE46&lt;-30,AE46&gt;20)),"WL out of range; ","")&amp;IF(AND(ISNUMBER($J46),AE46=""),"no TP/b; ","")&amp;IF(AND(ISNUMBER(AF46),ISNUMBER(AG46)),IF(AG46&lt;AF46,"After&lt;Before; ",""),"")&amp;IF(AND($K46="Yes",ISNUMBER($J46),AH46=""),"irrigation readings missing; ","")&amp;IF(ISNUMBER(AK46),IF(AND(ABS(AK46)&gt;50,NOT(N($B46)&gt;0)),"WL jump &gt;5 cm; ",""),"")&amp;IF(AND(ISNUMBER(PitanE),ISNUMBER(AB46),$A46&gt;PitanE+2,AB46&lt;PitanE),"re-measure TP/b after Pitan; ",""))</f>
        <v/>
      </c>
    </row>
    <row r="47">
      <c r="A47" s="14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0">
        <f>IF(OR($A47="",NOT(ISNUMBER(TransDate))),"",$A47-TransDate)</f>
        <v/>
      </c>
      <c r="Q47" s="16">
        <f>IF($A47="","",IF(_xlfn.MAXIFS('TP-b'!$B$2:$B$60,'TP-b'!$A$2:$A$60,"FP",'TP-b'!$E$2:$E$60,1,'TP-b'!$B$2:$B$60,"&lt;="&amp;$A47)&gt;0,_xlfn.MAXIFS('TP-b'!$B$2:$B$60,'TP-b'!$A$2:$A$60,"FP",'TP-b'!$E$2:$E$60,1,'TP-b'!$B$2:$B$60,"&lt;="&amp;$A47),IF(_xlfn.MINIFS('TP-b'!$B$2:$B$60,'TP-b'!$A$2:$A$60,"FP",'TP-b'!$E$2:$E$60,1)&gt;0,_xlfn.MINIFS('TP-b'!$B$2:$B$60,'TP-b'!$A$2:$A$60,"FP",'TP-b'!$E$2:$E$60,1),"")))</f>
        <v/>
      </c>
      <c r="R47" s="10">
        <f>IF(Q47="","",AVERAGEIFS('TP-b'!$C$2:$C$60,'TP-b'!$A$2:$A$60,"FP",'TP-b'!$B$2:$B$60,Q47,'TP-b'!$E$2:$E$60,1))</f>
        <v/>
      </c>
      <c r="S47" s="10">
        <f>IF(Q47="","",AVERAGEIFS('TP-b'!$D$2:$D$60,'TP-b'!$A$2:$A$60,"FP",'TP-b'!$B$2:$B$60,Q47,'TP-b'!$E$2:$E$60,1))</f>
        <v/>
      </c>
      <c r="T47" s="10">
        <f>IF(OR($A47="",NOT(ISNUMBER($E47)),R47=""),"",ROUND($E47-R47+S47,1))</f>
        <v/>
      </c>
      <c r="U47" s="10">
        <f>IF(AND($F47="Yes",ISNUMBER($G47),R47&lt;&gt;""),ROUND($G47-R47+S47,1),"")</f>
        <v/>
      </c>
      <c r="V47" s="10">
        <f>IF(AND($F47="Yes",ISNUMBER($H47),R47&lt;&gt;""),ROUND($H47-R47+S47,1),"")</f>
        <v/>
      </c>
      <c r="W47" s="10">
        <f>IF(AND(ISNUMBER($E47),ISNUMBER(U47),ISNUMBER(V47)),ROUND((V47-MAX(U47,0))*10,1),"")</f>
        <v/>
      </c>
      <c r="X47" s="10">
        <f>IF(T47="","",IF(AND($F47="Yes",ISNUMBER(V47)),V47,T47))</f>
        <v/>
      </c>
      <c r="Y47" s="10">
        <f>IF(T47="","",ROUND(SUMIFS($W$3:$W$252,$A$3:$A$252,"&lt;="&amp;$A47),1))</f>
        <v/>
      </c>
      <c r="Z47" s="10">
        <f>IF(OR(T47="",$A47=""),"",IF(ISNUMBER(IFERROR(INDEX($X$3:$X$252,MATCH($A47-1,$A$3:$A$252,0)),"")),ROUND((INDEX($X$3:$X$252,MATCH($A47-1,$A$3:$A$252,0))-T47)*10,1),""))</f>
        <v/>
      </c>
      <c r="AA47" s="10">
        <f>IF(ISNUMBER(T47),1,0)</f>
        <v/>
      </c>
      <c r="AB47" s="16">
        <f>IF($A47="","",IF(_xlfn.MAXIFS('TP-b'!$B$2:$B$60,'TP-b'!$A$2:$A$60,"3F4D+MD",'TP-b'!$E$2:$E$60,1,'TP-b'!$B$2:$B$60,"&lt;="&amp;$A47)&gt;0,_xlfn.MAXIFS('TP-b'!$B$2:$B$60,'TP-b'!$A$2:$A$60,"3F4D+MD",'TP-b'!$E$2:$E$60,1,'TP-b'!$B$2:$B$60,"&lt;="&amp;$A47),IF(_xlfn.MINIFS('TP-b'!$B$2:$B$60,'TP-b'!$A$2:$A$60,"3F4D+MD",'TP-b'!$E$2:$E$60,1)&gt;0,_xlfn.MINIFS('TP-b'!$B$2:$B$60,'TP-b'!$A$2:$A$60,"3F4D+MD",'TP-b'!$E$2:$E$60,1),"")))</f>
        <v/>
      </c>
      <c r="AC47" s="10">
        <f>IF(AB47="","",AVERAGEIFS('TP-b'!$C$2:$C$60,'TP-b'!$A$2:$A$60,"3F4D+MD",'TP-b'!$B$2:$B$60,AB47,'TP-b'!$E$2:$E$60,1))</f>
        <v/>
      </c>
      <c r="AD47" s="10">
        <f>IF(AB47="","",AVERAGEIFS('TP-b'!$D$2:$D$60,'TP-b'!$A$2:$A$60,"3F4D+MD",'TP-b'!$B$2:$B$60,AB47,'TP-b'!$E$2:$E$60,1))</f>
        <v/>
      </c>
      <c r="AE47" s="10">
        <f>IF(OR($A47="",NOT(ISNUMBER($J47)),AC47=""),"",ROUND($J47-AC47+AD47,1))</f>
        <v/>
      </c>
      <c r="AF47" s="10">
        <f>IF(AND($K47="Yes",ISNUMBER($L47),AC47&lt;&gt;""),ROUND($L47-AC47+AD47,1),"")</f>
        <v/>
      </c>
      <c r="AG47" s="10">
        <f>IF(AND($K47="Yes",ISNUMBER($M47),AC47&lt;&gt;""),ROUND($M47-AC47+AD47,1),"")</f>
        <v/>
      </c>
      <c r="AH47" s="10">
        <f>IF(AND(ISNUMBER($J47),ISNUMBER(AF47),ISNUMBER(AG47)),ROUND((AG47-MAX(AF47,0))*10,1),"")</f>
        <v/>
      </c>
      <c r="AI47" s="10">
        <f>IF(AE47="","",IF(AND($K47="Yes",ISNUMBER(AG47)),AG47,AE47))</f>
        <v/>
      </c>
      <c r="AJ47" s="10">
        <f>IF(AE47="","",ROUND(SUMIFS($AH$3:$AH$252,$A$3:$A$252,"&lt;="&amp;$A47),1))</f>
        <v/>
      </c>
      <c r="AK47" s="10">
        <f>IF(OR(AE47="",$A47=""),"",IF(ISNUMBER(IFERROR(INDEX($AI$3:$AI$252,MATCH($A47-1,$A$3:$A$252,0)),"")),ROUND((INDEX($AI$3:$AI$252,MATCH($A47-1,$A$3:$A$252,0))-AE47)*10,1),""))</f>
        <v/>
      </c>
      <c r="AL47" s="10">
        <f>IF(ISNUMBER(AE47),1,0)</f>
        <v/>
      </c>
      <c r="AM47" s="17">
        <f>IF($A47="","",IF(COUNTIF($A$3:$A$252,$A47)&gt;1,"same date twice; ","")&amp;IF(AND(ISNUMBER($B47),OR($B47&lt;0,$B47&gt;300)),"rain out of range; ","")&amp;IF(AND(ISNUMBER($C47),OR($C47&lt;0,$C47&gt;45)),"temp out of range; ","")&amp;IF(AND(ISNUMBER($D47),OR($D47&lt;0,$D47&gt;100)),"RH out of range; ",""))</f>
        <v/>
      </c>
      <c r="AN47" s="17">
        <f>IF($A47="","",IF(AND(ISNUMBER(T47),OR(T47&lt;-30,T47&gt;20)),"WL out of range; ","")&amp;IF(AND(ISNUMBER($E47),T47=""),"no TP/b; ","")&amp;IF(AND(ISNUMBER(U47),ISNUMBER(V47)),IF(V47&lt;U47,"After&lt;Before; ",""),"")&amp;IF(AND($F47="Yes",ISNUMBER($E47),W47=""),"irrigation readings missing; ","")&amp;IF(ISNUMBER(Z47),IF(AND(ABS(Z47)&gt;50,NOT(N($B47)&gt;0)),"WL jump &gt;5 cm; ",""),""))</f>
        <v/>
      </c>
      <c r="AO47" s="17">
        <f>IF($A47="","",IF(AND(ISNUMBER(AE47),OR(AE47&lt;-30,AE47&gt;20)),"WL out of range; ","")&amp;IF(AND(ISNUMBER($J47),AE47=""),"no TP/b; ","")&amp;IF(AND(ISNUMBER(AF47),ISNUMBER(AG47)),IF(AG47&lt;AF47,"After&lt;Before; ",""),"")&amp;IF(AND($K47="Yes",ISNUMBER($J47),AH47=""),"irrigation readings missing; ","")&amp;IF(ISNUMBER(AK47),IF(AND(ABS(AK47)&gt;50,NOT(N($B47)&gt;0)),"WL jump &gt;5 cm; ",""),"")&amp;IF(AND(ISNUMBER(PitanE),ISNUMBER(AB47),$A47&gt;PitanE+2,AB47&lt;PitanE),"re-measure TP/b after Pitan; ",""))</f>
        <v/>
      </c>
    </row>
    <row r="48">
      <c r="A48" s="14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0">
        <f>IF(OR($A48="",NOT(ISNUMBER(TransDate))),"",$A48-TransDate)</f>
        <v/>
      </c>
      <c r="Q48" s="16">
        <f>IF($A48="","",IF(_xlfn.MAXIFS('TP-b'!$B$2:$B$60,'TP-b'!$A$2:$A$60,"FP",'TP-b'!$E$2:$E$60,1,'TP-b'!$B$2:$B$60,"&lt;="&amp;$A48)&gt;0,_xlfn.MAXIFS('TP-b'!$B$2:$B$60,'TP-b'!$A$2:$A$60,"FP",'TP-b'!$E$2:$E$60,1,'TP-b'!$B$2:$B$60,"&lt;="&amp;$A48),IF(_xlfn.MINIFS('TP-b'!$B$2:$B$60,'TP-b'!$A$2:$A$60,"FP",'TP-b'!$E$2:$E$60,1)&gt;0,_xlfn.MINIFS('TP-b'!$B$2:$B$60,'TP-b'!$A$2:$A$60,"FP",'TP-b'!$E$2:$E$60,1),"")))</f>
        <v/>
      </c>
      <c r="R48" s="10">
        <f>IF(Q48="","",AVERAGEIFS('TP-b'!$C$2:$C$60,'TP-b'!$A$2:$A$60,"FP",'TP-b'!$B$2:$B$60,Q48,'TP-b'!$E$2:$E$60,1))</f>
        <v/>
      </c>
      <c r="S48" s="10">
        <f>IF(Q48="","",AVERAGEIFS('TP-b'!$D$2:$D$60,'TP-b'!$A$2:$A$60,"FP",'TP-b'!$B$2:$B$60,Q48,'TP-b'!$E$2:$E$60,1))</f>
        <v/>
      </c>
      <c r="T48" s="10">
        <f>IF(OR($A48="",NOT(ISNUMBER($E48)),R48=""),"",ROUND($E48-R48+S48,1))</f>
        <v/>
      </c>
      <c r="U48" s="10">
        <f>IF(AND($F48="Yes",ISNUMBER($G48),R48&lt;&gt;""),ROUND($G48-R48+S48,1),"")</f>
        <v/>
      </c>
      <c r="V48" s="10">
        <f>IF(AND($F48="Yes",ISNUMBER($H48),R48&lt;&gt;""),ROUND($H48-R48+S48,1),"")</f>
        <v/>
      </c>
      <c r="W48" s="10">
        <f>IF(AND(ISNUMBER($E48),ISNUMBER(U48),ISNUMBER(V48)),ROUND((V48-MAX(U48,0))*10,1),"")</f>
        <v/>
      </c>
      <c r="X48" s="10">
        <f>IF(T48="","",IF(AND($F48="Yes",ISNUMBER(V48)),V48,T48))</f>
        <v/>
      </c>
      <c r="Y48" s="10">
        <f>IF(T48="","",ROUND(SUMIFS($W$3:$W$252,$A$3:$A$252,"&lt;="&amp;$A48),1))</f>
        <v/>
      </c>
      <c r="Z48" s="10">
        <f>IF(OR(T48="",$A48=""),"",IF(ISNUMBER(IFERROR(INDEX($X$3:$X$252,MATCH($A48-1,$A$3:$A$252,0)),"")),ROUND((INDEX($X$3:$X$252,MATCH($A48-1,$A$3:$A$252,0))-T48)*10,1),""))</f>
        <v/>
      </c>
      <c r="AA48" s="10">
        <f>IF(ISNUMBER(T48),1,0)</f>
        <v/>
      </c>
      <c r="AB48" s="16">
        <f>IF($A48="","",IF(_xlfn.MAXIFS('TP-b'!$B$2:$B$60,'TP-b'!$A$2:$A$60,"3F4D+MD",'TP-b'!$E$2:$E$60,1,'TP-b'!$B$2:$B$60,"&lt;="&amp;$A48)&gt;0,_xlfn.MAXIFS('TP-b'!$B$2:$B$60,'TP-b'!$A$2:$A$60,"3F4D+MD",'TP-b'!$E$2:$E$60,1,'TP-b'!$B$2:$B$60,"&lt;="&amp;$A48),IF(_xlfn.MINIFS('TP-b'!$B$2:$B$60,'TP-b'!$A$2:$A$60,"3F4D+MD",'TP-b'!$E$2:$E$60,1)&gt;0,_xlfn.MINIFS('TP-b'!$B$2:$B$60,'TP-b'!$A$2:$A$60,"3F4D+MD",'TP-b'!$E$2:$E$60,1),"")))</f>
        <v/>
      </c>
      <c r="AC48" s="10">
        <f>IF(AB48="","",AVERAGEIFS('TP-b'!$C$2:$C$60,'TP-b'!$A$2:$A$60,"3F4D+MD",'TP-b'!$B$2:$B$60,AB48,'TP-b'!$E$2:$E$60,1))</f>
        <v/>
      </c>
      <c r="AD48" s="10">
        <f>IF(AB48="","",AVERAGEIFS('TP-b'!$D$2:$D$60,'TP-b'!$A$2:$A$60,"3F4D+MD",'TP-b'!$B$2:$B$60,AB48,'TP-b'!$E$2:$E$60,1))</f>
        <v/>
      </c>
      <c r="AE48" s="10">
        <f>IF(OR($A48="",NOT(ISNUMBER($J48)),AC48=""),"",ROUND($J48-AC48+AD48,1))</f>
        <v/>
      </c>
      <c r="AF48" s="10">
        <f>IF(AND($K48="Yes",ISNUMBER($L48),AC48&lt;&gt;""),ROUND($L48-AC48+AD48,1),"")</f>
        <v/>
      </c>
      <c r="AG48" s="10">
        <f>IF(AND($K48="Yes",ISNUMBER($M48),AC48&lt;&gt;""),ROUND($M48-AC48+AD48,1),"")</f>
        <v/>
      </c>
      <c r="AH48" s="10">
        <f>IF(AND(ISNUMBER($J48),ISNUMBER(AF48),ISNUMBER(AG48)),ROUND((AG48-MAX(AF48,0))*10,1),"")</f>
        <v/>
      </c>
      <c r="AI48" s="10">
        <f>IF(AE48="","",IF(AND($K48="Yes",ISNUMBER(AG48)),AG48,AE48))</f>
        <v/>
      </c>
      <c r="AJ48" s="10">
        <f>IF(AE48="","",ROUND(SUMIFS($AH$3:$AH$252,$A$3:$A$252,"&lt;="&amp;$A48),1))</f>
        <v/>
      </c>
      <c r="AK48" s="10">
        <f>IF(OR(AE48="",$A48=""),"",IF(ISNUMBER(IFERROR(INDEX($AI$3:$AI$252,MATCH($A48-1,$A$3:$A$252,0)),"")),ROUND((INDEX($AI$3:$AI$252,MATCH($A48-1,$A$3:$A$252,0))-AE48)*10,1),""))</f>
        <v/>
      </c>
      <c r="AL48" s="10">
        <f>IF(ISNUMBER(AE48),1,0)</f>
        <v/>
      </c>
      <c r="AM48" s="17">
        <f>IF($A48="","",IF(COUNTIF($A$3:$A$252,$A48)&gt;1,"same date twice; ","")&amp;IF(AND(ISNUMBER($B48),OR($B48&lt;0,$B48&gt;300)),"rain out of range; ","")&amp;IF(AND(ISNUMBER($C48),OR($C48&lt;0,$C48&gt;45)),"temp out of range; ","")&amp;IF(AND(ISNUMBER($D48),OR($D48&lt;0,$D48&gt;100)),"RH out of range; ",""))</f>
        <v/>
      </c>
      <c r="AN48" s="17">
        <f>IF($A48="","",IF(AND(ISNUMBER(T48),OR(T48&lt;-30,T48&gt;20)),"WL out of range; ","")&amp;IF(AND(ISNUMBER($E48),T48=""),"no TP/b; ","")&amp;IF(AND(ISNUMBER(U48),ISNUMBER(V48)),IF(V48&lt;U48,"After&lt;Before; ",""),"")&amp;IF(AND($F48="Yes",ISNUMBER($E48),W48=""),"irrigation readings missing; ","")&amp;IF(ISNUMBER(Z48),IF(AND(ABS(Z48)&gt;50,NOT(N($B48)&gt;0)),"WL jump &gt;5 cm; ",""),""))</f>
        <v/>
      </c>
      <c r="AO48" s="17">
        <f>IF($A48="","",IF(AND(ISNUMBER(AE48),OR(AE48&lt;-30,AE48&gt;20)),"WL out of range; ","")&amp;IF(AND(ISNUMBER($J48),AE48=""),"no TP/b; ","")&amp;IF(AND(ISNUMBER(AF48),ISNUMBER(AG48)),IF(AG48&lt;AF48,"After&lt;Before; ",""),"")&amp;IF(AND($K48="Yes",ISNUMBER($J48),AH48=""),"irrigation readings missing; ","")&amp;IF(ISNUMBER(AK48),IF(AND(ABS(AK48)&gt;50,NOT(N($B48)&gt;0)),"WL jump &gt;5 cm; ",""),"")&amp;IF(AND(ISNUMBER(PitanE),ISNUMBER(AB48),$A48&gt;PitanE+2,AB48&lt;PitanE),"re-measure TP/b after Pitan; ",""))</f>
        <v/>
      </c>
    </row>
    <row r="49">
      <c r="A49" s="14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0">
        <f>IF(OR($A49="",NOT(ISNUMBER(TransDate))),"",$A49-TransDate)</f>
        <v/>
      </c>
      <c r="Q49" s="16">
        <f>IF($A49="","",IF(_xlfn.MAXIFS('TP-b'!$B$2:$B$60,'TP-b'!$A$2:$A$60,"FP",'TP-b'!$E$2:$E$60,1,'TP-b'!$B$2:$B$60,"&lt;="&amp;$A49)&gt;0,_xlfn.MAXIFS('TP-b'!$B$2:$B$60,'TP-b'!$A$2:$A$60,"FP",'TP-b'!$E$2:$E$60,1,'TP-b'!$B$2:$B$60,"&lt;="&amp;$A49),IF(_xlfn.MINIFS('TP-b'!$B$2:$B$60,'TP-b'!$A$2:$A$60,"FP",'TP-b'!$E$2:$E$60,1)&gt;0,_xlfn.MINIFS('TP-b'!$B$2:$B$60,'TP-b'!$A$2:$A$60,"FP",'TP-b'!$E$2:$E$60,1),"")))</f>
        <v/>
      </c>
      <c r="R49" s="10">
        <f>IF(Q49="","",AVERAGEIFS('TP-b'!$C$2:$C$60,'TP-b'!$A$2:$A$60,"FP",'TP-b'!$B$2:$B$60,Q49,'TP-b'!$E$2:$E$60,1))</f>
        <v/>
      </c>
      <c r="S49" s="10">
        <f>IF(Q49="","",AVERAGEIFS('TP-b'!$D$2:$D$60,'TP-b'!$A$2:$A$60,"FP",'TP-b'!$B$2:$B$60,Q49,'TP-b'!$E$2:$E$60,1))</f>
        <v/>
      </c>
      <c r="T49" s="10">
        <f>IF(OR($A49="",NOT(ISNUMBER($E49)),R49=""),"",ROUND($E49-R49+S49,1))</f>
        <v/>
      </c>
      <c r="U49" s="10">
        <f>IF(AND($F49="Yes",ISNUMBER($G49),R49&lt;&gt;""),ROUND($G49-R49+S49,1),"")</f>
        <v/>
      </c>
      <c r="V49" s="10">
        <f>IF(AND($F49="Yes",ISNUMBER($H49),R49&lt;&gt;""),ROUND($H49-R49+S49,1),"")</f>
        <v/>
      </c>
      <c r="W49" s="10">
        <f>IF(AND(ISNUMBER($E49),ISNUMBER(U49),ISNUMBER(V49)),ROUND((V49-MAX(U49,0))*10,1),"")</f>
        <v/>
      </c>
      <c r="X49" s="10">
        <f>IF(T49="","",IF(AND($F49="Yes",ISNUMBER(V49)),V49,T49))</f>
        <v/>
      </c>
      <c r="Y49" s="10">
        <f>IF(T49="","",ROUND(SUMIFS($W$3:$W$252,$A$3:$A$252,"&lt;="&amp;$A49),1))</f>
        <v/>
      </c>
      <c r="Z49" s="10">
        <f>IF(OR(T49="",$A49=""),"",IF(ISNUMBER(IFERROR(INDEX($X$3:$X$252,MATCH($A49-1,$A$3:$A$252,0)),"")),ROUND((INDEX($X$3:$X$252,MATCH($A49-1,$A$3:$A$252,0))-T49)*10,1),""))</f>
        <v/>
      </c>
      <c r="AA49" s="10">
        <f>IF(ISNUMBER(T49),1,0)</f>
        <v/>
      </c>
      <c r="AB49" s="16">
        <f>IF($A49="","",IF(_xlfn.MAXIFS('TP-b'!$B$2:$B$60,'TP-b'!$A$2:$A$60,"3F4D+MD",'TP-b'!$E$2:$E$60,1,'TP-b'!$B$2:$B$60,"&lt;="&amp;$A49)&gt;0,_xlfn.MAXIFS('TP-b'!$B$2:$B$60,'TP-b'!$A$2:$A$60,"3F4D+MD",'TP-b'!$E$2:$E$60,1,'TP-b'!$B$2:$B$60,"&lt;="&amp;$A49),IF(_xlfn.MINIFS('TP-b'!$B$2:$B$60,'TP-b'!$A$2:$A$60,"3F4D+MD",'TP-b'!$E$2:$E$60,1)&gt;0,_xlfn.MINIFS('TP-b'!$B$2:$B$60,'TP-b'!$A$2:$A$60,"3F4D+MD",'TP-b'!$E$2:$E$60,1),"")))</f>
        <v/>
      </c>
      <c r="AC49" s="10">
        <f>IF(AB49="","",AVERAGEIFS('TP-b'!$C$2:$C$60,'TP-b'!$A$2:$A$60,"3F4D+MD",'TP-b'!$B$2:$B$60,AB49,'TP-b'!$E$2:$E$60,1))</f>
        <v/>
      </c>
      <c r="AD49" s="10">
        <f>IF(AB49="","",AVERAGEIFS('TP-b'!$D$2:$D$60,'TP-b'!$A$2:$A$60,"3F4D+MD",'TP-b'!$B$2:$B$60,AB49,'TP-b'!$E$2:$E$60,1))</f>
        <v/>
      </c>
      <c r="AE49" s="10">
        <f>IF(OR($A49="",NOT(ISNUMBER($J49)),AC49=""),"",ROUND($J49-AC49+AD49,1))</f>
        <v/>
      </c>
      <c r="AF49" s="10">
        <f>IF(AND($K49="Yes",ISNUMBER($L49),AC49&lt;&gt;""),ROUND($L49-AC49+AD49,1),"")</f>
        <v/>
      </c>
      <c r="AG49" s="10">
        <f>IF(AND($K49="Yes",ISNUMBER($M49),AC49&lt;&gt;""),ROUND($M49-AC49+AD49,1),"")</f>
        <v/>
      </c>
      <c r="AH49" s="10">
        <f>IF(AND(ISNUMBER($J49),ISNUMBER(AF49),ISNUMBER(AG49)),ROUND((AG49-MAX(AF49,0))*10,1),"")</f>
        <v/>
      </c>
      <c r="AI49" s="10">
        <f>IF(AE49="","",IF(AND($K49="Yes",ISNUMBER(AG49)),AG49,AE49))</f>
        <v/>
      </c>
      <c r="AJ49" s="10">
        <f>IF(AE49="","",ROUND(SUMIFS($AH$3:$AH$252,$A$3:$A$252,"&lt;="&amp;$A49),1))</f>
        <v/>
      </c>
      <c r="AK49" s="10">
        <f>IF(OR(AE49="",$A49=""),"",IF(ISNUMBER(IFERROR(INDEX($AI$3:$AI$252,MATCH($A49-1,$A$3:$A$252,0)),"")),ROUND((INDEX($AI$3:$AI$252,MATCH($A49-1,$A$3:$A$252,0))-AE49)*10,1),""))</f>
        <v/>
      </c>
      <c r="AL49" s="10">
        <f>IF(ISNUMBER(AE49),1,0)</f>
        <v/>
      </c>
      <c r="AM49" s="17">
        <f>IF($A49="","",IF(COUNTIF($A$3:$A$252,$A49)&gt;1,"same date twice; ","")&amp;IF(AND(ISNUMBER($B49),OR($B49&lt;0,$B49&gt;300)),"rain out of range; ","")&amp;IF(AND(ISNUMBER($C49),OR($C49&lt;0,$C49&gt;45)),"temp out of range; ","")&amp;IF(AND(ISNUMBER($D49),OR($D49&lt;0,$D49&gt;100)),"RH out of range; ",""))</f>
        <v/>
      </c>
      <c r="AN49" s="17">
        <f>IF($A49="","",IF(AND(ISNUMBER(T49),OR(T49&lt;-30,T49&gt;20)),"WL out of range; ","")&amp;IF(AND(ISNUMBER($E49),T49=""),"no TP/b; ","")&amp;IF(AND(ISNUMBER(U49),ISNUMBER(V49)),IF(V49&lt;U49,"After&lt;Before; ",""),"")&amp;IF(AND($F49="Yes",ISNUMBER($E49),W49=""),"irrigation readings missing; ","")&amp;IF(ISNUMBER(Z49),IF(AND(ABS(Z49)&gt;50,NOT(N($B49)&gt;0)),"WL jump &gt;5 cm; ",""),""))</f>
        <v/>
      </c>
      <c r="AO49" s="17">
        <f>IF($A49="","",IF(AND(ISNUMBER(AE49),OR(AE49&lt;-30,AE49&gt;20)),"WL out of range; ","")&amp;IF(AND(ISNUMBER($J49),AE49=""),"no TP/b; ","")&amp;IF(AND(ISNUMBER(AF49),ISNUMBER(AG49)),IF(AG49&lt;AF49,"After&lt;Before; ",""),"")&amp;IF(AND($K49="Yes",ISNUMBER($J49),AH49=""),"irrigation readings missing; ","")&amp;IF(ISNUMBER(AK49),IF(AND(ABS(AK49)&gt;50,NOT(N($B49)&gt;0)),"WL jump &gt;5 cm; ",""),"")&amp;IF(AND(ISNUMBER(PitanE),ISNUMBER(AB49),$A49&gt;PitanE+2,AB49&lt;PitanE),"re-measure TP/b after Pitan; ",""))</f>
        <v/>
      </c>
    </row>
    <row r="50">
      <c r="A50" s="14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0">
        <f>IF(OR($A50="",NOT(ISNUMBER(TransDate))),"",$A50-TransDate)</f>
        <v/>
      </c>
      <c r="Q50" s="16">
        <f>IF($A50="","",IF(_xlfn.MAXIFS('TP-b'!$B$2:$B$60,'TP-b'!$A$2:$A$60,"FP",'TP-b'!$E$2:$E$60,1,'TP-b'!$B$2:$B$60,"&lt;="&amp;$A50)&gt;0,_xlfn.MAXIFS('TP-b'!$B$2:$B$60,'TP-b'!$A$2:$A$60,"FP",'TP-b'!$E$2:$E$60,1,'TP-b'!$B$2:$B$60,"&lt;="&amp;$A50),IF(_xlfn.MINIFS('TP-b'!$B$2:$B$60,'TP-b'!$A$2:$A$60,"FP",'TP-b'!$E$2:$E$60,1)&gt;0,_xlfn.MINIFS('TP-b'!$B$2:$B$60,'TP-b'!$A$2:$A$60,"FP",'TP-b'!$E$2:$E$60,1),"")))</f>
        <v/>
      </c>
      <c r="R50" s="10">
        <f>IF(Q50="","",AVERAGEIFS('TP-b'!$C$2:$C$60,'TP-b'!$A$2:$A$60,"FP",'TP-b'!$B$2:$B$60,Q50,'TP-b'!$E$2:$E$60,1))</f>
        <v/>
      </c>
      <c r="S50" s="10">
        <f>IF(Q50="","",AVERAGEIFS('TP-b'!$D$2:$D$60,'TP-b'!$A$2:$A$60,"FP",'TP-b'!$B$2:$B$60,Q50,'TP-b'!$E$2:$E$60,1))</f>
        <v/>
      </c>
      <c r="T50" s="10">
        <f>IF(OR($A50="",NOT(ISNUMBER($E50)),R50=""),"",ROUND($E50-R50+S50,1))</f>
        <v/>
      </c>
      <c r="U50" s="10">
        <f>IF(AND($F50="Yes",ISNUMBER($G50),R50&lt;&gt;""),ROUND($G50-R50+S50,1),"")</f>
        <v/>
      </c>
      <c r="V50" s="10">
        <f>IF(AND($F50="Yes",ISNUMBER($H50),R50&lt;&gt;""),ROUND($H50-R50+S50,1),"")</f>
        <v/>
      </c>
      <c r="W50" s="10">
        <f>IF(AND(ISNUMBER($E50),ISNUMBER(U50),ISNUMBER(V50)),ROUND((V50-MAX(U50,0))*10,1),"")</f>
        <v/>
      </c>
      <c r="X50" s="10">
        <f>IF(T50="","",IF(AND($F50="Yes",ISNUMBER(V50)),V50,T50))</f>
        <v/>
      </c>
      <c r="Y50" s="10">
        <f>IF(T50="","",ROUND(SUMIFS($W$3:$W$252,$A$3:$A$252,"&lt;="&amp;$A50),1))</f>
        <v/>
      </c>
      <c r="Z50" s="10">
        <f>IF(OR(T50="",$A50=""),"",IF(ISNUMBER(IFERROR(INDEX($X$3:$X$252,MATCH($A50-1,$A$3:$A$252,0)),"")),ROUND((INDEX($X$3:$X$252,MATCH($A50-1,$A$3:$A$252,0))-T50)*10,1),""))</f>
        <v/>
      </c>
      <c r="AA50" s="10">
        <f>IF(ISNUMBER(T50),1,0)</f>
        <v/>
      </c>
      <c r="AB50" s="16">
        <f>IF($A50="","",IF(_xlfn.MAXIFS('TP-b'!$B$2:$B$60,'TP-b'!$A$2:$A$60,"3F4D+MD",'TP-b'!$E$2:$E$60,1,'TP-b'!$B$2:$B$60,"&lt;="&amp;$A50)&gt;0,_xlfn.MAXIFS('TP-b'!$B$2:$B$60,'TP-b'!$A$2:$A$60,"3F4D+MD",'TP-b'!$E$2:$E$60,1,'TP-b'!$B$2:$B$60,"&lt;="&amp;$A50),IF(_xlfn.MINIFS('TP-b'!$B$2:$B$60,'TP-b'!$A$2:$A$60,"3F4D+MD",'TP-b'!$E$2:$E$60,1)&gt;0,_xlfn.MINIFS('TP-b'!$B$2:$B$60,'TP-b'!$A$2:$A$60,"3F4D+MD",'TP-b'!$E$2:$E$60,1),"")))</f>
        <v/>
      </c>
      <c r="AC50" s="10">
        <f>IF(AB50="","",AVERAGEIFS('TP-b'!$C$2:$C$60,'TP-b'!$A$2:$A$60,"3F4D+MD",'TP-b'!$B$2:$B$60,AB50,'TP-b'!$E$2:$E$60,1))</f>
        <v/>
      </c>
      <c r="AD50" s="10">
        <f>IF(AB50="","",AVERAGEIFS('TP-b'!$D$2:$D$60,'TP-b'!$A$2:$A$60,"3F4D+MD",'TP-b'!$B$2:$B$60,AB50,'TP-b'!$E$2:$E$60,1))</f>
        <v/>
      </c>
      <c r="AE50" s="10">
        <f>IF(OR($A50="",NOT(ISNUMBER($J50)),AC50=""),"",ROUND($J50-AC50+AD50,1))</f>
        <v/>
      </c>
      <c r="AF50" s="10">
        <f>IF(AND($K50="Yes",ISNUMBER($L50),AC50&lt;&gt;""),ROUND($L50-AC50+AD50,1),"")</f>
        <v/>
      </c>
      <c r="AG50" s="10">
        <f>IF(AND($K50="Yes",ISNUMBER($M50),AC50&lt;&gt;""),ROUND($M50-AC50+AD50,1),"")</f>
        <v/>
      </c>
      <c r="AH50" s="10">
        <f>IF(AND(ISNUMBER($J50),ISNUMBER(AF50),ISNUMBER(AG50)),ROUND((AG50-MAX(AF50,0))*10,1),"")</f>
        <v/>
      </c>
      <c r="AI50" s="10">
        <f>IF(AE50="","",IF(AND($K50="Yes",ISNUMBER(AG50)),AG50,AE50))</f>
        <v/>
      </c>
      <c r="AJ50" s="10">
        <f>IF(AE50="","",ROUND(SUMIFS($AH$3:$AH$252,$A$3:$A$252,"&lt;="&amp;$A50),1))</f>
        <v/>
      </c>
      <c r="AK50" s="10">
        <f>IF(OR(AE50="",$A50=""),"",IF(ISNUMBER(IFERROR(INDEX($AI$3:$AI$252,MATCH($A50-1,$A$3:$A$252,0)),"")),ROUND((INDEX($AI$3:$AI$252,MATCH($A50-1,$A$3:$A$252,0))-AE50)*10,1),""))</f>
        <v/>
      </c>
      <c r="AL50" s="10">
        <f>IF(ISNUMBER(AE50),1,0)</f>
        <v/>
      </c>
      <c r="AM50" s="17">
        <f>IF($A50="","",IF(COUNTIF($A$3:$A$252,$A50)&gt;1,"same date twice; ","")&amp;IF(AND(ISNUMBER($B50),OR($B50&lt;0,$B50&gt;300)),"rain out of range; ","")&amp;IF(AND(ISNUMBER($C50),OR($C50&lt;0,$C50&gt;45)),"temp out of range; ","")&amp;IF(AND(ISNUMBER($D50),OR($D50&lt;0,$D50&gt;100)),"RH out of range; ",""))</f>
        <v/>
      </c>
      <c r="AN50" s="17">
        <f>IF($A50="","",IF(AND(ISNUMBER(T50),OR(T50&lt;-30,T50&gt;20)),"WL out of range; ","")&amp;IF(AND(ISNUMBER($E50),T50=""),"no TP/b; ","")&amp;IF(AND(ISNUMBER(U50),ISNUMBER(V50)),IF(V50&lt;U50,"After&lt;Before; ",""),"")&amp;IF(AND($F50="Yes",ISNUMBER($E50),W50=""),"irrigation readings missing; ","")&amp;IF(ISNUMBER(Z50),IF(AND(ABS(Z50)&gt;50,NOT(N($B50)&gt;0)),"WL jump &gt;5 cm; ",""),""))</f>
        <v/>
      </c>
      <c r="AO50" s="17">
        <f>IF($A50="","",IF(AND(ISNUMBER(AE50),OR(AE50&lt;-30,AE50&gt;20)),"WL out of range; ","")&amp;IF(AND(ISNUMBER($J50),AE50=""),"no TP/b; ","")&amp;IF(AND(ISNUMBER(AF50),ISNUMBER(AG50)),IF(AG50&lt;AF50,"After&lt;Before; ",""),"")&amp;IF(AND($K50="Yes",ISNUMBER($J50),AH50=""),"irrigation readings missing; ","")&amp;IF(ISNUMBER(AK50),IF(AND(ABS(AK50)&gt;50,NOT(N($B50)&gt;0)),"WL jump &gt;5 cm; ",""),"")&amp;IF(AND(ISNUMBER(PitanE),ISNUMBER(AB50),$A50&gt;PitanE+2,AB50&lt;PitanE),"re-measure TP/b after Pitan; ",""))</f>
        <v/>
      </c>
    </row>
    <row r="51">
      <c r="A51" s="14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0">
        <f>IF(OR($A51="",NOT(ISNUMBER(TransDate))),"",$A51-TransDate)</f>
        <v/>
      </c>
      <c r="Q51" s="16">
        <f>IF($A51="","",IF(_xlfn.MAXIFS('TP-b'!$B$2:$B$60,'TP-b'!$A$2:$A$60,"FP",'TP-b'!$E$2:$E$60,1,'TP-b'!$B$2:$B$60,"&lt;="&amp;$A51)&gt;0,_xlfn.MAXIFS('TP-b'!$B$2:$B$60,'TP-b'!$A$2:$A$60,"FP",'TP-b'!$E$2:$E$60,1,'TP-b'!$B$2:$B$60,"&lt;="&amp;$A51),IF(_xlfn.MINIFS('TP-b'!$B$2:$B$60,'TP-b'!$A$2:$A$60,"FP",'TP-b'!$E$2:$E$60,1)&gt;0,_xlfn.MINIFS('TP-b'!$B$2:$B$60,'TP-b'!$A$2:$A$60,"FP",'TP-b'!$E$2:$E$60,1),"")))</f>
        <v/>
      </c>
      <c r="R51" s="10">
        <f>IF(Q51="","",AVERAGEIFS('TP-b'!$C$2:$C$60,'TP-b'!$A$2:$A$60,"FP",'TP-b'!$B$2:$B$60,Q51,'TP-b'!$E$2:$E$60,1))</f>
        <v/>
      </c>
      <c r="S51" s="10">
        <f>IF(Q51="","",AVERAGEIFS('TP-b'!$D$2:$D$60,'TP-b'!$A$2:$A$60,"FP",'TP-b'!$B$2:$B$60,Q51,'TP-b'!$E$2:$E$60,1))</f>
        <v/>
      </c>
      <c r="T51" s="10">
        <f>IF(OR($A51="",NOT(ISNUMBER($E51)),R51=""),"",ROUND($E51-R51+S51,1))</f>
        <v/>
      </c>
      <c r="U51" s="10">
        <f>IF(AND($F51="Yes",ISNUMBER($G51),R51&lt;&gt;""),ROUND($G51-R51+S51,1),"")</f>
        <v/>
      </c>
      <c r="V51" s="10">
        <f>IF(AND($F51="Yes",ISNUMBER($H51),R51&lt;&gt;""),ROUND($H51-R51+S51,1),"")</f>
        <v/>
      </c>
      <c r="W51" s="10">
        <f>IF(AND(ISNUMBER($E51),ISNUMBER(U51),ISNUMBER(V51)),ROUND((V51-MAX(U51,0))*10,1),"")</f>
        <v/>
      </c>
      <c r="X51" s="10">
        <f>IF(T51="","",IF(AND($F51="Yes",ISNUMBER(V51)),V51,T51))</f>
        <v/>
      </c>
      <c r="Y51" s="10">
        <f>IF(T51="","",ROUND(SUMIFS($W$3:$W$252,$A$3:$A$252,"&lt;="&amp;$A51),1))</f>
        <v/>
      </c>
      <c r="Z51" s="10">
        <f>IF(OR(T51="",$A51=""),"",IF(ISNUMBER(IFERROR(INDEX($X$3:$X$252,MATCH($A51-1,$A$3:$A$252,0)),"")),ROUND((INDEX($X$3:$X$252,MATCH($A51-1,$A$3:$A$252,0))-T51)*10,1),""))</f>
        <v/>
      </c>
      <c r="AA51" s="10">
        <f>IF(ISNUMBER(T51),1,0)</f>
        <v/>
      </c>
      <c r="AB51" s="16">
        <f>IF($A51="","",IF(_xlfn.MAXIFS('TP-b'!$B$2:$B$60,'TP-b'!$A$2:$A$60,"3F4D+MD",'TP-b'!$E$2:$E$60,1,'TP-b'!$B$2:$B$60,"&lt;="&amp;$A51)&gt;0,_xlfn.MAXIFS('TP-b'!$B$2:$B$60,'TP-b'!$A$2:$A$60,"3F4D+MD",'TP-b'!$E$2:$E$60,1,'TP-b'!$B$2:$B$60,"&lt;="&amp;$A51),IF(_xlfn.MINIFS('TP-b'!$B$2:$B$60,'TP-b'!$A$2:$A$60,"3F4D+MD",'TP-b'!$E$2:$E$60,1)&gt;0,_xlfn.MINIFS('TP-b'!$B$2:$B$60,'TP-b'!$A$2:$A$60,"3F4D+MD",'TP-b'!$E$2:$E$60,1),"")))</f>
        <v/>
      </c>
      <c r="AC51" s="10">
        <f>IF(AB51="","",AVERAGEIFS('TP-b'!$C$2:$C$60,'TP-b'!$A$2:$A$60,"3F4D+MD",'TP-b'!$B$2:$B$60,AB51,'TP-b'!$E$2:$E$60,1))</f>
        <v/>
      </c>
      <c r="AD51" s="10">
        <f>IF(AB51="","",AVERAGEIFS('TP-b'!$D$2:$D$60,'TP-b'!$A$2:$A$60,"3F4D+MD",'TP-b'!$B$2:$B$60,AB51,'TP-b'!$E$2:$E$60,1))</f>
        <v/>
      </c>
      <c r="AE51" s="10">
        <f>IF(OR($A51="",NOT(ISNUMBER($J51)),AC51=""),"",ROUND($J51-AC51+AD51,1))</f>
        <v/>
      </c>
      <c r="AF51" s="10">
        <f>IF(AND($K51="Yes",ISNUMBER($L51),AC51&lt;&gt;""),ROUND($L51-AC51+AD51,1),"")</f>
        <v/>
      </c>
      <c r="AG51" s="10">
        <f>IF(AND($K51="Yes",ISNUMBER($M51),AC51&lt;&gt;""),ROUND($M51-AC51+AD51,1),"")</f>
        <v/>
      </c>
      <c r="AH51" s="10">
        <f>IF(AND(ISNUMBER($J51),ISNUMBER(AF51),ISNUMBER(AG51)),ROUND((AG51-MAX(AF51,0))*10,1),"")</f>
        <v/>
      </c>
      <c r="AI51" s="10">
        <f>IF(AE51="","",IF(AND($K51="Yes",ISNUMBER(AG51)),AG51,AE51))</f>
        <v/>
      </c>
      <c r="AJ51" s="10">
        <f>IF(AE51="","",ROUND(SUMIFS($AH$3:$AH$252,$A$3:$A$252,"&lt;="&amp;$A51),1))</f>
        <v/>
      </c>
      <c r="AK51" s="10">
        <f>IF(OR(AE51="",$A51=""),"",IF(ISNUMBER(IFERROR(INDEX($AI$3:$AI$252,MATCH($A51-1,$A$3:$A$252,0)),"")),ROUND((INDEX($AI$3:$AI$252,MATCH($A51-1,$A$3:$A$252,0))-AE51)*10,1),""))</f>
        <v/>
      </c>
      <c r="AL51" s="10">
        <f>IF(ISNUMBER(AE51),1,0)</f>
        <v/>
      </c>
      <c r="AM51" s="17">
        <f>IF($A51="","",IF(COUNTIF($A$3:$A$252,$A51)&gt;1,"same date twice; ","")&amp;IF(AND(ISNUMBER($B51),OR($B51&lt;0,$B51&gt;300)),"rain out of range; ","")&amp;IF(AND(ISNUMBER($C51),OR($C51&lt;0,$C51&gt;45)),"temp out of range; ","")&amp;IF(AND(ISNUMBER($D51),OR($D51&lt;0,$D51&gt;100)),"RH out of range; ",""))</f>
        <v/>
      </c>
      <c r="AN51" s="17">
        <f>IF($A51="","",IF(AND(ISNUMBER(T51),OR(T51&lt;-30,T51&gt;20)),"WL out of range; ","")&amp;IF(AND(ISNUMBER($E51),T51=""),"no TP/b; ","")&amp;IF(AND(ISNUMBER(U51),ISNUMBER(V51)),IF(V51&lt;U51,"After&lt;Before; ",""),"")&amp;IF(AND($F51="Yes",ISNUMBER($E51),W51=""),"irrigation readings missing; ","")&amp;IF(ISNUMBER(Z51),IF(AND(ABS(Z51)&gt;50,NOT(N($B51)&gt;0)),"WL jump &gt;5 cm; ",""),""))</f>
        <v/>
      </c>
      <c r="AO51" s="17">
        <f>IF($A51="","",IF(AND(ISNUMBER(AE51),OR(AE51&lt;-30,AE51&gt;20)),"WL out of range; ","")&amp;IF(AND(ISNUMBER($J51),AE51=""),"no TP/b; ","")&amp;IF(AND(ISNUMBER(AF51),ISNUMBER(AG51)),IF(AG51&lt;AF51,"After&lt;Before; ",""),"")&amp;IF(AND($K51="Yes",ISNUMBER($J51),AH51=""),"irrigation readings missing; ","")&amp;IF(ISNUMBER(AK51),IF(AND(ABS(AK51)&gt;50,NOT(N($B51)&gt;0)),"WL jump &gt;5 cm; ",""),"")&amp;IF(AND(ISNUMBER(PitanE),ISNUMBER(AB51),$A51&gt;PitanE+2,AB51&lt;PitanE),"re-measure TP/b after Pitan; ",""))</f>
        <v/>
      </c>
    </row>
    <row r="52">
      <c r="A52" s="14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0">
        <f>IF(OR($A52="",NOT(ISNUMBER(TransDate))),"",$A52-TransDate)</f>
        <v/>
      </c>
      <c r="Q52" s="16">
        <f>IF($A52="","",IF(_xlfn.MAXIFS('TP-b'!$B$2:$B$60,'TP-b'!$A$2:$A$60,"FP",'TP-b'!$E$2:$E$60,1,'TP-b'!$B$2:$B$60,"&lt;="&amp;$A52)&gt;0,_xlfn.MAXIFS('TP-b'!$B$2:$B$60,'TP-b'!$A$2:$A$60,"FP",'TP-b'!$E$2:$E$60,1,'TP-b'!$B$2:$B$60,"&lt;="&amp;$A52),IF(_xlfn.MINIFS('TP-b'!$B$2:$B$60,'TP-b'!$A$2:$A$60,"FP",'TP-b'!$E$2:$E$60,1)&gt;0,_xlfn.MINIFS('TP-b'!$B$2:$B$60,'TP-b'!$A$2:$A$60,"FP",'TP-b'!$E$2:$E$60,1),"")))</f>
        <v/>
      </c>
      <c r="R52" s="10">
        <f>IF(Q52="","",AVERAGEIFS('TP-b'!$C$2:$C$60,'TP-b'!$A$2:$A$60,"FP",'TP-b'!$B$2:$B$60,Q52,'TP-b'!$E$2:$E$60,1))</f>
        <v/>
      </c>
      <c r="S52" s="10">
        <f>IF(Q52="","",AVERAGEIFS('TP-b'!$D$2:$D$60,'TP-b'!$A$2:$A$60,"FP",'TP-b'!$B$2:$B$60,Q52,'TP-b'!$E$2:$E$60,1))</f>
        <v/>
      </c>
      <c r="T52" s="10">
        <f>IF(OR($A52="",NOT(ISNUMBER($E52)),R52=""),"",ROUND($E52-R52+S52,1))</f>
        <v/>
      </c>
      <c r="U52" s="10">
        <f>IF(AND($F52="Yes",ISNUMBER($G52),R52&lt;&gt;""),ROUND($G52-R52+S52,1),"")</f>
        <v/>
      </c>
      <c r="V52" s="10">
        <f>IF(AND($F52="Yes",ISNUMBER($H52),R52&lt;&gt;""),ROUND($H52-R52+S52,1),"")</f>
        <v/>
      </c>
      <c r="W52" s="10">
        <f>IF(AND(ISNUMBER($E52),ISNUMBER(U52),ISNUMBER(V52)),ROUND((V52-MAX(U52,0))*10,1),"")</f>
        <v/>
      </c>
      <c r="X52" s="10">
        <f>IF(T52="","",IF(AND($F52="Yes",ISNUMBER(V52)),V52,T52))</f>
        <v/>
      </c>
      <c r="Y52" s="10">
        <f>IF(T52="","",ROUND(SUMIFS($W$3:$W$252,$A$3:$A$252,"&lt;="&amp;$A52),1))</f>
        <v/>
      </c>
      <c r="Z52" s="10">
        <f>IF(OR(T52="",$A52=""),"",IF(ISNUMBER(IFERROR(INDEX($X$3:$X$252,MATCH($A52-1,$A$3:$A$252,0)),"")),ROUND((INDEX($X$3:$X$252,MATCH($A52-1,$A$3:$A$252,0))-T52)*10,1),""))</f>
        <v/>
      </c>
      <c r="AA52" s="10">
        <f>IF(ISNUMBER(T52),1,0)</f>
        <v/>
      </c>
      <c r="AB52" s="16">
        <f>IF($A52="","",IF(_xlfn.MAXIFS('TP-b'!$B$2:$B$60,'TP-b'!$A$2:$A$60,"3F4D+MD",'TP-b'!$E$2:$E$60,1,'TP-b'!$B$2:$B$60,"&lt;="&amp;$A52)&gt;0,_xlfn.MAXIFS('TP-b'!$B$2:$B$60,'TP-b'!$A$2:$A$60,"3F4D+MD",'TP-b'!$E$2:$E$60,1,'TP-b'!$B$2:$B$60,"&lt;="&amp;$A52),IF(_xlfn.MINIFS('TP-b'!$B$2:$B$60,'TP-b'!$A$2:$A$60,"3F4D+MD",'TP-b'!$E$2:$E$60,1)&gt;0,_xlfn.MINIFS('TP-b'!$B$2:$B$60,'TP-b'!$A$2:$A$60,"3F4D+MD",'TP-b'!$E$2:$E$60,1),"")))</f>
        <v/>
      </c>
      <c r="AC52" s="10">
        <f>IF(AB52="","",AVERAGEIFS('TP-b'!$C$2:$C$60,'TP-b'!$A$2:$A$60,"3F4D+MD",'TP-b'!$B$2:$B$60,AB52,'TP-b'!$E$2:$E$60,1))</f>
        <v/>
      </c>
      <c r="AD52" s="10">
        <f>IF(AB52="","",AVERAGEIFS('TP-b'!$D$2:$D$60,'TP-b'!$A$2:$A$60,"3F4D+MD",'TP-b'!$B$2:$B$60,AB52,'TP-b'!$E$2:$E$60,1))</f>
        <v/>
      </c>
      <c r="AE52" s="10">
        <f>IF(OR($A52="",NOT(ISNUMBER($J52)),AC52=""),"",ROUND($J52-AC52+AD52,1))</f>
        <v/>
      </c>
      <c r="AF52" s="10">
        <f>IF(AND($K52="Yes",ISNUMBER($L52),AC52&lt;&gt;""),ROUND($L52-AC52+AD52,1),"")</f>
        <v/>
      </c>
      <c r="AG52" s="10">
        <f>IF(AND($K52="Yes",ISNUMBER($M52),AC52&lt;&gt;""),ROUND($M52-AC52+AD52,1),"")</f>
        <v/>
      </c>
      <c r="AH52" s="10">
        <f>IF(AND(ISNUMBER($J52),ISNUMBER(AF52),ISNUMBER(AG52)),ROUND((AG52-MAX(AF52,0))*10,1),"")</f>
        <v/>
      </c>
      <c r="AI52" s="10">
        <f>IF(AE52="","",IF(AND($K52="Yes",ISNUMBER(AG52)),AG52,AE52))</f>
        <v/>
      </c>
      <c r="AJ52" s="10">
        <f>IF(AE52="","",ROUND(SUMIFS($AH$3:$AH$252,$A$3:$A$252,"&lt;="&amp;$A52),1))</f>
        <v/>
      </c>
      <c r="AK52" s="10">
        <f>IF(OR(AE52="",$A52=""),"",IF(ISNUMBER(IFERROR(INDEX($AI$3:$AI$252,MATCH($A52-1,$A$3:$A$252,0)),"")),ROUND((INDEX($AI$3:$AI$252,MATCH($A52-1,$A$3:$A$252,0))-AE52)*10,1),""))</f>
        <v/>
      </c>
      <c r="AL52" s="10">
        <f>IF(ISNUMBER(AE52),1,0)</f>
        <v/>
      </c>
      <c r="AM52" s="17">
        <f>IF($A52="","",IF(COUNTIF($A$3:$A$252,$A52)&gt;1,"same date twice; ","")&amp;IF(AND(ISNUMBER($B52),OR($B52&lt;0,$B52&gt;300)),"rain out of range; ","")&amp;IF(AND(ISNUMBER($C52),OR($C52&lt;0,$C52&gt;45)),"temp out of range; ","")&amp;IF(AND(ISNUMBER($D52),OR($D52&lt;0,$D52&gt;100)),"RH out of range; ",""))</f>
        <v/>
      </c>
      <c r="AN52" s="17">
        <f>IF($A52="","",IF(AND(ISNUMBER(T52),OR(T52&lt;-30,T52&gt;20)),"WL out of range; ","")&amp;IF(AND(ISNUMBER($E52),T52=""),"no TP/b; ","")&amp;IF(AND(ISNUMBER(U52),ISNUMBER(V52)),IF(V52&lt;U52,"After&lt;Before; ",""),"")&amp;IF(AND($F52="Yes",ISNUMBER($E52),W52=""),"irrigation readings missing; ","")&amp;IF(ISNUMBER(Z52),IF(AND(ABS(Z52)&gt;50,NOT(N($B52)&gt;0)),"WL jump &gt;5 cm; ",""),""))</f>
        <v/>
      </c>
      <c r="AO52" s="17">
        <f>IF($A52="","",IF(AND(ISNUMBER(AE52),OR(AE52&lt;-30,AE52&gt;20)),"WL out of range; ","")&amp;IF(AND(ISNUMBER($J52),AE52=""),"no TP/b; ","")&amp;IF(AND(ISNUMBER(AF52),ISNUMBER(AG52)),IF(AG52&lt;AF52,"After&lt;Before; ",""),"")&amp;IF(AND($K52="Yes",ISNUMBER($J52),AH52=""),"irrigation readings missing; ","")&amp;IF(ISNUMBER(AK52),IF(AND(ABS(AK52)&gt;50,NOT(N($B52)&gt;0)),"WL jump &gt;5 cm; ",""),"")&amp;IF(AND(ISNUMBER(PitanE),ISNUMBER(AB52),$A52&gt;PitanE+2,AB52&lt;PitanE),"re-measure TP/b after Pitan; ",""))</f>
        <v/>
      </c>
    </row>
    <row r="53">
      <c r="A53" s="14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0">
        <f>IF(OR($A53="",NOT(ISNUMBER(TransDate))),"",$A53-TransDate)</f>
        <v/>
      </c>
      <c r="Q53" s="16">
        <f>IF($A53="","",IF(_xlfn.MAXIFS('TP-b'!$B$2:$B$60,'TP-b'!$A$2:$A$60,"FP",'TP-b'!$E$2:$E$60,1,'TP-b'!$B$2:$B$60,"&lt;="&amp;$A53)&gt;0,_xlfn.MAXIFS('TP-b'!$B$2:$B$60,'TP-b'!$A$2:$A$60,"FP",'TP-b'!$E$2:$E$60,1,'TP-b'!$B$2:$B$60,"&lt;="&amp;$A53),IF(_xlfn.MINIFS('TP-b'!$B$2:$B$60,'TP-b'!$A$2:$A$60,"FP",'TP-b'!$E$2:$E$60,1)&gt;0,_xlfn.MINIFS('TP-b'!$B$2:$B$60,'TP-b'!$A$2:$A$60,"FP",'TP-b'!$E$2:$E$60,1),"")))</f>
        <v/>
      </c>
      <c r="R53" s="10">
        <f>IF(Q53="","",AVERAGEIFS('TP-b'!$C$2:$C$60,'TP-b'!$A$2:$A$60,"FP",'TP-b'!$B$2:$B$60,Q53,'TP-b'!$E$2:$E$60,1))</f>
        <v/>
      </c>
      <c r="S53" s="10">
        <f>IF(Q53="","",AVERAGEIFS('TP-b'!$D$2:$D$60,'TP-b'!$A$2:$A$60,"FP",'TP-b'!$B$2:$B$60,Q53,'TP-b'!$E$2:$E$60,1))</f>
        <v/>
      </c>
      <c r="T53" s="10">
        <f>IF(OR($A53="",NOT(ISNUMBER($E53)),R53=""),"",ROUND($E53-R53+S53,1))</f>
        <v/>
      </c>
      <c r="U53" s="10">
        <f>IF(AND($F53="Yes",ISNUMBER($G53),R53&lt;&gt;""),ROUND($G53-R53+S53,1),"")</f>
        <v/>
      </c>
      <c r="V53" s="10">
        <f>IF(AND($F53="Yes",ISNUMBER($H53),R53&lt;&gt;""),ROUND($H53-R53+S53,1),"")</f>
        <v/>
      </c>
      <c r="W53" s="10">
        <f>IF(AND(ISNUMBER($E53),ISNUMBER(U53),ISNUMBER(V53)),ROUND((V53-MAX(U53,0))*10,1),"")</f>
        <v/>
      </c>
      <c r="X53" s="10">
        <f>IF(T53="","",IF(AND($F53="Yes",ISNUMBER(V53)),V53,T53))</f>
        <v/>
      </c>
      <c r="Y53" s="10">
        <f>IF(T53="","",ROUND(SUMIFS($W$3:$W$252,$A$3:$A$252,"&lt;="&amp;$A53),1))</f>
        <v/>
      </c>
      <c r="Z53" s="10">
        <f>IF(OR(T53="",$A53=""),"",IF(ISNUMBER(IFERROR(INDEX($X$3:$X$252,MATCH($A53-1,$A$3:$A$252,0)),"")),ROUND((INDEX($X$3:$X$252,MATCH($A53-1,$A$3:$A$252,0))-T53)*10,1),""))</f>
        <v/>
      </c>
      <c r="AA53" s="10">
        <f>IF(ISNUMBER(T53),1,0)</f>
        <v/>
      </c>
      <c r="AB53" s="16">
        <f>IF($A53="","",IF(_xlfn.MAXIFS('TP-b'!$B$2:$B$60,'TP-b'!$A$2:$A$60,"3F4D+MD",'TP-b'!$E$2:$E$60,1,'TP-b'!$B$2:$B$60,"&lt;="&amp;$A53)&gt;0,_xlfn.MAXIFS('TP-b'!$B$2:$B$60,'TP-b'!$A$2:$A$60,"3F4D+MD",'TP-b'!$E$2:$E$60,1,'TP-b'!$B$2:$B$60,"&lt;="&amp;$A53),IF(_xlfn.MINIFS('TP-b'!$B$2:$B$60,'TP-b'!$A$2:$A$60,"3F4D+MD",'TP-b'!$E$2:$E$60,1)&gt;0,_xlfn.MINIFS('TP-b'!$B$2:$B$60,'TP-b'!$A$2:$A$60,"3F4D+MD",'TP-b'!$E$2:$E$60,1),"")))</f>
        <v/>
      </c>
      <c r="AC53" s="10">
        <f>IF(AB53="","",AVERAGEIFS('TP-b'!$C$2:$C$60,'TP-b'!$A$2:$A$60,"3F4D+MD",'TP-b'!$B$2:$B$60,AB53,'TP-b'!$E$2:$E$60,1))</f>
        <v/>
      </c>
      <c r="AD53" s="10">
        <f>IF(AB53="","",AVERAGEIFS('TP-b'!$D$2:$D$60,'TP-b'!$A$2:$A$60,"3F4D+MD",'TP-b'!$B$2:$B$60,AB53,'TP-b'!$E$2:$E$60,1))</f>
        <v/>
      </c>
      <c r="AE53" s="10">
        <f>IF(OR($A53="",NOT(ISNUMBER($J53)),AC53=""),"",ROUND($J53-AC53+AD53,1))</f>
        <v/>
      </c>
      <c r="AF53" s="10">
        <f>IF(AND($K53="Yes",ISNUMBER($L53),AC53&lt;&gt;""),ROUND($L53-AC53+AD53,1),"")</f>
        <v/>
      </c>
      <c r="AG53" s="10">
        <f>IF(AND($K53="Yes",ISNUMBER($M53),AC53&lt;&gt;""),ROUND($M53-AC53+AD53,1),"")</f>
        <v/>
      </c>
      <c r="AH53" s="10">
        <f>IF(AND(ISNUMBER($J53),ISNUMBER(AF53),ISNUMBER(AG53)),ROUND((AG53-MAX(AF53,0))*10,1),"")</f>
        <v/>
      </c>
      <c r="AI53" s="10">
        <f>IF(AE53="","",IF(AND($K53="Yes",ISNUMBER(AG53)),AG53,AE53))</f>
        <v/>
      </c>
      <c r="AJ53" s="10">
        <f>IF(AE53="","",ROUND(SUMIFS($AH$3:$AH$252,$A$3:$A$252,"&lt;="&amp;$A53),1))</f>
        <v/>
      </c>
      <c r="AK53" s="10">
        <f>IF(OR(AE53="",$A53=""),"",IF(ISNUMBER(IFERROR(INDEX($AI$3:$AI$252,MATCH($A53-1,$A$3:$A$252,0)),"")),ROUND((INDEX($AI$3:$AI$252,MATCH($A53-1,$A$3:$A$252,0))-AE53)*10,1),""))</f>
        <v/>
      </c>
      <c r="AL53" s="10">
        <f>IF(ISNUMBER(AE53),1,0)</f>
        <v/>
      </c>
      <c r="AM53" s="17">
        <f>IF($A53="","",IF(COUNTIF($A$3:$A$252,$A53)&gt;1,"same date twice; ","")&amp;IF(AND(ISNUMBER($B53),OR($B53&lt;0,$B53&gt;300)),"rain out of range; ","")&amp;IF(AND(ISNUMBER($C53),OR($C53&lt;0,$C53&gt;45)),"temp out of range; ","")&amp;IF(AND(ISNUMBER($D53),OR($D53&lt;0,$D53&gt;100)),"RH out of range; ",""))</f>
        <v/>
      </c>
      <c r="AN53" s="17">
        <f>IF($A53="","",IF(AND(ISNUMBER(T53),OR(T53&lt;-30,T53&gt;20)),"WL out of range; ","")&amp;IF(AND(ISNUMBER($E53),T53=""),"no TP/b; ","")&amp;IF(AND(ISNUMBER(U53),ISNUMBER(V53)),IF(V53&lt;U53,"After&lt;Before; ",""),"")&amp;IF(AND($F53="Yes",ISNUMBER($E53),W53=""),"irrigation readings missing; ","")&amp;IF(ISNUMBER(Z53),IF(AND(ABS(Z53)&gt;50,NOT(N($B53)&gt;0)),"WL jump &gt;5 cm; ",""),""))</f>
        <v/>
      </c>
      <c r="AO53" s="17">
        <f>IF($A53="","",IF(AND(ISNUMBER(AE53),OR(AE53&lt;-30,AE53&gt;20)),"WL out of range; ","")&amp;IF(AND(ISNUMBER($J53),AE53=""),"no TP/b; ","")&amp;IF(AND(ISNUMBER(AF53),ISNUMBER(AG53)),IF(AG53&lt;AF53,"After&lt;Before; ",""),"")&amp;IF(AND($K53="Yes",ISNUMBER($J53),AH53=""),"irrigation readings missing; ","")&amp;IF(ISNUMBER(AK53),IF(AND(ABS(AK53)&gt;50,NOT(N($B53)&gt;0)),"WL jump &gt;5 cm; ",""),"")&amp;IF(AND(ISNUMBER(PitanE),ISNUMBER(AB53),$A53&gt;PitanE+2,AB53&lt;PitanE),"re-measure TP/b after Pitan; ",""))</f>
        <v/>
      </c>
    </row>
    <row r="54">
      <c r="A54" s="14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0">
        <f>IF(OR($A54="",NOT(ISNUMBER(TransDate))),"",$A54-TransDate)</f>
        <v/>
      </c>
      <c r="Q54" s="16">
        <f>IF($A54="","",IF(_xlfn.MAXIFS('TP-b'!$B$2:$B$60,'TP-b'!$A$2:$A$60,"FP",'TP-b'!$E$2:$E$60,1,'TP-b'!$B$2:$B$60,"&lt;="&amp;$A54)&gt;0,_xlfn.MAXIFS('TP-b'!$B$2:$B$60,'TP-b'!$A$2:$A$60,"FP",'TP-b'!$E$2:$E$60,1,'TP-b'!$B$2:$B$60,"&lt;="&amp;$A54),IF(_xlfn.MINIFS('TP-b'!$B$2:$B$60,'TP-b'!$A$2:$A$60,"FP",'TP-b'!$E$2:$E$60,1)&gt;0,_xlfn.MINIFS('TP-b'!$B$2:$B$60,'TP-b'!$A$2:$A$60,"FP",'TP-b'!$E$2:$E$60,1),"")))</f>
        <v/>
      </c>
      <c r="R54" s="10">
        <f>IF(Q54="","",AVERAGEIFS('TP-b'!$C$2:$C$60,'TP-b'!$A$2:$A$60,"FP",'TP-b'!$B$2:$B$60,Q54,'TP-b'!$E$2:$E$60,1))</f>
        <v/>
      </c>
      <c r="S54" s="10">
        <f>IF(Q54="","",AVERAGEIFS('TP-b'!$D$2:$D$60,'TP-b'!$A$2:$A$60,"FP",'TP-b'!$B$2:$B$60,Q54,'TP-b'!$E$2:$E$60,1))</f>
        <v/>
      </c>
      <c r="T54" s="10">
        <f>IF(OR($A54="",NOT(ISNUMBER($E54)),R54=""),"",ROUND($E54-R54+S54,1))</f>
        <v/>
      </c>
      <c r="U54" s="10">
        <f>IF(AND($F54="Yes",ISNUMBER($G54),R54&lt;&gt;""),ROUND($G54-R54+S54,1),"")</f>
        <v/>
      </c>
      <c r="V54" s="10">
        <f>IF(AND($F54="Yes",ISNUMBER($H54),R54&lt;&gt;""),ROUND($H54-R54+S54,1),"")</f>
        <v/>
      </c>
      <c r="W54" s="10">
        <f>IF(AND(ISNUMBER($E54),ISNUMBER(U54),ISNUMBER(V54)),ROUND((V54-MAX(U54,0))*10,1),"")</f>
        <v/>
      </c>
      <c r="X54" s="10">
        <f>IF(T54="","",IF(AND($F54="Yes",ISNUMBER(V54)),V54,T54))</f>
        <v/>
      </c>
      <c r="Y54" s="10">
        <f>IF(T54="","",ROUND(SUMIFS($W$3:$W$252,$A$3:$A$252,"&lt;="&amp;$A54),1))</f>
        <v/>
      </c>
      <c r="Z54" s="10">
        <f>IF(OR(T54="",$A54=""),"",IF(ISNUMBER(IFERROR(INDEX($X$3:$X$252,MATCH($A54-1,$A$3:$A$252,0)),"")),ROUND((INDEX($X$3:$X$252,MATCH($A54-1,$A$3:$A$252,0))-T54)*10,1),""))</f>
        <v/>
      </c>
      <c r="AA54" s="10">
        <f>IF(ISNUMBER(T54),1,0)</f>
        <v/>
      </c>
      <c r="AB54" s="16">
        <f>IF($A54="","",IF(_xlfn.MAXIFS('TP-b'!$B$2:$B$60,'TP-b'!$A$2:$A$60,"3F4D+MD",'TP-b'!$E$2:$E$60,1,'TP-b'!$B$2:$B$60,"&lt;="&amp;$A54)&gt;0,_xlfn.MAXIFS('TP-b'!$B$2:$B$60,'TP-b'!$A$2:$A$60,"3F4D+MD",'TP-b'!$E$2:$E$60,1,'TP-b'!$B$2:$B$60,"&lt;="&amp;$A54),IF(_xlfn.MINIFS('TP-b'!$B$2:$B$60,'TP-b'!$A$2:$A$60,"3F4D+MD",'TP-b'!$E$2:$E$60,1)&gt;0,_xlfn.MINIFS('TP-b'!$B$2:$B$60,'TP-b'!$A$2:$A$60,"3F4D+MD",'TP-b'!$E$2:$E$60,1),"")))</f>
        <v/>
      </c>
      <c r="AC54" s="10">
        <f>IF(AB54="","",AVERAGEIFS('TP-b'!$C$2:$C$60,'TP-b'!$A$2:$A$60,"3F4D+MD",'TP-b'!$B$2:$B$60,AB54,'TP-b'!$E$2:$E$60,1))</f>
        <v/>
      </c>
      <c r="AD54" s="10">
        <f>IF(AB54="","",AVERAGEIFS('TP-b'!$D$2:$D$60,'TP-b'!$A$2:$A$60,"3F4D+MD",'TP-b'!$B$2:$B$60,AB54,'TP-b'!$E$2:$E$60,1))</f>
        <v/>
      </c>
      <c r="AE54" s="10">
        <f>IF(OR($A54="",NOT(ISNUMBER($J54)),AC54=""),"",ROUND($J54-AC54+AD54,1))</f>
        <v/>
      </c>
      <c r="AF54" s="10">
        <f>IF(AND($K54="Yes",ISNUMBER($L54),AC54&lt;&gt;""),ROUND($L54-AC54+AD54,1),"")</f>
        <v/>
      </c>
      <c r="AG54" s="10">
        <f>IF(AND($K54="Yes",ISNUMBER($M54),AC54&lt;&gt;""),ROUND($M54-AC54+AD54,1),"")</f>
        <v/>
      </c>
      <c r="AH54" s="10">
        <f>IF(AND(ISNUMBER($J54),ISNUMBER(AF54),ISNUMBER(AG54)),ROUND((AG54-MAX(AF54,0))*10,1),"")</f>
        <v/>
      </c>
      <c r="AI54" s="10">
        <f>IF(AE54="","",IF(AND($K54="Yes",ISNUMBER(AG54)),AG54,AE54))</f>
        <v/>
      </c>
      <c r="AJ54" s="10">
        <f>IF(AE54="","",ROUND(SUMIFS($AH$3:$AH$252,$A$3:$A$252,"&lt;="&amp;$A54),1))</f>
        <v/>
      </c>
      <c r="AK54" s="10">
        <f>IF(OR(AE54="",$A54=""),"",IF(ISNUMBER(IFERROR(INDEX($AI$3:$AI$252,MATCH($A54-1,$A$3:$A$252,0)),"")),ROUND((INDEX($AI$3:$AI$252,MATCH($A54-1,$A$3:$A$252,0))-AE54)*10,1),""))</f>
        <v/>
      </c>
      <c r="AL54" s="10">
        <f>IF(ISNUMBER(AE54),1,0)</f>
        <v/>
      </c>
      <c r="AM54" s="17">
        <f>IF($A54="","",IF(COUNTIF($A$3:$A$252,$A54)&gt;1,"same date twice; ","")&amp;IF(AND(ISNUMBER($B54),OR($B54&lt;0,$B54&gt;300)),"rain out of range; ","")&amp;IF(AND(ISNUMBER($C54),OR($C54&lt;0,$C54&gt;45)),"temp out of range; ","")&amp;IF(AND(ISNUMBER($D54),OR($D54&lt;0,$D54&gt;100)),"RH out of range; ",""))</f>
        <v/>
      </c>
      <c r="AN54" s="17">
        <f>IF($A54="","",IF(AND(ISNUMBER(T54),OR(T54&lt;-30,T54&gt;20)),"WL out of range; ","")&amp;IF(AND(ISNUMBER($E54),T54=""),"no TP/b; ","")&amp;IF(AND(ISNUMBER(U54),ISNUMBER(V54)),IF(V54&lt;U54,"After&lt;Before; ",""),"")&amp;IF(AND($F54="Yes",ISNUMBER($E54),W54=""),"irrigation readings missing; ","")&amp;IF(ISNUMBER(Z54),IF(AND(ABS(Z54)&gt;50,NOT(N($B54)&gt;0)),"WL jump &gt;5 cm; ",""),""))</f>
        <v/>
      </c>
      <c r="AO54" s="17">
        <f>IF($A54="","",IF(AND(ISNUMBER(AE54),OR(AE54&lt;-30,AE54&gt;20)),"WL out of range; ","")&amp;IF(AND(ISNUMBER($J54),AE54=""),"no TP/b; ","")&amp;IF(AND(ISNUMBER(AF54),ISNUMBER(AG54)),IF(AG54&lt;AF54,"After&lt;Before; ",""),"")&amp;IF(AND($K54="Yes",ISNUMBER($J54),AH54=""),"irrigation readings missing; ","")&amp;IF(ISNUMBER(AK54),IF(AND(ABS(AK54)&gt;50,NOT(N($B54)&gt;0)),"WL jump &gt;5 cm; ",""),"")&amp;IF(AND(ISNUMBER(PitanE),ISNUMBER(AB54),$A54&gt;PitanE+2,AB54&lt;PitanE),"re-measure TP/b after Pitan; ",""))</f>
        <v/>
      </c>
    </row>
    <row r="55">
      <c r="A55" s="14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0">
        <f>IF(OR($A55="",NOT(ISNUMBER(TransDate))),"",$A55-TransDate)</f>
        <v/>
      </c>
      <c r="Q55" s="16">
        <f>IF($A55="","",IF(_xlfn.MAXIFS('TP-b'!$B$2:$B$60,'TP-b'!$A$2:$A$60,"FP",'TP-b'!$E$2:$E$60,1,'TP-b'!$B$2:$B$60,"&lt;="&amp;$A55)&gt;0,_xlfn.MAXIFS('TP-b'!$B$2:$B$60,'TP-b'!$A$2:$A$60,"FP",'TP-b'!$E$2:$E$60,1,'TP-b'!$B$2:$B$60,"&lt;="&amp;$A55),IF(_xlfn.MINIFS('TP-b'!$B$2:$B$60,'TP-b'!$A$2:$A$60,"FP",'TP-b'!$E$2:$E$60,1)&gt;0,_xlfn.MINIFS('TP-b'!$B$2:$B$60,'TP-b'!$A$2:$A$60,"FP",'TP-b'!$E$2:$E$60,1),"")))</f>
        <v/>
      </c>
      <c r="R55" s="10">
        <f>IF(Q55="","",AVERAGEIFS('TP-b'!$C$2:$C$60,'TP-b'!$A$2:$A$60,"FP",'TP-b'!$B$2:$B$60,Q55,'TP-b'!$E$2:$E$60,1))</f>
        <v/>
      </c>
      <c r="S55" s="10">
        <f>IF(Q55="","",AVERAGEIFS('TP-b'!$D$2:$D$60,'TP-b'!$A$2:$A$60,"FP",'TP-b'!$B$2:$B$60,Q55,'TP-b'!$E$2:$E$60,1))</f>
        <v/>
      </c>
      <c r="T55" s="10">
        <f>IF(OR($A55="",NOT(ISNUMBER($E55)),R55=""),"",ROUND($E55-R55+S55,1))</f>
        <v/>
      </c>
      <c r="U55" s="10">
        <f>IF(AND($F55="Yes",ISNUMBER($G55),R55&lt;&gt;""),ROUND($G55-R55+S55,1),"")</f>
        <v/>
      </c>
      <c r="V55" s="10">
        <f>IF(AND($F55="Yes",ISNUMBER($H55),R55&lt;&gt;""),ROUND($H55-R55+S55,1),"")</f>
        <v/>
      </c>
      <c r="W55" s="10">
        <f>IF(AND(ISNUMBER($E55),ISNUMBER(U55),ISNUMBER(V55)),ROUND((V55-MAX(U55,0))*10,1),"")</f>
        <v/>
      </c>
      <c r="X55" s="10">
        <f>IF(T55="","",IF(AND($F55="Yes",ISNUMBER(V55)),V55,T55))</f>
        <v/>
      </c>
      <c r="Y55" s="10">
        <f>IF(T55="","",ROUND(SUMIFS($W$3:$W$252,$A$3:$A$252,"&lt;="&amp;$A55),1))</f>
        <v/>
      </c>
      <c r="Z55" s="10">
        <f>IF(OR(T55="",$A55=""),"",IF(ISNUMBER(IFERROR(INDEX($X$3:$X$252,MATCH($A55-1,$A$3:$A$252,0)),"")),ROUND((INDEX($X$3:$X$252,MATCH($A55-1,$A$3:$A$252,0))-T55)*10,1),""))</f>
        <v/>
      </c>
      <c r="AA55" s="10">
        <f>IF(ISNUMBER(T55),1,0)</f>
        <v/>
      </c>
      <c r="AB55" s="16">
        <f>IF($A55="","",IF(_xlfn.MAXIFS('TP-b'!$B$2:$B$60,'TP-b'!$A$2:$A$60,"3F4D+MD",'TP-b'!$E$2:$E$60,1,'TP-b'!$B$2:$B$60,"&lt;="&amp;$A55)&gt;0,_xlfn.MAXIFS('TP-b'!$B$2:$B$60,'TP-b'!$A$2:$A$60,"3F4D+MD",'TP-b'!$E$2:$E$60,1,'TP-b'!$B$2:$B$60,"&lt;="&amp;$A55),IF(_xlfn.MINIFS('TP-b'!$B$2:$B$60,'TP-b'!$A$2:$A$60,"3F4D+MD",'TP-b'!$E$2:$E$60,1)&gt;0,_xlfn.MINIFS('TP-b'!$B$2:$B$60,'TP-b'!$A$2:$A$60,"3F4D+MD",'TP-b'!$E$2:$E$60,1),"")))</f>
        <v/>
      </c>
      <c r="AC55" s="10">
        <f>IF(AB55="","",AVERAGEIFS('TP-b'!$C$2:$C$60,'TP-b'!$A$2:$A$60,"3F4D+MD",'TP-b'!$B$2:$B$60,AB55,'TP-b'!$E$2:$E$60,1))</f>
        <v/>
      </c>
      <c r="AD55" s="10">
        <f>IF(AB55="","",AVERAGEIFS('TP-b'!$D$2:$D$60,'TP-b'!$A$2:$A$60,"3F4D+MD",'TP-b'!$B$2:$B$60,AB55,'TP-b'!$E$2:$E$60,1))</f>
        <v/>
      </c>
      <c r="AE55" s="10">
        <f>IF(OR($A55="",NOT(ISNUMBER($J55)),AC55=""),"",ROUND($J55-AC55+AD55,1))</f>
        <v/>
      </c>
      <c r="AF55" s="10">
        <f>IF(AND($K55="Yes",ISNUMBER($L55),AC55&lt;&gt;""),ROUND($L55-AC55+AD55,1),"")</f>
        <v/>
      </c>
      <c r="AG55" s="10">
        <f>IF(AND($K55="Yes",ISNUMBER($M55),AC55&lt;&gt;""),ROUND($M55-AC55+AD55,1),"")</f>
        <v/>
      </c>
      <c r="AH55" s="10">
        <f>IF(AND(ISNUMBER($J55),ISNUMBER(AF55),ISNUMBER(AG55)),ROUND((AG55-MAX(AF55,0))*10,1),"")</f>
        <v/>
      </c>
      <c r="AI55" s="10">
        <f>IF(AE55="","",IF(AND($K55="Yes",ISNUMBER(AG55)),AG55,AE55))</f>
        <v/>
      </c>
      <c r="AJ55" s="10">
        <f>IF(AE55="","",ROUND(SUMIFS($AH$3:$AH$252,$A$3:$A$252,"&lt;="&amp;$A55),1))</f>
        <v/>
      </c>
      <c r="AK55" s="10">
        <f>IF(OR(AE55="",$A55=""),"",IF(ISNUMBER(IFERROR(INDEX($AI$3:$AI$252,MATCH($A55-1,$A$3:$A$252,0)),"")),ROUND((INDEX($AI$3:$AI$252,MATCH($A55-1,$A$3:$A$252,0))-AE55)*10,1),""))</f>
        <v/>
      </c>
      <c r="AL55" s="10">
        <f>IF(ISNUMBER(AE55),1,0)</f>
        <v/>
      </c>
      <c r="AM55" s="17">
        <f>IF($A55="","",IF(COUNTIF($A$3:$A$252,$A55)&gt;1,"same date twice; ","")&amp;IF(AND(ISNUMBER($B55),OR($B55&lt;0,$B55&gt;300)),"rain out of range; ","")&amp;IF(AND(ISNUMBER($C55),OR($C55&lt;0,$C55&gt;45)),"temp out of range; ","")&amp;IF(AND(ISNUMBER($D55),OR($D55&lt;0,$D55&gt;100)),"RH out of range; ",""))</f>
        <v/>
      </c>
      <c r="AN55" s="17">
        <f>IF($A55="","",IF(AND(ISNUMBER(T55),OR(T55&lt;-30,T55&gt;20)),"WL out of range; ","")&amp;IF(AND(ISNUMBER($E55),T55=""),"no TP/b; ","")&amp;IF(AND(ISNUMBER(U55),ISNUMBER(V55)),IF(V55&lt;U55,"After&lt;Before; ",""),"")&amp;IF(AND($F55="Yes",ISNUMBER($E55),W55=""),"irrigation readings missing; ","")&amp;IF(ISNUMBER(Z55),IF(AND(ABS(Z55)&gt;50,NOT(N($B55)&gt;0)),"WL jump &gt;5 cm; ",""),""))</f>
        <v/>
      </c>
      <c r="AO55" s="17">
        <f>IF($A55="","",IF(AND(ISNUMBER(AE55),OR(AE55&lt;-30,AE55&gt;20)),"WL out of range; ","")&amp;IF(AND(ISNUMBER($J55),AE55=""),"no TP/b; ","")&amp;IF(AND(ISNUMBER(AF55),ISNUMBER(AG55)),IF(AG55&lt;AF55,"After&lt;Before; ",""),"")&amp;IF(AND($K55="Yes",ISNUMBER($J55),AH55=""),"irrigation readings missing; ","")&amp;IF(ISNUMBER(AK55),IF(AND(ABS(AK55)&gt;50,NOT(N($B55)&gt;0)),"WL jump &gt;5 cm; ",""),"")&amp;IF(AND(ISNUMBER(PitanE),ISNUMBER(AB55),$A55&gt;PitanE+2,AB55&lt;PitanE),"re-measure TP/b after Pitan; ",""))</f>
        <v/>
      </c>
    </row>
    <row r="56">
      <c r="A56" s="14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0">
        <f>IF(OR($A56="",NOT(ISNUMBER(TransDate))),"",$A56-TransDate)</f>
        <v/>
      </c>
      <c r="Q56" s="16">
        <f>IF($A56="","",IF(_xlfn.MAXIFS('TP-b'!$B$2:$B$60,'TP-b'!$A$2:$A$60,"FP",'TP-b'!$E$2:$E$60,1,'TP-b'!$B$2:$B$60,"&lt;="&amp;$A56)&gt;0,_xlfn.MAXIFS('TP-b'!$B$2:$B$60,'TP-b'!$A$2:$A$60,"FP",'TP-b'!$E$2:$E$60,1,'TP-b'!$B$2:$B$60,"&lt;="&amp;$A56),IF(_xlfn.MINIFS('TP-b'!$B$2:$B$60,'TP-b'!$A$2:$A$60,"FP",'TP-b'!$E$2:$E$60,1)&gt;0,_xlfn.MINIFS('TP-b'!$B$2:$B$60,'TP-b'!$A$2:$A$60,"FP",'TP-b'!$E$2:$E$60,1),"")))</f>
        <v/>
      </c>
      <c r="R56" s="10">
        <f>IF(Q56="","",AVERAGEIFS('TP-b'!$C$2:$C$60,'TP-b'!$A$2:$A$60,"FP",'TP-b'!$B$2:$B$60,Q56,'TP-b'!$E$2:$E$60,1))</f>
        <v/>
      </c>
      <c r="S56" s="10">
        <f>IF(Q56="","",AVERAGEIFS('TP-b'!$D$2:$D$60,'TP-b'!$A$2:$A$60,"FP",'TP-b'!$B$2:$B$60,Q56,'TP-b'!$E$2:$E$60,1))</f>
        <v/>
      </c>
      <c r="T56" s="10">
        <f>IF(OR($A56="",NOT(ISNUMBER($E56)),R56=""),"",ROUND($E56-R56+S56,1))</f>
        <v/>
      </c>
      <c r="U56" s="10">
        <f>IF(AND($F56="Yes",ISNUMBER($G56),R56&lt;&gt;""),ROUND($G56-R56+S56,1),"")</f>
        <v/>
      </c>
      <c r="V56" s="10">
        <f>IF(AND($F56="Yes",ISNUMBER($H56),R56&lt;&gt;""),ROUND($H56-R56+S56,1),"")</f>
        <v/>
      </c>
      <c r="W56" s="10">
        <f>IF(AND(ISNUMBER($E56),ISNUMBER(U56),ISNUMBER(V56)),ROUND((V56-MAX(U56,0))*10,1),"")</f>
        <v/>
      </c>
      <c r="X56" s="10">
        <f>IF(T56="","",IF(AND($F56="Yes",ISNUMBER(V56)),V56,T56))</f>
        <v/>
      </c>
      <c r="Y56" s="10">
        <f>IF(T56="","",ROUND(SUMIFS($W$3:$W$252,$A$3:$A$252,"&lt;="&amp;$A56),1))</f>
        <v/>
      </c>
      <c r="Z56" s="10">
        <f>IF(OR(T56="",$A56=""),"",IF(ISNUMBER(IFERROR(INDEX($X$3:$X$252,MATCH($A56-1,$A$3:$A$252,0)),"")),ROUND((INDEX($X$3:$X$252,MATCH($A56-1,$A$3:$A$252,0))-T56)*10,1),""))</f>
        <v/>
      </c>
      <c r="AA56" s="10">
        <f>IF(ISNUMBER(T56),1,0)</f>
        <v/>
      </c>
      <c r="AB56" s="16">
        <f>IF($A56="","",IF(_xlfn.MAXIFS('TP-b'!$B$2:$B$60,'TP-b'!$A$2:$A$60,"3F4D+MD",'TP-b'!$E$2:$E$60,1,'TP-b'!$B$2:$B$60,"&lt;="&amp;$A56)&gt;0,_xlfn.MAXIFS('TP-b'!$B$2:$B$60,'TP-b'!$A$2:$A$60,"3F4D+MD",'TP-b'!$E$2:$E$60,1,'TP-b'!$B$2:$B$60,"&lt;="&amp;$A56),IF(_xlfn.MINIFS('TP-b'!$B$2:$B$60,'TP-b'!$A$2:$A$60,"3F4D+MD",'TP-b'!$E$2:$E$60,1)&gt;0,_xlfn.MINIFS('TP-b'!$B$2:$B$60,'TP-b'!$A$2:$A$60,"3F4D+MD",'TP-b'!$E$2:$E$60,1),"")))</f>
        <v/>
      </c>
      <c r="AC56" s="10">
        <f>IF(AB56="","",AVERAGEIFS('TP-b'!$C$2:$C$60,'TP-b'!$A$2:$A$60,"3F4D+MD",'TP-b'!$B$2:$B$60,AB56,'TP-b'!$E$2:$E$60,1))</f>
        <v/>
      </c>
      <c r="AD56" s="10">
        <f>IF(AB56="","",AVERAGEIFS('TP-b'!$D$2:$D$60,'TP-b'!$A$2:$A$60,"3F4D+MD",'TP-b'!$B$2:$B$60,AB56,'TP-b'!$E$2:$E$60,1))</f>
        <v/>
      </c>
      <c r="AE56" s="10">
        <f>IF(OR($A56="",NOT(ISNUMBER($J56)),AC56=""),"",ROUND($J56-AC56+AD56,1))</f>
        <v/>
      </c>
      <c r="AF56" s="10">
        <f>IF(AND($K56="Yes",ISNUMBER($L56),AC56&lt;&gt;""),ROUND($L56-AC56+AD56,1),"")</f>
        <v/>
      </c>
      <c r="AG56" s="10">
        <f>IF(AND($K56="Yes",ISNUMBER($M56),AC56&lt;&gt;""),ROUND($M56-AC56+AD56,1),"")</f>
        <v/>
      </c>
      <c r="AH56" s="10">
        <f>IF(AND(ISNUMBER($J56),ISNUMBER(AF56),ISNUMBER(AG56)),ROUND((AG56-MAX(AF56,0))*10,1),"")</f>
        <v/>
      </c>
      <c r="AI56" s="10">
        <f>IF(AE56="","",IF(AND($K56="Yes",ISNUMBER(AG56)),AG56,AE56))</f>
        <v/>
      </c>
      <c r="AJ56" s="10">
        <f>IF(AE56="","",ROUND(SUMIFS($AH$3:$AH$252,$A$3:$A$252,"&lt;="&amp;$A56),1))</f>
        <v/>
      </c>
      <c r="AK56" s="10">
        <f>IF(OR(AE56="",$A56=""),"",IF(ISNUMBER(IFERROR(INDEX($AI$3:$AI$252,MATCH($A56-1,$A$3:$A$252,0)),"")),ROUND((INDEX($AI$3:$AI$252,MATCH($A56-1,$A$3:$A$252,0))-AE56)*10,1),""))</f>
        <v/>
      </c>
      <c r="AL56" s="10">
        <f>IF(ISNUMBER(AE56),1,0)</f>
        <v/>
      </c>
      <c r="AM56" s="17">
        <f>IF($A56="","",IF(COUNTIF($A$3:$A$252,$A56)&gt;1,"same date twice; ","")&amp;IF(AND(ISNUMBER($B56),OR($B56&lt;0,$B56&gt;300)),"rain out of range; ","")&amp;IF(AND(ISNUMBER($C56),OR($C56&lt;0,$C56&gt;45)),"temp out of range; ","")&amp;IF(AND(ISNUMBER($D56),OR($D56&lt;0,$D56&gt;100)),"RH out of range; ",""))</f>
        <v/>
      </c>
      <c r="AN56" s="17">
        <f>IF($A56="","",IF(AND(ISNUMBER(T56),OR(T56&lt;-30,T56&gt;20)),"WL out of range; ","")&amp;IF(AND(ISNUMBER($E56),T56=""),"no TP/b; ","")&amp;IF(AND(ISNUMBER(U56),ISNUMBER(V56)),IF(V56&lt;U56,"After&lt;Before; ",""),"")&amp;IF(AND($F56="Yes",ISNUMBER($E56),W56=""),"irrigation readings missing; ","")&amp;IF(ISNUMBER(Z56),IF(AND(ABS(Z56)&gt;50,NOT(N($B56)&gt;0)),"WL jump &gt;5 cm; ",""),""))</f>
        <v/>
      </c>
      <c r="AO56" s="17">
        <f>IF($A56="","",IF(AND(ISNUMBER(AE56),OR(AE56&lt;-30,AE56&gt;20)),"WL out of range; ","")&amp;IF(AND(ISNUMBER($J56),AE56=""),"no TP/b; ","")&amp;IF(AND(ISNUMBER(AF56),ISNUMBER(AG56)),IF(AG56&lt;AF56,"After&lt;Before; ",""),"")&amp;IF(AND($K56="Yes",ISNUMBER($J56),AH56=""),"irrigation readings missing; ","")&amp;IF(ISNUMBER(AK56),IF(AND(ABS(AK56)&gt;50,NOT(N($B56)&gt;0)),"WL jump &gt;5 cm; ",""),"")&amp;IF(AND(ISNUMBER(PitanE),ISNUMBER(AB56),$A56&gt;PitanE+2,AB56&lt;PitanE),"re-measure TP/b after Pitan; ",""))</f>
        <v/>
      </c>
    </row>
    <row r="57">
      <c r="A57" s="14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0">
        <f>IF(OR($A57="",NOT(ISNUMBER(TransDate))),"",$A57-TransDate)</f>
        <v/>
      </c>
      <c r="Q57" s="16">
        <f>IF($A57="","",IF(_xlfn.MAXIFS('TP-b'!$B$2:$B$60,'TP-b'!$A$2:$A$60,"FP",'TP-b'!$E$2:$E$60,1,'TP-b'!$B$2:$B$60,"&lt;="&amp;$A57)&gt;0,_xlfn.MAXIFS('TP-b'!$B$2:$B$60,'TP-b'!$A$2:$A$60,"FP",'TP-b'!$E$2:$E$60,1,'TP-b'!$B$2:$B$60,"&lt;="&amp;$A57),IF(_xlfn.MINIFS('TP-b'!$B$2:$B$60,'TP-b'!$A$2:$A$60,"FP",'TP-b'!$E$2:$E$60,1)&gt;0,_xlfn.MINIFS('TP-b'!$B$2:$B$60,'TP-b'!$A$2:$A$60,"FP",'TP-b'!$E$2:$E$60,1),"")))</f>
        <v/>
      </c>
      <c r="R57" s="10">
        <f>IF(Q57="","",AVERAGEIFS('TP-b'!$C$2:$C$60,'TP-b'!$A$2:$A$60,"FP",'TP-b'!$B$2:$B$60,Q57,'TP-b'!$E$2:$E$60,1))</f>
        <v/>
      </c>
      <c r="S57" s="10">
        <f>IF(Q57="","",AVERAGEIFS('TP-b'!$D$2:$D$60,'TP-b'!$A$2:$A$60,"FP",'TP-b'!$B$2:$B$60,Q57,'TP-b'!$E$2:$E$60,1))</f>
        <v/>
      </c>
      <c r="T57" s="10">
        <f>IF(OR($A57="",NOT(ISNUMBER($E57)),R57=""),"",ROUND($E57-R57+S57,1))</f>
        <v/>
      </c>
      <c r="U57" s="10">
        <f>IF(AND($F57="Yes",ISNUMBER($G57),R57&lt;&gt;""),ROUND($G57-R57+S57,1),"")</f>
        <v/>
      </c>
      <c r="V57" s="10">
        <f>IF(AND($F57="Yes",ISNUMBER($H57),R57&lt;&gt;""),ROUND($H57-R57+S57,1),"")</f>
        <v/>
      </c>
      <c r="W57" s="10">
        <f>IF(AND(ISNUMBER($E57),ISNUMBER(U57),ISNUMBER(V57)),ROUND((V57-MAX(U57,0))*10,1),"")</f>
        <v/>
      </c>
      <c r="X57" s="10">
        <f>IF(T57="","",IF(AND($F57="Yes",ISNUMBER(V57)),V57,T57))</f>
        <v/>
      </c>
      <c r="Y57" s="10">
        <f>IF(T57="","",ROUND(SUMIFS($W$3:$W$252,$A$3:$A$252,"&lt;="&amp;$A57),1))</f>
        <v/>
      </c>
      <c r="Z57" s="10">
        <f>IF(OR(T57="",$A57=""),"",IF(ISNUMBER(IFERROR(INDEX($X$3:$X$252,MATCH($A57-1,$A$3:$A$252,0)),"")),ROUND((INDEX($X$3:$X$252,MATCH($A57-1,$A$3:$A$252,0))-T57)*10,1),""))</f>
        <v/>
      </c>
      <c r="AA57" s="10">
        <f>IF(ISNUMBER(T57),1,0)</f>
        <v/>
      </c>
      <c r="AB57" s="16">
        <f>IF($A57="","",IF(_xlfn.MAXIFS('TP-b'!$B$2:$B$60,'TP-b'!$A$2:$A$60,"3F4D+MD",'TP-b'!$E$2:$E$60,1,'TP-b'!$B$2:$B$60,"&lt;="&amp;$A57)&gt;0,_xlfn.MAXIFS('TP-b'!$B$2:$B$60,'TP-b'!$A$2:$A$60,"3F4D+MD",'TP-b'!$E$2:$E$60,1,'TP-b'!$B$2:$B$60,"&lt;="&amp;$A57),IF(_xlfn.MINIFS('TP-b'!$B$2:$B$60,'TP-b'!$A$2:$A$60,"3F4D+MD",'TP-b'!$E$2:$E$60,1)&gt;0,_xlfn.MINIFS('TP-b'!$B$2:$B$60,'TP-b'!$A$2:$A$60,"3F4D+MD",'TP-b'!$E$2:$E$60,1),"")))</f>
        <v/>
      </c>
      <c r="AC57" s="10">
        <f>IF(AB57="","",AVERAGEIFS('TP-b'!$C$2:$C$60,'TP-b'!$A$2:$A$60,"3F4D+MD",'TP-b'!$B$2:$B$60,AB57,'TP-b'!$E$2:$E$60,1))</f>
        <v/>
      </c>
      <c r="AD57" s="10">
        <f>IF(AB57="","",AVERAGEIFS('TP-b'!$D$2:$D$60,'TP-b'!$A$2:$A$60,"3F4D+MD",'TP-b'!$B$2:$B$60,AB57,'TP-b'!$E$2:$E$60,1))</f>
        <v/>
      </c>
      <c r="AE57" s="10">
        <f>IF(OR($A57="",NOT(ISNUMBER($J57)),AC57=""),"",ROUND($J57-AC57+AD57,1))</f>
        <v/>
      </c>
      <c r="AF57" s="10">
        <f>IF(AND($K57="Yes",ISNUMBER($L57),AC57&lt;&gt;""),ROUND($L57-AC57+AD57,1),"")</f>
        <v/>
      </c>
      <c r="AG57" s="10">
        <f>IF(AND($K57="Yes",ISNUMBER($M57),AC57&lt;&gt;""),ROUND($M57-AC57+AD57,1),"")</f>
        <v/>
      </c>
      <c r="AH57" s="10">
        <f>IF(AND(ISNUMBER($J57),ISNUMBER(AF57),ISNUMBER(AG57)),ROUND((AG57-MAX(AF57,0))*10,1),"")</f>
        <v/>
      </c>
      <c r="AI57" s="10">
        <f>IF(AE57="","",IF(AND($K57="Yes",ISNUMBER(AG57)),AG57,AE57))</f>
        <v/>
      </c>
      <c r="AJ57" s="10">
        <f>IF(AE57="","",ROUND(SUMIFS($AH$3:$AH$252,$A$3:$A$252,"&lt;="&amp;$A57),1))</f>
        <v/>
      </c>
      <c r="AK57" s="10">
        <f>IF(OR(AE57="",$A57=""),"",IF(ISNUMBER(IFERROR(INDEX($AI$3:$AI$252,MATCH($A57-1,$A$3:$A$252,0)),"")),ROUND((INDEX($AI$3:$AI$252,MATCH($A57-1,$A$3:$A$252,0))-AE57)*10,1),""))</f>
        <v/>
      </c>
      <c r="AL57" s="10">
        <f>IF(ISNUMBER(AE57),1,0)</f>
        <v/>
      </c>
      <c r="AM57" s="17">
        <f>IF($A57="","",IF(COUNTIF($A$3:$A$252,$A57)&gt;1,"same date twice; ","")&amp;IF(AND(ISNUMBER($B57),OR($B57&lt;0,$B57&gt;300)),"rain out of range; ","")&amp;IF(AND(ISNUMBER($C57),OR($C57&lt;0,$C57&gt;45)),"temp out of range; ","")&amp;IF(AND(ISNUMBER($D57),OR($D57&lt;0,$D57&gt;100)),"RH out of range; ",""))</f>
        <v/>
      </c>
      <c r="AN57" s="17">
        <f>IF($A57="","",IF(AND(ISNUMBER(T57),OR(T57&lt;-30,T57&gt;20)),"WL out of range; ","")&amp;IF(AND(ISNUMBER($E57),T57=""),"no TP/b; ","")&amp;IF(AND(ISNUMBER(U57),ISNUMBER(V57)),IF(V57&lt;U57,"After&lt;Before; ",""),"")&amp;IF(AND($F57="Yes",ISNUMBER($E57),W57=""),"irrigation readings missing; ","")&amp;IF(ISNUMBER(Z57),IF(AND(ABS(Z57)&gt;50,NOT(N($B57)&gt;0)),"WL jump &gt;5 cm; ",""),""))</f>
        <v/>
      </c>
      <c r="AO57" s="17">
        <f>IF($A57="","",IF(AND(ISNUMBER(AE57),OR(AE57&lt;-30,AE57&gt;20)),"WL out of range; ","")&amp;IF(AND(ISNUMBER($J57),AE57=""),"no TP/b; ","")&amp;IF(AND(ISNUMBER(AF57),ISNUMBER(AG57)),IF(AG57&lt;AF57,"After&lt;Before; ",""),"")&amp;IF(AND($K57="Yes",ISNUMBER($J57),AH57=""),"irrigation readings missing; ","")&amp;IF(ISNUMBER(AK57),IF(AND(ABS(AK57)&gt;50,NOT(N($B57)&gt;0)),"WL jump &gt;5 cm; ",""),"")&amp;IF(AND(ISNUMBER(PitanE),ISNUMBER(AB57),$A57&gt;PitanE+2,AB57&lt;PitanE),"re-measure TP/b after Pitan; ",""))</f>
        <v/>
      </c>
    </row>
    <row r="58">
      <c r="A58" s="14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0">
        <f>IF(OR($A58="",NOT(ISNUMBER(TransDate))),"",$A58-TransDate)</f>
        <v/>
      </c>
      <c r="Q58" s="16">
        <f>IF($A58="","",IF(_xlfn.MAXIFS('TP-b'!$B$2:$B$60,'TP-b'!$A$2:$A$60,"FP",'TP-b'!$E$2:$E$60,1,'TP-b'!$B$2:$B$60,"&lt;="&amp;$A58)&gt;0,_xlfn.MAXIFS('TP-b'!$B$2:$B$60,'TP-b'!$A$2:$A$60,"FP",'TP-b'!$E$2:$E$60,1,'TP-b'!$B$2:$B$60,"&lt;="&amp;$A58),IF(_xlfn.MINIFS('TP-b'!$B$2:$B$60,'TP-b'!$A$2:$A$60,"FP",'TP-b'!$E$2:$E$60,1)&gt;0,_xlfn.MINIFS('TP-b'!$B$2:$B$60,'TP-b'!$A$2:$A$60,"FP",'TP-b'!$E$2:$E$60,1),"")))</f>
        <v/>
      </c>
      <c r="R58" s="10">
        <f>IF(Q58="","",AVERAGEIFS('TP-b'!$C$2:$C$60,'TP-b'!$A$2:$A$60,"FP",'TP-b'!$B$2:$B$60,Q58,'TP-b'!$E$2:$E$60,1))</f>
        <v/>
      </c>
      <c r="S58" s="10">
        <f>IF(Q58="","",AVERAGEIFS('TP-b'!$D$2:$D$60,'TP-b'!$A$2:$A$60,"FP",'TP-b'!$B$2:$B$60,Q58,'TP-b'!$E$2:$E$60,1))</f>
        <v/>
      </c>
      <c r="T58" s="10">
        <f>IF(OR($A58="",NOT(ISNUMBER($E58)),R58=""),"",ROUND($E58-R58+S58,1))</f>
        <v/>
      </c>
      <c r="U58" s="10">
        <f>IF(AND($F58="Yes",ISNUMBER($G58),R58&lt;&gt;""),ROUND($G58-R58+S58,1),"")</f>
        <v/>
      </c>
      <c r="V58" s="10">
        <f>IF(AND($F58="Yes",ISNUMBER($H58),R58&lt;&gt;""),ROUND($H58-R58+S58,1),"")</f>
        <v/>
      </c>
      <c r="W58" s="10">
        <f>IF(AND(ISNUMBER($E58),ISNUMBER(U58),ISNUMBER(V58)),ROUND((V58-MAX(U58,0))*10,1),"")</f>
        <v/>
      </c>
      <c r="X58" s="10">
        <f>IF(T58="","",IF(AND($F58="Yes",ISNUMBER(V58)),V58,T58))</f>
        <v/>
      </c>
      <c r="Y58" s="10">
        <f>IF(T58="","",ROUND(SUMIFS($W$3:$W$252,$A$3:$A$252,"&lt;="&amp;$A58),1))</f>
        <v/>
      </c>
      <c r="Z58" s="10">
        <f>IF(OR(T58="",$A58=""),"",IF(ISNUMBER(IFERROR(INDEX($X$3:$X$252,MATCH($A58-1,$A$3:$A$252,0)),"")),ROUND((INDEX($X$3:$X$252,MATCH($A58-1,$A$3:$A$252,0))-T58)*10,1),""))</f>
        <v/>
      </c>
      <c r="AA58" s="10">
        <f>IF(ISNUMBER(T58),1,0)</f>
        <v/>
      </c>
      <c r="AB58" s="16">
        <f>IF($A58="","",IF(_xlfn.MAXIFS('TP-b'!$B$2:$B$60,'TP-b'!$A$2:$A$60,"3F4D+MD",'TP-b'!$E$2:$E$60,1,'TP-b'!$B$2:$B$60,"&lt;="&amp;$A58)&gt;0,_xlfn.MAXIFS('TP-b'!$B$2:$B$60,'TP-b'!$A$2:$A$60,"3F4D+MD",'TP-b'!$E$2:$E$60,1,'TP-b'!$B$2:$B$60,"&lt;="&amp;$A58),IF(_xlfn.MINIFS('TP-b'!$B$2:$B$60,'TP-b'!$A$2:$A$60,"3F4D+MD",'TP-b'!$E$2:$E$60,1)&gt;0,_xlfn.MINIFS('TP-b'!$B$2:$B$60,'TP-b'!$A$2:$A$60,"3F4D+MD",'TP-b'!$E$2:$E$60,1),"")))</f>
        <v/>
      </c>
      <c r="AC58" s="10">
        <f>IF(AB58="","",AVERAGEIFS('TP-b'!$C$2:$C$60,'TP-b'!$A$2:$A$60,"3F4D+MD",'TP-b'!$B$2:$B$60,AB58,'TP-b'!$E$2:$E$60,1))</f>
        <v/>
      </c>
      <c r="AD58" s="10">
        <f>IF(AB58="","",AVERAGEIFS('TP-b'!$D$2:$D$60,'TP-b'!$A$2:$A$60,"3F4D+MD",'TP-b'!$B$2:$B$60,AB58,'TP-b'!$E$2:$E$60,1))</f>
        <v/>
      </c>
      <c r="AE58" s="10">
        <f>IF(OR($A58="",NOT(ISNUMBER($J58)),AC58=""),"",ROUND($J58-AC58+AD58,1))</f>
        <v/>
      </c>
      <c r="AF58" s="10">
        <f>IF(AND($K58="Yes",ISNUMBER($L58),AC58&lt;&gt;""),ROUND($L58-AC58+AD58,1),"")</f>
        <v/>
      </c>
      <c r="AG58" s="10">
        <f>IF(AND($K58="Yes",ISNUMBER($M58),AC58&lt;&gt;""),ROUND($M58-AC58+AD58,1),"")</f>
        <v/>
      </c>
      <c r="AH58" s="10">
        <f>IF(AND(ISNUMBER($J58),ISNUMBER(AF58),ISNUMBER(AG58)),ROUND((AG58-MAX(AF58,0))*10,1),"")</f>
        <v/>
      </c>
      <c r="AI58" s="10">
        <f>IF(AE58="","",IF(AND($K58="Yes",ISNUMBER(AG58)),AG58,AE58))</f>
        <v/>
      </c>
      <c r="AJ58" s="10">
        <f>IF(AE58="","",ROUND(SUMIFS($AH$3:$AH$252,$A$3:$A$252,"&lt;="&amp;$A58),1))</f>
        <v/>
      </c>
      <c r="AK58" s="10">
        <f>IF(OR(AE58="",$A58=""),"",IF(ISNUMBER(IFERROR(INDEX($AI$3:$AI$252,MATCH($A58-1,$A$3:$A$252,0)),"")),ROUND((INDEX($AI$3:$AI$252,MATCH($A58-1,$A$3:$A$252,0))-AE58)*10,1),""))</f>
        <v/>
      </c>
      <c r="AL58" s="10">
        <f>IF(ISNUMBER(AE58),1,0)</f>
        <v/>
      </c>
      <c r="AM58" s="17">
        <f>IF($A58="","",IF(COUNTIF($A$3:$A$252,$A58)&gt;1,"same date twice; ","")&amp;IF(AND(ISNUMBER($B58),OR($B58&lt;0,$B58&gt;300)),"rain out of range; ","")&amp;IF(AND(ISNUMBER($C58),OR($C58&lt;0,$C58&gt;45)),"temp out of range; ","")&amp;IF(AND(ISNUMBER($D58),OR($D58&lt;0,$D58&gt;100)),"RH out of range; ",""))</f>
        <v/>
      </c>
      <c r="AN58" s="17">
        <f>IF($A58="","",IF(AND(ISNUMBER(T58),OR(T58&lt;-30,T58&gt;20)),"WL out of range; ","")&amp;IF(AND(ISNUMBER($E58),T58=""),"no TP/b; ","")&amp;IF(AND(ISNUMBER(U58),ISNUMBER(V58)),IF(V58&lt;U58,"After&lt;Before; ",""),"")&amp;IF(AND($F58="Yes",ISNUMBER($E58),W58=""),"irrigation readings missing; ","")&amp;IF(ISNUMBER(Z58),IF(AND(ABS(Z58)&gt;50,NOT(N($B58)&gt;0)),"WL jump &gt;5 cm; ",""),""))</f>
        <v/>
      </c>
      <c r="AO58" s="17">
        <f>IF($A58="","",IF(AND(ISNUMBER(AE58),OR(AE58&lt;-30,AE58&gt;20)),"WL out of range; ","")&amp;IF(AND(ISNUMBER($J58),AE58=""),"no TP/b; ","")&amp;IF(AND(ISNUMBER(AF58),ISNUMBER(AG58)),IF(AG58&lt;AF58,"After&lt;Before; ",""),"")&amp;IF(AND($K58="Yes",ISNUMBER($J58),AH58=""),"irrigation readings missing; ","")&amp;IF(ISNUMBER(AK58),IF(AND(ABS(AK58)&gt;50,NOT(N($B58)&gt;0)),"WL jump &gt;5 cm; ",""),"")&amp;IF(AND(ISNUMBER(PitanE),ISNUMBER(AB58),$A58&gt;PitanE+2,AB58&lt;PitanE),"re-measure TP/b after Pitan; ",""))</f>
        <v/>
      </c>
    </row>
    <row r="59">
      <c r="A59" s="14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0">
        <f>IF(OR($A59="",NOT(ISNUMBER(TransDate))),"",$A59-TransDate)</f>
        <v/>
      </c>
      <c r="Q59" s="16">
        <f>IF($A59="","",IF(_xlfn.MAXIFS('TP-b'!$B$2:$B$60,'TP-b'!$A$2:$A$60,"FP",'TP-b'!$E$2:$E$60,1,'TP-b'!$B$2:$B$60,"&lt;="&amp;$A59)&gt;0,_xlfn.MAXIFS('TP-b'!$B$2:$B$60,'TP-b'!$A$2:$A$60,"FP",'TP-b'!$E$2:$E$60,1,'TP-b'!$B$2:$B$60,"&lt;="&amp;$A59),IF(_xlfn.MINIFS('TP-b'!$B$2:$B$60,'TP-b'!$A$2:$A$60,"FP",'TP-b'!$E$2:$E$60,1)&gt;0,_xlfn.MINIFS('TP-b'!$B$2:$B$60,'TP-b'!$A$2:$A$60,"FP",'TP-b'!$E$2:$E$60,1),"")))</f>
        <v/>
      </c>
      <c r="R59" s="10">
        <f>IF(Q59="","",AVERAGEIFS('TP-b'!$C$2:$C$60,'TP-b'!$A$2:$A$60,"FP",'TP-b'!$B$2:$B$60,Q59,'TP-b'!$E$2:$E$60,1))</f>
        <v/>
      </c>
      <c r="S59" s="10">
        <f>IF(Q59="","",AVERAGEIFS('TP-b'!$D$2:$D$60,'TP-b'!$A$2:$A$60,"FP",'TP-b'!$B$2:$B$60,Q59,'TP-b'!$E$2:$E$60,1))</f>
        <v/>
      </c>
      <c r="T59" s="10">
        <f>IF(OR($A59="",NOT(ISNUMBER($E59)),R59=""),"",ROUND($E59-R59+S59,1))</f>
        <v/>
      </c>
      <c r="U59" s="10">
        <f>IF(AND($F59="Yes",ISNUMBER($G59),R59&lt;&gt;""),ROUND($G59-R59+S59,1),"")</f>
        <v/>
      </c>
      <c r="V59" s="10">
        <f>IF(AND($F59="Yes",ISNUMBER($H59),R59&lt;&gt;""),ROUND($H59-R59+S59,1),"")</f>
        <v/>
      </c>
      <c r="W59" s="10">
        <f>IF(AND(ISNUMBER($E59),ISNUMBER(U59),ISNUMBER(V59)),ROUND((V59-MAX(U59,0))*10,1),"")</f>
        <v/>
      </c>
      <c r="X59" s="10">
        <f>IF(T59="","",IF(AND($F59="Yes",ISNUMBER(V59)),V59,T59))</f>
        <v/>
      </c>
      <c r="Y59" s="10">
        <f>IF(T59="","",ROUND(SUMIFS($W$3:$W$252,$A$3:$A$252,"&lt;="&amp;$A59),1))</f>
        <v/>
      </c>
      <c r="Z59" s="10">
        <f>IF(OR(T59="",$A59=""),"",IF(ISNUMBER(IFERROR(INDEX($X$3:$X$252,MATCH($A59-1,$A$3:$A$252,0)),"")),ROUND((INDEX($X$3:$X$252,MATCH($A59-1,$A$3:$A$252,0))-T59)*10,1),""))</f>
        <v/>
      </c>
      <c r="AA59" s="10">
        <f>IF(ISNUMBER(T59),1,0)</f>
        <v/>
      </c>
      <c r="AB59" s="16">
        <f>IF($A59="","",IF(_xlfn.MAXIFS('TP-b'!$B$2:$B$60,'TP-b'!$A$2:$A$60,"3F4D+MD",'TP-b'!$E$2:$E$60,1,'TP-b'!$B$2:$B$60,"&lt;="&amp;$A59)&gt;0,_xlfn.MAXIFS('TP-b'!$B$2:$B$60,'TP-b'!$A$2:$A$60,"3F4D+MD",'TP-b'!$E$2:$E$60,1,'TP-b'!$B$2:$B$60,"&lt;="&amp;$A59),IF(_xlfn.MINIFS('TP-b'!$B$2:$B$60,'TP-b'!$A$2:$A$60,"3F4D+MD",'TP-b'!$E$2:$E$60,1)&gt;0,_xlfn.MINIFS('TP-b'!$B$2:$B$60,'TP-b'!$A$2:$A$60,"3F4D+MD",'TP-b'!$E$2:$E$60,1),"")))</f>
        <v/>
      </c>
      <c r="AC59" s="10">
        <f>IF(AB59="","",AVERAGEIFS('TP-b'!$C$2:$C$60,'TP-b'!$A$2:$A$60,"3F4D+MD",'TP-b'!$B$2:$B$60,AB59,'TP-b'!$E$2:$E$60,1))</f>
        <v/>
      </c>
      <c r="AD59" s="10">
        <f>IF(AB59="","",AVERAGEIFS('TP-b'!$D$2:$D$60,'TP-b'!$A$2:$A$60,"3F4D+MD",'TP-b'!$B$2:$B$60,AB59,'TP-b'!$E$2:$E$60,1))</f>
        <v/>
      </c>
      <c r="AE59" s="10">
        <f>IF(OR($A59="",NOT(ISNUMBER($J59)),AC59=""),"",ROUND($J59-AC59+AD59,1))</f>
        <v/>
      </c>
      <c r="AF59" s="10">
        <f>IF(AND($K59="Yes",ISNUMBER($L59),AC59&lt;&gt;""),ROUND($L59-AC59+AD59,1),"")</f>
        <v/>
      </c>
      <c r="AG59" s="10">
        <f>IF(AND($K59="Yes",ISNUMBER($M59),AC59&lt;&gt;""),ROUND($M59-AC59+AD59,1),"")</f>
        <v/>
      </c>
      <c r="AH59" s="10">
        <f>IF(AND(ISNUMBER($J59),ISNUMBER(AF59),ISNUMBER(AG59)),ROUND((AG59-MAX(AF59,0))*10,1),"")</f>
        <v/>
      </c>
      <c r="AI59" s="10">
        <f>IF(AE59="","",IF(AND($K59="Yes",ISNUMBER(AG59)),AG59,AE59))</f>
        <v/>
      </c>
      <c r="AJ59" s="10">
        <f>IF(AE59="","",ROUND(SUMIFS($AH$3:$AH$252,$A$3:$A$252,"&lt;="&amp;$A59),1))</f>
        <v/>
      </c>
      <c r="AK59" s="10">
        <f>IF(OR(AE59="",$A59=""),"",IF(ISNUMBER(IFERROR(INDEX($AI$3:$AI$252,MATCH($A59-1,$A$3:$A$252,0)),"")),ROUND((INDEX($AI$3:$AI$252,MATCH($A59-1,$A$3:$A$252,0))-AE59)*10,1),""))</f>
        <v/>
      </c>
      <c r="AL59" s="10">
        <f>IF(ISNUMBER(AE59),1,0)</f>
        <v/>
      </c>
      <c r="AM59" s="17">
        <f>IF($A59="","",IF(COUNTIF($A$3:$A$252,$A59)&gt;1,"same date twice; ","")&amp;IF(AND(ISNUMBER($B59),OR($B59&lt;0,$B59&gt;300)),"rain out of range; ","")&amp;IF(AND(ISNUMBER($C59),OR($C59&lt;0,$C59&gt;45)),"temp out of range; ","")&amp;IF(AND(ISNUMBER($D59),OR($D59&lt;0,$D59&gt;100)),"RH out of range; ",""))</f>
        <v/>
      </c>
      <c r="AN59" s="17">
        <f>IF($A59="","",IF(AND(ISNUMBER(T59),OR(T59&lt;-30,T59&gt;20)),"WL out of range; ","")&amp;IF(AND(ISNUMBER($E59),T59=""),"no TP/b; ","")&amp;IF(AND(ISNUMBER(U59),ISNUMBER(V59)),IF(V59&lt;U59,"After&lt;Before; ",""),"")&amp;IF(AND($F59="Yes",ISNUMBER($E59),W59=""),"irrigation readings missing; ","")&amp;IF(ISNUMBER(Z59),IF(AND(ABS(Z59)&gt;50,NOT(N($B59)&gt;0)),"WL jump &gt;5 cm; ",""),""))</f>
        <v/>
      </c>
      <c r="AO59" s="17">
        <f>IF($A59="","",IF(AND(ISNUMBER(AE59),OR(AE59&lt;-30,AE59&gt;20)),"WL out of range; ","")&amp;IF(AND(ISNUMBER($J59),AE59=""),"no TP/b; ","")&amp;IF(AND(ISNUMBER(AF59),ISNUMBER(AG59)),IF(AG59&lt;AF59,"After&lt;Before; ",""),"")&amp;IF(AND($K59="Yes",ISNUMBER($J59),AH59=""),"irrigation readings missing; ","")&amp;IF(ISNUMBER(AK59),IF(AND(ABS(AK59)&gt;50,NOT(N($B59)&gt;0)),"WL jump &gt;5 cm; ",""),"")&amp;IF(AND(ISNUMBER(PitanE),ISNUMBER(AB59),$A59&gt;PitanE+2,AB59&lt;PitanE),"re-measure TP/b after Pitan; ",""))</f>
        <v/>
      </c>
    </row>
    <row r="60">
      <c r="A60" s="14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0">
        <f>IF(OR($A60="",NOT(ISNUMBER(TransDate))),"",$A60-TransDate)</f>
        <v/>
      </c>
      <c r="Q60" s="16">
        <f>IF($A60="","",IF(_xlfn.MAXIFS('TP-b'!$B$2:$B$60,'TP-b'!$A$2:$A$60,"FP",'TP-b'!$E$2:$E$60,1,'TP-b'!$B$2:$B$60,"&lt;="&amp;$A60)&gt;0,_xlfn.MAXIFS('TP-b'!$B$2:$B$60,'TP-b'!$A$2:$A$60,"FP",'TP-b'!$E$2:$E$60,1,'TP-b'!$B$2:$B$60,"&lt;="&amp;$A60),IF(_xlfn.MINIFS('TP-b'!$B$2:$B$60,'TP-b'!$A$2:$A$60,"FP",'TP-b'!$E$2:$E$60,1)&gt;0,_xlfn.MINIFS('TP-b'!$B$2:$B$60,'TP-b'!$A$2:$A$60,"FP",'TP-b'!$E$2:$E$60,1),"")))</f>
        <v/>
      </c>
      <c r="R60" s="10">
        <f>IF(Q60="","",AVERAGEIFS('TP-b'!$C$2:$C$60,'TP-b'!$A$2:$A$60,"FP",'TP-b'!$B$2:$B$60,Q60,'TP-b'!$E$2:$E$60,1))</f>
        <v/>
      </c>
      <c r="S60" s="10">
        <f>IF(Q60="","",AVERAGEIFS('TP-b'!$D$2:$D$60,'TP-b'!$A$2:$A$60,"FP",'TP-b'!$B$2:$B$60,Q60,'TP-b'!$E$2:$E$60,1))</f>
        <v/>
      </c>
      <c r="T60" s="10">
        <f>IF(OR($A60="",NOT(ISNUMBER($E60)),R60=""),"",ROUND($E60-R60+S60,1))</f>
        <v/>
      </c>
      <c r="U60" s="10">
        <f>IF(AND($F60="Yes",ISNUMBER($G60),R60&lt;&gt;""),ROUND($G60-R60+S60,1),"")</f>
        <v/>
      </c>
      <c r="V60" s="10">
        <f>IF(AND($F60="Yes",ISNUMBER($H60),R60&lt;&gt;""),ROUND($H60-R60+S60,1),"")</f>
        <v/>
      </c>
      <c r="W60" s="10">
        <f>IF(AND(ISNUMBER($E60),ISNUMBER(U60),ISNUMBER(V60)),ROUND((V60-MAX(U60,0))*10,1),"")</f>
        <v/>
      </c>
      <c r="X60" s="10">
        <f>IF(T60="","",IF(AND($F60="Yes",ISNUMBER(V60)),V60,T60))</f>
        <v/>
      </c>
      <c r="Y60" s="10">
        <f>IF(T60="","",ROUND(SUMIFS($W$3:$W$252,$A$3:$A$252,"&lt;="&amp;$A60),1))</f>
        <v/>
      </c>
      <c r="Z60" s="10">
        <f>IF(OR(T60="",$A60=""),"",IF(ISNUMBER(IFERROR(INDEX($X$3:$X$252,MATCH($A60-1,$A$3:$A$252,0)),"")),ROUND((INDEX($X$3:$X$252,MATCH($A60-1,$A$3:$A$252,0))-T60)*10,1),""))</f>
        <v/>
      </c>
      <c r="AA60" s="10">
        <f>IF(ISNUMBER(T60),1,0)</f>
        <v/>
      </c>
      <c r="AB60" s="16">
        <f>IF($A60="","",IF(_xlfn.MAXIFS('TP-b'!$B$2:$B$60,'TP-b'!$A$2:$A$60,"3F4D+MD",'TP-b'!$E$2:$E$60,1,'TP-b'!$B$2:$B$60,"&lt;="&amp;$A60)&gt;0,_xlfn.MAXIFS('TP-b'!$B$2:$B$60,'TP-b'!$A$2:$A$60,"3F4D+MD",'TP-b'!$E$2:$E$60,1,'TP-b'!$B$2:$B$60,"&lt;="&amp;$A60),IF(_xlfn.MINIFS('TP-b'!$B$2:$B$60,'TP-b'!$A$2:$A$60,"3F4D+MD",'TP-b'!$E$2:$E$60,1)&gt;0,_xlfn.MINIFS('TP-b'!$B$2:$B$60,'TP-b'!$A$2:$A$60,"3F4D+MD",'TP-b'!$E$2:$E$60,1),"")))</f>
        <v/>
      </c>
      <c r="AC60" s="10">
        <f>IF(AB60="","",AVERAGEIFS('TP-b'!$C$2:$C$60,'TP-b'!$A$2:$A$60,"3F4D+MD",'TP-b'!$B$2:$B$60,AB60,'TP-b'!$E$2:$E$60,1))</f>
        <v/>
      </c>
      <c r="AD60" s="10">
        <f>IF(AB60="","",AVERAGEIFS('TP-b'!$D$2:$D$60,'TP-b'!$A$2:$A$60,"3F4D+MD",'TP-b'!$B$2:$B$60,AB60,'TP-b'!$E$2:$E$60,1))</f>
        <v/>
      </c>
      <c r="AE60" s="10">
        <f>IF(OR($A60="",NOT(ISNUMBER($J60)),AC60=""),"",ROUND($J60-AC60+AD60,1))</f>
        <v/>
      </c>
      <c r="AF60" s="10">
        <f>IF(AND($K60="Yes",ISNUMBER($L60),AC60&lt;&gt;""),ROUND($L60-AC60+AD60,1),"")</f>
        <v/>
      </c>
      <c r="AG60" s="10">
        <f>IF(AND($K60="Yes",ISNUMBER($M60),AC60&lt;&gt;""),ROUND($M60-AC60+AD60,1),"")</f>
        <v/>
      </c>
      <c r="AH60" s="10">
        <f>IF(AND(ISNUMBER($J60),ISNUMBER(AF60),ISNUMBER(AG60)),ROUND((AG60-MAX(AF60,0))*10,1),"")</f>
        <v/>
      </c>
      <c r="AI60" s="10">
        <f>IF(AE60="","",IF(AND($K60="Yes",ISNUMBER(AG60)),AG60,AE60))</f>
        <v/>
      </c>
      <c r="AJ60" s="10">
        <f>IF(AE60="","",ROUND(SUMIFS($AH$3:$AH$252,$A$3:$A$252,"&lt;="&amp;$A60),1))</f>
        <v/>
      </c>
      <c r="AK60" s="10">
        <f>IF(OR(AE60="",$A60=""),"",IF(ISNUMBER(IFERROR(INDEX($AI$3:$AI$252,MATCH($A60-1,$A$3:$A$252,0)),"")),ROUND((INDEX($AI$3:$AI$252,MATCH($A60-1,$A$3:$A$252,0))-AE60)*10,1),""))</f>
        <v/>
      </c>
      <c r="AL60" s="10">
        <f>IF(ISNUMBER(AE60),1,0)</f>
        <v/>
      </c>
      <c r="AM60" s="17">
        <f>IF($A60="","",IF(COUNTIF($A$3:$A$252,$A60)&gt;1,"same date twice; ","")&amp;IF(AND(ISNUMBER($B60),OR($B60&lt;0,$B60&gt;300)),"rain out of range; ","")&amp;IF(AND(ISNUMBER($C60),OR($C60&lt;0,$C60&gt;45)),"temp out of range; ","")&amp;IF(AND(ISNUMBER($D60),OR($D60&lt;0,$D60&gt;100)),"RH out of range; ",""))</f>
        <v/>
      </c>
      <c r="AN60" s="17">
        <f>IF($A60="","",IF(AND(ISNUMBER(T60),OR(T60&lt;-30,T60&gt;20)),"WL out of range; ","")&amp;IF(AND(ISNUMBER($E60),T60=""),"no TP/b; ","")&amp;IF(AND(ISNUMBER(U60),ISNUMBER(V60)),IF(V60&lt;U60,"After&lt;Before; ",""),"")&amp;IF(AND($F60="Yes",ISNUMBER($E60),W60=""),"irrigation readings missing; ","")&amp;IF(ISNUMBER(Z60),IF(AND(ABS(Z60)&gt;50,NOT(N($B60)&gt;0)),"WL jump &gt;5 cm; ",""),""))</f>
        <v/>
      </c>
      <c r="AO60" s="17">
        <f>IF($A60="","",IF(AND(ISNUMBER(AE60),OR(AE60&lt;-30,AE60&gt;20)),"WL out of range; ","")&amp;IF(AND(ISNUMBER($J60),AE60=""),"no TP/b; ","")&amp;IF(AND(ISNUMBER(AF60),ISNUMBER(AG60)),IF(AG60&lt;AF60,"After&lt;Before; ",""),"")&amp;IF(AND($K60="Yes",ISNUMBER($J60),AH60=""),"irrigation readings missing; ","")&amp;IF(ISNUMBER(AK60),IF(AND(ABS(AK60)&gt;50,NOT(N($B60)&gt;0)),"WL jump &gt;5 cm; ",""),"")&amp;IF(AND(ISNUMBER(PitanE),ISNUMBER(AB60),$A60&gt;PitanE+2,AB60&lt;PitanE),"re-measure TP/b after Pitan; ",""))</f>
        <v/>
      </c>
    </row>
    <row r="61">
      <c r="A61" s="14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0">
        <f>IF(OR($A61="",NOT(ISNUMBER(TransDate))),"",$A61-TransDate)</f>
        <v/>
      </c>
      <c r="Q61" s="16">
        <f>IF($A61="","",IF(_xlfn.MAXIFS('TP-b'!$B$2:$B$60,'TP-b'!$A$2:$A$60,"FP",'TP-b'!$E$2:$E$60,1,'TP-b'!$B$2:$B$60,"&lt;="&amp;$A61)&gt;0,_xlfn.MAXIFS('TP-b'!$B$2:$B$60,'TP-b'!$A$2:$A$60,"FP",'TP-b'!$E$2:$E$60,1,'TP-b'!$B$2:$B$60,"&lt;="&amp;$A61),IF(_xlfn.MINIFS('TP-b'!$B$2:$B$60,'TP-b'!$A$2:$A$60,"FP",'TP-b'!$E$2:$E$60,1)&gt;0,_xlfn.MINIFS('TP-b'!$B$2:$B$60,'TP-b'!$A$2:$A$60,"FP",'TP-b'!$E$2:$E$60,1),"")))</f>
        <v/>
      </c>
      <c r="R61" s="10">
        <f>IF(Q61="","",AVERAGEIFS('TP-b'!$C$2:$C$60,'TP-b'!$A$2:$A$60,"FP",'TP-b'!$B$2:$B$60,Q61,'TP-b'!$E$2:$E$60,1))</f>
        <v/>
      </c>
      <c r="S61" s="10">
        <f>IF(Q61="","",AVERAGEIFS('TP-b'!$D$2:$D$60,'TP-b'!$A$2:$A$60,"FP",'TP-b'!$B$2:$B$60,Q61,'TP-b'!$E$2:$E$60,1))</f>
        <v/>
      </c>
      <c r="T61" s="10">
        <f>IF(OR($A61="",NOT(ISNUMBER($E61)),R61=""),"",ROUND($E61-R61+S61,1))</f>
        <v/>
      </c>
      <c r="U61" s="10">
        <f>IF(AND($F61="Yes",ISNUMBER($G61),R61&lt;&gt;""),ROUND($G61-R61+S61,1),"")</f>
        <v/>
      </c>
      <c r="V61" s="10">
        <f>IF(AND($F61="Yes",ISNUMBER($H61),R61&lt;&gt;""),ROUND($H61-R61+S61,1),"")</f>
        <v/>
      </c>
      <c r="W61" s="10">
        <f>IF(AND(ISNUMBER($E61),ISNUMBER(U61),ISNUMBER(V61)),ROUND((V61-MAX(U61,0))*10,1),"")</f>
        <v/>
      </c>
      <c r="X61" s="10">
        <f>IF(T61="","",IF(AND($F61="Yes",ISNUMBER(V61)),V61,T61))</f>
        <v/>
      </c>
      <c r="Y61" s="10">
        <f>IF(T61="","",ROUND(SUMIFS($W$3:$W$252,$A$3:$A$252,"&lt;="&amp;$A61),1))</f>
        <v/>
      </c>
      <c r="Z61" s="10">
        <f>IF(OR(T61="",$A61=""),"",IF(ISNUMBER(IFERROR(INDEX($X$3:$X$252,MATCH($A61-1,$A$3:$A$252,0)),"")),ROUND((INDEX($X$3:$X$252,MATCH($A61-1,$A$3:$A$252,0))-T61)*10,1),""))</f>
        <v/>
      </c>
      <c r="AA61" s="10">
        <f>IF(ISNUMBER(T61),1,0)</f>
        <v/>
      </c>
      <c r="AB61" s="16">
        <f>IF($A61="","",IF(_xlfn.MAXIFS('TP-b'!$B$2:$B$60,'TP-b'!$A$2:$A$60,"3F4D+MD",'TP-b'!$E$2:$E$60,1,'TP-b'!$B$2:$B$60,"&lt;="&amp;$A61)&gt;0,_xlfn.MAXIFS('TP-b'!$B$2:$B$60,'TP-b'!$A$2:$A$60,"3F4D+MD",'TP-b'!$E$2:$E$60,1,'TP-b'!$B$2:$B$60,"&lt;="&amp;$A61),IF(_xlfn.MINIFS('TP-b'!$B$2:$B$60,'TP-b'!$A$2:$A$60,"3F4D+MD",'TP-b'!$E$2:$E$60,1)&gt;0,_xlfn.MINIFS('TP-b'!$B$2:$B$60,'TP-b'!$A$2:$A$60,"3F4D+MD",'TP-b'!$E$2:$E$60,1),"")))</f>
        <v/>
      </c>
      <c r="AC61" s="10">
        <f>IF(AB61="","",AVERAGEIFS('TP-b'!$C$2:$C$60,'TP-b'!$A$2:$A$60,"3F4D+MD",'TP-b'!$B$2:$B$60,AB61,'TP-b'!$E$2:$E$60,1))</f>
        <v/>
      </c>
      <c r="AD61" s="10">
        <f>IF(AB61="","",AVERAGEIFS('TP-b'!$D$2:$D$60,'TP-b'!$A$2:$A$60,"3F4D+MD",'TP-b'!$B$2:$B$60,AB61,'TP-b'!$E$2:$E$60,1))</f>
        <v/>
      </c>
      <c r="AE61" s="10">
        <f>IF(OR($A61="",NOT(ISNUMBER($J61)),AC61=""),"",ROUND($J61-AC61+AD61,1))</f>
        <v/>
      </c>
      <c r="AF61" s="10">
        <f>IF(AND($K61="Yes",ISNUMBER($L61),AC61&lt;&gt;""),ROUND($L61-AC61+AD61,1),"")</f>
        <v/>
      </c>
      <c r="AG61" s="10">
        <f>IF(AND($K61="Yes",ISNUMBER($M61),AC61&lt;&gt;""),ROUND($M61-AC61+AD61,1),"")</f>
        <v/>
      </c>
      <c r="AH61" s="10">
        <f>IF(AND(ISNUMBER($J61),ISNUMBER(AF61),ISNUMBER(AG61)),ROUND((AG61-MAX(AF61,0))*10,1),"")</f>
        <v/>
      </c>
      <c r="AI61" s="10">
        <f>IF(AE61="","",IF(AND($K61="Yes",ISNUMBER(AG61)),AG61,AE61))</f>
        <v/>
      </c>
      <c r="AJ61" s="10">
        <f>IF(AE61="","",ROUND(SUMIFS($AH$3:$AH$252,$A$3:$A$252,"&lt;="&amp;$A61),1))</f>
        <v/>
      </c>
      <c r="AK61" s="10">
        <f>IF(OR(AE61="",$A61=""),"",IF(ISNUMBER(IFERROR(INDEX($AI$3:$AI$252,MATCH($A61-1,$A$3:$A$252,0)),"")),ROUND((INDEX($AI$3:$AI$252,MATCH($A61-1,$A$3:$A$252,0))-AE61)*10,1),""))</f>
        <v/>
      </c>
      <c r="AL61" s="10">
        <f>IF(ISNUMBER(AE61),1,0)</f>
        <v/>
      </c>
      <c r="AM61" s="17">
        <f>IF($A61="","",IF(COUNTIF($A$3:$A$252,$A61)&gt;1,"same date twice; ","")&amp;IF(AND(ISNUMBER($B61),OR($B61&lt;0,$B61&gt;300)),"rain out of range; ","")&amp;IF(AND(ISNUMBER($C61),OR($C61&lt;0,$C61&gt;45)),"temp out of range; ","")&amp;IF(AND(ISNUMBER($D61),OR($D61&lt;0,$D61&gt;100)),"RH out of range; ",""))</f>
        <v/>
      </c>
      <c r="AN61" s="17">
        <f>IF($A61="","",IF(AND(ISNUMBER(T61),OR(T61&lt;-30,T61&gt;20)),"WL out of range; ","")&amp;IF(AND(ISNUMBER($E61),T61=""),"no TP/b; ","")&amp;IF(AND(ISNUMBER(U61),ISNUMBER(V61)),IF(V61&lt;U61,"After&lt;Before; ",""),"")&amp;IF(AND($F61="Yes",ISNUMBER($E61),W61=""),"irrigation readings missing; ","")&amp;IF(ISNUMBER(Z61),IF(AND(ABS(Z61)&gt;50,NOT(N($B61)&gt;0)),"WL jump &gt;5 cm; ",""),""))</f>
        <v/>
      </c>
      <c r="AO61" s="17">
        <f>IF($A61="","",IF(AND(ISNUMBER(AE61),OR(AE61&lt;-30,AE61&gt;20)),"WL out of range; ","")&amp;IF(AND(ISNUMBER($J61),AE61=""),"no TP/b; ","")&amp;IF(AND(ISNUMBER(AF61),ISNUMBER(AG61)),IF(AG61&lt;AF61,"After&lt;Before; ",""),"")&amp;IF(AND($K61="Yes",ISNUMBER($J61),AH61=""),"irrigation readings missing; ","")&amp;IF(ISNUMBER(AK61),IF(AND(ABS(AK61)&gt;50,NOT(N($B61)&gt;0)),"WL jump &gt;5 cm; ",""),"")&amp;IF(AND(ISNUMBER(PitanE),ISNUMBER(AB61),$A61&gt;PitanE+2,AB61&lt;PitanE),"re-measure TP/b after Pitan; ",""))</f>
        <v/>
      </c>
    </row>
    <row r="62">
      <c r="A62" s="14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0">
        <f>IF(OR($A62="",NOT(ISNUMBER(TransDate))),"",$A62-TransDate)</f>
        <v/>
      </c>
      <c r="Q62" s="16">
        <f>IF($A62="","",IF(_xlfn.MAXIFS('TP-b'!$B$2:$B$60,'TP-b'!$A$2:$A$60,"FP",'TP-b'!$E$2:$E$60,1,'TP-b'!$B$2:$B$60,"&lt;="&amp;$A62)&gt;0,_xlfn.MAXIFS('TP-b'!$B$2:$B$60,'TP-b'!$A$2:$A$60,"FP",'TP-b'!$E$2:$E$60,1,'TP-b'!$B$2:$B$60,"&lt;="&amp;$A62),IF(_xlfn.MINIFS('TP-b'!$B$2:$B$60,'TP-b'!$A$2:$A$60,"FP",'TP-b'!$E$2:$E$60,1)&gt;0,_xlfn.MINIFS('TP-b'!$B$2:$B$60,'TP-b'!$A$2:$A$60,"FP",'TP-b'!$E$2:$E$60,1),"")))</f>
        <v/>
      </c>
      <c r="R62" s="10">
        <f>IF(Q62="","",AVERAGEIFS('TP-b'!$C$2:$C$60,'TP-b'!$A$2:$A$60,"FP",'TP-b'!$B$2:$B$60,Q62,'TP-b'!$E$2:$E$60,1))</f>
        <v/>
      </c>
      <c r="S62" s="10">
        <f>IF(Q62="","",AVERAGEIFS('TP-b'!$D$2:$D$60,'TP-b'!$A$2:$A$60,"FP",'TP-b'!$B$2:$B$60,Q62,'TP-b'!$E$2:$E$60,1))</f>
        <v/>
      </c>
      <c r="T62" s="10">
        <f>IF(OR($A62="",NOT(ISNUMBER($E62)),R62=""),"",ROUND($E62-R62+S62,1))</f>
        <v/>
      </c>
      <c r="U62" s="10">
        <f>IF(AND($F62="Yes",ISNUMBER($G62),R62&lt;&gt;""),ROUND($G62-R62+S62,1),"")</f>
        <v/>
      </c>
      <c r="V62" s="10">
        <f>IF(AND($F62="Yes",ISNUMBER($H62),R62&lt;&gt;""),ROUND($H62-R62+S62,1),"")</f>
        <v/>
      </c>
      <c r="W62" s="10">
        <f>IF(AND(ISNUMBER($E62),ISNUMBER(U62),ISNUMBER(V62)),ROUND((V62-MAX(U62,0))*10,1),"")</f>
        <v/>
      </c>
      <c r="X62" s="10">
        <f>IF(T62="","",IF(AND($F62="Yes",ISNUMBER(V62)),V62,T62))</f>
        <v/>
      </c>
      <c r="Y62" s="10">
        <f>IF(T62="","",ROUND(SUMIFS($W$3:$W$252,$A$3:$A$252,"&lt;="&amp;$A62),1))</f>
        <v/>
      </c>
      <c r="Z62" s="10">
        <f>IF(OR(T62="",$A62=""),"",IF(ISNUMBER(IFERROR(INDEX($X$3:$X$252,MATCH($A62-1,$A$3:$A$252,0)),"")),ROUND((INDEX($X$3:$X$252,MATCH($A62-1,$A$3:$A$252,0))-T62)*10,1),""))</f>
        <v/>
      </c>
      <c r="AA62" s="10">
        <f>IF(ISNUMBER(T62),1,0)</f>
        <v/>
      </c>
      <c r="AB62" s="16">
        <f>IF($A62="","",IF(_xlfn.MAXIFS('TP-b'!$B$2:$B$60,'TP-b'!$A$2:$A$60,"3F4D+MD",'TP-b'!$E$2:$E$60,1,'TP-b'!$B$2:$B$60,"&lt;="&amp;$A62)&gt;0,_xlfn.MAXIFS('TP-b'!$B$2:$B$60,'TP-b'!$A$2:$A$60,"3F4D+MD",'TP-b'!$E$2:$E$60,1,'TP-b'!$B$2:$B$60,"&lt;="&amp;$A62),IF(_xlfn.MINIFS('TP-b'!$B$2:$B$60,'TP-b'!$A$2:$A$60,"3F4D+MD",'TP-b'!$E$2:$E$60,1)&gt;0,_xlfn.MINIFS('TP-b'!$B$2:$B$60,'TP-b'!$A$2:$A$60,"3F4D+MD",'TP-b'!$E$2:$E$60,1),"")))</f>
        <v/>
      </c>
      <c r="AC62" s="10">
        <f>IF(AB62="","",AVERAGEIFS('TP-b'!$C$2:$C$60,'TP-b'!$A$2:$A$60,"3F4D+MD",'TP-b'!$B$2:$B$60,AB62,'TP-b'!$E$2:$E$60,1))</f>
        <v/>
      </c>
      <c r="AD62" s="10">
        <f>IF(AB62="","",AVERAGEIFS('TP-b'!$D$2:$D$60,'TP-b'!$A$2:$A$60,"3F4D+MD",'TP-b'!$B$2:$B$60,AB62,'TP-b'!$E$2:$E$60,1))</f>
        <v/>
      </c>
      <c r="AE62" s="10">
        <f>IF(OR($A62="",NOT(ISNUMBER($J62)),AC62=""),"",ROUND($J62-AC62+AD62,1))</f>
        <v/>
      </c>
      <c r="AF62" s="10">
        <f>IF(AND($K62="Yes",ISNUMBER($L62),AC62&lt;&gt;""),ROUND($L62-AC62+AD62,1),"")</f>
        <v/>
      </c>
      <c r="AG62" s="10">
        <f>IF(AND($K62="Yes",ISNUMBER($M62),AC62&lt;&gt;""),ROUND($M62-AC62+AD62,1),"")</f>
        <v/>
      </c>
      <c r="AH62" s="10">
        <f>IF(AND(ISNUMBER($J62),ISNUMBER(AF62),ISNUMBER(AG62)),ROUND((AG62-MAX(AF62,0))*10,1),"")</f>
        <v/>
      </c>
      <c r="AI62" s="10">
        <f>IF(AE62="","",IF(AND($K62="Yes",ISNUMBER(AG62)),AG62,AE62))</f>
        <v/>
      </c>
      <c r="AJ62" s="10">
        <f>IF(AE62="","",ROUND(SUMIFS($AH$3:$AH$252,$A$3:$A$252,"&lt;="&amp;$A62),1))</f>
        <v/>
      </c>
      <c r="AK62" s="10">
        <f>IF(OR(AE62="",$A62=""),"",IF(ISNUMBER(IFERROR(INDEX($AI$3:$AI$252,MATCH($A62-1,$A$3:$A$252,0)),"")),ROUND((INDEX($AI$3:$AI$252,MATCH($A62-1,$A$3:$A$252,0))-AE62)*10,1),""))</f>
        <v/>
      </c>
      <c r="AL62" s="10">
        <f>IF(ISNUMBER(AE62),1,0)</f>
        <v/>
      </c>
      <c r="AM62" s="17">
        <f>IF($A62="","",IF(COUNTIF($A$3:$A$252,$A62)&gt;1,"same date twice; ","")&amp;IF(AND(ISNUMBER($B62),OR($B62&lt;0,$B62&gt;300)),"rain out of range; ","")&amp;IF(AND(ISNUMBER($C62),OR($C62&lt;0,$C62&gt;45)),"temp out of range; ","")&amp;IF(AND(ISNUMBER($D62),OR($D62&lt;0,$D62&gt;100)),"RH out of range; ",""))</f>
        <v/>
      </c>
      <c r="AN62" s="17">
        <f>IF($A62="","",IF(AND(ISNUMBER(T62),OR(T62&lt;-30,T62&gt;20)),"WL out of range; ","")&amp;IF(AND(ISNUMBER($E62),T62=""),"no TP/b; ","")&amp;IF(AND(ISNUMBER(U62),ISNUMBER(V62)),IF(V62&lt;U62,"After&lt;Before; ",""),"")&amp;IF(AND($F62="Yes",ISNUMBER($E62),W62=""),"irrigation readings missing; ","")&amp;IF(ISNUMBER(Z62),IF(AND(ABS(Z62)&gt;50,NOT(N($B62)&gt;0)),"WL jump &gt;5 cm; ",""),""))</f>
        <v/>
      </c>
      <c r="AO62" s="17">
        <f>IF($A62="","",IF(AND(ISNUMBER(AE62),OR(AE62&lt;-30,AE62&gt;20)),"WL out of range; ","")&amp;IF(AND(ISNUMBER($J62),AE62=""),"no TP/b; ","")&amp;IF(AND(ISNUMBER(AF62),ISNUMBER(AG62)),IF(AG62&lt;AF62,"After&lt;Before; ",""),"")&amp;IF(AND($K62="Yes",ISNUMBER($J62),AH62=""),"irrigation readings missing; ","")&amp;IF(ISNUMBER(AK62),IF(AND(ABS(AK62)&gt;50,NOT(N($B62)&gt;0)),"WL jump &gt;5 cm; ",""),"")&amp;IF(AND(ISNUMBER(PitanE),ISNUMBER(AB62),$A62&gt;PitanE+2,AB62&lt;PitanE),"re-measure TP/b after Pitan; ",""))</f>
        <v/>
      </c>
    </row>
    <row r="63">
      <c r="A63" s="14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0">
        <f>IF(OR($A63="",NOT(ISNUMBER(TransDate))),"",$A63-TransDate)</f>
        <v/>
      </c>
      <c r="Q63" s="16">
        <f>IF($A63="","",IF(_xlfn.MAXIFS('TP-b'!$B$2:$B$60,'TP-b'!$A$2:$A$60,"FP",'TP-b'!$E$2:$E$60,1,'TP-b'!$B$2:$B$60,"&lt;="&amp;$A63)&gt;0,_xlfn.MAXIFS('TP-b'!$B$2:$B$60,'TP-b'!$A$2:$A$60,"FP",'TP-b'!$E$2:$E$60,1,'TP-b'!$B$2:$B$60,"&lt;="&amp;$A63),IF(_xlfn.MINIFS('TP-b'!$B$2:$B$60,'TP-b'!$A$2:$A$60,"FP",'TP-b'!$E$2:$E$60,1)&gt;0,_xlfn.MINIFS('TP-b'!$B$2:$B$60,'TP-b'!$A$2:$A$60,"FP",'TP-b'!$E$2:$E$60,1),"")))</f>
        <v/>
      </c>
      <c r="R63" s="10">
        <f>IF(Q63="","",AVERAGEIFS('TP-b'!$C$2:$C$60,'TP-b'!$A$2:$A$60,"FP",'TP-b'!$B$2:$B$60,Q63,'TP-b'!$E$2:$E$60,1))</f>
        <v/>
      </c>
      <c r="S63" s="10">
        <f>IF(Q63="","",AVERAGEIFS('TP-b'!$D$2:$D$60,'TP-b'!$A$2:$A$60,"FP",'TP-b'!$B$2:$B$60,Q63,'TP-b'!$E$2:$E$60,1))</f>
        <v/>
      </c>
      <c r="T63" s="10">
        <f>IF(OR($A63="",NOT(ISNUMBER($E63)),R63=""),"",ROUND($E63-R63+S63,1))</f>
        <v/>
      </c>
      <c r="U63" s="10">
        <f>IF(AND($F63="Yes",ISNUMBER($G63),R63&lt;&gt;""),ROUND($G63-R63+S63,1),"")</f>
        <v/>
      </c>
      <c r="V63" s="10">
        <f>IF(AND($F63="Yes",ISNUMBER($H63),R63&lt;&gt;""),ROUND($H63-R63+S63,1),"")</f>
        <v/>
      </c>
      <c r="W63" s="10">
        <f>IF(AND(ISNUMBER($E63),ISNUMBER(U63),ISNUMBER(V63)),ROUND((V63-MAX(U63,0))*10,1),"")</f>
        <v/>
      </c>
      <c r="X63" s="10">
        <f>IF(T63="","",IF(AND($F63="Yes",ISNUMBER(V63)),V63,T63))</f>
        <v/>
      </c>
      <c r="Y63" s="10">
        <f>IF(T63="","",ROUND(SUMIFS($W$3:$W$252,$A$3:$A$252,"&lt;="&amp;$A63),1))</f>
        <v/>
      </c>
      <c r="Z63" s="10">
        <f>IF(OR(T63="",$A63=""),"",IF(ISNUMBER(IFERROR(INDEX($X$3:$X$252,MATCH($A63-1,$A$3:$A$252,0)),"")),ROUND((INDEX($X$3:$X$252,MATCH($A63-1,$A$3:$A$252,0))-T63)*10,1),""))</f>
        <v/>
      </c>
      <c r="AA63" s="10">
        <f>IF(ISNUMBER(T63),1,0)</f>
        <v/>
      </c>
      <c r="AB63" s="16">
        <f>IF($A63="","",IF(_xlfn.MAXIFS('TP-b'!$B$2:$B$60,'TP-b'!$A$2:$A$60,"3F4D+MD",'TP-b'!$E$2:$E$60,1,'TP-b'!$B$2:$B$60,"&lt;="&amp;$A63)&gt;0,_xlfn.MAXIFS('TP-b'!$B$2:$B$60,'TP-b'!$A$2:$A$60,"3F4D+MD",'TP-b'!$E$2:$E$60,1,'TP-b'!$B$2:$B$60,"&lt;="&amp;$A63),IF(_xlfn.MINIFS('TP-b'!$B$2:$B$60,'TP-b'!$A$2:$A$60,"3F4D+MD",'TP-b'!$E$2:$E$60,1)&gt;0,_xlfn.MINIFS('TP-b'!$B$2:$B$60,'TP-b'!$A$2:$A$60,"3F4D+MD",'TP-b'!$E$2:$E$60,1),"")))</f>
        <v/>
      </c>
      <c r="AC63" s="10">
        <f>IF(AB63="","",AVERAGEIFS('TP-b'!$C$2:$C$60,'TP-b'!$A$2:$A$60,"3F4D+MD",'TP-b'!$B$2:$B$60,AB63,'TP-b'!$E$2:$E$60,1))</f>
        <v/>
      </c>
      <c r="AD63" s="10">
        <f>IF(AB63="","",AVERAGEIFS('TP-b'!$D$2:$D$60,'TP-b'!$A$2:$A$60,"3F4D+MD",'TP-b'!$B$2:$B$60,AB63,'TP-b'!$E$2:$E$60,1))</f>
        <v/>
      </c>
      <c r="AE63" s="10">
        <f>IF(OR($A63="",NOT(ISNUMBER($J63)),AC63=""),"",ROUND($J63-AC63+AD63,1))</f>
        <v/>
      </c>
      <c r="AF63" s="10">
        <f>IF(AND($K63="Yes",ISNUMBER($L63),AC63&lt;&gt;""),ROUND($L63-AC63+AD63,1),"")</f>
        <v/>
      </c>
      <c r="AG63" s="10">
        <f>IF(AND($K63="Yes",ISNUMBER($M63),AC63&lt;&gt;""),ROUND($M63-AC63+AD63,1),"")</f>
        <v/>
      </c>
      <c r="AH63" s="10">
        <f>IF(AND(ISNUMBER($J63),ISNUMBER(AF63),ISNUMBER(AG63)),ROUND((AG63-MAX(AF63,0))*10,1),"")</f>
        <v/>
      </c>
      <c r="AI63" s="10">
        <f>IF(AE63="","",IF(AND($K63="Yes",ISNUMBER(AG63)),AG63,AE63))</f>
        <v/>
      </c>
      <c r="AJ63" s="10">
        <f>IF(AE63="","",ROUND(SUMIFS($AH$3:$AH$252,$A$3:$A$252,"&lt;="&amp;$A63),1))</f>
        <v/>
      </c>
      <c r="AK63" s="10">
        <f>IF(OR(AE63="",$A63=""),"",IF(ISNUMBER(IFERROR(INDEX($AI$3:$AI$252,MATCH($A63-1,$A$3:$A$252,0)),"")),ROUND((INDEX($AI$3:$AI$252,MATCH($A63-1,$A$3:$A$252,0))-AE63)*10,1),""))</f>
        <v/>
      </c>
      <c r="AL63" s="10">
        <f>IF(ISNUMBER(AE63),1,0)</f>
        <v/>
      </c>
      <c r="AM63" s="17">
        <f>IF($A63="","",IF(COUNTIF($A$3:$A$252,$A63)&gt;1,"same date twice; ","")&amp;IF(AND(ISNUMBER($B63),OR($B63&lt;0,$B63&gt;300)),"rain out of range; ","")&amp;IF(AND(ISNUMBER($C63),OR($C63&lt;0,$C63&gt;45)),"temp out of range; ","")&amp;IF(AND(ISNUMBER($D63),OR($D63&lt;0,$D63&gt;100)),"RH out of range; ",""))</f>
        <v/>
      </c>
      <c r="AN63" s="17">
        <f>IF($A63="","",IF(AND(ISNUMBER(T63),OR(T63&lt;-30,T63&gt;20)),"WL out of range; ","")&amp;IF(AND(ISNUMBER($E63),T63=""),"no TP/b; ","")&amp;IF(AND(ISNUMBER(U63),ISNUMBER(V63)),IF(V63&lt;U63,"After&lt;Before; ",""),"")&amp;IF(AND($F63="Yes",ISNUMBER($E63),W63=""),"irrigation readings missing; ","")&amp;IF(ISNUMBER(Z63),IF(AND(ABS(Z63)&gt;50,NOT(N($B63)&gt;0)),"WL jump &gt;5 cm; ",""),""))</f>
        <v/>
      </c>
      <c r="AO63" s="17">
        <f>IF($A63="","",IF(AND(ISNUMBER(AE63),OR(AE63&lt;-30,AE63&gt;20)),"WL out of range; ","")&amp;IF(AND(ISNUMBER($J63),AE63=""),"no TP/b; ","")&amp;IF(AND(ISNUMBER(AF63),ISNUMBER(AG63)),IF(AG63&lt;AF63,"After&lt;Before; ",""),"")&amp;IF(AND($K63="Yes",ISNUMBER($J63),AH63=""),"irrigation readings missing; ","")&amp;IF(ISNUMBER(AK63),IF(AND(ABS(AK63)&gt;50,NOT(N($B63)&gt;0)),"WL jump &gt;5 cm; ",""),"")&amp;IF(AND(ISNUMBER(PitanE),ISNUMBER(AB63),$A63&gt;PitanE+2,AB63&lt;PitanE),"re-measure TP/b after Pitan; ",""))</f>
        <v/>
      </c>
    </row>
    <row r="64">
      <c r="A64" s="14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0">
        <f>IF(OR($A64="",NOT(ISNUMBER(TransDate))),"",$A64-TransDate)</f>
        <v/>
      </c>
      <c r="Q64" s="16">
        <f>IF($A64="","",IF(_xlfn.MAXIFS('TP-b'!$B$2:$B$60,'TP-b'!$A$2:$A$60,"FP",'TP-b'!$E$2:$E$60,1,'TP-b'!$B$2:$B$60,"&lt;="&amp;$A64)&gt;0,_xlfn.MAXIFS('TP-b'!$B$2:$B$60,'TP-b'!$A$2:$A$60,"FP",'TP-b'!$E$2:$E$60,1,'TP-b'!$B$2:$B$60,"&lt;="&amp;$A64),IF(_xlfn.MINIFS('TP-b'!$B$2:$B$60,'TP-b'!$A$2:$A$60,"FP",'TP-b'!$E$2:$E$60,1)&gt;0,_xlfn.MINIFS('TP-b'!$B$2:$B$60,'TP-b'!$A$2:$A$60,"FP",'TP-b'!$E$2:$E$60,1),"")))</f>
        <v/>
      </c>
      <c r="R64" s="10">
        <f>IF(Q64="","",AVERAGEIFS('TP-b'!$C$2:$C$60,'TP-b'!$A$2:$A$60,"FP",'TP-b'!$B$2:$B$60,Q64,'TP-b'!$E$2:$E$60,1))</f>
        <v/>
      </c>
      <c r="S64" s="10">
        <f>IF(Q64="","",AVERAGEIFS('TP-b'!$D$2:$D$60,'TP-b'!$A$2:$A$60,"FP",'TP-b'!$B$2:$B$60,Q64,'TP-b'!$E$2:$E$60,1))</f>
        <v/>
      </c>
      <c r="T64" s="10">
        <f>IF(OR($A64="",NOT(ISNUMBER($E64)),R64=""),"",ROUND($E64-R64+S64,1))</f>
        <v/>
      </c>
      <c r="U64" s="10">
        <f>IF(AND($F64="Yes",ISNUMBER($G64),R64&lt;&gt;""),ROUND($G64-R64+S64,1),"")</f>
        <v/>
      </c>
      <c r="V64" s="10">
        <f>IF(AND($F64="Yes",ISNUMBER($H64),R64&lt;&gt;""),ROUND($H64-R64+S64,1),"")</f>
        <v/>
      </c>
      <c r="W64" s="10">
        <f>IF(AND(ISNUMBER($E64),ISNUMBER(U64),ISNUMBER(V64)),ROUND((V64-MAX(U64,0))*10,1),"")</f>
        <v/>
      </c>
      <c r="X64" s="10">
        <f>IF(T64="","",IF(AND($F64="Yes",ISNUMBER(V64)),V64,T64))</f>
        <v/>
      </c>
      <c r="Y64" s="10">
        <f>IF(T64="","",ROUND(SUMIFS($W$3:$W$252,$A$3:$A$252,"&lt;="&amp;$A64),1))</f>
        <v/>
      </c>
      <c r="Z64" s="10">
        <f>IF(OR(T64="",$A64=""),"",IF(ISNUMBER(IFERROR(INDEX($X$3:$X$252,MATCH($A64-1,$A$3:$A$252,0)),"")),ROUND((INDEX($X$3:$X$252,MATCH($A64-1,$A$3:$A$252,0))-T64)*10,1),""))</f>
        <v/>
      </c>
      <c r="AA64" s="10">
        <f>IF(ISNUMBER(T64),1,0)</f>
        <v/>
      </c>
      <c r="AB64" s="16">
        <f>IF($A64="","",IF(_xlfn.MAXIFS('TP-b'!$B$2:$B$60,'TP-b'!$A$2:$A$60,"3F4D+MD",'TP-b'!$E$2:$E$60,1,'TP-b'!$B$2:$B$60,"&lt;="&amp;$A64)&gt;0,_xlfn.MAXIFS('TP-b'!$B$2:$B$60,'TP-b'!$A$2:$A$60,"3F4D+MD",'TP-b'!$E$2:$E$60,1,'TP-b'!$B$2:$B$60,"&lt;="&amp;$A64),IF(_xlfn.MINIFS('TP-b'!$B$2:$B$60,'TP-b'!$A$2:$A$60,"3F4D+MD",'TP-b'!$E$2:$E$60,1)&gt;0,_xlfn.MINIFS('TP-b'!$B$2:$B$60,'TP-b'!$A$2:$A$60,"3F4D+MD",'TP-b'!$E$2:$E$60,1),"")))</f>
        <v/>
      </c>
      <c r="AC64" s="10">
        <f>IF(AB64="","",AVERAGEIFS('TP-b'!$C$2:$C$60,'TP-b'!$A$2:$A$60,"3F4D+MD",'TP-b'!$B$2:$B$60,AB64,'TP-b'!$E$2:$E$60,1))</f>
        <v/>
      </c>
      <c r="AD64" s="10">
        <f>IF(AB64="","",AVERAGEIFS('TP-b'!$D$2:$D$60,'TP-b'!$A$2:$A$60,"3F4D+MD",'TP-b'!$B$2:$B$60,AB64,'TP-b'!$E$2:$E$60,1))</f>
        <v/>
      </c>
      <c r="AE64" s="10">
        <f>IF(OR($A64="",NOT(ISNUMBER($J64)),AC64=""),"",ROUND($J64-AC64+AD64,1))</f>
        <v/>
      </c>
      <c r="AF64" s="10">
        <f>IF(AND($K64="Yes",ISNUMBER($L64),AC64&lt;&gt;""),ROUND($L64-AC64+AD64,1),"")</f>
        <v/>
      </c>
      <c r="AG64" s="10">
        <f>IF(AND($K64="Yes",ISNUMBER($M64),AC64&lt;&gt;""),ROUND($M64-AC64+AD64,1),"")</f>
        <v/>
      </c>
      <c r="AH64" s="10">
        <f>IF(AND(ISNUMBER($J64),ISNUMBER(AF64),ISNUMBER(AG64)),ROUND((AG64-MAX(AF64,0))*10,1),"")</f>
        <v/>
      </c>
      <c r="AI64" s="10">
        <f>IF(AE64="","",IF(AND($K64="Yes",ISNUMBER(AG64)),AG64,AE64))</f>
        <v/>
      </c>
      <c r="AJ64" s="10">
        <f>IF(AE64="","",ROUND(SUMIFS($AH$3:$AH$252,$A$3:$A$252,"&lt;="&amp;$A64),1))</f>
        <v/>
      </c>
      <c r="AK64" s="10">
        <f>IF(OR(AE64="",$A64=""),"",IF(ISNUMBER(IFERROR(INDEX($AI$3:$AI$252,MATCH($A64-1,$A$3:$A$252,0)),"")),ROUND((INDEX($AI$3:$AI$252,MATCH($A64-1,$A$3:$A$252,0))-AE64)*10,1),""))</f>
        <v/>
      </c>
      <c r="AL64" s="10">
        <f>IF(ISNUMBER(AE64),1,0)</f>
        <v/>
      </c>
      <c r="AM64" s="17">
        <f>IF($A64="","",IF(COUNTIF($A$3:$A$252,$A64)&gt;1,"same date twice; ","")&amp;IF(AND(ISNUMBER($B64),OR($B64&lt;0,$B64&gt;300)),"rain out of range; ","")&amp;IF(AND(ISNUMBER($C64),OR($C64&lt;0,$C64&gt;45)),"temp out of range; ","")&amp;IF(AND(ISNUMBER($D64),OR($D64&lt;0,$D64&gt;100)),"RH out of range; ",""))</f>
        <v/>
      </c>
      <c r="AN64" s="17">
        <f>IF($A64="","",IF(AND(ISNUMBER(T64),OR(T64&lt;-30,T64&gt;20)),"WL out of range; ","")&amp;IF(AND(ISNUMBER($E64),T64=""),"no TP/b; ","")&amp;IF(AND(ISNUMBER(U64),ISNUMBER(V64)),IF(V64&lt;U64,"After&lt;Before; ",""),"")&amp;IF(AND($F64="Yes",ISNUMBER($E64),W64=""),"irrigation readings missing; ","")&amp;IF(ISNUMBER(Z64),IF(AND(ABS(Z64)&gt;50,NOT(N($B64)&gt;0)),"WL jump &gt;5 cm; ",""),""))</f>
        <v/>
      </c>
      <c r="AO64" s="17">
        <f>IF($A64="","",IF(AND(ISNUMBER(AE64),OR(AE64&lt;-30,AE64&gt;20)),"WL out of range; ","")&amp;IF(AND(ISNUMBER($J64),AE64=""),"no TP/b; ","")&amp;IF(AND(ISNUMBER(AF64),ISNUMBER(AG64)),IF(AG64&lt;AF64,"After&lt;Before; ",""),"")&amp;IF(AND($K64="Yes",ISNUMBER($J64),AH64=""),"irrigation readings missing; ","")&amp;IF(ISNUMBER(AK64),IF(AND(ABS(AK64)&gt;50,NOT(N($B64)&gt;0)),"WL jump &gt;5 cm; ",""),"")&amp;IF(AND(ISNUMBER(PitanE),ISNUMBER(AB64),$A64&gt;PitanE+2,AB64&lt;PitanE),"re-measure TP/b after Pitan; ",""))</f>
        <v/>
      </c>
    </row>
    <row r="65">
      <c r="A65" s="14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0">
        <f>IF(OR($A65="",NOT(ISNUMBER(TransDate))),"",$A65-TransDate)</f>
        <v/>
      </c>
      <c r="Q65" s="16">
        <f>IF($A65="","",IF(_xlfn.MAXIFS('TP-b'!$B$2:$B$60,'TP-b'!$A$2:$A$60,"FP",'TP-b'!$E$2:$E$60,1,'TP-b'!$B$2:$B$60,"&lt;="&amp;$A65)&gt;0,_xlfn.MAXIFS('TP-b'!$B$2:$B$60,'TP-b'!$A$2:$A$60,"FP",'TP-b'!$E$2:$E$60,1,'TP-b'!$B$2:$B$60,"&lt;="&amp;$A65),IF(_xlfn.MINIFS('TP-b'!$B$2:$B$60,'TP-b'!$A$2:$A$60,"FP",'TP-b'!$E$2:$E$60,1)&gt;0,_xlfn.MINIFS('TP-b'!$B$2:$B$60,'TP-b'!$A$2:$A$60,"FP",'TP-b'!$E$2:$E$60,1),"")))</f>
        <v/>
      </c>
      <c r="R65" s="10">
        <f>IF(Q65="","",AVERAGEIFS('TP-b'!$C$2:$C$60,'TP-b'!$A$2:$A$60,"FP",'TP-b'!$B$2:$B$60,Q65,'TP-b'!$E$2:$E$60,1))</f>
        <v/>
      </c>
      <c r="S65" s="10">
        <f>IF(Q65="","",AVERAGEIFS('TP-b'!$D$2:$D$60,'TP-b'!$A$2:$A$60,"FP",'TP-b'!$B$2:$B$60,Q65,'TP-b'!$E$2:$E$60,1))</f>
        <v/>
      </c>
      <c r="T65" s="10">
        <f>IF(OR($A65="",NOT(ISNUMBER($E65)),R65=""),"",ROUND($E65-R65+S65,1))</f>
        <v/>
      </c>
      <c r="U65" s="10">
        <f>IF(AND($F65="Yes",ISNUMBER($G65),R65&lt;&gt;""),ROUND($G65-R65+S65,1),"")</f>
        <v/>
      </c>
      <c r="V65" s="10">
        <f>IF(AND($F65="Yes",ISNUMBER($H65),R65&lt;&gt;""),ROUND($H65-R65+S65,1),"")</f>
        <v/>
      </c>
      <c r="W65" s="10">
        <f>IF(AND(ISNUMBER($E65),ISNUMBER(U65),ISNUMBER(V65)),ROUND((V65-MAX(U65,0))*10,1),"")</f>
        <v/>
      </c>
      <c r="X65" s="10">
        <f>IF(T65="","",IF(AND($F65="Yes",ISNUMBER(V65)),V65,T65))</f>
        <v/>
      </c>
      <c r="Y65" s="10">
        <f>IF(T65="","",ROUND(SUMIFS($W$3:$W$252,$A$3:$A$252,"&lt;="&amp;$A65),1))</f>
        <v/>
      </c>
      <c r="Z65" s="10">
        <f>IF(OR(T65="",$A65=""),"",IF(ISNUMBER(IFERROR(INDEX($X$3:$X$252,MATCH($A65-1,$A$3:$A$252,0)),"")),ROUND((INDEX($X$3:$X$252,MATCH($A65-1,$A$3:$A$252,0))-T65)*10,1),""))</f>
        <v/>
      </c>
      <c r="AA65" s="10">
        <f>IF(ISNUMBER(T65),1,0)</f>
        <v/>
      </c>
      <c r="AB65" s="16">
        <f>IF($A65="","",IF(_xlfn.MAXIFS('TP-b'!$B$2:$B$60,'TP-b'!$A$2:$A$60,"3F4D+MD",'TP-b'!$E$2:$E$60,1,'TP-b'!$B$2:$B$60,"&lt;="&amp;$A65)&gt;0,_xlfn.MAXIFS('TP-b'!$B$2:$B$60,'TP-b'!$A$2:$A$60,"3F4D+MD",'TP-b'!$E$2:$E$60,1,'TP-b'!$B$2:$B$60,"&lt;="&amp;$A65),IF(_xlfn.MINIFS('TP-b'!$B$2:$B$60,'TP-b'!$A$2:$A$60,"3F4D+MD",'TP-b'!$E$2:$E$60,1)&gt;0,_xlfn.MINIFS('TP-b'!$B$2:$B$60,'TP-b'!$A$2:$A$60,"3F4D+MD",'TP-b'!$E$2:$E$60,1),"")))</f>
        <v/>
      </c>
      <c r="AC65" s="10">
        <f>IF(AB65="","",AVERAGEIFS('TP-b'!$C$2:$C$60,'TP-b'!$A$2:$A$60,"3F4D+MD",'TP-b'!$B$2:$B$60,AB65,'TP-b'!$E$2:$E$60,1))</f>
        <v/>
      </c>
      <c r="AD65" s="10">
        <f>IF(AB65="","",AVERAGEIFS('TP-b'!$D$2:$D$60,'TP-b'!$A$2:$A$60,"3F4D+MD",'TP-b'!$B$2:$B$60,AB65,'TP-b'!$E$2:$E$60,1))</f>
        <v/>
      </c>
      <c r="AE65" s="10">
        <f>IF(OR($A65="",NOT(ISNUMBER($J65)),AC65=""),"",ROUND($J65-AC65+AD65,1))</f>
        <v/>
      </c>
      <c r="AF65" s="10">
        <f>IF(AND($K65="Yes",ISNUMBER($L65),AC65&lt;&gt;""),ROUND($L65-AC65+AD65,1),"")</f>
        <v/>
      </c>
      <c r="AG65" s="10">
        <f>IF(AND($K65="Yes",ISNUMBER($M65),AC65&lt;&gt;""),ROUND($M65-AC65+AD65,1),"")</f>
        <v/>
      </c>
      <c r="AH65" s="10">
        <f>IF(AND(ISNUMBER($J65),ISNUMBER(AF65),ISNUMBER(AG65)),ROUND((AG65-MAX(AF65,0))*10,1),"")</f>
        <v/>
      </c>
      <c r="AI65" s="10">
        <f>IF(AE65="","",IF(AND($K65="Yes",ISNUMBER(AG65)),AG65,AE65))</f>
        <v/>
      </c>
      <c r="AJ65" s="10">
        <f>IF(AE65="","",ROUND(SUMIFS($AH$3:$AH$252,$A$3:$A$252,"&lt;="&amp;$A65),1))</f>
        <v/>
      </c>
      <c r="AK65" s="10">
        <f>IF(OR(AE65="",$A65=""),"",IF(ISNUMBER(IFERROR(INDEX($AI$3:$AI$252,MATCH($A65-1,$A$3:$A$252,0)),"")),ROUND((INDEX($AI$3:$AI$252,MATCH($A65-1,$A$3:$A$252,0))-AE65)*10,1),""))</f>
        <v/>
      </c>
      <c r="AL65" s="10">
        <f>IF(ISNUMBER(AE65),1,0)</f>
        <v/>
      </c>
      <c r="AM65" s="17">
        <f>IF($A65="","",IF(COUNTIF($A$3:$A$252,$A65)&gt;1,"same date twice; ","")&amp;IF(AND(ISNUMBER($B65),OR($B65&lt;0,$B65&gt;300)),"rain out of range; ","")&amp;IF(AND(ISNUMBER($C65),OR($C65&lt;0,$C65&gt;45)),"temp out of range; ","")&amp;IF(AND(ISNUMBER($D65),OR($D65&lt;0,$D65&gt;100)),"RH out of range; ",""))</f>
        <v/>
      </c>
      <c r="AN65" s="17">
        <f>IF($A65="","",IF(AND(ISNUMBER(T65),OR(T65&lt;-30,T65&gt;20)),"WL out of range; ","")&amp;IF(AND(ISNUMBER($E65),T65=""),"no TP/b; ","")&amp;IF(AND(ISNUMBER(U65),ISNUMBER(V65)),IF(V65&lt;U65,"After&lt;Before; ",""),"")&amp;IF(AND($F65="Yes",ISNUMBER($E65),W65=""),"irrigation readings missing; ","")&amp;IF(ISNUMBER(Z65),IF(AND(ABS(Z65)&gt;50,NOT(N($B65)&gt;0)),"WL jump &gt;5 cm; ",""),""))</f>
        <v/>
      </c>
      <c r="AO65" s="17">
        <f>IF($A65="","",IF(AND(ISNUMBER(AE65),OR(AE65&lt;-30,AE65&gt;20)),"WL out of range; ","")&amp;IF(AND(ISNUMBER($J65),AE65=""),"no TP/b; ","")&amp;IF(AND(ISNUMBER(AF65),ISNUMBER(AG65)),IF(AG65&lt;AF65,"After&lt;Before; ",""),"")&amp;IF(AND($K65="Yes",ISNUMBER($J65),AH65=""),"irrigation readings missing; ","")&amp;IF(ISNUMBER(AK65),IF(AND(ABS(AK65)&gt;50,NOT(N($B65)&gt;0)),"WL jump &gt;5 cm; ",""),"")&amp;IF(AND(ISNUMBER(PitanE),ISNUMBER(AB65),$A65&gt;PitanE+2,AB65&lt;PitanE),"re-measure TP/b after Pitan; ",""))</f>
        <v/>
      </c>
    </row>
    <row r="66">
      <c r="A66" s="14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0">
        <f>IF(OR($A66="",NOT(ISNUMBER(TransDate))),"",$A66-TransDate)</f>
        <v/>
      </c>
      <c r="Q66" s="16">
        <f>IF($A66="","",IF(_xlfn.MAXIFS('TP-b'!$B$2:$B$60,'TP-b'!$A$2:$A$60,"FP",'TP-b'!$E$2:$E$60,1,'TP-b'!$B$2:$B$60,"&lt;="&amp;$A66)&gt;0,_xlfn.MAXIFS('TP-b'!$B$2:$B$60,'TP-b'!$A$2:$A$60,"FP",'TP-b'!$E$2:$E$60,1,'TP-b'!$B$2:$B$60,"&lt;="&amp;$A66),IF(_xlfn.MINIFS('TP-b'!$B$2:$B$60,'TP-b'!$A$2:$A$60,"FP",'TP-b'!$E$2:$E$60,1)&gt;0,_xlfn.MINIFS('TP-b'!$B$2:$B$60,'TP-b'!$A$2:$A$60,"FP",'TP-b'!$E$2:$E$60,1),"")))</f>
        <v/>
      </c>
      <c r="R66" s="10">
        <f>IF(Q66="","",AVERAGEIFS('TP-b'!$C$2:$C$60,'TP-b'!$A$2:$A$60,"FP",'TP-b'!$B$2:$B$60,Q66,'TP-b'!$E$2:$E$60,1))</f>
        <v/>
      </c>
      <c r="S66" s="10">
        <f>IF(Q66="","",AVERAGEIFS('TP-b'!$D$2:$D$60,'TP-b'!$A$2:$A$60,"FP",'TP-b'!$B$2:$B$60,Q66,'TP-b'!$E$2:$E$60,1))</f>
        <v/>
      </c>
      <c r="T66" s="10">
        <f>IF(OR($A66="",NOT(ISNUMBER($E66)),R66=""),"",ROUND($E66-R66+S66,1))</f>
        <v/>
      </c>
      <c r="U66" s="10">
        <f>IF(AND($F66="Yes",ISNUMBER($G66),R66&lt;&gt;""),ROUND($G66-R66+S66,1),"")</f>
        <v/>
      </c>
      <c r="V66" s="10">
        <f>IF(AND($F66="Yes",ISNUMBER($H66),R66&lt;&gt;""),ROUND($H66-R66+S66,1),"")</f>
        <v/>
      </c>
      <c r="W66" s="10">
        <f>IF(AND(ISNUMBER($E66),ISNUMBER(U66),ISNUMBER(V66)),ROUND((V66-MAX(U66,0))*10,1),"")</f>
        <v/>
      </c>
      <c r="X66" s="10">
        <f>IF(T66="","",IF(AND($F66="Yes",ISNUMBER(V66)),V66,T66))</f>
        <v/>
      </c>
      <c r="Y66" s="10">
        <f>IF(T66="","",ROUND(SUMIFS($W$3:$W$252,$A$3:$A$252,"&lt;="&amp;$A66),1))</f>
        <v/>
      </c>
      <c r="Z66" s="10">
        <f>IF(OR(T66="",$A66=""),"",IF(ISNUMBER(IFERROR(INDEX($X$3:$X$252,MATCH($A66-1,$A$3:$A$252,0)),"")),ROUND((INDEX($X$3:$X$252,MATCH($A66-1,$A$3:$A$252,0))-T66)*10,1),""))</f>
        <v/>
      </c>
      <c r="AA66" s="10">
        <f>IF(ISNUMBER(T66),1,0)</f>
        <v/>
      </c>
      <c r="AB66" s="16">
        <f>IF($A66="","",IF(_xlfn.MAXIFS('TP-b'!$B$2:$B$60,'TP-b'!$A$2:$A$60,"3F4D+MD",'TP-b'!$E$2:$E$60,1,'TP-b'!$B$2:$B$60,"&lt;="&amp;$A66)&gt;0,_xlfn.MAXIFS('TP-b'!$B$2:$B$60,'TP-b'!$A$2:$A$60,"3F4D+MD",'TP-b'!$E$2:$E$60,1,'TP-b'!$B$2:$B$60,"&lt;="&amp;$A66),IF(_xlfn.MINIFS('TP-b'!$B$2:$B$60,'TP-b'!$A$2:$A$60,"3F4D+MD",'TP-b'!$E$2:$E$60,1)&gt;0,_xlfn.MINIFS('TP-b'!$B$2:$B$60,'TP-b'!$A$2:$A$60,"3F4D+MD",'TP-b'!$E$2:$E$60,1),"")))</f>
        <v/>
      </c>
      <c r="AC66" s="10">
        <f>IF(AB66="","",AVERAGEIFS('TP-b'!$C$2:$C$60,'TP-b'!$A$2:$A$60,"3F4D+MD",'TP-b'!$B$2:$B$60,AB66,'TP-b'!$E$2:$E$60,1))</f>
        <v/>
      </c>
      <c r="AD66" s="10">
        <f>IF(AB66="","",AVERAGEIFS('TP-b'!$D$2:$D$60,'TP-b'!$A$2:$A$60,"3F4D+MD",'TP-b'!$B$2:$B$60,AB66,'TP-b'!$E$2:$E$60,1))</f>
        <v/>
      </c>
      <c r="AE66" s="10">
        <f>IF(OR($A66="",NOT(ISNUMBER($J66)),AC66=""),"",ROUND($J66-AC66+AD66,1))</f>
        <v/>
      </c>
      <c r="AF66" s="10">
        <f>IF(AND($K66="Yes",ISNUMBER($L66),AC66&lt;&gt;""),ROUND($L66-AC66+AD66,1),"")</f>
        <v/>
      </c>
      <c r="AG66" s="10">
        <f>IF(AND($K66="Yes",ISNUMBER($M66),AC66&lt;&gt;""),ROUND($M66-AC66+AD66,1),"")</f>
        <v/>
      </c>
      <c r="AH66" s="10">
        <f>IF(AND(ISNUMBER($J66),ISNUMBER(AF66),ISNUMBER(AG66)),ROUND((AG66-MAX(AF66,0))*10,1),"")</f>
        <v/>
      </c>
      <c r="AI66" s="10">
        <f>IF(AE66="","",IF(AND($K66="Yes",ISNUMBER(AG66)),AG66,AE66))</f>
        <v/>
      </c>
      <c r="AJ66" s="10">
        <f>IF(AE66="","",ROUND(SUMIFS($AH$3:$AH$252,$A$3:$A$252,"&lt;="&amp;$A66),1))</f>
        <v/>
      </c>
      <c r="AK66" s="10">
        <f>IF(OR(AE66="",$A66=""),"",IF(ISNUMBER(IFERROR(INDEX($AI$3:$AI$252,MATCH($A66-1,$A$3:$A$252,0)),"")),ROUND((INDEX($AI$3:$AI$252,MATCH($A66-1,$A$3:$A$252,0))-AE66)*10,1),""))</f>
        <v/>
      </c>
      <c r="AL66" s="10">
        <f>IF(ISNUMBER(AE66),1,0)</f>
        <v/>
      </c>
      <c r="AM66" s="17">
        <f>IF($A66="","",IF(COUNTIF($A$3:$A$252,$A66)&gt;1,"same date twice; ","")&amp;IF(AND(ISNUMBER($B66),OR($B66&lt;0,$B66&gt;300)),"rain out of range; ","")&amp;IF(AND(ISNUMBER($C66),OR($C66&lt;0,$C66&gt;45)),"temp out of range; ","")&amp;IF(AND(ISNUMBER($D66),OR($D66&lt;0,$D66&gt;100)),"RH out of range; ",""))</f>
        <v/>
      </c>
      <c r="AN66" s="17">
        <f>IF($A66="","",IF(AND(ISNUMBER(T66),OR(T66&lt;-30,T66&gt;20)),"WL out of range; ","")&amp;IF(AND(ISNUMBER($E66),T66=""),"no TP/b; ","")&amp;IF(AND(ISNUMBER(U66),ISNUMBER(V66)),IF(V66&lt;U66,"After&lt;Before; ",""),"")&amp;IF(AND($F66="Yes",ISNUMBER($E66),W66=""),"irrigation readings missing; ","")&amp;IF(ISNUMBER(Z66),IF(AND(ABS(Z66)&gt;50,NOT(N($B66)&gt;0)),"WL jump &gt;5 cm; ",""),""))</f>
        <v/>
      </c>
      <c r="AO66" s="17">
        <f>IF($A66="","",IF(AND(ISNUMBER(AE66),OR(AE66&lt;-30,AE66&gt;20)),"WL out of range; ","")&amp;IF(AND(ISNUMBER($J66),AE66=""),"no TP/b; ","")&amp;IF(AND(ISNUMBER(AF66),ISNUMBER(AG66)),IF(AG66&lt;AF66,"After&lt;Before; ",""),"")&amp;IF(AND($K66="Yes",ISNUMBER($J66),AH66=""),"irrigation readings missing; ","")&amp;IF(ISNUMBER(AK66),IF(AND(ABS(AK66)&gt;50,NOT(N($B66)&gt;0)),"WL jump &gt;5 cm; ",""),"")&amp;IF(AND(ISNUMBER(PitanE),ISNUMBER(AB66),$A66&gt;PitanE+2,AB66&lt;PitanE),"re-measure TP/b after Pitan; ",""))</f>
        <v/>
      </c>
    </row>
    <row r="67">
      <c r="A67" s="14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0">
        <f>IF(OR($A67="",NOT(ISNUMBER(TransDate))),"",$A67-TransDate)</f>
        <v/>
      </c>
      <c r="Q67" s="16">
        <f>IF($A67="","",IF(_xlfn.MAXIFS('TP-b'!$B$2:$B$60,'TP-b'!$A$2:$A$60,"FP",'TP-b'!$E$2:$E$60,1,'TP-b'!$B$2:$B$60,"&lt;="&amp;$A67)&gt;0,_xlfn.MAXIFS('TP-b'!$B$2:$B$60,'TP-b'!$A$2:$A$60,"FP",'TP-b'!$E$2:$E$60,1,'TP-b'!$B$2:$B$60,"&lt;="&amp;$A67),IF(_xlfn.MINIFS('TP-b'!$B$2:$B$60,'TP-b'!$A$2:$A$60,"FP",'TP-b'!$E$2:$E$60,1)&gt;0,_xlfn.MINIFS('TP-b'!$B$2:$B$60,'TP-b'!$A$2:$A$60,"FP",'TP-b'!$E$2:$E$60,1),"")))</f>
        <v/>
      </c>
      <c r="R67" s="10">
        <f>IF(Q67="","",AVERAGEIFS('TP-b'!$C$2:$C$60,'TP-b'!$A$2:$A$60,"FP",'TP-b'!$B$2:$B$60,Q67,'TP-b'!$E$2:$E$60,1))</f>
        <v/>
      </c>
      <c r="S67" s="10">
        <f>IF(Q67="","",AVERAGEIFS('TP-b'!$D$2:$D$60,'TP-b'!$A$2:$A$60,"FP",'TP-b'!$B$2:$B$60,Q67,'TP-b'!$E$2:$E$60,1))</f>
        <v/>
      </c>
      <c r="T67" s="10">
        <f>IF(OR($A67="",NOT(ISNUMBER($E67)),R67=""),"",ROUND($E67-R67+S67,1))</f>
        <v/>
      </c>
      <c r="U67" s="10">
        <f>IF(AND($F67="Yes",ISNUMBER($G67),R67&lt;&gt;""),ROUND($G67-R67+S67,1),"")</f>
        <v/>
      </c>
      <c r="V67" s="10">
        <f>IF(AND($F67="Yes",ISNUMBER($H67),R67&lt;&gt;""),ROUND($H67-R67+S67,1),"")</f>
        <v/>
      </c>
      <c r="W67" s="10">
        <f>IF(AND(ISNUMBER($E67),ISNUMBER(U67),ISNUMBER(V67)),ROUND((V67-MAX(U67,0))*10,1),"")</f>
        <v/>
      </c>
      <c r="X67" s="10">
        <f>IF(T67="","",IF(AND($F67="Yes",ISNUMBER(V67)),V67,T67))</f>
        <v/>
      </c>
      <c r="Y67" s="10">
        <f>IF(T67="","",ROUND(SUMIFS($W$3:$W$252,$A$3:$A$252,"&lt;="&amp;$A67),1))</f>
        <v/>
      </c>
      <c r="Z67" s="10">
        <f>IF(OR(T67="",$A67=""),"",IF(ISNUMBER(IFERROR(INDEX($X$3:$X$252,MATCH($A67-1,$A$3:$A$252,0)),"")),ROUND((INDEX($X$3:$X$252,MATCH($A67-1,$A$3:$A$252,0))-T67)*10,1),""))</f>
        <v/>
      </c>
      <c r="AA67" s="10">
        <f>IF(ISNUMBER(T67),1,0)</f>
        <v/>
      </c>
      <c r="AB67" s="16">
        <f>IF($A67="","",IF(_xlfn.MAXIFS('TP-b'!$B$2:$B$60,'TP-b'!$A$2:$A$60,"3F4D+MD",'TP-b'!$E$2:$E$60,1,'TP-b'!$B$2:$B$60,"&lt;="&amp;$A67)&gt;0,_xlfn.MAXIFS('TP-b'!$B$2:$B$60,'TP-b'!$A$2:$A$60,"3F4D+MD",'TP-b'!$E$2:$E$60,1,'TP-b'!$B$2:$B$60,"&lt;="&amp;$A67),IF(_xlfn.MINIFS('TP-b'!$B$2:$B$60,'TP-b'!$A$2:$A$60,"3F4D+MD",'TP-b'!$E$2:$E$60,1)&gt;0,_xlfn.MINIFS('TP-b'!$B$2:$B$60,'TP-b'!$A$2:$A$60,"3F4D+MD",'TP-b'!$E$2:$E$60,1),"")))</f>
        <v/>
      </c>
      <c r="AC67" s="10">
        <f>IF(AB67="","",AVERAGEIFS('TP-b'!$C$2:$C$60,'TP-b'!$A$2:$A$60,"3F4D+MD",'TP-b'!$B$2:$B$60,AB67,'TP-b'!$E$2:$E$60,1))</f>
        <v/>
      </c>
      <c r="AD67" s="10">
        <f>IF(AB67="","",AVERAGEIFS('TP-b'!$D$2:$D$60,'TP-b'!$A$2:$A$60,"3F4D+MD",'TP-b'!$B$2:$B$60,AB67,'TP-b'!$E$2:$E$60,1))</f>
        <v/>
      </c>
      <c r="AE67" s="10">
        <f>IF(OR($A67="",NOT(ISNUMBER($J67)),AC67=""),"",ROUND($J67-AC67+AD67,1))</f>
        <v/>
      </c>
      <c r="AF67" s="10">
        <f>IF(AND($K67="Yes",ISNUMBER($L67),AC67&lt;&gt;""),ROUND($L67-AC67+AD67,1),"")</f>
        <v/>
      </c>
      <c r="AG67" s="10">
        <f>IF(AND($K67="Yes",ISNUMBER($M67),AC67&lt;&gt;""),ROUND($M67-AC67+AD67,1),"")</f>
        <v/>
      </c>
      <c r="AH67" s="10">
        <f>IF(AND(ISNUMBER($J67),ISNUMBER(AF67),ISNUMBER(AG67)),ROUND((AG67-MAX(AF67,0))*10,1),"")</f>
        <v/>
      </c>
      <c r="AI67" s="10">
        <f>IF(AE67="","",IF(AND($K67="Yes",ISNUMBER(AG67)),AG67,AE67))</f>
        <v/>
      </c>
      <c r="AJ67" s="10">
        <f>IF(AE67="","",ROUND(SUMIFS($AH$3:$AH$252,$A$3:$A$252,"&lt;="&amp;$A67),1))</f>
        <v/>
      </c>
      <c r="AK67" s="10">
        <f>IF(OR(AE67="",$A67=""),"",IF(ISNUMBER(IFERROR(INDEX($AI$3:$AI$252,MATCH($A67-1,$A$3:$A$252,0)),"")),ROUND((INDEX($AI$3:$AI$252,MATCH($A67-1,$A$3:$A$252,0))-AE67)*10,1),""))</f>
        <v/>
      </c>
      <c r="AL67" s="10">
        <f>IF(ISNUMBER(AE67),1,0)</f>
        <v/>
      </c>
      <c r="AM67" s="17">
        <f>IF($A67="","",IF(COUNTIF($A$3:$A$252,$A67)&gt;1,"same date twice; ","")&amp;IF(AND(ISNUMBER($B67),OR($B67&lt;0,$B67&gt;300)),"rain out of range; ","")&amp;IF(AND(ISNUMBER($C67),OR($C67&lt;0,$C67&gt;45)),"temp out of range; ","")&amp;IF(AND(ISNUMBER($D67),OR($D67&lt;0,$D67&gt;100)),"RH out of range; ",""))</f>
        <v/>
      </c>
      <c r="AN67" s="17">
        <f>IF($A67="","",IF(AND(ISNUMBER(T67),OR(T67&lt;-30,T67&gt;20)),"WL out of range; ","")&amp;IF(AND(ISNUMBER($E67),T67=""),"no TP/b; ","")&amp;IF(AND(ISNUMBER(U67),ISNUMBER(V67)),IF(V67&lt;U67,"After&lt;Before; ",""),"")&amp;IF(AND($F67="Yes",ISNUMBER($E67),W67=""),"irrigation readings missing; ","")&amp;IF(ISNUMBER(Z67),IF(AND(ABS(Z67)&gt;50,NOT(N($B67)&gt;0)),"WL jump &gt;5 cm; ",""),""))</f>
        <v/>
      </c>
      <c r="AO67" s="17">
        <f>IF($A67="","",IF(AND(ISNUMBER(AE67),OR(AE67&lt;-30,AE67&gt;20)),"WL out of range; ","")&amp;IF(AND(ISNUMBER($J67),AE67=""),"no TP/b; ","")&amp;IF(AND(ISNUMBER(AF67),ISNUMBER(AG67)),IF(AG67&lt;AF67,"After&lt;Before; ",""),"")&amp;IF(AND($K67="Yes",ISNUMBER($J67),AH67=""),"irrigation readings missing; ","")&amp;IF(ISNUMBER(AK67),IF(AND(ABS(AK67)&gt;50,NOT(N($B67)&gt;0)),"WL jump &gt;5 cm; ",""),"")&amp;IF(AND(ISNUMBER(PitanE),ISNUMBER(AB67),$A67&gt;PitanE+2,AB67&lt;PitanE),"re-measure TP/b after Pitan; ",""))</f>
        <v/>
      </c>
    </row>
    <row r="68">
      <c r="A68" s="14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0">
        <f>IF(OR($A68="",NOT(ISNUMBER(TransDate))),"",$A68-TransDate)</f>
        <v/>
      </c>
      <c r="Q68" s="16">
        <f>IF($A68="","",IF(_xlfn.MAXIFS('TP-b'!$B$2:$B$60,'TP-b'!$A$2:$A$60,"FP",'TP-b'!$E$2:$E$60,1,'TP-b'!$B$2:$B$60,"&lt;="&amp;$A68)&gt;0,_xlfn.MAXIFS('TP-b'!$B$2:$B$60,'TP-b'!$A$2:$A$60,"FP",'TP-b'!$E$2:$E$60,1,'TP-b'!$B$2:$B$60,"&lt;="&amp;$A68),IF(_xlfn.MINIFS('TP-b'!$B$2:$B$60,'TP-b'!$A$2:$A$60,"FP",'TP-b'!$E$2:$E$60,1)&gt;0,_xlfn.MINIFS('TP-b'!$B$2:$B$60,'TP-b'!$A$2:$A$60,"FP",'TP-b'!$E$2:$E$60,1),"")))</f>
        <v/>
      </c>
      <c r="R68" s="10">
        <f>IF(Q68="","",AVERAGEIFS('TP-b'!$C$2:$C$60,'TP-b'!$A$2:$A$60,"FP",'TP-b'!$B$2:$B$60,Q68,'TP-b'!$E$2:$E$60,1))</f>
        <v/>
      </c>
      <c r="S68" s="10">
        <f>IF(Q68="","",AVERAGEIFS('TP-b'!$D$2:$D$60,'TP-b'!$A$2:$A$60,"FP",'TP-b'!$B$2:$B$60,Q68,'TP-b'!$E$2:$E$60,1))</f>
        <v/>
      </c>
      <c r="T68" s="10">
        <f>IF(OR($A68="",NOT(ISNUMBER($E68)),R68=""),"",ROUND($E68-R68+S68,1))</f>
        <v/>
      </c>
      <c r="U68" s="10">
        <f>IF(AND($F68="Yes",ISNUMBER($G68),R68&lt;&gt;""),ROUND($G68-R68+S68,1),"")</f>
        <v/>
      </c>
      <c r="V68" s="10">
        <f>IF(AND($F68="Yes",ISNUMBER($H68),R68&lt;&gt;""),ROUND($H68-R68+S68,1),"")</f>
        <v/>
      </c>
      <c r="W68" s="10">
        <f>IF(AND(ISNUMBER($E68),ISNUMBER(U68),ISNUMBER(V68)),ROUND((V68-MAX(U68,0))*10,1),"")</f>
        <v/>
      </c>
      <c r="X68" s="10">
        <f>IF(T68="","",IF(AND($F68="Yes",ISNUMBER(V68)),V68,T68))</f>
        <v/>
      </c>
      <c r="Y68" s="10">
        <f>IF(T68="","",ROUND(SUMIFS($W$3:$W$252,$A$3:$A$252,"&lt;="&amp;$A68),1))</f>
        <v/>
      </c>
      <c r="Z68" s="10">
        <f>IF(OR(T68="",$A68=""),"",IF(ISNUMBER(IFERROR(INDEX($X$3:$X$252,MATCH($A68-1,$A$3:$A$252,0)),"")),ROUND((INDEX($X$3:$X$252,MATCH($A68-1,$A$3:$A$252,0))-T68)*10,1),""))</f>
        <v/>
      </c>
      <c r="AA68" s="10">
        <f>IF(ISNUMBER(T68),1,0)</f>
        <v/>
      </c>
      <c r="AB68" s="16">
        <f>IF($A68="","",IF(_xlfn.MAXIFS('TP-b'!$B$2:$B$60,'TP-b'!$A$2:$A$60,"3F4D+MD",'TP-b'!$E$2:$E$60,1,'TP-b'!$B$2:$B$60,"&lt;="&amp;$A68)&gt;0,_xlfn.MAXIFS('TP-b'!$B$2:$B$60,'TP-b'!$A$2:$A$60,"3F4D+MD",'TP-b'!$E$2:$E$60,1,'TP-b'!$B$2:$B$60,"&lt;="&amp;$A68),IF(_xlfn.MINIFS('TP-b'!$B$2:$B$60,'TP-b'!$A$2:$A$60,"3F4D+MD",'TP-b'!$E$2:$E$60,1)&gt;0,_xlfn.MINIFS('TP-b'!$B$2:$B$60,'TP-b'!$A$2:$A$60,"3F4D+MD",'TP-b'!$E$2:$E$60,1),"")))</f>
        <v/>
      </c>
      <c r="AC68" s="10">
        <f>IF(AB68="","",AVERAGEIFS('TP-b'!$C$2:$C$60,'TP-b'!$A$2:$A$60,"3F4D+MD",'TP-b'!$B$2:$B$60,AB68,'TP-b'!$E$2:$E$60,1))</f>
        <v/>
      </c>
      <c r="AD68" s="10">
        <f>IF(AB68="","",AVERAGEIFS('TP-b'!$D$2:$D$60,'TP-b'!$A$2:$A$60,"3F4D+MD",'TP-b'!$B$2:$B$60,AB68,'TP-b'!$E$2:$E$60,1))</f>
        <v/>
      </c>
      <c r="AE68" s="10">
        <f>IF(OR($A68="",NOT(ISNUMBER($J68)),AC68=""),"",ROUND($J68-AC68+AD68,1))</f>
        <v/>
      </c>
      <c r="AF68" s="10">
        <f>IF(AND($K68="Yes",ISNUMBER($L68),AC68&lt;&gt;""),ROUND($L68-AC68+AD68,1),"")</f>
        <v/>
      </c>
      <c r="AG68" s="10">
        <f>IF(AND($K68="Yes",ISNUMBER($M68),AC68&lt;&gt;""),ROUND($M68-AC68+AD68,1),"")</f>
        <v/>
      </c>
      <c r="AH68" s="10">
        <f>IF(AND(ISNUMBER($J68),ISNUMBER(AF68),ISNUMBER(AG68)),ROUND((AG68-MAX(AF68,0))*10,1),"")</f>
        <v/>
      </c>
      <c r="AI68" s="10">
        <f>IF(AE68="","",IF(AND($K68="Yes",ISNUMBER(AG68)),AG68,AE68))</f>
        <v/>
      </c>
      <c r="AJ68" s="10">
        <f>IF(AE68="","",ROUND(SUMIFS($AH$3:$AH$252,$A$3:$A$252,"&lt;="&amp;$A68),1))</f>
        <v/>
      </c>
      <c r="AK68" s="10">
        <f>IF(OR(AE68="",$A68=""),"",IF(ISNUMBER(IFERROR(INDEX($AI$3:$AI$252,MATCH($A68-1,$A$3:$A$252,0)),"")),ROUND((INDEX($AI$3:$AI$252,MATCH($A68-1,$A$3:$A$252,0))-AE68)*10,1),""))</f>
        <v/>
      </c>
      <c r="AL68" s="10">
        <f>IF(ISNUMBER(AE68),1,0)</f>
        <v/>
      </c>
      <c r="AM68" s="17">
        <f>IF($A68="","",IF(COUNTIF($A$3:$A$252,$A68)&gt;1,"same date twice; ","")&amp;IF(AND(ISNUMBER($B68),OR($B68&lt;0,$B68&gt;300)),"rain out of range; ","")&amp;IF(AND(ISNUMBER($C68),OR($C68&lt;0,$C68&gt;45)),"temp out of range; ","")&amp;IF(AND(ISNUMBER($D68),OR($D68&lt;0,$D68&gt;100)),"RH out of range; ",""))</f>
        <v/>
      </c>
      <c r="AN68" s="17">
        <f>IF($A68="","",IF(AND(ISNUMBER(T68),OR(T68&lt;-30,T68&gt;20)),"WL out of range; ","")&amp;IF(AND(ISNUMBER($E68),T68=""),"no TP/b; ","")&amp;IF(AND(ISNUMBER(U68),ISNUMBER(V68)),IF(V68&lt;U68,"After&lt;Before; ",""),"")&amp;IF(AND($F68="Yes",ISNUMBER($E68),W68=""),"irrigation readings missing; ","")&amp;IF(ISNUMBER(Z68),IF(AND(ABS(Z68)&gt;50,NOT(N($B68)&gt;0)),"WL jump &gt;5 cm; ",""),""))</f>
        <v/>
      </c>
      <c r="AO68" s="17">
        <f>IF($A68="","",IF(AND(ISNUMBER(AE68),OR(AE68&lt;-30,AE68&gt;20)),"WL out of range; ","")&amp;IF(AND(ISNUMBER($J68),AE68=""),"no TP/b; ","")&amp;IF(AND(ISNUMBER(AF68),ISNUMBER(AG68)),IF(AG68&lt;AF68,"After&lt;Before; ",""),"")&amp;IF(AND($K68="Yes",ISNUMBER($J68),AH68=""),"irrigation readings missing; ","")&amp;IF(ISNUMBER(AK68),IF(AND(ABS(AK68)&gt;50,NOT(N($B68)&gt;0)),"WL jump &gt;5 cm; ",""),"")&amp;IF(AND(ISNUMBER(PitanE),ISNUMBER(AB68),$A68&gt;PitanE+2,AB68&lt;PitanE),"re-measure TP/b after Pitan; ",""))</f>
        <v/>
      </c>
    </row>
    <row r="69">
      <c r="A69" s="14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0">
        <f>IF(OR($A69="",NOT(ISNUMBER(TransDate))),"",$A69-TransDate)</f>
        <v/>
      </c>
      <c r="Q69" s="16">
        <f>IF($A69="","",IF(_xlfn.MAXIFS('TP-b'!$B$2:$B$60,'TP-b'!$A$2:$A$60,"FP",'TP-b'!$E$2:$E$60,1,'TP-b'!$B$2:$B$60,"&lt;="&amp;$A69)&gt;0,_xlfn.MAXIFS('TP-b'!$B$2:$B$60,'TP-b'!$A$2:$A$60,"FP",'TP-b'!$E$2:$E$60,1,'TP-b'!$B$2:$B$60,"&lt;="&amp;$A69),IF(_xlfn.MINIFS('TP-b'!$B$2:$B$60,'TP-b'!$A$2:$A$60,"FP",'TP-b'!$E$2:$E$60,1)&gt;0,_xlfn.MINIFS('TP-b'!$B$2:$B$60,'TP-b'!$A$2:$A$60,"FP",'TP-b'!$E$2:$E$60,1),"")))</f>
        <v/>
      </c>
      <c r="R69" s="10">
        <f>IF(Q69="","",AVERAGEIFS('TP-b'!$C$2:$C$60,'TP-b'!$A$2:$A$60,"FP",'TP-b'!$B$2:$B$60,Q69,'TP-b'!$E$2:$E$60,1))</f>
        <v/>
      </c>
      <c r="S69" s="10">
        <f>IF(Q69="","",AVERAGEIFS('TP-b'!$D$2:$D$60,'TP-b'!$A$2:$A$60,"FP",'TP-b'!$B$2:$B$60,Q69,'TP-b'!$E$2:$E$60,1))</f>
        <v/>
      </c>
      <c r="T69" s="10">
        <f>IF(OR($A69="",NOT(ISNUMBER($E69)),R69=""),"",ROUND($E69-R69+S69,1))</f>
        <v/>
      </c>
      <c r="U69" s="10">
        <f>IF(AND($F69="Yes",ISNUMBER($G69),R69&lt;&gt;""),ROUND($G69-R69+S69,1),"")</f>
        <v/>
      </c>
      <c r="V69" s="10">
        <f>IF(AND($F69="Yes",ISNUMBER($H69),R69&lt;&gt;""),ROUND($H69-R69+S69,1),"")</f>
        <v/>
      </c>
      <c r="W69" s="10">
        <f>IF(AND(ISNUMBER($E69),ISNUMBER(U69),ISNUMBER(V69)),ROUND((V69-MAX(U69,0))*10,1),"")</f>
        <v/>
      </c>
      <c r="X69" s="10">
        <f>IF(T69="","",IF(AND($F69="Yes",ISNUMBER(V69)),V69,T69))</f>
        <v/>
      </c>
      <c r="Y69" s="10">
        <f>IF(T69="","",ROUND(SUMIFS($W$3:$W$252,$A$3:$A$252,"&lt;="&amp;$A69),1))</f>
        <v/>
      </c>
      <c r="Z69" s="10">
        <f>IF(OR(T69="",$A69=""),"",IF(ISNUMBER(IFERROR(INDEX($X$3:$X$252,MATCH($A69-1,$A$3:$A$252,0)),"")),ROUND((INDEX($X$3:$X$252,MATCH($A69-1,$A$3:$A$252,0))-T69)*10,1),""))</f>
        <v/>
      </c>
      <c r="AA69" s="10">
        <f>IF(ISNUMBER(T69),1,0)</f>
        <v/>
      </c>
      <c r="AB69" s="16">
        <f>IF($A69="","",IF(_xlfn.MAXIFS('TP-b'!$B$2:$B$60,'TP-b'!$A$2:$A$60,"3F4D+MD",'TP-b'!$E$2:$E$60,1,'TP-b'!$B$2:$B$60,"&lt;="&amp;$A69)&gt;0,_xlfn.MAXIFS('TP-b'!$B$2:$B$60,'TP-b'!$A$2:$A$60,"3F4D+MD",'TP-b'!$E$2:$E$60,1,'TP-b'!$B$2:$B$60,"&lt;="&amp;$A69),IF(_xlfn.MINIFS('TP-b'!$B$2:$B$60,'TP-b'!$A$2:$A$60,"3F4D+MD",'TP-b'!$E$2:$E$60,1)&gt;0,_xlfn.MINIFS('TP-b'!$B$2:$B$60,'TP-b'!$A$2:$A$60,"3F4D+MD",'TP-b'!$E$2:$E$60,1),"")))</f>
        <v/>
      </c>
      <c r="AC69" s="10">
        <f>IF(AB69="","",AVERAGEIFS('TP-b'!$C$2:$C$60,'TP-b'!$A$2:$A$60,"3F4D+MD",'TP-b'!$B$2:$B$60,AB69,'TP-b'!$E$2:$E$60,1))</f>
        <v/>
      </c>
      <c r="AD69" s="10">
        <f>IF(AB69="","",AVERAGEIFS('TP-b'!$D$2:$D$60,'TP-b'!$A$2:$A$60,"3F4D+MD",'TP-b'!$B$2:$B$60,AB69,'TP-b'!$E$2:$E$60,1))</f>
        <v/>
      </c>
      <c r="AE69" s="10">
        <f>IF(OR($A69="",NOT(ISNUMBER($J69)),AC69=""),"",ROUND($J69-AC69+AD69,1))</f>
        <v/>
      </c>
      <c r="AF69" s="10">
        <f>IF(AND($K69="Yes",ISNUMBER($L69),AC69&lt;&gt;""),ROUND($L69-AC69+AD69,1),"")</f>
        <v/>
      </c>
      <c r="AG69" s="10">
        <f>IF(AND($K69="Yes",ISNUMBER($M69),AC69&lt;&gt;""),ROUND($M69-AC69+AD69,1),"")</f>
        <v/>
      </c>
      <c r="AH69" s="10">
        <f>IF(AND(ISNUMBER($J69),ISNUMBER(AF69),ISNUMBER(AG69)),ROUND((AG69-MAX(AF69,0))*10,1),"")</f>
        <v/>
      </c>
      <c r="AI69" s="10">
        <f>IF(AE69="","",IF(AND($K69="Yes",ISNUMBER(AG69)),AG69,AE69))</f>
        <v/>
      </c>
      <c r="AJ69" s="10">
        <f>IF(AE69="","",ROUND(SUMIFS($AH$3:$AH$252,$A$3:$A$252,"&lt;="&amp;$A69),1))</f>
        <v/>
      </c>
      <c r="AK69" s="10">
        <f>IF(OR(AE69="",$A69=""),"",IF(ISNUMBER(IFERROR(INDEX($AI$3:$AI$252,MATCH($A69-1,$A$3:$A$252,0)),"")),ROUND((INDEX($AI$3:$AI$252,MATCH($A69-1,$A$3:$A$252,0))-AE69)*10,1),""))</f>
        <v/>
      </c>
      <c r="AL69" s="10">
        <f>IF(ISNUMBER(AE69),1,0)</f>
        <v/>
      </c>
      <c r="AM69" s="17">
        <f>IF($A69="","",IF(COUNTIF($A$3:$A$252,$A69)&gt;1,"same date twice; ","")&amp;IF(AND(ISNUMBER($B69),OR($B69&lt;0,$B69&gt;300)),"rain out of range; ","")&amp;IF(AND(ISNUMBER($C69),OR($C69&lt;0,$C69&gt;45)),"temp out of range; ","")&amp;IF(AND(ISNUMBER($D69),OR($D69&lt;0,$D69&gt;100)),"RH out of range; ",""))</f>
        <v/>
      </c>
      <c r="AN69" s="17">
        <f>IF($A69="","",IF(AND(ISNUMBER(T69),OR(T69&lt;-30,T69&gt;20)),"WL out of range; ","")&amp;IF(AND(ISNUMBER($E69),T69=""),"no TP/b; ","")&amp;IF(AND(ISNUMBER(U69),ISNUMBER(V69)),IF(V69&lt;U69,"After&lt;Before; ",""),"")&amp;IF(AND($F69="Yes",ISNUMBER($E69),W69=""),"irrigation readings missing; ","")&amp;IF(ISNUMBER(Z69),IF(AND(ABS(Z69)&gt;50,NOT(N($B69)&gt;0)),"WL jump &gt;5 cm; ",""),""))</f>
        <v/>
      </c>
      <c r="AO69" s="17">
        <f>IF($A69="","",IF(AND(ISNUMBER(AE69),OR(AE69&lt;-30,AE69&gt;20)),"WL out of range; ","")&amp;IF(AND(ISNUMBER($J69),AE69=""),"no TP/b; ","")&amp;IF(AND(ISNUMBER(AF69),ISNUMBER(AG69)),IF(AG69&lt;AF69,"After&lt;Before; ",""),"")&amp;IF(AND($K69="Yes",ISNUMBER($J69),AH69=""),"irrigation readings missing; ","")&amp;IF(ISNUMBER(AK69),IF(AND(ABS(AK69)&gt;50,NOT(N($B69)&gt;0)),"WL jump &gt;5 cm; ",""),"")&amp;IF(AND(ISNUMBER(PitanE),ISNUMBER(AB69),$A69&gt;PitanE+2,AB69&lt;PitanE),"re-measure TP/b after Pitan; ",""))</f>
        <v/>
      </c>
    </row>
    <row r="70">
      <c r="A70" s="14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0">
        <f>IF(OR($A70="",NOT(ISNUMBER(TransDate))),"",$A70-TransDate)</f>
        <v/>
      </c>
      <c r="Q70" s="16">
        <f>IF($A70="","",IF(_xlfn.MAXIFS('TP-b'!$B$2:$B$60,'TP-b'!$A$2:$A$60,"FP",'TP-b'!$E$2:$E$60,1,'TP-b'!$B$2:$B$60,"&lt;="&amp;$A70)&gt;0,_xlfn.MAXIFS('TP-b'!$B$2:$B$60,'TP-b'!$A$2:$A$60,"FP",'TP-b'!$E$2:$E$60,1,'TP-b'!$B$2:$B$60,"&lt;="&amp;$A70),IF(_xlfn.MINIFS('TP-b'!$B$2:$B$60,'TP-b'!$A$2:$A$60,"FP",'TP-b'!$E$2:$E$60,1)&gt;0,_xlfn.MINIFS('TP-b'!$B$2:$B$60,'TP-b'!$A$2:$A$60,"FP",'TP-b'!$E$2:$E$60,1),"")))</f>
        <v/>
      </c>
      <c r="R70" s="10">
        <f>IF(Q70="","",AVERAGEIFS('TP-b'!$C$2:$C$60,'TP-b'!$A$2:$A$60,"FP",'TP-b'!$B$2:$B$60,Q70,'TP-b'!$E$2:$E$60,1))</f>
        <v/>
      </c>
      <c r="S70" s="10">
        <f>IF(Q70="","",AVERAGEIFS('TP-b'!$D$2:$D$60,'TP-b'!$A$2:$A$60,"FP",'TP-b'!$B$2:$B$60,Q70,'TP-b'!$E$2:$E$60,1))</f>
        <v/>
      </c>
      <c r="T70" s="10">
        <f>IF(OR($A70="",NOT(ISNUMBER($E70)),R70=""),"",ROUND($E70-R70+S70,1))</f>
        <v/>
      </c>
      <c r="U70" s="10">
        <f>IF(AND($F70="Yes",ISNUMBER($G70),R70&lt;&gt;""),ROUND($G70-R70+S70,1),"")</f>
        <v/>
      </c>
      <c r="V70" s="10">
        <f>IF(AND($F70="Yes",ISNUMBER($H70),R70&lt;&gt;""),ROUND($H70-R70+S70,1),"")</f>
        <v/>
      </c>
      <c r="W70" s="10">
        <f>IF(AND(ISNUMBER($E70),ISNUMBER(U70),ISNUMBER(V70)),ROUND((V70-MAX(U70,0))*10,1),"")</f>
        <v/>
      </c>
      <c r="X70" s="10">
        <f>IF(T70="","",IF(AND($F70="Yes",ISNUMBER(V70)),V70,T70))</f>
        <v/>
      </c>
      <c r="Y70" s="10">
        <f>IF(T70="","",ROUND(SUMIFS($W$3:$W$252,$A$3:$A$252,"&lt;="&amp;$A70),1))</f>
        <v/>
      </c>
      <c r="Z70" s="10">
        <f>IF(OR(T70="",$A70=""),"",IF(ISNUMBER(IFERROR(INDEX($X$3:$X$252,MATCH($A70-1,$A$3:$A$252,0)),"")),ROUND((INDEX($X$3:$X$252,MATCH($A70-1,$A$3:$A$252,0))-T70)*10,1),""))</f>
        <v/>
      </c>
      <c r="AA70" s="10">
        <f>IF(ISNUMBER(T70),1,0)</f>
        <v/>
      </c>
      <c r="AB70" s="16">
        <f>IF($A70="","",IF(_xlfn.MAXIFS('TP-b'!$B$2:$B$60,'TP-b'!$A$2:$A$60,"3F4D+MD",'TP-b'!$E$2:$E$60,1,'TP-b'!$B$2:$B$60,"&lt;="&amp;$A70)&gt;0,_xlfn.MAXIFS('TP-b'!$B$2:$B$60,'TP-b'!$A$2:$A$60,"3F4D+MD",'TP-b'!$E$2:$E$60,1,'TP-b'!$B$2:$B$60,"&lt;="&amp;$A70),IF(_xlfn.MINIFS('TP-b'!$B$2:$B$60,'TP-b'!$A$2:$A$60,"3F4D+MD",'TP-b'!$E$2:$E$60,1)&gt;0,_xlfn.MINIFS('TP-b'!$B$2:$B$60,'TP-b'!$A$2:$A$60,"3F4D+MD",'TP-b'!$E$2:$E$60,1),"")))</f>
        <v/>
      </c>
      <c r="AC70" s="10">
        <f>IF(AB70="","",AVERAGEIFS('TP-b'!$C$2:$C$60,'TP-b'!$A$2:$A$60,"3F4D+MD",'TP-b'!$B$2:$B$60,AB70,'TP-b'!$E$2:$E$60,1))</f>
        <v/>
      </c>
      <c r="AD70" s="10">
        <f>IF(AB70="","",AVERAGEIFS('TP-b'!$D$2:$D$60,'TP-b'!$A$2:$A$60,"3F4D+MD",'TP-b'!$B$2:$B$60,AB70,'TP-b'!$E$2:$E$60,1))</f>
        <v/>
      </c>
      <c r="AE70" s="10">
        <f>IF(OR($A70="",NOT(ISNUMBER($J70)),AC70=""),"",ROUND($J70-AC70+AD70,1))</f>
        <v/>
      </c>
      <c r="AF70" s="10">
        <f>IF(AND($K70="Yes",ISNUMBER($L70),AC70&lt;&gt;""),ROUND($L70-AC70+AD70,1),"")</f>
        <v/>
      </c>
      <c r="AG70" s="10">
        <f>IF(AND($K70="Yes",ISNUMBER($M70),AC70&lt;&gt;""),ROUND($M70-AC70+AD70,1),"")</f>
        <v/>
      </c>
      <c r="AH70" s="10">
        <f>IF(AND(ISNUMBER($J70),ISNUMBER(AF70),ISNUMBER(AG70)),ROUND((AG70-MAX(AF70,0))*10,1),"")</f>
        <v/>
      </c>
      <c r="AI70" s="10">
        <f>IF(AE70="","",IF(AND($K70="Yes",ISNUMBER(AG70)),AG70,AE70))</f>
        <v/>
      </c>
      <c r="AJ70" s="10">
        <f>IF(AE70="","",ROUND(SUMIFS($AH$3:$AH$252,$A$3:$A$252,"&lt;="&amp;$A70),1))</f>
        <v/>
      </c>
      <c r="AK70" s="10">
        <f>IF(OR(AE70="",$A70=""),"",IF(ISNUMBER(IFERROR(INDEX($AI$3:$AI$252,MATCH($A70-1,$A$3:$A$252,0)),"")),ROUND((INDEX($AI$3:$AI$252,MATCH($A70-1,$A$3:$A$252,0))-AE70)*10,1),""))</f>
        <v/>
      </c>
      <c r="AL70" s="10">
        <f>IF(ISNUMBER(AE70),1,0)</f>
        <v/>
      </c>
      <c r="AM70" s="17">
        <f>IF($A70="","",IF(COUNTIF($A$3:$A$252,$A70)&gt;1,"same date twice; ","")&amp;IF(AND(ISNUMBER($B70),OR($B70&lt;0,$B70&gt;300)),"rain out of range; ","")&amp;IF(AND(ISNUMBER($C70),OR($C70&lt;0,$C70&gt;45)),"temp out of range; ","")&amp;IF(AND(ISNUMBER($D70),OR($D70&lt;0,$D70&gt;100)),"RH out of range; ",""))</f>
        <v/>
      </c>
      <c r="AN70" s="17">
        <f>IF($A70="","",IF(AND(ISNUMBER(T70),OR(T70&lt;-30,T70&gt;20)),"WL out of range; ","")&amp;IF(AND(ISNUMBER($E70),T70=""),"no TP/b; ","")&amp;IF(AND(ISNUMBER(U70),ISNUMBER(V70)),IF(V70&lt;U70,"After&lt;Before; ",""),"")&amp;IF(AND($F70="Yes",ISNUMBER($E70),W70=""),"irrigation readings missing; ","")&amp;IF(ISNUMBER(Z70),IF(AND(ABS(Z70)&gt;50,NOT(N($B70)&gt;0)),"WL jump &gt;5 cm; ",""),""))</f>
        <v/>
      </c>
      <c r="AO70" s="17">
        <f>IF($A70="","",IF(AND(ISNUMBER(AE70),OR(AE70&lt;-30,AE70&gt;20)),"WL out of range; ","")&amp;IF(AND(ISNUMBER($J70),AE70=""),"no TP/b; ","")&amp;IF(AND(ISNUMBER(AF70),ISNUMBER(AG70)),IF(AG70&lt;AF70,"After&lt;Before; ",""),"")&amp;IF(AND($K70="Yes",ISNUMBER($J70),AH70=""),"irrigation readings missing; ","")&amp;IF(ISNUMBER(AK70),IF(AND(ABS(AK70)&gt;50,NOT(N($B70)&gt;0)),"WL jump &gt;5 cm; ",""),"")&amp;IF(AND(ISNUMBER(PitanE),ISNUMBER(AB70),$A70&gt;PitanE+2,AB70&lt;PitanE),"re-measure TP/b after Pitan; ",""))</f>
        <v/>
      </c>
    </row>
    <row r="71">
      <c r="A71" s="14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0">
        <f>IF(OR($A71="",NOT(ISNUMBER(TransDate))),"",$A71-TransDate)</f>
        <v/>
      </c>
      <c r="Q71" s="16">
        <f>IF($A71="","",IF(_xlfn.MAXIFS('TP-b'!$B$2:$B$60,'TP-b'!$A$2:$A$60,"FP",'TP-b'!$E$2:$E$60,1,'TP-b'!$B$2:$B$60,"&lt;="&amp;$A71)&gt;0,_xlfn.MAXIFS('TP-b'!$B$2:$B$60,'TP-b'!$A$2:$A$60,"FP",'TP-b'!$E$2:$E$60,1,'TP-b'!$B$2:$B$60,"&lt;="&amp;$A71),IF(_xlfn.MINIFS('TP-b'!$B$2:$B$60,'TP-b'!$A$2:$A$60,"FP",'TP-b'!$E$2:$E$60,1)&gt;0,_xlfn.MINIFS('TP-b'!$B$2:$B$60,'TP-b'!$A$2:$A$60,"FP",'TP-b'!$E$2:$E$60,1),"")))</f>
        <v/>
      </c>
      <c r="R71" s="10">
        <f>IF(Q71="","",AVERAGEIFS('TP-b'!$C$2:$C$60,'TP-b'!$A$2:$A$60,"FP",'TP-b'!$B$2:$B$60,Q71,'TP-b'!$E$2:$E$60,1))</f>
        <v/>
      </c>
      <c r="S71" s="10">
        <f>IF(Q71="","",AVERAGEIFS('TP-b'!$D$2:$D$60,'TP-b'!$A$2:$A$60,"FP",'TP-b'!$B$2:$B$60,Q71,'TP-b'!$E$2:$E$60,1))</f>
        <v/>
      </c>
      <c r="T71" s="10">
        <f>IF(OR($A71="",NOT(ISNUMBER($E71)),R71=""),"",ROUND($E71-R71+S71,1))</f>
        <v/>
      </c>
      <c r="U71" s="10">
        <f>IF(AND($F71="Yes",ISNUMBER($G71),R71&lt;&gt;""),ROUND($G71-R71+S71,1),"")</f>
        <v/>
      </c>
      <c r="V71" s="10">
        <f>IF(AND($F71="Yes",ISNUMBER($H71),R71&lt;&gt;""),ROUND($H71-R71+S71,1),"")</f>
        <v/>
      </c>
      <c r="W71" s="10">
        <f>IF(AND(ISNUMBER($E71),ISNUMBER(U71),ISNUMBER(V71)),ROUND((V71-MAX(U71,0))*10,1),"")</f>
        <v/>
      </c>
      <c r="X71" s="10">
        <f>IF(T71="","",IF(AND($F71="Yes",ISNUMBER(V71)),V71,T71))</f>
        <v/>
      </c>
      <c r="Y71" s="10">
        <f>IF(T71="","",ROUND(SUMIFS($W$3:$W$252,$A$3:$A$252,"&lt;="&amp;$A71),1))</f>
        <v/>
      </c>
      <c r="Z71" s="10">
        <f>IF(OR(T71="",$A71=""),"",IF(ISNUMBER(IFERROR(INDEX($X$3:$X$252,MATCH($A71-1,$A$3:$A$252,0)),"")),ROUND((INDEX($X$3:$X$252,MATCH($A71-1,$A$3:$A$252,0))-T71)*10,1),""))</f>
        <v/>
      </c>
      <c r="AA71" s="10">
        <f>IF(ISNUMBER(T71),1,0)</f>
        <v/>
      </c>
      <c r="AB71" s="16">
        <f>IF($A71="","",IF(_xlfn.MAXIFS('TP-b'!$B$2:$B$60,'TP-b'!$A$2:$A$60,"3F4D+MD",'TP-b'!$E$2:$E$60,1,'TP-b'!$B$2:$B$60,"&lt;="&amp;$A71)&gt;0,_xlfn.MAXIFS('TP-b'!$B$2:$B$60,'TP-b'!$A$2:$A$60,"3F4D+MD",'TP-b'!$E$2:$E$60,1,'TP-b'!$B$2:$B$60,"&lt;="&amp;$A71),IF(_xlfn.MINIFS('TP-b'!$B$2:$B$60,'TP-b'!$A$2:$A$60,"3F4D+MD",'TP-b'!$E$2:$E$60,1)&gt;0,_xlfn.MINIFS('TP-b'!$B$2:$B$60,'TP-b'!$A$2:$A$60,"3F4D+MD",'TP-b'!$E$2:$E$60,1),"")))</f>
        <v/>
      </c>
      <c r="AC71" s="10">
        <f>IF(AB71="","",AVERAGEIFS('TP-b'!$C$2:$C$60,'TP-b'!$A$2:$A$60,"3F4D+MD",'TP-b'!$B$2:$B$60,AB71,'TP-b'!$E$2:$E$60,1))</f>
        <v/>
      </c>
      <c r="AD71" s="10">
        <f>IF(AB71="","",AVERAGEIFS('TP-b'!$D$2:$D$60,'TP-b'!$A$2:$A$60,"3F4D+MD",'TP-b'!$B$2:$B$60,AB71,'TP-b'!$E$2:$E$60,1))</f>
        <v/>
      </c>
      <c r="AE71" s="10">
        <f>IF(OR($A71="",NOT(ISNUMBER($J71)),AC71=""),"",ROUND($J71-AC71+AD71,1))</f>
        <v/>
      </c>
      <c r="AF71" s="10">
        <f>IF(AND($K71="Yes",ISNUMBER($L71),AC71&lt;&gt;""),ROUND($L71-AC71+AD71,1),"")</f>
        <v/>
      </c>
      <c r="AG71" s="10">
        <f>IF(AND($K71="Yes",ISNUMBER($M71),AC71&lt;&gt;""),ROUND($M71-AC71+AD71,1),"")</f>
        <v/>
      </c>
      <c r="AH71" s="10">
        <f>IF(AND(ISNUMBER($J71),ISNUMBER(AF71),ISNUMBER(AG71)),ROUND((AG71-MAX(AF71,0))*10,1),"")</f>
        <v/>
      </c>
      <c r="AI71" s="10">
        <f>IF(AE71="","",IF(AND($K71="Yes",ISNUMBER(AG71)),AG71,AE71))</f>
        <v/>
      </c>
      <c r="AJ71" s="10">
        <f>IF(AE71="","",ROUND(SUMIFS($AH$3:$AH$252,$A$3:$A$252,"&lt;="&amp;$A71),1))</f>
        <v/>
      </c>
      <c r="AK71" s="10">
        <f>IF(OR(AE71="",$A71=""),"",IF(ISNUMBER(IFERROR(INDEX($AI$3:$AI$252,MATCH($A71-1,$A$3:$A$252,0)),"")),ROUND((INDEX($AI$3:$AI$252,MATCH($A71-1,$A$3:$A$252,0))-AE71)*10,1),""))</f>
        <v/>
      </c>
      <c r="AL71" s="10">
        <f>IF(ISNUMBER(AE71),1,0)</f>
        <v/>
      </c>
      <c r="AM71" s="17">
        <f>IF($A71="","",IF(COUNTIF($A$3:$A$252,$A71)&gt;1,"same date twice; ","")&amp;IF(AND(ISNUMBER($B71),OR($B71&lt;0,$B71&gt;300)),"rain out of range; ","")&amp;IF(AND(ISNUMBER($C71),OR($C71&lt;0,$C71&gt;45)),"temp out of range; ","")&amp;IF(AND(ISNUMBER($D71),OR($D71&lt;0,$D71&gt;100)),"RH out of range; ",""))</f>
        <v/>
      </c>
      <c r="AN71" s="17">
        <f>IF($A71="","",IF(AND(ISNUMBER(T71),OR(T71&lt;-30,T71&gt;20)),"WL out of range; ","")&amp;IF(AND(ISNUMBER($E71),T71=""),"no TP/b; ","")&amp;IF(AND(ISNUMBER(U71),ISNUMBER(V71)),IF(V71&lt;U71,"After&lt;Before; ",""),"")&amp;IF(AND($F71="Yes",ISNUMBER($E71),W71=""),"irrigation readings missing; ","")&amp;IF(ISNUMBER(Z71),IF(AND(ABS(Z71)&gt;50,NOT(N($B71)&gt;0)),"WL jump &gt;5 cm; ",""),""))</f>
        <v/>
      </c>
      <c r="AO71" s="17">
        <f>IF($A71="","",IF(AND(ISNUMBER(AE71),OR(AE71&lt;-30,AE71&gt;20)),"WL out of range; ","")&amp;IF(AND(ISNUMBER($J71),AE71=""),"no TP/b; ","")&amp;IF(AND(ISNUMBER(AF71),ISNUMBER(AG71)),IF(AG71&lt;AF71,"After&lt;Before; ",""),"")&amp;IF(AND($K71="Yes",ISNUMBER($J71),AH71=""),"irrigation readings missing; ","")&amp;IF(ISNUMBER(AK71),IF(AND(ABS(AK71)&gt;50,NOT(N($B71)&gt;0)),"WL jump &gt;5 cm; ",""),"")&amp;IF(AND(ISNUMBER(PitanE),ISNUMBER(AB71),$A71&gt;PitanE+2,AB71&lt;PitanE),"re-measure TP/b after Pitan; ",""))</f>
        <v/>
      </c>
    </row>
    <row r="72">
      <c r="A72" s="14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0">
        <f>IF(OR($A72="",NOT(ISNUMBER(TransDate))),"",$A72-TransDate)</f>
        <v/>
      </c>
      <c r="Q72" s="16">
        <f>IF($A72="","",IF(_xlfn.MAXIFS('TP-b'!$B$2:$B$60,'TP-b'!$A$2:$A$60,"FP",'TP-b'!$E$2:$E$60,1,'TP-b'!$B$2:$B$60,"&lt;="&amp;$A72)&gt;0,_xlfn.MAXIFS('TP-b'!$B$2:$B$60,'TP-b'!$A$2:$A$60,"FP",'TP-b'!$E$2:$E$60,1,'TP-b'!$B$2:$B$60,"&lt;="&amp;$A72),IF(_xlfn.MINIFS('TP-b'!$B$2:$B$60,'TP-b'!$A$2:$A$60,"FP",'TP-b'!$E$2:$E$60,1)&gt;0,_xlfn.MINIFS('TP-b'!$B$2:$B$60,'TP-b'!$A$2:$A$60,"FP",'TP-b'!$E$2:$E$60,1),"")))</f>
        <v/>
      </c>
      <c r="R72" s="10">
        <f>IF(Q72="","",AVERAGEIFS('TP-b'!$C$2:$C$60,'TP-b'!$A$2:$A$60,"FP",'TP-b'!$B$2:$B$60,Q72,'TP-b'!$E$2:$E$60,1))</f>
        <v/>
      </c>
      <c r="S72" s="10">
        <f>IF(Q72="","",AVERAGEIFS('TP-b'!$D$2:$D$60,'TP-b'!$A$2:$A$60,"FP",'TP-b'!$B$2:$B$60,Q72,'TP-b'!$E$2:$E$60,1))</f>
        <v/>
      </c>
      <c r="T72" s="10">
        <f>IF(OR($A72="",NOT(ISNUMBER($E72)),R72=""),"",ROUND($E72-R72+S72,1))</f>
        <v/>
      </c>
      <c r="U72" s="10">
        <f>IF(AND($F72="Yes",ISNUMBER($G72),R72&lt;&gt;""),ROUND($G72-R72+S72,1),"")</f>
        <v/>
      </c>
      <c r="V72" s="10">
        <f>IF(AND($F72="Yes",ISNUMBER($H72),R72&lt;&gt;""),ROUND($H72-R72+S72,1),"")</f>
        <v/>
      </c>
      <c r="W72" s="10">
        <f>IF(AND(ISNUMBER($E72),ISNUMBER(U72),ISNUMBER(V72)),ROUND((V72-MAX(U72,0))*10,1),"")</f>
        <v/>
      </c>
      <c r="X72" s="10">
        <f>IF(T72="","",IF(AND($F72="Yes",ISNUMBER(V72)),V72,T72))</f>
        <v/>
      </c>
      <c r="Y72" s="10">
        <f>IF(T72="","",ROUND(SUMIFS($W$3:$W$252,$A$3:$A$252,"&lt;="&amp;$A72),1))</f>
        <v/>
      </c>
      <c r="Z72" s="10">
        <f>IF(OR(T72="",$A72=""),"",IF(ISNUMBER(IFERROR(INDEX($X$3:$X$252,MATCH($A72-1,$A$3:$A$252,0)),"")),ROUND((INDEX($X$3:$X$252,MATCH($A72-1,$A$3:$A$252,0))-T72)*10,1),""))</f>
        <v/>
      </c>
      <c r="AA72" s="10">
        <f>IF(ISNUMBER(T72),1,0)</f>
        <v/>
      </c>
      <c r="AB72" s="16">
        <f>IF($A72="","",IF(_xlfn.MAXIFS('TP-b'!$B$2:$B$60,'TP-b'!$A$2:$A$60,"3F4D+MD",'TP-b'!$E$2:$E$60,1,'TP-b'!$B$2:$B$60,"&lt;="&amp;$A72)&gt;0,_xlfn.MAXIFS('TP-b'!$B$2:$B$60,'TP-b'!$A$2:$A$60,"3F4D+MD",'TP-b'!$E$2:$E$60,1,'TP-b'!$B$2:$B$60,"&lt;="&amp;$A72),IF(_xlfn.MINIFS('TP-b'!$B$2:$B$60,'TP-b'!$A$2:$A$60,"3F4D+MD",'TP-b'!$E$2:$E$60,1)&gt;0,_xlfn.MINIFS('TP-b'!$B$2:$B$60,'TP-b'!$A$2:$A$60,"3F4D+MD",'TP-b'!$E$2:$E$60,1),"")))</f>
        <v/>
      </c>
      <c r="AC72" s="10">
        <f>IF(AB72="","",AVERAGEIFS('TP-b'!$C$2:$C$60,'TP-b'!$A$2:$A$60,"3F4D+MD",'TP-b'!$B$2:$B$60,AB72,'TP-b'!$E$2:$E$60,1))</f>
        <v/>
      </c>
      <c r="AD72" s="10">
        <f>IF(AB72="","",AVERAGEIFS('TP-b'!$D$2:$D$60,'TP-b'!$A$2:$A$60,"3F4D+MD",'TP-b'!$B$2:$B$60,AB72,'TP-b'!$E$2:$E$60,1))</f>
        <v/>
      </c>
      <c r="AE72" s="10">
        <f>IF(OR($A72="",NOT(ISNUMBER($J72)),AC72=""),"",ROUND($J72-AC72+AD72,1))</f>
        <v/>
      </c>
      <c r="AF72" s="10">
        <f>IF(AND($K72="Yes",ISNUMBER($L72),AC72&lt;&gt;""),ROUND($L72-AC72+AD72,1),"")</f>
        <v/>
      </c>
      <c r="AG72" s="10">
        <f>IF(AND($K72="Yes",ISNUMBER($M72),AC72&lt;&gt;""),ROUND($M72-AC72+AD72,1),"")</f>
        <v/>
      </c>
      <c r="AH72" s="10">
        <f>IF(AND(ISNUMBER($J72),ISNUMBER(AF72),ISNUMBER(AG72)),ROUND((AG72-MAX(AF72,0))*10,1),"")</f>
        <v/>
      </c>
      <c r="AI72" s="10">
        <f>IF(AE72="","",IF(AND($K72="Yes",ISNUMBER(AG72)),AG72,AE72))</f>
        <v/>
      </c>
      <c r="AJ72" s="10">
        <f>IF(AE72="","",ROUND(SUMIFS($AH$3:$AH$252,$A$3:$A$252,"&lt;="&amp;$A72),1))</f>
        <v/>
      </c>
      <c r="AK72" s="10">
        <f>IF(OR(AE72="",$A72=""),"",IF(ISNUMBER(IFERROR(INDEX($AI$3:$AI$252,MATCH($A72-1,$A$3:$A$252,0)),"")),ROUND((INDEX($AI$3:$AI$252,MATCH($A72-1,$A$3:$A$252,0))-AE72)*10,1),""))</f>
        <v/>
      </c>
      <c r="AL72" s="10">
        <f>IF(ISNUMBER(AE72),1,0)</f>
        <v/>
      </c>
      <c r="AM72" s="17">
        <f>IF($A72="","",IF(COUNTIF($A$3:$A$252,$A72)&gt;1,"same date twice; ","")&amp;IF(AND(ISNUMBER($B72),OR($B72&lt;0,$B72&gt;300)),"rain out of range; ","")&amp;IF(AND(ISNUMBER($C72),OR($C72&lt;0,$C72&gt;45)),"temp out of range; ","")&amp;IF(AND(ISNUMBER($D72),OR($D72&lt;0,$D72&gt;100)),"RH out of range; ",""))</f>
        <v/>
      </c>
      <c r="AN72" s="17">
        <f>IF($A72="","",IF(AND(ISNUMBER(T72),OR(T72&lt;-30,T72&gt;20)),"WL out of range; ","")&amp;IF(AND(ISNUMBER($E72),T72=""),"no TP/b; ","")&amp;IF(AND(ISNUMBER(U72),ISNUMBER(V72)),IF(V72&lt;U72,"After&lt;Before; ",""),"")&amp;IF(AND($F72="Yes",ISNUMBER($E72),W72=""),"irrigation readings missing; ","")&amp;IF(ISNUMBER(Z72),IF(AND(ABS(Z72)&gt;50,NOT(N($B72)&gt;0)),"WL jump &gt;5 cm; ",""),""))</f>
        <v/>
      </c>
      <c r="AO72" s="17">
        <f>IF($A72="","",IF(AND(ISNUMBER(AE72),OR(AE72&lt;-30,AE72&gt;20)),"WL out of range; ","")&amp;IF(AND(ISNUMBER($J72),AE72=""),"no TP/b; ","")&amp;IF(AND(ISNUMBER(AF72),ISNUMBER(AG72)),IF(AG72&lt;AF72,"After&lt;Before; ",""),"")&amp;IF(AND($K72="Yes",ISNUMBER($J72),AH72=""),"irrigation readings missing; ","")&amp;IF(ISNUMBER(AK72),IF(AND(ABS(AK72)&gt;50,NOT(N($B72)&gt;0)),"WL jump &gt;5 cm; ",""),"")&amp;IF(AND(ISNUMBER(PitanE),ISNUMBER(AB72),$A72&gt;PitanE+2,AB72&lt;PitanE),"re-measure TP/b after Pitan; ",""))</f>
        <v/>
      </c>
    </row>
    <row r="73">
      <c r="A73" s="14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0">
        <f>IF(OR($A73="",NOT(ISNUMBER(TransDate))),"",$A73-TransDate)</f>
        <v/>
      </c>
      <c r="Q73" s="16">
        <f>IF($A73="","",IF(_xlfn.MAXIFS('TP-b'!$B$2:$B$60,'TP-b'!$A$2:$A$60,"FP",'TP-b'!$E$2:$E$60,1,'TP-b'!$B$2:$B$60,"&lt;="&amp;$A73)&gt;0,_xlfn.MAXIFS('TP-b'!$B$2:$B$60,'TP-b'!$A$2:$A$60,"FP",'TP-b'!$E$2:$E$60,1,'TP-b'!$B$2:$B$60,"&lt;="&amp;$A73),IF(_xlfn.MINIFS('TP-b'!$B$2:$B$60,'TP-b'!$A$2:$A$60,"FP",'TP-b'!$E$2:$E$60,1)&gt;0,_xlfn.MINIFS('TP-b'!$B$2:$B$60,'TP-b'!$A$2:$A$60,"FP",'TP-b'!$E$2:$E$60,1),"")))</f>
        <v/>
      </c>
      <c r="R73" s="10">
        <f>IF(Q73="","",AVERAGEIFS('TP-b'!$C$2:$C$60,'TP-b'!$A$2:$A$60,"FP",'TP-b'!$B$2:$B$60,Q73,'TP-b'!$E$2:$E$60,1))</f>
        <v/>
      </c>
      <c r="S73" s="10">
        <f>IF(Q73="","",AVERAGEIFS('TP-b'!$D$2:$D$60,'TP-b'!$A$2:$A$60,"FP",'TP-b'!$B$2:$B$60,Q73,'TP-b'!$E$2:$E$60,1))</f>
        <v/>
      </c>
      <c r="T73" s="10">
        <f>IF(OR($A73="",NOT(ISNUMBER($E73)),R73=""),"",ROUND($E73-R73+S73,1))</f>
        <v/>
      </c>
      <c r="U73" s="10">
        <f>IF(AND($F73="Yes",ISNUMBER($G73),R73&lt;&gt;""),ROUND($G73-R73+S73,1),"")</f>
        <v/>
      </c>
      <c r="V73" s="10">
        <f>IF(AND($F73="Yes",ISNUMBER($H73),R73&lt;&gt;""),ROUND($H73-R73+S73,1),"")</f>
        <v/>
      </c>
      <c r="W73" s="10">
        <f>IF(AND(ISNUMBER($E73),ISNUMBER(U73),ISNUMBER(V73)),ROUND((V73-MAX(U73,0))*10,1),"")</f>
        <v/>
      </c>
      <c r="X73" s="10">
        <f>IF(T73="","",IF(AND($F73="Yes",ISNUMBER(V73)),V73,T73))</f>
        <v/>
      </c>
      <c r="Y73" s="10">
        <f>IF(T73="","",ROUND(SUMIFS($W$3:$W$252,$A$3:$A$252,"&lt;="&amp;$A73),1))</f>
        <v/>
      </c>
      <c r="Z73" s="10">
        <f>IF(OR(T73="",$A73=""),"",IF(ISNUMBER(IFERROR(INDEX($X$3:$X$252,MATCH($A73-1,$A$3:$A$252,0)),"")),ROUND((INDEX($X$3:$X$252,MATCH($A73-1,$A$3:$A$252,0))-T73)*10,1),""))</f>
        <v/>
      </c>
      <c r="AA73" s="10">
        <f>IF(ISNUMBER(T73),1,0)</f>
        <v/>
      </c>
      <c r="AB73" s="16">
        <f>IF($A73="","",IF(_xlfn.MAXIFS('TP-b'!$B$2:$B$60,'TP-b'!$A$2:$A$60,"3F4D+MD",'TP-b'!$E$2:$E$60,1,'TP-b'!$B$2:$B$60,"&lt;="&amp;$A73)&gt;0,_xlfn.MAXIFS('TP-b'!$B$2:$B$60,'TP-b'!$A$2:$A$60,"3F4D+MD",'TP-b'!$E$2:$E$60,1,'TP-b'!$B$2:$B$60,"&lt;="&amp;$A73),IF(_xlfn.MINIFS('TP-b'!$B$2:$B$60,'TP-b'!$A$2:$A$60,"3F4D+MD",'TP-b'!$E$2:$E$60,1)&gt;0,_xlfn.MINIFS('TP-b'!$B$2:$B$60,'TP-b'!$A$2:$A$60,"3F4D+MD",'TP-b'!$E$2:$E$60,1),"")))</f>
        <v/>
      </c>
      <c r="AC73" s="10">
        <f>IF(AB73="","",AVERAGEIFS('TP-b'!$C$2:$C$60,'TP-b'!$A$2:$A$60,"3F4D+MD",'TP-b'!$B$2:$B$60,AB73,'TP-b'!$E$2:$E$60,1))</f>
        <v/>
      </c>
      <c r="AD73" s="10">
        <f>IF(AB73="","",AVERAGEIFS('TP-b'!$D$2:$D$60,'TP-b'!$A$2:$A$60,"3F4D+MD",'TP-b'!$B$2:$B$60,AB73,'TP-b'!$E$2:$E$60,1))</f>
        <v/>
      </c>
      <c r="AE73" s="10">
        <f>IF(OR($A73="",NOT(ISNUMBER($J73)),AC73=""),"",ROUND($J73-AC73+AD73,1))</f>
        <v/>
      </c>
      <c r="AF73" s="10">
        <f>IF(AND($K73="Yes",ISNUMBER($L73),AC73&lt;&gt;""),ROUND($L73-AC73+AD73,1),"")</f>
        <v/>
      </c>
      <c r="AG73" s="10">
        <f>IF(AND($K73="Yes",ISNUMBER($M73),AC73&lt;&gt;""),ROUND($M73-AC73+AD73,1),"")</f>
        <v/>
      </c>
      <c r="AH73" s="10">
        <f>IF(AND(ISNUMBER($J73),ISNUMBER(AF73),ISNUMBER(AG73)),ROUND((AG73-MAX(AF73,0))*10,1),"")</f>
        <v/>
      </c>
      <c r="AI73" s="10">
        <f>IF(AE73="","",IF(AND($K73="Yes",ISNUMBER(AG73)),AG73,AE73))</f>
        <v/>
      </c>
      <c r="AJ73" s="10">
        <f>IF(AE73="","",ROUND(SUMIFS($AH$3:$AH$252,$A$3:$A$252,"&lt;="&amp;$A73),1))</f>
        <v/>
      </c>
      <c r="AK73" s="10">
        <f>IF(OR(AE73="",$A73=""),"",IF(ISNUMBER(IFERROR(INDEX($AI$3:$AI$252,MATCH($A73-1,$A$3:$A$252,0)),"")),ROUND((INDEX($AI$3:$AI$252,MATCH($A73-1,$A$3:$A$252,0))-AE73)*10,1),""))</f>
        <v/>
      </c>
      <c r="AL73" s="10">
        <f>IF(ISNUMBER(AE73),1,0)</f>
        <v/>
      </c>
      <c r="AM73" s="17">
        <f>IF($A73="","",IF(COUNTIF($A$3:$A$252,$A73)&gt;1,"same date twice; ","")&amp;IF(AND(ISNUMBER($B73),OR($B73&lt;0,$B73&gt;300)),"rain out of range; ","")&amp;IF(AND(ISNUMBER($C73),OR($C73&lt;0,$C73&gt;45)),"temp out of range; ","")&amp;IF(AND(ISNUMBER($D73),OR($D73&lt;0,$D73&gt;100)),"RH out of range; ",""))</f>
        <v/>
      </c>
      <c r="AN73" s="17">
        <f>IF($A73="","",IF(AND(ISNUMBER(T73),OR(T73&lt;-30,T73&gt;20)),"WL out of range; ","")&amp;IF(AND(ISNUMBER($E73),T73=""),"no TP/b; ","")&amp;IF(AND(ISNUMBER(U73),ISNUMBER(V73)),IF(V73&lt;U73,"After&lt;Before; ",""),"")&amp;IF(AND($F73="Yes",ISNUMBER($E73),W73=""),"irrigation readings missing; ","")&amp;IF(ISNUMBER(Z73),IF(AND(ABS(Z73)&gt;50,NOT(N($B73)&gt;0)),"WL jump &gt;5 cm; ",""),""))</f>
        <v/>
      </c>
      <c r="AO73" s="17">
        <f>IF($A73="","",IF(AND(ISNUMBER(AE73),OR(AE73&lt;-30,AE73&gt;20)),"WL out of range; ","")&amp;IF(AND(ISNUMBER($J73),AE73=""),"no TP/b; ","")&amp;IF(AND(ISNUMBER(AF73),ISNUMBER(AG73)),IF(AG73&lt;AF73,"After&lt;Before; ",""),"")&amp;IF(AND($K73="Yes",ISNUMBER($J73),AH73=""),"irrigation readings missing; ","")&amp;IF(ISNUMBER(AK73),IF(AND(ABS(AK73)&gt;50,NOT(N($B73)&gt;0)),"WL jump &gt;5 cm; ",""),"")&amp;IF(AND(ISNUMBER(PitanE),ISNUMBER(AB73),$A73&gt;PitanE+2,AB73&lt;PitanE),"re-measure TP/b after Pitan; ",""))</f>
        <v/>
      </c>
    </row>
    <row r="74">
      <c r="A74" s="14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0">
        <f>IF(OR($A74="",NOT(ISNUMBER(TransDate))),"",$A74-TransDate)</f>
        <v/>
      </c>
      <c r="Q74" s="16">
        <f>IF($A74="","",IF(_xlfn.MAXIFS('TP-b'!$B$2:$B$60,'TP-b'!$A$2:$A$60,"FP",'TP-b'!$E$2:$E$60,1,'TP-b'!$B$2:$B$60,"&lt;="&amp;$A74)&gt;0,_xlfn.MAXIFS('TP-b'!$B$2:$B$60,'TP-b'!$A$2:$A$60,"FP",'TP-b'!$E$2:$E$60,1,'TP-b'!$B$2:$B$60,"&lt;="&amp;$A74),IF(_xlfn.MINIFS('TP-b'!$B$2:$B$60,'TP-b'!$A$2:$A$60,"FP",'TP-b'!$E$2:$E$60,1)&gt;0,_xlfn.MINIFS('TP-b'!$B$2:$B$60,'TP-b'!$A$2:$A$60,"FP",'TP-b'!$E$2:$E$60,1),"")))</f>
        <v/>
      </c>
      <c r="R74" s="10">
        <f>IF(Q74="","",AVERAGEIFS('TP-b'!$C$2:$C$60,'TP-b'!$A$2:$A$60,"FP",'TP-b'!$B$2:$B$60,Q74,'TP-b'!$E$2:$E$60,1))</f>
        <v/>
      </c>
      <c r="S74" s="10">
        <f>IF(Q74="","",AVERAGEIFS('TP-b'!$D$2:$D$60,'TP-b'!$A$2:$A$60,"FP",'TP-b'!$B$2:$B$60,Q74,'TP-b'!$E$2:$E$60,1))</f>
        <v/>
      </c>
      <c r="T74" s="10">
        <f>IF(OR($A74="",NOT(ISNUMBER($E74)),R74=""),"",ROUND($E74-R74+S74,1))</f>
        <v/>
      </c>
      <c r="U74" s="10">
        <f>IF(AND($F74="Yes",ISNUMBER($G74),R74&lt;&gt;""),ROUND($G74-R74+S74,1),"")</f>
        <v/>
      </c>
      <c r="V74" s="10">
        <f>IF(AND($F74="Yes",ISNUMBER($H74),R74&lt;&gt;""),ROUND($H74-R74+S74,1),"")</f>
        <v/>
      </c>
      <c r="W74" s="10">
        <f>IF(AND(ISNUMBER($E74),ISNUMBER(U74),ISNUMBER(V74)),ROUND((V74-MAX(U74,0))*10,1),"")</f>
        <v/>
      </c>
      <c r="X74" s="10">
        <f>IF(T74="","",IF(AND($F74="Yes",ISNUMBER(V74)),V74,T74))</f>
        <v/>
      </c>
      <c r="Y74" s="10">
        <f>IF(T74="","",ROUND(SUMIFS($W$3:$W$252,$A$3:$A$252,"&lt;="&amp;$A74),1))</f>
        <v/>
      </c>
      <c r="Z74" s="10">
        <f>IF(OR(T74="",$A74=""),"",IF(ISNUMBER(IFERROR(INDEX($X$3:$X$252,MATCH($A74-1,$A$3:$A$252,0)),"")),ROUND((INDEX($X$3:$X$252,MATCH($A74-1,$A$3:$A$252,0))-T74)*10,1),""))</f>
        <v/>
      </c>
      <c r="AA74" s="10">
        <f>IF(ISNUMBER(T74),1,0)</f>
        <v/>
      </c>
      <c r="AB74" s="16">
        <f>IF($A74="","",IF(_xlfn.MAXIFS('TP-b'!$B$2:$B$60,'TP-b'!$A$2:$A$60,"3F4D+MD",'TP-b'!$E$2:$E$60,1,'TP-b'!$B$2:$B$60,"&lt;="&amp;$A74)&gt;0,_xlfn.MAXIFS('TP-b'!$B$2:$B$60,'TP-b'!$A$2:$A$60,"3F4D+MD",'TP-b'!$E$2:$E$60,1,'TP-b'!$B$2:$B$60,"&lt;="&amp;$A74),IF(_xlfn.MINIFS('TP-b'!$B$2:$B$60,'TP-b'!$A$2:$A$60,"3F4D+MD",'TP-b'!$E$2:$E$60,1)&gt;0,_xlfn.MINIFS('TP-b'!$B$2:$B$60,'TP-b'!$A$2:$A$60,"3F4D+MD",'TP-b'!$E$2:$E$60,1),"")))</f>
        <v/>
      </c>
      <c r="AC74" s="10">
        <f>IF(AB74="","",AVERAGEIFS('TP-b'!$C$2:$C$60,'TP-b'!$A$2:$A$60,"3F4D+MD",'TP-b'!$B$2:$B$60,AB74,'TP-b'!$E$2:$E$60,1))</f>
        <v/>
      </c>
      <c r="AD74" s="10">
        <f>IF(AB74="","",AVERAGEIFS('TP-b'!$D$2:$D$60,'TP-b'!$A$2:$A$60,"3F4D+MD",'TP-b'!$B$2:$B$60,AB74,'TP-b'!$E$2:$E$60,1))</f>
        <v/>
      </c>
      <c r="AE74" s="10">
        <f>IF(OR($A74="",NOT(ISNUMBER($J74)),AC74=""),"",ROUND($J74-AC74+AD74,1))</f>
        <v/>
      </c>
      <c r="AF74" s="10">
        <f>IF(AND($K74="Yes",ISNUMBER($L74),AC74&lt;&gt;""),ROUND($L74-AC74+AD74,1),"")</f>
        <v/>
      </c>
      <c r="AG74" s="10">
        <f>IF(AND($K74="Yes",ISNUMBER($M74),AC74&lt;&gt;""),ROUND($M74-AC74+AD74,1),"")</f>
        <v/>
      </c>
      <c r="AH74" s="10">
        <f>IF(AND(ISNUMBER($J74),ISNUMBER(AF74),ISNUMBER(AG74)),ROUND((AG74-MAX(AF74,0))*10,1),"")</f>
        <v/>
      </c>
      <c r="AI74" s="10">
        <f>IF(AE74="","",IF(AND($K74="Yes",ISNUMBER(AG74)),AG74,AE74))</f>
        <v/>
      </c>
      <c r="AJ74" s="10">
        <f>IF(AE74="","",ROUND(SUMIFS($AH$3:$AH$252,$A$3:$A$252,"&lt;="&amp;$A74),1))</f>
        <v/>
      </c>
      <c r="AK74" s="10">
        <f>IF(OR(AE74="",$A74=""),"",IF(ISNUMBER(IFERROR(INDEX($AI$3:$AI$252,MATCH($A74-1,$A$3:$A$252,0)),"")),ROUND((INDEX($AI$3:$AI$252,MATCH($A74-1,$A$3:$A$252,0))-AE74)*10,1),""))</f>
        <v/>
      </c>
      <c r="AL74" s="10">
        <f>IF(ISNUMBER(AE74),1,0)</f>
        <v/>
      </c>
      <c r="AM74" s="17">
        <f>IF($A74="","",IF(COUNTIF($A$3:$A$252,$A74)&gt;1,"same date twice; ","")&amp;IF(AND(ISNUMBER($B74),OR($B74&lt;0,$B74&gt;300)),"rain out of range; ","")&amp;IF(AND(ISNUMBER($C74),OR($C74&lt;0,$C74&gt;45)),"temp out of range; ","")&amp;IF(AND(ISNUMBER($D74),OR($D74&lt;0,$D74&gt;100)),"RH out of range; ",""))</f>
        <v/>
      </c>
      <c r="AN74" s="17">
        <f>IF($A74="","",IF(AND(ISNUMBER(T74),OR(T74&lt;-30,T74&gt;20)),"WL out of range; ","")&amp;IF(AND(ISNUMBER($E74),T74=""),"no TP/b; ","")&amp;IF(AND(ISNUMBER(U74),ISNUMBER(V74)),IF(V74&lt;U74,"After&lt;Before; ",""),"")&amp;IF(AND($F74="Yes",ISNUMBER($E74),W74=""),"irrigation readings missing; ","")&amp;IF(ISNUMBER(Z74),IF(AND(ABS(Z74)&gt;50,NOT(N($B74)&gt;0)),"WL jump &gt;5 cm; ",""),""))</f>
        <v/>
      </c>
      <c r="AO74" s="17">
        <f>IF($A74="","",IF(AND(ISNUMBER(AE74),OR(AE74&lt;-30,AE74&gt;20)),"WL out of range; ","")&amp;IF(AND(ISNUMBER($J74),AE74=""),"no TP/b; ","")&amp;IF(AND(ISNUMBER(AF74),ISNUMBER(AG74)),IF(AG74&lt;AF74,"After&lt;Before; ",""),"")&amp;IF(AND($K74="Yes",ISNUMBER($J74),AH74=""),"irrigation readings missing; ","")&amp;IF(ISNUMBER(AK74),IF(AND(ABS(AK74)&gt;50,NOT(N($B74)&gt;0)),"WL jump &gt;5 cm; ",""),"")&amp;IF(AND(ISNUMBER(PitanE),ISNUMBER(AB74),$A74&gt;PitanE+2,AB74&lt;PitanE),"re-measure TP/b after Pitan; ",""))</f>
        <v/>
      </c>
    </row>
    <row r="75">
      <c r="A75" s="14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0">
        <f>IF(OR($A75="",NOT(ISNUMBER(TransDate))),"",$A75-TransDate)</f>
        <v/>
      </c>
      <c r="Q75" s="16">
        <f>IF($A75="","",IF(_xlfn.MAXIFS('TP-b'!$B$2:$B$60,'TP-b'!$A$2:$A$60,"FP",'TP-b'!$E$2:$E$60,1,'TP-b'!$B$2:$B$60,"&lt;="&amp;$A75)&gt;0,_xlfn.MAXIFS('TP-b'!$B$2:$B$60,'TP-b'!$A$2:$A$60,"FP",'TP-b'!$E$2:$E$60,1,'TP-b'!$B$2:$B$60,"&lt;="&amp;$A75),IF(_xlfn.MINIFS('TP-b'!$B$2:$B$60,'TP-b'!$A$2:$A$60,"FP",'TP-b'!$E$2:$E$60,1)&gt;0,_xlfn.MINIFS('TP-b'!$B$2:$B$60,'TP-b'!$A$2:$A$60,"FP",'TP-b'!$E$2:$E$60,1),"")))</f>
        <v/>
      </c>
      <c r="R75" s="10">
        <f>IF(Q75="","",AVERAGEIFS('TP-b'!$C$2:$C$60,'TP-b'!$A$2:$A$60,"FP",'TP-b'!$B$2:$B$60,Q75,'TP-b'!$E$2:$E$60,1))</f>
        <v/>
      </c>
      <c r="S75" s="10">
        <f>IF(Q75="","",AVERAGEIFS('TP-b'!$D$2:$D$60,'TP-b'!$A$2:$A$60,"FP",'TP-b'!$B$2:$B$60,Q75,'TP-b'!$E$2:$E$60,1))</f>
        <v/>
      </c>
      <c r="T75" s="10">
        <f>IF(OR($A75="",NOT(ISNUMBER($E75)),R75=""),"",ROUND($E75-R75+S75,1))</f>
        <v/>
      </c>
      <c r="U75" s="10">
        <f>IF(AND($F75="Yes",ISNUMBER($G75),R75&lt;&gt;""),ROUND($G75-R75+S75,1),"")</f>
        <v/>
      </c>
      <c r="V75" s="10">
        <f>IF(AND($F75="Yes",ISNUMBER($H75),R75&lt;&gt;""),ROUND($H75-R75+S75,1),"")</f>
        <v/>
      </c>
      <c r="W75" s="10">
        <f>IF(AND(ISNUMBER($E75),ISNUMBER(U75),ISNUMBER(V75)),ROUND((V75-MAX(U75,0))*10,1),"")</f>
        <v/>
      </c>
      <c r="X75" s="10">
        <f>IF(T75="","",IF(AND($F75="Yes",ISNUMBER(V75)),V75,T75))</f>
        <v/>
      </c>
      <c r="Y75" s="10">
        <f>IF(T75="","",ROUND(SUMIFS($W$3:$W$252,$A$3:$A$252,"&lt;="&amp;$A75),1))</f>
        <v/>
      </c>
      <c r="Z75" s="10">
        <f>IF(OR(T75="",$A75=""),"",IF(ISNUMBER(IFERROR(INDEX($X$3:$X$252,MATCH($A75-1,$A$3:$A$252,0)),"")),ROUND((INDEX($X$3:$X$252,MATCH($A75-1,$A$3:$A$252,0))-T75)*10,1),""))</f>
        <v/>
      </c>
      <c r="AA75" s="10">
        <f>IF(ISNUMBER(T75),1,0)</f>
        <v/>
      </c>
      <c r="AB75" s="16">
        <f>IF($A75="","",IF(_xlfn.MAXIFS('TP-b'!$B$2:$B$60,'TP-b'!$A$2:$A$60,"3F4D+MD",'TP-b'!$E$2:$E$60,1,'TP-b'!$B$2:$B$60,"&lt;="&amp;$A75)&gt;0,_xlfn.MAXIFS('TP-b'!$B$2:$B$60,'TP-b'!$A$2:$A$60,"3F4D+MD",'TP-b'!$E$2:$E$60,1,'TP-b'!$B$2:$B$60,"&lt;="&amp;$A75),IF(_xlfn.MINIFS('TP-b'!$B$2:$B$60,'TP-b'!$A$2:$A$60,"3F4D+MD",'TP-b'!$E$2:$E$60,1)&gt;0,_xlfn.MINIFS('TP-b'!$B$2:$B$60,'TP-b'!$A$2:$A$60,"3F4D+MD",'TP-b'!$E$2:$E$60,1),"")))</f>
        <v/>
      </c>
      <c r="AC75" s="10">
        <f>IF(AB75="","",AVERAGEIFS('TP-b'!$C$2:$C$60,'TP-b'!$A$2:$A$60,"3F4D+MD",'TP-b'!$B$2:$B$60,AB75,'TP-b'!$E$2:$E$60,1))</f>
        <v/>
      </c>
      <c r="AD75" s="10">
        <f>IF(AB75="","",AVERAGEIFS('TP-b'!$D$2:$D$60,'TP-b'!$A$2:$A$60,"3F4D+MD",'TP-b'!$B$2:$B$60,AB75,'TP-b'!$E$2:$E$60,1))</f>
        <v/>
      </c>
      <c r="AE75" s="10">
        <f>IF(OR($A75="",NOT(ISNUMBER($J75)),AC75=""),"",ROUND($J75-AC75+AD75,1))</f>
        <v/>
      </c>
      <c r="AF75" s="10">
        <f>IF(AND($K75="Yes",ISNUMBER($L75),AC75&lt;&gt;""),ROUND($L75-AC75+AD75,1),"")</f>
        <v/>
      </c>
      <c r="AG75" s="10">
        <f>IF(AND($K75="Yes",ISNUMBER($M75),AC75&lt;&gt;""),ROUND($M75-AC75+AD75,1),"")</f>
        <v/>
      </c>
      <c r="AH75" s="10">
        <f>IF(AND(ISNUMBER($J75),ISNUMBER(AF75),ISNUMBER(AG75)),ROUND((AG75-MAX(AF75,0))*10,1),"")</f>
        <v/>
      </c>
      <c r="AI75" s="10">
        <f>IF(AE75="","",IF(AND($K75="Yes",ISNUMBER(AG75)),AG75,AE75))</f>
        <v/>
      </c>
      <c r="AJ75" s="10">
        <f>IF(AE75="","",ROUND(SUMIFS($AH$3:$AH$252,$A$3:$A$252,"&lt;="&amp;$A75),1))</f>
        <v/>
      </c>
      <c r="AK75" s="10">
        <f>IF(OR(AE75="",$A75=""),"",IF(ISNUMBER(IFERROR(INDEX($AI$3:$AI$252,MATCH($A75-1,$A$3:$A$252,0)),"")),ROUND((INDEX($AI$3:$AI$252,MATCH($A75-1,$A$3:$A$252,0))-AE75)*10,1),""))</f>
        <v/>
      </c>
      <c r="AL75" s="10">
        <f>IF(ISNUMBER(AE75),1,0)</f>
        <v/>
      </c>
      <c r="AM75" s="17">
        <f>IF($A75="","",IF(COUNTIF($A$3:$A$252,$A75)&gt;1,"same date twice; ","")&amp;IF(AND(ISNUMBER($B75),OR($B75&lt;0,$B75&gt;300)),"rain out of range; ","")&amp;IF(AND(ISNUMBER($C75),OR($C75&lt;0,$C75&gt;45)),"temp out of range; ","")&amp;IF(AND(ISNUMBER($D75),OR($D75&lt;0,$D75&gt;100)),"RH out of range; ",""))</f>
        <v/>
      </c>
      <c r="AN75" s="17">
        <f>IF($A75="","",IF(AND(ISNUMBER(T75),OR(T75&lt;-30,T75&gt;20)),"WL out of range; ","")&amp;IF(AND(ISNUMBER($E75),T75=""),"no TP/b; ","")&amp;IF(AND(ISNUMBER(U75),ISNUMBER(V75)),IF(V75&lt;U75,"After&lt;Before; ",""),"")&amp;IF(AND($F75="Yes",ISNUMBER($E75),W75=""),"irrigation readings missing; ","")&amp;IF(ISNUMBER(Z75),IF(AND(ABS(Z75)&gt;50,NOT(N($B75)&gt;0)),"WL jump &gt;5 cm; ",""),""))</f>
        <v/>
      </c>
      <c r="AO75" s="17">
        <f>IF($A75="","",IF(AND(ISNUMBER(AE75),OR(AE75&lt;-30,AE75&gt;20)),"WL out of range; ","")&amp;IF(AND(ISNUMBER($J75),AE75=""),"no TP/b; ","")&amp;IF(AND(ISNUMBER(AF75),ISNUMBER(AG75)),IF(AG75&lt;AF75,"After&lt;Before; ",""),"")&amp;IF(AND($K75="Yes",ISNUMBER($J75),AH75=""),"irrigation readings missing; ","")&amp;IF(ISNUMBER(AK75),IF(AND(ABS(AK75)&gt;50,NOT(N($B75)&gt;0)),"WL jump &gt;5 cm; ",""),"")&amp;IF(AND(ISNUMBER(PitanE),ISNUMBER(AB75),$A75&gt;PitanE+2,AB75&lt;PitanE),"re-measure TP/b after Pitan; ",""))</f>
        <v/>
      </c>
    </row>
    <row r="76">
      <c r="A76" s="14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0">
        <f>IF(OR($A76="",NOT(ISNUMBER(TransDate))),"",$A76-TransDate)</f>
        <v/>
      </c>
      <c r="Q76" s="16">
        <f>IF($A76="","",IF(_xlfn.MAXIFS('TP-b'!$B$2:$B$60,'TP-b'!$A$2:$A$60,"FP",'TP-b'!$E$2:$E$60,1,'TP-b'!$B$2:$B$60,"&lt;="&amp;$A76)&gt;0,_xlfn.MAXIFS('TP-b'!$B$2:$B$60,'TP-b'!$A$2:$A$60,"FP",'TP-b'!$E$2:$E$60,1,'TP-b'!$B$2:$B$60,"&lt;="&amp;$A76),IF(_xlfn.MINIFS('TP-b'!$B$2:$B$60,'TP-b'!$A$2:$A$60,"FP",'TP-b'!$E$2:$E$60,1)&gt;0,_xlfn.MINIFS('TP-b'!$B$2:$B$60,'TP-b'!$A$2:$A$60,"FP",'TP-b'!$E$2:$E$60,1),"")))</f>
        <v/>
      </c>
      <c r="R76" s="10">
        <f>IF(Q76="","",AVERAGEIFS('TP-b'!$C$2:$C$60,'TP-b'!$A$2:$A$60,"FP",'TP-b'!$B$2:$B$60,Q76,'TP-b'!$E$2:$E$60,1))</f>
        <v/>
      </c>
      <c r="S76" s="10">
        <f>IF(Q76="","",AVERAGEIFS('TP-b'!$D$2:$D$60,'TP-b'!$A$2:$A$60,"FP",'TP-b'!$B$2:$B$60,Q76,'TP-b'!$E$2:$E$60,1))</f>
        <v/>
      </c>
      <c r="T76" s="10">
        <f>IF(OR($A76="",NOT(ISNUMBER($E76)),R76=""),"",ROUND($E76-R76+S76,1))</f>
        <v/>
      </c>
      <c r="U76" s="10">
        <f>IF(AND($F76="Yes",ISNUMBER($G76),R76&lt;&gt;""),ROUND($G76-R76+S76,1),"")</f>
        <v/>
      </c>
      <c r="V76" s="10">
        <f>IF(AND($F76="Yes",ISNUMBER($H76),R76&lt;&gt;""),ROUND($H76-R76+S76,1),"")</f>
        <v/>
      </c>
      <c r="W76" s="10">
        <f>IF(AND(ISNUMBER($E76),ISNUMBER(U76),ISNUMBER(V76)),ROUND((V76-MAX(U76,0))*10,1),"")</f>
        <v/>
      </c>
      <c r="X76" s="10">
        <f>IF(T76="","",IF(AND($F76="Yes",ISNUMBER(V76)),V76,T76))</f>
        <v/>
      </c>
      <c r="Y76" s="10">
        <f>IF(T76="","",ROUND(SUMIFS($W$3:$W$252,$A$3:$A$252,"&lt;="&amp;$A76),1))</f>
        <v/>
      </c>
      <c r="Z76" s="10">
        <f>IF(OR(T76="",$A76=""),"",IF(ISNUMBER(IFERROR(INDEX($X$3:$X$252,MATCH($A76-1,$A$3:$A$252,0)),"")),ROUND((INDEX($X$3:$X$252,MATCH($A76-1,$A$3:$A$252,0))-T76)*10,1),""))</f>
        <v/>
      </c>
      <c r="AA76" s="10">
        <f>IF(ISNUMBER(T76),1,0)</f>
        <v/>
      </c>
      <c r="AB76" s="16">
        <f>IF($A76="","",IF(_xlfn.MAXIFS('TP-b'!$B$2:$B$60,'TP-b'!$A$2:$A$60,"3F4D+MD",'TP-b'!$E$2:$E$60,1,'TP-b'!$B$2:$B$60,"&lt;="&amp;$A76)&gt;0,_xlfn.MAXIFS('TP-b'!$B$2:$B$60,'TP-b'!$A$2:$A$60,"3F4D+MD",'TP-b'!$E$2:$E$60,1,'TP-b'!$B$2:$B$60,"&lt;="&amp;$A76),IF(_xlfn.MINIFS('TP-b'!$B$2:$B$60,'TP-b'!$A$2:$A$60,"3F4D+MD",'TP-b'!$E$2:$E$60,1)&gt;0,_xlfn.MINIFS('TP-b'!$B$2:$B$60,'TP-b'!$A$2:$A$60,"3F4D+MD",'TP-b'!$E$2:$E$60,1),"")))</f>
        <v/>
      </c>
      <c r="AC76" s="10">
        <f>IF(AB76="","",AVERAGEIFS('TP-b'!$C$2:$C$60,'TP-b'!$A$2:$A$60,"3F4D+MD",'TP-b'!$B$2:$B$60,AB76,'TP-b'!$E$2:$E$60,1))</f>
        <v/>
      </c>
      <c r="AD76" s="10">
        <f>IF(AB76="","",AVERAGEIFS('TP-b'!$D$2:$D$60,'TP-b'!$A$2:$A$60,"3F4D+MD",'TP-b'!$B$2:$B$60,AB76,'TP-b'!$E$2:$E$60,1))</f>
        <v/>
      </c>
      <c r="AE76" s="10">
        <f>IF(OR($A76="",NOT(ISNUMBER($J76)),AC76=""),"",ROUND($J76-AC76+AD76,1))</f>
        <v/>
      </c>
      <c r="AF76" s="10">
        <f>IF(AND($K76="Yes",ISNUMBER($L76),AC76&lt;&gt;""),ROUND($L76-AC76+AD76,1),"")</f>
        <v/>
      </c>
      <c r="AG76" s="10">
        <f>IF(AND($K76="Yes",ISNUMBER($M76),AC76&lt;&gt;""),ROUND($M76-AC76+AD76,1),"")</f>
        <v/>
      </c>
      <c r="AH76" s="10">
        <f>IF(AND(ISNUMBER($J76),ISNUMBER(AF76),ISNUMBER(AG76)),ROUND((AG76-MAX(AF76,0))*10,1),"")</f>
        <v/>
      </c>
      <c r="AI76" s="10">
        <f>IF(AE76="","",IF(AND($K76="Yes",ISNUMBER(AG76)),AG76,AE76))</f>
        <v/>
      </c>
      <c r="AJ76" s="10">
        <f>IF(AE76="","",ROUND(SUMIFS($AH$3:$AH$252,$A$3:$A$252,"&lt;="&amp;$A76),1))</f>
        <v/>
      </c>
      <c r="AK76" s="10">
        <f>IF(OR(AE76="",$A76=""),"",IF(ISNUMBER(IFERROR(INDEX($AI$3:$AI$252,MATCH($A76-1,$A$3:$A$252,0)),"")),ROUND((INDEX($AI$3:$AI$252,MATCH($A76-1,$A$3:$A$252,0))-AE76)*10,1),""))</f>
        <v/>
      </c>
      <c r="AL76" s="10">
        <f>IF(ISNUMBER(AE76),1,0)</f>
        <v/>
      </c>
      <c r="AM76" s="17">
        <f>IF($A76="","",IF(COUNTIF($A$3:$A$252,$A76)&gt;1,"same date twice; ","")&amp;IF(AND(ISNUMBER($B76),OR($B76&lt;0,$B76&gt;300)),"rain out of range; ","")&amp;IF(AND(ISNUMBER($C76),OR($C76&lt;0,$C76&gt;45)),"temp out of range; ","")&amp;IF(AND(ISNUMBER($D76),OR($D76&lt;0,$D76&gt;100)),"RH out of range; ",""))</f>
        <v/>
      </c>
      <c r="AN76" s="17">
        <f>IF($A76="","",IF(AND(ISNUMBER(T76),OR(T76&lt;-30,T76&gt;20)),"WL out of range; ","")&amp;IF(AND(ISNUMBER($E76),T76=""),"no TP/b; ","")&amp;IF(AND(ISNUMBER(U76),ISNUMBER(V76)),IF(V76&lt;U76,"After&lt;Before; ",""),"")&amp;IF(AND($F76="Yes",ISNUMBER($E76),W76=""),"irrigation readings missing; ","")&amp;IF(ISNUMBER(Z76),IF(AND(ABS(Z76)&gt;50,NOT(N($B76)&gt;0)),"WL jump &gt;5 cm; ",""),""))</f>
        <v/>
      </c>
      <c r="AO76" s="17">
        <f>IF($A76="","",IF(AND(ISNUMBER(AE76),OR(AE76&lt;-30,AE76&gt;20)),"WL out of range; ","")&amp;IF(AND(ISNUMBER($J76),AE76=""),"no TP/b; ","")&amp;IF(AND(ISNUMBER(AF76),ISNUMBER(AG76)),IF(AG76&lt;AF76,"After&lt;Before; ",""),"")&amp;IF(AND($K76="Yes",ISNUMBER($J76),AH76=""),"irrigation readings missing; ","")&amp;IF(ISNUMBER(AK76),IF(AND(ABS(AK76)&gt;50,NOT(N($B76)&gt;0)),"WL jump &gt;5 cm; ",""),"")&amp;IF(AND(ISNUMBER(PitanE),ISNUMBER(AB76),$A76&gt;PitanE+2,AB76&lt;PitanE),"re-measure TP/b after Pitan; ",""))</f>
        <v/>
      </c>
    </row>
    <row r="77">
      <c r="A77" s="14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0">
        <f>IF(OR($A77="",NOT(ISNUMBER(TransDate))),"",$A77-TransDate)</f>
        <v/>
      </c>
      <c r="Q77" s="16">
        <f>IF($A77="","",IF(_xlfn.MAXIFS('TP-b'!$B$2:$B$60,'TP-b'!$A$2:$A$60,"FP",'TP-b'!$E$2:$E$60,1,'TP-b'!$B$2:$B$60,"&lt;="&amp;$A77)&gt;0,_xlfn.MAXIFS('TP-b'!$B$2:$B$60,'TP-b'!$A$2:$A$60,"FP",'TP-b'!$E$2:$E$60,1,'TP-b'!$B$2:$B$60,"&lt;="&amp;$A77),IF(_xlfn.MINIFS('TP-b'!$B$2:$B$60,'TP-b'!$A$2:$A$60,"FP",'TP-b'!$E$2:$E$60,1)&gt;0,_xlfn.MINIFS('TP-b'!$B$2:$B$60,'TP-b'!$A$2:$A$60,"FP",'TP-b'!$E$2:$E$60,1),"")))</f>
        <v/>
      </c>
      <c r="R77" s="10">
        <f>IF(Q77="","",AVERAGEIFS('TP-b'!$C$2:$C$60,'TP-b'!$A$2:$A$60,"FP",'TP-b'!$B$2:$B$60,Q77,'TP-b'!$E$2:$E$60,1))</f>
        <v/>
      </c>
      <c r="S77" s="10">
        <f>IF(Q77="","",AVERAGEIFS('TP-b'!$D$2:$D$60,'TP-b'!$A$2:$A$60,"FP",'TP-b'!$B$2:$B$60,Q77,'TP-b'!$E$2:$E$60,1))</f>
        <v/>
      </c>
      <c r="T77" s="10">
        <f>IF(OR($A77="",NOT(ISNUMBER($E77)),R77=""),"",ROUND($E77-R77+S77,1))</f>
        <v/>
      </c>
      <c r="U77" s="10">
        <f>IF(AND($F77="Yes",ISNUMBER($G77),R77&lt;&gt;""),ROUND($G77-R77+S77,1),"")</f>
        <v/>
      </c>
      <c r="V77" s="10">
        <f>IF(AND($F77="Yes",ISNUMBER($H77),R77&lt;&gt;""),ROUND($H77-R77+S77,1),"")</f>
        <v/>
      </c>
      <c r="W77" s="10">
        <f>IF(AND(ISNUMBER($E77),ISNUMBER(U77),ISNUMBER(V77)),ROUND((V77-MAX(U77,0))*10,1),"")</f>
        <v/>
      </c>
      <c r="X77" s="10">
        <f>IF(T77="","",IF(AND($F77="Yes",ISNUMBER(V77)),V77,T77))</f>
        <v/>
      </c>
      <c r="Y77" s="10">
        <f>IF(T77="","",ROUND(SUMIFS($W$3:$W$252,$A$3:$A$252,"&lt;="&amp;$A77),1))</f>
        <v/>
      </c>
      <c r="Z77" s="10">
        <f>IF(OR(T77="",$A77=""),"",IF(ISNUMBER(IFERROR(INDEX($X$3:$X$252,MATCH($A77-1,$A$3:$A$252,0)),"")),ROUND((INDEX($X$3:$X$252,MATCH($A77-1,$A$3:$A$252,0))-T77)*10,1),""))</f>
        <v/>
      </c>
      <c r="AA77" s="10">
        <f>IF(ISNUMBER(T77),1,0)</f>
        <v/>
      </c>
      <c r="AB77" s="16">
        <f>IF($A77="","",IF(_xlfn.MAXIFS('TP-b'!$B$2:$B$60,'TP-b'!$A$2:$A$60,"3F4D+MD",'TP-b'!$E$2:$E$60,1,'TP-b'!$B$2:$B$60,"&lt;="&amp;$A77)&gt;0,_xlfn.MAXIFS('TP-b'!$B$2:$B$60,'TP-b'!$A$2:$A$60,"3F4D+MD",'TP-b'!$E$2:$E$60,1,'TP-b'!$B$2:$B$60,"&lt;="&amp;$A77),IF(_xlfn.MINIFS('TP-b'!$B$2:$B$60,'TP-b'!$A$2:$A$60,"3F4D+MD",'TP-b'!$E$2:$E$60,1)&gt;0,_xlfn.MINIFS('TP-b'!$B$2:$B$60,'TP-b'!$A$2:$A$60,"3F4D+MD",'TP-b'!$E$2:$E$60,1),"")))</f>
        <v/>
      </c>
      <c r="AC77" s="10">
        <f>IF(AB77="","",AVERAGEIFS('TP-b'!$C$2:$C$60,'TP-b'!$A$2:$A$60,"3F4D+MD",'TP-b'!$B$2:$B$60,AB77,'TP-b'!$E$2:$E$60,1))</f>
        <v/>
      </c>
      <c r="AD77" s="10">
        <f>IF(AB77="","",AVERAGEIFS('TP-b'!$D$2:$D$60,'TP-b'!$A$2:$A$60,"3F4D+MD",'TP-b'!$B$2:$B$60,AB77,'TP-b'!$E$2:$E$60,1))</f>
        <v/>
      </c>
      <c r="AE77" s="10">
        <f>IF(OR($A77="",NOT(ISNUMBER($J77)),AC77=""),"",ROUND($J77-AC77+AD77,1))</f>
        <v/>
      </c>
      <c r="AF77" s="10">
        <f>IF(AND($K77="Yes",ISNUMBER($L77),AC77&lt;&gt;""),ROUND($L77-AC77+AD77,1),"")</f>
        <v/>
      </c>
      <c r="AG77" s="10">
        <f>IF(AND($K77="Yes",ISNUMBER($M77),AC77&lt;&gt;""),ROUND($M77-AC77+AD77,1),"")</f>
        <v/>
      </c>
      <c r="AH77" s="10">
        <f>IF(AND(ISNUMBER($J77),ISNUMBER(AF77),ISNUMBER(AG77)),ROUND((AG77-MAX(AF77,0))*10,1),"")</f>
        <v/>
      </c>
      <c r="AI77" s="10">
        <f>IF(AE77="","",IF(AND($K77="Yes",ISNUMBER(AG77)),AG77,AE77))</f>
        <v/>
      </c>
      <c r="AJ77" s="10">
        <f>IF(AE77="","",ROUND(SUMIFS($AH$3:$AH$252,$A$3:$A$252,"&lt;="&amp;$A77),1))</f>
        <v/>
      </c>
      <c r="AK77" s="10">
        <f>IF(OR(AE77="",$A77=""),"",IF(ISNUMBER(IFERROR(INDEX($AI$3:$AI$252,MATCH($A77-1,$A$3:$A$252,0)),"")),ROUND((INDEX($AI$3:$AI$252,MATCH($A77-1,$A$3:$A$252,0))-AE77)*10,1),""))</f>
        <v/>
      </c>
      <c r="AL77" s="10">
        <f>IF(ISNUMBER(AE77),1,0)</f>
        <v/>
      </c>
      <c r="AM77" s="17">
        <f>IF($A77="","",IF(COUNTIF($A$3:$A$252,$A77)&gt;1,"same date twice; ","")&amp;IF(AND(ISNUMBER($B77),OR($B77&lt;0,$B77&gt;300)),"rain out of range; ","")&amp;IF(AND(ISNUMBER($C77),OR($C77&lt;0,$C77&gt;45)),"temp out of range; ","")&amp;IF(AND(ISNUMBER($D77),OR($D77&lt;0,$D77&gt;100)),"RH out of range; ",""))</f>
        <v/>
      </c>
      <c r="AN77" s="17">
        <f>IF($A77="","",IF(AND(ISNUMBER(T77),OR(T77&lt;-30,T77&gt;20)),"WL out of range; ","")&amp;IF(AND(ISNUMBER($E77),T77=""),"no TP/b; ","")&amp;IF(AND(ISNUMBER(U77),ISNUMBER(V77)),IF(V77&lt;U77,"After&lt;Before; ",""),"")&amp;IF(AND($F77="Yes",ISNUMBER($E77),W77=""),"irrigation readings missing; ","")&amp;IF(ISNUMBER(Z77),IF(AND(ABS(Z77)&gt;50,NOT(N($B77)&gt;0)),"WL jump &gt;5 cm; ",""),""))</f>
        <v/>
      </c>
      <c r="AO77" s="17">
        <f>IF($A77="","",IF(AND(ISNUMBER(AE77),OR(AE77&lt;-30,AE77&gt;20)),"WL out of range; ","")&amp;IF(AND(ISNUMBER($J77),AE77=""),"no TP/b; ","")&amp;IF(AND(ISNUMBER(AF77),ISNUMBER(AG77)),IF(AG77&lt;AF77,"After&lt;Before; ",""),"")&amp;IF(AND($K77="Yes",ISNUMBER($J77),AH77=""),"irrigation readings missing; ","")&amp;IF(ISNUMBER(AK77),IF(AND(ABS(AK77)&gt;50,NOT(N($B77)&gt;0)),"WL jump &gt;5 cm; ",""),"")&amp;IF(AND(ISNUMBER(PitanE),ISNUMBER(AB77),$A77&gt;PitanE+2,AB77&lt;PitanE),"re-measure TP/b after Pitan; ",""))</f>
        <v/>
      </c>
    </row>
    <row r="78">
      <c r="A78" s="14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0">
        <f>IF(OR($A78="",NOT(ISNUMBER(TransDate))),"",$A78-TransDate)</f>
        <v/>
      </c>
      <c r="Q78" s="16">
        <f>IF($A78="","",IF(_xlfn.MAXIFS('TP-b'!$B$2:$B$60,'TP-b'!$A$2:$A$60,"FP",'TP-b'!$E$2:$E$60,1,'TP-b'!$B$2:$B$60,"&lt;="&amp;$A78)&gt;0,_xlfn.MAXIFS('TP-b'!$B$2:$B$60,'TP-b'!$A$2:$A$60,"FP",'TP-b'!$E$2:$E$60,1,'TP-b'!$B$2:$B$60,"&lt;="&amp;$A78),IF(_xlfn.MINIFS('TP-b'!$B$2:$B$60,'TP-b'!$A$2:$A$60,"FP",'TP-b'!$E$2:$E$60,1)&gt;0,_xlfn.MINIFS('TP-b'!$B$2:$B$60,'TP-b'!$A$2:$A$60,"FP",'TP-b'!$E$2:$E$60,1),"")))</f>
        <v/>
      </c>
      <c r="R78" s="10">
        <f>IF(Q78="","",AVERAGEIFS('TP-b'!$C$2:$C$60,'TP-b'!$A$2:$A$60,"FP",'TP-b'!$B$2:$B$60,Q78,'TP-b'!$E$2:$E$60,1))</f>
        <v/>
      </c>
      <c r="S78" s="10">
        <f>IF(Q78="","",AVERAGEIFS('TP-b'!$D$2:$D$60,'TP-b'!$A$2:$A$60,"FP",'TP-b'!$B$2:$B$60,Q78,'TP-b'!$E$2:$E$60,1))</f>
        <v/>
      </c>
      <c r="T78" s="10">
        <f>IF(OR($A78="",NOT(ISNUMBER($E78)),R78=""),"",ROUND($E78-R78+S78,1))</f>
        <v/>
      </c>
      <c r="U78" s="10">
        <f>IF(AND($F78="Yes",ISNUMBER($G78),R78&lt;&gt;""),ROUND($G78-R78+S78,1),"")</f>
        <v/>
      </c>
      <c r="V78" s="10">
        <f>IF(AND($F78="Yes",ISNUMBER($H78),R78&lt;&gt;""),ROUND($H78-R78+S78,1),"")</f>
        <v/>
      </c>
      <c r="W78" s="10">
        <f>IF(AND(ISNUMBER($E78),ISNUMBER(U78),ISNUMBER(V78)),ROUND((V78-MAX(U78,0))*10,1),"")</f>
        <v/>
      </c>
      <c r="X78" s="10">
        <f>IF(T78="","",IF(AND($F78="Yes",ISNUMBER(V78)),V78,T78))</f>
        <v/>
      </c>
      <c r="Y78" s="10">
        <f>IF(T78="","",ROUND(SUMIFS($W$3:$W$252,$A$3:$A$252,"&lt;="&amp;$A78),1))</f>
        <v/>
      </c>
      <c r="Z78" s="10">
        <f>IF(OR(T78="",$A78=""),"",IF(ISNUMBER(IFERROR(INDEX($X$3:$X$252,MATCH($A78-1,$A$3:$A$252,0)),"")),ROUND((INDEX($X$3:$X$252,MATCH($A78-1,$A$3:$A$252,0))-T78)*10,1),""))</f>
        <v/>
      </c>
      <c r="AA78" s="10">
        <f>IF(ISNUMBER(T78),1,0)</f>
        <v/>
      </c>
      <c r="AB78" s="16">
        <f>IF($A78="","",IF(_xlfn.MAXIFS('TP-b'!$B$2:$B$60,'TP-b'!$A$2:$A$60,"3F4D+MD",'TP-b'!$E$2:$E$60,1,'TP-b'!$B$2:$B$60,"&lt;="&amp;$A78)&gt;0,_xlfn.MAXIFS('TP-b'!$B$2:$B$60,'TP-b'!$A$2:$A$60,"3F4D+MD",'TP-b'!$E$2:$E$60,1,'TP-b'!$B$2:$B$60,"&lt;="&amp;$A78),IF(_xlfn.MINIFS('TP-b'!$B$2:$B$60,'TP-b'!$A$2:$A$60,"3F4D+MD",'TP-b'!$E$2:$E$60,1)&gt;0,_xlfn.MINIFS('TP-b'!$B$2:$B$60,'TP-b'!$A$2:$A$60,"3F4D+MD",'TP-b'!$E$2:$E$60,1),"")))</f>
        <v/>
      </c>
      <c r="AC78" s="10">
        <f>IF(AB78="","",AVERAGEIFS('TP-b'!$C$2:$C$60,'TP-b'!$A$2:$A$60,"3F4D+MD",'TP-b'!$B$2:$B$60,AB78,'TP-b'!$E$2:$E$60,1))</f>
        <v/>
      </c>
      <c r="AD78" s="10">
        <f>IF(AB78="","",AVERAGEIFS('TP-b'!$D$2:$D$60,'TP-b'!$A$2:$A$60,"3F4D+MD",'TP-b'!$B$2:$B$60,AB78,'TP-b'!$E$2:$E$60,1))</f>
        <v/>
      </c>
      <c r="AE78" s="10">
        <f>IF(OR($A78="",NOT(ISNUMBER($J78)),AC78=""),"",ROUND($J78-AC78+AD78,1))</f>
        <v/>
      </c>
      <c r="AF78" s="10">
        <f>IF(AND($K78="Yes",ISNUMBER($L78),AC78&lt;&gt;""),ROUND($L78-AC78+AD78,1),"")</f>
        <v/>
      </c>
      <c r="AG78" s="10">
        <f>IF(AND($K78="Yes",ISNUMBER($M78),AC78&lt;&gt;""),ROUND($M78-AC78+AD78,1),"")</f>
        <v/>
      </c>
      <c r="AH78" s="10">
        <f>IF(AND(ISNUMBER($J78),ISNUMBER(AF78),ISNUMBER(AG78)),ROUND((AG78-MAX(AF78,0))*10,1),"")</f>
        <v/>
      </c>
      <c r="AI78" s="10">
        <f>IF(AE78="","",IF(AND($K78="Yes",ISNUMBER(AG78)),AG78,AE78))</f>
        <v/>
      </c>
      <c r="AJ78" s="10">
        <f>IF(AE78="","",ROUND(SUMIFS($AH$3:$AH$252,$A$3:$A$252,"&lt;="&amp;$A78),1))</f>
        <v/>
      </c>
      <c r="AK78" s="10">
        <f>IF(OR(AE78="",$A78=""),"",IF(ISNUMBER(IFERROR(INDEX($AI$3:$AI$252,MATCH($A78-1,$A$3:$A$252,0)),"")),ROUND((INDEX($AI$3:$AI$252,MATCH($A78-1,$A$3:$A$252,0))-AE78)*10,1),""))</f>
        <v/>
      </c>
      <c r="AL78" s="10">
        <f>IF(ISNUMBER(AE78),1,0)</f>
        <v/>
      </c>
      <c r="AM78" s="17">
        <f>IF($A78="","",IF(COUNTIF($A$3:$A$252,$A78)&gt;1,"same date twice; ","")&amp;IF(AND(ISNUMBER($B78),OR($B78&lt;0,$B78&gt;300)),"rain out of range; ","")&amp;IF(AND(ISNUMBER($C78),OR($C78&lt;0,$C78&gt;45)),"temp out of range; ","")&amp;IF(AND(ISNUMBER($D78),OR($D78&lt;0,$D78&gt;100)),"RH out of range; ",""))</f>
        <v/>
      </c>
      <c r="AN78" s="17">
        <f>IF($A78="","",IF(AND(ISNUMBER(T78),OR(T78&lt;-30,T78&gt;20)),"WL out of range; ","")&amp;IF(AND(ISNUMBER($E78),T78=""),"no TP/b; ","")&amp;IF(AND(ISNUMBER(U78),ISNUMBER(V78)),IF(V78&lt;U78,"After&lt;Before; ",""),"")&amp;IF(AND($F78="Yes",ISNUMBER($E78),W78=""),"irrigation readings missing; ","")&amp;IF(ISNUMBER(Z78),IF(AND(ABS(Z78)&gt;50,NOT(N($B78)&gt;0)),"WL jump &gt;5 cm; ",""),""))</f>
        <v/>
      </c>
      <c r="AO78" s="17">
        <f>IF($A78="","",IF(AND(ISNUMBER(AE78),OR(AE78&lt;-30,AE78&gt;20)),"WL out of range; ","")&amp;IF(AND(ISNUMBER($J78),AE78=""),"no TP/b; ","")&amp;IF(AND(ISNUMBER(AF78),ISNUMBER(AG78)),IF(AG78&lt;AF78,"After&lt;Before; ",""),"")&amp;IF(AND($K78="Yes",ISNUMBER($J78),AH78=""),"irrigation readings missing; ","")&amp;IF(ISNUMBER(AK78),IF(AND(ABS(AK78)&gt;50,NOT(N($B78)&gt;0)),"WL jump &gt;5 cm; ",""),"")&amp;IF(AND(ISNUMBER(PitanE),ISNUMBER(AB78),$A78&gt;PitanE+2,AB78&lt;PitanE),"re-measure TP/b after Pitan; ",""))</f>
        <v/>
      </c>
    </row>
    <row r="79">
      <c r="A79" s="14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0">
        <f>IF(OR($A79="",NOT(ISNUMBER(TransDate))),"",$A79-TransDate)</f>
        <v/>
      </c>
      <c r="Q79" s="16">
        <f>IF($A79="","",IF(_xlfn.MAXIFS('TP-b'!$B$2:$B$60,'TP-b'!$A$2:$A$60,"FP",'TP-b'!$E$2:$E$60,1,'TP-b'!$B$2:$B$60,"&lt;="&amp;$A79)&gt;0,_xlfn.MAXIFS('TP-b'!$B$2:$B$60,'TP-b'!$A$2:$A$60,"FP",'TP-b'!$E$2:$E$60,1,'TP-b'!$B$2:$B$60,"&lt;="&amp;$A79),IF(_xlfn.MINIFS('TP-b'!$B$2:$B$60,'TP-b'!$A$2:$A$60,"FP",'TP-b'!$E$2:$E$60,1)&gt;0,_xlfn.MINIFS('TP-b'!$B$2:$B$60,'TP-b'!$A$2:$A$60,"FP",'TP-b'!$E$2:$E$60,1),"")))</f>
        <v/>
      </c>
      <c r="R79" s="10">
        <f>IF(Q79="","",AVERAGEIFS('TP-b'!$C$2:$C$60,'TP-b'!$A$2:$A$60,"FP",'TP-b'!$B$2:$B$60,Q79,'TP-b'!$E$2:$E$60,1))</f>
        <v/>
      </c>
      <c r="S79" s="10">
        <f>IF(Q79="","",AVERAGEIFS('TP-b'!$D$2:$D$60,'TP-b'!$A$2:$A$60,"FP",'TP-b'!$B$2:$B$60,Q79,'TP-b'!$E$2:$E$60,1))</f>
        <v/>
      </c>
      <c r="T79" s="10">
        <f>IF(OR($A79="",NOT(ISNUMBER($E79)),R79=""),"",ROUND($E79-R79+S79,1))</f>
        <v/>
      </c>
      <c r="U79" s="10">
        <f>IF(AND($F79="Yes",ISNUMBER($G79),R79&lt;&gt;""),ROUND($G79-R79+S79,1),"")</f>
        <v/>
      </c>
      <c r="V79" s="10">
        <f>IF(AND($F79="Yes",ISNUMBER($H79),R79&lt;&gt;""),ROUND($H79-R79+S79,1),"")</f>
        <v/>
      </c>
      <c r="W79" s="10">
        <f>IF(AND(ISNUMBER($E79),ISNUMBER(U79),ISNUMBER(V79)),ROUND((V79-MAX(U79,0))*10,1),"")</f>
        <v/>
      </c>
      <c r="X79" s="10">
        <f>IF(T79="","",IF(AND($F79="Yes",ISNUMBER(V79)),V79,T79))</f>
        <v/>
      </c>
      <c r="Y79" s="10">
        <f>IF(T79="","",ROUND(SUMIFS($W$3:$W$252,$A$3:$A$252,"&lt;="&amp;$A79),1))</f>
        <v/>
      </c>
      <c r="Z79" s="10">
        <f>IF(OR(T79="",$A79=""),"",IF(ISNUMBER(IFERROR(INDEX($X$3:$X$252,MATCH($A79-1,$A$3:$A$252,0)),"")),ROUND((INDEX($X$3:$X$252,MATCH($A79-1,$A$3:$A$252,0))-T79)*10,1),""))</f>
        <v/>
      </c>
      <c r="AA79" s="10">
        <f>IF(ISNUMBER(T79),1,0)</f>
        <v/>
      </c>
      <c r="AB79" s="16">
        <f>IF($A79="","",IF(_xlfn.MAXIFS('TP-b'!$B$2:$B$60,'TP-b'!$A$2:$A$60,"3F4D+MD",'TP-b'!$E$2:$E$60,1,'TP-b'!$B$2:$B$60,"&lt;="&amp;$A79)&gt;0,_xlfn.MAXIFS('TP-b'!$B$2:$B$60,'TP-b'!$A$2:$A$60,"3F4D+MD",'TP-b'!$E$2:$E$60,1,'TP-b'!$B$2:$B$60,"&lt;="&amp;$A79),IF(_xlfn.MINIFS('TP-b'!$B$2:$B$60,'TP-b'!$A$2:$A$60,"3F4D+MD",'TP-b'!$E$2:$E$60,1)&gt;0,_xlfn.MINIFS('TP-b'!$B$2:$B$60,'TP-b'!$A$2:$A$60,"3F4D+MD",'TP-b'!$E$2:$E$60,1),"")))</f>
        <v/>
      </c>
      <c r="AC79" s="10">
        <f>IF(AB79="","",AVERAGEIFS('TP-b'!$C$2:$C$60,'TP-b'!$A$2:$A$60,"3F4D+MD",'TP-b'!$B$2:$B$60,AB79,'TP-b'!$E$2:$E$60,1))</f>
        <v/>
      </c>
      <c r="AD79" s="10">
        <f>IF(AB79="","",AVERAGEIFS('TP-b'!$D$2:$D$60,'TP-b'!$A$2:$A$60,"3F4D+MD",'TP-b'!$B$2:$B$60,AB79,'TP-b'!$E$2:$E$60,1))</f>
        <v/>
      </c>
      <c r="AE79" s="10">
        <f>IF(OR($A79="",NOT(ISNUMBER($J79)),AC79=""),"",ROUND($J79-AC79+AD79,1))</f>
        <v/>
      </c>
      <c r="AF79" s="10">
        <f>IF(AND($K79="Yes",ISNUMBER($L79),AC79&lt;&gt;""),ROUND($L79-AC79+AD79,1),"")</f>
        <v/>
      </c>
      <c r="AG79" s="10">
        <f>IF(AND($K79="Yes",ISNUMBER($M79),AC79&lt;&gt;""),ROUND($M79-AC79+AD79,1),"")</f>
        <v/>
      </c>
      <c r="AH79" s="10">
        <f>IF(AND(ISNUMBER($J79),ISNUMBER(AF79),ISNUMBER(AG79)),ROUND((AG79-MAX(AF79,0))*10,1),"")</f>
        <v/>
      </c>
      <c r="AI79" s="10">
        <f>IF(AE79="","",IF(AND($K79="Yes",ISNUMBER(AG79)),AG79,AE79))</f>
        <v/>
      </c>
      <c r="AJ79" s="10">
        <f>IF(AE79="","",ROUND(SUMIFS($AH$3:$AH$252,$A$3:$A$252,"&lt;="&amp;$A79),1))</f>
        <v/>
      </c>
      <c r="AK79" s="10">
        <f>IF(OR(AE79="",$A79=""),"",IF(ISNUMBER(IFERROR(INDEX($AI$3:$AI$252,MATCH($A79-1,$A$3:$A$252,0)),"")),ROUND((INDEX($AI$3:$AI$252,MATCH($A79-1,$A$3:$A$252,0))-AE79)*10,1),""))</f>
        <v/>
      </c>
      <c r="AL79" s="10">
        <f>IF(ISNUMBER(AE79),1,0)</f>
        <v/>
      </c>
      <c r="AM79" s="17">
        <f>IF($A79="","",IF(COUNTIF($A$3:$A$252,$A79)&gt;1,"same date twice; ","")&amp;IF(AND(ISNUMBER($B79),OR($B79&lt;0,$B79&gt;300)),"rain out of range; ","")&amp;IF(AND(ISNUMBER($C79),OR($C79&lt;0,$C79&gt;45)),"temp out of range; ","")&amp;IF(AND(ISNUMBER($D79),OR($D79&lt;0,$D79&gt;100)),"RH out of range; ",""))</f>
        <v/>
      </c>
      <c r="AN79" s="17">
        <f>IF($A79="","",IF(AND(ISNUMBER(T79),OR(T79&lt;-30,T79&gt;20)),"WL out of range; ","")&amp;IF(AND(ISNUMBER($E79),T79=""),"no TP/b; ","")&amp;IF(AND(ISNUMBER(U79),ISNUMBER(V79)),IF(V79&lt;U79,"After&lt;Before; ",""),"")&amp;IF(AND($F79="Yes",ISNUMBER($E79),W79=""),"irrigation readings missing; ","")&amp;IF(ISNUMBER(Z79),IF(AND(ABS(Z79)&gt;50,NOT(N($B79)&gt;0)),"WL jump &gt;5 cm; ",""),""))</f>
        <v/>
      </c>
      <c r="AO79" s="17">
        <f>IF($A79="","",IF(AND(ISNUMBER(AE79),OR(AE79&lt;-30,AE79&gt;20)),"WL out of range; ","")&amp;IF(AND(ISNUMBER($J79),AE79=""),"no TP/b; ","")&amp;IF(AND(ISNUMBER(AF79),ISNUMBER(AG79)),IF(AG79&lt;AF79,"After&lt;Before; ",""),"")&amp;IF(AND($K79="Yes",ISNUMBER($J79),AH79=""),"irrigation readings missing; ","")&amp;IF(ISNUMBER(AK79),IF(AND(ABS(AK79)&gt;50,NOT(N($B79)&gt;0)),"WL jump &gt;5 cm; ",""),"")&amp;IF(AND(ISNUMBER(PitanE),ISNUMBER(AB79),$A79&gt;PitanE+2,AB79&lt;PitanE),"re-measure TP/b after Pitan; ",""))</f>
        <v/>
      </c>
    </row>
    <row r="80">
      <c r="A80" s="14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0">
        <f>IF(OR($A80="",NOT(ISNUMBER(TransDate))),"",$A80-TransDate)</f>
        <v/>
      </c>
      <c r="Q80" s="16">
        <f>IF($A80="","",IF(_xlfn.MAXIFS('TP-b'!$B$2:$B$60,'TP-b'!$A$2:$A$60,"FP",'TP-b'!$E$2:$E$60,1,'TP-b'!$B$2:$B$60,"&lt;="&amp;$A80)&gt;0,_xlfn.MAXIFS('TP-b'!$B$2:$B$60,'TP-b'!$A$2:$A$60,"FP",'TP-b'!$E$2:$E$60,1,'TP-b'!$B$2:$B$60,"&lt;="&amp;$A80),IF(_xlfn.MINIFS('TP-b'!$B$2:$B$60,'TP-b'!$A$2:$A$60,"FP",'TP-b'!$E$2:$E$60,1)&gt;0,_xlfn.MINIFS('TP-b'!$B$2:$B$60,'TP-b'!$A$2:$A$60,"FP",'TP-b'!$E$2:$E$60,1),"")))</f>
        <v/>
      </c>
      <c r="R80" s="10">
        <f>IF(Q80="","",AVERAGEIFS('TP-b'!$C$2:$C$60,'TP-b'!$A$2:$A$60,"FP",'TP-b'!$B$2:$B$60,Q80,'TP-b'!$E$2:$E$60,1))</f>
        <v/>
      </c>
      <c r="S80" s="10">
        <f>IF(Q80="","",AVERAGEIFS('TP-b'!$D$2:$D$60,'TP-b'!$A$2:$A$60,"FP",'TP-b'!$B$2:$B$60,Q80,'TP-b'!$E$2:$E$60,1))</f>
        <v/>
      </c>
      <c r="T80" s="10">
        <f>IF(OR($A80="",NOT(ISNUMBER($E80)),R80=""),"",ROUND($E80-R80+S80,1))</f>
        <v/>
      </c>
      <c r="U80" s="10">
        <f>IF(AND($F80="Yes",ISNUMBER($G80),R80&lt;&gt;""),ROUND($G80-R80+S80,1),"")</f>
        <v/>
      </c>
      <c r="V80" s="10">
        <f>IF(AND($F80="Yes",ISNUMBER($H80),R80&lt;&gt;""),ROUND($H80-R80+S80,1),"")</f>
        <v/>
      </c>
      <c r="W80" s="10">
        <f>IF(AND(ISNUMBER($E80),ISNUMBER(U80),ISNUMBER(V80)),ROUND((V80-MAX(U80,0))*10,1),"")</f>
        <v/>
      </c>
      <c r="X80" s="10">
        <f>IF(T80="","",IF(AND($F80="Yes",ISNUMBER(V80)),V80,T80))</f>
        <v/>
      </c>
      <c r="Y80" s="10">
        <f>IF(T80="","",ROUND(SUMIFS($W$3:$W$252,$A$3:$A$252,"&lt;="&amp;$A80),1))</f>
        <v/>
      </c>
      <c r="Z80" s="10">
        <f>IF(OR(T80="",$A80=""),"",IF(ISNUMBER(IFERROR(INDEX($X$3:$X$252,MATCH($A80-1,$A$3:$A$252,0)),"")),ROUND((INDEX($X$3:$X$252,MATCH($A80-1,$A$3:$A$252,0))-T80)*10,1),""))</f>
        <v/>
      </c>
      <c r="AA80" s="10">
        <f>IF(ISNUMBER(T80),1,0)</f>
        <v/>
      </c>
      <c r="AB80" s="16">
        <f>IF($A80="","",IF(_xlfn.MAXIFS('TP-b'!$B$2:$B$60,'TP-b'!$A$2:$A$60,"3F4D+MD",'TP-b'!$E$2:$E$60,1,'TP-b'!$B$2:$B$60,"&lt;="&amp;$A80)&gt;0,_xlfn.MAXIFS('TP-b'!$B$2:$B$60,'TP-b'!$A$2:$A$60,"3F4D+MD",'TP-b'!$E$2:$E$60,1,'TP-b'!$B$2:$B$60,"&lt;="&amp;$A80),IF(_xlfn.MINIFS('TP-b'!$B$2:$B$60,'TP-b'!$A$2:$A$60,"3F4D+MD",'TP-b'!$E$2:$E$60,1)&gt;0,_xlfn.MINIFS('TP-b'!$B$2:$B$60,'TP-b'!$A$2:$A$60,"3F4D+MD",'TP-b'!$E$2:$E$60,1),"")))</f>
        <v/>
      </c>
      <c r="AC80" s="10">
        <f>IF(AB80="","",AVERAGEIFS('TP-b'!$C$2:$C$60,'TP-b'!$A$2:$A$60,"3F4D+MD",'TP-b'!$B$2:$B$60,AB80,'TP-b'!$E$2:$E$60,1))</f>
        <v/>
      </c>
      <c r="AD80" s="10">
        <f>IF(AB80="","",AVERAGEIFS('TP-b'!$D$2:$D$60,'TP-b'!$A$2:$A$60,"3F4D+MD",'TP-b'!$B$2:$B$60,AB80,'TP-b'!$E$2:$E$60,1))</f>
        <v/>
      </c>
      <c r="AE80" s="10">
        <f>IF(OR($A80="",NOT(ISNUMBER($J80)),AC80=""),"",ROUND($J80-AC80+AD80,1))</f>
        <v/>
      </c>
      <c r="AF80" s="10">
        <f>IF(AND($K80="Yes",ISNUMBER($L80),AC80&lt;&gt;""),ROUND($L80-AC80+AD80,1),"")</f>
        <v/>
      </c>
      <c r="AG80" s="10">
        <f>IF(AND($K80="Yes",ISNUMBER($M80),AC80&lt;&gt;""),ROUND($M80-AC80+AD80,1),"")</f>
        <v/>
      </c>
      <c r="AH80" s="10">
        <f>IF(AND(ISNUMBER($J80),ISNUMBER(AF80),ISNUMBER(AG80)),ROUND((AG80-MAX(AF80,0))*10,1),"")</f>
        <v/>
      </c>
      <c r="AI80" s="10">
        <f>IF(AE80="","",IF(AND($K80="Yes",ISNUMBER(AG80)),AG80,AE80))</f>
        <v/>
      </c>
      <c r="AJ80" s="10">
        <f>IF(AE80="","",ROUND(SUMIFS($AH$3:$AH$252,$A$3:$A$252,"&lt;="&amp;$A80),1))</f>
        <v/>
      </c>
      <c r="AK80" s="10">
        <f>IF(OR(AE80="",$A80=""),"",IF(ISNUMBER(IFERROR(INDEX($AI$3:$AI$252,MATCH($A80-1,$A$3:$A$252,0)),"")),ROUND((INDEX($AI$3:$AI$252,MATCH($A80-1,$A$3:$A$252,0))-AE80)*10,1),""))</f>
        <v/>
      </c>
      <c r="AL80" s="10">
        <f>IF(ISNUMBER(AE80),1,0)</f>
        <v/>
      </c>
      <c r="AM80" s="17">
        <f>IF($A80="","",IF(COUNTIF($A$3:$A$252,$A80)&gt;1,"same date twice; ","")&amp;IF(AND(ISNUMBER($B80),OR($B80&lt;0,$B80&gt;300)),"rain out of range; ","")&amp;IF(AND(ISNUMBER($C80),OR($C80&lt;0,$C80&gt;45)),"temp out of range; ","")&amp;IF(AND(ISNUMBER($D80),OR($D80&lt;0,$D80&gt;100)),"RH out of range; ",""))</f>
        <v/>
      </c>
      <c r="AN80" s="17">
        <f>IF($A80="","",IF(AND(ISNUMBER(T80),OR(T80&lt;-30,T80&gt;20)),"WL out of range; ","")&amp;IF(AND(ISNUMBER($E80),T80=""),"no TP/b; ","")&amp;IF(AND(ISNUMBER(U80),ISNUMBER(V80)),IF(V80&lt;U80,"After&lt;Before; ",""),"")&amp;IF(AND($F80="Yes",ISNUMBER($E80),W80=""),"irrigation readings missing; ","")&amp;IF(ISNUMBER(Z80),IF(AND(ABS(Z80)&gt;50,NOT(N($B80)&gt;0)),"WL jump &gt;5 cm; ",""),""))</f>
        <v/>
      </c>
      <c r="AO80" s="17">
        <f>IF($A80="","",IF(AND(ISNUMBER(AE80),OR(AE80&lt;-30,AE80&gt;20)),"WL out of range; ","")&amp;IF(AND(ISNUMBER($J80),AE80=""),"no TP/b; ","")&amp;IF(AND(ISNUMBER(AF80),ISNUMBER(AG80)),IF(AG80&lt;AF80,"After&lt;Before; ",""),"")&amp;IF(AND($K80="Yes",ISNUMBER($J80),AH80=""),"irrigation readings missing; ","")&amp;IF(ISNUMBER(AK80),IF(AND(ABS(AK80)&gt;50,NOT(N($B80)&gt;0)),"WL jump &gt;5 cm; ",""),"")&amp;IF(AND(ISNUMBER(PitanE),ISNUMBER(AB80),$A80&gt;PitanE+2,AB80&lt;PitanE),"re-measure TP/b after Pitan; ",""))</f>
        <v/>
      </c>
    </row>
    <row r="81">
      <c r="A81" s="14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0">
        <f>IF(OR($A81="",NOT(ISNUMBER(TransDate))),"",$A81-TransDate)</f>
        <v/>
      </c>
      <c r="Q81" s="16">
        <f>IF($A81="","",IF(_xlfn.MAXIFS('TP-b'!$B$2:$B$60,'TP-b'!$A$2:$A$60,"FP",'TP-b'!$E$2:$E$60,1,'TP-b'!$B$2:$B$60,"&lt;="&amp;$A81)&gt;0,_xlfn.MAXIFS('TP-b'!$B$2:$B$60,'TP-b'!$A$2:$A$60,"FP",'TP-b'!$E$2:$E$60,1,'TP-b'!$B$2:$B$60,"&lt;="&amp;$A81),IF(_xlfn.MINIFS('TP-b'!$B$2:$B$60,'TP-b'!$A$2:$A$60,"FP",'TP-b'!$E$2:$E$60,1)&gt;0,_xlfn.MINIFS('TP-b'!$B$2:$B$60,'TP-b'!$A$2:$A$60,"FP",'TP-b'!$E$2:$E$60,1),"")))</f>
        <v/>
      </c>
      <c r="R81" s="10">
        <f>IF(Q81="","",AVERAGEIFS('TP-b'!$C$2:$C$60,'TP-b'!$A$2:$A$60,"FP",'TP-b'!$B$2:$B$60,Q81,'TP-b'!$E$2:$E$60,1))</f>
        <v/>
      </c>
      <c r="S81" s="10">
        <f>IF(Q81="","",AVERAGEIFS('TP-b'!$D$2:$D$60,'TP-b'!$A$2:$A$60,"FP",'TP-b'!$B$2:$B$60,Q81,'TP-b'!$E$2:$E$60,1))</f>
        <v/>
      </c>
      <c r="T81" s="10">
        <f>IF(OR($A81="",NOT(ISNUMBER($E81)),R81=""),"",ROUND($E81-R81+S81,1))</f>
        <v/>
      </c>
      <c r="U81" s="10">
        <f>IF(AND($F81="Yes",ISNUMBER($G81),R81&lt;&gt;""),ROUND($G81-R81+S81,1),"")</f>
        <v/>
      </c>
      <c r="V81" s="10">
        <f>IF(AND($F81="Yes",ISNUMBER($H81),R81&lt;&gt;""),ROUND($H81-R81+S81,1),"")</f>
        <v/>
      </c>
      <c r="W81" s="10">
        <f>IF(AND(ISNUMBER($E81),ISNUMBER(U81),ISNUMBER(V81)),ROUND((V81-MAX(U81,0))*10,1),"")</f>
        <v/>
      </c>
      <c r="X81" s="10">
        <f>IF(T81="","",IF(AND($F81="Yes",ISNUMBER(V81)),V81,T81))</f>
        <v/>
      </c>
      <c r="Y81" s="10">
        <f>IF(T81="","",ROUND(SUMIFS($W$3:$W$252,$A$3:$A$252,"&lt;="&amp;$A81),1))</f>
        <v/>
      </c>
      <c r="Z81" s="10">
        <f>IF(OR(T81="",$A81=""),"",IF(ISNUMBER(IFERROR(INDEX($X$3:$X$252,MATCH($A81-1,$A$3:$A$252,0)),"")),ROUND((INDEX($X$3:$X$252,MATCH($A81-1,$A$3:$A$252,0))-T81)*10,1),""))</f>
        <v/>
      </c>
      <c r="AA81" s="10">
        <f>IF(ISNUMBER(T81),1,0)</f>
        <v/>
      </c>
      <c r="AB81" s="16">
        <f>IF($A81="","",IF(_xlfn.MAXIFS('TP-b'!$B$2:$B$60,'TP-b'!$A$2:$A$60,"3F4D+MD",'TP-b'!$E$2:$E$60,1,'TP-b'!$B$2:$B$60,"&lt;="&amp;$A81)&gt;0,_xlfn.MAXIFS('TP-b'!$B$2:$B$60,'TP-b'!$A$2:$A$60,"3F4D+MD",'TP-b'!$E$2:$E$60,1,'TP-b'!$B$2:$B$60,"&lt;="&amp;$A81),IF(_xlfn.MINIFS('TP-b'!$B$2:$B$60,'TP-b'!$A$2:$A$60,"3F4D+MD",'TP-b'!$E$2:$E$60,1)&gt;0,_xlfn.MINIFS('TP-b'!$B$2:$B$60,'TP-b'!$A$2:$A$60,"3F4D+MD",'TP-b'!$E$2:$E$60,1),"")))</f>
        <v/>
      </c>
      <c r="AC81" s="10">
        <f>IF(AB81="","",AVERAGEIFS('TP-b'!$C$2:$C$60,'TP-b'!$A$2:$A$60,"3F4D+MD",'TP-b'!$B$2:$B$60,AB81,'TP-b'!$E$2:$E$60,1))</f>
        <v/>
      </c>
      <c r="AD81" s="10">
        <f>IF(AB81="","",AVERAGEIFS('TP-b'!$D$2:$D$60,'TP-b'!$A$2:$A$60,"3F4D+MD",'TP-b'!$B$2:$B$60,AB81,'TP-b'!$E$2:$E$60,1))</f>
        <v/>
      </c>
      <c r="AE81" s="10">
        <f>IF(OR($A81="",NOT(ISNUMBER($J81)),AC81=""),"",ROUND($J81-AC81+AD81,1))</f>
        <v/>
      </c>
      <c r="AF81" s="10">
        <f>IF(AND($K81="Yes",ISNUMBER($L81),AC81&lt;&gt;""),ROUND($L81-AC81+AD81,1),"")</f>
        <v/>
      </c>
      <c r="AG81" s="10">
        <f>IF(AND($K81="Yes",ISNUMBER($M81),AC81&lt;&gt;""),ROUND($M81-AC81+AD81,1),"")</f>
        <v/>
      </c>
      <c r="AH81" s="10">
        <f>IF(AND(ISNUMBER($J81),ISNUMBER(AF81),ISNUMBER(AG81)),ROUND((AG81-MAX(AF81,0))*10,1),"")</f>
        <v/>
      </c>
      <c r="AI81" s="10">
        <f>IF(AE81="","",IF(AND($K81="Yes",ISNUMBER(AG81)),AG81,AE81))</f>
        <v/>
      </c>
      <c r="AJ81" s="10">
        <f>IF(AE81="","",ROUND(SUMIFS($AH$3:$AH$252,$A$3:$A$252,"&lt;="&amp;$A81),1))</f>
        <v/>
      </c>
      <c r="AK81" s="10">
        <f>IF(OR(AE81="",$A81=""),"",IF(ISNUMBER(IFERROR(INDEX($AI$3:$AI$252,MATCH($A81-1,$A$3:$A$252,0)),"")),ROUND((INDEX($AI$3:$AI$252,MATCH($A81-1,$A$3:$A$252,0))-AE81)*10,1),""))</f>
        <v/>
      </c>
      <c r="AL81" s="10">
        <f>IF(ISNUMBER(AE81),1,0)</f>
        <v/>
      </c>
      <c r="AM81" s="17">
        <f>IF($A81="","",IF(COUNTIF($A$3:$A$252,$A81)&gt;1,"same date twice; ","")&amp;IF(AND(ISNUMBER($B81),OR($B81&lt;0,$B81&gt;300)),"rain out of range; ","")&amp;IF(AND(ISNUMBER($C81),OR($C81&lt;0,$C81&gt;45)),"temp out of range; ","")&amp;IF(AND(ISNUMBER($D81),OR($D81&lt;0,$D81&gt;100)),"RH out of range; ",""))</f>
        <v/>
      </c>
      <c r="AN81" s="17">
        <f>IF($A81="","",IF(AND(ISNUMBER(T81),OR(T81&lt;-30,T81&gt;20)),"WL out of range; ","")&amp;IF(AND(ISNUMBER($E81),T81=""),"no TP/b; ","")&amp;IF(AND(ISNUMBER(U81),ISNUMBER(V81)),IF(V81&lt;U81,"After&lt;Before; ",""),"")&amp;IF(AND($F81="Yes",ISNUMBER($E81),W81=""),"irrigation readings missing; ","")&amp;IF(ISNUMBER(Z81),IF(AND(ABS(Z81)&gt;50,NOT(N($B81)&gt;0)),"WL jump &gt;5 cm; ",""),""))</f>
        <v/>
      </c>
      <c r="AO81" s="17">
        <f>IF($A81="","",IF(AND(ISNUMBER(AE81),OR(AE81&lt;-30,AE81&gt;20)),"WL out of range; ","")&amp;IF(AND(ISNUMBER($J81),AE81=""),"no TP/b; ","")&amp;IF(AND(ISNUMBER(AF81),ISNUMBER(AG81)),IF(AG81&lt;AF81,"After&lt;Before; ",""),"")&amp;IF(AND($K81="Yes",ISNUMBER($J81),AH81=""),"irrigation readings missing; ","")&amp;IF(ISNUMBER(AK81),IF(AND(ABS(AK81)&gt;50,NOT(N($B81)&gt;0)),"WL jump &gt;5 cm; ",""),"")&amp;IF(AND(ISNUMBER(PitanE),ISNUMBER(AB81),$A81&gt;PitanE+2,AB81&lt;PitanE),"re-measure TP/b after Pitan; ",""))</f>
        <v/>
      </c>
    </row>
    <row r="82">
      <c r="A82" s="14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0">
        <f>IF(OR($A82="",NOT(ISNUMBER(TransDate))),"",$A82-TransDate)</f>
        <v/>
      </c>
      <c r="Q82" s="16">
        <f>IF($A82="","",IF(_xlfn.MAXIFS('TP-b'!$B$2:$B$60,'TP-b'!$A$2:$A$60,"FP",'TP-b'!$E$2:$E$60,1,'TP-b'!$B$2:$B$60,"&lt;="&amp;$A82)&gt;0,_xlfn.MAXIFS('TP-b'!$B$2:$B$60,'TP-b'!$A$2:$A$60,"FP",'TP-b'!$E$2:$E$60,1,'TP-b'!$B$2:$B$60,"&lt;="&amp;$A82),IF(_xlfn.MINIFS('TP-b'!$B$2:$B$60,'TP-b'!$A$2:$A$60,"FP",'TP-b'!$E$2:$E$60,1)&gt;0,_xlfn.MINIFS('TP-b'!$B$2:$B$60,'TP-b'!$A$2:$A$60,"FP",'TP-b'!$E$2:$E$60,1),"")))</f>
        <v/>
      </c>
      <c r="R82" s="10">
        <f>IF(Q82="","",AVERAGEIFS('TP-b'!$C$2:$C$60,'TP-b'!$A$2:$A$60,"FP",'TP-b'!$B$2:$B$60,Q82,'TP-b'!$E$2:$E$60,1))</f>
        <v/>
      </c>
      <c r="S82" s="10">
        <f>IF(Q82="","",AVERAGEIFS('TP-b'!$D$2:$D$60,'TP-b'!$A$2:$A$60,"FP",'TP-b'!$B$2:$B$60,Q82,'TP-b'!$E$2:$E$60,1))</f>
        <v/>
      </c>
      <c r="T82" s="10">
        <f>IF(OR($A82="",NOT(ISNUMBER($E82)),R82=""),"",ROUND($E82-R82+S82,1))</f>
        <v/>
      </c>
      <c r="U82" s="10">
        <f>IF(AND($F82="Yes",ISNUMBER($G82),R82&lt;&gt;""),ROUND($G82-R82+S82,1),"")</f>
        <v/>
      </c>
      <c r="V82" s="10">
        <f>IF(AND($F82="Yes",ISNUMBER($H82),R82&lt;&gt;""),ROUND($H82-R82+S82,1),"")</f>
        <v/>
      </c>
      <c r="W82" s="10">
        <f>IF(AND(ISNUMBER($E82),ISNUMBER(U82),ISNUMBER(V82)),ROUND((V82-MAX(U82,0))*10,1),"")</f>
        <v/>
      </c>
      <c r="X82" s="10">
        <f>IF(T82="","",IF(AND($F82="Yes",ISNUMBER(V82)),V82,T82))</f>
        <v/>
      </c>
      <c r="Y82" s="10">
        <f>IF(T82="","",ROUND(SUMIFS($W$3:$W$252,$A$3:$A$252,"&lt;="&amp;$A82),1))</f>
        <v/>
      </c>
      <c r="Z82" s="10">
        <f>IF(OR(T82="",$A82=""),"",IF(ISNUMBER(IFERROR(INDEX($X$3:$X$252,MATCH($A82-1,$A$3:$A$252,0)),"")),ROUND((INDEX($X$3:$X$252,MATCH($A82-1,$A$3:$A$252,0))-T82)*10,1),""))</f>
        <v/>
      </c>
      <c r="AA82" s="10">
        <f>IF(ISNUMBER(T82),1,0)</f>
        <v/>
      </c>
      <c r="AB82" s="16">
        <f>IF($A82="","",IF(_xlfn.MAXIFS('TP-b'!$B$2:$B$60,'TP-b'!$A$2:$A$60,"3F4D+MD",'TP-b'!$E$2:$E$60,1,'TP-b'!$B$2:$B$60,"&lt;="&amp;$A82)&gt;0,_xlfn.MAXIFS('TP-b'!$B$2:$B$60,'TP-b'!$A$2:$A$60,"3F4D+MD",'TP-b'!$E$2:$E$60,1,'TP-b'!$B$2:$B$60,"&lt;="&amp;$A82),IF(_xlfn.MINIFS('TP-b'!$B$2:$B$60,'TP-b'!$A$2:$A$60,"3F4D+MD",'TP-b'!$E$2:$E$60,1)&gt;0,_xlfn.MINIFS('TP-b'!$B$2:$B$60,'TP-b'!$A$2:$A$60,"3F4D+MD",'TP-b'!$E$2:$E$60,1),"")))</f>
        <v/>
      </c>
      <c r="AC82" s="10">
        <f>IF(AB82="","",AVERAGEIFS('TP-b'!$C$2:$C$60,'TP-b'!$A$2:$A$60,"3F4D+MD",'TP-b'!$B$2:$B$60,AB82,'TP-b'!$E$2:$E$60,1))</f>
        <v/>
      </c>
      <c r="AD82" s="10">
        <f>IF(AB82="","",AVERAGEIFS('TP-b'!$D$2:$D$60,'TP-b'!$A$2:$A$60,"3F4D+MD",'TP-b'!$B$2:$B$60,AB82,'TP-b'!$E$2:$E$60,1))</f>
        <v/>
      </c>
      <c r="AE82" s="10">
        <f>IF(OR($A82="",NOT(ISNUMBER($J82)),AC82=""),"",ROUND($J82-AC82+AD82,1))</f>
        <v/>
      </c>
      <c r="AF82" s="10">
        <f>IF(AND($K82="Yes",ISNUMBER($L82),AC82&lt;&gt;""),ROUND($L82-AC82+AD82,1),"")</f>
        <v/>
      </c>
      <c r="AG82" s="10">
        <f>IF(AND($K82="Yes",ISNUMBER($M82),AC82&lt;&gt;""),ROUND($M82-AC82+AD82,1),"")</f>
        <v/>
      </c>
      <c r="AH82" s="10">
        <f>IF(AND(ISNUMBER($J82),ISNUMBER(AF82),ISNUMBER(AG82)),ROUND((AG82-MAX(AF82,0))*10,1),"")</f>
        <v/>
      </c>
      <c r="AI82" s="10">
        <f>IF(AE82="","",IF(AND($K82="Yes",ISNUMBER(AG82)),AG82,AE82))</f>
        <v/>
      </c>
      <c r="AJ82" s="10">
        <f>IF(AE82="","",ROUND(SUMIFS($AH$3:$AH$252,$A$3:$A$252,"&lt;="&amp;$A82),1))</f>
        <v/>
      </c>
      <c r="AK82" s="10">
        <f>IF(OR(AE82="",$A82=""),"",IF(ISNUMBER(IFERROR(INDEX($AI$3:$AI$252,MATCH($A82-1,$A$3:$A$252,0)),"")),ROUND((INDEX($AI$3:$AI$252,MATCH($A82-1,$A$3:$A$252,0))-AE82)*10,1),""))</f>
        <v/>
      </c>
      <c r="AL82" s="10">
        <f>IF(ISNUMBER(AE82),1,0)</f>
        <v/>
      </c>
      <c r="AM82" s="17">
        <f>IF($A82="","",IF(COUNTIF($A$3:$A$252,$A82)&gt;1,"same date twice; ","")&amp;IF(AND(ISNUMBER($B82),OR($B82&lt;0,$B82&gt;300)),"rain out of range; ","")&amp;IF(AND(ISNUMBER($C82),OR($C82&lt;0,$C82&gt;45)),"temp out of range; ","")&amp;IF(AND(ISNUMBER($D82),OR($D82&lt;0,$D82&gt;100)),"RH out of range; ",""))</f>
        <v/>
      </c>
      <c r="AN82" s="17">
        <f>IF($A82="","",IF(AND(ISNUMBER(T82),OR(T82&lt;-30,T82&gt;20)),"WL out of range; ","")&amp;IF(AND(ISNUMBER($E82),T82=""),"no TP/b; ","")&amp;IF(AND(ISNUMBER(U82),ISNUMBER(V82)),IF(V82&lt;U82,"After&lt;Before; ",""),"")&amp;IF(AND($F82="Yes",ISNUMBER($E82),W82=""),"irrigation readings missing; ","")&amp;IF(ISNUMBER(Z82),IF(AND(ABS(Z82)&gt;50,NOT(N($B82)&gt;0)),"WL jump &gt;5 cm; ",""),""))</f>
        <v/>
      </c>
      <c r="AO82" s="17">
        <f>IF($A82="","",IF(AND(ISNUMBER(AE82),OR(AE82&lt;-30,AE82&gt;20)),"WL out of range; ","")&amp;IF(AND(ISNUMBER($J82),AE82=""),"no TP/b; ","")&amp;IF(AND(ISNUMBER(AF82),ISNUMBER(AG82)),IF(AG82&lt;AF82,"After&lt;Before; ",""),"")&amp;IF(AND($K82="Yes",ISNUMBER($J82),AH82=""),"irrigation readings missing; ","")&amp;IF(ISNUMBER(AK82),IF(AND(ABS(AK82)&gt;50,NOT(N($B82)&gt;0)),"WL jump &gt;5 cm; ",""),"")&amp;IF(AND(ISNUMBER(PitanE),ISNUMBER(AB82),$A82&gt;PitanE+2,AB82&lt;PitanE),"re-measure TP/b after Pitan; ",""))</f>
        <v/>
      </c>
    </row>
    <row r="83">
      <c r="A83" s="14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0">
        <f>IF(OR($A83="",NOT(ISNUMBER(TransDate))),"",$A83-TransDate)</f>
        <v/>
      </c>
      <c r="Q83" s="16">
        <f>IF($A83="","",IF(_xlfn.MAXIFS('TP-b'!$B$2:$B$60,'TP-b'!$A$2:$A$60,"FP",'TP-b'!$E$2:$E$60,1,'TP-b'!$B$2:$B$60,"&lt;="&amp;$A83)&gt;0,_xlfn.MAXIFS('TP-b'!$B$2:$B$60,'TP-b'!$A$2:$A$60,"FP",'TP-b'!$E$2:$E$60,1,'TP-b'!$B$2:$B$60,"&lt;="&amp;$A83),IF(_xlfn.MINIFS('TP-b'!$B$2:$B$60,'TP-b'!$A$2:$A$60,"FP",'TP-b'!$E$2:$E$60,1)&gt;0,_xlfn.MINIFS('TP-b'!$B$2:$B$60,'TP-b'!$A$2:$A$60,"FP",'TP-b'!$E$2:$E$60,1),"")))</f>
        <v/>
      </c>
      <c r="R83" s="10">
        <f>IF(Q83="","",AVERAGEIFS('TP-b'!$C$2:$C$60,'TP-b'!$A$2:$A$60,"FP",'TP-b'!$B$2:$B$60,Q83,'TP-b'!$E$2:$E$60,1))</f>
        <v/>
      </c>
      <c r="S83" s="10">
        <f>IF(Q83="","",AVERAGEIFS('TP-b'!$D$2:$D$60,'TP-b'!$A$2:$A$60,"FP",'TP-b'!$B$2:$B$60,Q83,'TP-b'!$E$2:$E$60,1))</f>
        <v/>
      </c>
      <c r="T83" s="10">
        <f>IF(OR($A83="",NOT(ISNUMBER($E83)),R83=""),"",ROUND($E83-R83+S83,1))</f>
        <v/>
      </c>
      <c r="U83" s="10">
        <f>IF(AND($F83="Yes",ISNUMBER($G83),R83&lt;&gt;""),ROUND($G83-R83+S83,1),"")</f>
        <v/>
      </c>
      <c r="V83" s="10">
        <f>IF(AND($F83="Yes",ISNUMBER($H83),R83&lt;&gt;""),ROUND($H83-R83+S83,1),"")</f>
        <v/>
      </c>
      <c r="W83" s="10">
        <f>IF(AND(ISNUMBER($E83),ISNUMBER(U83),ISNUMBER(V83)),ROUND((V83-MAX(U83,0))*10,1),"")</f>
        <v/>
      </c>
      <c r="X83" s="10">
        <f>IF(T83="","",IF(AND($F83="Yes",ISNUMBER(V83)),V83,T83))</f>
        <v/>
      </c>
      <c r="Y83" s="10">
        <f>IF(T83="","",ROUND(SUMIFS($W$3:$W$252,$A$3:$A$252,"&lt;="&amp;$A83),1))</f>
        <v/>
      </c>
      <c r="Z83" s="10">
        <f>IF(OR(T83="",$A83=""),"",IF(ISNUMBER(IFERROR(INDEX($X$3:$X$252,MATCH($A83-1,$A$3:$A$252,0)),"")),ROUND((INDEX($X$3:$X$252,MATCH($A83-1,$A$3:$A$252,0))-T83)*10,1),""))</f>
        <v/>
      </c>
      <c r="AA83" s="10">
        <f>IF(ISNUMBER(T83),1,0)</f>
        <v/>
      </c>
      <c r="AB83" s="16">
        <f>IF($A83="","",IF(_xlfn.MAXIFS('TP-b'!$B$2:$B$60,'TP-b'!$A$2:$A$60,"3F4D+MD",'TP-b'!$E$2:$E$60,1,'TP-b'!$B$2:$B$60,"&lt;="&amp;$A83)&gt;0,_xlfn.MAXIFS('TP-b'!$B$2:$B$60,'TP-b'!$A$2:$A$60,"3F4D+MD",'TP-b'!$E$2:$E$60,1,'TP-b'!$B$2:$B$60,"&lt;="&amp;$A83),IF(_xlfn.MINIFS('TP-b'!$B$2:$B$60,'TP-b'!$A$2:$A$60,"3F4D+MD",'TP-b'!$E$2:$E$60,1)&gt;0,_xlfn.MINIFS('TP-b'!$B$2:$B$60,'TP-b'!$A$2:$A$60,"3F4D+MD",'TP-b'!$E$2:$E$60,1),"")))</f>
        <v/>
      </c>
      <c r="AC83" s="10">
        <f>IF(AB83="","",AVERAGEIFS('TP-b'!$C$2:$C$60,'TP-b'!$A$2:$A$60,"3F4D+MD",'TP-b'!$B$2:$B$60,AB83,'TP-b'!$E$2:$E$60,1))</f>
        <v/>
      </c>
      <c r="AD83" s="10">
        <f>IF(AB83="","",AVERAGEIFS('TP-b'!$D$2:$D$60,'TP-b'!$A$2:$A$60,"3F4D+MD",'TP-b'!$B$2:$B$60,AB83,'TP-b'!$E$2:$E$60,1))</f>
        <v/>
      </c>
      <c r="AE83" s="10">
        <f>IF(OR($A83="",NOT(ISNUMBER($J83)),AC83=""),"",ROUND($J83-AC83+AD83,1))</f>
        <v/>
      </c>
      <c r="AF83" s="10">
        <f>IF(AND($K83="Yes",ISNUMBER($L83),AC83&lt;&gt;""),ROUND($L83-AC83+AD83,1),"")</f>
        <v/>
      </c>
      <c r="AG83" s="10">
        <f>IF(AND($K83="Yes",ISNUMBER($M83),AC83&lt;&gt;""),ROUND($M83-AC83+AD83,1),"")</f>
        <v/>
      </c>
      <c r="AH83" s="10">
        <f>IF(AND(ISNUMBER($J83),ISNUMBER(AF83),ISNUMBER(AG83)),ROUND((AG83-MAX(AF83,0))*10,1),"")</f>
        <v/>
      </c>
      <c r="AI83" s="10">
        <f>IF(AE83="","",IF(AND($K83="Yes",ISNUMBER(AG83)),AG83,AE83))</f>
        <v/>
      </c>
      <c r="AJ83" s="10">
        <f>IF(AE83="","",ROUND(SUMIFS($AH$3:$AH$252,$A$3:$A$252,"&lt;="&amp;$A83),1))</f>
        <v/>
      </c>
      <c r="AK83" s="10">
        <f>IF(OR(AE83="",$A83=""),"",IF(ISNUMBER(IFERROR(INDEX($AI$3:$AI$252,MATCH($A83-1,$A$3:$A$252,0)),"")),ROUND((INDEX($AI$3:$AI$252,MATCH($A83-1,$A$3:$A$252,0))-AE83)*10,1),""))</f>
        <v/>
      </c>
      <c r="AL83" s="10">
        <f>IF(ISNUMBER(AE83),1,0)</f>
        <v/>
      </c>
      <c r="AM83" s="17">
        <f>IF($A83="","",IF(COUNTIF($A$3:$A$252,$A83)&gt;1,"same date twice; ","")&amp;IF(AND(ISNUMBER($B83),OR($B83&lt;0,$B83&gt;300)),"rain out of range; ","")&amp;IF(AND(ISNUMBER($C83),OR($C83&lt;0,$C83&gt;45)),"temp out of range; ","")&amp;IF(AND(ISNUMBER($D83),OR($D83&lt;0,$D83&gt;100)),"RH out of range; ",""))</f>
        <v/>
      </c>
      <c r="AN83" s="17">
        <f>IF($A83="","",IF(AND(ISNUMBER(T83),OR(T83&lt;-30,T83&gt;20)),"WL out of range; ","")&amp;IF(AND(ISNUMBER($E83),T83=""),"no TP/b; ","")&amp;IF(AND(ISNUMBER(U83),ISNUMBER(V83)),IF(V83&lt;U83,"After&lt;Before; ",""),"")&amp;IF(AND($F83="Yes",ISNUMBER($E83),W83=""),"irrigation readings missing; ","")&amp;IF(ISNUMBER(Z83),IF(AND(ABS(Z83)&gt;50,NOT(N($B83)&gt;0)),"WL jump &gt;5 cm; ",""),""))</f>
        <v/>
      </c>
      <c r="AO83" s="17">
        <f>IF($A83="","",IF(AND(ISNUMBER(AE83),OR(AE83&lt;-30,AE83&gt;20)),"WL out of range; ","")&amp;IF(AND(ISNUMBER($J83),AE83=""),"no TP/b; ","")&amp;IF(AND(ISNUMBER(AF83),ISNUMBER(AG83)),IF(AG83&lt;AF83,"After&lt;Before; ",""),"")&amp;IF(AND($K83="Yes",ISNUMBER($J83),AH83=""),"irrigation readings missing; ","")&amp;IF(ISNUMBER(AK83),IF(AND(ABS(AK83)&gt;50,NOT(N($B83)&gt;0)),"WL jump &gt;5 cm; ",""),"")&amp;IF(AND(ISNUMBER(PitanE),ISNUMBER(AB83),$A83&gt;PitanE+2,AB83&lt;PitanE),"re-measure TP/b after Pitan; ",""))</f>
        <v/>
      </c>
    </row>
    <row r="84">
      <c r="A84" s="14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0">
        <f>IF(OR($A84="",NOT(ISNUMBER(TransDate))),"",$A84-TransDate)</f>
        <v/>
      </c>
      <c r="Q84" s="16">
        <f>IF($A84="","",IF(_xlfn.MAXIFS('TP-b'!$B$2:$B$60,'TP-b'!$A$2:$A$60,"FP",'TP-b'!$E$2:$E$60,1,'TP-b'!$B$2:$B$60,"&lt;="&amp;$A84)&gt;0,_xlfn.MAXIFS('TP-b'!$B$2:$B$60,'TP-b'!$A$2:$A$60,"FP",'TP-b'!$E$2:$E$60,1,'TP-b'!$B$2:$B$60,"&lt;="&amp;$A84),IF(_xlfn.MINIFS('TP-b'!$B$2:$B$60,'TP-b'!$A$2:$A$60,"FP",'TP-b'!$E$2:$E$60,1)&gt;0,_xlfn.MINIFS('TP-b'!$B$2:$B$60,'TP-b'!$A$2:$A$60,"FP",'TP-b'!$E$2:$E$60,1),"")))</f>
        <v/>
      </c>
      <c r="R84" s="10">
        <f>IF(Q84="","",AVERAGEIFS('TP-b'!$C$2:$C$60,'TP-b'!$A$2:$A$60,"FP",'TP-b'!$B$2:$B$60,Q84,'TP-b'!$E$2:$E$60,1))</f>
        <v/>
      </c>
      <c r="S84" s="10">
        <f>IF(Q84="","",AVERAGEIFS('TP-b'!$D$2:$D$60,'TP-b'!$A$2:$A$60,"FP",'TP-b'!$B$2:$B$60,Q84,'TP-b'!$E$2:$E$60,1))</f>
        <v/>
      </c>
      <c r="T84" s="10">
        <f>IF(OR($A84="",NOT(ISNUMBER($E84)),R84=""),"",ROUND($E84-R84+S84,1))</f>
        <v/>
      </c>
      <c r="U84" s="10">
        <f>IF(AND($F84="Yes",ISNUMBER($G84),R84&lt;&gt;""),ROUND($G84-R84+S84,1),"")</f>
        <v/>
      </c>
      <c r="V84" s="10">
        <f>IF(AND($F84="Yes",ISNUMBER($H84),R84&lt;&gt;""),ROUND($H84-R84+S84,1),"")</f>
        <v/>
      </c>
      <c r="W84" s="10">
        <f>IF(AND(ISNUMBER($E84),ISNUMBER(U84),ISNUMBER(V84)),ROUND((V84-MAX(U84,0))*10,1),"")</f>
        <v/>
      </c>
      <c r="X84" s="10">
        <f>IF(T84="","",IF(AND($F84="Yes",ISNUMBER(V84)),V84,T84))</f>
        <v/>
      </c>
      <c r="Y84" s="10">
        <f>IF(T84="","",ROUND(SUMIFS($W$3:$W$252,$A$3:$A$252,"&lt;="&amp;$A84),1))</f>
        <v/>
      </c>
      <c r="Z84" s="10">
        <f>IF(OR(T84="",$A84=""),"",IF(ISNUMBER(IFERROR(INDEX($X$3:$X$252,MATCH($A84-1,$A$3:$A$252,0)),"")),ROUND((INDEX($X$3:$X$252,MATCH($A84-1,$A$3:$A$252,0))-T84)*10,1),""))</f>
        <v/>
      </c>
      <c r="AA84" s="10">
        <f>IF(ISNUMBER(T84),1,0)</f>
        <v/>
      </c>
      <c r="AB84" s="16">
        <f>IF($A84="","",IF(_xlfn.MAXIFS('TP-b'!$B$2:$B$60,'TP-b'!$A$2:$A$60,"3F4D+MD",'TP-b'!$E$2:$E$60,1,'TP-b'!$B$2:$B$60,"&lt;="&amp;$A84)&gt;0,_xlfn.MAXIFS('TP-b'!$B$2:$B$60,'TP-b'!$A$2:$A$60,"3F4D+MD",'TP-b'!$E$2:$E$60,1,'TP-b'!$B$2:$B$60,"&lt;="&amp;$A84),IF(_xlfn.MINIFS('TP-b'!$B$2:$B$60,'TP-b'!$A$2:$A$60,"3F4D+MD",'TP-b'!$E$2:$E$60,1)&gt;0,_xlfn.MINIFS('TP-b'!$B$2:$B$60,'TP-b'!$A$2:$A$60,"3F4D+MD",'TP-b'!$E$2:$E$60,1),"")))</f>
        <v/>
      </c>
      <c r="AC84" s="10">
        <f>IF(AB84="","",AVERAGEIFS('TP-b'!$C$2:$C$60,'TP-b'!$A$2:$A$60,"3F4D+MD",'TP-b'!$B$2:$B$60,AB84,'TP-b'!$E$2:$E$60,1))</f>
        <v/>
      </c>
      <c r="AD84" s="10">
        <f>IF(AB84="","",AVERAGEIFS('TP-b'!$D$2:$D$60,'TP-b'!$A$2:$A$60,"3F4D+MD",'TP-b'!$B$2:$B$60,AB84,'TP-b'!$E$2:$E$60,1))</f>
        <v/>
      </c>
      <c r="AE84" s="10">
        <f>IF(OR($A84="",NOT(ISNUMBER($J84)),AC84=""),"",ROUND($J84-AC84+AD84,1))</f>
        <v/>
      </c>
      <c r="AF84" s="10">
        <f>IF(AND($K84="Yes",ISNUMBER($L84),AC84&lt;&gt;""),ROUND($L84-AC84+AD84,1),"")</f>
        <v/>
      </c>
      <c r="AG84" s="10">
        <f>IF(AND($K84="Yes",ISNUMBER($M84),AC84&lt;&gt;""),ROUND($M84-AC84+AD84,1),"")</f>
        <v/>
      </c>
      <c r="AH84" s="10">
        <f>IF(AND(ISNUMBER($J84),ISNUMBER(AF84),ISNUMBER(AG84)),ROUND((AG84-MAX(AF84,0))*10,1),"")</f>
        <v/>
      </c>
      <c r="AI84" s="10">
        <f>IF(AE84="","",IF(AND($K84="Yes",ISNUMBER(AG84)),AG84,AE84))</f>
        <v/>
      </c>
      <c r="AJ84" s="10">
        <f>IF(AE84="","",ROUND(SUMIFS($AH$3:$AH$252,$A$3:$A$252,"&lt;="&amp;$A84),1))</f>
        <v/>
      </c>
      <c r="AK84" s="10">
        <f>IF(OR(AE84="",$A84=""),"",IF(ISNUMBER(IFERROR(INDEX($AI$3:$AI$252,MATCH($A84-1,$A$3:$A$252,0)),"")),ROUND((INDEX($AI$3:$AI$252,MATCH($A84-1,$A$3:$A$252,0))-AE84)*10,1),""))</f>
        <v/>
      </c>
      <c r="AL84" s="10">
        <f>IF(ISNUMBER(AE84),1,0)</f>
        <v/>
      </c>
      <c r="AM84" s="17">
        <f>IF($A84="","",IF(COUNTIF($A$3:$A$252,$A84)&gt;1,"same date twice; ","")&amp;IF(AND(ISNUMBER($B84),OR($B84&lt;0,$B84&gt;300)),"rain out of range; ","")&amp;IF(AND(ISNUMBER($C84),OR($C84&lt;0,$C84&gt;45)),"temp out of range; ","")&amp;IF(AND(ISNUMBER($D84),OR($D84&lt;0,$D84&gt;100)),"RH out of range; ",""))</f>
        <v/>
      </c>
      <c r="AN84" s="17">
        <f>IF($A84="","",IF(AND(ISNUMBER(T84),OR(T84&lt;-30,T84&gt;20)),"WL out of range; ","")&amp;IF(AND(ISNUMBER($E84),T84=""),"no TP/b; ","")&amp;IF(AND(ISNUMBER(U84),ISNUMBER(V84)),IF(V84&lt;U84,"After&lt;Before; ",""),"")&amp;IF(AND($F84="Yes",ISNUMBER($E84),W84=""),"irrigation readings missing; ","")&amp;IF(ISNUMBER(Z84),IF(AND(ABS(Z84)&gt;50,NOT(N($B84)&gt;0)),"WL jump &gt;5 cm; ",""),""))</f>
        <v/>
      </c>
      <c r="AO84" s="17">
        <f>IF($A84="","",IF(AND(ISNUMBER(AE84),OR(AE84&lt;-30,AE84&gt;20)),"WL out of range; ","")&amp;IF(AND(ISNUMBER($J84),AE84=""),"no TP/b; ","")&amp;IF(AND(ISNUMBER(AF84),ISNUMBER(AG84)),IF(AG84&lt;AF84,"After&lt;Before; ",""),"")&amp;IF(AND($K84="Yes",ISNUMBER($J84),AH84=""),"irrigation readings missing; ","")&amp;IF(ISNUMBER(AK84),IF(AND(ABS(AK84)&gt;50,NOT(N($B84)&gt;0)),"WL jump &gt;5 cm; ",""),"")&amp;IF(AND(ISNUMBER(PitanE),ISNUMBER(AB84),$A84&gt;PitanE+2,AB84&lt;PitanE),"re-measure TP/b after Pitan; ",""))</f>
        <v/>
      </c>
    </row>
    <row r="85">
      <c r="A85" s="14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0">
        <f>IF(OR($A85="",NOT(ISNUMBER(TransDate))),"",$A85-TransDate)</f>
        <v/>
      </c>
      <c r="Q85" s="16">
        <f>IF($A85="","",IF(_xlfn.MAXIFS('TP-b'!$B$2:$B$60,'TP-b'!$A$2:$A$60,"FP",'TP-b'!$E$2:$E$60,1,'TP-b'!$B$2:$B$60,"&lt;="&amp;$A85)&gt;0,_xlfn.MAXIFS('TP-b'!$B$2:$B$60,'TP-b'!$A$2:$A$60,"FP",'TP-b'!$E$2:$E$60,1,'TP-b'!$B$2:$B$60,"&lt;="&amp;$A85),IF(_xlfn.MINIFS('TP-b'!$B$2:$B$60,'TP-b'!$A$2:$A$60,"FP",'TP-b'!$E$2:$E$60,1)&gt;0,_xlfn.MINIFS('TP-b'!$B$2:$B$60,'TP-b'!$A$2:$A$60,"FP",'TP-b'!$E$2:$E$60,1),"")))</f>
        <v/>
      </c>
      <c r="R85" s="10">
        <f>IF(Q85="","",AVERAGEIFS('TP-b'!$C$2:$C$60,'TP-b'!$A$2:$A$60,"FP",'TP-b'!$B$2:$B$60,Q85,'TP-b'!$E$2:$E$60,1))</f>
        <v/>
      </c>
      <c r="S85" s="10">
        <f>IF(Q85="","",AVERAGEIFS('TP-b'!$D$2:$D$60,'TP-b'!$A$2:$A$60,"FP",'TP-b'!$B$2:$B$60,Q85,'TP-b'!$E$2:$E$60,1))</f>
        <v/>
      </c>
      <c r="T85" s="10">
        <f>IF(OR($A85="",NOT(ISNUMBER($E85)),R85=""),"",ROUND($E85-R85+S85,1))</f>
        <v/>
      </c>
      <c r="U85" s="10">
        <f>IF(AND($F85="Yes",ISNUMBER($G85),R85&lt;&gt;""),ROUND($G85-R85+S85,1),"")</f>
        <v/>
      </c>
      <c r="V85" s="10">
        <f>IF(AND($F85="Yes",ISNUMBER($H85),R85&lt;&gt;""),ROUND($H85-R85+S85,1),"")</f>
        <v/>
      </c>
      <c r="W85" s="10">
        <f>IF(AND(ISNUMBER($E85),ISNUMBER(U85),ISNUMBER(V85)),ROUND((V85-MAX(U85,0))*10,1),"")</f>
        <v/>
      </c>
      <c r="X85" s="10">
        <f>IF(T85="","",IF(AND($F85="Yes",ISNUMBER(V85)),V85,T85))</f>
        <v/>
      </c>
      <c r="Y85" s="10">
        <f>IF(T85="","",ROUND(SUMIFS($W$3:$W$252,$A$3:$A$252,"&lt;="&amp;$A85),1))</f>
        <v/>
      </c>
      <c r="Z85" s="10">
        <f>IF(OR(T85="",$A85=""),"",IF(ISNUMBER(IFERROR(INDEX($X$3:$X$252,MATCH($A85-1,$A$3:$A$252,0)),"")),ROUND((INDEX($X$3:$X$252,MATCH($A85-1,$A$3:$A$252,0))-T85)*10,1),""))</f>
        <v/>
      </c>
      <c r="AA85" s="10">
        <f>IF(ISNUMBER(T85),1,0)</f>
        <v/>
      </c>
      <c r="AB85" s="16">
        <f>IF($A85="","",IF(_xlfn.MAXIFS('TP-b'!$B$2:$B$60,'TP-b'!$A$2:$A$60,"3F4D+MD",'TP-b'!$E$2:$E$60,1,'TP-b'!$B$2:$B$60,"&lt;="&amp;$A85)&gt;0,_xlfn.MAXIFS('TP-b'!$B$2:$B$60,'TP-b'!$A$2:$A$60,"3F4D+MD",'TP-b'!$E$2:$E$60,1,'TP-b'!$B$2:$B$60,"&lt;="&amp;$A85),IF(_xlfn.MINIFS('TP-b'!$B$2:$B$60,'TP-b'!$A$2:$A$60,"3F4D+MD",'TP-b'!$E$2:$E$60,1)&gt;0,_xlfn.MINIFS('TP-b'!$B$2:$B$60,'TP-b'!$A$2:$A$60,"3F4D+MD",'TP-b'!$E$2:$E$60,1),"")))</f>
        <v/>
      </c>
      <c r="AC85" s="10">
        <f>IF(AB85="","",AVERAGEIFS('TP-b'!$C$2:$C$60,'TP-b'!$A$2:$A$60,"3F4D+MD",'TP-b'!$B$2:$B$60,AB85,'TP-b'!$E$2:$E$60,1))</f>
        <v/>
      </c>
      <c r="AD85" s="10">
        <f>IF(AB85="","",AVERAGEIFS('TP-b'!$D$2:$D$60,'TP-b'!$A$2:$A$60,"3F4D+MD",'TP-b'!$B$2:$B$60,AB85,'TP-b'!$E$2:$E$60,1))</f>
        <v/>
      </c>
      <c r="AE85" s="10">
        <f>IF(OR($A85="",NOT(ISNUMBER($J85)),AC85=""),"",ROUND($J85-AC85+AD85,1))</f>
        <v/>
      </c>
      <c r="AF85" s="10">
        <f>IF(AND($K85="Yes",ISNUMBER($L85),AC85&lt;&gt;""),ROUND($L85-AC85+AD85,1),"")</f>
        <v/>
      </c>
      <c r="AG85" s="10">
        <f>IF(AND($K85="Yes",ISNUMBER($M85),AC85&lt;&gt;""),ROUND($M85-AC85+AD85,1),"")</f>
        <v/>
      </c>
      <c r="AH85" s="10">
        <f>IF(AND(ISNUMBER($J85),ISNUMBER(AF85),ISNUMBER(AG85)),ROUND((AG85-MAX(AF85,0))*10,1),"")</f>
        <v/>
      </c>
      <c r="AI85" s="10">
        <f>IF(AE85="","",IF(AND($K85="Yes",ISNUMBER(AG85)),AG85,AE85))</f>
        <v/>
      </c>
      <c r="AJ85" s="10">
        <f>IF(AE85="","",ROUND(SUMIFS($AH$3:$AH$252,$A$3:$A$252,"&lt;="&amp;$A85),1))</f>
        <v/>
      </c>
      <c r="AK85" s="10">
        <f>IF(OR(AE85="",$A85=""),"",IF(ISNUMBER(IFERROR(INDEX($AI$3:$AI$252,MATCH($A85-1,$A$3:$A$252,0)),"")),ROUND((INDEX($AI$3:$AI$252,MATCH($A85-1,$A$3:$A$252,0))-AE85)*10,1),""))</f>
        <v/>
      </c>
      <c r="AL85" s="10">
        <f>IF(ISNUMBER(AE85),1,0)</f>
        <v/>
      </c>
      <c r="AM85" s="17">
        <f>IF($A85="","",IF(COUNTIF($A$3:$A$252,$A85)&gt;1,"same date twice; ","")&amp;IF(AND(ISNUMBER($B85),OR($B85&lt;0,$B85&gt;300)),"rain out of range; ","")&amp;IF(AND(ISNUMBER($C85),OR($C85&lt;0,$C85&gt;45)),"temp out of range; ","")&amp;IF(AND(ISNUMBER($D85),OR($D85&lt;0,$D85&gt;100)),"RH out of range; ",""))</f>
        <v/>
      </c>
      <c r="AN85" s="17">
        <f>IF($A85="","",IF(AND(ISNUMBER(T85),OR(T85&lt;-30,T85&gt;20)),"WL out of range; ","")&amp;IF(AND(ISNUMBER($E85),T85=""),"no TP/b; ","")&amp;IF(AND(ISNUMBER(U85),ISNUMBER(V85)),IF(V85&lt;U85,"After&lt;Before; ",""),"")&amp;IF(AND($F85="Yes",ISNUMBER($E85),W85=""),"irrigation readings missing; ","")&amp;IF(ISNUMBER(Z85),IF(AND(ABS(Z85)&gt;50,NOT(N($B85)&gt;0)),"WL jump &gt;5 cm; ",""),""))</f>
        <v/>
      </c>
      <c r="AO85" s="17">
        <f>IF($A85="","",IF(AND(ISNUMBER(AE85),OR(AE85&lt;-30,AE85&gt;20)),"WL out of range; ","")&amp;IF(AND(ISNUMBER($J85),AE85=""),"no TP/b; ","")&amp;IF(AND(ISNUMBER(AF85),ISNUMBER(AG85)),IF(AG85&lt;AF85,"After&lt;Before; ",""),"")&amp;IF(AND($K85="Yes",ISNUMBER($J85),AH85=""),"irrigation readings missing; ","")&amp;IF(ISNUMBER(AK85),IF(AND(ABS(AK85)&gt;50,NOT(N($B85)&gt;0)),"WL jump &gt;5 cm; ",""),"")&amp;IF(AND(ISNUMBER(PitanE),ISNUMBER(AB85),$A85&gt;PitanE+2,AB85&lt;PitanE),"re-measure TP/b after Pitan; ",""))</f>
        <v/>
      </c>
    </row>
    <row r="86">
      <c r="A86" s="14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0">
        <f>IF(OR($A86="",NOT(ISNUMBER(TransDate))),"",$A86-TransDate)</f>
        <v/>
      </c>
      <c r="Q86" s="16">
        <f>IF($A86="","",IF(_xlfn.MAXIFS('TP-b'!$B$2:$B$60,'TP-b'!$A$2:$A$60,"FP",'TP-b'!$E$2:$E$60,1,'TP-b'!$B$2:$B$60,"&lt;="&amp;$A86)&gt;0,_xlfn.MAXIFS('TP-b'!$B$2:$B$60,'TP-b'!$A$2:$A$60,"FP",'TP-b'!$E$2:$E$60,1,'TP-b'!$B$2:$B$60,"&lt;="&amp;$A86),IF(_xlfn.MINIFS('TP-b'!$B$2:$B$60,'TP-b'!$A$2:$A$60,"FP",'TP-b'!$E$2:$E$60,1)&gt;0,_xlfn.MINIFS('TP-b'!$B$2:$B$60,'TP-b'!$A$2:$A$60,"FP",'TP-b'!$E$2:$E$60,1),"")))</f>
        <v/>
      </c>
      <c r="R86" s="10">
        <f>IF(Q86="","",AVERAGEIFS('TP-b'!$C$2:$C$60,'TP-b'!$A$2:$A$60,"FP",'TP-b'!$B$2:$B$60,Q86,'TP-b'!$E$2:$E$60,1))</f>
        <v/>
      </c>
      <c r="S86" s="10">
        <f>IF(Q86="","",AVERAGEIFS('TP-b'!$D$2:$D$60,'TP-b'!$A$2:$A$60,"FP",'TP-b'!$B$2:$B$60,Q86,'TP-b'!$E$2:$E$60,1))</f>
        <v/>
      </c>
      <c r="T86" s="10">
        <f>IF(OR($A86="",NOT(ISNUMBER($E86)),R86=""),"",ROUND($E86-R86+S86,1))</f>
        <v/>
      </c>
      <c r="U86" s="10">
        <f>IF(AND($F86="Yes",ISNUMBER($G86),R86&lt;&gt;""),ROUND($G86-R86+S86,1),"")</f>
        <v/>
      </c>
      <c r="V86" s="10">
        <f>IF(AND($F86="Yes",ISNUMBER($H86),R86&lt;&gt;""),ROUND($H86-R86+S86,1),"")</f>
        <v/>
      </c>
      <c r="W86" s="10">
        <f>IF(AND(ISNUMBER($E86),ISNUMBER(U86),ISNUMBER(V86)),ROUND((V86-MAX(U86,0))*10,1),"")</f>
        <v/>
      </c>
      <c r="X86" s="10">
        <f>IF(T86="","",IF(AND($F86="Yes",ISNUMBER(V86)),V86,T86))</f>
        <v/>
      </c>
      <c r="Y86" s="10">
        <f>IF(T86="","",ROUND(SUMIFS($W$3:$W$252,$A$3:$A$252,"&lt;="&amp;$A86),1))</f>
        <v/>
      </c>
      <c r="Z86" s="10">
        <f>IF(OR(T86="",$A86=""),"",IF(ISNUMBER(IFERROR(INDEX($X$3:$X$252,MATCH($A86-1,$A$3:$A$252,0)),"")),ROUND((INDEX($X$3:$X$252,MATCH($A86-1,$A$3:$A$252,0))-T86)*10,1),""))</f>
        <v/>
      </c>
      <c r="AA86" s="10">
        <f>IF(ISNUMBER(T86),1,0)</f>
        <v/>
      </c>
      <c r="AB86" s="16">
        <f>IF($A86="","",IF(_xlfn.MAXIFS('TP-b'!$B$2:$B$60,'TP-b'!$A$2:$A$60,"3F4D+MD",'TP-b'!$E$2:$E$60,1,'TP-b'!$B$2:$B$60,"&lt;="&amp;$A86)&gt;0,_xlfn.MAXIFS('TP-b'!$B$2:$B$60,'TP-b'!$A$2:$A$60,"3F4D+MD",'TP-b'!$E$2:$E$60,1,'TP-b'!$B$2:$B$60,"&lt;="&amp;$A86),IF(_xlfn.MINIFS('TP-b'!$B$2:$B$60,'TP-b'!$A$2:$A$60,"3F4D+MD",'TP-b'!$E$2:$E$60,1)&gt;0,_xlfn.MINIFS('TP-b'!$B$2:$B$60,'TP-b'!$A$2:$A$60,"3F4D+MD",'TP-b'!$E$2:$E$60,1),"")))</f>
        <v/>
      </c>
      <c r="AC86" s="10">
        <f>IF(AB86="","",AVERAGEIFS('TP-b'!$C$2:$C$60,'TP-b'!$A$2:$A$60,"3F4D+MD",'TP-b'!$B$2:$B$60,AB86,'TP-b'!$E$2:$E$60,1))</f>
        <v/>
      </c>
      <c r="AD86" s="10">
        <f>IF(AB86="","",AVERAGEIFS('TP-b'!$D$2:$D$60,'TP-b'!$A$2:$A$60,"3F4D+MD",'TP-b'!$B$2:$B$60,AB86,'TP-b'!$E$2:$E$60,1))</f>
        <v/>
      </c>
      <c r="AE86" s="10">
        <f>IF(OR($A86="",NOT(ISNUMBER($J86)),AC86=""),"",ROUND($J86-AC86+AD86,1))</f>
        <v/>
      </c>
      <c r="AF86" s="10">
        <f>IF(AND($K86="Yes",ISNUMBER($L86),AC86&lt;&gt;""),ROUND($L86-AC86+AD86,1),"")</f>
        <v/>
      </c>
      <c r="AG86" s="10">
        <f>IF(AND($K86="Yes",ISNUMBER($M86),AC86&lt;&gt;""),ROUND($M86-AC86+AD86,1),"")</f>
        <v/>
      </c>
      <c r="AH86" s="10">
        <f>IF(AND(ISNUMBER($J86),ISNUMBER(AF86),ISNUMBER(AG86)),ROUND((AG86-MAX(AF86,0))*10,1),"")</f>
        <v/>
      </c>
      <c r="AI86" s="10">
        <f>IF(AE86="","",IF(AND($K86="Yes",ISNUMBER(AG86)),AG86,AE86))</f>
        <v/>
      </c>
      <c r="AJ86" s="10">
        <f>IF(AE86="","",ROUND(SUMIFS($AH$3:$AH$252,$A$3:$A$252,"&lt;="&amp;$A86),1))</f>
        <v/>
      </c>
      <c r="AK86" s="10">
        <f>IF(OR(AE86="",$A86=""),"",IF(ISNUMBER(IFERROR(INDEX($AI$3:$AI$252,MATCH($A86-1,$A$3:$A$252,0)),"")),ROUND((INDEX($AI$3:$AI$252,MATCH($A86-1,$A$3:$A$252,0))-AE86)*10,1),""))</f>
        <v/>
      </c>
      <c r="AL86" s="10">
        <f>IF(ISNUMBER(AE86),1,0)</f>
        <v/>
      </c>
      <c r="AM86" s="17">
        <f>IF($A86="","",IF(COUNTIF($A$3:$A$252,$A86)&gt;1,"same date twice; ","")&amp;IF(AND(ISNUMBER($B86),OR($B86&lt;0,$B86&gt;300)),"rain out of range; ","")&amp;IF(AND(ISNUMBER($C86),OR($C86&lt;0,$C86&gt;45)),"temp out of range; ","")&amp;IF(AND(ISNUMBER($D86),OR($D86&lt;0,$D86&gt;100)),"RH out of range; ",""))</f>
        <v/>
      </c>
      <c r="AN86" s="17">
        <f>IF($A86="","",IF(AND(ISNUMBER(T86),OR(T86&lt;-30,T86&gt;20)),"WL out of range; ","")&amp;IF(AND(ISNUMBER($E86),T86=""),"no TP/b; ","")&amp;IF(AND(ISNUMBER(U86),ISNUMBER(V86)),IF(V86&lt;U86,"After&lt;Before; ",""),"")&amp;IF(AND($F86="Yes",ISNUMBER($E86),W86=""),"irrigation readings missing; ","")&amp;IF(ISNUMBER(Z86),IF(AND(ABS(Z86)&gt;50,NOT(N($B86)&gt;0)),"WL jump &gt;5 cm; ",""),""))</f>
        <v/>
      </c>
      <c r="AO86" s="17">
        <f>IF($A86="","",IF(AND(ISNUMBER(AE86),OR(AE86&lt;-30,AE86&gt;20)),"WL out of range; ","")&amp;IF(AND(ISNUMBER($J86),AE86=""),"no TP/b; ","")&amp;IF(AND(ISNUMBER(AF86),ISNUMBER(AG86)),IF(AG86&lt;AF86,"After&lt;Before; ",""),"")&amp;IF(AND($K86="Yes",ISNUMBER($J86),AH86=""),"irrigation readings missing; ","")&amp;IF(ISNUMBER(AK86),IF(AND(ABS(AK86)&gt;50,NOT(N($B86)&gt;0)),"WL jump &gt;5 cm; ",""),"")&amp;IF(AND(ISNUMBER(PitanE),ISNUMBER(AB86),$A86&gt;PitanE+2,AB86&lt;PitanE),"re-measure TP/b after Pitan; ",""))</f>
        <v/>
      </c>
    </row>
    <row r="87">
      <c r="A87" s="14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0">
        <f>IF(OR($A87="",NOT(ISNUMBER(TransDate))),"",$A87-TransDate)</f>
        <v/>
      </c>
      <c r="Q87" s="16">
        <f>IF($A87="","",IF(_xlfn.MAXIFS('TP-b'!$B$2:$B$60,'TP-b'!$A$2:$A$60,"FP",'TP-b'!$E$2:$E$60,1,'TP-b'!$B$2:$B$60,"&lt;="&amp;$A87)&gt;0,_xlfn.MAXIFS('TP-b'!$B$2:$B$60,'TP-b'!$A$2:$A$60,"FP",'TP-b'!$E$2:$E$60,1,'TP-b'!$B$2:$B$60,"&lt;="&amp;$A87),IF(_xlfn.MINIFS('TP-b'!$B$2:$B$60,'TP-b'!$A$2:$A$60,"FP",'TP-b'!$E$2:$E$60,1)&gt;0,_xlfn.MINIFS('TP-b'!$B$2:$B$60,'TP-b'!$A$2:$A$60,"FP",'TP-b'!$E$2:$E$60,1),"")))</f>
        <v/>
      </c>
      <c r="R87" s="10">
        <f>IF(Q87="","",AVERAGEIFS('TP-b'!$C$2:$C$60,'TP-b'!$A$2:$A$60,"FP",'TP-b'!$B$2:$B$60,Q87,'TP-b'!$E$2:$E$60,1))</f>
        <v/>
      </c>
      <c r="S87" s="10">
        <f>IF(Q87="","",AVERAGEIFS('TP-b'!$D$2:$D$60,'TP-b'!$A$2:$A$60,"FP",'TP-b'!$B$2:$B$60,Q87,'TP-b'!$E$2:$E$60,1))</f>
        <v/>
      </c>
      <c r="T87" s="10">
        <f>IF(OR($A87="",NOT(ISNUMBER($E87)),R87=""),"",ROUND($E87-R87+S87,1))</f>
        <v/>
      </c>
      <c r="U87" s="10">
        <f>IF(AND($F87="Yes",ISNUMBER($G87),R87&lt;&gt;""),ROUND($G87-R87+S87,1),"")</f>
        <v/>
      </c>
      <c r="V87" s="10">
        <f>IF(AND($F87="Yes",ISNUMBER($H87),R87&lt;&gt;""),ROUND($H87-R87+S87,1),"")</f>
        <v/>
      </c>
      <c r="W87" s="10">
        <f>IF(AND(ISNUMBER($E87),ISNUMBER(U87),ISNUMBER(V87)),ROUND((V87-MAX(U87,0))*10,1),"")</f>
        <v/>
      </c>
      <c r="X87" s="10">
        <f>IF(T87="","",IF(AND($F87="Yes",ISNUMBER(V87)),V87,T87))</f>
        <v/>
      </c>
      <c r="Y87" s="10">
        <f>IF(T87="","",ROUND(SUMIFS($W$3:$W$252,$A$3:$A$252,"&lt;="&amp;$A87),1))</f>
        <v/>
      </c>
      <c r="Z87" s="10">
        <f>IF(OR(T87="",$A87=""),"",IF(ISNUMBER(IFERROR(INDEX($X$3:$X$252,MATCH($A87-1,$A$3:$A$252,0)),"")),ROUND((INDEX($X$3:$X$252,MATCH($A87-1,$A$3:$A$252,0))-T87)*10,1),""))</f>
        <v/>
      </c>
      <c r="AA87" s="10">
        <f>IF(ISNUMBER(T87),1,0)</f>
        <v/>
      </c>
      <c r="AB87" s="16">
        <f>IF($A87="","",IF(_xlfn.MAXIFS('TP-b'!$B$2:$B$60,'TP-b'!$A$2:$A$60,"3F4D+MD",'TP-b'!$E$2:$E$60,1,'TP-b'!$B$2:$B$60,"&lt;="&amp;$A87)&gt;0,_xlfn.MAXIFS('TP-b'!$B$2:$B$60,'TP-b'!$A$2:$A$60,"3F4D+MD",'TP-b'!$E$2:$E$60,1,'TP-b'!$B$2:$B$60,"&lt;="&amp;$A87),IF(_xlfn.MINIFS('TP-b'!$B$2:$B$60,'TP-b'!$A$2:$A$60,"3F4D+MD",'TP-b'!$E$2:$E$60,1)&gt;0,_xlfn.MINIFS('TP-b'!$B$2:$B$60,'TP-b'!$A$2:$A$60,"3F4D+MD",'TP-b'!$E$2:$E$60,1),"")))</f>
        <v/>
      </c>
      <c r="AC87" s="10">
        <f>IF(AB87="","",AVERAGEIFS('TP-b'!$C$2:$C$60,'TP-b'!$A$2:$A$60,"3F4D+MD",'TP-b'!$B$2:$B$60,AB87,'TP-b'!$E$2:$E$60,1))</f>
        <v/>
      </c>
      <c r="AD87" s="10">
        <f>IF(AB87="","",AVERAGEIFS('TP-b'!$D$2:$D$60,'TP-b'!$A$2:$A$60,"3F4D+MD",'TP-b'!$B$2:$B$60,AB87,'TP-b'!$E$2:$E$60,1))</f>
        <v/>
      </c>
      <c r="AE87" s="10">
        <f>IF(OR($A87="",NOT(ISNUMBER($J87)),AC87=""),"",ROUND($J87-AC87+AD87,1))</f>
        <v/>
      </c>
      <c r="AF87" s="10">
        <f>IF(AND($K87="Yes",ISNUMBER($L87),AC87&lt;&gt;""),ROUND($L87-AC87+AD87,1),"")</f>
        <v/>
      </c>
      <c r="AG87" s="10">
        <f>IF(AND($K87="Yes",ISNUMBER($M87),AC87&lt;&gt;""),ROUND($M87-AC87+AD87,1),"")</f>
        <v/>
      </c>
      <c r="AH87" s="10">
        <f>IF(AND(ISNUMBER($J87),ISNUMBER(AF87),ISNUMBER(AG87)),ROUND((AG87-MAX(AF87,0))*10,1),"")</f>
        <v/>
      </c>
      <c r="AI87" s="10">
        <f>IF(AE87="","",IF(AND($K87="Yes",ISNUMBER(AG87)),AG87,AE87))</f>
        <v/>
      </c>
      <c r="AJ87" s="10">
        <f>IF(AE87="","",ROUND(SUMIFS($AH$3:$AH$252,$A$3:$A$252,"&lt;="&amp;$A87),1))</f>
        <v/>
      </c>
      <c r="AK87" s="10">
        <f>IF(OR(AE87="",$A87=""),"",IF(ISNUMBER(IFERROR(INDEX($AI$3:$AI$252,MATCH($A87-1,$A$3:$A$252,0)),"")),ROUND((INDEX($AI$3:$AI$252,MATCH($A87-1,$A$3:$A$252,0))-AE87)*10,1),""))</f>
        <v/>
      </c>
      <c r="AL87" s="10">
        <f>IF(ISNUMBER(AE87),1,0)</f>
        <v/>
      </c>
      <c r="AM87" s="17">
        <f>IF($A87="","",IF(COUNTIF($A$3:$A$252,$A87)&gt;1,"same date twice; ","")&amp;IF(AND(ISNUMBER($B87),OR($B87&lt;0,$B87&gt;300)),"rain out of range; ","")&amp;IF(AND(ISNUMBER($C87),OR($C87&lt;0,$C87&gt;45)),"temp out of range; ","")&amp;IF(AND(ISNUMBER($D87),OR($D87&lt;0,$D87&gt;100)),"RH out of range; ",""))</f>
        <v/>
      </c>
      <c r="AN87" s="17">
        <f>IF($A87="","",IF(AND(ISNUMBER(T87),OR(T87&lt;-30,T87&gt;20)),"WL out of range; ","")&amp;IF(AND(ISNUMBER($E87),T87=""),"no TP/b; ","")&amp;IF(AND(ISNUMBER(U87),ISNUMBER(V87)),IF(V87&lt;U87,"After&lt;Before; ",""),"")&amp;IF(AND($F87="Yes",ISNUMBER($E87),W87=""),"irrigation readings missing; ","")&amp;IF(ISNUMBER(Z87),IF(AND(ABS(Z87)&gt;50,NOT(N($B87)&gt;0)),"WL jump &gt;5 cm; ",""),""))</f>
        <v/>
      </c>
      <c r="AO87" s="17">
        <f>IF($A87="","",IF(AND(ISNUMBER(AE87),OR(AE87&lt;-30,AE87&gt;20)),"WL out of range; ","")&amp;IF(AND(ISNUMBER($J87),AE87=""),"no TP/b; ","")&amp;IF(AND(ISNUMBER(AF87),ISNUMBER(AG87)),IF(AG87&lt;AF87,"After&lt;Before; ",""),"")&amp;IF(AND($K87="Yes",ISNUMBER($J87),AH87=""),"irrigation readings missing; ","")&amp;IF(ISNUMBER(AK87),IF(AND(ABS(AK87)&gt;50,NOT(N($B87)&gt;0)),"WL jump &gt;5 cm; ",""),"")&amp;IF(AND(ISNUMBER(PitanE),ISNUMBER(AB87),$A87&gt;PitanE+2,AB87&lt;PitanE),"re-measure TP/b after Pitan; ",""))</f>
        <v/>
      </c>
    </row>
    <row r="88">
      <c r="A88" s="14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0">
        <f>IF(OR($A88="",NOT(ISNUMBER(TransDate))),"",$A88-TransDate)</f>
        <v/>
      </c>
      <c r="Q88" s="16">
        <f>IF($A88="","",IF(_xlfn.MAXIFS('TP-b'!$B$2:$B$60,'TP-b'!$A$2:$A$60,"FP",'TP-b'!$E$2:$E$60,1,'TP-b'!$B$2:$B$60,"&lt;="&amp;$A88)&gt;0,_xlfn.MAXIFS('TP-b'!$B$2:$B$60,'TP-b'!$A$2:$A$60,"FP",'TP-b'!$E$2:$E$60,1,'TP-b'!$B$2:$B$60,"&lt;="&amp;$A88),IF(_xlfn.MINIFS('TP-b'!$B$2:$B$60,'TP-b'!$A$2:$A$60,"FP",'TP-b'!$E$2:$E$60,1)&gt;0,_xlfn.MINIFS('TP-b'!$B$2:$B$60,'TP-b'!$A$2:$A$60,"FP",'TP-b'!$E$2:$E$60,1),"")))</f>
        <v/>
      </c>
      <c r="R88" s="10">
        <f>IF(Q88="","",AVERAGEIFS('TP-b'!$C$2:$C$60,'TP-b'!$A$2:$A$60,"FP",'TP-b'!$B$2:$B$60,Q88,'TP-b'!$E$2:$E$60,1))</f>
        <v/>
      </c>
      <c r="S88" s="10">
        <f>IF(Q88="","",AVERAGEIFS('TP-b'!$D$2:$D$60,'TP-b'!$A$2:$A$60,"FP",'TP-b'!$B$2:$B$60,Q88,'TP-b'!$E$2:$E$60,1))</f>
        <v/>
      </c>
      <c r="T88" s="10">
        <f>IF(OR($A88="",NOT(ISNUMBER($E88)),R88=""),"",ROUND($E88-R88+S88,1))</f>
        <v/>
      </c>
      <c r="U88" s="10">
        <f>IF(AND($F88="Yes",ISNUMBER($G88),R88&lt;&gt;""),ROUND($G88-R88+S88,1),"")</f>
        <v/>
      </c>
      <c r="V88" s="10">
        <f>IF(AND($F88="Yes",ISNUMBER($H88),R88&lt;&gt;""),ROUND($H88-R88+S88,1),"")</f>
        <v/>
      </c>
      <c r="W88" s="10">
        <f>IF(AND(ISNUMBER($E88),ISNUMBER(U88),ISNUMBER(V88)),ROUND((V88-MAX(U88,0))*10,1),"")</f>
        <v/>
      </c>
      <c r="X88" s="10">
        <f>IF(T88="","",IF(AND($F88="Yes",ISNUMBER(V88)),V88,T88))</f>
        <v/>
      </c>
      <c r="Y88" s="10">
        <f>IF(T88="","",ROUND(SUMIFS($W$3:$W$252,$A$3:$A$252,"&lt;="&amp;$A88),1))</f>
        <v/>
      </c>
      <c r="Z88" s="10">
        <f>IF(OR(T88="",$A88=""),"",IF(ISNUMBER(IFERROR(INDEX($X$3:$X$252,MATCH($A88-1,$A$3:$A$252,0)),"")),ROUND((INDEX($X$3:$X$252,MATCH($A88-1,$A$3:$A$252,0))-T88)*10,1),""))</f>
        <v/>
      </c>
      <c r="AA88" s="10">
        <f>IF(ISNUMBER(T88),1,0)</f>
        <v/>
      </c>
      <c r="AB88" s="16">
        <f>IF($A88="","",IF(_xlfn.MAXIFS('TP-b'!$B$2:$B$60,'TP-b'!$A$2:$A$60,"3F4D+MD",'TP-b'!$E$2:$E$60,1,'TP-b'!$B$2:$B$60,"&lt;="&amp;$A88)&gt;0,_xlfn.MAXIFS('TP-b'!$B$2:$B$60,'TP-b'!$A$2:$A$60,"3F4D+MD",'TP-b'!$E$2:$E$60,1,'TP-b'!$B$2:$B$60,"&lt;="&amp;$A88),IF(_xlfn.MINIFS('TP-b'!$B$2:$B$60,'TP-b'!$A$2:$A$60,"3F4D+MD",'TP-b'!$E$2:$E$60,1)&gt;0,_xlfn.MINIFS('TP-b'!$B$2:$B$60,'TP-b'!$A$2:$A$60,"3F4D+MD",'TP-b'!$E$2:$E$60,1),"")))</f>
        <v/>
      </c>
      <c r="AC88" s="10">
        <f>IF(AB88="","",AVERAGEIFS('TP-b'!$C$2:$C$60,'TP-b'!$A$2:$A$60,"3F4D+MD",'TP-b'!$B$2:$B$60,AB88,'TP-b'!$E$2:$E$60,1))</f>
        <v/>
      </c>
      <c r="AD88" s="10">
        <f>IF(AB88="","",AVERAGEIFS('TP-b'!$D$2:$D$60,'TP-b'!$A$2:$A$60,"3F4D+MD",'TP-b'!$B$2:$B$60,AB88,'TP-b'!$E$2:$E$60,1))</f>
        <v/>
      </c>
      <c r="AE88" s="10">
        <f>IF(OR($A88="",NOT(ISNUMBER($J88)),AC88=""),"",ROUND($J88-AC88+AD88,1))</f>
        <v/>
      </c>
      <c r="AF88" s="10">
        <f>IF(AND($K88="Yes",ISNUMBER($L88),AC88&lt;&gt;""),ROUND($L88-AC88+AD88,1),"")</f>
        <v/>
      </c>
      <c r="AG88" s="10">
        <f>IF(AND($K88="Yes",ISNUMBER($M88),AC88&lt;&gt;""),ROUND($M88-AC88+AD88,1),"")</f>
        <v/>
      </c>
      <c r="AH88" s="10">
        <f>IF(AND(ISNUMBER($J88),ISNUMBER(AF88),ISNUMBER(AG88)),ROUND((AG88-MAX(AF88,0))*10,1),"")</f>
        <v/>
      </c>
      <c r="AI88" s="10">
        <f>IF(AE88="","",IF(AND($K88="Yes",ISNUMBER(AG88)),AG88,AE88))</f>
        <v/>
      </c>
      <c r="AJ88" s="10">
        <f>IF(AE88="","",ROUND(SUMIFS($AH$3:$AH$252,$A$3:$A$252,"&lt;="&amp;$A88),1))</f>
        <v/>
      </c>
      <c r="AK88" s="10">
        <f>IF(OR(AE88="",$A88=""),"",IF(ISNUMBER(IFERROR(INDEX($AI$3:$AI$252,MATCH($A88-1,$A$3:$A$252,0)),"")),ROUND((INDEX($AI$3:$AI$252,MATCH($A88-1,$A$3:$A$252,0))-AE88)*10,1),""))</f>
        <v/>
      </c>
      <c r="AL88" s="10">
        <f>IF(ISNUMBER(AE88),1,0)</f>
        <v/>
      </c>
      <c r="AM88" s="17">
        <f>IF($A88="","",IF(COUNTIF($A$3:$A$252,$A88)&gt;1,"same date twice; ","")&amp;IF(AND(ISNUMBER($B88),OR($B88&lt;0,$B88&gt;300)),"rain out of range; ","")&amp;IF(AND(ISNUMBER($C88),OR($C88&lt;0,$C88&gt;45)),"temp out of range; ","")&amp;IF(AND(ISNUMBER($D88),OR($D88&lt;0,$D88&gt;100)),"RH out of range; ",""))</f>
        <v/>
      </c>
      <c r="AN88" s="17">
        <f>IF($A88="","",IF(AND(ISNUMBER(T88),OR(T88&lt;-30,T88&gt;20)),"WL out of range; ","")&amp;IF(AND(ISNUMBER($E88),T88=""),"no TP/b; ","")&amp;IF(AND(ISNUMBER(U88),ISNUMBER(V88)),IF(V88&lt;U88,"After&lt;Before; ",""),"")&amp;IF(AND($F88="Yes",ISNUMBER($E88),W88=""),"irrigation readings missing; ","")&amp;IF(ISNUMBER(Z88),IF(AND(ABS(Z88)&gt;50,NOT(N($B88)&gt;0)),"WL jump &gt;5 cm; ",""),""))</f>
        <v/>
      </c>
      <c r="AO88" s="17">
        <f>IF($A88="","",IF(AND(ISNUMBER(AE88),OR(AE88&lt;-30,AE88&gt;20)),"WL out of range; ","")&amp;IF(AND(ISNUMBER($J88),AE88=""),"no TP/b; ","")&amp;IF(AND(ISNUMBER(AF88),ISNUMBER(AG88)),IF(AG88&lt;AF88,"After&lt;Before; ",""),"")&amp;IF(AND($K88="Yes",ISNUMBER($J88),AH88=""),"irrigation readings missing; ","")&amp;IF(ISNUMBER(AK88),IF(AND(ABS(AK88)&gt;50,NOT(N($B88)&gt;0)),"WL jump &gt;5 cm; ",""),"")&amp;IF(AND(ISNUMBER(PitanE),ISNUMBER(AB88),$A88&gt;PitanE+2,AB88&lt;PitanE),"re-measure TP/b after Pitan; ",""))</f>
        <v/>
      </c>
    </row>
    <row r="89">
      <c r="A89" s="14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0">
        <f>IF(OR($A89="",NOT(ISNUMBER(TransDate))),"",$A89-TransDate)</f>
        <v/>
      </c>
      <c r="Q89" s="16">
        <f>IF($A89="","",IF(_xlfn.MAXIFS('TP-b'!$B$2:$B$60,'TP-b'!$A$2:$A$60,"FP",'TP-b'!$E$2:$E$60,1,'TP-b'!$B$2:$B$60,"&lt;="&amp;$A89)&gt;0,_xlfn.MAXIFS('TP-b'!$B$2:$B$60,'TP-b'!$A$2:$A$60,"FP",'TP-b'!$E$2:$E$60,1,'TP-b'!$B$2:$B$60,"&lt;="&amp;$A89),IF(_xlfn.MINIFS('TP-b'!$B$2:$B$60,'TP-b'!$A$2:$A$60,"FP",'TP-b'!$E$2:$E$60,1)&gt;0,_xlfn.MINIFS('TP-b'!$B$2:$B$60,'TP-b'!$A$2:$A$60,"FP",'TP-b'!$E$2:$E$60,1),"")))</f>
        <v/>
      </c>
      <c r="R89" s="10">
        <f>IF(Q89="","",AVERAGEIFS('TP-b'!$C$2:$C$60,'TP-b'!$A$2:$A$60,"FP",'TP-b'!$B$2:$B$60,Q89,'TP-b'!$E$2:$E$60,1))</f>
        <v/>
      </c>
      <c r="S89" s="10">
        <f>IF(Q89="","",AVERAGEIFS('TP-b'!$D$2:$D$60,'TP-b'!$A$2:$A$60,"FP",'TP-b'!$B$2:$B$60,Q89,'TP-b'!$E$2:$E$60,1))</f>
        <v/>
      </c>
      <c r="T89" s="10">
        <f>IF(OR($A89="",NOT(ISNUMBER($E89)),R89=""),"",ROUND($E89-R89+S89,1))</f>
        <v/>
      </c>
      <c r="U89" s="10">
        <f>IF(AND($F89="Yes",ISNUMBER($G89),R89&lt;&gt;""),ROUND($G89-R89+S89,1),"")</f>
        <v/>
      </c>
      <c r="V89" s="10">
        <f>IF(AND($F89="Yes",ISNUMBER($H89),R89&lt;&gt;""),ROUND($H89-R89+S89,1),"")</f>
        <v/>
      </c>
      <c r="W89" s="10">
        <f>IF(AND(ISNUMBER($E89),ISNUMBER(U89),ISNUMBER(V89)),ROUND((V89-MAX(U89,0))*10,1),"")</f>
        <v/>
      </c>
      <c r="X89" s="10">
        <f>IF(T89="","",IF(AND($F89="Yes",ISNUMBER(V89)),V89,T89))</f>
        <v/>
      </c>
      <c r="Y89" s="10">
        <f>IF(T89="","",ROUND(SUMIFS($W$3:$W$252,$A$3:$A$252,"&lt;="&amp;$A89),1))</f>
        <v/>
      </c>
      <c r="Z89" s="10">
        <f>IF(OR(T89="",$A89=""),"",IF(ISNUMBER(IFERROR(INDEX($X$3:$X$252,MATCH($A89-1,$A$3:$A$252,0)),"")),ROUND((INDEX($X$3:$X$252,MATCH($A89-1,$A$3:$A$252,0))-T89)*10,1),""))</f>
        <v/>
      </c>
      <c r="AA89" s="10">
        <f>IF(ISNUMBER(T89),1,0)</f>
        <v/>
      </c>
      <c r="AB89" s="16">
        <f>IF($A89="","",IF(_xlfn.MAXIFS('TP-b'!$B$2:$B$60,'TP-b'!$A$2:$A$60,"3F4D+MD",'TP-b'!$E$2:$E$60,1,'TP-b'!$B$2:$B$60,"&lt;="&amp;$A89)&gt;0,_xlfn.MAXIFS('TP-b'!$B$2:$B$60,'TP-b'!$A$2:$A$60,"3F4D+MD",'TP-b'!$E$2:$E$60,1,'TP-b'!$B$2:$B$60,"&lt;="&amp;$A89),IF(_xlfn.MINIFS('TP-b'!$B$2:$B$60,'TP-b'!$A$2:$A$60,"3F4D+MD",'TP-b'!$E$2:$E$60,1)&gt;0,_xlfn.MINIFS('TP-b'!$B$2:$B$60,'TP-b'!$A$2:$A$60,"3F4D+MD",'TP-b'!$E$2:$E$60,1),"")))</f>
        <v/>
      </c>
      <c r="AC89" s="10">
        <f>IF(AB89="","",AVERAGEIFS('TP-b'!$C$2:$C$60,'TP-b'!$A$2:$A$60,"3F4D+MD",'TP-b'!$B$2:$B$60,AB89,'TP-b'!$E$2:$E$60,1))</f>
        <v/>
      </c>
      <c r="AD89" s="10">
        <f>IF(AB89="","",AVERAGEIFS('TP-b'!$D$2:$D$60,'TP-b'!$A$2:$A$60,"3F4D+MD",'TP-b'!$B$2:$B$60,AB89,'TP-b'!$E$2:$E$60,1))</f>
        <v/>
      </c>
      <c r="AE89" s="10">
        <f>IF(OR($A89="",NOT(ISNUMBER($J89)),AC89=""),"",ROUND($J89-AC89+AD89,1))</f>
        <v/>
      </c>
      <c r="AF89" s="10">
        <f>IF(AND($K89="Yes",ISNUMBER($L89),AC89&lt;&gt;""),ROUND($L89-AC89+AD89,1),"")</f>
        <v/>
      </c>
      <c r="AG89" s="10">
        <f>IF(AND($K89="Yes",ISNUMBER($M89),AC89&lt;&gt;""),ROUND($M89-AC89+AD89,1),"")</f>
        <v/>
      </c>
      <c r="AH89" s="10">
        <f>IF(AND(ISNUMBER($J89),ISNUMBER(AF89),ISNUMBER(AG89)),ROUND((AG89-MAX(AF89,0))*10,1),"")</f>
        <v/>
      </c>
      <c r="AI89" s="10">
        <f>IF(AE89="","",IF(AND($K89="Yes",ISNUMBER(AG89)),AG89,AE89))</f>
        <v/>
      </c>
      <c r="AJ89" s="10">
        <f>IF(AE89="","",ROUND(SUMIFS($AH$3:$AH$252,$A$3:$A$252,"&lt;="&amp;$A89),1))</f>
        <v/>
      </c>
      <c r="AK89" s="10">
        <f>IF(OR(AE89="",$A89=""),"",IF(ISNUMBER(IFERROR(INDEX($AI$3:$AI$252,MATCH($A89-1,$A$3:$A$252,0)),"")),ROUND((INDEX($AI$3:$AI$252,MATCH($A89-1,$A$3:$A$252,0))-AE89)*10,1),""))</f>
        <v/>
      </c>
      <c r="AL89" s="10">
        <f>IF(ISNUMBER(AE89),1,0)</f>
        <v/>
      </c>
      <c r="AM89" s="17">
        <f>IF($A89="","",IF(COUNTIF($A$3:$A$252,$A89)&gt;1,"same date twice; ","")&amp;IF(AND(ISNUMBER($B89),OR($B89&lt;0,$B89&gt;300)),"rain out of range; ","")&amp;IF(AND(ISNUMBER($C89),OR($C89&lt;0,$C89&gt;45)),"temp out of range; ","")&amp;IF(AND(ISNUMBER($D89),OR($D89&lt;0,$D89&gt;100)),"RH out of range; ",""))</f>
        <v/>
      </c>
      <c r="AN89" s="17">
        <f>IF($A89="","",IF(AND(ISNUMBER(T89),OR(T89&lt;-30,T89&gt;20)),"WL out of range; ","")&amp;IF(AND(ISNUMBER($E89),T89=""),"no TP/b; ","")&amp;IF(AND(ISNUMBER(U89),ISNUMBER(V89)),IF(V89&lt;U89,"After&lt;Before; ",""),"")&amp;IF(AND($F89="Yes",ISNUMBER($E89),W89=""),"irrigation readings missing; ","")&amp;IF(ISNUMBER(Z89),IF(AND(ABS(Z89)&gt;50,NOT(N($B89)&gt;0)),"WL jump &gt;5 cm; ",""),""))</f>
        <v/>
      </c>
      <c r="AO89" s="17">
        <f>IF($A89="","",IF(AND(ISNUMBER(AE89),OR(AE89&lt;-30,AE89&gt;20)),"WL out of range; ","")&amp;IF(AND(ISNUMBER($J89),AE89=""),"no TP/b; ","")&amp;IF(AND(ISNUMBER(AF89),ISNUMBER(AG89)),IF(AG89&lt;AF89,"After&lt;Before; ",""),"")&amp;IF(AND($K89="Yes",ISNUMBER($J89),AH89=""),"irrigation readings missing; ","")&amp;IF(ISNUMBER(AK89),IF(AND(ABS(AK89)&gt;50,NOT(N($B89)&gt;0)),"WL jump &gt;5 cm; ",""),"")&amp;IF(AND(ISNUMBER(PitanE),ISNUMBER(AB89),$A89&gt;PitanE+2,AB89&lt;PitanE),"re-measure TP/b after Pitan; ",""))</f>
        <v/>
      </c>
    </row>
    <row r="90">
      <c r="A90" s="14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0">
        <f>IF(OR($A90="",NOT(ISNUMBER(TransDate))),"",$A90-TransDate)</f>
        <v/>
      </c>
      <c r="Q90" s="16">
        <f>IF($A90="","",IF(_xlfn.MAXIFS('TP-b'!$B$2:$B$60,'TP-b'!$A$2:$A$60,"FP",'TP-b'!$E$2:$E$60,1,'TP-b'!$B$2:$B$60,"&lt;="&amp;$A90)&gt;0,_xlfn.MAXIFS('TP-b'!$B$2:$B$60,'TP-b'!$A$2:$A$60,"FP",'TP-b'!$E$2:$E$60,1,'TP-b'!$B$2:$B$60,"&lt;="&amp;$A90),IF(_xlfn.MINIFS('TP-b'!$B$2:$B$60,'TP-b'!$A$2:$A$60,"FP",'TP-b'!$E$2:$E$60,1)&gt;0,_xlfn.MINIFS('TP-b'!$B$2:$B$60,'TP-b'!$A$2:$A$60,"FP",'TP-b'!$E$2:$E$60,1),"")))</f>
        <v/>
      </c>
      <c r="R90" s="10">
        <f>IF(Q90="","",AVERAGEIFS('TP-b'!$C$2:$C$60,'TP-b'!$A$2:$A$60,"FP",'TP-b'!$B$2:$B$60,Q90,'TP-b'!$E$2:$E$60,1))</f>
        <v/>
      </c>
      <c r="S90" s="10">
        <f>IF(Q90="","",AVERAGEIFS('TP-b'!$D$2:$D$60,'TP-b'!$A$2:$A$60,"FP",'TP-b'!$B$2:$B$60,Q90,'TP-b'!$E$2:$E$60,1))</f>
        <v/>
      </c>
      <c r="T90" s="10">
        <f>IF(OR($A90="",NOT(ISNUMBER($E90)),R90=""),"",ROUND($E90-R90+S90,1))</f>
        <v/>
      </c>
      <c r="U90" s="10">
        <f>IF(AND($F90="Yes",ISNUMBER($G90),R90&lt;&gt;""),ROUND($G90-R90+S90,1),"")</f>
        <v/>
      </c>
      <c r="V90" s="10">
        <f>IF(AND($F90="Yes",ISNUMBER($H90),R90&lt;&gt;""),ROUND($H90-R90+S90,1),"")</f>
        <v/>
      </c>
      <c r="W90" s="10">
        <f>IF(AND(ISNUMBER($E90),ISNUMBER(U90),ISNUMBER(V90)),ROUND((V90-MAX(U90,0))*10,1),"")</f>
        <v/>
      </c>
      <c r="X90" s="10">
        <f>IF(T90="","",IF(AND($F90="Yes",ISNUMBER(V90)),V90,T90))</f>
        <v/>
      </c>
      <c r="Y90" s="10">
        <f>IF(T90="","",ROUND(SUMIFS($W$3:$W$252,$A$3:$A$252,"&lt;="&amp;$A90),1))</f>
        <v/>
      </c>
      <c r="Z90" s="10">
        <f>IF(OR(T90="",$A90=""),"",IF(ISNUMBER(IFERROR(INDEX($X$3:$X$252,MATCH($A90-1,$A$3:$A$252,0)),"")),ROUND((INDEX($X$3:$X$252,MATCH($A90-1,$A$3:$A$252,0))-T90)*10,1),""))</f>
        <v/>
      </c>
      <c r="AA90" s="10">
        <f>IF(ISNUMBER(T90),1,0)</f>
        <v/>
      </c>
      <c r="AB90" s="16">
        <f>IF($A90="","",IF(_xlfn.MAXIFS('TP-b'!$B$2:$B$60,'TP-b'!$A$2:$A$60,"3F4D+MD",'TP-b'!$E$2:$E$60,1,'TP-b'!$B$2:$B$60,"&lt;="&amp;$A90)&gt;0,_xlfn.MAXIFS('TP-b'!$B$2:$B$60,'TP-b'!$A$2:$A$60,"3F4D+MD",'TP-b'!$E$2:$E$60,1,'TP-b'!$B$2:$B$60,"&lt;="&amp;$A90),IF(_xlfn.MINIFS('TP-b'!$B$2:$B$60,'TP-b'!$A$2:$A$60,"3F4D+MD",'TP-b'!$E$2:$E$60,1)&gt;0,_xlfn.MINIFS('TP-b'!$B$2:$B$60,'TP-b'!$A$2:$A$60,"3F4D+MD",'TP-b'!$E$2:$E$60,1),"")))</f>
        <v/>
      </c>
      <c r="AC90" s="10">
        <f>IF(AB90="","",AVERAGEIFS('TP-b'!$C$2:$C$60,'TP-b'!$A$2:$A$60,"3F4D+MD",'TP-b'!$B$2:$B$60,AB90,'TP-b'!$E$2:$E$60,1))</f>
        <v/>
      </c>
      <c r="AD90" s="10">
        <f>IF(AB90="","",AVERAGEIFS('TP-b'!$D$2:$D$60,'TP-b'!$A$2:$A$60,"3F4D+MD",'TP-b'!$B$2:$B$60,AB90,'TP-b'!$E$2:$E$60,1))</f>
        <v/>
      </c>
      <c r="AE90" s="10">
        <f>IF(OR($A90="",NOT(ISNUMBER($J90)),AC90=""),"",ROUND($J90-AC90+AD90,1))</f>
        <v/>
      </c>
      <c r="AF90" s="10">
        <f>IF(AND($K90="Yes",ISNUMBER($L90),AC90&lt;&gt;""),ROUND($L90-AC90+AD90,1),"")</f>
        <v/>
      </c>
      <c r="AG90" s="10">
        <f>IF(AND($K90="Yes",ISNUMBER($M90),AC90&lt;&gt;""),ROUND($M90-AC90+AD90,1),"")</f>
        <v/>
      </c>
      <c r="AH90" s="10">
        <f>IF(AND(ISNUMBER($J90),ISNUMBER(AF90),ISNUMBER(AG90)),ROUND((AG90-MAX(AF90,0))*10,1),"")</f>
        <v/>
      </c>
      <c r="AI90" s="10">
        <f>IF(AE90="","",IF(AND($K90="Yes",ISNUMBER(AG90)),AG90,AE90))</f>
        <v/>
      </c>
      <c r="AJ90" s="10">
        <f>IF(AE90="","",ROUND(SUMIFS($AH$3:$AH$252,$A$3:$A$252,"&lt;="&amp;$A90),1))</f>
        <v/>
      </c>
      <c r="AK90" s="10">
        <f>IF(OR(AE90="",$A90=""),"",IF(ISNUMBER(IFERROR(INDEX($AI$3:$AI$252,MATCH($A90-1,$A$3:$A$252,0)),"")),ROUND((INDEX($AI$3:$AI$252,MATCH($A90-1,$A$3:$A$252,0))-AE90)*10,1),""))</f>
        <v/>
      </c>
      <c r="AL90" s="10">
        <f>IF(ISNUMBER(AE90),1,0)</f>
        <v/>
      </c>
      <c r="AM90" s="17">
        <f>IF($A90="","",IF(COUNTIF($A$3:$A$252,$A90)&gt;1,"same date twice; ","")&amp;IF(AND(ISNUMBER($B90),OR($B90&lt;0,$B90&gt;300)),"rain out of range; ","")&amp;IF(AND(ISNUMBER($C90),OR($C90&lt;0,$C90&gt;45)),"temp out of range; ","")&amp;IF(AND(ISNUMBER($D90),OR($D90&lt;0,$D90&gt;100)),"RH out of range; ",""))</f>
        <v/>
      </c>
      <c r="AN90" s="17">
        <f>IF($A90="","",IF(AND(ISNUMBER(T90),OR(T90&lt;-30,T90&gt;20)),"WL out of range; ","")&amp;IF(AND(ISNUMBER($E90),T90=""),"no TP/b; ","")&amp;IF(AND(ISNUMBER(U90),ISNUMBER(V90)),IF(V90&lt;U90,"After&lt;Before; ",""),"")&amp;IF(AND($F90="Yes",ISNUMBER($E90),W90=""),"irrigation readings missing; ","")&amp;IF(ISNUMBER(Z90),IF(AND(ABS(Z90)&gt;50,NOT(N($B90)&gt;0)),"WL jump &gt;5 cm; ",""),""))</f>
        <v/>
      </c>
      <c r="AO90" s="17">
        <f>IF($A90="","",IF(AND(ISNUMBER(AE90),OR(AE90&lt;-30,AE90&gt;20)),"WL out of range; ","")&amp;IF(AND(ISNUMBER($J90),AE90=""),"no TP/b; ","")&amp;IF(AND(ISNUMBER(AF90),ISNUMBER(AG90)),IF(AG90&lt;AF90,"After&lt;Before; ",""),"")&amp;IF(AND($K90="Yes",ISNUMBER($J90),AH90=""),"irrigation readings missing; ","")&amp;IF(ISNUMBER(AK90),IF(AND(ABS(AK90)&gt;50,NOT(N($B90)&gt;0)),"WL jump &gt;5 cm; ",""),"")&amp;IF(AND(ISNUMBER(PitanE),ISNUMBER(AB90),$A90&gt;PitanE+2,AB90&lt;PitanE),"re-measure TP/b after Pitan; ",""))</f>
        <v/>
      </c>
    </row>
    <row r="91">
      <c r="A91" s="14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0">
        <f>IF(OR($A91="",NOT(ISNUMBER(TransDate))),"",$A91-TransDate)</f>
        <v/>
      </c>
      <c r="Q91" s="16">
        <f>IF($A91="","",IF(_xlfn.MAXIFS('TP-b'!$B$2:$B$60,'TP-b'!$A$2:$A$60,"FP",'TP-b'!$E$2:$E$60,1,'TP-b'!$B$2:$B$60,"&lt;="&amp;$A91)&gt;0,_xlfn.MAXIFS('TP-b'!$B$2:$B$60,'TP-b'!$A$2:$A$60,"FP",'TP-b'!$E$2:$E$60,1,'TP-b'!$B$2:$B$60,"&lt;="&amp;$A91),IF(_xlfn.MINIFS('TP-b'!$B$2:$B$60,'TP-b'!$A$2:$A$60,"FP",'TP-b'!$E$2:$E$60,1)&gt;0,_xlfn.MINIFS('TP-b'!$B$2:$B$60,'TP-b'!$A$2:$A$60,"FP",'TP-b'!$E$2:$E$60,1),"")))</f>
        <v/>
      </c>
      <c r="R91" s="10">
        <f>IF(Q91="","",AVERAGEIFS('TP-b'!$C$2:$C$60,'TP-b'!$A$2:$A$60,"FP",'TP-b'!$B$2:$B$60,Q91,'TP-b'!$E$2:$E$60,1))</f>
        <v/>
      </c>
      <c r="S91" s="10">
        <f>IF(Q91="","",AVERAGEIFS('TP-b'!$D$2:$D$60,'TP-b'!$A$2:$A$60,"FP",'TP-b'!$B$2:$B$60,Q91,'TP-b'!$E$2:$E$60,1))</f>
        <v/>
      </c>
      <c r="T91" s="10">
        <f>IF(OR($A91="",NOT(ISNUMBER($E91)),R91=""),"",ROUND($E91-R91+S91,1))</f>
        <v/>
      </c>
      <c r="U91" s="10">
        <f>IF(AND($F91="Yes",ISNUMBER($G91),R91&lt;&gt;""),ROUND($G91-R91+S91,1),"")</f>
        <v/>
      </c>
      <c r="V91" s="10">
        <f>IF(AND($F91="Yes",ISNUMBER($H91),R91&lt;&gt;""),ROUND($H91-R91+S91,1),"")</f>
        <v/>
      </c>
      <c r="W91" s="10">
        <f>IF(AND(ISNUMBER($E91),ISNUMBER(U91),ISNUMBER(V91)),ROUND((V91-MAX(U91,0))*10,1),"")</f>
        <v/>
      </c>
      <c r="X91" s="10">
        <f>IF(T91="","",IF(AND($F91="Yes",ISNUMBER(V91)),V91,T91))</f>
        <v/>
      </c>
      <c r="Y91" s="10">
        <f>IF(T91="","",ROUND(SUMIFS($W$3:$W$252,$A$3:$A$252,"&lt;="&amp;$A91),1))</f>
        <v/>
      </c>
      <c r="Z91" s="10">
        <f>IF(OR(T91="",$A91=""),"",IF(ISNUMBER(IFERROR(INDEX($X$3:$X$252,MATCH($A91-1,$A$3:$A$252,0)),"")),ROUND((INDEX($X$3:$X$252,MATCH($A91-1,$A$3:$A$252,0))-T91)*10,1),""))</f>
        <v/>
      </c>
      <c r="AA91" s="10">
        <f>IF(ISNUMBER(T91),1,0)</f>
        <v/>
      </c>
      <c r="AB91" s="16">
        <f>IF($A91="","",IF(_xlfn.MAXIFS('TP-b'!$B$2:$B$60,'TP-b'!$A$2:$A$60,"3F4D+MD",'TP-b'!$E$2:$E$60,1,'TP-b'!$B$2:$B$60,"&lt;="&amp;$A91)&gt;0,_xlfn.MAXIFS('TP-b'!$B$2:$B$60,'TP-b'!$A$2:$A$60,"3F4D+MD",'TP-b'!$E$2:$E$60,1,'TP-b'!$B$2:$B$60,"&lt;="&amp;$A91),IF(_xlfn.MINIFS('TP-b'!$B$2:$B$60,'TP-b'!$A$2:$A$60,"3F4D+MD",'TP-b'!$E$2:$E$60,1)&gt;0,_xlfn.MINIFS('TP-b'!$B$2:$B$60,'TP-b'!$A$2:$A$60,"3F4D+MD",'TP-b'!$E$2:$E$60,1),"")))</f>
        <v/>
      </c>
      <c r="AC91" s="10">
        <f>IF(AB91="","",AVERAGEIFS('TP-b'!$C$2:$C$60,'TP-b'!$A$2:$A$60,"3F4D+MD",'TP-b'!$B$2:$B$60,AB91,'TP-b'!$E$2:$E$60,1))</f>
        <v/>
      </c>
      <c r="AD91" s="10">
        <f>IF(AB91="","",AVERAGEIFS('TP-b'!$D$2:$D$60,'TP-b'!$A$2:$A$60,"3F4D+MD",'TP-b'!$B$2:$B$60,AB91,'TP-b'!$E$2:$E$60,1))</f>
        <v/>
      </c>
      <c r="AE91" s="10">
        <f>IF(OR($A91="",NOT(ISNUMBER($J91)),AC91=""),"",ROUND($J91-AC91+AD91,1))</f>
        <v/>
      </c>
      <c r="AF91" s="10">
        <f>IF(AND($K91="Yes",ISNUMBER($L91),AC91&lt;&gt;""),ROUND($L91-AC91+AD91,1),"")</f>
        <v/>
      </c>
      <c r="AG91" s="10">
        <f>IF(AND($K91="Yes",ISNUMBER($M91),AC91&lt;&gt;""),ROUND($M91-AC91+AD91,1),"")</f>
        <v/>
      </c>
      <c r="AH91" s="10">
        <f>IF(AND(ISNUMBER($J91),ISNUMBER(AF91),ISNUMBER(AG91)),ROUND((AG91-MAX(AF91,0))*10,1),"")</f>
        <v/>
      </c>
      <c r="AI91" s="10">
        <f>IF(AE91="","",IF(AND($K91="Yes",ISNUMBER(AG91)),AG91,AE91))</f>
        <v/>
      </c>
      <c r="AJ91" s="10">
        <f>IF(AE91="","",ROUND(SUMIFS($AH$3:$AH$252,$A$3:$A$252,"&lt;="&amp;$A91),1))</f>
        <v/>
      </c>
      <c r="AK91" s="10">
        <f>IF(OR(AE91="",$A91=""),"",IF(ISNUMBER(IFERROR(INDEX($AI$3:$AI$252,MATCH($A91-1,$A$3:$A$252,0)),"")),ROUND((INDEX($AI$3:$AI$252,MATCH($A91-1,$A$3:$A$252,0))-AE91)*10,1),""))</f>
        <v/>
      </c>
      <c r="AL91" s="10">
        <f>IF(ISNUMBER(AE91),1,0)</f>
        <v/>
      </c>
      <c r="AM91" s="17">
        <f>IF($A91="","",IF(COUNTIF($A$3:$A$252,$A91)&gt;1,"same date twice; ","")&amp;IF(AND(ISNUMBER($B91),OR($B91&lt;0,$B91&gt;300)),"rain out of range; ","")&amp;IF(AND(ISNUMBER($C91),OR($C91&lt;0,$C91&gt;45)),"temp out of range; ","")&amp;IF(AND(ISNUMBER($D91),OR($D91&lt;0,$D91&gt;100)),"RH out of range; ",""))</f>
        <v/>
      </c>
      <c r="AN91" s="17">
        <f>IF($A91="","",IF(AND(ISNUMBER(T91),OR(T91&lt;-30,T91&gt;20)),"WL out of range; ","")&amp;IF(AND(ISNUMBER($E91),T91=""),"no TP/b; ","")&amp;IF(AND(ISNUMBER(U91),ISNUMBER(V91)),IF(V91&lt;U91,"After&lt;Before; ",""),"")&amp;IF(AND($F91="Yes",ISNUMBER($E91),W91=""),"irrigation readings missing; ","")&amp;IF(ISNUMBER(Z91),IF(AND(ABS(Z91)&gt;50,NOT(N($B91)&gt;0)),"WL jump &gt;5 cm; ",""),""))</f>
        <v/>
      </c>
      <c r="AO91" s="17">
        <f>IF($A91="","",IF(AND(ISNUMBER(AE91),OR(AE91&lt;-30,AE91&gt;20)),"WL out of range; ","")&amp;IF(AND(ISNUMBER($J91),AE91=""),"no TP/b; ","")&amp;IF(AND(ISNUMBER(AF91),ISNUMBER(AG91)),IF(AG91&lt;AF91,"After&lt;Before; ",""),"")&amp;IF(AND($K91="Yes",ISNUMBER($J91),AH91=""),"irrigation readings missing; ","")&amp;IF(ISNUMBER(AK91),IF(AND(ABS(AK91)&gt;50,NOT(N($B91)&gt;0)),"WL jump &gt;5 cm; ",""),"")&amp;IF(AND(ISNUMBER(PitanE),ISNUMBER(AB91),$A91&gt;PitanE+2,AB91&lt;PitanE),"re-measure TP/b after Pitan; ",""))</f>
        <v/>
      </c>
    </row>
    <row r="92">
      <c r="A92" s="14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0">
        <f>IF(OR($A92="",NOT(ISNUMBER(TransDate))),"",$A92-TransDate)</f>
        <v/>
      </c>
      <c r="Q92" s="16">
        <f>IF($A92="","",IF(_xlfn.MAXIFS('TP-b'!$B$2:$B$60,'TP-b'!$A$2:$A$60,"FP",'TP-b'!$E$2:$E$60,1,'TP-b'!$B$2:$B$60,"&lt;="&amp;$A92)&gt;0,_xlfn.MAXIFS('TP-b'!$B$2:$B$60,'TP-b'!$A$2:$A$60,"FP",'TP-b'!$E$2:$E$60,1,'TP-b'!$B$2:$B$60,"&lt;="&amp;$A92),IF(_xlfn.MINIFS('TP-b'!$B$2:$B$60,'TP-b'!$A$2:$A$60,"FP",'TP-b'!$E$2:$E$60,1)&gt;0,_xlfn.MINIFS('TP-b'!$B$2:$B$60,'TP-b'!$A$2:$A$60,"FP",'TP-b'!$E$2:$E$60,1),"")))</f>
        <v/>
      </c>
      <c r="R92" s="10">
        <f>IF(Q92="","",AVERAGEIFS('TP-b'!$C$2:$C$60,'TP-b'!$A$2:$A$60,"FP",'TP-b'!$B$2:$B$60,Q92,'TP-b'!$E$2:$E$60,1))</f>
        <v/>
      </c>
      <c r="S92" s="10">
        <f>IF(Q92="","",AVERAGEIFS('TP-b'!$D$2:$D$60,'TP-b'!$A$2:$A$60,"FP",'TP-b'!$B$2:$B$60,Q92,'TP-b'!$E$2:$E$60,1))</f>
        <v/>
      </c>
      <c r="T92" s="10">
        <f>IF(OR($A92="",NOT(ISNUMBER($E92)),R92=""),"",ROUND($E92-R92+S92,1))</f>
        <v/>
      </c>
      <c r="U92" s="10">
        <f>IF(AND($F92="Yes",ISNUMBER($G92),R92&lt;&gt;""),ROUND($G92-R92+S92,1),"")</f>
        <v/>
      </c>
      <c r="V92" s="10">
        <f>IF(AND($F92="Yes",ISNUMBER($H92),R92&lt;&gt;""),ROUND($H92-R92+S92,1),"")</f>
        <v/>
      </c>
      <c r="W92" s="10">
        <f>IF(AND(ISNUMBER($E92),ISNUMBER(U92),ISNUMBER(V92)),ROUND((V92-MAX(U92,0))*10,1),"")</f>
        <v/>
      </c>
      <c r="X92" s="10">
        <f>IF(T92="","",IF(AND($F92="Yes",ISNUMBER(V92)),V92,T92))</f>
        <v/>
      </c>
      <c r="Y92" s="10">
        <f>IF(T92="","",ROUND(SUMIFS($W$3:$W$252,$A$3:$A$252,"&lt;="&amp;$A92),1))</f>
        <v/>
      </c>
      <c r="Z92" s="10">
        <f>IF(OR(T92="",$A92=""),"",IF(ISNUMBER(IFERROR(INDEX($X$3:$X$252,MATCH($A92-1,$A$3:$A$252,0)),"")),ROUND((INDEX($X$3:$X$252,MATCH($A92-1,$A$3:$A$252,0))-T92)*10,1),""))</f>
        <v/>
      </c>
      <c r="AA92" s="10">
        <f>IF(ISNUMBER(T92),1,0)</f>
        <v/>
      </c>
      <c r="AB92" s="16">
        <f>IF($A92="","",IF(_xlfn.MAXIFS('TP-b'!$B$2:$B$60,'TP-b'!$A$2:$A$60,"3F4D+MD",'TP-b'!$E$2:$E$60,1,'TP-b'!$B$2:$B$60,"&lt;="&amp;$A92)&gt;0,_xlfn.MAXIFS('TP-b'!$B$2:$B$60,'TP-b'!$A$2:$A$60,"3F4D+MD",'TP-b'!$E$2:$E$60,1,'TP-b'!$B$2:$B$60,"&lt;="&amp;$A92),IF(_xlfn.MINIFS('TP-b'!$B$2:$B$60,'TP-b'!$A$2:$A$60,"3F4D+MD",'TP-b'!$E$2:$E$60,1)&gt;0,_xlfn.MINIFS('TP-b'!$B$2:$B$60,'TP-b'!$A$2:$A$60,"3F4D+MD",'TP-b'!$E$2:$E$60,1),"")))</f>
        <v/>
      </c>
      <c r="AC92" s="10">
        <f>IF(AB92="","",AVERAGEIFS('TP-b'!$C$2:$C$60,'TP-b'!$A$2:$A$60,"3F4D+MD",'TP-b'!$B$2:$B$60,AB92,'TP-b'!$E$2:$E$60,1))</f>
        <v/>
      </c>
      <c r="AD92" s="10">
        <f>IF(AB92="","",AVERAGEIFS('TP-b'!$D$2:$D$60,'TP-b'!$A$2:$A$60,"3F4D+MD",'TP-b'!$B$2:$B$60,AB92,'TP-b'!$E$2:$E$60,1))</f>
        <v/>
      </c>
      <c r="AE92" s="10">
        <f>IF(OR($A92="",NOT(ISNUMBER($J92)),AC92=""),"",ROUND($J92-AC92+AD92,1))</f>
        <v/>
      </c>
      <c r="AF92" s="10">
        <f>IF(AND($K92="Yes",ISNUMBER($L92),AC92&lt;&gt;""),ROUND($L92-AC92+AD92,1),"")</f>
        <v/>
      </c>
      <c r="AG92" s="10">
        <f>IF(AND($K92="Yes",ISNUMBER($M92),AC92&lt;&gt;""),ROUND($M92-AC92+AD92,1),"")</f>
        <v/>
      </c>
      <c r="AH92" s="10">
        <f>IF(AND(ISNUMBER($J92),ISNUMBER(AF92),ISNUMBER(AG92)),ROUND((AG92-MAX(AF92,0))*10,1),"")</f>
        <v/>
      </c>
      <c r="AI92" s="10">
        <f>IF(AE92="","",IF(AND($K92="Yes",ISNUMBER(AG92)),AG92,AE92))</f>
        <v/>
      </c>
      <c r="AJ92" s="10">
        <f>IF(AE92="","",ROUND(SUMIFS($AH$3:$AH$252,$A$3:$A$252,"&lt;="&amp;$A92),1))</f>
        <v/>
      </c>
      <c r="AK92" s="10">
        <f>IF(OR(AE92="",$A92=""),"",IF(ISNUMBER(IFERROR(INDEX($AI$3:$AI$252,MATCH($A92-1,$A$3:$A$252,0)),"")),ROUND((INDEX($AI$3:$AI$252,MATCH($A92-1,$A$3:$A$252,0))-AE92)*10,1),""))</f>
        <v/>
      </c>
      <c r="AL92" s="10">
        <f>IF(ISNUMBER(AE92),1,0)</f>
        <v/>
      </c>
      <c r="AM92" s="17">
        <f>IF($A92="","",IF(COUNTIF($A$3:$A$252,$A92)&gt;1,"same date twice; ","")&amp;IF(AND(ISNUMBER($B92),OR($B92&lt;0,$B92&gt;300)),"rain out of range; ","")&amp;IF(AND(ISNUMBER($C92),OR($C92&lt;0,$C92&gt;45)),"temp out of range; ","")&amp;IF(AND(ISNUMBER($D92),OR($D92&lt;0,$D92&gt;100)),"RH out of range; ",""))</f>
        <v/>
      </c>
      <c r="AN92" s="17">
        <f>IF($A92="","",IF(AND(ISNUMBER(T92),OR(T92&lt;-30,T92&gt;20)),"WL out of range; ","")&amp;IF(AND(ISNUMBER($E92),T92=""),"no TP/b; ","")&amp;IF(AND(ISNUMBER(U92),ISNUMBER(V92)),IF(V92&lt;U92,"After&lt;Before; ",""),"")&amp;IF(AND($F92="Yes",ISNUMBER($E92),W92=""),"irrigation readings missing; ","")&amp;IF(ISNUMBER(Z92),IF(AND(ABS(Z92)&gt;50,NOT(N($B92)&gt;0)),"WL jump &gt;5 cm; ",""),""))</f>
        <v/>
      </c>
      <c r="AO92" s="17">
        <f>IF($A92="","",IF(AND(ISNUMBER(AE92),OR(AE92&lt;-30,AE92&gt;20)),"WL out of range; ","")&amp;IF(AND(ISNUMBER($J92),AE92=""),"no TP/b; ","")&amp;IF(AND(ISNUMBER(AF92),ISNUMBER(AG92)),IF(AG92&lt;AF92,"After&lt;Before; ",""),"")&amp;IF(AND($K92="Yes",ISNUMBER($J92),AH92=""),"irrigation readings missing; ","")&amp;IF(ISNUMBER(AK92),IF(AND(ABS(AK92)&gt;50,NOT(N($B92)&gt;0)),"WL jump &gt;5 cm; ",""),"")&amp;IF(AND(ISNUMBER(PitanE),ISNUMBER(AB92),$A92&gt;PitanE+2,AB92&lt;PitanE),"re-measure TP/b after Pitan; ",""))</f>
        <v/>
      </c>
    </row>
    <row r="93">
      <c r="A93" s="14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0">
        <f>IF(OR($A93="",NOT(ISNUMBER(TransDate))),"",$A93-TransDate)</f>
        <v/>
      </c>
      <c r="Q93" s="16">
        <f>IF($A93="","",IF(_xlfn.MAXIFS('TP-b'!$B$2:$B$60,'TP-b'!$A$2:$A$60,"FP",'TP-b'!$E$2:$E$60,1,'TP-b'!$B$2:$B$60,"&lt;="&amp;$A93)&gt;0,_xlfn.MAXIFS('TP-b'!$B$2:$B$60,'TP-b'!$A$2:$A$60,"FP",'TP-b'!$E$2:$E$60,1,'TP-b'!$B$2:$B$60,"&lt;="&amp;$A93),IF(_xlfn.MINIFS('TP-b'!$B$2:$B$60,'TP-b'!$A$2:$A$60,"FP",'TP-b'!$E$2:$E$60,1)&gt;0,_xlfn.MINIFS('TP-b'!$B$2:$B$60,'TP-b'!$A$2:$A$60,"FP",'TP-b'!$E$2:$E$60,1),"")))</f>
        <v/>
      </c>
      <c r="R93" s="10">
        <f>IF(Q93="","",AVERAGEIFS('TP-b'!$C$2:$C$60,'TP-b'!$A$2:$A$60,"FP",'TP-b'!$B$2:$B$60,Q93,'TP-b'!$E$2:$E$60,1))</f>
        <v/>
      </c>
      <c r="S93" s="10">
        <f>IF(Q93="","",AVERAGEIFS('TP-b'!$D$2:$D$60,'TP-b'!$A$2:$A$60,"FP",'TP-b'!$B$2:$B$60,Q93,'TP-b'!$E$2:$E$60,1))</f>
        <v/>
      </c>
      <c r="T93" s="10">
        <f>IF(OR($A93="",NOT(ISNUMBER($E93)),R93=""),"",ROUND($E93-R93+S93,1))</f>
        <v/>
      </c>
      <c r="U93" s="10">
        <f>IF(AND($F93="Yes",ISNUMBER($G93),R93&lt;&gt;""),ROUND($G93-R93+S93,1),"")</f>
        <v/>
      </c>
      <c r="V93" s="10">
        <f>IF(AND($F93="Yes",ISNUMBER($H93),R93&lt;&gt;""),ROUND($H93-R93+S93,1),"")</f>
        <v/>
      </c>
      <c r="W93" s="10">
        <f>IF(AND(ISNUMBER($E93),ISNUMBER(U93),ISNUMBER(V93)),ROUND((V93-MAX(U93,0))*10,1),"")</f>
        <v/>
      </c>
      <c r="X93" s="10">
        <f>IF(T93="","",IF(AND($F93="Yes",ISNUMBER(V93)),V93,T93))</f>
        <v/>
      </c>
      <c r="Y93" s="10">
        <f>IF(T93="","",ROUND(SUMIFS($W$3:$W$252,$A$3:$A$252,"&lt;="&amp;$A93),1))</f>
        <v/>
      </c>
      <c r="Z93" s="10">
        <f>IF(OR(T93="",$A93=""),"",IF(ISNUMBER(IFERROR(INDEX($X$3:$X$252,MATCH($A93-1,$A$3:$A$252,0)),"")),ROUND((INDEX($X$3:$X$252,MATCH($A93-1,$A$3:$A$252,0))-T93)*10,1),""))</f>
        <v/>
      </c>
      <c r="AA93" s="10">
        <f>IF(ISNUMBER(T93),1,0)</f>
        <v/>
      </c>
      <c r="AB93" s="16">
        <f>IF($A93="","",IF(_xlfn.MAXIFS('TP-b'!$B$2:$B$60,'TP-b'!$A$2:$A$60,"3F4D+MD",'TP-b'!$E$2:$E$60,1,'TP-b'!$B$2:$B$60,"&lt;="&amp;$A93)&gt;0,_xlfn.MAXIFS('TP-b'!$B$2:$B$60,'TP-b'!$A$2:$A$60,"3F4D+MD",'TP-b'!$E$2:$E$60,1,'TP-b'!$B$2:$B$60,"&lt;="&amp;$A93),IF(_xlfn.MINIFS('TP-b'!$B$2:$B$60,'TP-b'!$A$2:$A$60,"3F4D+MD",'TP-b'!$E$2:$E$60,1)&gt;0,_xlfn.MINIFS('TP-b'!$B$2:$B$60,'TP-b'!$A$2:$A$60,"3F4D+MD",'TP-b'!$E$2:$E$60,1),"")))</f>
        <v/>
      </c>
      <c r="AC93" s="10">
        <f>IF(AB93="","",AVERAGEIFS('TP-b'!$C$2:$C$60,'TP-b'!$A$2:$A$60,"3F4D+MD",'TP-b'!$B$2:$B$60,AB93,'TP-b'!$E$2:$E$60,1))</f>
        <v/>
      </c>
      <c r="AD93" s="10">
        <f>IF(AB93="","",AVERAGEIFS('TP-b'!$D$2:$D$60,'TP-b'!$A$2:$A$60,"3F4D+MD",'TP-b'!$B$2:$B$60,AB93,'TP-b'!$E$2:$E$60,1))</f>
        <v/>
      </c>
      <c r="AE93" s="10">
        <f>IF(OR($A93="",NOT(ISNUMBER($J93)),AC93=""),"",ROUND($J93-AC93+AD93,1))</f>
        <v/>
      </c>
      <c r="AF93" s="10">
        <f>IF(AND($K93="Yes",ISNUMBER($L93),AC93&lt;&gt;""),ROUND($L93-AC93+AD93,1),"")</f>
        <v/>
      </c>
      <c r="AG93" s="10">
        <f>IF(AND($K93="Yes",ISNUMBER($M93),AC93&lt;&gt;""),ROUND($M93-AC93+AD93,1),"")</f>
        <v/>
      </c>
      <c r="AH93" s="10">
        <f>IF(AND(ISNUMBER($J93),ISNUMBER(AF93),ISNUMBER(AG93)),ROUND((AG93-MAX(AF93,0))*10,1),"")</f>
        <v/>
      </c>
      <c r="AI93" s="10">
        <f>IF(AE93="","",IF(AND($K93="Yes",ISNUMBER(AG93)),AG93,AE93))</f>
        <v/>
      </c>
      <c r="AJ93" s="10">
        <f>IF(AE93="","",ROUND(SUMIFS($AH$3:$AH$252,$A$3:$A$252,"&lt;="&amp;$A93),1))</f>
        <v/>
      </c>
      <c r="AK93" s="10">
        <f>IF(OR(AE93="",$A93=""),"",IF(ISNUMBER(IFERROR(INDEX($AI$3:$AI$252,MATCH($A93-1,$A$3:$A$252,0)),"")),ROUND((INDEX($AI$3:$AI$252,MATCH($A93-1,$A$3:$A$252,0))-AE93)*10,1),""))</f>
        <v/>
      </c>
      <c r="AL93" s="10">
        <f>IF(ISNUMBER(AE93),1,0)</f>
        <v/>
      </c>
      <c r="AM93" s="17">
        <f>IF($A93="","",IF(COUNTIF($A$3:$A$252,$A93)&gt;1,"same date twice; ","")&amp;IF(AND(ISNUMBER($B93),OR($B93&lt;0,$B93&gt;300)),"rain out of range; ","")&amp;IF(AND(ISNUMBER($C93),OR($C93&lt;0,$C93&gt;45)),"temp out of range; ","")&amp;IF(AND(ISNUMBER($D93),OR($D93&lt;0,$D93&gt;100)),"RH out of range; ",""))</f>
        <v/>
      </c>
      <c r="AN93" s="17">
        <f>IF($A93="","",IF(AND(ISNUMBER(T93),OR(T93&lt;-30,T93&gt;20)),"WL out of range; ","")&amp;IF(AND(ISNUMBER($E93),T93=""),"no TP/b; ","")&amp;IF(AND(ISNUMBER(U93),ISNUMBER(V93)),IF(V93&lt;U93,"After&lt;Before; ",""),"")&amp;IF(AND($F93="Yes",ISNUMBER($E93),W93=""),"irrigation readings missing; ","")&amp;IF(ISNUMBER(Z93),IF(AND(ABS(Z93)&gt;50,NOT(N($B93)&gt;0)),"WL jump &gt;5 cm; ",""),""))</f>
        <v/>
      </c>
      <c r="AO93" s="17">
        <f>IF($A93="","",IF(AND(ISNUMBER(AE93),OR(AE93&lt;-30,AE93&gt;20)),"WL out of range; ","")&amp;IF(AND(ISNUMBER($J93),AE93=""),"no TP/b; ","")&amp;IF(AND(ISNUMBER(AF93),ISNUMBER(AG93)),IF(AG93&lt;AF93,"After&lt;Before; ",""),"")&amp;IF(AND($K93="Yes",ISNUMBER($J93),AH93=""),"irrigation readings missing; ","")&amp;IF(ISNUMBER(AK93),IF(AND(ABS(AK93)&gt;50,NOT(N($B93)&gt;0)),"WL jump &gt;5 cm; ",""),"")&amp;IF(AND(ISNUMBER(PitanE),ISNUMBER(AB93),$A93&gt;PitanE+2,AB93&lt;PitanE),"re-measure TP/b after Pitan; ",""))</f>
        <v/>
      </c>
    </row>
    <row r="94">
      <c r="A94" s="14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0">
        <f>IF(OR($A94="",NOT(ISNUMBER(TransDate))),"",$A94-TransDate)</f>
        <v/>
      </c>
      <c r="Q94" s="16">
        <f>IF($A94="","",IF(_xlfn.MAXIFS('TP-b'!$B$2:$B$60,'TP-b'!$A$2:$A$60,"FP",'TP-b'!$E$2:$E$60,1,'TP-b'!$B$2:$B$60,"&lt;="&amp;$A94)&gt;0,_xlfn.MAXIFS('TP-b'!$B$2:$B$60,'TP-b'!$A$2:$A$60,"FP",'TP-b'!$E$2:$E$60,1,'TP-b'!$B$2:$B$60,"&lt;="&amp;$A94),IF(_xlfn.MINIFS('TP-b'!$B$2:$B$60,'TP-b'!$A$2:$A$60,"FP",'TP-b'!$E$2:$E$60,1)&gt;0,_xlfn.MINIFS('TP-b'!$B$2:$B$60,'TP-b'!$A$2:$A$60,"FP",'TP-b'!$E$2:$E$60,1),"")))</f>
        <v/>
      </c>
      <c r="R94" s="10">
        <f>IF(Q94="","",AVERAGEIFS('TP-b'!$C$2:$C$60,'TP-b'!$A$2:$A$60,"FP",'TP-b'!$B$2:$B$60,Q94,'TP-b'!$E$2:$E$60,1))</f>
        <v/>
      </c>
      <c r="S94" s="10">
        <f>IF(Q94="","",AVERAGEIFS('TP-b'!$D$2:$D$60,'TP-b'!$A$2:$A$60,"FP",'TP-b'!$B$2:$B$60,Q94,'TP-b'!$E$2:$E$60,1))</f>
        <v/>
      </c>
      <c r="T94" s="10">
        <f>IF(OR($A94="",NOT(ISNUMBER($E94)),R94=""),"",ROUND($E94-R94+S94,1))</f>
        <v/>
      </c>
      <c r="U94" s="10">
        <f>IF(AND($F94="Yes",ISNUMBER($G94),R94&lt;&gt;""),ROUND($G94-R94+S94,1),"")</f>
        <v/>
      </c>
      <c r="V94" s="10">
        <f>IF(AND($F94="Yes",ISNUMBER($H94),R94&lt;&gt;""),ROUND($H94-R94+S94,1),"")</f>
        <v/>
      </c>
      <c r="W94" s="10">
        <f>IF(AND(ISNUMBER($E94),ISNUMBER(U94),ISNUMBER(V94)),ROUND((V94-MAX(U94,0))*10,1),"")</f>
        <v/>
      </c>
      <c r="X94" s="10">
        <f>IF(T94="","",IF(AND($F94="Yes",ISNUMBER(V94)),V94,T94))</f>
        <v/>
      </c>
      <c r="Y94" s="10">
        <f>IF(T94="","",ROUND(SUMIFS($W$3:$W$252,$A$3:$A$252,"&lt;="&amp;$A94),1))</f>
        <v/>
      </c>
      <c r="Z94" s="10">
        <f>IF(OR(T94="",$A94=""),"",IF(ISNUMBER(IFERROR(INDEX($X$3:$X$252,MATCH($A94-1,$A$3:$A$252,0)),"")),ROUND((INDEX($X$3:$X$252,MATCH($A94-1,$A$3:$A$252,0))-T94)*10,1),""))</f>
        <v/>
      </c>
      <c r="AA94" s="10">
        <f>IF(ISNUMBER(T94),1,0)</f>
        <v/>
      </c>
      <c r="AB94" s="16">
        <f>IF($A94="","",IF(_xlfn.MAXIFS('TP-b'!$B$2:$B$60,'TP-b'!$A$2:$A$60,"3F4D+MD",'TP-b'!$E$2:$E$60,1,'TP-b'!$B$2:$B$60,"&lt;="&amp;$A94)&gt;0,_xlfn.MAXIFS('TP-b'!$B$2:$B$60,'TP-b'!$A$2:$A$60,"3F4D+MD",'TP-b'!$E$2:$E$60,1,'TP-b'!$B$2:$B$60,"&lt;="&amp;$A94),IF(_xlfn.MINIFS('TP-b'!$B$2:$B$60,'TP-b'!$A$2:$A$60,"3F4D+MD",'TP-b'!$E$2:$E$60,1)&gt;0,_xlfn.MINIFS('TP-b'!$B$2:$B$60,'TP-b'!$A$2:$A$60,"3F4D+MD",'TP-b'!$E$2:$E$60,1),"")))</f>
        <v/>
      </c>
      <c r="AC94" s="10">
        <f>IF(AB94="","",AVERAGEIFS('TP-b'!$C$2:$C$60,'TP-b'!$A$2:$A$60,"3F4D+MD",'TP-b'!$B$2:$B$60,AB94,'TP-b'!$E$2:$E$60,1))</f>
        <v/>
      </c>
      <c r="AD94" s="10">
        <f>IF(AB94="","",AVERAGEIFS('TP-b'!$D$2:$D$60,'TP-b'!$A$2:$A$60,"3F4D+MD",'TP-b'!$B$2:$B$60,AB94,'TP-b'!$E$2:$E$60,1))</f>
        <v/>
      </c>
      <c r="AE94" s="10">
        <f>IF(OR($A94="",NOT(ISNUMBER($J94)),AC94=""),"",ROUND($J94-AC94+AD94,1))</f>
        <v/>
      </c>
      <c r="AF94" s="10">
        <f>IF(AND($K94="Yes",ISNUMBER($L94),AC94&lt;&gt;""),ROUND($L94-AC94+AD94,1),"")</f>
        <v/>
      </c>
      <c r="AG94" s="10">
        <f>IF(AND($K94="Yes",ISNUMBER($M94),AC94&lt;&gt;""),ROUND($M94-AC94+AD94,1),"")</f>
        <v/>
      </c>
      <c r="AH94" s="10">
        <f>IF(AND(ISNUMBER($J94),ISNUMBER(AF94),ISNUMBER(AG94)),ROUND((AG94-MAX(AF94,0))*10,1),"")</f>
        <v/>
      </c>
      <c r="AI94" s="10">
        <f>IF(AE94="","",IF(AND($K94="Yes",ISNUMBER(AG94)),AG94,AE94))</f>
        <v/>
      </c>
      <c r="AJ94" s="10">
        <f>IF(AE94="","",ROUND(SUMIFS($AH$3:$AH$252,$A$3:$A$252,"&lt;="&amp;$A94),1))</f>
        <v/>
      </c>
      <c r="AK94" s="10">
        <f>IF(OR(AE94="",$A94=""),"",IF(ISNUMBER(IFERROR(INDEX($AI$3:$AI$252,MATCH($A94-1,$A$3:$A$252,0)),"")),ROUND((INDEX($AI$3:$AI$252,MATCH($A94-1,$A$3:$A$252,0))-AE94)*10,1),""))</f>
        <v/>
      </c>
      <c r="AL94" s="10">
        <f>IF(ISNUMBER(AE94),1,0)</f>
        <v/>
      </c>
      <c r="AM94" s="17">
        <f>IF($A94="","",IF(COUNTIF($A$3:$A$252,$A94)&gt;1,"same date twice; ","")&amp;IF(AND(ISNUMBER($B94),OR($B94&lt;0,$B94&gt;300)),"rain out of range; ","")&amp;IF(AND(ISNUMBER($C94),OR($C94&lt;0,$C94&gt;45)),"temp out of range; ","")&amp;IF(AND(ISNUMBER($D94),OR($D94&lt;0,$D94&gt;100)),"RH out of range; ",""))</f>
        <v/>
      </c>
      <c r="AN94" s="17">
        <f>IF($A94="","",IF(AND(ISNUMBER(T94),OR(T94&lt;-30,T94&gt;20)),"WL out of range; ","")&amp;IF(AND(ISNUMBER($E94),T94=""),"no TP/b; ","")&amp;IF(AND(ISNUMBER(U94),ISNUMBER(V94)),IF(V94&lt;U94,"After&lt;Before; ",""),"")&amp;IF(AND($F94="Yes",ISNUMBER($E94),W94=""),"irrigation readings missing; ","")&amp;IF(ISNUMBER(Z94),IF(AND(ABS(Z94)&gt;50,NOT(N($B94)&gt;0)),"WL jump &gt;5 cm; ",""),""))</f>
        <v/>
      </c>
      <c r="AO94" s="17">
        <f>IF($A94="","",IF(AND(ISNUMBER(AE94),OR(AE94&lt;-30,AE94&gt;20)),"WL out of range; ","")&amp;IF(AND(ISNUMBER($J94),AE94=""),"no TP/b; ","")&amp;IF(AND(ISNUMBER(AF94),ISNUMBER(AG94)),IF(AG94&lt;AF94,"After&lt;Before; ",""),"")&amp;IF(AND($K94="Yes",ISNUMBER($J94),AH94=""),"irrigation readings missing; ","")&amp;IF(ISNUMBER(AK94),IF(AND(ABS(AK94)&gt;50,NOT(N($B94)&gt;0)),"WL jump &gt;5 cm; ",""),"")&amp;IF(AND(ISNUMBER(PitanE),ISNUMBER(AB94),$A94&gt;PitanE+2,AB94&lt;PitanE),"re-measure TP/b after Pitan; ",""))</f>
        <v/>
      </c>
    </row>
    <row r="95">
      <c r="A95" s="14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0">
        <f>IF(OR($A95="",NOT(ISNUMBER(TransDate))),"",$A95-TransDate)</f>
        <v/>
      </c>
      <c r="Q95" s="16">
        <f>IF($A95="","",IF(_xlfn.MAXIFS('TP-b'!$B$2:$B$60,'TP-b'!$A$2:$A$60,"FP",'TP-b'!$E$2:$E$60,1,'TP-b'!$B$2:$B$60,"&lt;="&amp;$A95)&gt;0,_xlfn.MAXIFS('TP-b'!$B$2:$B$60,'TP-b'!$A$2:$A$60,"FP",'TP-b'!$E$2:$E$60,1,'TP-b'!$B$2:$B$60,"&lt;="&amp;$A95),IF(_xlfn.MINIFS('TP-b'!$B$2:$B$60,'TP-b'!$A$2:$A$60,"FP",'TP-b'!$E$2:$E$60,1)&gt;0,_xlfn.MINIFS('TP-b'!$B$2:$B$60,'TP-b'!$A$2:$A$60,"FP",'TP-b'!$E$2:$E$60,1),"")))</f>
        <v/>
      </c>
      <c r="R95" s="10">
        <f>IF(Q95="","",AVERAGEIFS('TP-b'!$C$2:$C$60,'TP-b'!$A$2:$A$60,"FP",'TP-b'!$B$2:$B$60,Q95,'TP-b'!$E$2:$E$60,1))</f>
        <v/>
      </c>
      <c r="S95" s="10">
        <f>IF(Q95="","",AVERAGEIFS('TP-b'!$D$2:$D$60,'TP-b'!$A$2:$A$60,"FP",'TP-b'!$B$2:$B$60,Q95,'TP-b'!$E$2:$E$60,1))</f>
        <v/>
      </c>
      <c r="T95" s="10">
        <f>IF(OR($A95="",NOT(ISNUMBER($E95)),R95=""),"",ROUND($E95-R95+S95,1))</f>
        <v/>
      </c>
      <c r="U95" s="10">
        <f>IF(AND($F95="Yes",ISNUMBER($G95),R95&lt;&gt;""),ROUND($G95-R95+S95,1),"")</f>
        <v/>
      </c>
      <c r="V95" s="10">
        <f>IF(AND($F95="Yes",ISNUMBER($H95),R95&lt;&gt;""),ROUND($H95-R95+S95,1),"")</f>
        <v/>
      </c>
      <c r="W95" s="10">
        <f>IF(AND(ISNUMBER($E95),ISNUMBER(U95),ISNUMBER(V95)),ROUND((V95-MAX(U95,0))*10,1),"")</f>
        <v/>
      </c>
      <c r="X95" s="10">
        <f>IF(T95="","",IF(AND($F95="Yes",ISNUMBER(V95)),V95,T95))</f>
        <v/>
      </c>
      <c r="Y95" s="10">
        <f>IF(T95="","",ROUND(SUMIFS($W$3:$W$252,$A$3:$A$252,"&lt;="&amp;$A95),1))</f>
        <v/>
      </c>
      <c r="Z95" s="10">
        <f>IF(OR(T95="",$A95=""),"",IF(ISNUMBER(IFERROR(INDEX($X$3:$X$252,MATCH($A95-1,$A$3:$A$252,0)),"")),ROUND((INDEX($X$3:$X$252,MATCH($A95-1,$A$3:$A$252,0))-T95)*10,1),""))</f>
        <v/>
      </c>
      <c r="AA95" s="10">
        <f>IF(ISNUMBER(T95),1,0)</f>
        <v/>
      </c>
      <c r="AB95" s="16">
        <f>IF($A95="","",IF(_xlfn.MAXIFS('TP-b'!$B$2:$B$60,'TP-b'!$A$2:$A$60,"3F4D+MD",'TP-b'!$E$2:$E$60,1,'TP-b'!$B$2:$B$60,"&lt;="&amp;$A95)&gt;0,_xlfn.MAXIFS('TP-b'!$B$2:$B$60,'TP-b'!$A$2:$A$60,"3F4D+MD",'TP-b'!$E$2:$E$60,1,'TP-b'!$B$2:$B$60,"&lt;="&amp;$A95),IF(_xlfn.MINIFS('TP-b'!$B$2:$B$60,'TP-b'!$A$2:$A$60,"3F4D+MD",'TP-b'!$E$2:$E$60,1)&gt;0,_xlfn.MINIFS('TP-b'!$B$2:$B$60,'TP-b'!$A$2:$A$60,"3F4D+MD",'TP-b'!$E$2:$E$60,1),"")))</f>
        <v/>
      </c>
      <c r="AC95" s="10">
        <f>IF(AB95="","",AVERAGEIFS('TP-b'!$C$2:$C$60,'TP-b'!$A$2:$A$60,"3F4D+MD",'TP-b'!$B$2:$B$60,AB95,'TP-b'!$E$2:$E$60,1))</f>
        <v/>
      </c>
      <c r="AD95" s="10">
        <f>IF(AB95="","",AVERAGEIFS('TP-b'!$D$2:$D$60,'TP-b'!$A$2:$A$60,"3F4D+MD",'TP-b'!$B$2:$B$60,AB95,'TP-b'!$E$2:$E$60,1))</f>
        <v/>
      </c>
      <c r="AE95" s="10">
        <f>IF(OR($A95="",NOT(ISNUMBER($J95)),AC95=""),"",ROUND($J95-AC95+AD95,1))</f>
        <v/>
      </c>
      <c r="AF95" s="10">
        <f>IF(AND($K95="Yes",ISNUMBER($L95),AC95&lt;&gt;""),ROUND($L95-AC95+AD95,1),"")</f>
        <v/>
      </c>
      <c r="AG95" s="10">
        <f>IF(AND($K95="Yes",ISNUMBER($M95),AC95&lt;&gt;""),ROUND($M95-AC95+AD95,1),"")</f>
        <v/>
      </c>
      <c r="AH95" s="10">
        <f>IF(AND(ISNUMBER($J95),ISNUMBER(AF95),ISNUMBER(AG95)),ROUND((AG95-MAX(AF95,0))*10,1),"")</f>
        <v/>
      </c>
      <c r="AI95" s="10">
        <f>IF(AE95="","",IF(AND($K95="Yes",ISNUMBER(AG95)),AG95,AE95))</f>
        <v/>
      </c>
      <c r="AJ95" s="10">
        <f>IF(AE95="","",ROUND(SUMIFS($AH$3:$AH$252,$A$3:$A$252,"&lt;="&amp;$A95),1))</f>
        <v/>
      </c>
      <c r="AK95" s="10">
        <f>IF(OR(AE95="",$A95=""),"",IF(ISNUMBER(IFERROR(INDEX($AI$3:$AI$252,MATCH($A95-1,$A$3:$A$252,0)),"")),ROUND((INDEX($AI$3:$AI$252,MATCH($A95-1,$A$3:$A$252,0))-AE95)*10,1),""))</f>
        <v/>
      </c>
      <c r="AL95" s="10">
        <f>IF(ISNUMBER(AE95),1,0)</f>
        <v/>
      </c>
      <c r="AM95" s="17">
        <f>IF($A95="","",IF(COUNTIF($A$3:$A$252,$A95)&gt;1,"same date twice; ","")&amp;IF(AND(ISNUMBER($B95),OR($B95&lt;0,$B95&gt;300)),"rain out of range; ","")&amp;IF(AND(ISNUMBER($C95),OR($C95&lt;0,$C95&gt;45)),"temp out of range; ","")&amp;IF(AND(ISNUMBER($D95),OR($D95&lt;0,$D95&gt;100)),"RH out of range; ",""))</f>
        <v/>
      </c>
      <c r="AN95" s="17">
        <f>IF($A95="","",IF(AND(ISNUMBER(T95),OR(T95&lt;-30,T95&gt;20)),"WL out of range; ","")&amp;IF(AND(ISNUMBER($E95),T95=""),"no TP/b; ","")&amp;IF(AND(ISNUMBER(U95),ISNUMBER(V95)),IF(V95&lt;U95,"After&lt;Before; ",""),"")&amp;IF(AND($F95="Yes",ISNUMBER($E95),W95=""),"irrigation readings missing; ","")&amp;IF(ISNUMBER(Z95),IF(AND(ABS(Z95)&gt;50,NOT(N($B95)&gt;0)),"WL jump &gt;5 cm; ",""),""))</f>
        <v/>
      </c>
      <c r="AO95" s="17">
        <f>IF($A95="","",IF(AND(ISNUMBER(AE95),OR(AE95&lt;-30,AE95&gt;20)),"WL out of range; ","")&amp;IF(AND(ISNUMBER($J95),AE95=""),"no TP/b; ","")&amp;IF(AND(ISNUMBER(AF95),ISNUMBER(AG95)),IF(AG95&lt;AF95,"After&lt;Before; ",""),"")&amp;IF(AND($K95="Yes",ISNUMBER($J95),AH95=""),"irrigation readings missing; ","")&amp;IF(ISNUMBER(AK95),IF(AND(ABS(AK95)&gt;50,NOT(N($B95)&gt;0)),"WL jump &gt;5 cm; ",""),"")&amp;IF(AND(ISNUMBER(PitanE),ISNUMBER(AB95),$A95&gt;PitanE+2,AB95&lt;PitanE),"re-measure TP/b after Pitan; ",""))</f>
        <v/>
      </c>
    </row>
    <row r="96">
      <c r="A96" s="14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0">
        <f>IF(OR($A96="",NOT(ISNUMBER(TransDate))),"",$A96-TransDate)</f>
        <v/>
      </c>
      <c r="Q96" s="16">
        <f>IF($A96="","",IF(_xlfn.MAXIFS('TP-b'!$B$2:$B$60,'TP-b'!$A$2:$A$60,"FP",'TP-b'!$E$2:$E$60,1,'TP-b'!$B$2:$B$60,"&lt;="&amp;$A96)&gt;0,_xlfn.MAXIFS('TP-b'!$B$2:$B$60,'TP-b'!$A$2:$A$60,"FP",'TP-b'!$E$2:$E$60,1,'TP-b'!$B$2:$B$60,"&lt;="&amp;$A96),IF(_xlfn.MINIFS('TP-b'!$B$2:$B$60,'TP-b'!$A$2:$A$60,"FP",'TP-b'!$E$2:$E$60,1)&gt;0,_xlfn.MINIFS('TP-b'!$B$2:$B$60,'TP-b'!$A$2:$A$60,"FP",'TP-b'!$E$2:$E$60,1),"")))</f>
        <v/>
      </c>
      <c r="R96" s="10">
        <f>IF(Q96="","",AVERAGEIFS('TP-b'!$C$2:$C$60,'TP-b'!$A$2:$A$60,"FP",'TP-b'!$B$2:$B$60,Q96,'TP-b'!$E$2:$E$60,1))</f>
        <v/>
      </c>
      <c r="S96" s="10">
        <f>IF(Q96="","",AVERAGEIFS('TP-b'!$D$2:$D$60,'TP-b'!$A$2:$A$60,"FP",'TP-b'!$B$2:$B$60,Q96,'TP-b'!$E$2:$E$60,1))</f>
        <v/>
      </c>
      <c r="T96" s="10">
        <f>IF(OR($A96="",NOT(ISNUMBER($E96)),R96=""),"",ROUND($E96-R96+S96,1))</f>
        <v/>
      </c>
      <c r="U96" s="10">
        <f>IF(AND($F96="Yes",ISNUMBER($G96),R96&lt;&gt;""),ROUND($G96-R96+S96,1),"")</f>
        <v/>
      </c>
      <c r="V96" s="10">
        <f>IF(AND($F96="Yes",ISNUMBER($H96),R96&lt;&gt;""),ROUND($H96-R96+S96,1),"")</f>
        <v/>
      </c>
      <c r="W96" s="10">
        <f>IF(AND(ISNUMBER($E96),ISNUMBER(U96),ISNUMBER(V96)),ROUND((V96-MAX(U96,0))*10,1),"")</f>
        <v/>
      </c>
      <c r="X96" s="10">
        <f>IF(T96="","",IF(AND($F96="Yes",ISNUMBER(V96)),V96,T96))</f>
        <v/>
      </c>
      <c r="Y96" s="10">
        <f>IF(T96="","",ROUND(SUMIFS($W$3:$W$252,$A$3:$A$252,"&lt;="&amp;$A96),1))</f>
        <v/>
      </c>
      <c r="Z96" s="10">
        <f>IF(OR(T96="",$A96=""),"",IF(ISNUMBER(IFERROR(INDEX($X$3:$X$252,MATCH($A96-1,$A$3:$A$252,0)),"")),ROUND((INDEX($X$3:$X$252,MATCH($A96-1,$A$3:$A$252,0))-T96)*10,1),""))</f>
        <v/>
      </c>
      <c r="AA96" s="10">
        <f>IF(ISNUMBER(T96),1,0)</f>
        <v/>
      </c>
      <c r="AB96" s="16">
        <f>IF($A96="","",IF(_xlfn.MAXIFS('TP-b'!$B$2:$B$60,'TP-b'!$A$2:$A$60,"3F4D+MD",'TP-b'!$E$2:$E$60,1,'TP-b'!$B$2:$B$60,"&lt;="&amp;$A96)&gt;0,_xlfn.MAXIFS('TP-b'!$B$2:$B$60,'TP-b'!$A$2:$A$60,"3F4D+MD",'TP-b'!$E$2:$E$60,1,'TP-b'!$B$2:$B$60,"&lt;="&amp;$A96),IF(_xlfn.MINIFS('TP-b'!$B$2:$B$60,'TP-b'!$A$2:$A$60,"3F4D+MD",'TP-b'!$E$2:$E$60,1)&gt;0,_xlfn.MINIFS('TP-b'!$B$2:$B$60,'TP-b'!$A$2:$A$60,"3F4D+MD",'TP-b'!$E$2:$E$60,1),"")))</f>
        <v/>
      </c>
      <c r="AC96" s="10">
        <f>IF(AB96="","",AVERAGEIFS('TP-b'!$C$2:$C$60,'TP-b'!$A$2:$A$60,"3F4D+MD",'TP-b'!$B$2:$B$60,AB96,'TP-b'!$E$2:$E$60,1))</f>
        <v/>
      </c>
      <c r="AD96" s="10">
        <f>IF(AB96="","",AVERAGEIFS('TP-b'!$D$2:$D$60,'TP-b'!$A$2:$A$60,"3F4D+MD",'TP-b'!$B$2:$B$60,AB96,'TP-b'!$E$2:$E$60,1))</f>
        <v/>
      </c>
      <c r="AE96" s="10">
        <f>IF(OR($A96="",NOT(ISNUMBER($J96)),AC96=""),"",ROUND($J96-AC96+AD96,1))</f>
        <v/>
      </c>
      <c r="AF96" s="10">
        <f>IF(AND($K96="Yes",ISNUMBER($L96),AC96&lt;&gt;""),ROUND($L96-AC96+AD96,1),"")</f>
        <v/>
      </c>
      <c r="AG96" s="10">
        <f>IF(AND($K96="Yes",ISNUMBER($M96),AC96&lt;&gt;""),ROUND($M96-AC96+AD96,1),"")</f>
        <v/>
      </c>
      <c r="AH96" s="10">
        <f>IF(AND(ISNUMBER($J96),ISNUMBER(AF96),ISNUMBER(AG96)),ROUND((AG96-MAX(AF96,0))*10,1),"")</f>
        <v/>
      </c>
      <c r="AI96" s="10">
        <f>IF(AE96="","",IF(AND($K96="Yes",ISNUMBER(AG96)),AG96,AE96))</f>
        <v/>
      </c>
      <c r="AJ96" s="10">
        <f>IF(AE96="","",ROUND(SUMIFS($AH$3:$AH$252,$A$3:$A$252,"&lt;="&amp;$A96),1))</f>
        <v/>
      </c>
      <c r="AK96" s="10">
        <f>IF(OR(AE96="",$A96=""),"",IF(ISNUMBER(IFERROR(INDEX($AI$3:$AI$252,MATCH($A96-1,$A$3:$A$252,0)),"")),ROUND((INDEX($AI$3:$AI$252,MATCH($A96-1,$A$3:$A$252,0))-AE96)*10,1),""))</f>
        <v/>
      </c>
      <c r="AL96" s="10">
        <f>IF(ISNUMBER(AE96),1,0)</f>
        <v/>
      </c>
      <c r="AM96" s="17">
        <f>IF($A96="","",IF(COUNTIF($A$3:$A$252,$A96)&gt;1,"same date twice; ","")&amp;IF(AND(ISNUMBER($B96),OR($B96&lt;0,$B96&gt;300)),"rain out of range; ","")&amp;IF(AND(ISNUMBER($C96),OR($C96&lt;0,$C96&gt;45)),"temp out of range; ","")&amp;IF(AND(ISNUMBER($D96),OR($D96&lt;0,$D96&gt;100)),"RH out of range; ",""))</f>
        <v/>
      </c>
      <c r="AN96" s="17">
        <f>IF($A96="","",IF(AND(ISNUMBER(T96),OR(T96&lt;-30,T96&gt;20)),"WL out of range; ","")&amp;IF(AND(ISNUMBER($E96),T96=""),"no TP/b; ","")&amp;IF(AND(ISNUMBER(U96),ISNUMBER(V96)),IF(V96&lt;U96,"After&lt;Before; ",""),"")&amp;IF(AND($F96="Yes",ISNUMBER($E96),W96=""),"irrigation readings missing; ","")&amp;IF(ISNUMBER(Z96),IF(AND(ABS(Z96)&gt;50,NOT(N($B96)&gt;0)),"WL jump &gt;5 cm; ",""),""))</f>
        <v/>
      </c>
      <c r="AO96" s="17">
        <f>IF($A96="","",IF(AND(ISNUMBER(AE96),OR(AE96&lt;-30,AE96&gt;20)),"WL out of range; ","")&amp;IF(AND(ISNUMBER($J96),AE96=""),"no TP/b; ","")&amp;IF(AND(ISNUMBER(AF96),ISNUMBER(AG96)),IF(AG96&lt;AF96,"After&lt;Before; ",""),"")&amp;IF(AND($K96="Yes",ISNUMBER($J96),AH96=""),"irrigation readings missing; ","")&amp;IF(ISNUMBER(AK96),IF(AND(ABS(AK96)&gt;50,NOT(N($B96)&gt;0)),"WL jump &gt;5 cm; ",""),"")&amp;IF(AND(ISNUMBER(PitanE),ISNUMBER(AB96),$A96&gt;PitanE+2,AB96&lt;PitanE),"re-measure TP/b after Pitan; ",""))</f>
        <v/>
      </c>
    </row>
    <row r="97">
      <c r="A97" s="14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0">
        <f>IF(OR($A97="",NOT(ISNUMBER(TransDate))),"",$A97-TransDate)</f>
        <v/>
      </c>
      <c r="Q97" s="16">
        <f>IF($A97="","",IF(_xlfn.MAXIFS('TP-b'!$B$2:$B$60,'TP-b'!$A$2:$A$60,"FP",'TP-b'!$E$2:$E$60,1,'TP-b'!$B$2:$B$60,"&lt;="&amp;$A97)&gt;0,_xlfn.MAXIFS('TP-b'!$B$2:$B$60,'TP-b'!$A$2:$A$60,"FP",'TP-b'!$E$2:$E$60,1,'TP-b'!$B$2:$B$60,"&lt;="&amp;$A97),IF(_xlfn.MINIFS('TP-b'!$B$2:$B$60,'TP-b'!$A$2:$A$60,"FP",'TP-b'!$E$2:$E$60,1)&gt;0,_xlfn.MINIFS('TP-b'!$B$2:$B$60,'TP-b'!$A$2:$A$60,"FP",'TP-b'!$E$2:$E$60,1),"")))</f>
        <v/>
      </c>
      <c r="R97" s="10">
        <f>IF(Q97="","",AVERAGEIFS('TP-b'!$C$2:$C$60,'TP-b'!$A$2:$A$60,"FP",'TP-b'!$B$2:$B$60,Q97,'TP-b'!$E$2:$E$60,1))</f>
        <v/>
      </c>
      <c r="S97" s="10">
        <f>IF(Q97="","",AVERAGEIFS('TP-b'!$D$2:$D$60,'TP-b'!$A$2:$A$60,"FP",'TP-b'!$B$2:$B$60,Q97,'TP-b'!$E$2:$E$60,1))</f>
        <v/>
      </c>
      <c r="T97" s="10">
        <f>IF(OR($A97="",NOT(ISNUMBER($E97)),R97=""),"",ROUND($E97-R97+S97,1))</f>
        <v/>
      </c>
      <c r="U97" s="10">
        <f>IF(AND($F97="Yes",ISNUMBER($G97),R97&lt;&gt;""),ROUND($G97-R97+S97,1),"")</f>
        <v/>
      </c>
      <c r="V97" s="10">
        <f>IF(AND($F97="Yes",ISNUMBER($H97),R97&lt;&gt;""),ROUND($H97-R97+S97,1),"")</f>
        <v/>
      </c>
      <c r="W97" s="10">
        <f>IF(AND(ISNUMBER($E97),ISNUMBER(U97),ISNUMBER(V97)),ROUND((V97-MAX(U97,0))*10,1),"")</f>
        <v/>
      </c>
      <c r="X97" s="10">
        <f>IF(T97="","",IF(AND($F97="Yes",ISNUMBER(V97)),V97,T97))</f>
        <v/>
      </c>
      <c r="Y97" s="10">
        <f>IF(T97="","",ROUND(SUMIFS($W$3:$W$252,$A$3:$A$252,"&lt;="&amp;$A97),1))</f>
        <v/>
      </c>
      <c r="Z97" s="10">
        <f>IF(OR(T97="",$A97=""),"",IF(ISNUMBER(IFERROR(INDEX($X$3:$X$252,MATCH($A97-1,$A$3:$A$252,0)),"")),ROUND((INDEX($X$3:$X$252,MATCH($A97-1,$A$3:$A$252,0))-T97)*10,1),""))</f>
        <v/>
      </c>
      <c r="AA97" s="10">
        <f>IF(ISNUMBER(T97),1,0)</f>
        <v/>
      </c>
      <c r="AB97" s="16">
        <f>IF($A97="","",IF(_xlfn.MAXIFS('TP-b'!$B$2:$B$60,'TP-b'!$A$2:$A$60,"3F4D+MD",'TP-b'!$E$2:$E$60,1,'TP-b'!$B$2:$B$60,"&lt;="&amp;$A97)&gt;0,_xlfn.MAXIFS('TP-b'!$B$2:$B$60,'TP-b'!$A$2:$A$60,"3F4D+MD",'TP-b'!$E$2:$E$60,1,'TP-b'!$B$2:$B$60,"&lt;="&amp;$A97),IF(_xlfn.MINIFS('TP-b'!$B$2:$B$60,'TP-b'!$A$2:$A$60,"3F4D+MD",'TP-b'!$E$2:$E$60,1)&gt;0,_xlfn.MINIFS('TP-b'!$B$2:$B$60,'TP-b'!$A$2:$A$60,"3F4D+MD",'TP-b'!$E$2:$E$60,1),"")))</f>
        <v/>
      </c>
      <c r="AC97" s="10">
        <f>IF(AB97="","",AVERAGEIFS('TP-b'!$C$2:$C$60,'TP-b'!$A$2:$A$60,"3F4D+MD",'TP-b'!$B$2:$B$60,AB97,'TP-b'!$E$2:$E$60,1))</f>
        <v/>
      </c>
      <c r="AD97" s="10">
        <f>IF(AB97="","",AVERAGEIFS('TP-b'!$D$2:$D$60,'TP-b'!$A$2:$A$60,"3F4D+MD",'TP-b'!$B$2:$B$60,AB97,'TP-b'!$E$2:$E$60,1))</f>
        <v/>
      </c>
      <c r="AE97" s="10">
        <f>IF(OR($A97="",NOT(ISNUMBER($J97)),AC97=""),"",ROUND($J97-AC97+AD97,1))</f>
        <v/>
      </c>
      <c r="AF97" s="10">
        <f>IF(AND($K97="Yes",ISNUMBER($L97),AC97&lt;&gt;""),ROUND($L97-AC97+AD97,1),"")</f>
        <v/>
      </c>
      <c r="AG97" s="10">
        <f>IF(AND($K97="Yes",ISNUMBER($M97),AC97&lt;&gt;""),ROUND($M97-AC97+AD97,1),"")</f>
        <v/>
      </c>
      <c r="AH97" s="10">
        <f>IF(AND(ISNUMBER($J97),ISNUMBER(AF97),ISNUMBER(AG97)),ROUND((AG97-MAX(AF97,0))*10,1),"")</f>
        <v/>
      </c>
      <c r="AI97" s="10">
        <f>IF(AE97="","",IF(AND($K97="Yes",ISNUMBER(AG97)),AG97,AE97))</f>
        <v/>
      </c>
      <c r="AJ97" s="10">
        <f>IF(AE97="","",ROUND(SUMIFS($AH$3:$AH$252,$A$3:$A$252,"&lt;="&amp;$A97),1))</f>
        <v/>
      </c>
      <c r="AK97" s="10">
        <f>IF(OR(AE97="",$A97=""),"",IF(ISNUMBER(IFERROR(INDEX($AI$3:$AI$252,MATCH($A97-1,$A$3:$A$252,0)),"")),ROUND((INDEX($AI$3:$AI$252,MATCH($A97-1,$A$3:$A$252,0))-AE97)*10,1),""))</f>
        <v/>
      </c>
      <c r="AL97" s="10">
        <f>IF(ISNUMBER(AE97),1,0)</f>
        <v/>
      </c>
      <c r="AM97" s="17">
        <f>IF($A97="","",IF(COUNTIF($A$3:$A$252,$A97)&gt;1,"same date twice; ","")&amp;IF(AND(ISNUMBER($B97),OR($B97&lt;0,$B97&gt;300)),"rain out of range; ","")&amp;IF(AND(ISNUMBER($C97),OR($C97&lt;0,$C97&gt;45)),"temp out of range; ","")&amp;IF(AND(ISNUMBER($D97),OR($D97&lt;0,$D97&gt;100)),"RH out of range; ",""))</f>
        <v/>
      </c>
      <c r="AN97" s="17">
        <f>IF($A97="","",IF(AND(ISNUMBER(T97),OR(T97&lt;-30,T97&gt;20)),"WL out of range; ","")&amp;IF(AND(ISNUMBER($E97),T97=""),"no TP/b; ","")&amp;IF(AND(ISNUMBER(U97),ISNUMBER(V97)),IF(V97&lt;U97,"After&lt;Before; ",""),"")&amp;IF(AND($F97="Yes",ISNUMBER($E97),W97=""),"irrigation readings missing; ","")&amp;IF(ISNUMBER(Z97),IF(AND(ABS(Z97)&gt;50,NOT(N($B97)&gt;0)),"WL jump &gt;5 cm; ",""),""))</f>
        <v/>
      </c>
      <c r="AO97" s="17">
        <f>IF($A97="","",IF(AND(ISNUMBER(AE97),OR(AE97&lt;-30,AE97&gt;20)),"WL out of range; ","")&amp;IF(AND(ISNUMBER($J97),AE97=""),"no TP/b; ","")&amp;IF(AND(ISNUMBER(AF97),ISNUMBER(AG97)),IF(AG97&lt;AF97,"After&lt;Before; ",""),"")&amp;IF(AND($K97="Yes",ISNUMBER($J97),AH97=""),"irrigation readings missing; ","")&amp;IF(ISNUMBER(AK97),IF(AND(ABS(AK97)&gt;50,NOT(N($B97)&gt;0)),"WL jump &gt;5 cm; ",""),"")&amp;IF(AND(ISNUMBER(PitanE),ISNUMBER(AB97),$A97&gt;PitanE+2,AB97&lt;PitanE),"re-measure TP/b after Pitan; ",""))</f>
        <v/>
      </c>
    </row>
    <row r="98">
      <c r="A98" s="14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0">
        <f>IF(OR($A98="",NOT(ISNUMBER(TransDate))),"",$A98-TransDate)</f>
        <v/>
      </c>
      <c r="Q98" s="16">
        <f>IF($A98="","",IF(_xlfn.MAXIFS('TP-b'!$B$2:$B$60,'TP-b'!$A$2:$A$60,"FP",'TP-b'!$E$2:$E$60,1,'TP-b'!$B$2:$B$60,"&lt;="&amp;$A98)&gt;0,_xlfn.MAXIFS('TP-b'!$B$2:$B$60,'TP-b'!$A$2:$A$60,"FP",'TP-b'!$E$2:$E$60,1,'TP-b'!$B$2:$B$60,"&lt;="&amp;$A98),IF(_xlfn.MINIFS('TP-b'!$B$2:$B$60,'TP-b'!$A$2:$A$60,"FP",'TP-b'!$E$2:$E$60,1)&gt;0,_xlfn.MINIFS('TP-b'!$B$2:$B$60,'TP-b'!$A$2:$A$60,"FP",'TP-b'!$E$2:$E$60,1),"")))</f>
        <v/>
      </c>
      <c r="R98" s="10">
        <f>IF(Q98="","",AVERAGEIFS('TP-b'!$C$2:$C$60,'TP-b'!$A$2:$A$60,"FP",'TP-b'!$B$2:$B$60,Q98,'TP-b'!$E$2:$E$60,1))</f>
        <v/>
      </c>
      <c r="S98" s="10">
        <f>IF(Q98="","",AVERAGEIFS('TP-b'!$D$2:$D$60,'TP-b'!$A$2:$A$60,"FP",'TP-b'!$B$2:$B$60,Q98,'TP-b'!$E$2:$E$60,1))</f>
        <v/>
      </c>
      <c r="T98" s="10">
        <f>IF(OR($A98="",NOT(ISNUMBER($E98)),R98=""),"",ROUND($E98-R98+S98,1))</f>
        <v/>
      </c>
      <c r="U98" s="10">
        <f>IF(AND($F98="Yes",ISNUMBER($G98),R98&lt;&gt;""),ROUND($G98-R98+S98,1),"")</f>
        <v/>
      </c>
      <c r="V98" s="10">
        <f>IF(AND($F98="Yes",ISNUMBER($H98),R98&lt;&gt;""),ROUND($H98-R98+S98,1),"")</f>
        <v/>
      </c>
      <c r="W98" s="10">
        <f>IF(AND(ISNUMBER($E98),ISNUMBER(U98),ISNUMBER(V98)),ROUND((V98-MAX(U98,0))*10,1),"")</f>
        <v/>
      </c>
      <c r="X98" s="10">
        <f>IF(T98="","",IF(AND($F98="Yes",ISNUMBER(V98)),V98,T98))</f>
        <v/>
      </c>
      <c r="Y98" s="10">
        <f>IF(T98="","",ROUND(SUMIFS($W$3:$W$252,$A$3:$A$252,"&lt;="&amp;$A98),1))</f>
        <v/>
      </c>
      <c r="Z98" s="10">
        <f>IF(OR(T98="",$A98=""),"",IF(ISNUMBER(IFERROR(INDEX($X$3:$X$252,MATCH($A98-1,$A$3:$A$252,0)),"")),ROUND((INDEX($X$3:$X$252,MATCH($A98-1,$A$3:$A$252,0))-T98)*10,1),""))</f>
        <v/>
      </c>
      <c r="AA98" s="10">
        <f>IF(ISNUMBER(T98),1,0)</f>
        <v/>
      </c>
      <c r="AB98" s="16">
        <f>IF($A98="","",IF(_xlfn.MAXIFS('TP-b'!$B$2:$B$60,'TP-b'!$A$2:$A$60,"3F4D+MD",'TP-b'!$E$2:$E$60,1,'TP-b'!$B$2:$B$60,"&lt;="&amp;$A98)&gt;0,_xlfn.MAXIFS('TP-b'!$B$2:$B$60,'TP-b'!$A$2:$A$60,"3F4D+MD",'TP-b'!$E$2:$E$60,1,'TP-b'!$B$2:$B$60,"&lt;="&amp;$A98),IF(_xlfn.MINIFS('TP-b'!$B$2:$B$60,'TP-b'!$A$2:$A$60,"3F4D+MD",'TP-b'!$E$2:$E$60,1)&gt;0,_xlfn.MINIFS('TP-b'!$B$2:$B$60,'TP-b'!$A$2:$A$60,"3F4D+MD",'TP-b'!$E$2:$E$60,1),"")))</f>
        <v/>
      </c>
      <c r="AC98" s="10">
        <f>IF(AB98="","",AVERAGEIFS('TP-b'!$C$2:$C$60,'TP-b'!$A$2:$A$60,"3F4D+MD",'TP-b'!$B$2:$B$60,AB98,'TP-b'!$E$2:$E$60,1))</f>
        <v/>
      </c>
      <c r="AD98" s="10">
        <f>IF(AB98="","",AVERAGEIFS('TP-b'!$D$2:$D$60,'TP-b'!$A$2:$A$60,"3F4D+MD",'TP-b'!$B$2:$B$60,AB98,'TP-b'!$E$2:$E$60,1))</f>
        <v/>
      </c>
      <c r="AE98" s="10">
        <f>IF(OR($A98="",NOT(ISNUMBER($J98)),AC98=""),"",ROUND($J98-AC98+AD98,1))</f>
        <v/>
      </c>
      <c r="AF98" s="10">
        <f>IF(AND($K98="Yes",ISNUMBER($L98),AC98&lt;&gt;""),ROUND($L98-AC98+AD98,1),"")</f>
        <v/>
      </c>
      <c r="AG98" s="10">
        <f>IF(AND($K98="Yes",ISNUMBER($M98),AC98&lt;&gt;""),ROUND($M98-AC98+AD98,1),"")</f>
        <v/>
      </c>
      <c r="AH98" s="10">
        <f>IF(AND(ISNUMBER($J98),ISNUMBER(AF98),ISNUMBER(AG98)),ROUND((AG98-MAX(AF98,0))*10,1),"")</f>
        <v/>
      </c>
      <c r="AI98" s="10">
        <f>IF(AE98="","",IF(AND($K98="Yes",ISNUMBER(AG98)),AG98,AE98))</f>
        <v/>
      </c>
      <c r="AJ98" s="10">
        <f>IF(AE98="","",ROUND(SUMIFS($AH$3:$AH$252,$A$3:$A$252,"&lt;="&amp;$A98),1))</f>
        <v/>
      </c>
      <c r="AK98" s="10">
        <f>IF(OR(AE98="",$A98=""),"",IF(ISNUMBER(IFERROR(INDEX($AI$3:$AI$252,MATCH($A98-1,$A$3:$A$252,0)),"")),ROUND((INDEX($AI$3:$AI$252,MATCH($A98-1,$A$3:$A$252,0))-AE98)*10,1),""))</f>
        <v/>
      </c>
      <c r="AL98" s="10">
        <f>IF(ISNUMBER(AE98),1,0)</f>
        <v/>
      </c>
      <c r="AM98" s="17">
        <f>IF($A98="","",IF(COUNTIF($A$3:$A$252,$A98)&gt;1,"same date twice; ","")&amp;IF(AND(ISNUMBER($B98),OR($B98&lt;0,$B98&gt;300)),"rain out of range; ","")&amp;IF(AND(ISNUMBER($C98),OR($C98&lt;0,$C98&gt;45)),"temp out of range; ","")&amp;IF(AND(ISNUMBER($D98),OR($D98&lt;0,$D98&gt;100)),"RH out of range; ",""))</f>
        <v/>
      </c>
      <c r="AN98" s="17">
        <f>IF($A98="","",IF(AND(ISNUMBER(T98),OR(T98&lt;-30,T98&gt;20)),"WL out of range; ","")&amp;IF(AND(ISNUMBER($E98),T98=""),"no TP/b; ","")&amp;IF(AND(ISNUMBER(U98),ISNUMBER(V98)),IF(V98&lt;U98,"After&lt;Before; ",""),"")&amp;IF(AND($F98="Yes",ISNUMBER($E98),W98=""),"irrigation readings missing; ","")&amp;IF(ISNUMBER(Z98),IF(AND(ABS(Z98)&gt;50,NOT(N($B98)&gt;0)),"WL jump &gt;5 cm; ",""),""))</f>
        <v/>
      </c>
      <c r="AO98" s="17">
        <f>IF($A98="","",IF(AND(ISNUMBER(AE98),OR(AE98&lt;-30,AE98&gt;20)),"WL out of range; ","")&amp;IF(AND(ISNUMBER($J98),AE98=""),"no TP/b; ","")&amp;IF(AND(ISNUMBER(AF98),ISNUMBER(AG98)),IF(AG98&lt;AF98,"After&lt;Before; ",""),"")&amp;IF(AND($K98="Yes",ISNUMBER($J98),AH98=""),"irrigation readings missing; ","")&amp;IF(ISNUMBER(AK98),IF(AND(ABS(AK98)&gt;50,NOT(N($B98)&gt;0)),"WL jump &gt;5 cm; ",""),"")&amp;IF(AND(ISNUMBER(PitanE),ISNUMBER(AB98),$A98&gt;PitanE+2,AB98&lt;PitanE),"re-measure TP/b after Pitan; ",""))</f>
        <v/>
      </c>
    </row>
    <row r="99">
      <c r="A99" s="14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0">
        <f>IF(OR($A99="",NOT(ISNUMBER(TransDate))),"",$A99-TransDate)</f>
        <v/>
      </c>
      <c r="Q99" s="16">
        <f>IF($A99="","",IF(_xlfn.MAXIFS('TP-b'!$B$2:$B$60,'TP-b'!$A$2:$A$60,"FP",'TP-b'!$E$2:$E$60,1,'TP-b'!$B$2:$B$60,"&lt;="&amp;$A99)&gt;0,_xlfn.MAXIFS('TP-b'!$B$2:$B$60,'TP-b'!$A$2:$A$60,"FP",'TP-b'!$E$2:$E$60,1,'TP-b'!$B$2:$B$60,"&lt;="&amp;$A99),IF(_xlfn.MINIFS('TP-b'!$B$2:$B$60,'TP-b'!$A$2:$A$60,"FP",'TP-b'!$E$2:$E$60,1)&gt;0,_xlfn.MINIFS('TP-b'!$B$2:$B$60,'TP-b'!$A$2:$A$60,"FP",'TP-b'!$E$2:$E$60,1),"")))</f>
        <v/>
      </c>
      <c r="R99" s="10">
        <f>IF(Q99="","",AVERAGEIFS('TP-b'!$C$2:$C$60,'TP-b'!$A$2:$A$60,"FP",'TP-b'!$B$2:$B$60,Q99,'TP-b'!$E$2:$E$60,1))</f>
        <v/>
      </c>
      <c r="S99" s="10">
        <f>IF(Q99="","",AVERAGEIFS('TP-b'!$D$2:$D$60,'TP-b'!$A$2:$A$60,"FP",'TP-b'!$B$2:$B$60,Q99,'TP-b'!$E$2:$E$60,1))</f>
        <v/>
      </c>
      <c r="T99" s="10">
        <f>IF(OR($A99="",NOT(ISNUMBER($E99)),R99=""),"",ROUND($E99-R99+S99,1))</f>
        <v/>
      </c>
      <c r="U99" s="10">
        <f>IF(AND($F99="Yes",ISNUMBER($G99),R99&lt;&gt;""),ROUND($G99-R99+S99,1),"")</f>
        <v/>
      </c>
      <c r="V99" s="10">
        <f>IF(AND($F99="Yes",ISNUMBER($H99),R99&lt;&gt;""),ROUND($H99-R99+S99,1),"")</f>
        <v/>
      </c>
      <c r="W99" s="10">
        <f>IF(AND(ISNUMBER($E99),ISNUMBER(U99),ISNUMBER(V99)),ROUND((V99-MAX(U99,0))*10,1),"")</f>
        <v/>
      </c>
      <c r="X99" s="10">
        <f>IF(T99="","",IF(AND($F99="Yes",ISNUMBER(V99)),V99,T99))</f>
        <v/>
      </c>
      <c r="Y99" s="10">
        <f>IF(T99="","",ROUND(SUMIFS($W$3:$W$252,$A$3:$A$252,"&lt;="&amp;$A99),1))</f>
        <v/>
      </c>
      <c r="Z99" s="10">
        <f>IF(OR(T99="",$A99=""),"",IF(ISNUMBER(IFERROR(INDEX($X$3:$X$252,MATCH($A99-1,$A$3:$A$252,0)),"")),ROUND((INDEX($X$3:$X$252,MATCH($A99-1,$A$3:$A$252,0))-T99)*10,1),""))</f>
        <v/>
      </c>
      <c r="AA99" s="10">
        <f>IF(ISNUMBER(T99),1,0)</f>
        <v/>
      </c>
      <c r="AB99" s="16">
        <f>IF($A99="","",IF(_xlfn.MAXIFS('TP-b'!$B$2:$B$60,'TP-b'!$A$2:$A$60,"3F4D+MD",'TP-b'!$E$2:$E$60,1,'TP-b'!$B$2:$B$60,"&lt;="&amp;$A99)&gt;0,_xlfn.MAXIFS('TP-b'!$B$2:$B$60,'TP-b'!$A$2:$A$60,"3F4D+MD",'TP-b'!$E$2:$E$60,1,'TP-b'!$B$2:$B$60,"&lt;="&amp;$A99),IF(_xlfn.MINIFS('TP-b'!$B$2:$B$60,'TP-b'!$A$2:$A$60,"3F4D+MD",'TP-b'!$E$2:$E$60,1)&gt;0,_xlfn.MINIFS('TP-b'!$B$2:$B$60,'TP-b'!$A$2:$A$60,"3F4D+MD",'TP-b'!$E$2:$E$60,1),"")))</f>
        <v/>
      </c>
      <c r="AC99" s="10">
        <f>IF(AB99="","",AVERAGEIFS('TP-b'!$C$2:$C$60,'TP-b'!$A$2:$A$60,"3F4D+MD",'TP-b'!$B$2:$B$60,AB99,'TP-b'!$E$2:$E$60,1))</f>
        <v/>
      </c>
      <c r="AD99" s="10">
        <f>IF(AB99="","",AVERAGEIFS('TP-b'!$D$2:$D$60,'TP-b'!$A$2:$A$60,"3F4D+MD",'TP-b'!$B$2:$B$60,AB99,'TP-b'!$E$2:$E$60,1))</f>
        <v/>
      </c>
      <c r="AE99" s="10">
        <f>IF(OR($A99="",NOT(ISNUMBER($J99)),AC99=""),"",ROUND($J99-AC99+AD99,1))</f>
        <v/>
      </c>
      <c r="AF99" s="10">
        <f>IF(AND($K99="Yes",ISNUMBER($L99),AC99&lt;&gt;""),ROUND($L99-AC99+AD99,1),"")</f>
        <v/>
      </c>
      <c r="AG99" s="10">
        <f>IF(AND($K99="Yes",ISNUMBER($M99),AC99&lt;&gt;""),ROUND($M99-AC99+AD99,1),"")</f>
        <v/>
      </c>
      <c r="AH99" s="10">
        <f>IF(AND(ISNUMBER($J99),ISNUMBER(AF99),ISNUMBER(AG99)),ROUND((AG99-MAX(AF99,0))*10,1),"")</f>
        <v/>
      </c>
      <c r="AI99" s="10">
        <f>IF(AE99="","",IF(AND($K99="Yes",ISNUMBER(AG99)),AG99,AE99))</f>
        <v/>
      </c>
      <c r="AJ99" s="10">
        <f>IF(AE99="","",ROUND(SUMIFS($AH$3:$AH$252,$A$3:$A$252,"&lt;="&amp;$A99),1))</f>
        <v/>
      </c>
      <c r="AK99" s="10">
        <f>IF(OR(AE99="",$A99=""),"",IF(ISNUMBER(IFERROR(INDEX($AI$3:$AI$252,MATCH($A99-1,$A$3:$A$252,0)),"")),ROUND((INDEX($AI$3:$AI$252,MATCH($A99-1,$A$3:$A$252,0))-AE99)*10,1),""))</f>
        <v/>
      </c>
      <c r="AL99" s="10">
        <f>IF(ISNUMBER(AE99),1,0)</f>
        <v/>
      </c>
      <c r="AM99" s="17">
        <f>IF($A99="","",IF(COUNTIF($A$3:$A$252,$A99)&gt;1,"same date twice; ","")&amp;IF(AND(ISNUMBER($B99),OR($B99&lt;0,$B99&gt;300)),"rain out of range; ","")&amp;IF(AND(ISNUMBER($C99),OR($C99&lt;0,$C99&gt;45)),"temp out of range; ","")&amp;IF(AND(ISNUMBER($D99),OR($D99&lt;0,$D99&gt;100)),"RH out of range; ",""))</f>
        <v/>
      </c>
      <c r="AN99" s="17">
        <f>IF($A99="","",IF(AND(ISNUMBER(T99),OR(T99&lt;-30,T99&gt;20)),"WL out of range; ","")&amp;IF(AND(ISNUMBER($E99),T99=""),"no TP/b; ","")&amp;IF(AND(ISNUMBER(U99),ISNUMBER(V99)),IF(V99&lt;U99,"After&lt;Before; ",""),"")&amp;IF(AND($F99="Yes",ISNUMBER($E99),W99=""),"irrigation readings missing; ","")&amp;IF(ISNUMBER(Z99),IF(AND(ABS(Z99)&gt;50,NOT(N($B99)&gt;0)),"WL jump &gt;5 cm; ",""),""))</f>
        <v/>
      </c>
      <c r="AO99" s="17">
        <f>IF($A99="","",IF(AND(ISNUMBER(AE99),OR(AE99&lt;-30,AE99&gt;20)),"WL out of range; ","")&amp;IF(AND(ISNUMBER($J99),AE99=""),"no TP/b; ","")&amp;IF(AND(ISNUMBER(AF99),ISNUMBER(AG99)),IF(AG99&lt;AF99,"After&lt;Before; ",""),"")&amp;IF(AND($K99="Yes",ISNUMBER($J99),AH99=""),"irrigation readings missing; ","")&amp;IF(ISNUMBER(AK99),IF(AND(ABS(AK99)&gt;50,NOT(N($B99)&gt;0)),"WL jump &gt;5 cm; ",""),"")&amp;IF(AND(ISNUMBER(PitanE),ISNUMBER(AB99),$A99&gt;PitanE+2,AB99&lt;PitanE),"re-measure TP/b after Pitan; ",""))</f>
        <v/>
      </c>
    </row>
    <row r="100">
      <c r="A100" s="14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0">
        <f>IF(OR($A100="",NOT(ISNUMBER(TransDate))),"",$A100-TransDate)</f>
        <v/>
      </c>
      <c r="Q100" s="16">
        <f>IF($A100="","",IF(_xlfn.MAXIFS('TP-b'!$B$2:$B$60,'TP-b'!$A$2:$A$60,"FP",'TP-b'!$E$2:$E$60,1,'TP-b'!$B$2:$B$60,"&lt;="&amp;$A100)&gt;0,_xlfn.MAXIFS('TP-b'!$B$2:$B$60,'TP-b'!$A$2:$A$60,"FP",'TP-b'!$E$2:$E$60,1,'TP-b'!$B$2:$B$60,"&lt;="&amp;$A100),IF(_xlfn.MINIFS('TP-b'!$B$2:$B$60,'TP-b'!$A$2:$A$60,"FP",'TP-b'!$E$2:$E$60,1)&gt;0,_xlfn.MINIFS('TP-b'!$B$2:$B$60,'TP-b'!$A$2:$A$60,"FP",'TP-b'!$E$2:$E$60,1),"")))</f>
        <v/>
      </c>
      <c r="R100" s="10">
        <f>IF(Q100="","",AVERAGEIFS('TP-b'!$C$2:$C$60,'TP-b'!$A$2:$A$60,"FP",'TP-b'!$B$2:$B$60,Q100,'TP-b'!$E$2:$E$60,1))</f>
        <v/>
      </c>
      <c r="S100" s="10">
        <f>IF(Q100="","",AVERAGEIFS('TP-b'!$D$2:$D$60,'TP-b'!$A$2:$A$60,"FP",'TP-b'!$B$2:$B$60,Q100,'TP-b'!$E$2:$E$60,1))</f>
        <v/>
      </c>
      <c r="T100" s="10">
        <f>IF(OR($A100="",NOT(ISNUMBER($E100)),R100=""),"",ROUND($E100-R100+S100,1))</f>
        <v/>
      </c>
      <c r="U100" s="10">
        <f>IF(AND($F100="Yes",ISNUMBER($G100),R100&lt;&gt;""),ROUND($G100-R100+S100,1),"")</f>
        <v/>
      </c>
      <c r="V100" s="10">
        <f>IF(AND($F100="Yes",ISNUMBER($H100),R100&lt;&gt;""),ROUND($H100-R100+S100,1),"")</f>
        <v/>
      </c>
      <c r="W100" s="10">
        <f>IF(AND(ISNUMBER($E100),ISNUMBER(U100),ISNUMBER(V100)),ROUND((V100-MAX(U100,0))*10,1),"")</f>
        <v/>
      </c>
      <c r="X100" s="10">
        <f>IF(T100="","",IF(AND($F100="Yes",ISNUMBER(V100)),V100,T100))</f>
        <v/>
      </c>
      <c r="Y100" s="10">
        <f>IF(T100="","",ROUND(SUMIFS($W$3:$W$252,$A$3:$A$252,"&lt;="&amp;$A100),1))</f>
        <v/>
      </c>
      <c r="Z100" s="10">
        <f>IF(OR(T100="",$A100=""),"",IF(ISNUMBER(IFERROR(INDEX($X$3:$X$252,MATCH($A100-1,$A$3:$A$252,0)),"")),ROUND((INDEX($X$3:$X$252,MATCH($A100-1,$A$3:$A$252,0))-T100)*10,1),""))</f>
        <v/>
      </c>
      <c r="AA100" s="10">
        <f>IF(ISNUMBER(T100),1,0)</f>
        <v/>
      </c>
      <c r="AB100" s="16">
        <f>IF($A100="","",IF(_xlfn.MAXIFS('TP-b'!$B$2:$B$60,'TP-b'!$A$2:$A$60,"3F4D+MD",'TP-b'!$E$2:$E$60,1,'TP-b'!$B$2:$B$60,"&lt;="&amp;$A100)&gt;0,_xlfn.MAXIFS('TP-b'!$B$2:$B$60,'TP-b'!$A$2:$A$60,"3F4D+MD",'TP-b'!$E$2:$E$60,1,'TP-b'!$B$2:$B$60,"&lt;="&amp;$A100),IF(_xlfn.MINIFS('TP-b'!$B$2:$B$60,'TP-b'!$A$2:$A$60,"3F4D+MD",'TP-b'!$E$2:$E$60,1)&gt;0,_xlfn.MINIFS('TP-b'!$B$2:$B$60,'TP-b'!$A$2:$A$60,"3F4D+MD",'TP-b'!$E$2:$E$60,1),"")))</f>
        <v/>
      </c>
      <c r="AC100" s="10">
        <f>IF(AB100="","",AVERAGEIFS('TP-b'!$C$2:$C$60,'TP-b'!$A$2:$A$60,"3F4D+MD",'TP-b'!$B$2:$B$60,AB100,'TP-b'!$E$2:$E$60,1))</f>
        <v/>
      </c>
      <c r="AD100" s="10">
        <f>IF(AB100="","",AVERAGEIFS('TP-b'!$D$2:$D$60,'TP-b'!$A$2:$A$60,"3F4D+MD",'TP-b'!$B$2:$B$60,AB100,'TP-b'!$E$2:$E$60,1))</f>
        <v/>
      </c>
      <c r="AE100" s="10">
        <f>IF(OR($A100="",NOT(ISNUMBER($J100)),AC100=""),"",ROUND($J100-AC100+AD100,1))</f>
        <v/>
      </c>
      <c r="AF100" s="10">
        <f>IF(AND($K100="Yes",ISNUMBER($L100),AC100&lt;&gt;""),ROUND($L100-AC100+AD100,1),"")</f>
        <v/>
      </c>
      <c r="AG100" s="10">
        <f>IF(AND($K100="Yes",ISNUMBER($M100),AC100&lt;&gt;""),ROUND($M100-AC100+AD100,1),"")</f>
        <v/>
      </c>
      <c r="AH100" s="10">
        <f>IF(AND(ISNUMBER($J100),ISNUMBER(AF100),ISNUMBER(AG100)),ROUND((AG100-MAX(AF100,0))*10,1),"")</f>
        <v/>
      </c>
      <c r="AI100" s="10">
        <f>IF(AE100="","",IF(AND($K100="Yes",ISNUMBER(AG100)),AG100,AE100))</f>
        <v/>
      </c>
      <c r="AJ100" s="10">
        <f>IF(AE100="","",ROUND(SUMIFS($AH$3:$AH$252,$A$3:$A$252,"&lt;="&amp;$A100),1))</f>
        <v/>
      </c>
      <c r="AK100" s="10">
        <f>IF(OR(AE100="",$A100=""),"",IF(ISNUMBER(IFERROR(INDEX($AI$3:$AI$252,MATCH($A100-1,$A$3:$A$252,0)),"")),ROUND((INDEX($AI$3:$AI$252,MATCH($A100-1,$A$3:$A$252,0))-AE100)*10,1),""))</f>
        <v/>
      </c>
      <c r="AL100" s="10">
        <f>IF(ISNUMBER(AE100),1,0)</f>
        <v/>
      </c>
      <c r="AM100" s="17">
        <f>IF($A100="","",IF(COUNTIF($A$3:$A$252,$A100)&gt;1,"same date twice; ","")&amp;IF(AND(ISNUMBER($B100),OR($B100&lt;0,$B100&gt;300)),"rain out of range; ","")&amp;IF(AND(ISNUMBER($C100),OR($C100&lt;0,$C100&gt;45)),"temp out of range; ","")&amp;IF(AND(ISNUMBER($D100),OR($D100&lt;0,$D100&gt;100)),"RH out of range; ",""))</f>
        <v/>
      </c>
      <c r="AN100" s="17">
        <f>IF($A100="","",IF(AND(ISNUMBER(T100),OR(T100&lt;-30,T100&gt;20)),"WL out of range; ","")&amp;IF(AND(ISNUMBER($E100),T100=""),"no TP/b; ","")&amp;IF(AND(ISNUMBER(U100),ISNUMBER(V100)),IF(V100&lt;U100,"After&lt;Before; ",""),"")&amp;IF(AND($F100="Yes",ISNUMBER($E100),W100=""),"irrigation readings missing; ","")&amp;IF(ISNUMBER(Z100),IF(AND(ABS(Z100)&gt;50,NOT(N($B100)&gt;0)),"WL jump &gt;5 cm; ",""),""))</f>
        <v/>
      </c>
      <c r="AO100" s="17">
        <f>IF($A100="","",IF(AND(ISNUMBER(AE100),OR(AE100&lt;-30,AE100&gt;20)),"WL out of range; ","")&amp;IF(AND(ISNUMBER($J100),AE100=""),"no TP/b; ","")&amp;IF(AND(ISNUMBER(AF100),ISNUMBER(AG100)),IF(AG100&lt;AF100,"After&lt;Before; ",""),"")&amp;IF(AND($K100="Yes",ISNUMBER($J100),AH100=""),"irrigation readings missing; ","")&amp;IF(ISNUMBER(AK100),IF(AND(ABS(AK100)&gt;50,NOT(N($B100)&gt;0)),"WL jump &gt;5 cm; ",""),"")&amp;IF(AND(ISNUMBER(PitanE),ISNUMBER(AB100),$A100&gt;PitanE+2,AB100&lt;PitanE),"re-measure TP/b after Pitan; ",""))</f>
        <v/>
      </c>
    </row>
    <row r="101">
      <c r="A101" s="14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0">
        <f>IF(OR($A101="",NOT(ISNUMBER(TransDate))),"",$A101-TransDate)</f>
        <v/>
      </c>
      <c r="Q101" s="16">
        <f>IF($A101="","",IF(_xlfn.MAXIFS('TP-b'!$B$2:$B$60,'TP-b'!$A$2:$A$60,"FP",'TP-b'!$E$2:$E$60,1,'TP-b'!$B$2:$B$60,"&lt;="&amp;$A101)&gt;0,_xlfn.MAXIFS('TP-b'!$B$2:$B$60,'TP-b'!$A$2:$A$60,"FP",'TP-b'!$E$2:$E$60,1,'TP-b'!$B$2:$B$60,"&lt;="&amp;$A101),IF(_xlfn.MINIFS('TP-b'!$B$2:$B$60,'TP-b'!$A$2:$A$60,"FP",'TP-b'!$E$2:$E$60,1)&gt;0,_xlfn.MINIFS('TP-b'!$B$2:$B$60,'TP-b'!$A$2:$A$60,"FP",'TP-b'!$E$2:$E$60,1),"")))</f>
        <v/>
      </c>
      <c r="R101" s="10">
        <f>IF(Q101="","",AVERAGEIFS('TP-b'!$C$2:$C$60,'TP-b'!$A$2:$A$60,"FP",'TP-b'!$B$2:$B$60,Q101,'TP-b'!$E$2:$E$60,1))</f>
        <v/>
      </c>
      <c r="S101" s="10">
        <f>IF(Q101="","",AVERAGEIFS('TP-b'!$D$2:$D$60,'TP-b'!$A$2:$A$60,"FP",'TP-b'!$B$2:$B$60,Q101,'TP-b'!$E$2:$E$60,1))</f>
        <v/>
      </c>
      <c r="T101" s="10">
        <f>IF(OR($A101="",NOT(ISNUMBER($E101)),R101=""),"",ROUND($E101-R101+S101,1))</f>
        <v/>
      </c>
      <c r="U101" s="10">
        <f>IF(AND($F101="Yes",ISNUMBER($G101),R101&lt;&gt;""),ROUND($G101-R101+S101,1),"")</f>
        <v/>
      </c>
      <c r="V101" s="10">
        <f>IF(AND($F101="Yes",ISNUMBER($H101),R101&lt;&gt;""),ROUND($H101-R101+S101,1),"")</f>
        <v/>
      </c>
      <c r="W101" s="10">
        <f>IF(AND(ISNUMBER($E101),ISNUMBER(U101),ISNUMBER(V101)),ROUND((V101-MAX(U101,0))*10,1),"")</f>
        <v/>
      </c>
      <c r="X101" s="10">
        <f>IF(T101="","",IF(AND($F101="Yes",ISNUMBER(V101)),V101,T101))</f>
        <v/>
      </c>
      <c r="Y101" s="10">
        <f>IF(T101="","",ROUND(SUMIFS($W$3:$W$252,$A$3:$A$252,"&lt;="&amp;$A101),1))</f>
        <v/>
      </c>
      <c r="Z101" s="10">
        <f>IF(OR(T101="",$A101=""),"",IF(ISNUMBER(IFERROR(INDEX($X$3:$X$252,MATCH($A101-1,$A$3:$A$252,0)),"")),ROUND((INDEX($X$3:$X$252,MATCH($A101-1,$A$3:$A$252,0))-T101)*10,1),""))</f>
        <v/>
      </c>
      <c r="AA101" s="10">
        <f>IF(ISNUMBER(T101),1,0)</f>
        <v/>
      </c>
      <c r="AB101" s="16">
        <f>IF($A101="","",IF(_xlfn.MAXIFS('TP-b'!$B$2:$B$60,'TP-b'!$A$2:$A$60,"3F4D+MD",'TP-b'!$E$2:$E$60,1,'TP-b'!$B$2:$B$60,"&lt;="&amp;$A101)&gt;0,_xlfn.MAXIFS('TP-b'!$B$2:$B$60,'TP-b'!$A$2:$A$60,"3F4D+MD",'TP-b'!$E$2:$E$60,1,'TP-b'!$B$2:$B$60,"&lt;="&amp;$A101),IF(_xlfn.MINIFS('TP-b'!$B$2:$B$60,'TP-b'!$A$2:$A$60,"3F4D+MD",'TP-b'!$E$2:$E$60,1)&gt;0,_xlfn.MINIFS('TP-b'!$B$2:$B$60,'TP-b'!$A$2:$A$60,"3F4D+MD",'TP-b'!$E$2:$E$60,1),"")))</f>
        <v/>
      </c>
      <c r="AC101" s="10">
        <f>IF(AB101="","",AVERAGEIFS('TP-b'!$C$2:$C$60,'TP-b'!$A$2:$A$60,"3F4D+MD",'TP-b'!$B$2:$B$60,AB101,'TP-b'!$E$2:$E$60,1))</f>
        <v/>
      </c>
      <c r="AD101" s="10">
        <f>IF(AB101="","",AVERAGEIFS('TP-b'!$D$2:$D$60,'TP-b'!$A$2:$A$60,"3F4D+MD",'TP-b'!$B$2:$B$60,AB101,'TP-b'!$E$2:$E$60,1))</f>
        <v/>
      </c>
      <c r="AE101" s="10">
        <f>IF(OR($A101="",NOT(ISNUMBER($J101)),AC101=""),"",ROUND($J101-AC101+AD101,1))</f>
        <v/>
      </c>
      <c r="AF101" s="10">
        <f>IF(AND($K101="Yes",ISNUMBER($L101),AC101&lt;&gt;""),ROUND($L101-AC101+AD101,1),"")</f>
        <v/>
      </c>
      <c r="AG101" s="10">
        <f>IF(AND($K101="Yes",ISNUMBER($M101),AC101&lt;&gt;""),ROUND($M101-AC101+AD101,1),"")</f>
        <v/>
      </c>
      <c r="AH101" s="10">
        <f>IF(AND(ISNUMBER($J101),ISNUMBER(AF101),ISNUMBER(AG101)),ROUND((AG101-MAX(AF101,0))*10,1),"")</f>
        <v/>
      </c>
      <c r="AI101" s="10">
        <f>IF(AE101="","",IF(AND($K101="Yes",ISNUMBER(AG101)),AG101,AE101))</f>
        <v/>
      </c>
      <c r="AJ101" s="10">
        <f>IF(AE101="","",ROUND(SUMIFS($AH$3:$AH$252,$A$3:$A$252,"&lt;="&amp;$A101),1))</f>
        <v/>
      </c>
      <c r="AK101" s="10">
        <f>IF(OR(AE101="",$A101=""),"",IF(ISNUMBER(IFERROR(INDEX($AI$3:$AI$252,MATCH($A101-1,$A$3:$A$252,0)),"")),ROUND((INDEX($AI$3:$AI$252,MATCH($A101-1,$A$3:$A$252,0))-AE101)*10,1),""))</f>
        <v/>
      </c>
      <c r="AL101" s="10">
        <f>IF(ISNUMBER(AE101),1,0)</f>
        <v/>
      </c>
      <c r="AM101" s="17">
        <f>IF($A101="","",IF(COUNTIF($A$3:$A$252,$A101)&gt;1,"same date twice; ","")&amp;IF(AND(ISNUMBER($B101),OR($B101&lt;0,$B101&gt;300)),"rain out of range; ","")&amp;IF(AND(ISNUMBER($C101),OR($C101&lt;0,$C101&gt;45)),"temp out of range; ","")&amp;IF(AND(ISNUMBER($D101),OR($D101&lt;0,$D101&gt;100)),"RH out of range; ",""))</f>
        <v/>
      </c>
      <c r="AN101" s="17">
        <f>IF($A101="","",IF(AND(ISNUMBER(T101),OR(T101&lt;-30,T101&gt;20)),"WL out of range; ","")&amp;IF(AND(ISNUMBER($E101),T101=""),"no TP/b; ","")&amp;IF(AND(ISNUMBER(U101),ISNUMBER(V101)),IF(V101&lt;U101,"After&lt;Before; ",""),"")&amp;IF(AND($F101="Yes",ISNUMBER($E101),W101=""),"irrigation readings missing; ","")&amp;IF(ISNUMBER(Z101),IF(AND(ABS(Z101)&gt;50,NOT(N($B101)&gt;0)),"WL jump &gt;5 cm; ",""),""))</f>
        <v/>
      </c>
      <c r="AO101" s="17">
        <f>IF($A101="","",IF(AND(ISNUMBER(AE101),OR(AE101&lt;-30,AE101&gt;20)),"WL out of range; ","")&amp;IF(AND(ISNUMBER($J101),AE101=""),"no TP/b; ","")&amp;IF(AND(ISNUMBER(AF101),ISNUMBER(AG101)),IF(AG101&lt;AF101,"After&lt;Before; ",""),"")&amp;IF(AND($K101="Yes",ISNUMBER($J101),AH101=""),"irrigation readings missing; ","")&amp;IF(ISNUMBER(AK101),IF(AND(ABS(AK101)&gt;50,NOT(N($B101)&gt;0)),"WL jump &gt;5 cm; ",""),"")&amp;IF(AND(ISNUMBER(PitanE),ISNUMBER(AB101),$A101&gt;PitanE+2,AB101&lt;PitanE),"re-measure TP/b after Pitan; ",""))</f>
        <v/>
      </c>
    </row>
    <row r="102">
      <c r="A102" s="14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0">
        <f>IF(OR($A102="",NOT(ISNUMBER(TransDate))),"",$A102-TransDate)</f>
        <v/>
      </c>
      <c r="Q102" s="16">
        <f>IF($A102="","",IF(_xlfn.MAXIFS('TP-b'!$B$2:$B$60,'TP-b'!$A$2:$A$60,"FP",'TP-b'!$E$2:$E$60,1,'TP-b'!$B$2:$B$60,"&lt;="&amp;$A102)&gt;0,_xlfn.MAXIFS('TP-b'!$B$2:$B$60,'TP-b'!$A$2:$A$60,"FP",'TP-b'!$E$2:$E$60,1,'TP-b'!$B$2:$B$60,"&lt;="&amp;$A102),IF(_xlfn.MINIFS('TP-b'!$B$2:$B$60,'TP-b'!$A$2:$A$60,"FP",'TP-b'!$E$2:$E$60,1)&gt;0,_xlfn.MINIFS('TP-b'!$B$2:$B$60,'TP-b'!$A$2:$A$60,"FP",'TP-b'!$E$2:$E$60,1),"")))</f>
        <v/>
      </c>
      <c r="R102" s="10">
        <f>IF(Q102="","",AVERAGEIFS('TP-b'!$C$2:$C$60,'TP-b'!$A$2:$A$60,"FP",'TP-b'!$B$2:$B$60,Q102,'TP-b'!$E$2:$E$60,1))</f>
        <v/>
      </c>
      <c r="S102" s="10">
        <f>IF(Q102="","",AVERAGEIFS('TP-b'!$D$2:$D$60,'TP-b'!$A$2:$A$60,"FP",'TP-b'!$B$2:$B$60,Q102,'TP-b'!$E$2:$E$60,1))</f>
        <v/>
      </c>
      <c r="T102" s="10">
        <f>IF(OR($A102="",NOT(ISNUMBER($E102)),R102=""),"",ROUND($E102-R102+S102,1))</f>
        <v/>
      </c>
      <c r="U102" s="10">
        <f>IF(AND($F102="Yes",ISNUMBER($G102),R102&lt;&gt;""),ROUND($G102-R102+S102,1),"")</f>
        <v/>
      </c>
      <c r="V102" s="10">
        <f>IF(AND($F102="Yes",ISNUMBER($H102),R102&lt;&gt;""),ROUND($H102-R102+S102,1),"")</f>
        <v/>
      </c>
      <c r="W102" s="10">
        <f>IF(AND(ISNUMBER($E102),ISNUMBER(U102),ISNUMBER(V102)),ROUND((V102-MAX(U102,0))*10,1),"")</f>
        <v/>
      </c>
      <c r="X102" s="10">
        <f>IF(T102="","",IF(AND($F102="Yes",ISNUMBER(V102)),V102,T102))</f>
        <v/>
      </c>
      <c r="Y102" s="10">
        <f>IF(T102="","",ROUND(SUMIFS($W$3:$W$252,$A$3:$A$252,"&lt;="&amp;$A102),1))</f>
        <v/>
      </c>
      <c r="Z102" s="10">
        <f>IF(OR(T102="",$A102=""),"",IF(ISNUMBER(IFERROR(INDEX($X$3:$X$252,MATCH($A102-1,$A$3:$A$252,0)),"")),ROUND((INDEX($X$3:$X$252,MATCH($A102-1,$A$3:$A$252,0))-T102)*10,1),""))</f>
        <v/>
      </c>
      <c r="AA102" s="10">
        <f>IF(ISNUMBER(T102),1,0)</f>
        <v/>
      </c>
      <c r="AB102" s="16">
        <f>IF($A102="","",IF(_xlfn.MAXIFS('TP-b'!$B$2:$B$60,'TP-b'!$A$2:$A$60,"3F4D+MD",'TP-b'!$E$2:$E$60,1,'TP-b'!$B$2:$B$60,"&lt;="&amp;$A102)&gt;0,_xlfn.MAXIFS('TP-b'!$B$2:$B$60,'TP-b'!$A$2:$A$60,"3F4D+MD",'TP-b'!$E$2:$E$60,1,'TP-b'!$B$2:$B$60,"&lt;="&amp;$A102),IF(_xlfn.MINIFS('TP-b'!$B$2:$B$60,'TP-b'!$A$2:$A$60,"3F4D+MD",'TP-b'!$E$2:$E$60,1)&gt;0,_xlfn.MINIFS('TP-b'!$B$2:$B$60,'TP-b'!$A$2:$A$60,"3F4D+MD",'TP-b'!$E$2:$E$60,1),"")))</f>
        <v/>
      </c>
      <c r="AC102" s="10">
        <f>IF(AB102="","",AVERAGEIFS('TP-b'!$C$2:$C$60,'TP-b'!$A$2:$A$60,"3F4D+MD",'TP-b'!$B$2:$B$60,AB102,'TP-b'!$E$2:$E$60,1))</f>
        <v/>
      </c>
      <c r="AD102" s="10">
        <f>IF(AB102="","",AVERAGEIFS('TP-b'!$D$2:$D$60,'TP-b'!$A$2:$A$60,"3F4D+MD",'TP-b'!$B$2:$B$60,AB102,'TP-b'!$E$2:$E$60,1))</f>
        <v/>
      </c>
      <c r="AE102" s="10">
        <f>IF(OR($A102="",NOT(ISNUMBER($J102)),AC102=""),"",ROUND($J102-AC102+AD102,1))</f>
        <v/>
      </c>
      <c r="AF102" s="10">
        <f>IF(AND($K102="Yes",ISNUMBER($L102),AC102&lt;&gt;""),ROUND($L102-AC102+AD102,1),"")</f>
        <v/>
      </c>
      <c r="AG102" s="10">
        <f>IF(AND($K102="Yes",ISNUMBER($M102),AC102&lt;&gt;""),ROUND($M102-AC102+AD102,1),"")</f>
        <v/>
      </c>
      <c r="AH102" s="10">
        <f>IF(AND(ISNUMBER($J102),ISNUMBER(AF102),ISNUMBER(AG102)),ROUND((AG102-MAX(AF102,0))*10,1),"")</f>
        <v/>
      </c>
      <c r="AI102" s="10">
        <f>IF(AE102="","",IF(AND($K102="Yes",ISNUMBER(AG102)),AG102,AE102))</f>
        <v/>
      </c>
      <c r="AJ102" s="10">
        <f>IF(AE102="","",ROUND(SUMIFS($AH$3:$AH$252,$A$3:$A$252,"&lt;="&amp;$A102),1))</f>
        <v/>
      </c>
      <c r="AK102" s="10">
        <f>IF(OR(AE102="",$A102=""),"",IF(ISNUMBER(IFERROR(INDEX($AI$3:$AI$252,MATCH($A102-1,$A$3:$A$252,0)),"")),ROUND((INDEX($AI$3:$AI$252,MATCH($A102-1,$A$3:$A$252,0))-AE102)*10,1),""))</f>
        <v/>
      </c>
      <c r="AL102" s="10">
        <f>IF(ISNUMBER(AE102),1,0)</f>
        <v/>
      </c>
      <c r="AM102" s="17">
        <f>IF($A102="","",IF(COUNTIF($A$3:$A$252,$A102)&gt;1,"same date twice; ","")&amp;IF(AND(ISNUMBER($B102),OR($B102&lt;0,$B102&gt;300)),"rain out of range; ","")&amp;IF(AND(ISNUMBER($C102),OR($C102&lt;0,$C102&gt;45)),"temp out of range; ","")&amp;IF(AND(ISNUMBER($D102),OR($D102&lt;0,$D102&gt;100)),"RH out of range; ",""))</f>
        <v/>
      </c>
      <c r="AN102" s="17">
        <f>IF($A102="","",IF(AND(ISNUMBER(T102),OR(T102&lt;-30,T102&gt;20)),"WL out of range; ","")&amp;IF(AND(ISNUMBER($E102),T102=""),"no TP/b; ","")&amp;IF(AND(ISNUMBER(U102),ISNUMBER(V102)),IF(V102&lt;U102,"After&lt;Before; ",""),"")&amp;IF(AND($F102="Yes",ISNUMBER($E102),W102=""),"irrigation readings missing; ","")&amp;IF(ISNUMBER(Z102),IF(AND(ABS(Z102)&gt;50,NOT(N($B102)&gt;0)),"WL jump &gt;5 cm; ",""),""))</f>
        <v/>
      </c>
      <c r="AO102" s="17">
        <f>IF($A102="","",IF(AND(ISNUMBER(AE102),OR(AE102&lt;-30,AE102&gt;20)),"WL out of range; ","")&amp;IF(AND(ISNUMBER($J102),AE102=""),"no TP/b; ","")&amp;IF(AND(ISNUMBER(AF102),ISNUMBER(AG102)),IF(AG102&lt;AF102,"After&lt;Before; ",""),"")&amp;IF(AND($K102="Yes",ISNUMBER($J102),AH102=""),"irrigation readings missing; ","")&amp;IF(ISNUMBER(AK102),IF(AND(ABS(AK102)&gt;50,NOT(N($B102)&gt;0)),"WL jump &gt;5 cm; ",""),"")&amp;IF(AND(ISNUMBER(PitanE),ISNUMBER(AB102),$A102&gt;PitanE+2,AB102&lt;PitanE),"re-measure TP/b after Pitan; ",""))</f>
        <v/>
      </c>
    </row>
    <row r="103">
      <c r="A103" s="14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0">
        <f>IF(OR($A103="",NOT(ISNUMBER(TransDate))),"",$A103-TransDate)</f>
        <v/>
      </c>
      <c r="Q103" s="16">
        <f>IF($A103="","",IF(_xlfn.MAXIFS('TP-b'!$B$2:$B$60,'TP-b'!$A$2:$A$60,"FP",'TP-b'!$E$2:$E$60,1,'TP-b'!$B$2:$B$60,"&lt;="&amp;$A103)&gt;0,_xlfn.MAXIFS('TP-b'!$B$2:$B$60,'TP-b'!$A$2:$A$60,"FP",'TP-b'!$E$2:$E$60,1,'TP-b'!$B$2:$B$60,"&lt;="&amp;$A103),IF(_xlfn.MINIFS('TP-b'!$B$2:$B$60,'TP-b'!$A$2:$A$60,"FP",'TP-b'!$E$2:$E$60,1)&gt;0,_xlfn.MINIFS('TP-b'!$B$2:$B$60,'TP-b'!$A$2:$A$60,"FP",'TP-b'!$E$2:$E$60,1),"")))</f>
        <v/>
      </c>
      <c r="R103" s="10">
        <f>IF(Q103="","",AVERAGEIFS('TP-b'!$C$2:$C$60,'TP-b'!$A$2:$A$60,"FP",'TP-b'!$B$2:$B$60,Q103,'TP-b'!$E$2:$E$60,1))</f>
        <v/>
      </c>
      <c r="S103" s="10">
        <f>IF(Q103="","",AVERAGEIFS('TP-b'!$D$2:$D$60,'TP-b'!$A$2:$A$60,"FP",'TP-b'!$B$2:$B$60,Q103,'TP-b'!$E$2:$E$60,1))</f>
        <v/>
      </c>
      <c r="T103" s="10">
        <f>IF(OR($A103="",NOT(ISNUMBER($E103)),R103=""),"",ROUND($E103-R103+S103,1))</f>
        <v/>
      </c>
      <c r="U103" s="10">
        <f>IF(AND($F103="Yes",ISNUMBER($G103),R103&lt;&gt;""),ROUND($G103-R103+S103,1),"")</f>
        <v/>
      </c>
      <c r="V103" s="10">
        <f>IF(AND($F103="Yes",ISNUMBER($H103),R103&lt;&gt;""),ROUND($H103-R103+S103,1),"")</f>
        <v/>
      </c>
      <c r="W103" s="10">
        <f>IF(AND(ISNUMBER($E103),ISNUMBER(U103),ISNUMBER(V103)),ROUND((V103-MAX(U103,0))*10,1),"")</f>
        <v/>
      </c>
      <c r="X103" s="10">
        <f>IF(T103="","",IF(AND($F103="Yes",ISNUMBER(V103)),V103,T103))</f>
        <v/>
      </c>
      <c r="Y103" s="10">
        <f>IF(T103="","",ROUND(SUMIFS($W$3:$W$252,$A$3:$A$252,"&lt;="&amp;$A103),1))</f>
        <v/>
      </c>
      <c r="Z103" s="10">
        <f>IF(OR(T103="",$A103=""),"",IF(ISNUMBER(IFERROR(INDEX($X$3:$X$252,MATCH($A103-1,$A$3:$A$252,0)),"")),ROUND((INDEX($X$3:$X$252,MATCH($A103-1,$A$3:$A$252,0))-T103)*10,1),""))</f>
        <v/>
      </c>
      <c r="AA103" s="10">
        <f>IF(ISNUMBER(T103),1,0)</f>
        <v/>
      </c>
      <c r="AB103" s="16">
        <f>IF($A103="","",IF(_xlfn.MAXIFS('TP-b'!$B$2:$B$60,'TP-b'!$A$2:$A$60,"3F4D+MD",'TP-b'!$E$2:$E$60,1,'TP-b'!$B$2:$B$60,"&lt;="&amp;$A103)&gt;0,_xlfn.MAXIFS('TP-b'!$B$2:$B$60,'TP-b'!$A$2:$A$60,"3F4D+MD",'TP-b'!$E$2:$E$60,1,'TP-b'!$B$2:$B$60,"&lt;="&amp;$A103),IF(_xlfn.MINIFS('TP-b'!$B$2:$B$60,'TP-b'!$A$2:$A$60,"3F4D+MD",'TP-b'!$E$2:$E$60,1)&gt;0,_xlfn.MINIFS('TP-b'!$B$2:$B$60,'TP-b'!$A$2:$A$60,"3F4D+MD",'TP-b'!$E$2:$E$60,1),"")))</f>
        <v/>
      </c>
      <c r="AC103" s="10">
        <f>IF(AB103="","",AVERAGEIFS('TP-b'!$C$2:$C$60,'TP-b'!$A$2:$A$60,"3F4D+MD",'TP-b'!$B$2:$B$60,AB103,'TP-b'!$E$2:$E$60,1))</f>
        <v/>
      </c>
      <c r="AD103" s="10">
        <f>IF(AB103="","",AVERAGEIFS('TP-b'!$D$2:$D$60,'TP-b'!$A$2:$A$60,"3F4D+MD",'TP-b'!$B$2:$B$60,AB103,'TP-b'!$E$2:$E$60,1))</f>
        <v/>
      </c>
      <c r="AE103" s="10">
        <f>IF(OR($A103="",NOT(ISNUMBER($J103)),AC103=""),"",ROUND($J103-AC103+AD103,1))</f>
        <v/>
      </c>
      <c r="AF103" s="10">
        <f>IF(AND($K103="Yes",ISNUMBER($L103),AC103&lt;&gt;""),ROUND($L103-AC103+AD103,1),"")</f>
        <v/>
      </c>
      <c r="AG103" s="10">
        <f>IF(AND($K103="Yes",ISNUMBER($M103),AC103&lt;&gt;""),ROUND($M103-AC103+AD103,1),"")</f>
        <v/>
      </c>
      <c r="AH103" s="10">
        <f>IF(AND(ISNUMBER($J103),ISNUMBER(AF103),ISNUMBER(AG103)),ROUND((AG103-MAX(AF103,0))*10,1),"")</f>
        <v/>
      </c>
      <c r="AI103" s="10">
        <f>IF(AE103="","",IF(AND($K103="Yes",ISNUMBER(AG103)),AG103,AE103))</f>
        <v/>
      </c>
      <c r="AJ103" s="10">
        <f>IF(AE103="","",ROUND(SUMIFS($AH$3:$AH$252,$A$3:$A$252,"&lt;="&amp;$A103),1))</f>
        <v/>
      </c>
      <c r="AK103" s="10">
        <f>IF(OR(AE103="",$A103=""),"",IF(ISNUMBER(IFERROR(INDEX($AI$3:$AI$252,MATCH($A103-1,$A$3:$A$252,0)),"")),ROUND((INDEX($AI$3:$AI$252,MATCH($A103-1,$A$3:$A$252,0))-AE103)*10,1),""))</f>
        <v/>
      </c>
      <c r="AL103" s="10">
        <f>IF(ISNUMBER(AE103),1,0)</f>
        <v/>
      </c>
      <c r="AM103" s="17">
        <f>IF($A103="","",IF(COUNTIF($A$3:$A$252,$A103)&gt;1,"same date twice; ","")&amp;IF(AND(ISNUMBER($B103),OR($B103&lt;0,$B103&gt;300)),"rain out of range; ","")&amp;IF(AND(ISNUMBER($C103),OR($C103&lt;0,$C103&gt;45)),"temp out of range; ","")&amp;IF(AND(ISNUMBER($D103),OR($D103&lt;0,$D103&gt;100)),"RH out of range; ",""))</f>
        <v/>
      </c>
      <c r="AN103" s="17">
        <f>IF($A103="","",IF(AND(ISNUMBER(T103),OR(T103&lt;-30,T103&gt;20)),"WL out of range; ","")&amp;IF(AND(ISNUMBER($E103),T103=""),"no TP/b; ","")&amp;IF(AND(ISNUMBER(U103),ISNUMBER(V103)),IF(V103&lt;U103,"After&lt;Before; ",""),"")&amp;IF(AND($F103="Yes",ISNUMBER($E103),W103=""),"irrigation readings missing; ","")&amp;IF(ISNUMBER(Z103),IF(AND(ABS(Z103)&gt;50,NOT(N($B103)&gt;0)),"WL jump &gt;5 cm; ",""),""))</f>
        <v/>
      </c>
      <c r="AO103" s="17">
        <f>IF($A103="","",IF(AND(ISNUMBER(AE103),OR(AE103&lt;-30,AE103&gt;20)),"WL out of range; ","")&amp;IF(AND(ISNUMBER($J103),AE103=""),"no TP/b; ","")&amp;IF(AND(ISNUMBER(AF103),ISNUMBER(AG103)),IF(AG103&lt;AF103,"After&lt;Before; ",""),"")&amp;IF(AND($K103="Yes",ISNUMBER($J103),AH103=""),"irrigation readings missing; ","")&amp;IF(ISNUMBER(AK103),IF(AND(ABS(AK103)&gt;50,NOT(N($B103)&gt;0)),"WL jump &gt;5 cm; ",""),"")&amp;IF(AND(ISNUMBER(PitanE),ISNUMBER(AB103),$A103&gt;PitanE+2,AB103&lt;PitanE),"re-measure TP/b after Pitan; ",""))</f>
        <v/>
      </c>
    </row>
    <row r="104">
      <c r="A104" s="14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0">
        <f>IF(OR($A104="",NOT(ISNUMBER(TransDate))),"",$A104-TransDate)</f>
        <v/>
      </c>
      <c r="Q104" s="16">
        <f>IF($A104="","",IF(_xlfn.MAXIFS('TP-b'!$B$2:$B$60,'TP-b'!$A$2:$A$60,"FP",'TP-b'!$E$2:$E$60,1,'TP-b'!$B$2:$B$60,"&lt;="&amp;$A104)&gt;0,_xlfn.MAXIFS('TP-b'!$B$2:$B$60,'TP-b'!$A$2:$A$60,"FP",'TP-b'!$E$2:$E$60,1,'TP-b'!$B$2:$B$60,"&lt;="&amp;$A104),IF(_xlfn.MINIFS('TP-b'!$B$2:$B$60,'TP-b'!$A$2:$A$60,"FP",'TP-b'!$E$2:$E$60,1)&gt;0,_xlfn.MINIFS('TP-b'!$B$2:$B$60,'TP-b'!$A$2:$A$60,"FP",'TP-b'!$E$2:$E$60,1),"")))</f>
        <v/>
      </c>
      <c r="R104" s="10">
        <f>IF(Q104="","",AVERAGEIFS('TP-b'!$C$2:$C$60,'TP-b'!$A$2:$A$60,"FP",'TP-b'!$B$2:$B$60,Q104,'TP-b'!$E$2:$E$60,1))</f>
        <v/>
      </c>
      <c r="S104" s="10">
        <f>IF(Q104="","",AVERAGEIFS('TP-b'!$D$2:$D$60,'TP-b'!$A$2:$A$60,"FP",'TP-b'!$B$2:$B$60,Q104,'TP-b'!$E$2:$E$60,1))</f>
        <v/>
      </c>
      <c r="T104" s="10">
        <f>IF(OR($A104="",NOT(ISNUMBER($E104)),R104=""),"",ROUND($E104-R104+S104,1))</f>
        <v/>
      </c>
      <c r="U104" s="10">
        <f>IF(AND($F104="Yes",ISNUMBER($G104),R104&lt;&gt;""),ROUND($G104-R104+S104,1),"")</f>
        <v/>
      </c>
      <c r="V104" s="10">
        <f>IF(AND($F104="Yes",ISNUMBER($H104),R104&lt;&gt;""),ROUND($H104-R104+S104,1),"")</f>
        <v/>
      </c>
      <c r="W104" s="10">
        <f>IF(AND(ISNUMBER($E104),ISNUMBER(U104),ISNUMBER(V104)),ROUND((V104-MAX(U104,0))*10,1),"")</f>
        <v/>
      </c>
      <c r="X104" s="10">
        <f>IF(T104="","",IF(AND($F104="Yes",ISNUMBER(V104)),V104,T104))</f>
        <v/>
      </c>
      <c r="Y104" s="10">
        <f>IF(T104="","",ROUND(SUMIFS($W$3:$W$252,$A$3:$A$252,"&lt;="&amp;$A104),1))</f>
        <v/>
      </c>
      <c r="Z104" s="10">
        <f>IF(OR(T104="",$A104=""),"",IF(ISNUMBER(IFERROR(INDEX($X$3:$X$252,MATCH($A104-1,$A$3:$A$252,0)),"")),ROUND((INDEX($X$3:$X$252,MATCH($A104-1,$A$3:$A$252,0))-T104)*10,1),""))</f>
        <v/>
      </c>
      <c r="AA104" s="10">
        <f>IF(ISNUMBER(T104),1,0)</f>
        <v/>
      </c>
      <c r="AB104" s="16">
        <f>IF($A104="","",IF(_xlfn.MAXIFS('TP-b'!$B$2:$B$60,'TP-b'!$A$2:$A$60,"3F4D+MD",'TP-b'!$E$2:$E$60,1,'TP-b'!$B$2:$B$60,"&lt;="&amp;$A104)&gt;0,_xlfn.MAXIFS('TP-b'!$B$2:$B$60,'TP-b'!$A$2:$A$60,"3F4D+MD",'TP-b'!$E$2:$E$60,1,'TP-b'!$B$2:$B$60,"&lt;="&amp;$A104),IF(_xlfn.MINIFS('TP-b'!$B$2:$B$60,'TP-b'!$A$2:$A$60,"3F4D+MD",'TP-b'!$E$2:$E$60,1)&gt;0,_xlfn.MINIFS('TP-b'!$B$2:$B$60,'TP-b'!$A$2:$A$60,"3F4D+MD",'TP-b'!$E$2:$E$60,1),"")))</f>
        <v/>
      </c>
      <c r="AC104" s="10">
        <f>IF(AB104="","",AVERAGEIFS('TP-b'!$C$2:$C$60,'TP-b'!$A$2:$A$60,"3F4D+MD",'TP-b'!$B$2:$B$60,AB104,'TP-b'!$E$2:$E$60,1))</f>
        <v/>
      </c>
      <c r="AD104" s="10">
        <f>IF(AB104="","",AVERAGEIFS('TP-b'!$D$2:$D$60,'TP-b'!$A$2:$A$60,"3F4D+MD",'TP-b'!$B$2:$B$60,AB104,'TP-b'!$E$2:$E$60,1))</f>
        <v/>
      </c>
      <c r="AE104" s="10">
        <f>IF(OR($A104="",NOT(ISNUMBER($J104)),AC104=""),"",ROUND($J104-AC104+AD104,1))</f>
        <v/>
      </c>
      <c r="AF104" s="10">
        <f>IF(AND($K104="Yes",ISNUMBER($L104),AC104&lt;&gt;""),ROUND($L104-AC104+AD104,1),"")</f>
        <v/>
      </c>
      <c r="AG104" s="10">
        <f>IF(AND($K104="Yes",ISNUMBER($M104),AC104&lt;&gt;""),ROUND($M104-AC104+AD104,1),"")</f>
        <v/>
      </c>
      <c r="AH104" s="10">
        <f>IF(AND(ISNUMBER($J104),ISNUMBER(AF104),ISNUMBER(AG104)),ROUND((AG104-MAX(AF104,0))*10,1),"")</f>
        <v/>
      </c>
      <c r="AI104" s="10">
        <f>IF(AE104="","",IF(AND($K104="Yes",ISNUMBER(AG104)),AG104,AE104))</f>
        <v/>
      </c>
      <c r="AJ104" s="10">
        <f>IF(AE104="","",ROUND(SUMIFS($AH$3:$AH$252,$A$3:$A$252,"&lt;="&amp;$A104),1))</f>
        <v/>
      </c>
      <c r="AK104" s="10">
        <f>IF(OR(AE104="",$A104=""),"",IF(ISNUMBER(IFERROR(INDEX($AI$3:$AI$252,MATCH($A104-1,$A$3:$A$252,0)),"")),ROUND((INDEX($AI$3:$AI$252,MATCH($A104-1,$A$3:$A$252,0))-AE104)*10,1),""))</f>
        <v/>
      </c>
      <c r="AL104" s="10">
        <f>IF(ISNUMBER(AE104),1,0)</f>
        <v/>
      </c>
      <c r="AM104" s="17">
        <f>IF($A104="","",IF(COUNTIF($A$3:$A$252,$A104)&gt;1,"same date twice; ","")&amp;IF(AND(ISNUMBER($B104),OR($B104&lt;0,$B104&gt;300)),"rain out of range; ","")&amp;IF(AND(ISNUMBER($C104),OR($C104&lt;0,$C104&gt;45)),"temp out of range; ","")&amp;IF(AND(ISNUMBER($D104),OR($D104&lt;0,$D104&gt;100)),"RH out of range; ",""))</f>
        <v/>
      </c>
      <c r="AN104" s="17">
        <f>IF($A104="","",IF(AND(ISNUMBER(T104),OR(T104&lt;-30,T104&gt;20)),"WL out of range; ","")&amp;IF(AND(ISNUMBER($E104),T104=""),"no TP/b; ","")&amp;IF(AND(ISNUMBER(U104),ISNUMBER(V104)),IF(V104&lt;U104,"After&lt;Before; ",""),"")&amp;IF(AND($F104="Yes",ISNUMBER($E104),W104=""),"irrigation readings missing; ","")&amp;IF(ISNUMBER(Z104),IF(AND(ABS(Z104)&gt;50,NOT(N($B104)&gt;0)),"WL jump &gt;5 cm; ",""),""))</f>
        <v/>
      </c>
      <c r="AO104" s="17">
        <f>IF($A104="","",IF(AND(ISNUMBER(AE104),OR(AE104&lt;-30,AE104&gt;20)),"WL out of range; ","")&amp;IF(AND(ISNUMBER($J104),AE104=""),"no TP/b; ","")&amp;IF(AND(ISNUMBER(AF104),ISNUMBER(AG104)),IF(AG104&lt;AF104,"After&lt;Before; ",""),"")&amp;IF(AND($K104="Yes",ISNUMBER($J104),AH104=""),"irrigation readings missing; ","")&amp;IF(ISNUMBER(AK104),IF(AND(ABS(AK104)&gt;50,NOT(N($B104)&gt;0)),"WL jump &gt;5 cm; ",""),"")&amp;IF(AND(ISNUMBER(PitanE),ISNUMBER(AB104),$A104&gt;PitanE+2,AB104&lt;PitanE),"re-measure TP/b after Pitan; ",""))</f>
        <v/>
      </c>
    </row>
    <row r="105">
      <c r="A105" s="14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0">
        <f>IF(OR($A105="",NOT(ISNUMBER(TransDate))),"",$A105-TransDate)</f>
        <v/>
      </c>
      <c r="Q105" s="16">
        <f>IF($A105="","",IF(_xlfn.MAXIFS('TP-b'!$B$2:$B$60,'TP-b'!$A$2:$A$60,"FP",'TP-b'!$E$2:$E$60,1,'TP-b'!$B$2:$B$60,"&lt;="&amp;$A105)&gt;0,_xlfn.MAXIFS('TP-b'!$B$2:$B$60,'TP-b'!$A$2:$A$60,"FP",'TP-b'!$E$2:$E$60,1,'TP-b'!$B$2:$B$60,"&lt;="&amp;$A105),IF(_xlfn.MINIFS('TP-b'!$B$2:$B$60,'TP-b'!$A$2:$A$60,"FP",'TP-b'!$E$2:$E$60,1)&gt;0,_xlfn.MINIFS('TP-b'!$B$2:$B$60,'TP-b'!$A$2:$A$60,"FP",'TP-b'!$E$2:$E$60,1),"")))</f>
        <v/>
      </c>
      <c r="R105" s="10">
        <f>IF(Q105="","",AVERAGEIFS('TP-b'!$C$2:$C$60,'TP-b'!$A$2:$A$60,"FP",'TP-b'!$B$2:$B$60,Q105,'TP-b'!$E$2:$E$60,1))</f>
        <v/>
      </c>
      <c r="S105" s="10">
        <f>IF(Q105="","",AVERAGEIFS('TP-b'!$D$2:$D$60,'TP-b'!$A$2:$A$60,"FP",'TP-b'!$B$2:$B$60,Q105,'TP-b'!$E$2:$E$60,1))</f>
        <v/>
      </c>
      <c r="T105" s="10">
        <f>IF(OR($A105="",NOT(ISNUMBER($E105)),R105=""),"",ROUND($E105-R105+S105,1))</f>
        <v/>
      </c>
      <c r="U105" s="10">
        <f>IF(AND($F105="Yes",ISNUMBER($G105),R105&lt;&gt;""),ROUND($G105-R105+S105,1),"")</f>
        <v/>
      </c>
      <c r="V105" s="10">
        <f>IF(AND($F105="Yes",ISNUMBER($H105),R105&lt;&gt;""),ROUND($H105-R105+S105,1),"")</f>
        <v/>
      </c>
      <c r="W105" s="10">
        <f>IF(AND(ISNUMBER($E105),ISNUMBER(U105),ISNUMBER(V105)),ROUND((V105-MAX(U105,0))*10,1),"")</f>
        <v/>
      </c>
      <c r="X105" s="10">
        <f>IF(T105="","",IF(AND($F105="Yes",ISNUMBER(V105)),V105,T105))</f>
        <v/>
      </c>
      <c r="Y105" s="10">
        <f>IF(T105="","",ROUND(SUMIFS($W$3:$W$252,$A$3:$A$252,"&lt;="&amp;$A105),1))</f>
        <v/>
      </c>
      <c r="Z105" s="10">
        <f>IF(OR(T105="",$A105=""),"",IF(ISNUMBER(IFERROR(INDEX($X$3:$X$252,MATCH($A105-1,$A$3:$A$252,0)),"")),ROUND((INDEX($X$3:$X$252,MATCH($A105-1,$A$3:$A$252,0))-T105)*10,1),""))</f>
        <v/>
      </c>
      <c r="AA105" s="10">
        <f>IF(ISNUMBER(T105),1,0)</f>
        <v/>
      </c>
      <c r="AB105" s="16">
        <f>IF($A105="","",IF(_xlfn.MAXIFS('TP-b'!$B$2:$B$60,'TP-b'!$A$2:$A$60,"3F4D+MD",'TP-b'!$E$2:$E$60,1,'TP-b'!$B$2:$B$60,"&lt;="&amp;$A105)&gt;0,_xlfn.MAXIFS('TP-b'!$B$2:$B$60,'TP-b'!$A$2:$A$60,"3F4D+MD",'TP-b'!$E$2:$E$60,1,'TP-b'!$B$2:$B$60,"&lt;="&amp;$A105),IF(_xlfn.MINIFS('TP-b'!$B$2:$B$60,'TP-b'!$A$2:$A$60,"3F4D+MD",'TP-b'!$E$2:$E$60,1)&gt;0,_xlfn.MINIFS('TP-b'!$B$2:$B$60,'TP-b'!$A$2:$A$60,"3F4D+MD",'TP-b'!$E$2:$E$60,1),"")))</f>
        <v/>
      </c>
      <c r="AC105" s="10">
        <f>IF(AB105="","",AVERAGEIFS('TP-b'!$C$2:$C$60,'TP-b'!$A$2:$A$60,"3F4D+MD",'TP-b'!$B$2:$B$60,AB105,'TP-b'!$E$2:$E$60,1))</f>
        <v/>
      </c>
      <c r="AD105" s="10">
        <f>IF(AB105="","",AVERAGEIFS('TP-b'!$D$2:$D$60,'TP-b'!$A$2:$A$60,"3F4D+MD",'TP-b'!$B$2:$B$60,AB105,'TP-b'!$E$2:$E$60,1))</f>
        <v/>
      </c>
      <c r="AE105" s="10">
        <f>IF(OR($A105="",NOT(ISNUMBER($J105)),AC105=""),"",ROUND($J105-AC105+AD105,1))</f>
        <v/>
      </c>
      <c r="AF105" s="10">
        <f>IF(AND($K105="Yes",ISNUMBER($L105),AC105&lt;&gt;""),ROUND($L105-AC105+AD105,1),"")</f>
        <v/>
      </c>
      <c r="AG105" s="10">
        <f>IF(AND($K105="Yes",ISNUMBER($M105),AC105&lt;&gt;""),ROUND($M105-AC105+AD105,1),"")</f>
        <v/>
      </c>
      <c r="AH105" s="10">
        <f>IF(AND(ISNUMBER($J105),ISNUMBER(AF105),ISNUMBER(AG105)),ROUND((AG105-MAX(AF105,0))*10,1),"")</f>
        <v/>
      </c>
      <c r="AI105" s="10">
        <f>IF(AE105="","",IF(AND($K105="Yes",ISNUMBER(AG105)),AG105,AE105))</f>
        <v/>
      </c>
      <c r="AJ105" s="10">
        <f>IF(AE105="","",ROUND(SUMIFS($AH$3:$AH$252,$A$3:$A$252,"&lt;="&amp;$A105),1))</f>
        <v/>
      </c>
      <c r="AK105" s="10">
        <f>IF(OR(AE105="",$A105=""),"",IF(ISNUMBER(IFERROR(INDEX($AI$3:$AI$252,MATCH($A105-1,$A$3:$A$252,0)),"")),ROUND((INDEX($AI$3:$AI$252,MATCH($A105-1,$A$3:$A$252,0))-AE105)*10,1),""))</f>
        <v/>
      </c>
      <c r="AL105" s="10">
        <f>IF(ISNUMBER(AE105),1,0)</f>
        <v/>
      </c>
      <c r="AM105" s="17">
        <f>IF($A105="","",IF(COUNTIF($A$3:$A$252,$A105)&gt;1,"same date twice; ","")&amp;IF(AND(ISNUMBER($B105),OR($B105&lt;0,$B105&gt;300)),"rain out of range; ","")&amp;IF(AND(ISNUMBER($C105),OR($C105&lt;0,$C105&gt;45)),"temp out of range; ","")&amp;IF(AND(ISNUMBER($D105),OR($D105&lt;0,$D105&gt;100)),"RH out of range; ",""))</f>
        <v/>
      </c>
      <c r="AN105" s="17">
        <f>IF($A105="","",IF(AND(ISNUMBER(T105),OR(T105&lt;-30,T105&gt;20)),"WL out of range; ","")&amp;IF(AND(ISNUMBER($E105),T105=""),"no TP/b; ","")&amp;IF(AND(ISNUMBER(U105),ISNUMBER(V105)),IF(V105&lt;U105,"After&lt;Before; ",""),"")&amp;IF(AND($F105="Yes",ISNUMBER($E105),W105=""),"irrigation readings missing; ","")&amp;IF(ISNUMBER(Z105),IF(AND(ABS(Z105)&gt;50,NOT(N($B105)&gt;0)),"WL jump &gt;5 cm; ",""),""))</f>
        <v/>
      </c>
      <c r="AO105" s="17">
        <f>IF($A105="","",IF(AND(ISNUMBER(AE105),OR(AE105&lt;-30,AE105&gt;20)),"WL out of range; ","")&amp;IF(AND(ISNUMBER($J105),AE105=""),"no TP/b; ","")&amp;IF(AND(ISNUMBER(AF105),ISNUMBER(AG105)),IF(AG105&lt;AF105,"After&lt;Before; ",""),"")&amp;IF(AND($K105="Yes",ISNUMBER($J105),AH105=""),"irrigation readings missing; ","")&amp;IF(ISNUMBER(AK105),IF(AND(ABS(AK105)&gt;50,NOT(N($B105)&gt;0)),"WL jump &gt;5 cm; ",""),"")&amp;IF(AND(ISNUMBER(PitanE),ISNUMBER(AB105),$A105&gt;PitanE+2,AB105&lt;PitanE),"re-measure TP/b after Pitan; ",""))</f>
        <v/>
      </c>
    </row>
    <row r="106">
      <c r="A106" s="14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0">
        <f>IF(OR($A106="",NOT(ISNUMBER(TransDate))),"",$A106-TransDate)</f>
        <v/>
      </c>
      <c r="Q106" s="16">
        <f>IF($A106="","",IF(_xlfn.MAXIFS('TP-b'!$B$2:$B$60,'TP-b'!$A$2:$A$60,"FP",'TP-b'!$E$2:$E$60,1,'TP-b'!$B$2:$B$60,"&lt;="&amp;$A106)&gt;0,_xlfn.MAXIFS('TP-b'!$B$2:$B$60,'TP-b'!$A$2:$A$60,"FP",'TP-b'!$E$2:$E$60,1,'TP-b'!$B$2:$B$60,"&lt;="&amp;$A106),IF(_xlfn.MINIFS('TP-b'!$B$2:$B$60,'TP-b'!$A$2:$A$60,"FP",'TP-b'!$E$2:$E$60,1)&gt;0,_xlfn.MINIFS('TP-b'!$B$2:$B$60,'TP-b'!$A$2:$A$60,"FP",'TP-b'!$E$2:$E$60,1),"")))</f>
        <v/>
      </c>
      <c r="R106" s="10">
        <f>IF(Q106="","",AVERAGEIFS('TP-b'!$C$2:$C$60,'TP-b'!$A$2:$A$60,"FP",'TP-b'!$B$2:$B$60,Q106,'TP-b'!$E$2:$E$60,1))</f>
        <v/>
      </c>
      <c r="S106" s="10">
        <f>IF(Q106="","",AVERAGEIFS('TP-b'!$D$2:$D$60,'TP-b'!$A$2:$A$60,"FP",'TP-b'!$B$2:$B$60,Q106,'TP-b'!$E$2:$E$60,1))</f>
        <v/>
      </c>
      <c r="T106" s="10">
        <f>IF(OR($A106="",NOT(ISNUMBER($E106)),R106=""),"",ROUND($E106-R106+S106,1))</f>
        <v/>
      </c>
      <c r="U106" s="10">
        <f>IF(AND($F106="Yes",ISNUMBER($G106),R106&lt;&gt;""),ROUND($G106-R106+S106,1),"")</f>
        <v/>
      </c>
      <c r="V106" s="10">
        <f>IF(AND($F106="Yes",ISNUMBER($H106),R106&lt;&gt;""),ROUND($H106-R106+S106,1),"")</f>
        <v/>
      </c>
      <c r="W106" s="10">
        <f>IF(AND(ISNUMBER($E106),ISNUMBER(U106),ISNUMBER(V106)),ROUND((V106-MAX(U106,0))*10,1),"")</f>
        <v/>
      </c>
      <c r="X106" s="10">
        <f>IF(T106="","",IF(AND($F106="Yes",ISNUMBER(V106)),V106,T106))</f>
        <v/>
      </c>
      <c r="Y106" s="10">
        <f>IF(T106="","",ROUND(SUMIFS($W$3:$W$252,$A$3:$A$252,"&lt;="&amp;$A106),1))</f>
        <v/>
      </c>
      <c r="Z106" s="10">
        <f>IF(OR(T106="",$A106=""),"",IF(ISNUMBER(IFERROR(INDEX($X$3:$X$252,MATCH($A106-1,$A$3:$A$252,0)),"")),ROUND((INDEX($X$3:$X$252,MATCH($A106-1,$A$3:$A$252,0))-T106)*10,1),""))</f>
        <v/>
      </c>
      <c r="AA106" s="10">
        <f>IF(ISNUMBER(T106),1,0)</f>
        <v/>
      </c>
      <c r="AB106" s="16">
        <f>IF($A106="","",IF(_xlfn.MAXIFS('TP-b'!$B$2:$B$60,'TP-b'!$A$2:$A$60,"3F4D+MD",'TP-b'!$E$2:$E$60,1,'TP-b'!$B$2:$B$60,"&lt;="&amp;$A106)&gt;0,_xlfn.MAXIFS('TP-b'!$B$2:$B$60,'TP-b'!$A$2:$A$60,"3F4D+MD",'TP-b'!$E$2:$E$60,1,'TP-b'!$B$2:$B$60,"&lt;="&amp;$A106),IF(_xlfn.MINIFS('TP-b'!$B$2:$B$60,'TP-b'!$A$2:$A$60,"3F4D+MD",'TP-b'!$E$2:$E$60,1)&gt;0,_xlfn.MINIFS('TP-b'!$B$2:$B$60,'TP-b'!$A$2:$A$60,"3F4D+MD",'TP-b'!$E$2:$E$60,1),"")))</f>
        <v/>
      </c>
      <c r="AC106" s="10">
        <f>IF(AB106="","",AVERAGEIFS('TP-b'!$C$2:$C$60,'TP-b'!$A$2:$A$60,"3F4D+MD",'TP-b'!$B$2:$B$60,AB106,'TP-b'!$E$2:$E$60,1))</f>
        <v/>
      </c>
      <c r="AD106" s="10">
        <f>IF(AB106="","",AVERAGEIFS('TP-b'!$D$2:$D$60,'TP-b'!$A$2:$A$60,"3F4D+MD",'TP-b'!$B$2:$B$60,AB106,'TP-b'!$E$2:$E$60,1))</f>
        <v/>
      </c>
      <c r="AE106" s="10">
        <f>IF(OR($A106="",NOT(ISNUMBER($J106)),AC106=""),"",ROUND($J106-AC106+AD106,1))</f>
        <v/>
      </c>
      <c r="AF106" s="10">
        <f>IF(AND($K106="Yes",ISNUMBER($L106),AC106&lt;&gt;""),ROUND($L106-AC106+AD106,1),"")</f>
        <v/>
      </c>
      <c r="AG106" s="10">
        <f>IF(AND($K106="Yes",ISNUMBER($M106),AC106&lt;&gt;""),ROUND($M106-AC106+AD106,1),"")</f>
        <v/>
      </c>
      <c r="AH106" s="10">
        <f>IF(AND(ISNUMBER($J106),ISNUMBER(AF106),ISNUMBER(AG106)),ROUND((AG106-MAX(AF106,0))*10,1),"")</f>
        <v/>
      </c>
      <c r="AI106" s="10">
        <f>IF(AE106="","",IF(AND($K106="Yes",ISNUMBER(AG106)),AG106,AE106))</f>
        <v/>
      </c>
      <c r="AJ106" s="10">
        <f>IF(AE106="","",ROUND(SUMIFS($AH$3:$AH$252,$A$3:$A$252,"&lt;="&amp;$A106),1))</f>
        <v/>
      </c>
      <c r="AK106" s="10">
        <f>IF(OR(AE106="",$A106=""),"",IF(ISNUMBER(IFERROR(INDEX($AI$3:$AI$252,MATCH($A106-1,$A$3:$A$252,0)),"")),ROUND((INDEX($AI$3:$AI$252,MATCH($A106-1,$A$3:$A$252,0))-AE106)*10,1),""))</f>
        <v/>
      </c>
      <c r="AL106" s="10">
        <f>IF(ISNUMBER(AE106),1,0)</f>
        <v/>
      </c>
      <c r="AM106" s="17">
        <f>IF($A106="","",IF(COUNTIF($A$3:$A$252,$A106)&gt;1,"same date twice; ","")&amp;IF(AND(ISNUMBER($B106),OR($B106&lt;0,$B106&gt;300)),"rain out of range; ","")&amp;IF(AND(ISNUMBER($C106),OR($C106&lt;0,$C106&gt;45)),"temp out of range; ","")&amp;IF(AND(ISNUMBER($D106),OR($D106&lt;0,$D106&gt;100)),"RH out of range; ",""))</f>
        <v/>
      </c>
      <c r="AN106" s="17">
        <f>IF($A106="","",IF(AND(ISNUMBER(T106),OR(T106&lt;-30,T106&gt;20)),"WL out of range; ","")&amp;IF(AND(ISNUMBER($E106),T106=""),"no TP/b; ","")&amp;IF(AND(ISNUMBER(U106),ISNUMBER(V106)),IF(V106&lt;U106,"After&lt;Before; ",""),"")&amp;IF(AND($F106="Yes",ISNUMBER($E106),W106=""),"irrigation readings missing; ","")&amp;IF(ISNUMBER(Z106),IF(AND(ABS(Z106)&gt;50,NOT(N($B106)&gt;0)),"WL jump &gt;5 cm; ",""),""))</f>
        <v/>
      </c>
      <c r="AO106" s="17">
        <f>IF($A106="","",IF(AND(ISNUMBER(AE106),OR(AE106&lt;-30,AE106&gt;20)),"WL out of range; ","")&amp;IF(AND(ISNUMBER($J106),AE106=""),"no TP/b; ","")&amp;IF(AND(ISNUMBER(AF106),ISNUMBER(AG106)),IF(AG106&lt;AF106,"After&lt;Before; ",""),"")&amp;IF(AND($K106="Yes",ISNUMBER($J106),AH106=""),"irrigation readings missing; ","")&amp;IF(ISNUMBER(AK106),IF(AND(ABS(AK106)&gt;50,NOT(N($B106)&gt;0)),"WL jump &gt;5 cm; ",""),"")&amp;IF(AND(ISNUMBER(PitanE),ISNUMBER(AB106),$A106&gt;PitanE+2,AB106&lt;PitanE),"re-measure TP/b after Pitan; ",""))</f>
        <v/>
      </c>
    </row>
    <row r="107">
      <c r="A107" s="14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0">
        <f>IF(OR($A107="",NOT(ISNUMBER(TransDate))),"",$A107-TransDate)</f>
        <v/>
      </c>
      <c r="Q107" s="16">
        <f>IF($A107="","",IF(_xlfn.MAXIFS('TP-b'!$B$2:$B$60,'TP-b'!$A$2:$A$60,"FP",'TP-b'!$E$2:$E$60,1,'TP-b'!$B$2:$B$60,"&lt;="&amp;$A107)&gt;0,_xlfn.MAXIFS('TP-b'!$B$2:$B$60,'TP-b'!$A$2:$A$60,"FP",'TP-b'!$E$2:$E$60,1,'TP-b'!$B$2:$B$60,"&lt;="&amp;$A107),IF(_xlfn.MINIFS('TP-b'!$B$2:$B$60,'TP-b'!$A$2:$A$60,"FP",'TP-b'!$E$2:$E$60,1)&gt;0,_xlfn.MINIFS('TP-b'!$B$2:$B$60,'TP-b'!$A$2:$A$60,"FP",'TP-b'!$E$2:$E$60,1),"")))</f>
        <v/>
      </c>
      <c r="R107" s="10">
        <f>IF(Q107="","",AVERAGEIFS('TP-b'!$C$2:$C$60,'TP-b'!$A$2:$A$60,"FP",'TP-b'!$B$2:$B$60,Q107,'TP-b'!$E$2:$E$60,1))</f>
        <v/>
      </c>
      <c r="S107" s="10">
        <f>IF(Q107="","",AVERAGEIFS('TP-b'!$D$2:$D$60,'TP-b'!$A$2:$A$60,"FP",'TP-b'!$B$2:$B$60,Q107,'TP-b'!$E$2:$E$60,1))</f>
        <v/>
      </c>
      <c r="T107" s="10">
        <f>IF(OR($A107="",NOT(ISNUMBER($E107)),R107=""),"",ROUND($E107-R107+S107,1))</f>
        <v/>
      </c>
      <c r="U107" s="10">
        <f>IF(AND($F107="Yes",ISNUMBER($G107),R107&lt;&gt;""),ROUND($G107-R107+S107,1),"")</f>
        <v/>
      </c>
      <c r="V107" s="10">
        <f>IF(AND($F107="Yes",ISNUMBER($H107),R107&lt;&gt;""),ROUND($H107-R107+S107,1),"")</f>
        <v/>
      </c>
      <c r="W107" s="10">
        <f>IF(AND(ISNUMBER($E107),ISNUMBER(U107),ISNUMBER(V107)),ROUND((V107-MAX(U107,0))*10,1),"")</f>
        <v/>
      </c>
      <c r="X107" s="10">
        <f>IF(T107="","",IF(AND($F107="Yes",ISNUMBER(V107)),V107,T107))</f>
        <v/>
      </c>
      <c r="Y107" s="10">
        <f>IF(T107="","",ROUND(SUMIFS($W$3:$W$252,$A$3:$A$252,"&lt;="&amp;$A107),1))</f>
        <v/>
      </c>
      <c r="Z107" s="10">
        <f>IF(OR(T107="",$A107=""),"",IF(ISNUMBER(IFERROR(INDEX($X$3:$X$252,MATCH($A107-1,$A$3:$A$252,0)),"")),ROUND((INDEX($X$3:$X$252,MATCH($A107-1,$A$3:$A$252,0))-T107)*10,1),""))</f>
        <v/>
      </c>
      <c r="AA107" s="10">
        <f>IF(ISNUMBER(T107),1,0)</f>
        <v/>
      </c>
      <c r="AB107" s="16">
        <f>IF($A107="","",IF(_xlfn.MAXIFS('TP-b'!$B$2:$B$60,'TP-b'!$A$2:$A$60,"3F4D+MD",'TP-b'!$E$2:$E$60,1,'TP-b'!$B$2:$B$60,"&lt;="&amp;$A107)&gt;0,_xlfn.MAXIFS('TP-b'!$B$2:$B$60,'TP-b'!$A$2:$A$60,"3F4D+MD",'TP-b'!$E$2:$E$60,1,'TP-b'!$B$2:$B$60,"&lt;="&amp;$A107),IF(_xlfn.MINIFS('TP-b'!$B$2:$B$60,'TP-b'!$A$2:$A$60,"3F4D+MD",'TP-b'!$E$2:$E$60,1)&gt;0,_xlfn.MINIFS('TP-b'!$B$2:$B$60,'TP-b'!$A$2:$A$60,"3F4D+MD",'TP-b'!$E$2:$E$60,1),"")))</f>
        <v/>
      </c>
      <c r="AC107" s="10">
        <f>IF(AB107="","",AVERAGEIFS('TP-b'!$C$2:$C$60,'TP-b'!$A$2:$A$60,"3F4D+MD",'TP-b'!$B$2:$B$60,AB107,'TP-b'!$E$2:$E$60,1))</f>
        <v/>
      </c>
      <c r="AD107" s="10">
        <f>IF(AB107="","",AVERAGEIFS('TP-b'!$D$2:$D$60,'TP-b'!$A$2:$A$60,"3F4D+MD",'TP-b'!$B$2:$B$60,AB107,'TP-b'!$E$2:$E$60,1))</f>
        <v/>
      </c>
      <c r="AE107" s="10">
        <f>IF(OR($A107="",NOT(ISNUMBER($J107)),AC107=""),"",ROUND($J107-AC107+AD107,1))</f>
        <v/>
      </c>
      <c r="AF107" s="10">
        <f>IF(AND($K107="Yes",ISNUMBER($L107),AC107&lt;&gt;""),ROUND($L107-AC107+AD107,1),"")</f>
        <v/>
      </c>
      <c r="AG107" s="10">
        <f>IF(AND($K107="Yes",ISNUMBER($M107),AC107&lt;&gt;""),ROUND($M107-AC107+AD107,1),"")</f>
        <v/>
      </c>
      <c r="AH107" s="10">
        <f>IF(AND(ISNUMBER($J107),ISNUMBER(AF107),ISNUMBER(AG107)),ROUND((AG107-MAX(AF107,0))*10,1),"")</f>
        <v/>
      </c>
      <c r="AI107" s="10">
        <f>IF(AE107="","",IF(AND($K107="Yes",ISNUMBER(AG107)),AG107,AE107))</f>
        <v/>
      </c>
      <c r="AJ107" s="10">
        <f>IF(AE107="","",ROUND(SUMIFS($AH$3:$AH$252,$A$3:$A$252,"&lt;="&amp;$A107),1))</f>
        <v/>
      </c>
      <c r="AK107" s="10">
        <f>IF(OR(AE107="",$A107=""),"",IF(ISNUMBER(IFERROR(INDEX($AI$3:$AI$252,MATCH($A107-1,$A$3:$A$252,0)),"")),ROUND((INDEX($AI$3:$AI$252,MATCH($A107-1,$A$3:$A$252,0))-AE107)*10,1),""))</f>
        <v/>
      </c>
      <c r="AL107" s="10">
        <f>IF(ISNUMBER(AE107),1,0)</f>
        <v/>
      </c>
      <c r="AM107" s="17">
        <f>IF($A107="","",IF(COUNTIF($A$3:$A$252,$A107)&gt;1,"same date twice; ","")&amp;IF(AND(ISNUMBER($B107),OR($B107&lt;0,$B107&gt;300)),"rain out of range; ","")&amp;IF(AND(ISNUMBER($C107),OR($C107&lt;0,$C107&gt;45)),"temp out of range; ","")&amp;IF(AND(ISNUMBER($D107),OR($D107&lt;0,$D107&gt;100)),"RH out of range; ",""))</f>
        <v/>
      </c>
      <c r="AN107" s="17">
        <f>IF($A107="","",IF(AND(ISNUMBER(T107),OR(T107&lt;-30,T107&gt;20)),"WL out of range; ","")&amp;IF(AND(ISNUMBER($E107),T107=""),"no TP/b; ","")&amp;IF(AND(ISNUMBER(U107),ISNUMBER(V107)),IF(V107&lt;U107,"After&lt;Before; ",""),"")&amp;IF(AND($F107="Yes",ISNUMBER($E107),W107=""),"irrigation readings missing; ","")&amp;IF(ISNUMBER(Z107),IF(AND(ABS(Z107)&gt;50,NOT(N($B107)&gt;0)),"WL jump &gt;5 cm; ",""),""))</f>
        <v/>
      </c>
      <c r="AO107" s="17">
        <f>IF($A107="","",IF(AND(ISNUMBER(AE107),OR(AE107&lt;-30,AE107&gt;20)),"WL out of range; ","")&amp;IF(AND(ISNUMBER($J107),AE107=""),"no TP/b; ","")&amp;IF(AND(ISNUMBER(AF107),ISNUMBER(AG107)),IF(AG107&lt;AF107,"After&lt;Before; ",""),"")&amp;IF(AND($K107="Yes",ISNUMBER($J107),AH107=""),"irrigation readings missing; ","")&amp;IF(ISNUMBER(AK107),IF(AND(ABS(AK107)&gt;50,NOT(N($B107)&gt;0)),"WL jump &gt;5 cm; ",""),"")&amp;IF(AND(ISNUMBER(PitanE),ISNUMBER(AB107),$A107&gt;PitanE+2,AB107&lt;PitanE),"re-measure TP/b after Pitan; ",""))</f>
        <v/>
      </c>
    </row>
    <row r="108">
      <c r="A108" s="14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0">
        <f>IF(OR($A108="",NOT(ISNUMBER(TransDate))),"",$A108-TransDate)</f>
        <v/>
      </c>
      <c r="Q108" s="16">
        <f>IF($A108="","",IF(_xlfn.MAXIFS('TP-b'!$B$2:$B$60,'TP-b'!$A$2:$A$60,"FP",'TP-b'!$E$2:$E$60,1,'TP-b'!$B$2:$B$60,"&lt;="&amp;$A108)&gt;0,_xlfn.MAXIFS('TP-b'!$B$2:$B$60,'TP-b'!$A$2:$A$60,"FP",'TP-b'!$E$2:$E$60,1,'TP-b'!$B$2:$B$60,"&lt;="&amp;$A108),IF(_xlfn.MINIFS('TP-b'!$B$2:$B$60,'TP-b'!$A$2:$A$60,"FP",'TP-b'!$E$2:$E$60,1)&gt;0,_xlfn.MINIFS('TP-b'!$B$2:$B$60,'TP-b'!$A$2:$A$60,"FP",'TP-b'!$E$2:$E$60,1),"")))</f>
        <v/>
      </c>
      <c r="R108" s="10">
        <f>IF(Q108="","",AVERAGEIFS('TP-b'!$C$2:$C$60,'TP-b'!$A$2:$A$60,"FP",'TP-b'!$B$2:$B$60,Q108,'TP-b'!$E$2:$E$60,1))</f>
        <v/>
      </c>
      <c r="S108" s="10">
        <f>IF(Q108="","",AVERAGEIFS('TP-b'!$D$2:$D$60,'TP-b'!$A$2:$A$60,"FP",'TP-b'!$B$2:$B$60,Q108,'TP-b'!$E$2:$E$60,1))</f>
        <v/>
      </c>
      <c r="T108" s="10">
        <f>IF(OR($A108="",NOT(ISNUMBER($E108)),R108=""),"",ROUND($E108-R108+S108,1))</f>
        <v/>
      </c>
      <c r="U108" s="10">
        <f>IF(AND($F108="Yes",ISNUMBER($G108),R108&lt;&gt;""),ROUND($G108-R108+S108,1),"")</f>
        <v/>
      </c>
      <c r="V108" s="10">
        <f>IF(AND($F108="Yes",ISNUMBER($H108),R108&lt;&gt;""),ROUND($H108-R108+S108,1),"")</f>
        <v/>
      </c>
      <c r="W108" s="10">
        <f>IF(AND(ISNUMBER($E108),ISNUMBER(U108),ISNUMBER(V108)),ROUND((V108-MAX(U108,0))*10,1),"")</f>
        <v/>
      </c>
      <c r="X108" s="10">
        <f>IF(T108="","",IF(AND($F108="Yes",ISNUMBER(V108)),V108,T108))</f>
        <v/>
      </c>
      <c r="Y108" s="10">
        <f>IF(T108="","",ROUND(SUMIFS($W$3:$W$252,$A$3:$A$252,"&lt;="&amp;$A108),1))</f>
        <v/>
      </c>
      <c r="Z108" s="10">
        <f>IF(OR(T108="",$A108=""),"",IF(ISNUMBER(IFERROR(INDEX($X$3:$X$252,MATCH($A108-1,$A$3:$A$252,0)),"")),ROUND((INDEX($X$3:$X$252,MATCH($A108-1,$A$3:$A$252,0))-T108)*10,1),""))</f>
        <v/>
      </c>
      <c r="AA108" s="10">
        <f>IF(ISNUMBER(T108),1,0)</f>
        <v/>
      </c>
      <c r="AB108" s="16">
        <f>IF($A108="","",IF(_xlfn.MAXIFS('TP-b'!$B$2:$B$60,'TP-b'!$A$2:$A$60,"3F4D+MD",'TP-b'!$E$2:$E$60,1,'TP-b'!$B$2:$B$60,"&lt;="&amp;$A108)&gt;0,_xlfn.MAXIFS('TP-b'!$B$2:$B$60,'TP-b'!$A$2:$A$60,"3F4D+MD",'TP-b'!$E$2:$E$60,1,'TP-b'!$B$2:$B$60,"&lt;="&amp;$A108),IF(_xlfn.MINIFS('TP-b'!$B$2:$B$60,'TP-b'!$A$2:$A$60,"3F4D+MD",'TP-b'!$E$2:$E$60,1)&gt;0,_xlfn.MINIFS('TP-b'!$B$2:$B$60,'TP-b'!$A$2:$A$60,"3F4D+MD",'TP-b'!$E$2:$E$60,1),"")))</f>
        <v/>
      </c>
      <c r="AC108" s="10">
        <f>IF(AB108="","",AVERAGEIFS('TP-b'!$C$2:$C$60,'TP-b'!$A$2:$A$60,"3F4D+MD",'TP-b'!$B$2:$B$60,AB108,'TP-b'!$E$2:$E$60,1))</f>
        <v/>
      </c>
      <c r="AD108" s="10">
        <f>IF(AB108="","",AVERAGEIFS('TP-b'!$D$2:$D$60,'TP-b'!$A$2:$A$60,"3F4D+MD",'TP-b'!$B$2:$B$60,AB108,'TP-b'!$E$2:$E$60,1))</f>
        <v/>
      </c>
      <c r="AE108" s="10">
        <f>IF(OR($A108="",NOT(ISNUMBER($J108)),AC108=""),"",ROUND($J108-AC108+AD108,1))</f>
        <v/>
      </c>
      <c r="AF108" s="10">
        <f>IF(AND($K108="Yes",ISNUMBER($L108),AC108&lt;&gt;""),ROUND($L108-AC108+AD108,1),"")</f>
        <v/>
      </c>
      <c r="AG108" s="10">
        <f>IF(AND($K108="Yes",ISNUMBER($M108),AC108&lt;&gt;""),ROUND($M108-AC108+AD108,1),"")</f>
        <v/>
      </c>
      <c r="AH108" s="10">
        <f>IF(AND(ISNUMBER($J108),ISNUMBER(AF108),ISNUMBER(AG108)),ROUND((AG108-MAX(AF108,0))*10,1),"")</f>
        <v/>
      </c>
      <c r="AI108" s="10">
        <f>IF(AE108="","",IF(AND($K108="Yes",ISNUMBER(AG108)),AG108,AE108))</f>
        <v/>
      </c>
      <c r="AJ108" s="10">
        <f>IF(AE108="","",ROUND(SUMIFS($AH$3:$AH$252,$A$3:$A$252,"&lt;="&amp;$A108),1))</f>
        <v/>
      </c>
      <c r="AK108" s="10">
        <f>IF(OR(AE108="",$A108=""),"",IF(ISNUMBER(IFERROR(INDEX($AI$3:$AI$252,MATCH($A108-1,$A$3:$A$252,0)),"")),ROUND((INDEX($AI$3:$AI$252,MATCH($A108-1,$A$3:$A$252,0))-AE108)*10,1),""))</f>
        <v/>
      </c>
      <c r="AL108" s="10">
        <f>IF(ISNUMBER(AE108),1,0)</f>
        <v/>
      </c>
      <c r="AM108" s="17">
        <f>IF($A108="","",IF(COUNTIF($A$3:$A$252,$A108)&gt;1,"same date twice; ","")&amp;IF(AND(ISNUMBER($B108),OR($B108&lt;0,$B108&gt;300)),"rain out of range; ","")&amp;IF(AND(ISNUMBER($C108),OR($C108&lt;0,$C108&gt;45)),"temp out of range; ","")&amp;IF(AND(ISNUMBER($D108),OR($D108&lt;0,$D108&gt;100)),"RH out of range; ",""))</f>
        <v/>
      </c>
      <c r="AN108" s="17">
        <f>IF($A108="","",IF(AND(ISNUMBER(T108),OR(T108&lt;-30,T108&gt;20)),"WL out of range; ","")&amp;IF(AND(ISNUMBER($E108),T108=""),"no TP/b; ","")&amp;IF(AND(ISNUMBER(U108),ISNUMBER(V108)),IF(V108&lt;U108,"After&lt;Before; ",""),"")&amp;IF(AND($F108="Yes",ISNUMBER($E108),W108=""),"irrigation readings missing; ","")&amp;IF(ISNUMBER(Z108),IF(AND(ABS(Z108)&gt;50,NOT(N($B108)&gt;0)),"WL jump &gt;5 cm; ",""),""))</f>
        <v/>
      </c>
      <c r="AO108" s="17">
        <f>IF($A108="","",IF(AND(ISNUMBER(AE108),OR(AE108&lt;-30,AE108&gt;20)),"WL out of range; ","")&amp;IF(AND(ISNUMBER($J108),AE108=""),"no TP/b; ","")&amp;IF(AND(ISNUMBER(AF108),ISNUMBER(AG108)),IF(AG108&lt;AF108,"After&lt;Before; ",""),"")&amp;IF(AND($K108="Yes",ISNUMBER($J108),AH108=""),"irrigation readings missing; ","")&amp;IF(ISNUMBER(AK108),IF(AND(ABS(AK108)&gt;50,NOT(N($B108)&gt;0)),"WL jump &gt;5 cm; ",""),"")&amp;IF(AND(ISNUMBER(PitanE),ISNUMBER(AB108),$A108&gt;PitanE+2,AB108&lt;PitanE),"re-measure TP/b after Pitan; ",""))</f>
        <v/>
      </c>
    </row>
    <row r="109">
      <c r="A109" s="14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0">
        <f>IF(OR($A109="",NOT(ISNUMBER(TransDate))),"",$A109-TransDate)</f>
        <v/>
      </c>
      <c r="Q109" s="16">
        <f>IF($A109="","",IF(_xlfn.MAXIFS('TP-b'!$B$2:$B$60,'TP-b'!$A$2:$A$60,"FP",'TP-b'!$E$2:$E$60,1,'TP-b'!$B$2:$B$60,"&lt;="&amp;$A109)&gt;0,_xlfn.MAXIFS('TP-b'!$B$2:$B$60,'TP-b'!$A$2:$A$60,"FP",'TP-b'!$E$2:$E$60,1,'TP-b'!$B$2:$B$60,"&lt;="&amp;$A109),IF(_xlfn.MINIFS('TP-b'!$B$2:$B$60,'TP-b'!$A$2:$A$60,"FP",'TP-b'!$E$2:$E$60,1)&gt;0,_xlfn.MINIFS('TP-b'!$B$2:$B$60,'TP-b'!$A$2:$A$60,"FP",'TP-b'!$E$2:$E$60,1),"")))</f>
        <v/>
      </c>
      <c r="R109" s="10">
        <f>IF(Q109="","",AVERAGEIFS('TP-b'!$C$2:$C$60,'TP-b'!$A$2:$A$60,"FP",'TP-b'!$B$2:$B$60,Q109,'TP-b'!$E$2:$E$60,1))</f>
        <v/>
      </c>
      <c r="S109" s="10">
        <f>IF(Q109="","",AVERAGEIFS('TP-b'!$D$2:$D$60,'TP-b'!$A$2:$A$60,"FP",'TP-b'!$B$2:$B$60,Q109,'TP-b'!$E$2:$E$60,1))</f>
        <v/>
      </c>
      <c r="T109" s="10">
        <f>IF(OR($A109="",NOT(ISNUMBER($E109)),R109=""),"",ROUND($E109-R109+S109,1))</f>
        <v/>
      </c>
      <c r="U109" s="10">
        <f>IF(AND($F109="Yes",ISNUMBER($G109),R109&lt;&gt;""),ROUND($G109-R109+S109,1),"")</f>
        <v/>
      </c>
      <c r="V109" s="10">
        <f>IF(AND($F109="Yes",ISNUMBER($H109),R109&lt;&gt;""),ROUND($H109-R109+S109,1),"")</f>
        <v/>
      </c>
      <c r="W109" s="10">
        <f>IF(AND(ISNUMBER($E109),ISNUMBER(U109),ISNUMBER(V109)),ROUND((V109-MAX(U109,0))*10,1),"")</f>
        <v/>
      </c>
      <c r="X109" s="10">
        <f>IF(T109="","",IF(AND($F109="Yes",ISNUMBER(V109)),V109,T109))</f>
        <v/>
      </c>
      <c r="Y109" s="10">
        <f>IF(T109="","",ROUND(SUMIFS($W$3:$W$252,$A$3:$A$252,"&lt;="&amp;$A109),1))</f>
        <v/>
      </c>
      <c r="Z109" s="10">
        <f>IF(OR(T109="",$A109=""),"",IF(ISNUMBER(IFERROR(INDEX($X$3:$X$252,MATCH($A109-1,$A$3:$A$252,0)),"")),ROUND((INDEX($X$3:$X$252,MATCH($A109-1,$A$3:$A$252,0))-T109)*10,1),""))</f>
        <v/>
      </c>
      <c r="AA109" s="10">
        <f>IF(ISNUMBER(T109),1,0)</f>
        <v/>
      </c>
      <c r="AB109" s="16">
        <f>IF($A109="","",IF(_xlfn.MAXIFS('TP-b'!$B$2:$B$60,'TP-b'!$A$2:$A$60,"3F4D+MD",'TP-b'!$E$2:$E$60,1,'TP-b'!$B$2:$B$60,"&lt;="&amp;$A109)&gt;0,_xlfn.MAXIFS('TP-b'!$B$2:$B$60,'TP-b'!$A$2:$A$60,"3F4D+MD",'TP-b'!$E$2:$E$60,1,'TP-b'!$B$2:$B$60,"&lt;="&amp;$A109),IF(_xlfn.MINIFS('TP-b'!$B$2:$B$60,'TP-b'!$A$2:$A$60,"3F4D+MD",'TP-b'!$E$2:$E$60,1)&gt;0,_xlfn.MINIFS('TP-b'!$B$2:$B$60,'TP-b'!$A$2:$A$60,"3F4D+MD",'TP-b'!$E$2:$E$60,1),"")))</f>
        <v/>
      </c>
      <c r="AC109" s="10">
        <f>IF(AB109="","",AVERAGEIFS('TP-b'!$C$2:$C$60,'TP-b'!$A$2:$A$60,"3F4D+MD",'TP-b'!$B$2:$B$60,AB109,'TP-b'!$E$2:$E$60,1))</f>
        <v/>
      </c>
      <c r="AD109" s="10">
        <f>IF(AB109="","",AVERAGEIFS('TP-b'!$D$2:$D$60,'TP-b'!$A$2:$A$60,"3F4D+MD",'TP-b'!$B$2:$B$60,AB109,'TP-b'!$E$2:$E$60,1))</f>
        <v/>
      </c>
      <c r="AE109" s="10">
        <f>IF(OR($A109="",NOT(ISNUMBER($J109)),AC109=""),"",ROUND($J109-AC109+AD109,1))</f>
        <v/>
      </c>
      <c r="AF109" s="10">
        <f>IF(AND($K109="Yes",ISNUMBER($L109),AC109&lt;&gt;""),ROUND($L109-AC109+AD109,1),"")</f>
        <v/>
      </c>
      <c r="AG109" s="10">
        <f>IF(AND($K109="Yes",ISNUMBER($M109),AC109&lt;&gt;""),ROUND($M109-AC109+AD109,1),"")</f>
        <v/>
      </c>
      <c r="AH109" s="10">
        <f>IF(AND(ISNUMBER($J109),ISNUMBER(AF109),ISNUMBER(AG109)),ROUND((AG109-MAX(AF109,0))*10,1),"")</f>
        <v/>
      </c>
      <c r="AI109" s="10">
        <f>IF(AE109="","",IF(AND($K109="Yes",ISNUMBER(AG109)),AG109,AE109))</f>
        <v/>
      </c>
      <c r="AJ109" s="10">
        <f>IF(AE109="","",ROUND(SUMIFS($AH$3:$AH$252,$A$3:$A$252,"&lt;="&amp;$A109),1))</f>
        <v/>
      </c>
      <c r="AK109" s="10">
        <f>IF(OR(AE109="",$A109=""),"",IF(ISNUMBER(IFERROR(INDEX($AI$3:$AI$252,MATCH($A109-1,$A$3:$A$252,0)),"")),ROUND((INDEX($AI$3:$AI$252,MATCH($A109-1,$A$3:$A$252,0))-AE109)*10,1),""))</f>
        <v/>
      </c>
      <c r="AL109" s="10">
        <f>IF(ISNUMBER(AE109),1,0)</f>
        <v/>
      </c>
      <c r="AM109" s="17">
        <f>IF($A109="","",IF(COUNTIF($A$3:$A$252,$A109)&gt;1,"same date twice; ","")&amp;IF(AND(ISNUMBER($B109),OR($B109&lt;0,$B109&gt;300)),"rain out of range; ","")&amp;IF(AND(ISNUMBER($C109),OR($C109&lt;0,$C109&gt;45)),"temp out of range; ","")&amp;IF(AND(ISNUMBER($D109),OR($D109&lt;0,$D109&gt;100)),"RH out of range; ",""))</f>
        <v/>
      </c>
      <c r="AN109" s="17">
        <f>IF($A109="","",IF(AND(ISNUMBER(T109),OR(T109&lt;-30,T109&gt;20)),"WL out of range; ","")&amp;IF(AND(ISNUMBER($E109),T109=""),"no TP/b; ","")&amp;IF(AND(ISNUMBER(U109),ISNUMBER(V109)),IF(V109&lt;U109,"After&lt;Before; ",""),"")&amp;IF(AND($F109="Yes",ISNUMBER($E109),W109=""),"irrigation readings missing; ","")&amp;IF(ISNUMBER(Z109),IF(AND(ABS(Z109)&gt;50,NOT(N($B109)&gt;0)),"WL jump &gt;5 cm; ",""),""))</f>
        <v/>
      </c>
      <c r="AO109" s="17">
        <f>IF($A109="","",IF(AND(ISNUMBER(AE109),OR(AE109&lt;-30,AE109&gt;20)),"WL out of range; ","")&amp;IF(AND(ISNUMBER($J109),AE109=""),"no TP/b; ","")&amp;IF(AND(ISNUMBER(AF109),ISNUMBER(AG109)),IF(AG109&lt;AF109,"After&lt;Before; ",""),"")&amp;IF(AND($K109="Yes",ISNUMBER($J109),AH109=""),"irrigation readings missing; ","")&amp;IF(ISNUMBER(AK109),IF(AND(ABS(AK109)&gt;50,NOT(N($B109)&gt;0)),"WL jump &gt;5 cm; ",""),"")&amp;IF(AND(ISNUMBER(PitanE),ISNUMBER(AB109),$A109&gt;PitanE+2,AB109&lt;PitanE),"re-measure TP/b after Pitan; ",""))</f>
        <v/>
      </c>
    </row>
    <row r="110">
      <c r="A110" s="14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0">
        <f>IF(OR($A110="",NOT(ISNUMBER(TransDate))),"",$A110-TransDate)</f>
        <v/>
      </c>
      <c r="Q110" s="16">
        <f>IF($A110="","",IF(_xlfn.MAXIFS('TP-b'!$B$2:$B$60,'TP-b'!$A$2:$A$60,"FP",'TP-b'!$E$2:$E$60,1,'TP-b'!$B$2:$B$60,"&lt;="&amp;$A110)&gt;0,_xlfn.MAXIFS('TP-b'!$B$2:$B$60,'TP-b'!$A$2:$A$60,"FP",'TP-b'!$E$2:$E$60,1,'TP-b'!$B$2:$B$60,"&lt;="&amp;$A110),IF(_xlfn.MINIFS('TP-b'!$B$2:$B$60,'TP-b'!$A$2:$A$60,"FP",'TP-b'!$E$2:$E$60,1)&gt;0,_xlfn.MINIFS('TP-b'!$B$2:$B$60,'TP-b'!$A$2:$A$60,"FP",'TP-b'!$E$2:$E$60,1),"")))</f>
        <v/>
      </c>
      <c r="R110" s="10">
        <f>IF(Q110="","",AVERAGEIFS('TP-b'!$C$2:$C$60,'TP-b'!$A$2:$A$60,"FP",'TP-b'!$B$2:$B$60,Q110,'TP-b'!$E$2:$E$60,1))</f>
        <v/>
      </c>
      <c r="S110" s="10">
        <f>IF(Q110="","",AVERAGEIFS('TP-b'!$D$2:$D$60,'TP-b'!$A$2:$A$60,"FP",'TP-b'!$B$2:$B$60,Q110,'TP-b'!$E$2:$E$60,1))</f>
        <v/>
      </c>
      <c r="T110" s="10">
        <f>IF(OR($A110="",NOT(ISNUMBER($E110)),R110=""),"",ROUND($E110-R110+S110,1))</f>
        <v/>
      </c>
      <c r="U110" s="10">
        <f>IF(AND($F110="Yes",ISNUMBER($G110),R110&lt;&gt;""),ROUND($G110-R110+S110,1),"")</f>
        <v/>
      </c>
      <c r="V110" s="10">
        <f>IF(AND($F110="Yes",ISNUMBER($H110),R110&lt;&gt;""),ROUND($H110-R110+S110,1),"")</f>
        <v/>
      </c>
      <c r="W110" s="10">
        <f>IF(AND(ISNUMBER($E110),ISNUMBER(U110),ISNUMBER(V110)),ROUND((V110-MAX(U110,0))*10,1),"")</f>
        <v/>
      </c>
      <c r="X110" s="10">
        <f>IF(T110="","",IF(AND($F110="Yes",ISNUMBER(V110)),V110,T110))</f>
        <v/>
      </c>
      <c r="Y110" s="10">
        <f>IF(T110="","",ROUND(SUMIFS($W$3:$W$252,$A$3:$A$252,"&lt;="&amp;$A110),1))</f>
        <v/>
      </c>
      <c r="Z110" s="10">
        <f>IF(OR(T110="",$A110=""),"",IF(ISNUMBER(IFERROR(INDEX($X$3:$X$252,MATCH($A110-1,$A$3:$A$252,0)),"")),ROUND((INDEX($X$3:$X$252,MATCH($A110-1,$A$3:$A$252,0))-T110)*10,1),""))</f>
        <v/>
      </c>
      <c r="AA110" s="10">
        <f>IF(ISNUMBER(T110),1,0)</f>
        <v/>
      </c>
      <c r="AB110" s="16">
        <f>IF($A110="","",IF(_xlfn.MAXIFS('TP-b'!$B$2:$B$60,'TP-b'!$A$2:$A$60,"3F4D+MD",'TP-b'!$E$2:$E$60,1,'TP-b'!$B$2:$B$60,"&lt;="&amp;$A110)&gt;0,_xlfn.MAXIFS('TP-b'!$B$2:$B$60,'TP-b'!$A$2:$A$60,"3F4D+MD",'TP-b'!$E$2:$E$60,1,'TP-b'!$B$2:$B$60,"&lt;="&amp;$A110),IF(_xlfn.MINIFS('TP-b'!$B$2:$B$60,'TP-b'!$A$2:$A$60,"3F4D+MD",'TP-b'!$E$2:$E$60,1)&gt;0,_xlfn.MINIFS('TP-b'!$B$2:$B$60,'TP-b'!$A$2:$A$60,"3F4D+MD",'TP-b'!$E$2:$E$60,1),"")))</f>
        <v/>
      </c>
      <c r="AC110" s="10">
        <f>IF(AB110="","",AVERAGEIFS('TP-b'!$C$2:$C$60,'TP-b'!$A$2:$A$60,"3F4D+MD",'TP-b'!$B$2:$B$60,AB110,'TP-b'!$E$2:$E$60,1))</f>
        <v/>
      </c>
      <c r="AD110" s="10">
        <f>IF(AB110="","",AVERAGEIFS('TP-b'!$D$2:$D$60,'TP-b'!$A$2:$A$60,"3F4D+MD",'TP-b'!$B$2:$B$60,AB110,'TP-b'!$E$2:$E$60,1))</f>
        <v/>
      </c>
      <c r="AE110" s="10">
        <f>IF(OR($A110="",NOT(ISNUMBER($J110)),AC110=""),"",ROUND($J110-AC110+AD110,1))</f>
        <v/>
      </c>
      <c r="AF110" s="10">
        <f>IF(AND($K110="Yes",ISNUMBER($L110),AC110&lt;&gt;""),ROUND($L110-AC110+AD110,1),"")</f>
        <v/>
      </c>
      <c r="AG110" s="10">
        <f>IF(AND($K110="Yes",ISNUMBER($M110),AC110&lt;&gt;""),ROUND($M110-AC110+AD110,1),"")</f>
        <v/>
      </c>
      <c r="AH110" s="10">
        <f>IF(AND(ISNUMBER($J110),ISNUMBER(AF110),ISNUMBER(AG110)),ROUND((AG110-MAX(AF110,0))*10,1),"")</f>
        <v/>
      </c>
      <c r="AI110" s="10">
        <f>IF(AE110="","",IF(AND($K110="Yes",ISNUMBER(AG110)),AG110,AE110))</f>
        <v/>
      </c>
      <c r="AJ110" s="10">
        <f>IF(AE110="","",ROUND(SUMIFS($AH$3:$AH$252,$A$3:$A$252,"&lt;="&amp;$A110),1))</f>
        <v/>
      </c>
      <c r="AK110" s="10">
        <f>IF(OR(AE110="",$A110=""),"",IF(ISNUMBER(IFERROR(INDEX($AI$3:$AI$252,MATCH($A110-1,$A$3:$A$252,0)),"")),ROUND((INDEX($AI$3:$AI$252,MATCH($A110-1,$A$3:$A$252,0))-AE110)*10,1),""))</f>
        <v/>
      </c>
      <c r="AL110" s="10">
        <f>IF(ISNUMBER(AE110),1,0)</f>
        <v/>
      </c>
      <c r="AM110" s="17">
        <f>IF($A110="","",IF(COUNTIF($A$3:$A$252,$A110)&gt;1,"same date twice; ","")&amp;IF(AND(ISNUMBER($B110),OR($B110&lt;0,$B110&gt;300)),"rain out of range; ","")&amp;IF(AND(ISNUMBER($C110),OR($C110&lt;0,$C110&gt;45)),"temp out of range; ","")&amp;IF(AND(ISNUMBER($D110),OR($D110&lt;0,$D110&gt;100)),"RH out of range; ",""))</f>
        <v/>
      </c>
      <c r="AN110" s="17">
        <f>IF($A110="","",IF(AND(ISNUMBER(T110),OR(T110&lt;-30,T110&gt;20)),"WL out of range; ","")&amp;IF(AND(ISNUMBER($E110),T110=""),"no TP/b; ","")&amp;IF(AND(ISNUMBER(U110),ISNUMBER(V110)),IF(V110&lt;U110,"After&lt;Before; ",""),"")&amp;IF(AND($F110="Yes",ISNUMBER($E110),W110=""),"irrigation readings missing; ","")&amp;IF(ISNUMBER(Z110),IF(AND(ABS(Z110)&gt;50,NOT(N($B110)&gt;0)),"WL jump &gt;5 cm; ",""),""))</f>
        <v/>
      </c>
      <c r="AO110" s="17">
        <f>IF($A110="","",IF(AND(ISNUMBER(AE110),OR(AE110&lt;-30,AE110&gt;20)),"WL out of range; ","")&amp;IF(AND(ISNUMBER($J110),AE110=""),"no TP/b; ","")&amp;IF(AND(ISNUMBER(AF110),ISNUMBER(AG110)),IF(AG110&lt;AF110,"After&lt;Before; ",""),"")&amp;IF(AND($K110="Yes",ISNUMBER($J110),AH110=""),"irrigation readings missing; ","")&amp;IF(ISNUMBER(AK110),IF(AND(ABS(AK110)&gt;50,NOT(N($B110)&gt;0)),"WL jump &gt;5 cm; ",""),"")&amp;IF(AND(ISNUMBER(PitanE),ISNUMBER(AB110),$A110&gt;PitanE+2,AB110&lt;PitanE),"re-measure TP/b after Pitan; ",""))</f>
        <v/>
      </c>
    </row>
    <row r="111">
      <c r="A111" s="14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0">
        <f>IF(OR($A111="",NOT(ISNUMBER(TransDate))),"",$A111-TransDate)</f>
        <v/>
      </c>
      <c r="Q111" s="16">
        <f>IF($A111="","",IF(_xlfn.MAXIFS('TP-b'!$B$2:$B$60,'TP-b'!$A$2:$A$60,"FP",'TP-b'!$E$2:$E$60,1,'TP-b'!$B$2:$B$60,"&lt;="&amp;$A111)&gt;0,_xlfn.MAXIFS('TP-b'!$B$2:$B$60,'TP-b'!$A$2:$A$60,"FP",'TP-b'!$E$2:$E$60,1,'TP-b'!$B$2:$B$60,"&lt;="&amp;$A111),IF(_xlfn.MINIFS('TP-b'!$B$2:$B$60,'TP-b'!$A$2:$A$60,"FP",'TP-b'!$E$2:$E$60,1)&gt;0,_xlfn.MINIFS('TP-b'!$B$2:$B$60,'TP-b'!$A$2:$A$60,"FP",'TP-b'!$E$2:$E$60,1),"")))</f>
        <v/>
      </c>
      <c r="R111" s="10">
        <f>IF(Q111="","",AVERAGEIFS('TP-b'!$C$2:$C$60,'TP-b'!$A$2:$A$60,"FP",'TP-b'!$B$2:$B$60,Q111,'TP-b'!$E$2:$E$60,1))</f>
        <v/>
      </c>
      <c r="S111" s="10">
        <f>IF(Q111="","",AVERAGEIFS('TP-b'!$D$2:$D$60,'TP-b'!$A$2:$A$60,"FP",'TP-b'!$B$2:$B$60,Q111,'TP-b'!$E$2:$E$60,1))</f>
        <v/>
      </c>
      <c r="T111" s="10">
        <f>IF(OR($A111="",NOT(ISNUMBER($E111)),R111=""),"",ROUND($E111-R111+S111,1))</f>
        <v/>
      </c>
      <c r="U111" s="10">
        <f>IF(AND($F111="Yes",ISNUMBER($G111),R111&lt;&gt;""),ROUND($G111-R111+S111,1),"")</f>
        <v/>
      </c>
      <c r="V111" s="10">
        <f>IF(AND($F111="Yes",ISNUMBER($H111),R111&lt;&gt;""),ROUND($H111-R111+S111,1),"")</f>
        <v/>
      </c>
      <c r="W111" s="10">
        <f>IF(AND(ISNUMBER($E111),ISNUMBER(U111),ISNUMBER(V111)),ROUND((V111-MAX(U111,0))*10,1),"")</f>
        <v/>
      </c>
      <c r="X111" s="10">
        <f>IF(T111="","",IF(AND($F111="Yes",ISNUMBER(V111)),V111,T111))</f>
        <v/>
      </c>
      <c r="Y111" s="10">
        <f>IF(T111="","",ROUND(SUMIFS($W$3:$W$252,$A$3:$A$252,"&lt;="&amp;$A111),1))</f>
        <v/>
      </c>
      <c r="Z111" s="10">
        <f>IF(OR(T111="",$A111=""),"",IF(ISNUMBER(IFERROR(INDEX($X$3:$X$252,MATCH($A111-1,$A$3:$A$252,0)),"")),ROUND((INDEX($X$3:$X$252,MATCH($A111-1,$A$3:$A$252,0))-T111)*10,1),""))</f>
        <v/>
      </c>
      <c r="AA111" s="10">
        <f>IF(ISNUMBER(T111),1,0)</f>
        <v/>
      </c>
      <c r="AB111" s="16">
        <f>IF($A111="","",IF(_xlfn.MAXIFS('TP-b'!$B$2:$B$60,'TP-b'!$A$2:$A$60,"3F4D+MD",'TP-b'!$E$2:$E$60,1,'TP-b'!$B$2:$B$60,"&lt;="&amp;$A111)&gt;0,_xlfn.MAXIFS('TP-b'!$B$2:$B$60,'TP-b'!$A$2:$A$60,"3F4D+MD",'TP-b'!$E$2:$E$60,1,'TP-b'!$B$2:$B$60,"&lt;="&amp;$A111),IF(_xlfn.MINIFS('TP-b'!$B$2:$B$60,'TP-b'!$A$2:$A$60,"3F4D+MD",'TP-b'!$E$2:$E$60,1)&gt;0,_xlfn.MINIFS('TP-b'!$B$2:$B$60,'TP-b'!$A$2:$A$60,"3F4D+MD",'TP-b'!$E$2:$E$60,1),"")))</f>
        <v/>
      </c>
      <c r="AC111" s="10">
        <f>IF(AB111="","",AVERAGEIFS('TP-b'!$C$2:$C$60,'TP-b'!$A$2:$A$60,"3F4D+MD",'TP-b'!$B$2:$B$60,AB111,'TP-b'!$E$2:$E$60,1))</f>
        <v/>
      </c>
      <c r="AD111" s="10">
        <f>IF(AB111="","",AVERAGEIFS('TP-b'!$D$2:$D$60,'TP-b'!$A$2:$A$60,"3F4D+MD",'TP-b'!$B$2:$B$60,AB111,'TP-b'!$E$2:$E$60,1))</f>
        <v/>
      </c>
      <c r="AE111" s="10">
        <f>IF(OR($A111="",NOT(ISNUMBER($J111)),AC111=""),"",ROUND($J111-AC111+AD111,1))</f>
        <v/>
      </c>
      <c r="AF111" s="10">
        <f>IF(AND($K111="Yes",ISNUMBER($L111),AC111&lt;&gt;""),ROUND($L111-AC111+AD111,1),"")</f>
        <v/>
      </c>
      <c r="AG111" s="10">
        <f>IF(AND($K111="Yes",ISNUMBER($M111),AC111&lt;&gt;""),ROUND($M111-AC111+AD111,1),"")</f>
        <v/>
      </c>
      <c r="AH111" s="10">
        <f>IF(AND(ISNUMBER($J111),ISNUMBER(AF111),ISNUMBER(AG111)),ROUND((AG111-MAX(AF111,0))*10,1),"")</f>
        <v/>
      </c>
      <c r="AI111" s="10">
        <f>IF(AE111="","",IF(AND($K111="Yes",ISNUMBER(AG111)),AG111,AE111))</f>
        <v/>
      </c>
      <c r="AJ111" s="10">
        <f>IF(AE111="","",ROUND(SUMIFS($AH$3:$AH$252,$A$3:$A$252,"&lt;="&amp;$A111),1))</f>
        <v/>
      </c>
      <c r="AK111" s="10">
        <f>IF(OR(AE111="",$A111=""),"",IF(ISNUMBER(IFERROR(INDEX($AI$3:$AI$252,MATCH($A111-1,$A$3:$A$252,0)),"")),ROUND((INDEX($AI$3:$AI$252,MATCH($A111-1,$A$3:$A$252,0))-AE111)*10,1),""))</f>
        <v/>
      </c>
      <c r="AL111" s="10">
        <f>IF(ISNUMBER(AE111),1,0)</f>
        <v/>
      </c>
      <c r="AM111" s="17">
        <f>IF($A111="","",IF(COUNTIF($A$3:$A$252,$A111)&gt;1,"same date twice; ","")&amp;IF(AND(ISNUMBER($B111),OR($B111&lt;0,$B111&gt;300)),"rain out of range; ","")&amp;IF(AND(ISNUMBER($C111),OR($C111&lt;0,$C111&gt;45)),"temp out of range; ","")&amp;IF(AND(ISNUMBER($D111),OR($D111&lt;0,$D111&gt;100)),"RH out of range; ",""))</f>
        <v/>
      </c>
      <c r="AN111" s="17">
        <f>IF($A111="","",IF(AND(ISNUMBER(T111),OR(T111&lt;-30,T111&gt;20)),"WL out of range; ","")&amp;IF(AND(ISNUMBER($E111),T111=""),"no TP/b; ","")&amp;IF(AND(ISNUMBER(U111),ISNUMBER(V111)),IF(V111&lt;U111,"After&lt;Before; ",""),"")&amp;IF(AND($F111="Yes",ISNUMBER($E111),W111=""),"irrigation readings missing; ","")&amp;IF(ISNUMBER(Z111),IF(AND(ABS(Z111)&gt;50,NOT(N($B111)&gt;0)),"WL jump &gt;5 cm; ",""),""))</f>
        <v/>
      </c>
      <c r="AO111" s="17">
        <f>IF($A111="","",IF(AND(ISNUMBER(AE111),OR(AE111&lt;-30,AE111&gt;20)),"WL out of range; ","")&amp;IF(AND(ISNUMBER($J111),AE111=""),"no TP/b; ","")&amp;IF(AND(ISNUMBER(AF111),ISNUMBER(AG111)),IF(AG111&lt;AF111,"After&lt;Before; ",""),"")&amp;IF(AND($K111="Yes",ISNUMBER($J111),AH111=""),"irrigation readings missing; ","")&amp;IF(ISNUMBER(AK111),IF(AND(ABS(AK111)&gt;50,NOT(N($B111)&gt;0)),"WL jump &gt;5 cm; ",""),"")&amp;IF(AND(ISNUMBER(PitanE),ISNUMBER(AB111),$A111&gt;PitanE+2,AB111&lt;PitanE),"re-measure TP/b after Pitan; ",""))</f>
        <v/>
      </c>
    </row>
    <row r="112">
      <c r="A112" s="14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0">
        <f>IF(OR($A112="",NOT(ISNUMBER(TransDate))),"",$A112-TransDate)</f>
        <v/>
      </c>
      <c r="Q112" s="16">
        <f>IF($A112="","",IF(_xlfn.MAXIFS('TP-b'!$B$2:$B$60,'TP-b'!$A$2:$A$60,"FP",'TP-b'!$E$2:$E$60,1,'TP-b'!$B$2:$B$60,"&lt;="&amp;$A112)&gt;0,_xlfn.MAXIFS('TP-b'!$B$2:$B$60,'TP-b'!$A$2:$A$60,"FP",'TP-b'!$E$2:$E$60,1,'TP-b'!$B$2:$B$60,"&lt;="&amp;$A112),IF(_xlfn.MINIFS('TP-b'!$B$2:$B$60,'TP-b'!$A$2:$A$60,"FP",'TP-b'!$E$2:$E$60,1)&gt;0,_xlfn.MINIFS('TP-b'!$B$2:$B$60,'TP-b'!$A$2:$A$60,"FP",'TP-b'!$E$2:$E$60,1),"")))</f>
        <v/>
      </c>
      <c r="R112" s="10">
        <f>IF(Q112="","",AVERAGEIFS('TP-b'!$C$2:$C$60,'TP-b'!$A$2:$A$60,"FP",'TP-b'!$B$2:$B$60,Q112,'TP-b'!$E$2:$E$60,1))</f>
        <v/>
      </c>
      <c r="S112" s="10">
        <f>IF(Q112="","",AVERAGEIFS('TP-b'!$D$2:$D$60,'TP-b'!$A$2:$A$60,"FP",'TP-b'!$B$2:$B$60,Q112,'TP-b'!$E$2:$E$60,1))</f>
        <v/>
      </c>
      <c r="T112" s="10">
        <f>IF(OR($A112="",NOT(ISNUMBER($E112)),R112=""),"",ROUND($E112-R112+S112,1))</f>
        <v/>
      </c>
      <c r="U112" s="10">
        <f>IF(AND($F112="Yes",ISNUMBER($G112),R112&lt;&gt;""),ROUND($G112-R112+S112,1),"")</f>
        <v/>
      </c>
      <c r="V112" s="10">
        <f>IF(AND($F112="Yes",ISNUMBER($H112),R112&lt;&gt;""),ROUND($H112-R112+S112,1),"")</f>
        <v/>
      </c>
      <c r="W112" s="10">
        <f>IF(AND(ISNUMBER($E112),ISNUMBER(U112),ISNUMBER(V112)),ROUND((V112-MAX(U112,0))*10,1),"")</f>
        <v/>
      </c>
      <c r="X112" s="10">
        <f>IF(T112="","",IF(AND($F112="Yes",ISNUMBER(V112)),V112,T112))</f>
        <v/>
      </c>
      <c r="Y112" s="10">
        <f>IF(T112="","",ROUND(SUMIFS($W$3:$W$252,$A$3:$A$252,"&lt;="&amp;$A112),1))</f>
        <v/>
      </c>
      <c r="Z112" s="10">
        <f>IF(OR(T112="",$A112=""),"",IF(ISNUMBER(IFERROR(INDEX($X$3:$X$252,MATCH($A112-1,$A$3:$A$252,0)),"")),ROUND((INDEX($X$3:$X$252,MATCH($A112-1,$A$3:$A$252,0))-T112)*10,1),""))</f>
        <v/>
      </c>
      <c r="AA112" s="10">
        <f>IF(ISNUMBER(T112),1,0)</f>
        <v/>
      </c>
      <c r="AB112" s="16">
        <f>IF($A112="","",IF(_xlfn.MAXIFS('TP-b'!$B$2:$B$60,'TP-b'!$A$2:$A$60,"3F4D+MD",'TP-b'!$E$2:$E$60,1,'TP-b'!$B$2:$B$60,"&lt;="&amp;$A112)&gt;0,_xlfn.MAXIFS('TP-b'!$B$2:$B$60,'TP-b'!$A$2:$A$60,"3F4D+MD",'TP-b'!$E$2:$E$60,1,'TP-b'!$B$2:$B$60,"&lt;="&amp;$A112),IF(_xlfn.MINIFS('TP-b'!$B$2:$B$60,'TP-b'!$A$2:$A$60,"3F4D+MD",'TP-b'!$E$2:$E$60,1)&gt;0,_xlfn.MINIFS('TP-b'!$B$2:$B$60,'TP-b'!$A$2:$A$60,"3F4D+MD",'TP-b'!$E$2:$E$60,1),"")))</f>
        <v/>
      </c>
      <c r="AC112" s="10">
        <f>IF(AB112="","",AVERAGEIFS('TP-b'!$C$2:$C$60,'TP-b'!$A$2:$A$60,"3F4D+MD",'TP-b'!$B$2:$B$60,AB112,'TP-b'!$E$2:$E$60,1))</f>
        <v/>
      </c>
      <c r="AD112" s="10">
        <f>IF(AB112="","",AVERAGEIFS('TP-b'!$D$2:$D$60,'TP-b'!$A$2:$A$60,"3F4D+MD",'TP-b'!$B$2:$B$60,AB112,'TP-b'!$E$2:$E$60,1))</f>
        <v/>
      </c>
      <c r="AE112" s="10">
        <f>IF(OR($A112="",NOT(ISNUMBER($J112)),AC112=""),"",ROUND($J112-AC112+AD112,1))</f>
        <v/>
      </c>
      <c r="AF112" s="10">
        <f>IF(AND($K112="Yes",ISNUMBER($L112),AC112&lt;&gt;""),ROUND($L112-AC112+AD112,1),"")</f>
        <v/>
      </c>
      <c r="AG112" s="10">
        <f>IF(AND($K112="Yes",ISNUMBER($M112),AC112&lt;&gt;""),ROUND($M112-AC112+AD112,1),"")</f>
        <v/>
      </c>
      <c r="AH112" s="10">
        <f>IF(AND(ISNUMBER($J112),ISNUMBER(AF112),ISNUMBER(AG112)),ROUND((AG112-MAX(AF112,0))*10,1),"")</f>
        <v/>
      </c>
      <c r="AI112" s="10">
        <f>IF(AE112="","",IF(AND($K112="Yes",ISNUMBER(AG112)),AG112,AE112))</f>
        <v/>
      </c>
      <c r="AJ112" s="10">
        <f>IF(AE112="","",ROUND(SUMIFS($AH$3:$AH$252,$A$3:$A$252,"&lt;="&amp;$A112),1))</f>
        <v/>
      </c>
      <c r="AK112" s="10">
        <f>IF(OR(AE112="",$A112=""),"",IF(ISNUMBER(IFERROR(INDEX($AI$3:$AI$252,MATCH($A112-1,$A$3:$A$252,0)),"")),ROUND((INDEX($AI$3:$AI$252,MATCH($A112-1,$A$3:$A$252,0))-AE112)*10,1),""))</f>
        <v/>
      </c>
      <c r="AL112" s="10">
        <f>IF(ISNUMBER(AE112),1,0)</f>
        <v/>
      </c>
      <c r="AM112" s="17">
        <f>IF($A112="","",IF(COUNTIF($A$3:$A$252,$A112)&gt;1,"same date twice; ","")&amp;IF(AND(ISNUMBER($B112),OR($B112&lt;0,$B112&gt;300)),"rain out of range; ","")&amp;IF(AND(ISNUMBER($C112),OR($C112&lt;0,$C112&gt;45)),"temp out of range; ","")&amp;IF(AND(ISNUMBER($D112),OR($D112&lt;0,$D112&gt;100)),"RH out of range; ",""))</f>
        <v/>
      </c>
      <c r="AN112" s="17">
        <f>IF($A112="","",IF(AND(ISNUMBER(T112),OR(T112&lt;-30,T112&gt;20)),"WL out of range; ","")&amp;IF(AND(ISNUMBER($E112),T112=""),"no TP/b; ","")&amp;IF(AND(ISNUMBER(U112),ISNUMBER(V112)),IF(V112&lt;U112,"After&lt;Before; ",""),"")&amp;IF(AND($F112="Yes",ISNUMBER($E112),W112=""),"irrigation readings missing; ","")&amp;IF(ISNUMBER(Z112),IF(AND(ABS(Z112)&gt;50,NOT(N($B112)&gt;0)),"WL jump &gt;5 cm; ",""),""))</f>
        <v/>
      </c>
      <c r="AO112" s="17">
        <f>IF($A112="","",IF(AND(ISNUMBER(AE112),OR(AE112&lt;-30,AE112&gt;20)),"WL out of range; ","")&amp;IF(AND(ISNUMBER($J112),AE112=""),"no TP/b; ","")&amp;IF(AND(ISNUMBER(AF112),ISNUMBER(AG112)),IF(AG112&lt;AF112,"After&lt;Before; ",""),"")&amp;IF(AND($K112="Yes",ISNUMBER($J112),AH112=""),"irrigation readings missing; ","")&amp;IF(ISNUMBER(AK112),IF(AND(ABS(AK112)&gt;50,NOT(N($B112)&gt;0)),"WL jump &gt;5 cm; ",""),"")&amp;IF(AND(ISNUMBER(PitanE),ISNUMBER(AB112),$A112&gt;PitanE+2,AB112&lt;PitanE),"re-measure TP/b after Pitan; ",""))</f>
        <v/>
      </c>
    </row>
    <row r="113">
      <c r="A113" s="14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0">
        <f>IF(OR($A113="",NOT(ISNUMBER(TransDate))),"",$A113-TransDate)</f>
        <v/>
      </c>
      <c r="Q113" s="16">
        <f>IF($A113="","",IF(_xlfn.MAXIFS('TP-b'!$B$2:$B$60,'TP-b'!$A$2:$A$60,"FP",'TP-b'!$E$2:$E$60,1,'TP-b'!$B$2:$B$60,"&lt;="&amp;$A113)&gt;0,_xlfn.MAXIFS('TP-b'!$B$2:$B$60,'TP-b'!$A$2:$A$60,"FP",'TP-b'!$E$2:$E$60,1,'TP-b'!$B$2:$B$60,"&lt;="&amp;$A113),IF(_xlfn.MINIFS('TP-b'!$B$2:$B$60,'TP-b'!$A$2:$A$60,"FP",'TP-b'!$E$2:$E$60,1)&gt;0,_xlfn.MINIFS('TP-b'!$B$2:$B$60,'TP-b'!$A$2:$A$60,"FP",'TP-b'!$E$2:$E$60,1),"")))</f>
        <v/>
      </c>
      <c r="R113" s="10">
        <f>IF(Q113="","",AVERAGEIFS('TP-b'!$C$2:$C$60,'TP-b'!$A$2:$A$60,"FP",'TP-b'!$B$2:$B$60,Q113,'TP-b'!$E$2:$E$60,1))</f>
        <v/>
      </c>
      <c r="S113" s="10">
        <f>IF(Q113="","",AVERAGEIFS('TP-b'!$D$2:$D$60,'TP-b'!$A$2:$A$60,"FP",'TP-b'!$B$2:$B$60,Q113,'TP-b'!$E$2:$E$60,1))</f>
        <v/>
      </c>
      <c r="T113" s="10">
        <f>IF(OR($A113="",NOT(ISNUMBER($E113)),R113=""),"",ROUND($E113-R113+S113,1))</f>
        <v/>
      </c>
      <c r="U113" s="10">
        <f>IF(AND($F113="Yes",ISNUMBER($G113),R113&lt;&gt;""),ROUND($G113-R113+S113,1),"")</f>
        <v/>
      </c>
      <c r="V113" s="10">
        <f>IF(AND($F113="Yes",ISNUMBER($H113),R113&lt;&gt;""),ROUND($H113-R113+S113,1),"")</f>
        <v/>
      </c>
      <c r="W113" s="10">
        <f>IF(AND(ISNUMBER($E113),ISNUMBER(U113),ISNUMBER(V113)),ROUND((V113-MAX(U113,0))*10,1),"")</f>
        <v/>
      </c>
      <c r="X113" s="10">
        <f>IF(T113="","",IF(AND($F113="Yes",ISNUMBER(V113)),V113,T113))</f>
        <v/>
      </c>
      <c r="Y113" s="10">
        <f>IF(T113="","",ROUND(SUMIFS($W$3:$W$252,$A$3:$A$252,"&lt;="&amp;$A113),1))</f>
        <v/>
      </c>
      <c r="Z113" s="10">
        <f>IF(OR(T113="",$A113=""),"",IF(ISNUMBER(IFERROR(INDEX($X$3:$X$252,MATCH($A113-1,$A$3:$A$252,0)),"")),ROUND((INDEX($X$3:$X$252,MATCH($A113-1,$A$3:$A$252,0))-T113)*10,1),""))</f>
        <v/>
      </c>
      <c r="AA113" s="10">
        <f>IF(ISNUMBER(T113),1,0)</f>
        <v/>
      </c>
      <c r="AB113" s="16">
        <f>IF($A113="","",IF(_xlfn.MAXIFS('TP-b'!$B$2:$B$60,'TP-b'!$A$2:$A$60,"3F4D+MD",'TP-b'!$E$2:$E$60,1,'TP-b'!$B$2:$B$60,"&lt;="&amp;$A113)&gt;0,_xlfn.MAXIFS('TP-b'!$B$2:$B$60,'TP-b'!$A$2:$A$60,"3F4D+MD",'TP-b'!$E$2:$E$60,1,'TP-b'!$B$2:$B$60,"&lt;="&amp;$A113),IF(_xlfn.MINIFS('TP-b'!$B$2:$B$60,'TP-b'!$A$2:$A$60,"3F4D+MD",'TP-b'!$E$2:$E$60,1)&gt;0,_xlfn.MINIFS('TP-b'!$B$2:$B$60,'TP-b'!$A$2:$A$60,"3F4D+MD",'TP-b'!$E$2:$E$60,1),"")))</f>
        <v/>
      </c>
      <c r="AC113" s="10">
        <f>IF(AB113="","",AVERAGEIFS('TP-b'!$C$2:$C$60,'TP-b'!$A$2:$A$60,"3F4D+MD",'TP-b'!$B$2:$B$60,AB113,'TP-b'!$E$2:$E$60,1))</f>
        <v/>
      </c>
      <c r="AD113" s="10">
        <f>IF(AB113="","",AVERAGEIFS('TP-b'!$D$2:$D$60,'TP-b'!$A$2:$A$60,"3F4D+MD",'TP-b'!$B$2:$B$60,AB113,'TP-b'!$E$2:$E$60,1))</f>
        <v/>
      </c>
      <c r="AE113" s="10">
        <f>IF(OR($A113="",NOT(ISNUMBER($J113)),AC113=""),"",ROUND($J113-AC113+AD113,1))</f>
        <v/>
      </c>
      <c r="AF113" s="10">
        <f>IF(AND($K113="Yes",ISNUMBER($L113),AC113&lt;&gt;""),ROUND($L113-AC113+AD113,1),"")</f>
        <v/>
      </c>
      <c r="AG113" s="10">
        <f>IF(AND($K113="Yes",ISNUMBER($M113),AC113&lt;&gt;""),ROUND($M113-AC113+AD113,1),"")</f>
        <v/>
      </c>
      <c r="AH113" s="10">
        <f>IF(AND(ISNUMBER($J113),ISNUMBER(AF113),ISNUMBER(AG113)),ROUND((AG113-MAX(AF113,0))*10,1),"")</f>
        <v/>
      </c>
      <c r="AI113" s="10">
        <f>IF(AE113="","",IF(AND($K113="Yes",ISNUMBER(AG113)),AG113,AE113))</f>
        <v/>
      </c>
      <c r="AJ113" s="10">
        <f>IF(AE113="","",ROUND(SUMIFS($AH$3:$AH$252,$A$3:$A$252,"&lt;="&amp;$A113),1))</f>
        <v/>
      </c>
      <c r="AK113" s="10">
        <f>IF(OR(AE113="",$A113=""),"",IF(ISNUMBER(IFERROR(INDEX($AI$3:$AI$252,MATCH($A113-1,$A$3:$A$252,0)),"")),ROUND((INDEX($AI$3:$AI$252,MATCH($A113-1,$A$3:$A$252,0))-AE113)*10,1),""))</f>
        <v/>
      </c>
      <c r="AL113" s="10">
        <f>IF(ISNUMBER(AE113),1,0)</f>
        <v/>
      </c>
      <c r="AM113" s="17">
        <f>IF($A113="","",IF(COUNTIF($A$3:$A$252,$A113)&gt;1,"same date twice; ","")&amp;IF(AND(ISNUMBER($B113),OR($B113&lt;0,$B113&gt;300)),"rain out of range; ","")&amp;IF(AND(ISNUMBER($C113),OR($C113&lt;0,$C113&gt;45)),"temp out of range; ","")&amp;IF(AND(ISNUMBER($D113),OR($D113&lt;0,$D113&gt;100)),"RH out of range; ",""))</f>
        <v/>
      </c>
      <c r="AN113" s="17">
        <f>IF($A113="","",IF(AND(ISNUMBER(T113),OR(T113&lt;-30,T113&gt;20)),"WL out of range; ","")&amp;IF(AND(ISNUMBER($E113),T113=""),"no TP/b; ","")&amp;IF(AND(ISNUMBER(U113),ISNUMBER(V113)),IF(V113&lt;U113,"After&lt;Before; ",""),"")&amp;IF(AND($F113="Yes",ISNUMBER($E113),W113=""),"irrigation readings missing; ","")&amp;IF(ISNUMBER(Z113),IF(AND(ABS(Z113)&gt;50,NOT(N($B113)&gt;0)),"WL jump &gt;5 cm; ",""),""))</f>
        <v/>
      </c>
      <c r="AO113" s="17">
        <f>IF($A113="","",IF(AND(ISNUMBER(AE113),OR(AE113&lt;-30,AE113&gt;20)),"WL out of range; ","")&amp;IF(AND(ISNUMBER($J113),AE113=""),"no TP/b; ","")&amp;IF(AND(ISNUMBER(AF113),ISNUMBER(AG113)),IF(AG113&lt;AF113,"After&lt;Before; ",""),"")&amp;IF(AND($K113="Yes",ISNUMBER($J113),AH113=""),"irrigation readings missing; ","")&amp;IF(ISNUMBER(AK113),IF(AND(ABS(AK113)&gt;50,NOT(N($B113)&gt;0)),"WL jump &gt;5 cm; ",""),"")&amp;IF(AND(ISNUMBER(PitanE),ISNUMBER(AB113),$A113&gt;PitanE+2,AB113&lt;PitanE),"re-measure TP/b after Pitan; ",""))</f>
        <v/>
      </c>
    </row>
    <row r="114">
      <c r="A114" s="14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0">
        <f>IF(OR($A114="",NOT(ISNUMBER(TransDate))),"",$A114-TransDate)</f>
        <v/>
      </c>
      <c r="Q114" s="16">
        <f>IF($A114="","",IF(_xlfn.MAXIFS('TP-b'!$B$2:$B$60,'TP-b'!$A$2:$A$60,"FP",'TP-b'!$E$2:$E$60,1,'TP-b'!$B$2:$B$60,"&lt;="&amp;$A114)&gt;0,_xlfn.MAXIFS('TP-b'!$B$2:$B$60,'TP-b'!$A$2:$A$60,"FP",'TP-b'!$E$2:$E$60,1,'TP-b'!$B$2:$B$60,"&lt;="&amp;$A114),IF(_xlfn.MINIFS('TP-b'!$B$2:$B$60,'TP-b'!$A$2:$A$60,"FP",'TP-b'!$E$2:$E$60,1)&gt;0,_xlfn.MINIFS('TP-b'!$B$2:$B$60,'TP-b'!$A$2:$A$60,"FP",'TP-b'!$E$2:$E$60,1),"")))</f>
        <v/>
      </c>
      <c r="R114" s="10">
        <f>IF(Q114="","",AVERAGEIFS('TP-b'!$C$2:$C$60,'TP-b'!$A$2:$A$60,"FP",'TP-b'!$B$2:$B$60,Q114,'TP-b'!$E$2:$E$60,1))</f>
        <v/>
      </c>
      <c r="S114" s="10">
        <f>IF(Q114="","",AVERAGEIFS('TP-b'!$D$2:$D$60,'TP-b'!$A$2:$A$60,"FP",'TP-b'!$B$2:$B$60,Q114,'TP-b'!$E$2:$E$60,1))</f>
        <v/>
      </c>
      <c r="T114" s="10">
        <f>IF(OR($A114="",NOT(ISNUMBER($E114)),R114=""),"",ROUND($E114-R114+S114,1))</f>
        <v/>
      </c>
      <c r="U114" s="10">
        <f>IF(AND($F114="Yes",ISNUMBER($G114),R114&lt;&gt;""),ROUND($G114-R114+S114,1),"")</f>
        <v/>
      </c>
      <c r="V114" s="10">
        <f>IF(AND($F114="Yes",ISNUMBER($H114),R114&lt;&gt;""),ROUND($H114-R114+S114,1),"")</f>
        <v/>
      </c>
      <c r="W114" s="10">
        <f>IF(AND(ISNUMBER($E114),ISNUMBER(U114),ISNUMBER(V114)),ROUND((V114-MAX(U114,0))*10,1),"")</f>
        <v/>
      </c>
      <c r="X114" s="10">
        <f>IF(T114="","",IF(AND($F114="Yes",ISNUMBER(V114)),V114,T114))</f>
        <v/>
      </c>
      <c r="Y114" s="10">
        <f>IF(T114="","",ROUND(SUMIFS($W$3:$W$252,$A$3:$A$252,"&lt;="&amp;$A114),1))</f>
        <v/>
      </c>
      <c r="Z114" s="10">
        <f>IF(OR(T114="",$A114=""),"",IF(ISNUMBER(IFERROR(INDEX($X$3:$X$252,MATCH($A114-1,$A$3:$A$252,0)),"")),ROUND((INDEX($X$3:$X$252,MATCH($A114-1,$A$3:$A$252,0))-T114)*10,1),""))</f>
        <v/>
      </c>
      <c r="AA114" s="10">
        <f>IF(ISNUMBER(T114),1,0)</f>
        <v/>
      </c>
      <c r="AB114" s="16">
        <f>IF($A114="","",IF(_xlfn.MAXIFS('TP-b'!$B$2:$B$60,'TP-b'!$A$2:$A$60,"3F4D+MD",'TP-b'!$E$2:$E$60,1,'TP-b'!$B$2:$B$60,"&lt;="&amp;$A114)&gt;0,_xlfn.MAXIFS('TP-b'!$B$2:$B$60,'TP-b'!$A$2:$A$60,"3F4D+MD",'TP-b'!$E$2:$E$60,1,'TP-b'!$B$2:$B$60,"&lt;="&amp;$A114),IF(_xlfn.MINIFS('TP-b'!$B$2:$B$60,'TP-b'!$A$2:$A$60,"3F4D+MD",'TP-b'!$E$2:$E$60,1)&gt;0,_xlfn.MINIFS('TP-b'!$B$2:$B$60,'TP-b'!$A$2:$A$60,"3F4D+MD",'TP-b'!$E$2:$E$60,1),"")))</f>
        <v/>
      </c>
      <c r="AC114" s="10">
        <f>IF(AB114="","",AVERAGEIFS('TP-b'!$C$2:$C$60,'TP-b'!$A$2:$A$60,"3F4D+MD",'TP-b'!$B$2:$B$60,AB114,'TP-b'!$E$2:$E$60,1))</f>
        <v/>
      </c>
      <c r="AD114" s="10">
        <f>IF(AB114="","",AVERAGEIFS('TP-b'!$D$2:$D$60,'TP-b'!$A$2:$A$60,"3F4D+MD",'TP-b'!$B$2:$B$60,AB114,'TP-b'!$E$2:$E$60,1))</f>
        <v/>
      </c>
      <c r="AE114" s="10">
        <f>IF(OR($A114="",NOT(ISNUMBER($J114)),AC114=""),"",ROUND($J114-AC114+AD114,1))</f>
        <v/>
      </c>
      <c r="AF114" s="10">
        <f>IF(AND($K114="Yes",ISNUMBER($L114),AC114&lt;&gt;""),ROUND($L114-AC114+AD114,1),"")</f>
        <v/>
      </c>
      <c r="AG114" s="10">
        <f>IF(AND($K114="Yes",ISNUMBER($M114),AC114&lt;&gt;""),ROUND($M114-AC114+AD114,1),"")</f>
        <v/>
      </c>
      <c r="AH114" s="10">
        <f>IF(AND(ISNUMBER($J114),ISNUMBER(AF114),ISNUMBER(AG114)),ROUND((AG114-MAX(AF114,0))*10,1),"")</f>
        <v/>
      </c>
      <c r="AI114" s="10">
        <f>IF(AE114="","",IF(AND($K114="Yes",ISNUMBER(AG114)),AG114,AE114))</f>
        <v/>
      </c>
      <c r="AJ114" s="10">
        <f>IF(AE114="","",ROUND(SUMIFS($AH$3:$AH$252,$A$3:$A$252,"&lt;="&amp;$A114),1))</f>
        <v/>
      </c>
      <c r="AK114" s="10">
        <f>IF(OR(AE114="",$A114=""),"",IF(ISNUMBER(IFERROR(INDEX($AI$3:$AI$252,MATCH($A114-1,$A$3:$A$252,0)),"")),ROUND((INDEX($AI$3:$AI$252,MATCH($A114-1,$A$3:$A$252,0))-AE114)*10,1),""))</f>
        <v/>
      </c>
      <c r="AL114" s="10">
        <f>IF(ISNUMBER(AE114),1,0)</f>
        <v/>
      </c>
      <c r="AM114" s="17">
        <f>IF($A114="","",IF(COUNTIF($A$3:$A$252,$A114)&gt;1,"same date twice; ","")&amp;IF(AND(ISNUMBER($B114),OR($B114&lt;0,$B114&gt;300)),"rain out of range; ","")&amp;IF(AND(ISNUMBER($C114),OR($C114&lt;0,$C114&gt;45)),"temp out of range; ","")&amp;IF(AND(ISNUMBER($D114),OR($D114&lt;0,$D114&gt;100)),"RH out of range; ",""))</f>
        <v/>
      </c>
      <c r="AN114" s="17">
        <f>IF($A114="","",IF(AND(ISNUMBER(T114),OR(T114&lt;-30,T114&gt;20)),"WL out of range; ","")&amp;IF(AND(ISNUMBER($E114),T114=""),"no TP/b; ","")&amp;IF(AND(ISNUMBER(U114),ISNUMBER(V114)),IF(V114&lt;U114,"After&lt;Before; ",""),"")&amp;IF(AND($F114="Yes",ISNUMBER($E114),W114=""),"irrigation readings missing; ","")&amp;IF(ISNUMBER(Z114),IF(AND(ABS(Z114)&gt;50,NOT(N($B114)&gt;0)),"WL jump &gt;5 cm; ",""),""))</f>
        <v/>
      </c>
      <c r="AO114" s="17">
        <f>IF($A114="","",IF(AND(ISNUMBER(AE114),OR(AE114&lt;-30,AE114&gt;20)),"WL out of range; ","")&amp;IF(AND(ISNUMBER($J114),AE114=""),"no TP/b; ","")&amp;IF(AND(ISNUMBER(AF114),ISNUMBER(AG114)),IF(AG114&lt;AF114,"After&lt;Before; ",""),"")&amp;IF(AND($K114="Yes",ISNUMBER($J114),AH114=""),"irrigation readings missing; ","")&amp;IF(ISNUMBER(AK114),IF(AND(ABS(AK114)&gt;50,NOT(N($B114)&gt;0)),"WL jump &gt;5 cm; ",""),"")&amp;IF(AND(ISNUMBER(PitanE),ISNUMBER(AB114),$A114&gt;PitanE+2,AB114&lt;PitanE),"re-measure TP/b after Pitan; ",""))</f>
        <v/>
      </c>
    </row>
    <row r="115">
      <c r="A115" s="14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0">
        <f>IF(OR($A115="",NOT(ISNUMBER(TransDate))),"",$A115-TransDate)</f>
        <v/>
      </c>
      <c r="Q115" s="16">
        <f>IF($A115="","",IF(_xlfn.MAXIFS('TP-b'!$B$2:$B$60,'TP-b'!$A$2:$A$60,"FP",'TP-b'!$E$2:$E$60,1,'TP-b'!$B$2:$B$60,"&lt;="&amp;$A115)&gt;0,_xlfn.MAXIFS('TP-b'!$B$2:$B$60,'TP-b'!$A$2:$A$60,"FP",'TP-b'!$E$2:$E$60,1,'TP-b'!$B$2:$B$60,"&lt;="&amp;$A115),IF(_xlfn.MINIFS('TP-b'!$B$2:$B$60,'TP-b'!$A$2:$A$60,"FP",'TP-b'!$E$2:$E$60,1)&gt;0,_xlfn.MINIFS('TP-b'!$B$2:$B$60,'TP-b'!$A$2:$A$60,"FP",'TP-b'!$E$2:$E$60,1),"")))</f>
        <v/>
      </c>
      <c r="R115" s="10">
        <f>IF(Q115="","",AVERAGEIFS('TP-b'!$C$2:$C$60,'TP-b'!$A$2:$A$60,"FP",'TP-b'!$B$2:$B$60,Q115,'TP-b'!$E$2:$E$60,1))</f>
        <v/>
      </c>
      <c r="S115" s="10">
        <f>IF(Q115="","",AVERAGEIFS('TP-b'!$D$2:$D$60,'TP-b'!$A$2:$A$60,"FP",'TP-b'!$B$2:$B$60,Q115,'TP-b'!$E$2:$E$60,1))</f>
        <v/>
      </c>
      <c r="T115" s="10">
        <f>IF(OR($A115="",NOT(ISNUMBER($E115)),R115=""),"",ROUND($E115-R115+S115,1))</f>
        <v/>
      </c>
      <c r="U115" s="10">
        <f>IF(AND($F115="Yes",ISNUMBER($G115),R115&lt;&gt;""),ROUND($G115-R115+S115,1),"")</f>
        <v/>
      </c>
      <c r="V115" s="10">
        <f>IF(AND($F115="Yes",ISNUMBER($H115),R115&lt;&gt;""),ROUND($H115-R115+S115,1),"")</f>
        <v/>
      </c>
      <c r="W115" s="10">
        <f>IF(AND(ISNUMBER($E115),ISNUMBER(U115),ISNUMBER(V115)),ROUND((V115-MAX(U115,0))*10,1),"")</f>
        <v/>
      </c>
      <c r="X115" s="10">
        <f>IF(T115="","",IF(AND($F115="Yes",ISNUMBER(V115)),V115,T115))</f>
        <v/>
      </c>
      <c r="Y115" s="10">
        <f>IF(T115="","",ROUND(SUMIFS($W$3:$W$252,$A$3:$A$252,"&lt;="&amp;$A115),1))</f>
        <v/>
      </c>
      <c r="Z115" s="10">
        <f>IF(OR(T115="",$A115=""),"",IF(ISNUMBER(IFERROR(INDEX($X$3:$X$252,MATCH($A115-1,$A$3:$A$252,0)),"")),ROUND((INDEX($X$3:$X$252,MATCH($A115-1,$A$3:$A$252,0))-T115)*10,1),""))</f>
        <v/>
      </c>
      <c r="AA115" s="10">
        <f>IF(ISNUMBER(T115),1,0)</f>
        <v/>
      </c>
      <c r="AB115" s="16">
        <f>IF($A115="","",IF(_xlfn.MAXIFS('TP-b'!$B$2:$B$60,'TP-b'!$A$2:$A$60,"3F4D+MD",'TP-b'!$E$2:$E$60,1,'TP-b'!$B$2:$B$60,"&lt;="&amp;$A115)&gt;0,_xlfn.MAXIFS('TP-b'!$B$2:$B$60,'TP-b'!$A$2:$A$60,"3F4D+MD",'TP-b'!$E$2:$E$60,1,'TP-b'!$B$2:$B$60,"&lt;="&amp;$A115),IF(_xlfn.MINIFS('TP-b'!$B$2:$B$60,'TP-b'!$A$2:$A$60,"3F4D+MD",'TP-b'!$E$2:$E$60,1)&gt;0,_xlfn.MINIFS('TP-b'!$B$2:$B$60,'TP-b'!$A$2:$A$60,"3F4D+MD",'TP-b'!$E$2:$E$60,1),"")))</f>
        <v/>
      </c>
      <c r="AC115" s="10">
        <f>IF(AB115="","",AVERAGEIFS('TP-b'!$C$2:$C$60,'TP-b'!$A$2:$A$60,"3F4D+MD",'TP-b'!$B$2:$B$60,AB115,'TP-b'!$E$2:$E$60,1))</f>
        <v/>
      </c>
      <c r="AD115" s="10">
        <f>IF(AB115="","",AVERAGEIFS('TP-b'!$D$2:$D$60,'TP-b'!$A$2:$A$60,"3F4D+MD",'TP-b'!$B$2:$B$60,AB115,'TP-b'!$E$2:$E$60,1))</f>
        <v/>
      </c>
      <c r="AE115" s="10">
        <f>IF(OR($A115="",NOT(ISNUMBER($J115)),AC115=""),"",ROUND($J115-AC115+AD115,1))</f>
        <v/>
      </c>
      <c r="AF115" s="10">
        <f>IF(AND($K115="Yes",ISNUMBER($L115),AC115&lt;&gt;""),ROUND($L115-AC115+AD115,1),"")</f>
        <v/>
      </c>
      <c r="AG115" s="10">
        <f>IF(AND($K115="Yes",ISNUMBER($M115),AC115&lt;&gt;""),ROUND($M115-AC115+AD115,1),"")</f>
        <v/>
      </c>
      <c r="AH115" s="10">
        <f>IF(AND(ISNUMBER($J115),ISNUMBER(AF115),ISNUMBER(AG115)),ROUND((AG115-MAX(AF115,0))*10,1),"")</f>
        <v/>
      </c>
      <c r="AI115" s="10">
        <f>IF(AE115="","",IF(AND($K115="Yes",ISNUMBER(AG115)),AG115,AE115))</f>
        <v/>
      </c>
      <c r="AJ115" s="10">
        <f>IF(AE115="","",ROUND(SUMIFS($AH$3:$AH$252,$A$3:$A$252,"&lt;="&amp;$A115),1))</f>
        <v/>
      </c>
      <c r="AK115" s="10">
        <f>IF(OR(AE115="",$A115=""),"",IF(ISNUMBER(IFERROR(INDEX($AI$3:$AI$252,MATCH($A115-1,$A$3:$A$252,0)),"")),ROUND((INDEX($AI$3:$AI$252,MATCH($A115-1,$A$3:$A$252,0))-AE115)*10,1),""))</f>
        <v/>
      </c>
      <c r="AL115" s="10">
        <f>IF(ISNUMBER(AE115),1,0)</f>
        <v/>
      </c>
      <c r="AM115" s="17">
        <f>IF($A115="","",IF(COUNTIF($A$3:$A$252,$A115)&gt;1,"same date twice; ","")&amp;IF(AND(ISNUMBER($B115),OR($B115&lt;0,$B115&gt;300)),"rain out of range; ","")&amp;IF(AND(ISNUMBER($C115),OR($C115&lt;0,$C115&gt;45)),"temp out of range; ","")&amp;IF(AND(ISNUMBER($D115),OR($D115&lt;0,$D115&gt;100)),"RH out of range; ",""))</f>
        <v/>
      </c>
      <c r="AN115" s="17">
        <f>IF($A115="","",IF(AND(ISNUMBER(T115),OR(T115&lt;-30,T115&gt;20)),"WL out of range; ","")&amp;IF(AND(ISNUMBER($E115),T115=""),"no TP/b; ","")&amp;IF(AND(ISNUMBER(U115),ISNUMBER(V115)),IF(V115&lt;U115,"After&lt;Before; ",""),"")&amp;IF(AND($F115="Yes",ISNUMBER($E115),W115=""),"irrigation readings missing; ","")&amp;IF(ISNUMBER(Z115),IF(AND(ABS(Z115)&gt;50,NOT(N($B115)&gt;0)),"WL jump &gt;5 cm; ",""),""))</f>
        <v/>
      </c>
      <c r="AO115" s="17">
        <f>IF($A115="","",IF(AND(ISNUMBER(AE115),OR(AE115&lt;-30,AE115&gt;20)),"WL out of range; ","")&amp;IF(AND(ISNUMBER($J115),AE115=""),"no TP/b; ","")&amp;IF(AND(ISNUMBER(AF115),ISNUMBER(AG115)),IF(AG115&lt;AF115,"After&lt;Before; ",""),"")&amp;IF(AND($K115="Yes",ISNUMBER($J115),AH115=""),"irrigation readings missing; ","")&amp;IF(ISNUMBER(AK115),IF(AND(ABS(AK115)&gt;50,NOT(N($B115)&gt;0)),"WL jump &gt;5 cm; ",""),"")&amp;IF(AND(ISNUMBER(PitanE),ISNUMBER(AB115),$A115&gt;PitanE+2,AB115&lt;PitanE),"re-measure TP/b after Pitan; ",""))</f>
        <v/>
      </c>
    </row>
    <row r="116">
      <c r="A116" s="14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0">
        <f>IF(OR($A116="",NOT(ISNUMBER(TransDate))),"",$A116-TransDate)</f>
        <v/>
      </c>
      <c r="Q116" s="16">
        <f>IF($A116="","",IF(_xlfn.MAXIFS('TP-b'!$B$2:$B$60,'TP-b'!$A$2:$A$60,"FP",'TP-b'!$E$2:$E$60,1,'TP-b'!$B$2:$B$60,"&lt;="&amp;$A116)&gt;0,_xlfn.MAXIFS('TP-b'!$B$2:$B$60,'TP-b'!$A$2:$A$60,"FP",'TP-b'!$E$2:$E$60,1,'TP-b'!$B$2:$B$60,"&lt;="&amp;$A116),IF(_xlfn.MINIFS('TP-b'!$B$2:$B$60,'TP-b'!$A$2:$A$60,"FP",'TP-b'!$E$2:$E$60,1)&gt;0,_xlfn.MINIFS('TP-b'!$B$2:$B$60,'TP-b'!$A$2:$A$60,"FP",'TP-b'!$E$2:$E$60,1),"")))</f>
        <v/>
      </c>
      <c r="R116" s="10">
        <f>IF(Q116="","",AVERAGEIFS('TP-b'!$C$2:$C$60,'TP-b'!$A$2:$A$60,"FP",'TP-b'!$B$2:$B$60,Q116,'TP-b'!$E$2:$E$60,1))</f>
        <v/>
      </c>
      <c r="S116" s="10">
        <f>IF(Q116="","",AVERAGEIFS('TP-b'!$D$2:$D$60,'TP-b'!$A$2:$A$60,"FP",'TP-b'!$B$2:$B$60,Q116,'TP-b'!$E$2:$E$60,1))</f>
        <v/>
      </c>
      <c r="T116" s="10">
        <f>IF(OR($A116="",NOT(ISNUMBER($E116)),R116=""),"",ROUND($E116-R116+S116,1))</f>
        <v/>
      </c>
      <c r="U116" s="10">
        <f>IF(AND($F116="Yes",ISNUMBER($G116),R116&lt;&gt;""),ROUND($G116-R116+S116,1),"")</f>
        <v/>
      </c>
      <c r="V116" s="10">
        <f>IF(AND($F116="Yes",ISNUMBER($H116),R116&lt;&gt;""),ROUND($H116-R116+S116,1),"")</f>
        <v/>
      </c>
      <c r="W116" s="10">
        <f>IF(AND(ISNUMBER($E116),ISNUMBER(U116),ISNUMBER(V116)),ROUND((V116-MAX(U116,0))*10,1),"")</f>
        <v/>
      </c>
      <c r="X116" s="10">
        <f>IF(T116="","",IF(AND($F116="Yes",ISNUMBER(V116)),V116,T116))</f>
        <v/>
      </c>
      <c r="Y116" s="10">
        <f>IF(T116="","",ROUND(SUMIFS($W$3:$W$252,$A$3:$A$252,"&lt;="&amp;$A116),1))</f>
        <v/>
      </c>
      <c r="Z116" s="10">
        <f>IF(OR(T116="",$A116=""),"",IF(ISNUMBER(IFERROR(INDEX($X$3:$X$252,MATCH($A116-1,$A$3:$A$252,0)),"")),ROUND((INDEX($X$3:$X$252,MATCH($A116-1,$A$3:$A$252,0))-T116)*10,1),""))</f>
        <v/>
      </c>
      <c r="AA116" s="10">
        <f>IF(ISNUMBER(T116),1,0)</f>
        <v/>
      </c>
      <c r="AB116" s="16">
        <f>IF($A116="","",IF(_xlfn.MAXIFS('TP-b'!$B$2:$B$60,'TP-b'!$A$2:$A$60,"3F4D+MD",'TP-b'!$E$2:$E$60,1,'TP-b'!$B$2:$B$60,"&lt;="&amp;$A116)&gt;0,_xlfn.MAXIFS('TP-b'!$B$2:$B$60,'TP-b'!$A$2:$A$60,"3F4D+MD",'TP-b'!$E$2:$E$60,1,'TP-b'!$B$2:$B$60,"&lt;="&amp;$A116),IF(_xlfn.MINIFS('TP-b'!$B$2:$B$60,'TP-b'!$A$2:$A$60,"3F4D+MD",'TP-b'!$E$2:$E$60,1)&gt;0,_xlfn.MINIFS('TP-b'!$B$2:$B$60,'TP-b'!$A$2:$A$60,"3F4D+MD",'TP-b'!$E$2:$E$60,1),"")))</f>
        <v/>
      </c>
      <c r="AC116" s="10">
        <f>IF(AB116="","",AVERAGEIFS('TP-b'!$C$2:$C$60,'TP-b'!$A$2:$A$60,"3F4D+MD",'TP-b'!$B$2:$B$60,AB116,'TP-b'!$E$2:$E$60,1))</f>
        <v/>
      </c>
      <c r="AD116" s="10">
        <f>IF(AB116="","",AVERAGEIFS('TP-b'!$D$2:$D$60,'TP-b'!$A$2:$A$60,"3F4D+MD",'TP-b'!$B$2:$B$60,AB116,'TP-b'!$E$2:$E$60,1))</f>
        <v/>
      </c>
      <c r="AE116" s="10">
        <f>IF(OR($A116="",NOT(ISNUMBER($J116)),AC116=""),"",ROUND($J116-AC116+AD116,1))</f>
        <v/>
      </c>
      <c r="AF116" s="10">
        <f>IF(AND($K116="Yes",ISNUMBER($L116),AC116&lt;&gt;""),ROUND($L116-AC116+AD116,1),"")</f>
        <v/>
      </c>
      <c r="AG116" s="10">
        <f>IF(AND($K116="Yes",ISNUMBER($M116),AC116&lt;&gt;""),ROUND($M116-AC116+AD116,1),"")</f>
        <v/>
      </c>
      <c r="AH116" s="10">
        <f>IF(AND(ISNUMBER($J116),ISNUMBER(AF116),ISNUMBER(AG116)),ROUND((AG116-MAX(AF116,0))*10,1),"")</f>
        <v/>
      </c>
      <c r="AI116" s="10">
        <f>IF(AE116="","",IF(AND($K116="Yes",ISNUMBER(AG116)),AG116,AE116))</f>
        <v/>
      </c>
      <c r="AJ116" s="10">
        <f>IF(AE116="","",ROUND(SUMIFS($AH$3:$AH$252,$A$3:$A$252,"&lt;="&amp;$A116),1))</f>
        <v/>
      </c>
      <c r="AK116" s="10">
        <f>IF(OR(AE116="",$A116=""),"",IF(ISNUMBER(IFERROR(INDEX($AI$3:$AI$252,MATCH($A116-1,$A$3:$A$252,0)),"")),ROUND((INDEX($AI$3:$AI$252,MATCH($A116-1,$A$3:$A$252,0))-AE116)*10,1),""))</f>
        <v/>
      </c>
      <c r="AL116" s="10">
        <f>IF(ISNUMBER(AE116),1,0)</f>
        <v/>
      </c>
      <c r="AM116" s="17">
        <f>IF($A116="","",IF(COUNTIF($A$3:$A$252,$A116)&gt;1,"same date twice; ","")&amp;IF(AND(ISNUMBER($B116),OR($B116&lt;0,$B116&gt;300)),"rain out of range; ","")&amp;IF(AND(ISNUMBER($C116),OR($C116&lt;0,$C116&gt;45)),"temp out of range; ","")&amp;IF(AND(ISNUMBER($D116),OR($D116&lt;0,$D116&gt;100)),"RH out of range; ",""))</f>
        <v/>
      </c>
      <c r="AN116" s="17">
        <f>IF($A116="","",IF(AND(ISNUMBER(T116),OR(T116&lt;-30,T116&gt;20)),"WL out of range; ","")&amp;IF(AND(ISNUMBER($E116),T116=""),"no TP/b; ","")&amp;IF(AND(ISNUMBER(U116),ISNUMBER(V116)),IF(V116&lt;U116,"After&lt;Before; ",""),"")&amp;IF(AND($F116="Yes",ISNUMBER($E116),W116=""),"irrigation readings missing; ","")&amp;IF(ISNUMBER(Z116),IF(AND(ABS(Z116)&gt;50,NOT(N($B116)&gt;0)),"WL jump &gt;5 cm; ",""),""))</f>
        <v/>
      </c>
      <c r="AO116" s="17">
        <f>IF($A116="","",IF(AND(ISNUMBER(AE116),OR(AE116&lt;-30,AE116&gt;20)),"WL out of range; ","")&amp;IF(AND(ISNUMBER($J116),AE116=""),"no TP/b; ","")&amp;IF(AND(ISNUMBER(AF116),ISNUMBER(AG116)),IF(AG116&lt;AF116,"After&lt;Before; ",""),"")&amp;IF(AND($K116="Yes",ISNUMBER($J116),AH116=""),"irrigation readings missing; ","")&amp;IF(ISNUMBER(AK116),IF(AND(ABS(AK116)&gt;50,NOT(N($B116)&gt;0)),"WL jump &gt;5 cm; ",""),"")&amp;IF(AND(ISNUMBER(PitanE),ISNUMBER(AB116),$A116&gt;PitanE+2,AB116&lt;PitanE),"re-measure TP/b after Pitan; ",""))</f>
        <v/>
      </c>
    </row>
    <row r="117">
      <c r="A117" s="14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0">
        <f>IF(OR($A117="",NOT(ISNUMBER(TransDate))),"",$A117-TransDate)</f>
        <v/>
      </c>
      <c r="Q117" s="16">
        <f>IF($A117="","",IF(_xlfn.MAXIFS('TP-b'!$B$2:$B$60,'TP-b'!$A$2:$A$60,"FP",'TP-b'!$E$2:$E$60,1,'TP-b'!$B$2:$B$60,"&lt;="&amp;$A117)&gt;0,_xlfn.MAXIFS('TP-b'!$B$2:$B$60,'TP-b'!$A$2:$A$60,"FP",'TP-b'!$E$2:$E$60,1,'TP-b'!$B$2:$B$60,"&lt;="&amp;$A117),IF(_xlfn.MINIFS('TP-b'!$B$2:$B$60,'TP-b'!$A$2:$A$60,"FP",'TP-b'!$E$2:$E$60,1)&gt;0,_xlfn.MINIFS('TP-b'!$B$2:$B$60,'TP-b'!$A$2:$A$60,"FP",'TP-b'!$E$2:$E$60,1),"")))</f>
        <v/>
      </c>
      <c r="R117" s="10">
        <f>IF(Q117="","",AVERAGEIFS('TP-b'!$C$2:$C$60,'TP-b'!$A$2:$A$60,"FP",'TP-b'!$B$2:$B$60,Q117,'TP-b'!$E$2:$E$60,1))</f>
        <v/>
      </c>
      <c r="S117" s="10">
        <f>IF(Q117="","",AVERAGEIFS('TP-b'!$D$2:$D$60,'TP-b'!$A$2:$A$60,"FP",'TP-b'!$B$2:$B$60,Q117,'TP-b'!$E$2:$E$60,1))</f>
        <v/>
      </c>
      <c r="T117" s="10">
        <f>IF(OR($A117="",NOT(ISNUMBER($E117)),R117=""),"",ROUND($E117-R117+S117,1))</f>
        <v/>
      </c>
      <c r="U117" s="10">
        <f>IF(AND($F117="Yes",ISNUMBER($G117),R117&lt;&gt;""),ROUND($G117-R117+S117,1),"")</f>
        <v/>
      </c>
      <c r="V117" s="10">
        <f>IF(AND($F117="Yes",ISNUMBER($H117),R117&lt;&gt;""),ROUND($H117-R117+S117,1),"")</f>
        <v/>
      </c>
      <c r="W117" s="10">
        <f>IF(AND(ISNUMBER($E117),ISNUMBER(U117),ISNUMBER(V117)),ROUND((V117-MAX(U117,0))*10,1),"")</f>
        <v/>
      </c>
      <c r="X117" s="10">
        <f>IF(T117="","",IF(AND($F117="Yes",ISNUMBER(V117)),V117,T117))</f>
        <v/>
      </c>
      <c r="Y117" s="10">
        <f>IF(T117="","",ROUND(SUMIFS($W$3:$W$252,$A$3:$A$252,"&lt;="&amp;$A117),1))</f>
        <v/>
      </c>
      <c r="Z117" s="10">
        <f>IF(OR(T117="",$A117=""),"",IF(ISNUMBER(IFERROR(INDEX($X$3:$X$252,MATCH($A117-1,$A$3:$A$252,0)),"")),ROUND((INDEX($X$3:$X$252,MATCH($A117-1,$A$3:$A$252,0))-T117)*10,1),""))</f>
        <v/>
      </c>
      <c r="AA117" s="10">
        <f>IF(ISNUMBER(T117),1,0)</f>
        <v/>
      </c>
      <c r="AB117" s="16">
        <f>IF($A117="","",IF(_xlfn.MAXIFS('TP-b'!$B$2:$B$60,'TP-b'!$A$2:$A$60,"3F4D+MD",'TP-b'!$E$2:$E$60,1,'TP-b'!$B$2:$B$60,"&lt;="&amp;$A117)&gt;0,_xlfn.MAXIFS('TP-b'!$B$2:$B$60,'TP-b'!$A$2:$A$60,"3F4D+MD",'TP-b'!$E$2:$E$60,1,'TP-b'!$B$2:$B$60,"&lt;="&amp;$A117),IF(_xlfn.MINIFS('TP-b'!$B$2:$B$60,'TP-b'!$A$2:$A$60,"3F4D+MD",'TP-b'!$E$2:$E$60,1)&gt;0,_xlfn.MINIFS('TP-b'!$B$2:$B$60,'TP-b'!$A$2:$A$60,"3F4D+MD",'TP-b'!$E$2:$E$60,1),"")))</f>
        <v/>
      </c>
      <c r="AC117" s="10">
        <f>IF(AB117="","",AVERAGEIFS('TP-b'!$C$2:$C$60,'TP-b'!$A$2:$A$60,"3F4D+MD",'TP-b'!$B$2:$B$60,AB117,'TP-b'!$E$2:$E$60,1))</f>
        <v/>
      </c>
      <c r="AD117" s="10">
        <f>IF(AB117="","",AVERAGEIFS('TP-b'!$D$2:$D$60,'TP-b'!$A$2:$A$60,"3F4D+MD",'TP-b'!$B$2:$B$60,AB117,'TP-b'!$E$2:$E$60,1))</f>
        <v/>
      </c>
      <c r="AE117" s="10">
        <f>IF(OR($A117="",NOT(ISNUMBER($J117)),AC117=""),"",ROUND($J117-AC117+AD117,1))</f>
        <v/>
      </c>
      <c r="AF117" s="10">
        <f>IF(AND($K117="Yes",ISNUMBER($L117),AC117&lt;&gt;""),ROUND($L117-AC117+AD117,1),"")</f>
        <v/>
      </c>
      <c r="AG117" s="10">
        <f>IF(AND($K117="Yes",ISNUMBER($M117),AC117&lt;&gt;""),ROUND($M117-AC117+AD117,1),"")</f>
        <v/>
      </c>
      <c r="AH117" s="10">
        <f>IF(AND(ISNUMBER($J117),ISNUMBER(AF117),ISNUMBER(AG117)),ROUND((AG117-MAX(AF117,0))*10,1),"")</f>
        <v/>
      </c>
      <c r="AI117" s="10">
        <f>IF(AE117="","",IF(AND($K117="Yes",ISNUMBER(AG117)),AG117,AE117))</f>
        <v/>
      </c>
      <c r="AJ117" s="10">
        <f>IF(AE117="","",ROUND(SUMIFS($AH$3:$AH$252,$A$3:$A$252,"&lt;="&amp;$A117),1))</f>
        <v/>
      </c>
      <c r="AK117" s="10">
        <f>IF(OR(AE117="",$A117=""),"",IF(ISNUMBER(IFERROR(INDEX($AI$3:$AI$252,MATCH($A117-1,$A$3:$A$252,0)),"")),ROUND((INDEX($AI$3:$AI$252,MATCH($A117-1,$A$3:$A$252,0))-AE117)*10,1),""))</f>
        <v/>
      </c>
      <c r="AL117" s="10">
        <f>IF(ISNUMBER(AE117),1,0)</f>
        <v/>
      </c>
      <c r="AM117" s="17">
        <f>IF($A117="","",IF(COUNTIF($A$3:$A$252,$A117)&gt;1,"same date twice; ","")&amp;IF(AND(ISNUMBER($B117),OR($B117&lt;0,$B117&gt;300)),"rain out of range; ","")&amp;IF(AND(ISNUMBER($C117),OR($C117&lt;0,$C117&gt;45)),"temp out of range; ","")&amp;IF(AND(ISNUMBER($D117),OR($D117&lt;0,$D117&gt;100)),"RH out of range; ",""))</f>
        <v/>
      </c>
      <c r="AN117" s="17">
        <f>IF($A117="","",IF(AND(ISNUMBER(T117),OR(T117&lt;-30,T117&gt;20)),"WL out of range; ","")&amp;IF(AND(ISNUMBER($E117),T117=""),"no TP/b; ","")&amp;IF(AND(ISNUMBER(U117),ISNUMBER(V117)),IF(V117&lt;U117,"After&lt;Before; ",""),"")&amp;IF(AND($F117="Yes",ISNUMBER($E117),W117=""),"irrigation readings missing; ","")&amp;IF(ISNUMBER(Z117),IF(AND(ABS(Z117)&gt;50,NOT(N($B117)&gt;0)),"WL jump &gt;5 cm; ",""),""))</f>
        <v/>
      </c>
      <c r="AO117" s="17">
        <f>IF($A117="","",IF(AND(ISNUMBER(AE117),OR(AE117&lt;-30,AE117&gt;20)),"WL out of range; ","")&amp;IF(AND(ISNUMBER($J117),AE117=""),"no TP/b; ","")&amp;IF(AND(ISNUMBER(AF117),ISNUMBER(AG117)),IF(AG117&lt;AF117,"After&lt;Before; ",""),"")&amp;IF(AND($K117="Yes",ISNUMBER($J117),AH117=""),"irrigation readings missing; ","")&amp;IF(ISNUMBER(AK117),IF(AND(ABS(AK117)&gt;50,NOT(N($B117)&gt;0)),"WL jump &gt;5 cm; ",""),"")&amp;IF(AND(ISNUMBER(PitanE),ISNUMBER(AB117),$A117&gt;PitanE+2,AB117&lt;PitanE),"re-measure TP/b after Pitan; ",""))</f>
        <v/>
      </c>
    </row>
    <row r="118">
      <c r="A118" s="14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0">
        <f>IF(OR($A118="",NOT(ISNUMBER(TransDate))),"",$A118-TransDate)</f>
        <v/>
      </c>
      <c r="Q118" s="16">
        <f>IF($A118="","",IF(_xlfn.MAXIFS('TP-b'!$B$2:$B$60,'TP-b'!$A$2:$A$60,"FP",'TP-b'!$E$2:$E$60,1,'TP-b'!$B$2:$B$60,"&lt;="&amp;$A118)&gt;0,_xlfn.MAXIFS('TP-b'!$B$2:$B$60,'TP-b'!$A$2:$A$60,"FP",'TP-b'!$E$2:$E$60,1,'TP-b'!$B$2:$B$60,"&lt;="&amp;$A118),IF(_xlfn.MINIFS('TP-b'!$B$2:$B$60,'TP-b'!$A$2:$A$60,"FP",'TP-b'!$E$2:$E$60,1)&gt;0,_xlfn.MINIFS('TP-b'!$B$2:$B$60,'TP-b'!$A$2:$A$60,"FP",'TP-b'!$E$2:$E$60,1),"")))</f>
        <v/>
      </c>
      <c r="R118" s="10">
        <f>IF(Q118="","",AVERAGEIFS('TP-b'!$C$2:$C$60,'TP-b'!$A$2:$A$60,"FP",'TP-b'!$B$2:$B$60,Q118,'TP-b'!$E$2:$E$60,1))</f>
        <v/>
      </c>
      <c r="S118" s="10">
        <f>IF(Q118="","",AVERAGEIFS('TP-b'!$D$2:$D$60,'TP-b'!$A$2:$A$60,"FP",'TP-b'!$B$2:$B$60,Q118,'TP-b'!$E$2:$E$60,1))</f>
        <v/>
      </c>
      <c r="T118" s="10">
        <f>IF(OR($A118="",NOT(ISNUMBER($E118)),R118=""),"",ROUND($E118-R118+S118,1))</f>
        <v/>
      </c>
      <c r="U118" s="10">
        <f>IF(AND($F118="Yes",ISNUMBER($G118),R118&lt;&gt;""),ROUND($G118-R118+S118,1),"")</f>
        <v/>
      </c>
      <c r="V118" s="10">
        <f>IF(AND($F118="Yes",ISNUMBER($H118),R118&lt;&gt;""),ROUND($H118-R118+S118,1),"")</f>
        <v/>
      </c>
      <c r="W118" s="10">
        <f>IF(AND(ISNUMBER($E118),ISNUMBER(U118),ISNUMBER(V118)),ROUND((V118-MAX(U118,0))*10,1),"")</f>
        <v/>
      </c>
      <c r="X118" s="10">
        <f>IF(T118="","",IF(AND($F118="Yes",ISNUMBER(V118)),V118,T118))</f>
        <v/>
      </c>
      <c r="Y118" s="10">
        <f>IF(T118="","",ROUND(SUMIFS($W$3:$W$252,$A$3:$A$252,"&lt;="&amp;$A118),1))</f>
        <v/>
      </c>
      <c r="Z118" s="10">
        <f>IF(OR(T118="",$A118=""),"",IF(ISNUMBER(IFERROR(INDEX($X$3:$X$252,MATCH($A118-1,$A$3:$A$252,0)),"")),ROUND((INDEX($X$3:$X$252,MATCH($A118-1,$A$3:$A$252,0))-T118)*10,1),""))</f>
        <v/>
      </c>
      <c r="AA118" s="10">
        <f>IF(ISNUMBER(T118),1,0)</f>
        <v/>
      </c>
      <c r="AB118" s="16">
        <f>IF($A118="","",IF(_xlfn.MAXIFS('TP-b'!$B$2:$B$60,'TP-b'!$A$2:$A$60,"3F4D+MD",'TP-b'!$E$2:$E$60,1,'TP-b'!$B$2:$B$60,"&lt;="&amp;$A118)&gt;0,_xlfn.MAXIFS('TP-b'!$B$2:$B$60,'TP-b'!$A$2:$A$60,"3F4D+MD",'TP-b'!$E$2:$E$60,1,'TP-b'!$B$2:$B$60,"&lt;="&amp;$A118),IF(_xlfn.MINIFS('TP-b'!$B$2:$B$60,'TP-b'!$A$2:$A$60,"3F4D+MD",'TP-b'!$E$2:$E$60,1)&gt;0,_xlfn.MINIFS('TP-b'!$B$2:$B$60,'TP-b'!$A$2:$A$60,"3F4D+MD",'TP-b'!$E$2:$E$60,1),"")))</f>
        <v/>
      </c>
      <c r="AC118" s="10">
        <f>IF(AB118="","",AVERAGEIFS('TP-b'!$C$2:$C$60,'TP-b'!$A$2:$A$60,"3F4D+MD",'TP-b'!$B$2:$B$60,AB118,'TP-b'!$E$2:$E$60,1))</f>
        <v/>
      </c>
      <c r="AD118" s="10">
        <f>IF(AB118="","",AVERAGEIFS('TP-b'!$D$2:$D$60,'TP-b'!$A$2:$A$60,"3F4D+MD",'TP-b'!$B$2:$B$60,AB118,'TP-b'!$E$2:$E$60,1))</f>
        <v/>
      </c>
      <c r="AE118" s="10">
        <f>IF(OR($A118="",NOT(ISNUMBER($J118)),AC118=""),"",ROUND($J118-AC118+AD118,1))</f>
        <v/>
      </c>
      <c r="AF118" s="10">
        <f>IF(AND($K118="Yes",ISNUMBER($L118),AC118&lt;&gt;""),ROUND($L118-AC118+AD118,1),"")</f>
        <v/>
      </c>
      <c r="AG118" s="10">
        <f>IF(AND($K118="Yes",ISNUMBER($M118),AC118&lt;&gt;""),ROUND($M118-AC118+AD118,1),"")</f>
        <v/>
      </c>
      <c r="AH118" s="10">
        <f>IF(AND(ISNUMBER($J118),ISNUMBER(AF118),ISNUMBER(AG118)),ROUND((AG118-MAX(AF118,0))*10,1),"")</f>
        <v/>
      </c>
      <c r="AI118" s="10">
        <f>IF(AE118="","",IF(AND($K118="Yes",ISNUMBER(AG118)),AG118,AE118))</f>
        <v/>
      </c>
      <c r="AJ118" s="10">
        <f>IF(AE118="","",ROUND(SUMIFS($AH$3:$AH$252,$A$3:$A$252,"&lt;="&amp;$A118),1))</f>
        <v/>
      </c>
      <c r="AK118" s="10">
        <f>IF(OR(AE118="",$A118=""),"",IF(ISNUMBER(IFERROR(INDEX($AI$3:$AI$252,MATCH($A118-1,$A$3:$A$252,0)),"")),ROUND((INDEX($AI$3:$AI$252,MATCH($A118-1,$A$3:$A$252,0))-AE118)*10,1),""))</f>
        <v/>
      </c>
      <c r="AL118" s="10">
        <f>IF(ISNUMBER(AE118),1,0)</f>
        <v/>
      </c>
      <c r="AM118" s="17">
        <f>IF($A118="","",IF(COUNTIF($A$3:$A$252,$A118)&gt;1,"same date twice; ","")&amp;IF(AND(ISNUMBER($B118),OR($B118&lt;0,$B118&gt;300)),"rain out of range; ","")&amp;IF(AND(ISNUMBER($C118),OR($C118&lt;0,$C118&gt;45)),"temp out of range; ","")&amp;IF(AND(ISNUMBER($D118),OR($D118&lt;0,$D118&gt;100)),"RH out of range; ",""))</f>
        <v/>
      </c>
      <c r="AN118" s="17">
        <f>IF($A118="","",IF(AND(ISNUMBER(T118),OR(T118&lt;-30,T118&gt;20)),"WL out of range; ","")&amp;IF(AND(ISNUMBER($E118),T118=""),"no TP/b; ","")&amp;IF(AND(ISNUMBER(U118),ISNUMBER(V118)),IF(V118&lt;U118,"After&lt;Before; ",""),"")&amp;IF(AND($F118="Yes",ISNUMBER($E118),W118=""),"irrigation readings missing; ","")&amp;IF(ISNUMBER(Z118),IF(AND(ABS(Z118)&gt;50,NOT(N($B118)&gt;0)),"WL jump &gt;5 cm; ",""),""))</f>
        <v/>
      </c>
      <c r="AO118" s="17">
        <f>IF($A118="","",IF(AND(ISNUMBER(AE118),OR(AE118&lt;-30,AE118&gt;20)),"WL out of range; ","")&amp;IF(AND(ISNUMBER($J118),AE118=""),"no TP/b; ","")&amp;IF(AND(ISNUMBER(AF118),ISNUMBER(AG118)),IF(AG118&lt;AF118,"After&lt;Before; ",""),"")&amp;IF(AND($K118="Yes",ISNUMBER($J118),AH118=""),"irrigation readings missing; ","")&amp;IF(ISNUMBER(AK118),IF(AND(ABS(AK118)&gt;50,NOT(N($B118)&gt;0)),"WL jump &gt;5 cm; ",""),"")&amp;IF(AND(ISNUMBER(PitanE),ISNUMBER(AB118),$A118&gt;PitanE+2,AB118&lt;PitanE),"re-measure TP/b after Pitan; ",""))</f>
        <v/>
      </c>
    </row>
    <row r="119">
      <c r="A119" s="14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0">
        <f>IF(OR($A119="",NOT(ISNUMBER(TransDate))),"",$A119-TransDate)</f>
        <v/>
      </c>
      <c r="Q119" s="16">
        <f>IF($A119="","",IF(_xlfn.MAXIFS('TP-b'!$B$2:$B$60,'TP-b'!$A$2:$A$60,"FP",'TP-b'!$E$2:$E$60,1,'TP-b'!$B$2:$B$60,"&lt;="&amp;$A119)&gt;0,_xlfn.MAXIFS('TP-b'!$B$2:$B$60,'TP-b'!$A$2:$A$60,"FP",'TP-b'!$E$2:$E$60,1,'TP-b'!$B$2:$B$60,"&lt;="&amp;$A119),IF(_xlfn.MINIFS('TP-b'!$B$2:$B$60,'TP-b'!$A$2:$A$60,"FP",'TP-b'!$E$2:$E$60,1)&gt;0,_xlfn.MINIFS('TP-b'!$B$2:$B$60,'TP-b'!$A$2:$A$60,"FP",'TP-b'!$E$2:$E$60,1),"")))</f>
        <v/>
      </c>
      <c r="R119" s="10">
        <f>IF(Q119="","",AVERAGEIFS('TP-b'!$C$2:$C$60,'TP-b'!$A$2:$A$60,"FP",'TP-b'!$B$2:$B$60,Q119,'TP-b'!$E$2:$E$60,1))</f>
        <v/>
      </c>
      <c r="S119" s="10">
        <f>IF(Q119="","",AVERAGEIFS('TP-b'!$D$2:$D$60,'TP-b'!$A$2:$A$60,"FP",'TP-b'!$B$2:$B$60,Q119,'TP-b'!$E$2:$E$60,1))</f>
        <v/>
      </c>
      <c r="T119" s="10">
        <f>IF(OR($A119="",NOT(ISNUMBER($E119)),R119=""),"",ROUND($E119-R119+S119,1))</f>
        <v/>
      </c>
      <c r="U119" s="10">
        <f>IF(AND($F119="Yes",ISNUMBER($G119),R119&lt;&gt;""),ROUND($G119-R119+S119,1),"")</f>
        <v/>
      </c>
      <c r="V119" s="10">
        <f>IF(AND($F119="Yes",ISNUMBER($H119),R119&lt;&gt;""),ROUND($H119-R119+S119,1),"")</f>
        <v/>
      </c>
      <c r="W119" s="10">
        <f>IF(AND(ISNUMBER($E119),ISNUMBER(U119),ISNUMBER(V119)),ROUND((V119-MAX(U119,0))*10,1),"")</f>
        <v/>
      </c>
      <c r="X119" s="10">
        <f>IF(T119="","",IF(AND($F119="Yes",ISNUMBER(V119)),V119,T119))</f>
        <v/>
      </c>
      <c r="Y119" s="10">
        <f>IF(T119="","",ROUND(SUMIFS($W$3:$W$252,$A$3:$A$252,"&lt;="&amp;$A119),1))</f>
        <v/>
      </c>
      <c r="Z119" s="10">
        <f>IF(OR(T119="",$A119=""),"",IF(ISNUMBER(IFERROR(INDEX($X$3:$X$252,MATCH($A119-1,$A$3:$A$252,0)),"")),ROUND((INDEX($X$3:$X$252,MATCH($A119-1,$A$3:$A$252,0))-T119)*10,1),""))</f>
        <v/>
      </c>
      <c r="AA119" s="10">
        <f>IF(ISNUMBER(T119),1,0)</f>
        <v/>
      </c>
      <c r="AB119" s="16">
        <f>IF($A119="","",IF(_xlfn.MAXIFS('TP-b'!$B$2:$B$60,'TP-b'!$A$2:$A$60,"3F4D+MD",'TP-b'!$E$2:$E$60,1,'TP-b'!$B$2:$B$60,"&lt;="&amp;$A119)&gt;0,_xlfn.MAXIFS('TP-b'!$B$2:$B$60,'TP-b'!$A$2:$A$60,"3F4D+MD",'TP-b'!$E$2:$E$60,1,'TP-b'!$B$2:$B$60,"&lt;="&amp;$A119),IF(_xlfn.MINIFS('TP-b'!$B$2:$B$60,'TP-b'!$A$2:$A$60,"3F4D+MD",'TP-b'!$E$2:$E$60,1)&gt;0,_xlfn.MINIFS('TP-b'!$B$2:$B$60,'TP-b'!$A$2:$A$60,"3F4D+MD",'TP-b'!$E$2:$E$60,1),"")))</f>
        <v/>
      </c>
      <c r="AC119" s="10">
        <f>IF(AB119="","",AVERAGEIFS('TP-b'!$C$2:$C$60,'TP-b'!$A$2:$A$60,"3F4D+MD",'TP-b'!$B$2:$B$60,AB119,'TP-b'!$E$2:$E$60,1))</f>
        <v/>
      </c>
      <c r="AD119" s="10">
        <f>IF(AB119="","",AVERAGEIFS('TP-b'!$D$2:$D$60,'TP-b'!$A$2:$A$60,"3F4D+MD",'TP-b'!$B$2:$B$60,AB119,'TP-b'!$E$2:$E$60,1))</f>
        <v/>
      </c>
      <c r="AE119" s="10">
        <f>IF(OR($A119="",NOT(ISNUMBER($J119)),AC119=""),"",ROUND($J119-AC119+AD119,1))</f>
        <v/>
      </c>
      <c r="AF119" s="10">
        <f>IF(AND($K119="Yes",ISNUMBER($L119),AC119&lt;&gt;""),ROUND($L119-AC119+AD119,1),"")</f>
        <v/>
      </c>
      <c r="AG119" s="10">
        <f>IF(AND($K119="Yes",ISNUMBER($M119),AC119&lt;&gt;""),ROUND($M119-AC119+AD119,1),"")</f>
        <v/>
      </c>
      <c r="AH119" s="10">
        <f>IF(AND(ISNUMBER($J119),ISNUMBER(AF119),ISNUMBER(AG119)),ROUND((AG119-MAX(AF119,0))*10,1),"")</f>
        <v/>
      </c>
      <c r="AI119" s="10">
        <f>IF(AE119="","",IF(AND($K119="Yes",ISNUMBER(AG119)),AG119,AE119))</f>
        <v/>
      </c>
      <c r="AJ119" s="10">
        <f>IF(AE119="","",ROUND(SUMIFS($AH$3:$AH$252,$A$3:$A$252,"&lt;="&amp;$A119),1))</f>
        <v/>
      </c>
      <c r="AK119" s="10">
        <f>IF(OR(AE119="",$A119=""),"",IF(ISNUMBER(IFERROR(INDEX($AI$3:$AI$252,MATCH($A119-1,$A$3:$A$252,0)),"")),ROUND((INDEX($AI$3:$AI$252,MATCH($A119-1,$A$3:$A$252,0))-AE119)*10,1),""))</f>
        <v/>
      </c>
      <c r="AL119" s="10">
        <f>IF(ISNUMBER(AE119),1,0)</f>
        <v/>
      </c>
      <c r="AM119" s="17">
        <f>IF($A119="","",IF(COUNTIF($A$3:$A$252,$A119)&gt;1,"same date twice; ","")&amp;IF(AND(ISNUMBER($B119),OR($B119&lt;0,$B119&gt;300)),"rain out of range; ","")&amp;IF(AND(ISNUMBER($C119),OR($C119&lt;0,$C119&gt;45)),"temp out of range; ","")&amp;IF(AND(ISNUMBER($D119),OR($D119&lt;0,$D119&gt;100)),"RH out of range; ",""))</f>
        <v/>
      </c>
      <c r="AN119" s="17">
        <f>IF($A119="","",IF(AND(ISNUMBER(T119),OR(T119&lt;-30,T119&gt;20)),"WL out of range; ","")&amp;IF(AND(ISNUMBER($E119),T119=""),"no TP/b; ","")&amp;IF(AND(ISNUMBER(U119),ISNUMBER(V119)),IF(V119&lt;U119,"After&lt;Before; ",""),"")&amp;IF(AND($F119="Yes",ISNUMBER($E119),W119=""),"irrigation readings missing; ","")&amp;IF(ISNUMBER(Z119),IF(AND(ABS(Z119)&gt;50,NOT(N($B119)&gt;0)),"WL jump &gt;5 cm; ",""),""))</f>
        <v/>
      </c>
      <c r="AO119" s="17">
        <f>IF($A119="","",IF(AND(ISNUMBER(AE119),OR(AE119&lt;-30,AE119&gt;20)),"WL out of range; ","")&amp;IF(AND(ISNUMBER($J119),AE119=""),"no TP/b; ","")&amp;IF(AND(ISNUMBER(AF119),ISNUMBER(AG119)),IF(AG119&lt;AF119,"After&lt;Before; ",""),"")&amp;IF(AND($K119="Yes",ISNUMBER($J119),AH119=""),"irrigation readings missing; ","")&amp;IF(ISNUMBER(AK119),IF(AND(ABS(AK119)&gt;50,NOT(N($B119)&gt;0)),"WL jump &gt;5 cm; ",""),"")&amp;IF(AND(ISNUMBER(PitanE),ISNUMBER(AB119),$A119&gt;PitanE+2,AB119&lt;PitanE),"re-measure TP/b after Pitan; ",""))</f>
        <v/>
      </c>
    </row>
    <row r="120">
      <c r="A120" s="14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0">
        <f>IF(OR($A120="",NOT(ISNUMBER(TransDate))),"",$A120-TransDate)</f>
        <v/>
      </c>
      <c r="Q120" s="16">
        <f>IF($A120="","",IF(_xlfn.MAXIFS('TP-b'!$B$2:$B$60,'TP-b'!$A$2:$A$60,"FP",'TP-b'!$E$2:$E$60,1,'TP-b'!$B$2:$B$60,"&lt;="&amp;$A120)&gt;0,_xlfn.MAXIFS('TP-b'!$B$2:$B$60,'TP-b'!$A$2:$A$60,"FP",'TP-b'!$E$2:$E$60,1,'TP-b'!$B$2:$B$60,"&lt;="&amp;$A120),IF(_xlfn.MINIFS('TP-b'!$B$2:$B$60,'TP-b'!$A$2:$A$60,"FP",'TP-b'!$E$2:$E$60,1)&gt;0,_xlfn.MINIFS('TP-b'!$B$2:$B$60,'TP-b'!$A$2:$A$60,"FP",'TP-b'!$E$2:$E$60,1),"")))</f>
        <v/>
      </c>
      <c r="R120" s="10">
        <f>IF(Q120="","",AVERAGEIFS('TP-b'!$C$2:$C$60,'TP-b'!$A$2:$A$60,"FP",'TP-b'!$B$2:$B$60,Q120,'TP-b'!$E$2:$E$60,1))</f>
        <v/>
      </c>
      <c r="S120" s="10">
        <f>IF(Q120="","",AVERAGEIFS('TP-b'!$D$2:$D$60,'TP-b'!$A$2:$A$60,"FP",'TP-b'!$B$2:$B$60,Q120,'TP-b'!$E$2:$E$60,1))</f>
        <v/>
      </c>
      <c r="T120" s="10">
        <f>IF(OR($A120="",NOT(ISNUMBER($E120)),R120=""),"",ROUND($E120-R120+S120,1))</f>
        <v/>
      </c>
      <c r="U120" s="10">
        <f>IF(AND($F120="Yes",ISNUMBER($G120),R120&lt;&gt;""),ROUND($G120-R120+S120,1),"")</f>
        <v/>
      </c>
      <c r="V120" s="10">
        <f>IF(AND($F120="Yes",ISNUMBER($H120),R120&lt;&gt;""),ROUND($H120-R120+S120,1),"")</f>
        <v/>
      </c>
      <c r="W120" s="10">
        <f>IF(AND(ISNUMBER($E120),ISNUMBER(U120),ISNUMBER(V120)),ROUND((V120-MAX(U120,0))*10,1),"")</f>
        <v/>
      </c>
      <c r="X120" s="10">
        <f>IF(T120="","",IF(AND($F120="Yes",ISNUMBER(V120)),V120,T120))</f>
        <v/>
      </c>
      <c r="Y120" s="10">
        <f>IF(T120="","",ROUND(SUMIFS($W$3:$W$252,$A$3:$A$252,"&lt;="&amp;$A120),1))</f>
        <v/>
      </c>
      <c r="Z120" s="10">
        <f>IF(OR(T120="",$A120=""),"",IF(ISNUMBER(IFERROR(INDEX($X$3:$X$252,MATCH($A120-1,$A$3:$A$252,0)),"")),ROUND((INDEX($X$3:$X$252,MATCH($A120-1,$A$3:$A$252,0))-T120)*10,1),""))</f>
        <v/>
      </c>
      <c r="AA120" s="10">
        <f>IF(ISNUMBER(T120),1,0)</f>
        <v/>
      </c>
      <c r="AB120" s="16">
        <f>IF($A120="","",IF(_xlfn.MAXIFS('TP-b'!$B$2:$B$60,'TP-b'!$A$2:$A$60,"3F4D+MD",'TP-b'!$E$2:$E$60,1,'TP-b'!$B$2:$B$60,"&lt;="&amp;$A120)&gt;0,_xlfn.MAXIFS('TP-b'!$B$2:$B$60,'TP-b'!$A$2:$A$60,"3F4D+MD",'TP-b'!$E$2:$E$60,1,'TP-b'!$B$2:$B$60,"&lt;="&amp;$A120),IF(_xlfn.MINIFS('TP-b'!$B$2:$B$60,'TP-b'!$A$2:$A$60,"3F4D+MD",'TP-b'!$E$2:$E$60,1)&gt;0,_xlfn.MINIFS('TP-b'!$B$2:$B$60,'TP-b'!$A$2:$A$60,"3F4D+MD",'TP-b'!$E$2:$E$60,1),"")))</f>
        <v/>
      </c>
      <c r="AC120" s="10">
        <f>IF(AB120="","",AVERAGEIFS('TP-b'!$C$2:$C$60,'TP-b'!$A$2:$A$60,"3F4D+MD",'TP-b'!$B$2:$B$60,AB120,'TP-b'!$E$2:$E$60,1))</f>
        <v/>
      </c>
      <c r="AD120" s="10">
        <f>IF(AB120="","",AVERAGEIFS('TP-b'!$D$2:$D$60,'TP-b'!$A$2:$A$60,"3F4D+MD",'TP-b'!$B$2:$B$60,AB120,'TP-b'!$E$2:$E$60,1))</f>
        <v/>
      </c>
      <c r="AE120" s="10">
        <f>IF(OR($A120="",NOT(ISNUMBER($J120)),AC120=""),"",ROUND($J120-AC120+AD120,1))</f>
        <v/>
      </c>
      <c r="AF120" s="10">
        <f>IF(AND($K120="Yes",ISNUMBER($L120),AC120&lt;&gt;""),ROUND($L120-AC120+AD120,1),"")</f>
        <v/>
      </c>
      <c r="AG120" s="10">
        <f>IF(AND($K120="Yes",ISNUMBER($M120),AC120&lt;&gt;""),ROUND($M120-AC120+AD120,1),"")</f>
        <v/>
      </c>
      <c r="AH120" s="10">
        <f>IF(AND(ISNUMBER($J120),ISNUMBER(AF120),ISNUMBER(AG120)),ROUND((AG120-MAX(AF120,0))*10,1),"")</f>
        <v/>
      </c>
      <c r="AI120" s="10">
        <f>IF(AE120="","",IF(AND($K120="Yes",ISNUMBER(AG120)),AG120,AE120))</f>
        <v/>
      </c>
      <c r="AJ120" s="10">
        <f>IF(AE120="","",ROUND(SUMIFS($AH$3:$AH$252,$A$3:$A$252,"&lt;="&amp;$A120),1))</f>
        <v/>
      </c>
      <c r="AK120" s="10">
        <f>IF(OR(AE120="",$A120=""),"",IF(ISNUMBER(IFERROR(INDEX($AI$3:$AI$252,MATCH($A120-1,$A$3:$A$252,0)),"")),ROUND((INDEX($AI$3:$AI$252,MATCH($A120-1,$A$3:$A$252,0))-AE120)*10,1),""))</f>
        <v/>
      </c>
      <c r="AL120" s="10">
        <f>IF(ISNUMBER(AE120),1,0)</f>
        <v/>
      </c>
      <c r="AM120" s="17">
        <f>IF($A120="","",IF(COUNTIF($A$3:$A$252,$A120)&gt;1,"same date twice; ","")&amp;IF(AND(ISNUMBER($B120),OR($B120&lt;0,$B120&gt;300)),"rain out of range; ","")&amp;IF(AND(ISNUMBER($C120),OR($C120&lt;0,$C120&gt;45)),"temp out of range; ","")&amp;IF(AND(ISNUMBER($D120),OR($D120&lt;0,$D120&gt;100)),"RH out of range; ",""))</f>
        <v/>
      </c>
      <c r="AN120" s="17">
        <f>IF($A120="","",IF(AND(ISNUMBER(T120),OR(T120&lt;-30,T120&gt;20)),"WL out of range; ","")&amp;IF(AND(ISNUMBER($E120),T120=""),"no TP/b; ","")&amp;IF(AND(ISNUMBER(U120),ISNUMBER(V120)),IF(V120&lt;U120,"After&lt;Before; ",""),"")&amp;IF(AND($F120="Yes",ISNUMBER($E120),W120=""),"irrigation readings missing; ","")&amp;IF(ISNUMBER(Z120),IF(AND(ABS(Z120)&gt;50,NOT(N($B120)&gt;0)),"WL jump &gt;5 cm; ",""),""))</f>
        <v/>
      </c>
      <c r="AO120" s="17">
        <f>IF($A120="","",IF(AND(ISNUMBER(AE120),OR(AE120&lt;-30,AE120&gt;20)),"WL out of range; ","")&amp;IF(AND(ISNUMBER($J120),AE120=""),"no TP/b; ","")&amp;IF(AND(ISNUMBER(AF120),ISNUMBER(AG120)),IF(AG120&lt;AF120,"After&lt;Before; ",""),"")&amp;IF(AND($K120="Yes",ISNUMBER($J120),AH120=""),"irrigation readings missing; ","")&amp;IF(ISNUMBER(AK120),IF(AND(ABS(AK120)&gt;50,NOT(N($B120)&gt;0)),"WL jump &gt;5 cm; ",""),"")&amp;IF(AND(ISNUMBER(PitanE),ISNUMBER(AB120),$A120&gt;PitanE+2,AB120&lt;PitanE),"re-measure TP/b after Pitan; ",""))</f>
        <v/>
      </c>
    </row>
    <row r="121">
      <c r="A121" s="14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0">
        <f>IF(OR($A121="",NOT(ISNUMBER(TransDate))),"",$A121-TransDate)</f>
        <v/>
      </c>
      <c r="Q121" s="16">
        <f>IF($A121="","",IF(_xlfn.MAXIFS('TP-b'!$B$2:$B$60,'TP-b'!$A$2:$A$60,"FP",'TP-b'!$E$2:$E$60,1,'TP-b'!$B$2:$B$60,"&lt;="&amp;$A121)&gt;0,_xlfn.MAXIFS('TP-b'!$B$2:$B$60,'TP-b'!$A$2:$A$60,"FP",'TP-b'!$E$2:$E$60,1,'TP-b'!$B$2:$B$60,"&lt;="&amp;$A121),IF(_xlfn.MINIFS('TP-b'!$B$2:$B$60,'TP-b'!$A$2:$A$60,"FP",'TP-b'!$E$2:$E$60,1)&gt;0,_xlfn.MINIFS('TP-b'!$B$2:$B$60,'TP-b'!$A$2:$A$60,"FP",'TP-b'!$E$2:$E$60,1),"")))</f>
        <v/>
      </c>
      <c r="R121" s="10">
        <f>IF(Q121="","",AVERAGEIFS('TP-b'!$C$2:$C$60,'TP-b'!$A$2:$A$60,"FP",'TP-b'!$B$2:$B$60,Q121,'TP-b'!$E$2:$E$60,1))</f>
        <v/>
      </c>
      <c r="S121" s="10">
        <f>IF(Q121="","",AVERAGEIFS('TP-b'!$D$2:$D$60,'TP-b'!$A$2:$A$60,"FP",'TP-b'!$B$2:$B$60,Q121,'TP-b'!$E$2:$E$60,1))</f>
        <v/>
      </c>
      <c r="T121" s="10">
        <f>IF(OR($A121="",NOT(ISNUMBER($E121)),R121=""),"",ROUND($E121-R121+S121,1))</f>
        <v/>
      </c>
      <c r="U121" s="10">
        <f>IF(AND($F121="Yes",ISNUMBER($G121),R121&lt;&gt;""),ROUND($G121-R121+S121,1),"")</f>
        <v/>
      </c>
      <c r="V121" s="10">
        <f>IF(AND($F121="Yes",ISNUMBER($H121),R121&lt;&gt;""),ROUND($H121-R121+S121,1),"")</f>
        <v/>
      </c>
      <c r="W121" s="10">
        <f>IF(AND(ISNUMBER($E121),ISNUMBER(U121),ISNUMBER(V121)),ROUND((V121-MAX(U121,0))*10,1),"")</f>
        <v/>
      </c>
      <c r="X121" s="10">
        <f>IF(T121="","",IF(AND($F121="Yes",ISNUMBER(V121)),V121,T121))</f>
        <v/>
      </c>
      <c r="Y121" s="10">
        <f>IF(T121="","",ROUND(SUMIFS($W$3:$W$252,$A$3:$A$252,"&lt;="&amp;$A121),1))</f>
        <v/>
      </c>
      <c r="Z121" s="10">
        <f>IF(OR(T121="",$A121=""),"",IF(ISNUMBER(IFERROR(INDEX($X$3:$X$252,MATCH($A121-1,$A$3:$A$252,0)),"")),ROUND((INDEX($X$3:$X$252,MATCH($A121-1,$A$3:$A$252,0))-T121)*10,1),""))</f>
        <v/>
      </c>
      <c r="AA121" s="10">
        <f>IF(ISNUMBER(T121),1,0)</f>
        <v/>
      </c>
      <c r="AB121" s="16">
        <f>IF($A121="","",IF(_xlfn.MAXIFS('TP-b'!$B$2:$B$60,'TP-b'!$A$2:$A$60,"3F4D+MD",'TP-b'!$E$2:$E$60,1,'TP-b'!$B$2:$B$60,"&lt;="&amp;$A121)&gt;0,_xlfn.MAXIFS('TP-b'!$B$2:$B$60,'TP-b'!$A$2:$A$60,"3F4D+MD",'TP-b'!$E$2:$E$60,1,'TP-b'!$B$2:$B$60,"&lt;="&amp;$A121),IF(_xlfn.MINIFS('TP-b'!$B$2:$B$60,'TP-b'!$A$2:$A$60,"3F4D+MD",'TP-b'!$E$2:$E$60,1)&gt;0,_xlfn.MINIFS('TP-b'!$B$2:$B$60,'TP-b'!$A$2:$A$60,"3F4D+MD",'TP-b'!$E$2:$E$60,1),"")))</f>
        <v/>
      </c>
      <c r="AC121" s="10">
        <f>IF(AB121="","",AVERAGEIFS('TP-b'!$C$2:$C$60,'TP-b'!$A$2:$A$60,"3F4D+MD",'TP-b'!$B$2:$B$60,AB121,'TP-b'!$E$2:$E$60,1))</f>
        <v/>
      </c>
      <c r="AD121" s="10">
        <f>IF(AB121="","",AVERAGEIFS('TP-b'!$D$2:$D$60,'TP-b'!$A$2:$A$60,"3F4D+MD",'TP-b'!$B$2:$B$60,AB121,'TP-b'!$E$2:$E$60,1))</f>
        <v/>
      </c>
      <c r="AE121" s="10">
        <f>IF(OR($A121="",NOT(ISNUMBER($J121)),AC121=""),"",ROUND($J121-AC121+AD121,1))</f>
        <v/>
      </c>
      <c r="AF121" s="10">
        <f>IF(AND($K121="Yes",ISNUMBER($L121),AC121&lt;&gt;""),ROUND($L121-AC121+AD121,1),"")</f>
        <v/>
      </c>
      <c r="AG121" s="10">
        <f>IF(AND($K121="Yes",ISNUMBER($M121),AC121&lt;&gt;""),ROUND($M121-AC121+AD121,1),"")</f>
        <v/>
      </c>
      <c r="AH121" s="10">
        <f>IF(AND(ISNUMBER($J121),ISNUMBER(AF121),ISNUMBER(AG121)),ROUND((AG121-MAX(AF121,0))*10,1),"")</f>
        <v/>
      </c>
      <c r="AI121" s="10">
        <f>IF(AE121="","",IF(AND($K121="Yes",ISNUMBER(AG121)),AG121,AE121))</f>
        <v/>
      </c>
      <c r="AJ121" s="10">
        <f>IF(AE121="","",ROUND(SUMIFS($AH$3:$AH$252,$A$3:$A$252,"&lt;="&amp;$A121),1))</f>
        <v/>
      </c>
      <c r="AK121" s="10">
        <f>IF(OR(AE121="",$A121=""),"",IF(ISNUMBER(IFERROR(INDEX($AI$3:$AI$252,MATCH($A121-1,$A$3:$A$252,0)),"")),ROUND((INDEX($AI$3:$AI$252,MATCH($A121-1,$A$3:$A$252,0))-AE121)*10,1),""))</f>
        <v/>
      </c>
      <c r="AL121" s="10">
        <f>IF(ISNUMBER(AE121),1,0)</f>
        <v/>
      </c>
      <c r="AM121" s="17">
        <f>IF($A121="","",IF(COUNTIF($A$3:$A$252,$A121)&gt;1,"same date twice; ","")&amp;IF(AND(ISNUMBER($B121),OR($B121&lt;0,$B121&gt;300)),"rain out of range; ","")&amp;IF(AND(ISNUMBER($C121),OR($C121&lt;0,$C121&gt;45)),"temp out of range; ","")&amp;IF(AND(ISNUMBER($D121),OR($D121&lt;0,$D121&gt;100)),"RH out of range; ",""))</f>
        <v/>
      </c>
      <c r="AN121" s="17">
        <f>IF($A121="","",IF(AND(ISNUMBER(T121),OR(T121&lt;-30,T121&gt;20)),"WL out of range; ","")&amp;IF(AND(ISNUMBER($E121),T121=""),"no TP/b; ","")&amp;IF(AND(ISNUMBER(U121),ISNUMBER(V121)),IF(V121&lt;U121,"After&lt;Before; ",""),"")&amp;IF(AND($F121="Yes",ISNUMBER($E121),W121=""),"irrigation readings missing; ","")&amp;IF(ISNUMBER(Z121),IF(AND(ABS(Z121)&gt;50,NOT(N($B121)&gt;0)),"WL jump &gt;5 cm; ",""),""))</f>
        <v/>
      </c>
      <c r="AO121" s="17">
        <f>IF($A121="","",IF(AND(ISNUMBER(AE121),OR(AE121&lt;-30,AE121&gt;20)),"WL out of range; ","")&amp;IF(AND(ISNUMBER($J121),AE121=""),"no TP/b; ","")&amp;IF(AND(ISNUMBER(AF121),ISNUMBER(AG121)),IF(AG121&lt;AF121,"After&lt;Before; ",""),"")&amp;IF(AND($K121="Yes",ISNUMBER($J121),AH121=""),"irrigation readings missing; ","")&amp;IF(ISNUMBER(AK121),IF(AND(ABS(AK121)&gt;50,NOT(N($B121)&gt;0)),"WL jump &gt;5 cm; ",""),"")&amp;IF(AND(ISNUMBER(PitanE),ISNUMBER(AB121),$A121&gt;PitanE+2,AB121&lt;PitanE),"re-measure TP/b after Pitan; ",""))</f>
        <v/>
      </c>
    </row>
    <row r="122">
      <c r="A122" s="14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0">
        <f>IF(OR($A122="",NOT(ISNUMBER(TransDate))),"",$A122-TransDate)</f>
        <v/>
      </c>
      <c r="Q122" s="16">
        <f>IF($A122="","",IF(_xlfn.MAXIFS('TP-b'!$B$2:$B$60,'TP-b'!$A$2:$A$60,"FP",'TP-b'!$E$2:$E$60,1,'TP-b'!$B$2:$B$60,"&lt;="&amp;$A122)&gt;0,_xlfn.MAXIFS('TP-b'!$B$2:$B$60,'TP-b'!$A$2:$A$60,"FP",'TP-b'!$E$2:$E$60,1,'TP-b'!$B$2:$B$60,"&lt;="&amp;$A122),IF(_xlfn.MINIFS('TP-b'!$B$2:$B$60,'TP-b'!$A$2:$A$60,"FP",'TP-b'!$E$2:$E$60,1)&gt;0,_xlfn.MINIFS('TP-b'!$B$2:$B$60,'TP-b'!$A$2:$A$60,"FP",'TP-b'!$E$2:$E$60,1),"")))</f>
        <v/>
      </c>
      <c r="R122" s="10">
        <f>IF(Q122="","",AVERAGEIFS('TP-b'!$C$2:$C$60,'TP-b'!$A$2:$A$60,"FP",'TP-b'!$B$2:$B$60,Q122,'TP-b'!$E$2:$E$60,1))</f>
        <v/>
      </c>
      <c r="S122" s="10">
        <f>IF(Q122="","",AVERAGEIFS('TP-b'!$D$2:$D$60,'TP-b'!$A$2:$A$60,"FP",'TP-b'!$B$2:$B$60,Q122,'TP-b'!$E$2:$E$60,1))</f>
        <v/>
      </c>
      <c r="T122" s="10">
        <f>IF(OR($A122="",NOT(ISNUMBER($E122)),R122=""),"",ROUND($E122-R122+S122,1))</f>
        <v/>
      </c>
      <c r="U122" s="10">
        <f>IF(AND($F122="Yes",ISNUMBER($G122),R122&lt;&gt;""),ROUND($G122-R122+S122,1),"")</f>
        <v/>
      </c>
      <c r="V122" s="10">
        <f>IF(AND($F122="Yes",ISNUMBER($H122),R122&lt;&gt;""),ROUND($H122-R122+S122,1),"")</f>
        <v/>
      </c>
      <c r="W122" s="10">
        <f>IF(AND(ISNUMBER($E122),ISNUMBER(U122),ISNUMBER(V122)),ROUND((V122-MAX(U122,0))*10,1),"")</f>
        <v/>
      </c>
      <c r="X122" s="10">
        <f>IF(T122="","",IF(AND($F122="Yes",ISNUMBER(V122)),V122,T122))</f>
        <v/>
      </c>
      <c r="Y122" s="10">
        <f>IF(T122="","",ROUND(SUMIFS($W$3:$W$252,$A$3:$A$252,"&lt;="&amp;$A122),1))</f>
        <v/>
      </c>
      <c r="Z122" s="10">
        <f>IF(OR(T122="",$A122=""),"",IF(ISNUMBER(IFERROR(INDEX($X$3:$X$252,MATCH($A122-1,$A$3:$A$252,0)),"")),ROUND((INDEX($X$3:$X$252,MATCH($A122-1,$A$3:$A$252,0))-T122)*10,1),""))</f>
        <v/>
      </c>
      <c r="AA122" s="10">
        <f>IF(ISNUMBER(T122),1,0)</f>
        <v/>
      </c>
      <c r="AB122" s="16">
        <f>IF($A122="","",IF(_xlfn.MAXIFS('TP-b'!$B$2:$B$60,'TP-b'!$A$2:$A$60,"3F4D+MD",'TP-b'!$E$2:$E$60,1,'TP-b'!$B$2:$B$60,"&lt;="&amp;$A122)&gt;0,_xlfn.MAXIFS('TP-b'!$B$2:$B$60,'TP-b'!$A$2:$A$60,"3F4D+MD",'TP-b'!$E$2:$E$60,1,'TP-b'!$B$2:$B$60,"&lt;="&amp;$A122),IF(_xlfn.MINIFS('TP-b'!$B$2:$B$60,'TP-b'!$A$2:$A$60,"3F4D+MD",'TP-b'!$E$2:$E$60,1)&gt;0,_xlfn.MINIFS('TP-b'!$B$2:$B$60,'TP-b'!$A$2:$A$60,"3F4D+MD",'TP-b'!$E$2:$E$60,1),"")))</f>
        <v/>
      </c>
      <c r="AC122" s="10">
        <f>IF(AB122="","",AVERAGEIFS('TP-b'!$C$2:$C$60,'TP-b'!$A$2:$A$60,"3F4D+MD",'TP-b'!$B$2:$B$60,AB122,'TP-b'!$E$2:$E$60,1))</f>
        <v/>
      </c>
      <c r="AD122" s="10">
        <f>IF(AB122="","",AVERAGEIFS('TP-b'!$D$2:$D$60,'TP-b'!$A$2:$A$60,"3F4D+MD",'TP-b'!$B$2:$B$60,AB122,'TP-b'!$E$2:$E$60,1))</f>
        <v/>
      </c>
      <c r="AE122" s="10">
        <f>IF(OR($A122="",NOT(ISNUMBER($J122)),AC122=""),"",ROUND($J122-AC122+AD122,1))</f>
        <v/>
      </c>
      <c r="AF122" s="10">
        <f>IF(AND($K122="Yes",ISNUMBER($L122),AC122&lt;&gt;""),ROUND($L122-AC122+AD122,1),"")</f>
        <v/>
      </c>
      <c r="AG122" s="10">
        <f>IF(AND($K122="Yes",ISNUMBER($M122),AC122&lt;&gt;""),ROUND($M122-AC122+AD122,1),"")</f>
        <v/>
      </c>
      <c r="AH122" s="10">
        <f>IF(AND(ISNUMBER($J122),ISNUMBER(AF122),ISNUMBER(AG122)),ROUND((AG122-MAX(AF122,0))*10,1),"")</f>
        <v/>
      </c>
      <c r="AI122" s="10">
        <f>IF(AE122="","",IF(AND($K122="Yes",ISNUMBER(AG122)),AG122,AE122))</f>
        <v/>
      </c>
      <c r="AJ122" s="10">
        <f>IF(AE122="","",ROUND(SUMIFS($AH$3:$AH$252,$A$3:$A$252,"&lt;="&amp;$A122),1))</f>
        <v/>
      </c>
      <c r="AK122" s="10">
        <f>IF(OR(AE122="",$A122=""),"",IF(ISNUMBER(IFERROR(INDEX($AI$3:$AI$252,MATCH($A122-1,$A$3:$A$252,0)),"")),ROUND((INDEX($AI$3:$AI$252,MATCH($A122-1,$A$3:$A$252,0))-AE122)*10,1),""))</f>
        <v/>
      </c>
      <c r="AL122" s="10">
        <f>IF(ISNUMBER(AE122),1,0)</f>
        <v/>
      </c>
      <c r="AM122" s="17">
        <f>IF($A122="","",IF(COUNTIF($A$3:$A$252,$A122)&gt;1,"same date twice; ","")&amp;IF(AND(ISNUMBER($B122),OR($B122&lt;0,$B122&gt;300)),"rain out of range; ","")&amp;IF(AND(ISNUMBER($C122),OR($C122&lt;0,$C122&gt;45)),"temp out of range; ","")&amp;IF(AND(ISNUMBER($D122),OR($D122&lt;0,$D122&gt;100)),"RH out of range; ",""))</f>
        <v/>
      </c>
      <c r="AN122" s="17">
        <f>IF($A122="","",IF(AND(ISNUMBER(T122),OR(T122&lt;-30,T122&gt;20)),"WL out of range; ","")&amp;IF(AND(ISNUMBER($E122),T122=""),"no TP/b; ","")&amp;IF(AND(ISNUMBER(U122),ISNUMBER(V122)),IF(V122&lt;U122,"After&lt;Before; ",""),"")&amp;IF(AND($F122="Yes",ISNUMBER($E122),W122=""),"irrigation readings missing; ","")&amp;IF(ISNUMBER(Z122),IF(AND(ABS(Z122)&gt;50,NOT(N($B122)&gt;0)),"WL jump &gt;5 cm; ",""),""))</f>
        <v/>
      </c>
      <c r="AO122" s="17">
        <f>IF($A122="","",IF(AND(ISNUMBER(AE122),OR(AE122&lt;-30,AE122&gt;20)),"WL out of range; ","")&amp;IF(AND(ISNUMBER($J122),AE122=""),"no TP/b; ","")&amp;IF(AND(ISNUMBER(AF122),ISNUMBER(AG122)),IF(AG122&lt;AF122,"After&lt;Before; ",""),"")&amp;IF(AND($K122="Yes",ISNUMBER($J122),AH122=""),"irrigation readings missing; ","")&amp;IF(ISNUMBER(AK122),IF(AND(ABS(AK122)&gt;50,NOT(N($B122)&gt;0)),"WL jump &gt;5 cm; ",""),"")&amp;IF(AND(ISNUMBER(PitanE),ISNUMBER(AB122),$A122&gt;PitanE+2,AB122&lt;PitanE),"re-measure TP/b after Pitan; ",""))</f>
        <v/>
      </c>
    </row>
    <row r="123">
      <c r="A123" s="14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0">
        <f>IF(OR($A123="",NOT(ISNUMBER(TransDate))),"",$A123-TransDate)</f>
        <v/>
      </c>
      <c r="Q123" s="16">
        <f>IF($A123="","",IF(_xlfn.MAXIFS('TP-b'!$B$2:$B$60,'TP-b'!$A$2:$A$60,"FP",'TP-b'!$E$2:$E$60,1,'TP-b'!$B$2:$B$60,"&lt;="&amp;$A123)&gt;0,_xlfn.MAXIFS('TP-b'!$B$2:$B$60,'TP-b'!$A$2:$A$60,"FP",'TP-b'!$E$2:$E$60,1,'TP-b'!$B$2:$B$60,"&lt;="&amp;$A123),IF(_xlfn.MINIFS('TP-b'!$B$2:$B$60,'TP-b'!$A$2:$A$60,"FP",'TP-b'!$E$2:$E$60,1)&gt;0,_xlfn.MINIFS('TP-b'!$B$2:$B$60,'TP-b'!$A$2:$A$60,"FP",'TP-b'!$E$2:$E$60,1),"")))</f>
        <v/>
      </c>
      <c r="R123" s="10">
        <f>IF(Q123="","",AVERAGEIFS('TP-b'!$C$2:$C$60,'TP-b'!$A$2:$A$60,"FP",'TP-b'!$B$2:$B$60,Q123,'TP-b'!$E$2:$E$60,1))</f>
        <v/>
      </c>
      <c r="S123" s="10">
        <f>IF(Q123="","",AVERAGEIFS('TP-b'!$D$2:$D$60,'TP-b'!$A$2:$A$60,"FP",'TP-b'!$B$2:$B$60,Q123,'TP-b'!$E$2:$E$60,1))</f>
        <v/>
      </c>
      <c r="T123" s="10">
        <f>IF(OR($A123="",NOT(ISNUMBER($E123)),R123=""),"",ROUND($E123-R123+S123,1))</f>
        <v/>
      </c>
      <c r="U123" s="10">
        <f>IF(AND($F123="Yes",ISNUMBER($G123),R123&lt;&gt;""),ROUND($G123-R123+S123,1),"")</f>
        <v/>
      </c>
      <c r="V123" s="10">
        <f>IF(AND($F123="Yes",ISNUMBER($H123),R123&lt;&gt;""),ROUND($H123-R123+S123,1),"")</f>
        <v/>
      </c>
      <c r="W123" s="10">
        <f>IF(AND(ISNUMBER($E123),ISNUMBER(U123),ISNUMBER(V123)),ROUND((V123-MAX(U123,0))*10,1),"")</f>
        <v/>
      </c>
      <c r="X123" s="10">
        <f>IF(T123="","",IF(AND($F123="Yes",ISNUMBER(V123)),V123,T123))</f>
        <v/>
      </c>
      <c r="Y123" s="10">
        <f>IF(T123="","",ROUND(SUMIFS($W$3:$W$252,$A$3:$A$252,"&lt;="&amp;$A123),1))</f>
        <v/>
      </c>
      <c r="Z123" s="10">
        <f>IF(OR(T123="",$A123=""),"",IF(ISNUMBER(IFERROR(INDEX($X$3:$X$252,MATCH($A123-1,$A$3:$A$252,0)),"")),ROUND((INDEX($X$3:$X$252,MATCH($A123-1,$A$3:$A$252,0))-T123)*10,1),""))</f>
        <v/>
      </c>
      <c r="AA123" s="10">
        <f>IF(ISNUMBER(T123),1,0)</f>
        <v/>
      </c>
      <c r="AB123" s="16">
        <f>IF($A123="","",IF(_xlfn.MAXIFS('TP-b'!$B$2:$B$60,'TP-b'!$A$2:$A$60,"3F4D+MD",'TP-b'!$E$2:$E$60,1,'TP-b'!$B$2:$B$60,"&lt;="&amp;$A123)&gt;0,_xlfn.MAXIFS('TP-b'!$B$2:$B$60,'TP-b'!$A$2:$A$60,"3F4D+MD",'TP-b'!$E$2:$E$60,1,'TP-b'!$B$2:$B$60,"&lt;="&amp;$A123),IF(_xlfn.MINIFS('TP-b'!$B$2:$B$60,'TP-b'!$A$2:$A$60,"3F4D+MD",'TP-b'!$E$2:$E$60,1)&gt;0,_xlfn.MINIFS('TP-b'!$B$2:$B$60,'TP-b'!$A$2:$A$60,"3F4D+MD",'TP-b'!$E$2:$E$60,1),"")))</f>
        <v/>
      </c>
      <c r="AC123" s="10">
        <f>IF(AB123="","",AVERAGEIFS('TP-b'!$C$2:$C$60,'TP-b'!$A$2:$A$60,"3F4D+MD",'TP-b'!$B$2:$B$60,AB123,'TP-b'!$E$2:$E$60,1))</f>
        <v/>
      </c>
      <c r="AD123" s="10">
        <f>IF(AB123="","",AVERAGEIFS('TP-b'!$D$2:$D$60,'TP-b'!$A$2:$A$60,"3F4D+MD",'TP-b'!$B$2:$B$60,AB123,'TP-b'!$E$2:$E$60,1))</f>
        <v/>
      </c>
      <c r="AE123" s="10">
        <f>IF(OR($A123="",NOT(ISNUMBER($J123)),AC123=""),"",ROUND($J123-AC123+AD123,1))</f>
        <v/>
      </c>
      <c r="AF123" s="10">
        <f>IF(AND($K123="Yes",ISNUMBER($L123),AC123&lt;&gt;""),ROUND($L123-AC123+AD123,1),"")</f>
        <v/>
      </c>
      <c r="AG123" s="10">
        <f>IF(AND($K123="Yes",ISNUMBER($M123),AC123&lt;&gt;""),ROUND($M123-AC123+AD123,1),"")</f>
        <v/>
      </c>
      <c r="AH123" s="10">
        <f>IF(AND(ISNUMBER($J123),ISNUMBER(AF123),ISNUMBER(AG123)),ROUND((AG123-MAX(AF123,0))*10,1),"")</f>
        <v/>
      </c>
      <c r="AI123" s="10">
        <f>IF(AE123="","",IF(AND($K123="Yes",ISNUMBER(AG123)),AG123,AE123))</f>
        <v/>
      </c>
      <c r="AJ123" s="10">
        <f>IF(AE123="","",ROUND(SUMIFS($AH$3:$AH$252,$A$3:$A$252,"&lt;="&amp;$A123),1))</f>
        <v/>
      </c>
      <c r="AK123" s="10">
        <f>IF(OR(AE123="",$A123=""),"",IF(ISNUMBER(IFERROR(INDEX($AI$3:$AI$252,MATCH($A123-1,$A$3:$A$252,0)),"")),ROUND((INDEX($AI$3:$AI$252,MATCH($A123-1,$A$3:$A$252,0))-AE123)*10,1),""))</f>
        <v/>
      </c>
      <c r="AL123" s="10">
        <f>IF(ISNUMBER(AE123),1,0)</f>
        <v/>
      </c>
      <c r="AM123" s="17">
        <f>IF($A123="","",IF(COUNTIF($A$3:$A$252,$A123)&gt;1,"same date twice; ","")&amp;IF(AND(ISNUMBER($B123),OR($B123&lt;0,$B123&gt;300)),"rain out of range; ","")&amp;IF(AND(ISNUMBER($C123),OR($C123&lt;0,$C123&gt;45)),"temp out of range; ","")&amp;IF(AND(ISNUMBER($D123),OR($D123&lt;0,$D123&gt;100)),"RH out of range; ",""))</f>
        <v/>
      </c>
      <c r="AN123" s="17">
        <f>IF($A123="","",IF(AND(ISNUMBER(T123),OR(T123&lt;-30,T123&gt;20)),"WL out of range; ","")&amp;IF(AND(ISNUMBER($E123),T123=""),"no TP/b; ","")&amp;IF(AND(ISNUMBER(U123),ISNUMBER(V123)),IF(V123&lt;U123,"After&lt;Before; ",""),"")&amp;IF(AND($F123="Yes",ISNUMBER($E123),W123=""),"irrigation readings missing; ","")&amp;IF(ISNUMBER(Z123),IF(AND(ABS(Z123)&gt;50,NOT(N($B123)&gt;0)),"WL jump &gt;5 cm; ",""),""))</f>
        <v/>
      </c>
      <c r="AO123" s="17">
        <f>IF($A123="","",IF(AND(ISNUMBER(AE123),OR(AE123&lt;-30,AE123&gt;20)),"WL out of range; ","")&amp;IF(AND(ISNUMBER($J123),AE123=""),"no TP/b; ","")&amp;IF(AND(ISNUMBER(AF123),ISNUMBER(AG123)),IF(AG123&lt;AF123,"After&lt;Before; ",""),"")&amp;IF(AND($K123="Yes",ISNUMBER($J123),AH123=""),"irrigation readings missing; ","")&amp;IF(ISNUMBER(AK123),IF(AND(ABS(AK123)&gt;50,NOT(N($B123)&gt;0)),"WL jump &gt;5 cm; ",""),"")&amp;IF(AND(ISNUMBER(PitanE),ISNUMBER(AB123),$A123&gt;PitanE+2,AB123&lt;PitanE),"re-measure TP/b after Pitan; ",""))</f>
        <v/>
      </c>
    </row>
    <row r="124">
      <c r="A124" s="14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0">
        <f>IF(OR($A124="",NOT(ISNUMBER(TransDate))),"",$A124-TransDate)</f>
        <v/>
      </c>
      <c r="Q124" s="16">
        <f>IF($A124="","",IF(_xlfn.MAXIFS('TP-b'!$B$2:$B$60,'TP-b'!$A$2:$A$60,"FP",'TP-b'!$E$2:$E$60,1,'TP-b'!$B$2:$B$60,"&lt;="&amp;$A124)&gt;0,_xlfn.MAXIFS('TP-b'!$B$2:$B$60,'TP-b'!$A$2:$A$60,"FP",'TP-b'!$E$2:$E$60,1,'TP-b'!$B$2:$B$60,"&lt;="&amp;$A124),IF(_xlfn.MINIFS('TP-b'!$B$2:$B$60,'TP-b'!$A$2:$A$60,"FP",'TP-b'!$E$2:$E$60,1)&gt;0,_xlfn.MINIFS('TP-b'!$B$2:$B$60,'TP-b'!$A$2:$A$60,"FP",'TP-b'!$E$2:$E$60,1),"")))</f>
        <v/>
      </c>
      <c r="R124" s="10">
        <f>IF(Q124="","",AVERAGEIFS('TP-b'!$C$2:$C$60,'TP-b'!$A$2:$A$60,"FP",'TP-b'!$B$2:$B$60,Q124,'TP-b'!$E$2:$E$60,1))</f>
        <v/>
      </c>
      <c r="S124" s="10">
        <f>IF(Q124="","",AVERAGEIFS('TP-b'!$D$2:$D$60,'TP-b'!$A$2:$A$60,"FP",'TP-b'!$B$2:$B$60,Q124,'TP-b'!$E$2:$E$60,1))</f>
        <v/>
      </c>
      <c r="T124" s="10">
        <f>IF(OR($A124="",NOT(ISNUMBER($E124)),R124=""),"",ROUND($E124-R124+S124,1))</f>
        <v/>
      </c>
      <c r="U124" s="10">
        <f>IF(AND($F124="Yes",ISNUMBER($G124),R124&lt;&gt;""),ROUND($G124-R124+S124,1),"")</f>
        <v/>
      </c>
      <c r="V124" s="10">
        <f>IF(AND($F124="Yes",ISNUMBER($H124),R124&lt;&gt;""),ROUND($H124-R124+S124,1),"")</f>
        <v/>
      </c>
      <c r="W124" s="10">
        <f>IF(AND(ISNUMBER($E124),ISNUMBER(U124),ISNUMBER(V124)),ROUND((V124-MAX(U124,0))*10,1),"")</f>
        <v/>
      </c>
      <c r="X124" s="10">
        <f>IF(T124="","",IF(AND($F124="Yes",ISNUMBER(V124)),V124,T124))</f>
        <v/>
      </c>
      <c r="Y124" s="10">
        <f>IF(T124="","",ROUND(SUMIFS($W$3:$W$252,$A$3:$A$252,"&lt;="&amp;$A124),1))</f>
        <v/>
      </c>
      <c r="Z124" s="10">
        <f>IF(OR(T124="",$A124=""),"",IF(ISNUMBER(IFERROR(INDEX($X$3:$X$252,MATCH($A124-1,$A$3:$A$252,0)),"")),ROUND((INDEX($X$3:$X$252,MATCH($A124-1,$A$3:$A$252,0))-T124)*10,1),""))</f>
        <v/>
      </c>
      <c r="AA124" s="10">
        <f>IF(ISNUMBER(T124),1,0)</f>
        <v/>
      </c>
      <c r="AB124" s="16">
        <f>IF($A124="","",IF(_xlfn.MAXIFS('TP-b'!$B$2:$B$60,'TP-b'!$A$2:$A$60,"3F4D+MD",'TP-b'!$E$2:$E$60,1,'TP-b'!$B$2:$B$60,"&lt;="&amp;$A124)&gt;0,_xlfn.MAXIFS('TP-b'!$B$2:$B$60,'TP-b'!$A$2:$A$60,"3F4D+MD",'TP-b'!$E$2:$E$60,1,'TP-b'!$B$2:$B$60,"&lt;="&amp;$A124),IF(_xlfn.MINIFS('TP-b'!$B$2:$B$60,'TP-b'!$A$2:$A$60,"3F4D+MD",'TP-b'!$E$2:$E$60,1)&gt;0,_xlfn.MINIFS('TP-b'!$B$2:$B$60,'TP-b'!$A$2:$A$60,"3F4D+MD",'TP-b'!$E$2:$E$60,1),"")))</f>
        <v/>
      </c>
      <c r="AC124" s="10">
        <f>IF(AB124="","",AVERAGEIFS('TP-b'!$C$2:$C$60,'TP-b'!$A$2:$A$60,"3F4D+MD",'TP-b'!$B$2:$B$60,AB124,'TP-b'!$E$2:$E$60,1))</f>
        <v/>
      </c>
      <c r="AD124" s="10">
        <f>IF(AB124="","",AVERAGEIFS('TP-b'!$D$2:$D$60,'TP-b'!$A$2:$A$60,"3F4D+MD",'TP-b'!$B$2:$B$60,AB124,'TP-b'!$E$2:$E$60,1))</f>
        <v/>
      </c>
      <c r="AE124" s="10">
        <f>IF(OR($A124="",NOT(ISNUMBER($J124)),AC124=""),"",ROUND($J124-AC124+AD124,1))</f>
        <v/>
      </c>
      <c r="AF124" s="10">
        <f>IF(AND($K124="Yes",ISNUMBER($L124),AC124&lt;&gt;""),ROUND($L124-AC124+AD124,1),"")</f>
        <v/>
      </c>
      <c r="AG124" s="10">
        <f>IF(AND($K124="Yes",ISNUMBER($M124),AC124&lt;&gt;""),ROUND($M124-AC124+AD124,1),"")</f>
        <v/>
      </c>
      <c r="AH124" s="10">
        <f>IF(AND(ISNUMBER($J124),ISNUMBER(AF124),ISNUMBER(AG124)),ROUND((AG124-MAX(AF124,0))*10,1),"")</f>
        <v/>
      </c>
      <c r="AI124" s="10">
        <f>IF(AE124="","",IF(AND($K124="Yes",ISNUMBER(AG124)),AG124,AE124))</f>
        <v/>
      </c>
      <c r="AJ124" s="10">
        <f>IF(AE124="","",ROUND(SUMIFS($AH$3:$AH$252,$A$3:$A$252,"&lt;="&amp;$A124),1))</f>
        <v/>
      </c>
      <c r="AK124" s="10">
        <f>IF(OR(AE124="",$A124=""),"",IF(ISNUMBER(IFERROR(INDEX($AI$3:$AI$252,MATCH($A124-1,$A$3:$A$252,0)),"")),ROUND((INDEX($AI$3:$AI$252,MATCH($A124-1,$A$3:$A$252,0))-AE124)*10,1),""))</f>
        <v/>
      </c>
      <c r="AL124" s="10">
        <f>IF(ISNUMBER(AE124),1,0)</f>
        <v/>
      </c>
      <c r="AM124" s="17">
        <f>IF($A124="","",IF(COUNTIF($A$3:$A$252,$A124)&gt;1,"same date twice; ","")&amp;IF(AND(ISNUMBER($B124),OR($B124&lt;0,$B124&gt;300)),"rain out of range; ","")&amp;IF(AND(ISNUMBER($C124),OR($C124&lt;0,$C124&gt;45)),"temp out of range; ","")&amp;IF(AND(ISNUMBER($D124),OR($D124&lt;0,$D124&gt;100)),"RH out of range; ",""))</f>
        <v/>
      </c>
      <c r="AN124" s="17">
        <f>IF($A124="","",IF(AND(ISNUMBER(T124),OR(T124&lt;-30,T124&gt;20)),"WL out of range; ","")&amp;IF(AND(ISNUMBER($E124),T124=""),"no TP/b; ","")&amp;IF(AND(ISNUMBER(U124),ISNUMBER(V124)),IF(V124&lt;U124,"After&lt;Before; ",""),"")&amp;IF(AND($F124="Yes",ISNUMBER($E124),W124=""),"irrigation readings missing; ","")&amp;IF(ISNUMBER(Z124),IF(AND(ABS(Z124)&gt;50,NOT(N($B124)&gt;0)),"WL jump &gt;5 cm; ",""),""))</f>
        <v/>
      </c>
      <c r="AO124" s="17">
        <f>IF($A124="","",IF(AND(ISNUMBER(AE124),OR(AE124&lt;-30,AE124&gt;20)),"WL out of range; ","")&amp;IF(AND(ISNUMBER($J124),AE124=""),"no TP/b; ","")&amp;IF(AND(ISNUMBER(AF124),ISNUMBER(AG124)),IF(AG124&lt;AF124,"After&lt;Before; ",""),"")&amp;IF(AND($K124="Yes",ISNUMBER($J124),AH124=""),"irrigation readings missing; ","")&amp;IF(ISNUMBER(AK124),IF(AND(ABS(AK124)&gt;50,NOT(N($B124)&gt;0)),"WL jump &gt;5 cm; ",""),"")&amp;IF(AND(ISNUMBER(PitanE),ISNUMBER(AB124),$A124&gt;PitanE+2,AB124&lt;PitanE),"re-measure TP/b after Pitan; ",""))</f>
        <v/>
      </c>
    </row>
    <row r="125">
      <c r="A125" s="14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0">
        <f>IF(OR($A125="",NOT(ISNUMBER(TransDate))),"",$A125-TransDate)</f>
        <v/>
      </c>
      <c r="Q125" s="16">
        <f>IF($A125="","",IF(_xlfn.MAXIFS('TP-b'!$B$2:$B$60,'TP-b'!$A$2:$A$60,"FP",'TP-b'!$E$2:$E$60,1,'TP-b'!$B$2:$B$60,"&lt;="&amp;$A125)&gt;0,_xlfn.MAXIFS('TP-b'!$B$2:$B$60,'TP-b'!$A$2:$A$60,"FP",'TP-b'!$E$2:$E$60,1,'TP-b'!$B$2:$B$60,"&lt;="&amp;$A125),IF(_xlfn.MINIFS('TP-b'!$B$2:$B$60,'TP-b'!$A$2:$A$60,"FP",'TP-b'!$E$2:$E$60,1)&gt;0,_xlfn.MINIFS('TP-b'!$B$2:$B$60,'TP-b'!$A$2:$A$60,"FP",'TP-b'!$E$2:$E$60,1),"")))</f>
        <v/>
      </c>
      <c r="R125" s="10">
        <f>IF(Q125="","",AVERAGEIFS('TP-b'!$C$2:$C$60,'TP-b'!$A$2:$A$60,"FP",'TP-b'!$B$2:$B$60,Q125,'TP-b'!$E$2:$E$60,1))</f>
        <v/>
      </c>
      <c r="S125" s="10">
        <f>IF(Q125="","",AVERAGEIFS('TP-b'!$D$2:$D$60,'TP-b'!$A$2:$A$60,"FP",'TP-b'!$B$2:$B$60,Q125,'TP-b'!$E$2:$E$60,1))</f>
        <v/>
      </c>
      <c r="T125" s="10">
        <f>IF(OR($A125="",NOT(ISNUMBER($E125)),R125=""),"",ROUND($E125-R125+S125,1))</f>
        <v/>
      </c>
      <c r="U125" s="10">
        <f>IF(AND($F125="Yes",ISNUMBER($G125),R125&lt;&gt;""),ROUND($G125-R125+S125,1),"")</f>
        <v/>
      </c>
      <c r="V125" s="10">
        <f>IF(AND($F125="Yes",ISNUMBER($H125),R125&lt;&gt;""),ROUND($H125-R125+S125,1),"")</f>
        <v/>
      </c>
      <c r="W125" s="10">
        <f>IF(AND(ISNUMBER($E125),ISNUMBER(U125),ISNUMBER(V125)),ROUND((V125-MAX(U125,0))*10,1),"")</f>
        <v/>
      </c>
      <c r="X125" s="10">
        <f>IF(T125="","",IF(AND($F125="Yes",ISNUMBER(V125)),V125,T125))</f>
        <v/>
      </c>
      <c r="Y125" s="10">
        <f>IF(T125="","",ROUND(SUMIFS($W$3:$W$252,$A$3:$A$252,"&lt;="&amp;$A125),1))</f>
        <v/>
      </c>
      <c r="Z125" s="10">
        <f>IF(OR(T125="",$A125=""),"",IF(ISNUMBER(IFERROR(INDEX($X$3:$X$252,MATCH($A125-1,$A$3:$A$252,0)),"")),ROUND((INDEX($X$3:$X$252,MATCH($A125-1,$A$3:$A$252,0))-T125)*10,1),""))</f>
        <v/>
      </c>
      <c r="AA125" s="10">
        <f>IF(ISNUMBER(T125),1,0)</f>
        <v/>
      </c>
      <c r="AB125" s="16">
        <f>IF($A125="","",IF(_xlfn.MAXIFS('TP-b'!$B$2:$B$60,'TP-b'!$A$2:$A$60,"3F4D+MD",'TP-b'!$E$2:$E$60,1,'TP-b'!$B$2:$B$60,"&lt;="&amp;$A125)&gt;0,_xlfn.MAXIFS('TP-b'!$B$2:$B$60,'TP-b'!$A$2:$A$60,"3F4D+MD",'TP-b'!$E$2:$E$60,1,'TP-b'!$B$2:$B$60,"&lt;="&amp;$A125),IF(_xlfn.MINIFS('TP-b'!$B$2:$B$60,'TP-b'!$A$2:$A$60,"3F4D+MD",'TP-b'!$E$2:$E$60,1)&gt;0,_xlfn.MINIFS('TP-b'!$B$2:$B$60,'TP-b'!$A$2:$A$60,"3F4D+MD",'TP-b'!$E$2:$E$60,1),"")))</f>
        <v/>
      </c>
      <c r="AC125" s="10">
        <f>IF(AB125="","",AVERAGEIFS('TP-b'!$C$2:$C$60,'TP-b'!$A$2:$A$60,"3F4D+MD",'TP-b'!$B$2:$B$60,AB125,'TP-b'!$E$2:$E$60,1))</f>
        <v/>
      </c>
      <c r="AD125" s="10">
        <f>IF(AB125="","",AVERAGEIFS('TP-b'!$D$2:$D$60,'TP-b'!$A$2:$A$60,"3F4D+MD",'TP-b'!$B$2:$B$60,AB125,'TP-b'!$E$2:$E$60,1))</f>
        <v/>
      </c>
      <c r="AE125" s="10">
        <f>IF(OR($A125="",NOT(ISNUMBER($J125)),AC125=""),"",ROUND($J125-AC125+AD125,1))</f>
        <v/>
      </c>
      <c r="AF125" s="10">
        <f>IF(AND($K125="Yes",ISNUMBER($L125),AC125&lt;&gt;""),ROUND($L125-AC125+AD125,1),"")</f>
        <v/>
      </c>
      <c r="AG125" s="10">
        <f>IF(AND($K125="Yes",ISNUMBER($M125),AC125&lt;&gt;""),ROUND($M125-AC125+AD125,1),"")</f>
        <v/>
      </c>
      <c r="AH125" s="10">
        <f>IF(AND(ISNUMBER($J125),ISNUMBER(AF125),ISNUMBER(AG125)),ROUND((AG125-MAX(AF125,0))*10,1),"")</f>
        <v/>
      </c>
      <c r="AI125" s="10">
        <f>IF(AE125="","",IF(AND($K125="Yes",ISNUMBER(AG125)),AG125,AE125))</f>
        <v/>
      </c>
      <c r="AJ125" s="10">
        <f>IF(AE125="","",ROUND(SUMIFS($AH$3:$AH$252,$A$3:$A$252,"&lt;="&amp;$A125),1))</f>
        <v/>
      </c>
      <c r="AK125" s="10">
        <f>IF(OR(AE125="",$A125=""),"",IF(ISNUMBER(IFERROR(INDEX($AI$3:$AI$252,MATCH($A125-1,$A$3:$A$252,0)),"")),ROUND((INDEX($AI$3:$AI$252,MATCH($A125-1,$A$3:$A$252,0))-AE125)*10,1),""))</f>
        <v/>
      </c>
      <c r="AL125" s="10">
        <f>IF(ISNUMBER(AE125),1,0)</f>
        <v/>
      </c>
      <c r="AM125" s="17">
        <f>IF($A125="","",IF(COUNTIF($A$3:$A$252,$A125)&gt;1,"same date twice; ","")&amp;IF(AND(ISNUMBER($B125),OR($B125&lt;0,$B125&gt;300)),"rain out of range; ","")&amp;IF(AND(ISNUMBER($C125),OR($C125&lt;0,$C125&gt;45)),"temp out of range; ","")&amp;IF(AND(ISNUMBER($D125),OR($D125&lt;0,$D125&gt;100)),"RH out of range; ",""))</f>
        <v/>
      </c>
      <c r="AN125" s="17">
        <f>IF($A125="","",IF(AND(ISNUMBER(T125),OR(T125&lt;-30,T125&gt;20)),"WL out of range; ","")&amp;IF(AND(ISNUMBER($E125),T125=""),"no TP/b; ","")&amp;IF(AND(ISNUMBER(U125),ISNUMBER(V125)),IF(V125&lt;U125,"After&lt;Before; ",""),"")&amp;IF(AND($F125="Yes",ISNUMBER($E125),W125=""),"irrigation readings missing; ","")&amp;IF(ISNUMBER(Z125),IF(AND(ABS(Z125)&gt;50,NOT(N($B125)&gt;0)),"WL jump &gt;5 cm; ",""),""))</f>
        <v/>
      </c>
      <c r="AO125" s="17">
        <f>IF($A125="","",IF(AND(ISNUMBER(AE125),OR(AE125&lt;-30,AE125&gt;20)),"WL out of range; ","")&amp;IF(AND(ISNUMBER($J125),AE125=""),"no TP/b; ","")&amp;IF(AND(ISNUMBER(AF125),ISNUMBER(AG125)),IF(AG125&lt;AF125,"After&lt;Before; ",""),"")&amp;IF(AND($K125="Yes",ISNUMBER($J125),AH125=""),"irrigation readings missing; ","")&amp;IF(ISNUMBER(AK125),IF(AND(ABS(AK125)&gt;50,NOT(N($B125)&gt;0)),"WL jump &gt;5 cm; ",""),"")&amp;IF(AND(ISNUMBER(PitanE),ISNUMBER(AB125),$A125&gt;PitanE+2,AB125&lt;PitanE),"re-measure TP/b after Pitan; ",""))</f>
        <v/>
      </c>
    </row>
    <row r="126">
      <c r="A126" s="14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0">
        <f>IF(OR($A126="",NOT(ISNUMBER(TransDate))),"",$A126-TransDate)</f>
        <v/>
      </c>
      <c r="Q126" s="16">
        <f>IF($A126="","",IF(_xlfn.MAXIFS('TP-b'!$B$2:$B$60,'TP-b'!$A$2:$A$60,"FP",'TP-b'!$E$2:$E$60,1,'TP-b'!$B$2:$B$60,"&lt;="&amp;$A126)&gt;0,_xlfn.MAXIFS('TP-b'!$B$2:$B$60,'TP-b'!$A$2:$A$60,"FP",'TP-b'!$E$2:$E$60,1,'TP-b'!$B$2:$B$60,"&lt;="&amp;$A126),IF(_xlfn.MINIFS('TP-b'!$B$2:$B$60,'TP-b'!$A$2:$A$60,"FP",'TP-b'!$E$2:$E$60,1)&gt;0,_xlfn.MINIFS('TP-b'!$B$2:$B$60,'TP-b'!$A$2:$A$60,"FP",'TP-b'!$E$2:$E$60,1),"")))</f>
        <v/>
      </c>
      <c r="R126" s="10">
        <f>IF(Q126="","",AVERAGEIFS('TP-b'!$C$2:$C$60,'TP-b'!$A$2:$A$60,"FP",'TP-b'!$B$2:$B$60,Q126,'TP-b'!$E$2:$E$60,1))</f>
        <v/>
      </c>
      <c r="S126" s="10">
        <f>IF(Q126="","",AVERAGEIFS('TP-b'!$D$2:$D$60,'TP-b'!$A$2:$A$60,"FP",'TP-b'!$B$2:$B$60,Q126,'TP-b'!$E$2:$E$60,1))</f>
        <v/>
      </c>
      <c r="T126" s="10">
        <f>IF(OR($A126="",NOT(ISNUMBER($E126)),R126=""),"",ROUND($E126-R126+S126,1))</f>
        <v/>
      </c>
      <c r="U126" s="10">
        <f>IF(AND($F126="Yes",ISNUMBER($G126),R126&lt;&gt;""),ROUND($G126-R126+S126,1),"")</f>
        <v/>
      </c>
      <c r="V126" s="10">
        <f>IF(AND($F126="Yes",ISNUMBER($H126),R126&lt;&gt;""),ROUND($H126-R126+S126,1),"")</f>
        <v/>
      </c>
      <c r="W126" s="10">
        <f>IF(AND(ISNUMBER($E126),ISNUMBER(U126),ISNUMBER(V126)),ROUND((V126-MAX(U126,0))*10,1),"")</f>
        <v/>
      </c>
      <c r="X126" s="10">
        <f>IF(T126="","",IF(AND($F126="Yes",ISNUMBER(V126)),V126,T126))</f>
        <v/>
      </c>
      <c r="Y126" s="10">
        <f>IF(T126="","",ROUND(SUMIFS($W$3:$W$252,$A$3:$A$252,"&lt;="&amp;$A126),1))</f>
        <v/>
      </c>
      <c r="Z126" s="10">
        <f>IF(OR(T126="",$A126=""),"",IF(ISNUMBER(IFERROR(INDEX($X$3:$X$252,MATCH($A126-1,$A$3:$A$252,0)),"")),ROUND((INDEX($X$3:$X$252,MATCH($A126-1,$A$3:$A$252,0))-T126)*10,1),""))</f>
        <v/>
      </c>
      <c r="AA126" s="10">
        <f>IF(ISNUMBER(T126),1,0)</f>
        <v/>
      </c>
      <c r="AB126" s="16">
        <f>IF($A126="","",IF(_xlfn.MAXIFS('TP-b'!$B$2:$B$60,'TP-b'!$A$2:$A$60,"3F4D+MD",'TP-b'!$E$2:$E$60,1,'TP-b'!$B$2:$B$60,"&lt;="&amp;$A126)&gt;0,_xlfn.MAXIFS('TP-b'!$B$2:$B$60,'TP-b'!$A$2:$A$60,"3F4D+MD",'TP-b'!$E$2:$E$60,1,'TP-b'!$B$2:$B$60,"&lt;="&amp;$A126),IF(_xlfn.MINIFS('TP-b'!$B$2:$B$60,'TP-b'!$A$2:$A$60,"3F4D+MD",'TP-b'!$E$2:$E$60,1)&gt;0,_xlfn.MINIFS('TP-b'!$B$2:$B$60,'TP-b'!$A$2:$A$60,"3F4D+MD",'TP-b'!$E$2:$E$60,1),"")))</f>
        <v/>
      </c>
      <c r="AC126" s="10">
        <f>IF(AB126="","",AVERAGEIFS('TP-b'!$C$2:$C$60,'TP-b'!$A$2:$A$60,"3F4D+MD",'TP-b'!$B$2:$B$60,AB126,'TP-b'!$E$2:$E$60,1))</f>
        <v/>
      </c>
      <c r="AD126" s="10">
        <f>IF(AB126="","",AVERAGEIFS('TP-b'!$D$2:$D$60,'TP-b'!$A$2:$A$60,"3F4D+MD",'TP-b'!$B$2:$B$60,AB126,'TP-b'!$E$2:$E$60,1))</f>
        <v/>
      </c>
      <c r="AE126" s="10">
        <f>IF(OR($A126="",NOT(ISNUMBER($J126)),AC126=""),"",ROUND($J126-AC126+AD126,1))</f>
        <v/>
      </c>
      <c r="AF126" s="10">
        <f>IF(AND($K126="Yes",ISNUMBER($L126),AC126&lt;&gt;""),ROUND($L126-AC126+AD126,1),"")</f>
        <v/>
      </c>
      <c r="AG126" s="10">
        <f>IF(AND($K126="Yes",ISNUMBER($M126),AC126&lt;&gt;""),ROUND($M126-AC126+AD126,1),"")</f>
        <v/>
      </c>
      <c r="AH126" s="10">
        <f>IF(AND(ISNUMBER($J126),ISNUMBER(AF126),ISNUMBER(AG126)),ROUND((AG126-MAX(AF126,0))*10,1),"")</f>
        <v/>
      </c>
      <c r="AI126" s="10">
        <f>IF(AE126="","",IF(AND($K126="Yes",ISNUMBER(AG126)),AG126,AE126))</f>
        <v/>
      </c>
      <c r="AJ126" s="10">
        <f>IF(AE126="","",ROUND(SUMIFS($AH$3:$AH$252,$A$3:$A$252,"&lt;="&amp;$A126),1))</f>
        <v/>
      </c>
      <c r="AK126" s="10">
        <f>IF(OR(AE126="",$A126=""),"",IF(ISNUMBER(IFERROR(INDEX($AI$3:$AI$252,MATCH($A126-1,$A$3:$A$252,0)),"")),ROUND((INDEX($AI$3:$AI$252,MATCH($A126-1,$A$3:$A$252,0))-AE126)*10,1),""))</f>
        <v/>
      </c>
      <c r="AL126" s="10">
        <f>IF(ISNUMBER(AE126),1,0)</f>
        <v/>
      </c>
      <c r="AM126" s="17">
        <f>IF($A126="","",IF(COUNTIF($A$3:$A$252,$A126)&gt;1,"same date twice; ","")&amp;IF(AND(ISNUMBER($B126),OR($B126&lt;0,$B126&gt;300)),"rain out of range; ","")&amp;IF(AND(ISNUMBER($C126),OR($C126&lt;0,$C126&gt;45)),"temp out of range; ","")&amp;IF(AND(ISNUMBER($D126),OR($D126&lt;0,$D126&gt;100)),"RH out of range; ",""))</f>
        <v/>
      </c>
      <c r="AN126" s="17">
        <f>IF($A126="","",IF(AND(ISNUMBER(T126),OR(T126&lt;-30,T126&gt;20)),"WL out of range; ","")&amp;IF(AND(ISNUMBER($E126),T126=""),"no TP/b; ","")&amp;IF(AND(ISNUMBER(U126),ISNUMBER(V126)),IF(V126&lt;U126,"After&lt;Before; ",""),"")&amp;IF(AND($F126="Yes",ISNUMBER($E126),W126=""),"irrigation readings missing; ","")&amp;IF(ISNUMBER(Z126),IF(AND(ABS(Z126)&gt;50,NOT(N($B126)&gt;0)),"WL jump &gt;5 cm; ",""),""))</f>
        <v/>
      </c>
      <c r="AO126" s="17">
        <f>IF($A126="","",IF(AND(ISNUMBER(AE126),OR(AE126&lt;-30,AE126&gt;20)),"WL out of range; ","")&amp;IF(AND(ISNUMBER($J126),AE126=""),"no TP/b; ","")&amp;IF(AND(ISNUMBER(AF126),ISNUMBER(AG126)),IF(AG126&lt;AF126,"After&lt;Before; ",""),"")&amp;IF(AND($K126="Yes",ISNUMBER($J126),AH126=""),"irrigation readings missing; ","")&amp;IF(ISNUMBER(AK126),IF(AND(ABS(AK126)&gt;50,NOT(N($B126)&gt;0)),"WL jump &gt;5 cm; ",""),"")&amp;IF(AND(ISNUMBER(PitanE),ISNUMBER(AB126),$A126&gt;PitanE+2,AB126&lt;PitanE),"re-measure TP/b after Pitan; ",""))</f>
        <v/>
      </c>
    </row>
    <row r="127">
      <c r="A127" s="14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0">
        <f>IF(OR($A127="",NOT(ISNUMBER(TransDate))),"",$A127-TransDate)</f>
        <v/>
      </c>
      <c r="Q127" s="16">
        <f>IF($A127="","",IF(_xlfn.MAXIFS('TP-b'!$B$2:$B$60,'TP-b'!$A$2:$A$60,"FP",'TP-b'!$E$2:$E$60,1,'TP-b'!$B$2:$B$60,"&lt;="&amp;$A127)&gt;0,_xlfn.MAXIFS('TP-b'!$B$2:$B$60,'TP-b'!$A$2:$A$60,"FP",'TP-b'!$E$2:$E$60,1,'TP-b'!$B$2:$B$60,"&lt;="&amp;$A127),IF(_xlfn.MINIFS('TP-b'!$B$2:$B$60,'TP-b'!$A$2:$A$60,"FP",'TP-b'!$E$2:$E$60,1)&gt;0,_xlfn.MINIFS('TP-b'!$B$2:$B$60,'TP-b'!$A$2:$A$60,"FP",'TP-b'!$E$2:$E$60,1),"")))</f>
        <v/>
      </c>
      <c r="R127" s="10">
        <f>IF(Q127="","",AVERAGEIFS('TP-b'!$C$2:$C$60,'TP-b'!$A$2:$A$60,"FP",'TP-b'!$B$2:$B$60,Q127,'TP-b'!$E$2:$E$60,1))</f>
        <v/>
      </c>
      <c r="S127" s="10">
        <f>IF(Q127="","",AVERAGEIFS('TP-b'!$D$2:$D$60,'TP-b'!$A$2:$A$60,"FP",'TP-b'!$B$2:$B$60,Q127,'TP-b'!$E$2:$E$60,1))</f>
        <v/>
      </c>
      <c r="T127" s="10">
        <f>IF(OR($A127="",NOT(ISNUMBER($E127)),R127=""),"",ROUND($E127-R127+S127,1))</f>
        <v/>
      </c>
      <c r="U127" s="10">
        <f>IF(AND($F127="Yes",ISNUMBER($G127),R127&lt;&gt;""),ROUND($G127-R127+S127,1),"")</f>
        <v/>
      </c>
      <c r="V127" s="10">
        <f>IF(AND($F127="Yes",ISNUMBER($H127),R127&lt;&gt;""),ROUND($H127-R127+S127,1),"")</f>
        <v/>
      </c>
      <c r="W127" s="10">
        <f>IF(AND(ISNUMBER($E127),ISNUMBER(U127),ISNUMBER(V127)),ROUND((V127-MAX(U127,0))*10,1),"")</f>
        <v/>
      </c>
      <c r="X127" s="10">
        <f>IF(T127="","",IF(AND($F127="Yes",ISNUMBER(V127)),V127,T127))</f>
        <v/>
      </c>
      <c r="Y127" s="10">
        <f>IF(T127="","",ROUND(SUMIFS($W$3:$W$252,$A$3:$A$252,"&lt;="&amp;$A127),1))</f>
        <v/>
      </c>
      <c r="Z127" s="10">
        <f>IF(OR(T127="",$A127=""),"",IF(ISNUMBER(IFERROR(INDEX($X$3:$X$252,MATCH($A127-1,$A$3:$A$252,0)),"")),ROUND((INDEX($X$3:$X$252,MATCH($A127-1,$A$3:$A$252,0))-T127)*10,1),""))</f>
        <v/>
      </c>
      <c r="AA127" s="10">
        <f>IF(ISNUMBER(T127),1,0)</f>
        <v/>
      </c>
      <c r="AB127" s="16">
        <f>IF($A127="","",IF(_xlfn.MAXIFS('TP-b'!$B$2:$B$60,'TP-b'!$A$2:$A$60,"3F4D+MD",'TP-b'!$E$2:$E$60,1,'TP-b'!$B$2:$B$60,"&lt;="&amp;$A127)&gt;0,_xlfn.MAXIFS('TP-b'!$B$2:$B$60,'TP-b'!$A$2:$A$60,"3F4D+MD",'TP-b'!$E$2:$E$60,1,'TP-b'!$B$2:$B$60,"&lt;="&amp;$A127),IF(_xlfn.MINIFS('TP-b'!$B$2:$B$60,'TP-b'!$A$2:$A$60,"3F4D+MD",'TP-b'!$E$2:$E$60,1)&gt;0,_xlfn.MINIFS('TP-b'!$B$2:$B$60,'TP-b'!$A$2:$A$60,"3F4D+MD",'TP-b'!$E$2:$E$60,1),"")))</f>
        <v/>
      </c>
      <c r="AC127" s="10">
        <f>IF(AB127="","",AVERAGEIFS('TP-b'!$C$2:$C$60,'TP-b'!$A$2:$A$60,"3F4D+MD",'TP-b'!$B$2:$B$60,AB127,'TP-b'!$E$2:$E$60,1))</f>
        <v/>
      </c>
      <c r="AD127" s="10">
        <f>IF(AB127="","",AVERAGEIFS('TP-b'!$D$2:$D$60,'TP-b'!$A$2:$A$60,"3F4D+MD",'TP-b'!$B$2:$B$60,AB127,'TP-b'!$E$2:$E$60,1))</f>
        <v/>
      </c>
      <c r="AE127" s="10">
        <f>IF(OR($A127="",NOT(ISNUMBER($J127)),AC127=""),"",ROUND($J127-AC127+AD127,1))</f>
        <v/>
      </c>
      <c r="AF127" s="10">
        <f>IF(AND($K127="Yes",ISNUMBER($L127),AC127&lt;&gt;""),ROUND($L127-AC127+AD127,1),"")</f>
        <v/>
      </c>
      <c r="AG127" s="10">
        <f>IF(AND($K127="Yes",ISNUMBER($M127),AC127&lt;&gt;""),ROUND($M127-AC127+AD127,1),"")</f>
        <v/>
      </c>
      <c r="AH127" s="10">
        <f>IF(AND(ISNUMBER($J127),ISNUMBER(AF127),ISNUMBER(AG127)),ROUND((AG127-MAX(AF127,0))*10,1),"")</f>
        <v/>
      </c>
      <c r="AI127" s="10">
        <f>IF(AE127="","",IF(AND($K127="Yes",ISNUMBER(AG127)),AG127,AE127))</f>
        <v/>
      </c>
      <c r="AJ127" s="10">
        <f>IF(AE127="","",ROUND(SUMIFS($AH$3:$AH$252,$A$3:$A$252,"&lt;="&amp;$A127),1))</f>
        <v/>
      </c>
      <c r="AK127" s="10">
        <f>IF(OR(AE127="",$A127=""),"",IF(ISNUMBER(IFERROR(INDEX($AI$3:$AI$252,MATCH($A127-1,$A$3:$A$252,0)),"")),ROUND((INDEX($AI$3:$AI$252,MATCH($A127-1,$A$3:$A$252,0))-AE127)*10,1),""))</f>
        <v/>
      </c>
      <c r="AL127" s="10">
        <f>IF(ISNUMBER(AE127),1,0)</f>
        <v/>
      </c>
      <c r="AM127" s="17">
        <f>IF($A127="","",IF(COUNTIF($A$3:$A$252,$A127)&gt;1,"same date twice; ","")&amp;IF(AND(ISNUMBER($B127),OR($B127&lt;0,$B127&gt;300)),"rain out of range; ","")&amp;IF(AND(ISNUMBER($C127),OR($C127&lt;0,$C127&gt;45)),"temp out of range; ","")&amp;IF(AND(ISNUMBER($D127),OR($D127&lt;0,$D127&gt;100)),"RH out of range; ",""))</f>
        <v/>
      </c>
      <c r="AN127" s="17">
        <f>IF($A127="","",IF(AND(ISNUMBER(T127),OR(T127&lt;-30,T127&gt;20)),"WL out of range; ","")&amp;IF(AND(ISNUMBER($E127),T127=""),"no TP/b; ","")&amp;IF(AND(ISNUMBER(U127),ISNUMBER(V127)),IF(V127&lt;U127,"After&lt;Before; ",""),"")&amp;IF(AND($F127="Yes",ISNUMBER($E127),W127=""),"irrigation readings missing; ","")&amp;IF(ISNUMBER(Z127),IF(AND(ABS(Z127)&gt;50,NOT(N($B127)&gt;0)),"WL jump &gt;5 cm; ",""),""))</f>
        <v/>
      </c>
      <c r="AO127" s="17">
        <f>IF($A127="","",IF(AND(ISNUMBER(AE127),OR(AE127&lt;-30,AE127&gt;20)),"WL out of range; ","")&amp;IF(AND(ISNUMBER($J127),AE127=""),"no TP/b; ","")&amp;IF(AND(ISNUMBER(AF127),ISNUMBER(AG127)),IF(AG127&lt;AF127,"After&lt;Before; ",""),"")&amp;IF(AND($K127="Yes",ISNUMBER($J127),AH127=""),"irrigation readings missing; ","")&amp;IF(ISNUMBER(AK127),IF(AND(ABS(AK127)&gt;50,NOT(N($B127)&gt;0)),"WL jump &gt;5 cm; ",""),"")&amp;IF(AND(ISNUMBER(PitanE),ISNUMBER(AB127),$A127&gt;PitanE+2,AB127&lt;PitanE),"re-measure TP/b after Pitan; ",""))</f>
        <v/>
      </c>
    </row>
    <row r="128">
      <c r="A128" s="14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0">
        <f>IF(OR($A128="",NOT(ISNUMBER(TransDate))),"",$A128-TransDate)</f>
        <v/>
      </c>
      <c r="Q128" s="16">
        <f>IF($A128="","",IF(_xlfn.MAXIFS('TP-b'!$B$2:$B$60,'TP-b'!$A$2:$A$60,"FP",'TP-b'!$E$2:$E$60,1,'TP-b'!$B$2:$B$60,"&lt;="&amp;$A128)&gt;0,_xlfn.MAXIFS('TP-b'!$B$2:$B$60,'TP-b'!$A$2:$A$60,"FP",'TP-b'!$E$2:$E$60,1,'TP-b'!$B$2:$B$60,"&lt;="&amp;$A128),IF(_xlfn.MINIFS('TP-b'!$B$2:$B$60,'TP-b'!$A$2:$A$60,"FP",'TP-b'!$E$2:$E$60,1)&gt;0,_xlfn.MINIFS('TP-b'!$B$2:$B$60,'TP-b'!$A$2:$A$60,"FP",'TP-b'!$E$2:$E$60,1),"")))</f>
        <v/>
      </c>
      <c r="R128" s="10">
        <f>IF(Q128="","",AVERAGEIFS('TP-b'!$C$2:$C$60,'TP-b'!$A$2:$A$60,"FP",'TP-b'!$B$2:$B$60,Q128,'TP-b'!$E$2:$E$60,1))</f>
        <v/>
      </c>
      <c r="S128" s="10">
        <f>IF(Q128="","",AVERAGEIFS('TP-b'!$D$2:$D$60,'TP-b'!$A$2:$A$60,"FP",'TP-b'!$B$2:$B$60,Q128,'TP-b'!$E$2:$E$60,1))</f>
        <v/>
      </c>
      <c r="T128" s="10">
        <f>IF(OR($A128="",NOT(ISNUMBER($E128)),R128=""),"",ROUND($E128-R128+S128,1))</f>
        <v/>
      </c>
      <c r="U128" s="10">
        <f>IF(AND($F128="Yes",ISNUMBER($G128),R128&lt;&gt;""),ROUND($G128-R128+S128,1),"")</f>
        <v/>
      </c>
      <c r="V128" s="10">
        <f>IF(AND($F128="Yes",ISNUMBER($H128),R128&lt;&gt;""),ROUND($H128-R128+S128,1),"")</f>
        <v/>
      </c>
      <c r="W128" s="10">
        <f>IF(AND(ISNUMBER($E128),ISNUMBER(U128),ISNUMBER(V128)),ROUND((V128-MAX(U128,0))*10,1),"")</f>
        <v/>
      </c>
      <c r="X128" s="10">
        <f>IF(T128="","",IF(AND($F128="Yes",ISNUMBER(V128)),V128,T128))</f>
        <v/>
      </c>
      <c r="Y128" s="10">
        <f>IF(T128="","",ROUND(SUMIFS($W$3:$W$252,$A$3:$A$252,"&lt;="&amp;$A128),1))</f>
        <v/>
      </c>
      <c r="Z128" s="10">
        <f>IF(OR(T128="",$A128=""),"",IF(ISNUMBER(IFERROR(INDEX($X$3:$X$252,MATCH($A128-1,$A$3:$A$252,0)),"")),ROUND((INDEX($X$3:$X$252,MATCH($A128-1,$A$3:$A$252,0))-T128)*10,1),""))</f>
        <v/>
      </c>
      <c r="AA128" s="10">
        <f>IF(ISNUMBER(T128),1,0)</f>
        <v/>
      </c>
      <c r="AB128" s="16">
        <f>IF($A128="","",IF(_xlfn.MAXIFS('TP-b'!$B$2:$B$60,'TP-b'!$A$2:$A$60,"3F4D+MD",'TP-b'!$E$2:$E$60,1,'TP-b'!$B$2:$B$60,"&lt;="&amp;$A128)&gt;0,_xlfn.MAXIFS('TP-b'!$B$2:$B$60,'TP-b'!$A$2:$A$60,"3F4D+MD",'TP-b'!$E$2:$E$60,1,'TP-b'!$B$2:$B$60,"&lt;="&amp;$A128),IF(_xlfn.MINIFS('TP-b'!$B$2:$B$60,'TP-b'!$A$2:$A$60,"3F4D+MD",'TP-b'!$E$2:$E$60,1)&gt;0,_xlfn.MINIFS('TP-b'!$B$2:$B$60,'TP-b'!$A$2:$A$60,"3F4D+MD",'TP-b'!$E$2:$E$60,1),"")))</f>
        <v/>
      </c>
      <c r="AC128" s="10">
        <f>IF(AB128="","",AVERAGEIFS('TP-b'!$C$2:$C$60,'TP-b'!$A$2:$A$60,"3F4D+MD",'TP-b'!$B$2:$B$60,AB128,'TP-b'!$E$2:$E$60,1))</f>
        <v/>
      </c>
      <c r="AD128" s="10">
        <f>IF(AB128="","",AVERAGEIFS('TP-b'!$D$2:$D$60,'TP-b'!$A$2:$A$60,"3F4D+MD",'TP-b'!$B$2:$B$60,AB128,'TP-b'!$E$2:$E$60,1))</f>
        <v/>
      </c>
      <c r="AE128" s="10">
        <f>IF(OR($A128="",NOT(ISNUMBER($J128)),AC128=""),"",ROUND($J128-AC128+AD128,1))</f>
        <v/>
      </c>
      <c r="AF128" s="10">
        <f>IF(AND($K128="Yes",ISNUMBER($L128),AC128&lt;&gt;""),ROUND($L128-AC128+AD128,1),"")</f>
        <v/>
      </c>
      <c r="AG128" s="10">
        <f>IF(AND($K128="Yes",ISNUMBER($M128),AC128&lt;&gt;""),ROUND($M128-AC128+AD128,1),"")</f>
        <v/>
      </c>
      <c r="AH128" s="10">
        <f>IF(AND(ISNUMBER($J128),ISNUMBER(AF128),ISNUMBER(AG128)),ROUND((AG128-MAX(AF128,0))*10,1),"")</f>
        <v/>
      </c>
      <c r="AI128" s="10">
        <f>IF(AE128="","",IF(AND($K128="Yes",ISNUMBER(AG128)),AG128,AE128))</f>
        <v/>
      </c>
      <c r="AJ128" s="10">
        <f>IF(AE128="","",ROUND(SUMIFS($AH$3:$AH$252,$A$3:$A$252,"&lt;="&amp;$A128),1))</f>
        <v/>
      </c>
      <c r="AK128" s="10">
        <f>IF(OR(AE128="",$A128=""),"",IF(ISNUMBER(IFERROR(INDEX($AI$3:$AI$252,MATCH($A128-1,$A$3:$A$252,0)),"")),ROUND((INDEX($AI$3:$AI$252,MATCH($A128-1,$A$3:$A$252,0))-AE128)*10,1),""))</f>
        <v/>
      </c>
      <c r="AL128" s="10">
        <f>IF(ISNUMBER(AE128),1,0)</f>
        <v/>
      </c>
      <c r="AM128" s="17">
        <f>IF($A128="","",IF(COUNTIF($A$3:$A$252,$A128)&gt;1,"same date twice; ","")&amp;IF(AND(ISNUMBER($B128),OR($B128&lt;0,$B128&gt;300)),"rain out of range; ","")&amp;IF(AND(ISNUMBER($C128),OR($C128&lt;0,$C128&gt;45)),"temp out of range; ","")&amp;IF(AND(ISNUMBER($D128),OR($D128&lt;0,$D128&gt;100)),"RH out of range; ",""))</f>
        <v/>
      </c>
      <c r="AN128" s="17">
        <f>IF($A128="","",IF(AND(ISNUMBER(T128),OR(T128&lt;-30,T128&gt;20)),"WL out of range; ","")&amp;IF(AND(ISNUMBER($E128),T128=""),"no TP/b; ","")&amp;IF(AND(ISNUMBER(U128),ISNUMBER(V128)),IF(V128&lt;U128,"After&lt;Before; ",""),"")&amp;IF(AND($F128="Yes",ISNUMBER($E128),W128=""),"irrigation readings missing; ","")&amp;IF(ISNUMBER(Z128),IF(AND(ABS(Z128)&gt;50,NOT(N($B128)&gt;0)),"WL jump &gt;5 cm; ",""),""))</f>
        <v/>
      </c>
      <c r="AO128" s="17">
        <f>IF($A128="","",IF(AND(ISNUMBER(AE128),OR(AE128&lt;-30,AE128&gt;20)),"WL out of range; ","")&amp;IF(AND(ISNUMBER($J128),AE128=""),"no TP/b; ","")&amp;IF(AND(ISNUMBER(AF128),ISNUMBER(AG128)),IF(AG128&lt;AF128,"After&lt;Before; ",""),"")&amp;IF(AND($K128="Yes",ISNUMBER($J128),AH128=""),"irrigation readings missing; ","")&amp;IF(ISNUMBER(AK128),IF(AND(ABS(AK128)&gt;50,NOT(N($B128)&gt;0)),"WL jump &gt;5 cm; ",""),"")&amp;IF(AND(ISNUMBER(PitanE),ISNUMBER(AB128),$A128&gt;PitanE+2,AB128&lt;PitanE),"re-measure TP/b after Pitan; ",""))</f>
        <v/>
      </c>
    </row>
    <row r="129">
      <c r="A129" s="14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0">
        <f>IF(OR($A129="",NOT(ISNUMBER(TransDate))),"",$A129-TransDate)</f>
        <v/>
      </c>
      <c r="Q129" s="16">
        <f>IF($A129="","",IF(_xlfn.MAXIFS('TP-b'!$B$2:$B$60,'TP-b'!$A$2:$A$60,"FP",'TP-b'!$E$2:$E$60,1,'TP-b'!$B$2:$B$60,"&lt;="&amp;$A129)&gt;0,_xlfn.MAXIFS('TP-b'!$B$2:$B$60,'TP-b'!$A$2:$A$60,"FP",'TP-b'!$E$2:$E$60,1,'TP-b'!$B$2:$B$60,"&lt;="&amp;$A129),IF(_xlfn.MINIFS('TP-b'!$B$2:$B$60,'TP-b'!$A$2:$A$60,"FP",'TP-b'!$E$2:$E$60,1)&gt;0,_xlfn.MINIFS('TP-b'!$B$2:$B$60,'TP-b'!$A$2:$A$60,"FP",'TP-b'!$E$2:$E$60,1),"")))</f>
        <v/>
      </c>
      <c r="R129" s="10">
        <f>IF(Q129="","",AVERAGEIFS('TP-b'!$C$2:$C$60,'TP-b'!$A$2:$A$60,"FP",'TP-b'!$B$2:$B$60,Q129,'TP-b'!$E$2:$E$60,1))</f>
        <v/>
      </c>
      <c r="S129" s="10">
        <f>IF(Q129="","",AVERAGEIFS('TP-b'!$D$2:$D$60,'TP-b'!$A$2:$A$60,"FP",'TP-b'!$B$2:$B$60,Q129,'TP-b'!$E$2:$E$60,1))</f>
        <v/>
      </c>
      <c r="T129" s="10">
        <f>IF(OR($A129="",NOT(ISNUMBER($E129)),R129=""),"",ROUND($E129-R129+S129,1))</f>
        <v/>
      </c>
      <c r="U129" s="10">
        <f>IF(AND($F129="Yes",ISNUMBER($G129),R129&lt;&gt;""),ROUND($G129-R129+S129,1),"")</f>
        <v/>
      </c>
      <c r="V129" s="10">
        <f>IF(AND($F129="Yes",ISNUMBER($H129),R129&lt;&gt;""),ROUND($H129-R129+S129,1),"")</f>
        <v/>
      </c>
      <c r="W129" s="10">
        <f>IF(AND(ISNUMBER($E129),ISNUMBER(U129),ISNUMBER(V129)),ROUND((V129-MAX(U129,0))*10,1),"")</f>
        <v/>
      </c>
      <c r="X129" s="10">
        <f>IF(T129="","",IF(AND($F129="Yes",ISNUMBER(V129)),V129,T129))</f>
        <v/>
      </c>
      <c r="Y129" s="10">
        <f>IF(T129="","",ROUND(SUMIFS($W$3:$W$252,$A$3:$A$252,"&lt;="&amp;$A129),1))</f>
        <v/>
      </c>
      <c r="Z129" s="10">
        <f>IF(OR(T129="",$A129=""),"",IF(ISNUMBER(IFERROR(INDEX($X$3:$X$252,MATCH($A129-1,$A$3:$A$252,0)),"")),ROUND((INDEX($X$3:$X$252,MATCH($A129-1,$A$3:$A$252,0))-T129)*10,1),""))</f>
        <v/>
      </c>
      <c r="AA129" s="10">
        <f>IF(ISNUMBER(T129),1,0)</f>
        <v/>
      </c>
      <c r="AB129" s="16">
        <f>IF($A129="","",IF(_xlfn.MAXIFS('TP-b'!$B$2:$B$60,'TP-b'!$A$2:$A$60,"3F4D+MD",'TP-b'!$E$2:$E$60,1,'TP-b'!$B$2:$B$60,"&lt;="&amp;$A129)&gt;0,_xlfn.MAXIFS('TP-b'!$B$2:$B$60,'TP-b'!$A$2:$A$60,"3F4D+MD",'TP-b'!$E$2:$E$60,1,'TP-b'!$B$2:$B$60,"&lt;="&amp;$A129),IF(_xlfn.MINIFS('TP-b'!$B$2:$B$60,'TP-b'!$A$2:$A$60,"3F4D+MD",'TP-b'!$E$2:$E$60,1)&gt;0,_xlfn.MINIFS('TP-b'!$B$2:$B$60,'TP-b'!$A$2:$A$60,"3F4D+MD",'TP-b'!$E$2:$E$60,1),"")))</f>
        <v/>
      </c>
      <c r="AC129" s="10">
        <f>IF(AB129="","",AVERAGEIFS('TP-b'!$C$2:$C$60,'TP-b'!$A$2:$A$60,"3F4D+MD",'TP-b'!$B$2:$B$60,AB129,'TP-b'!$E$2:$E$60,1))</f>
        <v/>
      </c>
      <c r="AD129" s="10">
        <f>IF(AB129="","",AVERAGEIFS('TP-b'!$D$2:$D$60,'TP-b'!$A$2:$A$60,"3F4D+MD",'TP-b'!$B$2:$B$60,AB129,'TP-b'!$E$2:$E$60,1))</f>
        <v/>
      </c>
      <c r="AE129" s="10">
        <f>IF(OR($A129="",NOT(ISNUMBER($J129)),AC129=""),"",ROUND($J129-AC129+AD129,1))</f>
        <v/>
      </c>
      <c r="AF129" s="10">
        <f>IF(AND($K129="Yes",ISNUMBER($L129),AC129&lt;&gt;""),ROUND($L129-AC129+AD129,1),"")</f>
        <v/>
      </c>
      <c r="AG129" s="10">
        <f>IF(AND($K129="Yes",ISNUMBER($M129),AC129&lt;&gt;""),ROUND($M129-AC129+AD129,1),"")</f>
        <v/>
      </c>
      <c r="AH129" s="10">
        <f>IF(AND(ISNUMBER($J129),ISNUMBER(AF129),ISNUMBER(AG129)),ROUND((AG129-MAX(AF129,0))*10,1),"")</f>
        <v/>
      </c>
      <c r="AI129" s="10">
        <f>IF(AE129="","",IF(AND($K129="Yes",ISNUMBER(AG129)),AG129,AE129))</f>
        <v/>
      </c>
      <c r="AJ129" s="10">
        <f>IF(AE129="","",ROUND(SUMIFS($AH$3:$AH$252,$A$3:$A$252,"&lt;="&amp;$A129),1))</f>
        <v/>
      </c>
      <c r="AK129" s="10">
        <f>IF(OR(AE129="",$A129=""),"",IF(ISNUMBER(IFERROR(INDEX($AI$3:$AI$252,MATCH($A129-1,$A$3:$A$252,0)),"")),ROUND((INDEX($AI$3:$AI$252,MATCH($A129-1,$A$3:$A$252,0))-AE129)*10,1),""))</f>
        <v/>
      </c>
      <c r="AL129" s="10">
        <f>IF(ISNUMBER(AE129),1,0)</f>
        <v/>
      </c>
      <c r="AM129" s="17">
        <f>IF($A129="","",IF(COUNTIF($A$3:$A$252,$A129)&gt;1,"same date twice; ","")&amp;IF(AND(ISNUMBER($B129),OR($B129&lt;0,$B129&gt;300)),"rain out of range; ","")&amp;IF(AND(ISNUMBER($C129),OR($C129&lt;0,$C129&gt;45)),"temp out of range; ","")&amp;IF(AND(ISNUMBER($D129),OR($D129&lt;0,$D129&gt;100)),"RH out of range; ",""))</f>
        <v/>
      </c>
      <c r="AN129" s="17">
        <f>IF($A129="","",IF(AND(ISNUMBER(T129),OR(T129&lt;-30,T129&gt;20)),"WL out of range; ","")&amp;IF(AND(ISNUMBER($E129),T129=""),"no TP/b; ","")&amp;IF(AND(ISNUMBER(U129),ISNUMBER(V129)),IF(V129&lt;U129,"After&lt;Before; ",""),"")&amp;IF(AND($F129="Yes",ISNUMBER($E129),W129=""),"irrigation readings missing; ","")&amp;IF(ISNUMBER(Z129),IF(AND(ABS(Z129)&gt;50,NOT(N($B129)&gt;0)),"WL jump &gt;5 cm; ",""),""))</f>
        <v/>
      </c>
      <c r="AO129" s="17">
        <f>IF($A129="","",IF(AND(ISNUMBER(AE129),OR(AE129&lt;-30,AE129&gt;20)),"WL out of range; ","")&amp;IF(AND(ISNUMBER($J129),AE129=""),"no TP/b; ","")&amp;IF(AND(ISNUMBER(AF129),ISNUMBER(AG129)),IF(AG129&lt;AF129,"After&lt;Before; ",""),"")&amp;IF(AND($K129="Yes",ISNUMBER($J129),AH129=""),"irrigation readings missing; ","")&amp;IF(ISNUMBER(AK129),IF(AND(ABS(AK129)&gt;50,NOT(N($B129)&gt;0)),"WL jump &gt;5 cm; ",""),"")&amp;IF(AND(ISNUMBER(PitanE),ISNUMBER(AB129),$A129&gt;PitanE+2,AB129&lt;PitanE),"re-measure TP/b after Pitan; ",""))</f>
        <v/>
      </c>
    </row>
    <row r="130">
      <c r="A130" s="14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0">
        <f>IF(OR($A130="",NOT(ISNUMBER(TransDate))),"",$A130-TransDate)</f>
        <v/>
      </c>
      <c r="Q130" s="16">
        <f>IF($A130="","",IF(_xlfn.MAXIFS('TP-b'!$B$2:$B$60,'TP-b'!$A$2:$A$60,"FP",'TP-b'!$E$2:$E$60,1,'TP-b'!$B$2:$B$60,"&lt;="&amp;$A130)&gt;0,_xlfn.MAXIFS('TP-b'!$B$2:$B$60,'TP-b'!$A$2:$A$60,"FP",'TP-b'!$E$2:$E$60,1,'TP-b'!$B$2:$B$60,"&lt;="&amp;$A130),IF(_xlfn.MINIFS('TP-b'!$B$2:$B$60,'TP-b'!$A$2:$A$60,"FP",'TP-b'!$E$2:$E$60,1)&gt;0,_xlfn.MINIFS('TP-b'!$B$2:$B$60,'TP-b'!$A$2:$A$60,"FP",'TP-b'!$E$2:$E$60,1),"")))</f>
        <v/>
      </c>
      <c r="R130" s="10">
        <f>IF(Q130="","",AVERAGEIFS('TP-b'!$C$2:$C$60,'TP-b'!$A$2:$A$60,"FP",'TP-b'!$B$2:$B$60,Q130,'TP-b'!$E$2:$E$60,1))</f>
        <v/>
      </c>
      <c r="S130" s="10">
        <f>IF(Q130="","",AVERAGEIFS('TP-b'!$D$2:$D$60,'TP-b'!$A$2:$A$60,"FP",'TP-b'!$B$2:$B$60,Q130,'TP-b'!$E$2:$E$60,1))</f>
        <v/>
      </c>
      <c r="T130" s="10">
        <f>IF(OR($A130="",NOT(ISNUMBER($E130)),R130=""),"",ROUND($E130-R130+S130,1))</f>
        <v/>
      </c>
      <c r="U130" s="10">
        <f>IF(AND($F130="Yes",ISNUMBER($G130),R130&lt;&gt;""),ROUND($G130-R130+S130,1),"")</f>
        <v/>
      </c>
      <c r="V130" s="10">
        <f>IF(AND($F130="Yes",ISNUMBER($H130),R130&lt;&gt;""),ROUND($H130-R130+S130,1),"")</f>
        <v/>
      </c>
      <c r="W130" s="10">
        <f>IF(AND(ISNUMBER($E130),ISNUMBER(U130),ISNUMBER(V130)),ROUND((V130-MAX(U130,0))*10,1),"")</f>
        <v/>
      </c>
      <c r="X130" s="10">
        <f>IF(T130="","",IF(AND($F130="Yes",ISNUMBER(V130)),V130,T130))</f>
        <v/>
      </c>
      <c r="Y130" s="10">
        <f>IF(T130="","",ROUND(SUMIFS($W$3:$W$252,$A$3:$A$252,"&lt;="&amp;$A130),1))</f>
        <v/>
      </c>
      <c r="Z130" s="10">
        <f>IF(OR(T130="",$A130=""),"",IF(ISNUMBER(IFERROR(INDEX($X$3:$X$252,MATCH($A130-1,$A$3:$A$252,0)),"")),ROUND((INDEX($X$3:$X$252,MATCH($A130-1,$A$3:$A$252,0))-T130)*10,1),""))</f>
        <v/>
      </c>
      <c r="AA130" s="10">
        <f>IF(ISNUMBER(T130),1,0)</f>
        <v/>
      </c>
      <c r="AB130" s="16">
        <f>IF($A130="","",IF(_xlfn.MAXIFS('TP-b'!$B$2:$B$60,'TP-b'!$A$2:$A$60,"3F4D+MD",'TP-b'!$E$2:$E$60,1,'TP-b'!$B$2:$B$60,"&lt;="&amp;$A130)&gt;0,_xlfn.MAXIFS('TP-b'!$B$2:$B$60,'TP-b'!$A$2:$A$60,"3F4D+MD",'TP-b'!$E$2:$E$60,1,'TP-b'!$B$2:$B$60,"&lt;="&amp;$A130),IF(_xlfn.MINIFS('TP-b'!$B$2:$B$60,'TP-b'!$A$2:$A$60,"3F4D+MD",'TP-b'!$E$2:$E$60,1)&gt;0,_xlfn.MINIFS('TP-b'!$B$2:$B$60,'TP-b'!$A$2:$A$60,"3F4D+MD",'TP-b'!$E$2:$E$60,1),"")))</f>
        <v/>
      </c>
      <c r="AC130" s="10">
        <f>IF(AB130="","",AVERAGEIFS('TP-b'!$C$2:$C$60,'TP-b'!$A$2:$A$60,"3F4D+MD",'TP-b'!$B$2:$B$60,AB130,'TP-b'!$E$2:$E$60,1))</f>
        <v/>
      </c>
      <c r="AD130" s="10">
        <f>IF(AB130="","",AVERAGEIFS('TP-b'!$D$2:$D$60,'TP-b'!$A$2:$A$60,"3F4D+MD",'TP-b'!$B$2:$B$60,AB130,'TP-b'!$E$2:$E$60,1))</f>
        <v/>
      </c>
      <c r="AE130" s="10">
        <f>IF(OR($A130="",NOT(ISNUMBER($J130)),AC130=""),"",ROUND($J130-AC130+AD130,1))</f>
        <v/>
      </c>
      <c r="AF130" s="10">
        <f>IF(AND($K130="Yes",ISNUMBER($L130),AC130&lt;&gt;""),ROUND($L130-AC130+AD130,1),"")</f>
        <v/>
      </c>
      <c r="AG130" s="10">
        <f>IF(AND($K130="Yes",ISNUMBER($M130),AC130&lt;&gt;""),ROUND($M130-AC130+AD130,1),"")</f>
        <v/>
      </c>
      <c r="AH130" s="10">
        <f>IF(AND(ISNUMBER($J130),ISNUMBER(AF130),ISNUMBER(AG130)),ROUND((AG130-MAX(AF130,0))*10,1),"")</f>
        <v/>
      </c>
      <c r="AI130" s="10">
        <f>IF(AE130="","",IF(AND($K130="Yes",ISNUMBER(AG130)),AG130,AE130))</f>
        <v/>
      </c>
      <c r="AJ130" s="10">
        <f>IF(AE130="","",ROUND(SUMIFS($AH$3:$AH$252,$A$3:$A$252,"&lt;="&amp;$A130),1))</f>
        <v/>
      </c>
      <c r="AK130" s="10">
        <f>IF(OR(AE130="",$A130=""),"",IF(ISNUMBER(IFERROR(INDEX($AI$3:$AI$252,MATCH($A130-1,$A$3:$A$252,0)),"")),ROUND((INDEX($AI$3:$AI$252,MATCH($A130-1,$A$3:$A$252,0))-AE130)*10,1),""))</f>
        <v/>
      </c>
      <c r="AL130" s="10">
        <f>IF(ISNUMBER(AE130),1,0)</f>
        <v/>
      </c>
      <c r="AM130" s="17">
        <f>IF($A130="","",IF(COUNTIF($A$3:$A$252,$A130)&gt;1,"same date twice; ","")&amp;IF(AND(ISNUMBER($B130),OR($B130&lt;0,$B130&gt;300)),"rain out of range; ","")&amp;IF(AND(ISNUMBER($C130),OR($C130&lt;0,$C130&gt;45)),"temp out of range; ","")&amp;IF(AND(ISNUMBER($D130),OR($D130&lt;0,$D130&gt;100)),"RH out of range; ",""))</f>
        <v/>
      </c>
      <c r="AN130" s="17">
        <f>IF($A130="","",IF(AND(ISNUMBER(T130),OR(T130&lt;-30,T130&gt;20)),"WL out of range; ","")&amp;IF(AND(ISNUMBER($E130),T130=""),"no TP/b; ","")&amp;IF(AND(ISNUMBER(U130),ISNUMBER(V130)),IF(V130&lt;U130,"After&lt;Before; ",""),"")&amp;IF(AND($F130="Yes",ISNUMBER($E130),W130=""),"irrigation readings missing; ","")&amp;IF(ISNUMBER(Z130),IF(AND(ABS(Z130)&gt;50,NOT(N($B130)&gt;0)),"WL jump &gt;5 cm; ",""),""))</f>
        <v/>
      </c>
      <c r="AO130" s="17">
        <f>IF($A130="","",IF(AND(ISNUMBER(AE130),OR(AE130&lt;-30,AE130&gt;20)),"WL out of range; ","")&amp;IF(AND(ISNUMBER($J130),AE130=""),"no TP/b; ","")&amp;IF(AND(ISNUMBER(AF130),ISNUMBER(AG130)),IF(AG130&lt;AF130,"After&lt;Before; ",""),"")&amp;IF(AND($K130="Yes",ISNUMBER($J130),AH130=""),"irrigation readings missing; ","")&amp;IF(ISNUMBER(AK130),IF(AND(ABS(AK130)&gt;50,NOT(N($B130)&gt;0)),"WL jump &gt;5 cm; ",""),"")&amp;IF(AND(ISNUMBER(PitanE),ISNUMBER(AB130),$A130&gt;PitanE+2,AB130&lt;PitanE),"re-measure TP/b after Pitan; ",""))</f>
        <v/>
      </c>
    </row>
    <row r="131">
      <c r="A131" s="14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0">
        <f>IF(OR($A131="",NOT(ISNUMBER(TransDate))),"",$A131-TransDate)</f>
        <v/>
      </c>
      <c r="Q131" s="16">
        <f>IF($A131="","",IF(_xlfn.MAXIFS('TP-b'!$B$2:$B$60,'TP-b'!$A$2:$A$60,"FP",'TP-b'!$E$2:$E$60,1,'TP-b'!$B$2:$B$60,"&lt;="&amp;$A131)&gt;0,_xlfn.MAXIFS('TP-b'!$B$2:$B$60,'TP-b'!$A$2:$A$60,"FP",'TP-b'!$E$2:$E$60,1,'TP-b'!$B$2:$B$60,"&lt;="&amp;$A131),IF(_xlfn.MINIFS('TP-b'!$B$2:$B$60,'TP-b'!$A$2:$A$60,"FP",'TP-b'!$E$2:$E$60,1)&gt;0,_xlfn.MINIFS('TP-b'!$B$2:$B$60,'TP-b'!$A$2:$A$60,"FP",'TP-b'!$E$2:$E$60,1),"")))</f>
        <v/>
      </c>
      <c r="R131" s="10">
        <f>IF(Q131="","",AVERAGEIFS('TP-b'!$C$2:$C$60,'TP-b'!$A$2:$A$60,"FP",'TP-b'!$B$2:$B$60,Q131,'TP-b'!$E$2:$E$60,1))</f>
        <v/>
      </c>
      <c r="S131" s="10">
        <f>IF(Q131="","",AVERAGEIFS('TP-b'!$D$2:$D$60,'TP-b'!$A$2:$A$60,"FP",'TP-b'!$B$2:$B$60,Q131,'TP-b'!$E$2:$E$60,1))</f>
        <v/>
      </c>
      <c r="T131" s="10">
        <f>IF(OR($A131="",NOT(ISNUMBER($E131)),R131=""),"",ROUND($E131-R131+S131,1))</f>
        <v/>
      </c>
      <c r="U131" s="10">
        <f>IF(AND($F131="Yes",ISNUMBER($G131),R131&lt;&gt;""),ROUND($G131-R131+S131,1),"")</f>
        <v/>
      </c>
      <c r="V131" s="10">
        <f>IF(AND($F131="Yes",ISNUMBER($H131),R131&lt;&gt;""),ROUND($H131-R131+S131,1),"")</f>
        <v/>
      </c>
      <c r="W131" s="10">
        <f>IF(AND(ISNUMBER($E131),ISNUMBER(U131),ISNUMBER(V131)),ROUND((V131-MAX(U131,0))*10,1),"")</f>
        <v/>
      </c>
      <c r="X131" s="10">
        <f>IF(T131="","",IF(AND($F131="Yes",ISNUMBER(V131)),V131,T131))</f>
        <v/>
      </c>
      <c r="Y131" s="10">
        <f>IF(T131="","",ROUND(SUMIFS($W$3:$W$252,$A$3:$A$252,"&lt;="&amp;$A131),1))</f>
        <v/>
      </c>
      <c r="Z131" s="10">
        <f>IF(OR(T131="",$A131=""),"",IF(ISNUMBER(IFERROR(INDEX($X$3:$X$252,MATCH($A131-1,$A$3:$A$252,0)),"")),ROUND((INDEX($X$3:$X$252,MATCH($A131-1,$A$3:$A$252,0))-T131)*10,1),""))</f>
        <v/>
      </c>
      <c r="AA131" s="10">
        <f>IF(ISNUMBER(T131),1,0)</f>
        <v/>
      </c>
      <c r="AB131" s="16">
        <f>IF($A131="","",IF(_xlfn.MAXIFS('TP-b'!$B$2:$B$60,'TP-b'!$A$2:$A$60,"3F4D+MD",'TP-b'!$E$2:$E$60,1,'TP-b'!$B$2:$B$60,"&lt;="&amp;$A131)&gt;0,_xlfn.MAXIFS('TP-b'!$B$2:$B$60,'TP-b'!$A$2:$A$60,"3F4D+MD",'TP-b'!$E$2:$E$60,1,'TP-b'!$B$2:$B$60,"&lt;="&amp;$A131),IF(_xlfn.MINIFS('TP-b'!$B$2:$B$60,'TP-b'!$A$2:$A$60,"3F4D+MD",'TP-b'!$E$2:$E$60,1)&gt;0,_xlfn.MINIFS('TP-b'!$B$2:$B$60,'TP-b'!$A$2:$A$60,"3F4D+MD",'TP-b'!$E$2:$E$60,1),"")))</f>
        <v/>
      </c>
      <c r="AC131" s="10">
        <f>IF(AB131="","",AVERAGEIFS('TP-b'!$C$2:$C$60,'TP-b'!$A$2:$A$60,"3F4D+MD",'TP-b'!$B$2:$B$60,AB131,'TP-b'!$E$2:$E$60,1))</f>
        <v/>
      </c>
      <c r="AD131" s="10">
        <f>IF(AB131="","",AVERAGEIFS('TP-b'!$D$2:$D$60,'TP-b'!$A$2:$A$60,"3F4D+MD",'TP-b'!$B$2:$B$60,AB131,'TP-b'!$E$2:$E$60,1))</f>
        <v/>
      </c>
      <c r="AE131" s="10">
        <f>IF(OR($A131="",NOT(ISNUMBER($J131)),AC131=""),"",ROUND($J131-AC131+AD131,1))</f>
        <v/>
      </c>
      <c r="AF131" s="10">
        <f>IF(AND($K131="Yes",ISNUMBER($L131),AC131&lt;&gt;""),ROUND($L131-AC131+AD131,1),"")</f>
        <v/>
      </c>
      <c r="AG131" s="10">
        <f>IF(AND($K131="Yes",ISNUMBER($M131),AC131&lt;&gt;""),ROUND($M131-AC131+AD131,1),"")</f>
        <v/>
      </c>
      <c r="AH131" s="10">
        <f>IF(AND(ISNUMBER($J131),ISNUMBER(AF131),ISNUMBER(AG131)),ROUND((AG131-MAX(AF131,0))*10,1),"")</f>
        <v/>
      </c>
      <c r="AI131" s="10">
        <f>IF(AE131="","",IF(AND($K131="Yes",ISNUMBER(AG131)),AG131,AE131))</f>
        <v/>
      </c>
      <c r="AJ131" s="10">
        <f>IF(AE131="","",ROUND(SUMIFS($AH$3:$AH$252,$A$3:$A$252,"&lt;="&amp;$A131),1))</f>
        <v/>
      </c>
      <c r="AK131" s="10">
        <f>IF(OR(AE131="",$A131=""),"",IF(ISNUMBER(IFERROR(INDEX($AI$3:$AI$252,MATCH($A131-1,$A$3:$A$252,0)),"")),ROUND((INDEX($AI$3:$AI$252,MATCH($A131-1,$A$3:$A$252,0))-AE131)*10,1),""))</f>
        <v/>
      </c>
      <c r="AL131" s="10">
        <f>IF(ISNUMBER(AE131),1,0)</f>
        <v/>
      </c>
      <c r="AM131" s="17">
        <f>IF($A131="","",IF(COUNTIF($A$3:$A$252,$A131)&gt;1,"same date twice; ","")&amp;IF(AND(ISNUMBER($B131),OR($B131&lt;0,$B131&gt;300)),"rain out of range; ","")&amp;IF(AND(ISNUMBER($C131),OR($C131&lt;0,$C131&gt;45)),"temp out of range; ","")&amp;IF(AND(ISNUMBER($D131),OR($D131&lt;0,$D131&gt;100)),"RH out of range; ",""))</f>
        <v/>
      </c>
      <c r="AN131" s="17">
        <f>IF($A131="","",IF(AND(ISNUMBER(T131),OR(T131&lt;-30,T131&gt;20)),"WL out of range; ","")&amp;IF(AND(ISNUMBER($E131),T131=""),"no TP/b; ","")&amp;IF(AND(ISNUMBER(U131),ISNUMBER(V131)),IF(V131&lt;U131,"After&lt;Before; ",""),"")&amp;IF(AND($F131="Yes",ISNUMBER($E131),W131=""),"irrigation readings missing; ","")&amp;IF(ISNUMBER(Z131),IF(AND(ABS(Z131)&gt;50,NOT(N($B131)&gt;0)),"WL jump &gt;5 cm; ",""),""))</f>
        <v/>
      </c>
      <c r="AO131" s="17">
        <f>IF($A131="","",IF(AND(ISNUMBER(AE131),OR(AE131&lt;-30,AE131&gt;20)),"WL out of range; ","")&amp;IF(AND(ISNUMBER($J131),AE131=""),"no TP/b; ","")&amp;IF(AND(ISNUMBER(AF131),ISNUMBER(AG131)),IF(AG131&lt;AF131,"After&lt;Before; ",""),"")&amp;IF(AND($K131="Yes",ISNUMBER($J131),AH131=""),"irrigation readings missing; ","")&amp;IF(ISNUMBER(AK131),IF(AND(ABS(AK131)&gt;50,NOT(N($B131)&gt;0)),"WL jump &gt;5 cm; ",""),"")&amp;IF(AND(ISNUMBER(PitanE),ISNUMBER(AB131),$A131&gt;PitanE+2,AB131&lt;PitanE),"re-measure TP/b after Pitan; ",""))</f>
        <v/>
      </c>
    </row>
    <row r="132">
      <c r="A132" s="14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0">
        <f>IF(OR($A132="",NOT(ISNUMBER(TransDate))),"",$A132-TransDate)</f>
        <v/>
      </c>
      <c r="Q132" s="16">
        <f>IF($A132="","",IF(_xlfn.MAXIFS('TP-b'!$B$2:$B$60,'TP-b'!$A$2:$A$60,"FP",'TP-b'!$E$2:$E$60,1,'TP-b'!$B$2:$B$60,"&lt;="&amp;$A132)&gt;0,_xlfn.MAXIFS('TP-b'!$B$2:$B$60,'TP-b'!$A$2:$A$60,"FP",'TP-b'!$E$2:$E$60,1,'TP-b'!$B$2:$B$60,"&lt;="&amp;$A132),IF(_xlfn.MINIFS('TP-b'!$B$2:$B$60,'TP-b'!$A$2:$A$60,"FP",'TP-b'!$E$2:$E$60,1)&gt;0,_xlfn.MINIFS('TP-b'!$B$2:$B$60,'TP-b'!$A$2:$A$60,"FP",'TP-b'!$E$2:$E$60,1),"")))</f>
        <v/>
      </c>
      <c r="R132" s="10">
        <f>IF(Q132="","",AVERAGEIFS('TP-b'!$C$2:$C$60,'TP-b'!$A$2:$A$60,"FP",'TP-b'!$B$2:$B$60,Q132,'TP-b'!$E$2:$E$60,1))</f>
        <v/>
      </c>
      <c r="S132" s="10">
        <f>IF(Q132="","",AVERAGEIFS('TP-b'!$D$2:$D$60,'TP-b'!$A$2:$A$60,"FP",'TP-b'!$B$2:$B$60,Q132,'TP-b'!$E$2:$E$60,1))</f>
        <v/>
      </c>
      <c r="T132" s="10">
        <f>IF(OR($A132="",NOT(ISNUMBER($E132)),R132=""),"",ROUND($E132-R132+S132,1))</f>
        <v/>
      </c>
      <c r="U132" s="10">
        <f>IF(AND($F132="Yes",ISNUMBER($G132),R132&lt;&gt;""),ROUND($G132-R132+S132,1),"")</f>
        <v/>
      </c>
      <c r="V132" s="10">
        <f>IF(AND($F132="Yes",ISNUMBER($H132),R132&lt;&gt;""),ROUND($H132-R132+S132,1),"")</f>
        <v/>
      </c>
      <c r="W132" s="10">
        <f>IF(AND(ISNUMBER($E132),ISNUMBER(U132),ISNUMBER(V132)),ROUND((V132-MAX(U132,0))*10,1),"")</f>
        <v/>
      </c>
      <c r="X132" s="10">
        <f>IF(T132="","",IF(AND($F132="Yes",ISNUMBER(V132)),V132,T132))</f>
        <v/>
      </c>
      <c r="Y132" s="10">
        <f>IF(T132="","",ROUND(SUMIFS($W$3:$W$252,$A$3:$A$252,"&lt;="&amp;$A132),1))</f>
        <v/>
      </c>
      <c r="Z132" s="10">
        <f>IF(OR(T132="",$A132=""),"",IF(ISNUMBER(IFERROR(INDEX($X$3:$X$252,MATCH($A132-1,$A$3:$A$252,0)),"")),ROUND((INDEX($X$3:$X$252,MATCH($A132-1,$A$3:$A$252,0))-T132)*10,1),""))</f>
        <v/>
      </c>
      <c r="AA132" s="10">
        <f>IF(ISNUMBER(T132),1,0)</f>
        <v/>
      </c>
      <c r="AB132" s="16">
        <f>IF($A132="","",IF(_xlfn.MAXIFS('TP-b'!$B$2:$B$60,'TP-b'!$A$2:$A$60,"3F4D+MD",'TP-b'!$E$2:$E$60,1,'TP-b'!$B$2:$B$60,"&lt;="&amp;$A132)&gt;0,_xlfn.MAXIFS('TP-b'!$B$2:$B$60,'TP-b'!$A$2:$A$60,"3F4D+MD",'TP-b'!$E$2:$E$60,1,'TP-b'!$B$2:$B$60,"&lt;="&amp;$A132),IF(_xlfn.MINIFS('TP-b'!$B$2:$B$60,'TP-b'!$A$2:$A$60,"3F4D+MD",'TP-b'!$E$2:$E$60,1)&gt;0,_xlfn.MINIFS('TP-b'!$B$2:$B$60,'TP-b'!$A$2:$A$60,"3F4D+MD",'TP-b'!$E$2:$E$60,1),"")))</f>
        <v/>
      </c>
      <c r="AC132" s="10">
        <f>IF(AB132="","",AVERAGEIFS('TP-b'!$C$2:$C$60,'TP-b'!$A$2:$A$60,"3F4D+MD",'TP-b'!$B$2:$B$60,AB132,'TP-b'!$E$2:$E$60,1))</f>
        <v/>
      </c>
      <c r="AD132" s="10">
        <f>IF(AB132="","",AVERAGEIFS('TP-b'!$D$2:$D$60,'TP-b'!$A$2:$A$60,"3F4D+MD",'TP-b'!$B$2:$B$60,AB132,'TP-b'!$E$2:$E$60,1))</f>
        <v/>
      </c>
      <c r="AE132" s="10">
        <f>IF(OR($A132="",NOT(ISNUMBER($J132)),AC132=""),"",ROUND($J132-AC132+AD132,1))</f>
        <v/>
      </c>
      <c r="AF132" s="10">
        <f>IF(AND($K132="Yes",ISNUMBER($L132),AC132&lt;&gt;""),ROUND($L132-AC132+AD132,1),"")</f>
        <v/>
      </c>
      <c r="AG132" s="10">
        <f>IF(AND($K132="Yes",ISNUMBER($M132),AC132&lt;&gt;""),ROUND($M132-AC132+AD132,1),"")</f>
        <v/>
      </c>
      <c r="AH132" s="10">
        <f>IF(AND(ISNUMBER($J132),ISNUMBER(AF132),ISNUMBER(AG132)),ROUND((AG132-MAX(AF132,0))*10,1),"")</f>
        <v/>
      </c>
      <c r="AI132" s="10">
        <f>IF(AE132="","",IF(AND($K132="Yes",ISNUMBER(AG132)),AG132,AE132))</f>
        <v/>
      </c>
      <c r="AJ132" s="10">
        <f>IF(AE132="","",ROUND(SUMIFS($AH$3:$AH$252,$A$3:$A$252,"&lt;="&amp;$A132),1))</f>
        <v/>
      </c>
      <c r="AK132" s="10">
        <f>IF(OR(AE132="",$A132=""),"",IF(ISNUMBER(IFERROR(INDEX($AI$3:$AI$252,MATCH($A132-1,$A$3:$A$252,0)),"")),ROUND((INDEX($AI$3:$AI$252,MATCH($A132-1,$A$3:$A$252,0))-AE132)*10,1),""))</f>
        <v/>
      </c>
      <c r="AL132" s="10">
        <f>IF(ISNUMBER(AE132),1,0)</f>
        <v/>
      </c>
      <c r="AM132" s="17">
        <f>IF($A132="","",IF(COUNTIF($A$3:$A$252,$A132)&gt;1,"same date twice; ","")&amp;IF(AND(ISNUMBER($B132),OR($B132&lt;0,$B132&gt;300)),"rain out of range; ","")&amp;IF(AND(ISNUMBER($C132),OR($C132&lt;0,$C132&gt;45)),"temp out of range; ","")&amp;IF(AND(ISNUMBER($D132),OR($D132&lt;0,$D132&gt;100)),"RH out of range; ",""))</f>
        <v/>
      </c>
      <c r="AN132" s="17">
        <f>IF($A132="","",IF(AND(ISNUMBER(T132),OR(T132&lt;-30,T132&gt;20)),"WL out of range; ","")&amp;IF(AND(ISNUMBER($E132),T132=""),"no TP/b; ","")&amp;IF(AND(ISNUMBER(U132),ISNUMBER(V132)),IF(V132&lt;U132,"After&lt;Before; ",""),"")&amp;IF(AND($F132="Yes",ISNUMBER($E132),W132=""),"irrigation readings missing; ","")&amp;IF(ISNUMBER(Z132),IF(AND(ABS(Z132)&gt;50,NOT(N($B132)&gt;0)),"WL jump &gt;5 cm; ",""),""))</f>
        <v/>
      </c>
      <c r="AO132" s="17">
        <f>IF($A132="","",IF(AND(ISNUMBER(AE132),OR(AE132&lt;-30,AE132&gt;20)),"WL out of range; ","")&amp;IF(AND(ISNUMBER($J132),AE132=""),"no TP/b; ","")&amp;IF(AND(ISNUMBER(AF132),ISNUMBER(AG132)),IF(AG132&lt;AF132,"After&lt;Before; ",""),"")&amp;IF(AND($K132="Yes",ISNUMBER($J132),AH132=""),"irrigation readings missing; ","")&amp;IF(ISNUMBER(AK132),IF(AND(ABS(AK132)&gt;50,NOT(N($B132)&gt;0)),"WL jump &gt;5 cm; ",""),"")&amp;IF(AND(ISNUMBER(PitanE),ISNUMBER(AB132),$A132&gt;PitanE+2,AB132&lt;PitanE),"re-measure TP/b after Pitan; ",""))</f>
        <v/>
      </c>
    </row>
    <row r="133">
      <c r="A133" s="14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0">
        <f>IF(OR($A133="",NOT(ISNUMBER(TransDate))),"",$A133-TransDate)</f>
        <v/>
      </c>
      <c r="Q133" s="16">
        <f>IF($A133="","",IF(_xlfn.MAXIFS('TP-b'!$B$2:$B$60,'TP-b'!$A$2:$A$60,"FP",'TP-b'!$E$2:$E$60,1,'TP-b'!$B$2:$B$60,"&lt;="&amp;$A133)&gt;0,_xlfn.MAXIFS('TP-b'!$B$2:$B$60,'TP-b'!$A$2:$A$60,"FP",'TP-b'!$E$2:$E$60,1,'TP-b'!$B$2:$B$60,"&lt;="&amp;$A133),IF(_xlfn.MINIFS('TP-b'!$B$2:$B$60,'TP-b'!$A$2:$A$60,"FP",'TP-b'!$E$2:$E$60,1)&gt;0,_xlfn.MINIFS('TP-b'!$B$2:$B$60,'TP-b'!$A$2:$A$60,"FP",'TP-b'!$E$2:$E$60,1),"")))</f>
        <v/>
      </c>
      <c r="R133" s="10">
        <f>IF(Q133="","",AVERAGEIFS('TP-b'!$C$2:$C$60,'TP-b'!$A$2:$A$60,"FP",'TP-b'!$B$2:$B$60,Q133,'TP-b'!$E$2:$E$60,1))</f>
        <v/>
      </c>
      <c r="S133" s="10">
        <f>IF(Q133="","",AVERAGEIFS('TP-b'!$D$2:$D$60,'TP-b'!$A$2:$A$60,"FP",'TP-b'!$B$2:$B$60,Q133,'TP-b'!$E$2:$E$60,1))</f>
        <v/>
      </c>
      <c r="T133" s="10">
        <f>IF(OR($A133="",NOT(ISNUMBER($E133)),R133=""),"",ROUND($E133-R133+S133,1))</f>
        <v/>
      </c>
      <c r="U133" s="10">
        <f>IF(AND($F133="Yes",ISNUMBER($G133),R133&lt;&gt;""),ROUND($G133-R133+S133,1),"")</f>
        <v/>
      </c>
      <c r="V133" s="10">
        <f>IF(AND($F133="Yes",ISNUMBER($H133),R133&lt;&gt;""),ROUND($H133-R133+S133,1),"")</f>
        <v/>
      </c>
      <c r="W133" s="10">
        <f>IF(AND(ISNUMBER($E133),ISNUMBER(U133),ISNUMBER(V133)),ROUND((V133-MAX(U133,0))*10,1),"")</f>
        <v/>
      </c>
      <c r="X133" s="10">
        <f>IF(T133="","",IF(AND($F133="Yes",ISNUMBER(V133)),V133,T133))</f>
        <v/>
      </c>
      <c r="Y133" s="10">
        <f>IF(T133="","",ROUND(SUMIFS($W$3:$W$252,$A$3:$A$252,"&lt;="&amp;$A133),1))</f>
        <v/>
      </c>
      <c r="Z133" s="10">
        <f>IF(OR(T133="",$A133=""),"",IF(ISNUMBER(IFERROR(INDEX($X$3:$X$252,MATCH($A133-1,$A$3:$A$252,0)),"")),ROUND((INDEX($X$3:$X$252,MATCH($A133-1,$A$3:$A$252,0))-T133)*10,1),""))</f>
        <v/>
      </c>
      <c r="AA133" s="10">
        <f>IF(ISNUMBER(T133),1,0)</f>
        <v/>
      </c>
      <c r="AB133" s="16">
        <f>IF($A133="","",IF(_xlfn.MAXIFS('TP-b'!$B$2:$B$60,'TP-b'!$A$2:$A$60,"3F4D+MD",'TP-b'!$E$2:$E$60,1,'TP-b'!$B$2:$B$60,"&lt;="&amp;$A133)&gt;0,_xlfn.MAXIFS('TP-b'!$B$2:$B$60,'TP-b'!$A$2:$A$60,"3F4D+MD",'TP-b'!$E$2:$E$60,1,'TP-b'!$B$2:$B$60,"&lt;="&amp;$A133),IF(_xlfn.MINIFS('TP-b'!$B$2:$B$60,'TP-b'!$A$2:$A$60,"3F4D+MD",'TP-b'!$E$2:$E$60,1)&gt;0,_xlfn.MINIFS('TP-b'!$B$2:$B$60,'TP-b'!$A$2:$A$60,"3F4D+MD",'TP-b'!$E$2:$E$60,1),"")))</f>
        <v/>
      </c>
      <c r="AC133" s="10">
        <f>IF(AB133="","",AVERAGEIFS('TP-b'!$C$2:$C$60,'TP-b'!$A$2:$A$60,"3F4D+MD",'TP-b'!$B$2:$B$60,AB133,'TP-b'!$E$2:$E$60,1))</f>
        <v/>
      </c>
      <c r="AD133" s="10">
        <f>IF(AB133="","",AVERAGEIFS('TP-b'!$D$2:$D$60,'TP-b'!$A$2:$A$60,"3F4D+MD",'TP-b'!$B$2:$B$60,AB133,'TP-b'!$E$2:$E$60,1))</f>
        <v/>
      </c>
      <c r="AE133" s="10">
        <f>IF(OR($A133="",NOT(ISNUMBER($J133)),AC133=""),"",ROUND($J133-AC133+AD133,1))</f>
        <v/>
      </c>
      <c r="AF133" s="10">
        <f>IF(AND($K133="Yes",ISNUMBER($L133),AC133&lt;&gt;""),ROUND($L133-AC133+AD133,1),"")</f>
        <v/>
      </c>
      <c r="AG133" s="10">
        <f>IF(AND($K133="Yes",ISNUMBER($M133),AC133&lt;&gt;""),ROUND($M133-AC133+AD133,1),"")</f>
        <v/>
      </c>
      <c r="AH133" s="10">
        <f>IF(AND(ISNUMBER($J133),ISNUMBER(AF133),ISNUMBER(AG133)),ROUND((AG133-MAX(AF133,0))*10,1),"")</f>
        <v/>
      </c>
      <c r="AI133" s="10">
        <f>IF(AE133="","",IF(AND($K133="Yes",ISNUMBER(AG133)),AG133,AE133))</f>
        <v/>
      </c>
      <c r="AJ133" s="10">
        <f>IF(AE133="","",ROUND(SUMIFS($AH$3:$AH$252,$A$3:$A$252,"&lt;="&amp;$A133),1))</f>
        <v/>
      </c>
      <c r="AK133" s="10">
        <f>IF(OR(AE133="",$A133=""),"",IF(ISNUMBER(IFERROR(INDEX($AI$3:$AI$252,MATCH($A133-1,$A$3:$A$252,0)),"")),ROUND((INDEX($AI$3:$AI$252,MATCH($A133-1,$A$3:$A$252,0))-AE133)*10,1),""))</f>
        <v/>
      </c>
      <c r="AL133" s="10">
        <f>IF(ISNUMBER(AE133),1,0)</f>
        <v/>
      </c>
      <c r="AM133" s="17">
        <f>IF($A133="","",IF(COUNTIF($A$3:$A$252,$A133)&gt;1,"same date twice; ","")&amp;IF(AND(ISNUMBER($B133),OR($B133&lt;0,$B133&gt;300)),"rain out of range; ","")&amp;IF(AND(ISNUMBER($C133),OR($C133&lt;0,$C133&gt;45)),"temp out of range; ","")&amp;IF(AND(ISNUMBER($D133),OR($D133&lt;0,$D133&gt;100)),"RH out of range; ",""))</f>
        <v/>
      </c>
      <c r="AN133" s="17">
        <f>IF($A133="","",IF(AND(ISNUMBER(T133),OR(T133&lt;-30,T133&gt;20)),"WL out of range; ","")&amp;IF(AND(ISNUMBER($E133),T133=""),"no TP/b; ","")&amp;IF(AND(ISNUMBER(U133),ISNUMBER(V133)),IF(V133&lt;U133,"After&lt;Before; ",""),"")&amp;IF(AND($F133="Yes",ISNUMBER($E133),W133=""),"irrigation readings missing; ","")&amp;IF(ISNUMBER(Z133),IF(AND(ABS(Z133)&gt;50,NOT(N($B133)&gt;0)),"WL jump &gt;5 cm; ",""),""))</f>
        <v/>
      </c>
      <c r="AO133" s="17">
        <f>IF($A133="","",IF(AND(ISNUMBER(AE133),OR(AE133&lt;-30,AE133&gt;20)),"WL out of range; ","")&amp;IF(AND(ISNUMBER($J133),AE133=""),"no TP/b; ","")&amp;IF(AND(ISNUMBER(AF133),ISNUMBER(AG133)),IF(AG133&lt;AF133,"After&lt;Before; ",""),"")&amp;IF(AND($K133="Yes",ISNUMBER($J133),AH133=""),"irrigation readings missing; ","")&amp;IF(ISNUMBER(AK133),IF(AND(ABS(AK133)&gt;50,NOT(N($B133)&gt;0)),"WL jump &gt;5 cm; ",""),"")&amp;IF(AND(ISNUMBER(PitanE),ISNUMBER(AB133),$A133&gt;PitanE+2,AB133&lt;PitanE),"re-measure TP/b after Pitan; ",""))</f>
        <v/>
      </c>
    </row>
    <row r="134">
      <c r="A134" s="14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0">
        <f>IF(OR($A134="",NOT(ISNUMBER(TransDate))),"",$A134-TransDate)</f>
        <v/>
      </c>
      <c r="Q134" s="16">
        <f>IF($A134="","",IF(_xlfn.MAXIFS('TP-b'!$B$2:$B$60,'TP-b'!$A$2:$A$60,"FP",'TP-b'!$E$2:$E$60,1,'TP-b'!$B$2:$B$60,"&lt;="&amp;$A134)&gt;0,_xlfn.MAXIFS('TP-b'!$B$2:$B$60,'TP-b'!$A$2:$A$60,"FP",'TP-b'!$E$2:$E$60,1,'TP-b'!$B$2:$B$60,"&lt;="&amp;$A134),IF(_xlfn.MINIFS('TP-b'!$B$2:$B$60,'TP-b'!$A$2:$A$60,"FP",'TP-b'!$E$2:$E$60,1)&gt;0,_xlfn.MINIFS('TP-b'!$B$2:$B$60,'TP-b'!$A$2:$A$60,"FP",'TP-b'!$E$2:$E$60,1),"")))</f>
        <v/>
      </c>
      <c r="R134" s="10">
        <f>IF(Q134="","",AVERAGEIFS('TP-b'!$C$2:$C$60,'TP-b'!$A$2:$A$60,"FP",'TP-b'!$B$2:$B$60,Q134,'TP-b'!$E$2:$E$60,1))</f>
        <v/>
      </c>
      <c r="S134" s="10">
        <f>IF(Q134="","",AVERAGEIFS('TP-b'!$D$2:$D$60,'TP-b'!$A$2:$A$60,"FP",'TP-b'!$B$2:$B$60,Q134,'TP-b'!$E$2:$E$60,1))</f>
        <v/>
      </c>
      <c r="T134" s="10">
        <f>IF(OR($A134="",NOT(ISNUMBER($E134)),R134=""),"",ROUND($E134-R134+S134,1))</f>
        <v/>
      </c>
      <c r="U134" s="10">
        <f>IF(AND($F134="Yes",ISNUMBER($G134),R134&lt;&gt;""),ROUND($G134-R134+S134,1),"")</f>
        <v/>
      </c>
      <c r="V134" s="10">
        <f>IF(AND($F134="Yes",ISNUMBER($H134),R134&lt;&gt;""),ROUND($H134-R134+S134,1),"")</f>
        <v/>
      </c>
      <c r="W134" s="10">
        <f>IF(AND(ISNUMBER($E134),ISNUMBER(U134),ISNUMBER(V134)),ROUND((V134-MAX(U134,0))*10,1),"")</f>
        <v/>
      </c>
      <c r="X134" s="10">
        <f>IF(T134="","",IF(AND($F134="Yes",ISNUMBER(V134)),V134,T134))</f>
        <v/>
      </c>
      <c r="Y134" s="10">
        <f>IF(T134="","",ROUND(SUMIFS($W$3:$W$252,$A$3:$A$252,"&lt;="&amp;$A134),1))</f>
        <v/>
      </c>
      <c r="Z134" s="10">
        <f>IF(OR(T134="",$A134=""),"",IF(ISNUMBER(IFERROR(INDEX($X$3:$X$252,MATCH($A134-1,$A$3:$A$252,0)),"")),ROUND((INDEX($X$3:$X$252,MATCH($A134-1,$A$3:$A$252,0))-T134)*10,1),""))</f>
        <v/>
      </c>
      <c r="AA134" s="10">
        <f>IF(ISNUMBER(T134),1,0)</f>
        <v/>
      </c>
      <c r="AB134" s="16">
        <f>IF($A134="","",IF(_xlfn.MAXIFS('TP-b'!$B$2:$B$60,'TP-b'!$A$2:$A$60,"3F4D+MD",'TP-b'!$E$2:$E$60,1,'TP-b'!$B$2:$B$60,"&lt;="&amp;$A134)&gt;0,_xlfn.MAXIFS('TP-b'!$B$2:$B$60,'TP-b'!$A$2:$A$60,"3F4D+MD",'TP-b'!$E$2:$E$60,1,'TP-b'!$B$2:$B$60,"&lt;="&amp;$A134),IF(_xlfn.MINIFS('TP-b'!$B$2:$B$60,'TP-b'!$A$2:$A$60,"3F4D+MD",'TP-b'!$E$2:$E$60,1)&gt;0,_xlfn.MINIFS('TP-b'!$B$2:$B$60,'TP-b'!$A$2:$A$60,"3F4D+MD",'TP-b'!$E$2:$E$60,1),"")))</f>
        <v/>
      </c>
      <c r="AC134" s="10">
        <f>IF(AB134="","",AVERAGEIFS('TP-b'!$C$2:$C$60,'TP-b'!$A$2:$A$60,"3F4D+MD",'TP-b'!$B$2:$B$60,AB134,'TP-b'!$E$2:$E$60,1))</f>
        <v/>
      </c>
      <c r="AD134" s="10">
        <f>IF(AB134="","",AVERAGEIFS('TP-b'!$D$2:$D$60,'TP-b'!$A$2:$A$60,"3F4D+MD",'TP-b'!$B$2:$B$60,AB134,'TP-b'!$E$2:$E$60,1))</f>
        <v/>
      </c>
      <c r="AE134" s="10">
        <f>IF(OR($A134="",NOT(ISNUMBER($J134)),AC134=""),"",ROUND($J134-AC134+AD134,1))</f>
        <v/>
      </c>
      <c r="AF134" s="10">
        <f>IF(AND($K134="Yes",ISNUMBER($L134),AC134&lt;&gt;""),ROUND($L134-AC134+AD134,1),"")</f>
        <v/>
      </c>
      <c r="AG134" s="10">
        <f>IF(AND($K134="Yes",ISNUMBER($M134),AC134&lt;&gt;""),ROUND($M134-AC134+AD134,1),"")</f>
        <v/>
      </c>
      <c r="AH134" s="10">
        <f>IF(AND(ISNUMBER($J134),ISNUMBER(AF134),ISNUMBER(AG134)),ROUND((AG134-MAX(AF134,0))*10,1),"")</f>
        <v/>
      </c>
      <c r="AI134" s="10">
        <f>IF(AE134="","",IF(AND($K134="Yes",ISNUMBER(AG134)),AG134,AE134))</f>
        <v/>
      </c>
      <c r="AJ134" s="10">
        <f>IF(AE134="","",ROUND(SUMIFS($AH$3:$AH$252,$A$3:$A$252,"&lt;="&amp;$A134),1))</f>
        <v/>
      </c>
      <c r="AK134" s="10">
        <f>IF(OR(AE134="",$A134=""),"",IF(ISNUMBER(IFERROR(INDEX($AI$3:$AI$252,MATCH($A134-1,$A$3:$A$252,0)),"")),ROUND((INDEX($AI$3:$AI$252,MATCH($A134-1,$A$3:$A$252,0))-AE134)*10,1),""))</f>
        <v/>
      </c>
      <c r="AL134" s="10">
        <f>IF(ISNUMBER(AE134),1,0)</f>
        <v/>
      </c>
      <c r="AM134" s="17">
        <f>IF($A134="","",IF(COUNTIF($A$3:$A$252,$A134)&gt;1,"same date twice; ","")&amp;IF(AND(ISNUMBER($B134),OR($B134&lt;0,$B134&gt;300)),"rain out of range; ","")&amp;IF(AND(ISNUMBER($C134),OR($C134&lt;0,$C134&gt;45)),"temp out of range; ","")&amp;IF(AND(ISNUMBER($D134),OR($D134&lt;0,$D134&gt;100)),"RH out of range; ",""))</f>
        <v/>
      </c>
      <c r="AN134" s="17">
        <f>IF($A134="","",IF(AND(ISNUMBER(T134),OR(T134&lt;-30,T134&gt;20)),"WL out of range; ","")&amp;IF(AND(ISNUMBER($E134),T134=""),"no TP/b; ","")&amp;IF(AND(ISNUMBER(U134),ISNUMBER(V134)),IF(V134&lt;U134,"After&lt;Before; ",""),"")&amp;IF(AND($F134="Yes",ISNUMBER($E134),W134=""),"irrigation readings missing; ","")&amp;IF(ISNUMBER(Z134),IF(AND(ABS(Z134)&gt;50,NOT(N($B134)&gt;0)),"WL jump &gt;5 cm; ",""),""))</f>
        <v/>
      </c>
      <c r="AO134" s="17">
        <f>IF($A134="","",IF(AND(ISNUMBER(AE134),OR(AE134&lt;-30,AE134&gt;20)),"WL out of range; ","")&amp;IF(AND(ISNUMBER($J134),AE134=""),"no TP/b; ","")&amp;IF(AND(ISNUMBER(AF134),ISNUMBER(AG134)),IF(AG134&lt;AF134,"After&lt;Before; ",""),"")&amp;IF(AND($K134="Yes",ISNUMBER($J134),AH134=""),"irrigation readings missing; ","")&amp;IF(ISNUMBER(AK134),IF(AND(ABS(AK134)&gt;50,NOT(N($B134)&gt;0)),"WL jump &gt;5 cm; ",""),"")&amp;IF(AND(ISNUMBER(PitanE),ISNUMBER(AB134),$A134&gt;PitanE+2,AB134&lt;PitanE),"re-measure TP/b after Pitan; ",""))</f>
        <v/>
      </c>
    </row>
    <row r="135">
      <c r="A135" s="14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0">
        <f>IF(OR($A135="",NOT(ISNUMBER(TransDate))),"",$A135-TransDate)</f>
        <v/>
      </c>
      <c r="Q135" s="16">
        <f>IF($A135="","",IF(_xlfn.MAXIFS('TP-b'!$B$2:$B$60,'TP-b'!$A$2:$A$60,"FP",'TP-b'!$E$2:$E$60,1,'TP-b'!$B$2:$B$60,"&lt;="&amp;$A135)&gt;0,_xlfn.MAXIFS('TP-b'!$B$2:$B$60,'TP-b'!$A$2:$A$60,"FP",'TP-b'!$E$2:$E$60,1,'TP-b'!$B$2:$B$60,"&lt;="&amp;$A135),IF(_xlfn.MINIFS('TP-b'!$B$2:$B$60,'TP-b'!$A$2:$A$60,"FP",'TP-b'!$E$2:$E$60,1)&gt;0,_xlfn.MINIFS('TP-b'!$B$2:$B$60,'TP-b'!$A$2:$A$60,"FP",'TP-b'!$E$2:$E$60,1),"")))</f>
        <v/>
      </c>
      <c r="R135" s="10">
        <f>IF(Q135="","",AVERAGEIFS('TP-b'!$C$2:$C$60,'TP-b'!$A$2:$A$60,"FP",'TP-b'!$B$2:$B$60,Q135,'TP-b'!$E$2:$E$60,1))</f>
        <v/>
      </c>
      <c r="S135" s="10">
        <f>IF(Q135="","",AVERAGEIFS('TP-b'!$D$2:$D$60,'TP-b'!$A$2:$A$60,"FP",'TP-b'!$B$2:$B$60,Q135,'TP-b'!$E$2:$E$60,1))</f>
        <v/>
      </c>
      <c r="T135" s="10">
        <f>IF(OR($A135="",NOT(ISNUMBER($E135)),R135=""),"",ROUND($E135-R135+S135,1))</f>
        <v/>
      </c>
      <c r="U135" s="10">
        <f>IF(AND($F135="Yes",ISNUMBER($G135),R135&lt;&gt;""),ROUND($G135-R135+S135,1),"")</f>
        <v/>
      </c>
      <c r="V135" s="10">
        <f>IF(AND($F135="Yes",ISNUMBER($H135),R135&lt;&gt;""),ROUND($H135-R135+S135,1),"")</f>
        <v/>
      </c>
      <c r="W135" s="10">
        <f>IF(AND(ISNUMBER($E135),ISNUMBER(U135),ISNUMBER(V135)),ROUND((V135-MAX(U135,0))*10,1),"")</f>
        <v/>
      </c>
      <c r="X135" s="10">
        <f>IF(T135="","",IF(AND($F135="Yes",ISNUMBER(V135)),V135,T135))</f>
        <v/>
      </c>
      <c r="Y135" s="10">
        <f>IF(T135="","",ROUND(SUMIFS($W$3:$W$252,$A$3:$A$252,"&lt;="&amp;$A135),1))</f>
        <v/>
      </c>
      <c r="Z135" s="10">
        <f>IF(OR(T135="",$A135=""),"",IF(ISNUMBER(IFERROR(INDEX($X$3:$X$252,MATCH($A135-1,$A$3:$A$252,0)),"")),ROUND((INDEX($X$3:$X$252,MATCH($A135-1,$A$3:$A$252,0))-T135)*10,1),""))</f>
        <v/>
      </c>
      <c r="AA135" s="10">
        <f>IF(ISNUMBER(T135),1,0)</f>
        <v/>
      </c>
      <c r="AB135" s="16">
        <f>IF($A135="","",IF(_xlfn.MAXIFS('TP-b'!$B$2:$B$60,'TP-b'!$A$2:$A$60,"3F4D+MD",'TP-b'!$E$2:$E$60,1,'TP-b'!$B$2:$B$60,"&lt;="&amp;$A135)&gt;0,_xlfn.MAXIFS('TP-b'!$B$2:$B$60,'TP-b'!$A$2:$A$60,"3F4D+MD",'TP-b'!$E$2:$E$60,1,'TP-b'!$B$2:$B$60,"&lt;="&amp;$A135),IF(_xlfn.MINIFS('TP-b'!$B$2:$B$60,'TP-b'!$A$2:$A$60,"3F4D+MD",'TP-b'!$E$2:$E$60,1)&gt;0,_xlfn.MINIFS('TP-b'!$B$2:$B$60,'TP-b'!$A$2:$A$60,"3F4D+MD",'TP-b'!$E$2:$E$60,1),"")))</f>
        <v/>
      </c>
      <c r="AC135" s="10">
        <f>IF(AB135="","",AVERAGEIFS('TP-b'!$C$2:$C$60,'TP-b'!$A$2:$A$60,"3F4D+MD",'TP-b'!$B$2:$B$60,AB135,'TP-b'!$E$2:$E$60,1))</f>
        <v/>
      </c>
      <c r="AD135" s="10">
        <f>IF(AB135="","",AVERAGEIFS('TP-b'!$D$2:$D$60,'TP-b'!$A$2:$A$60,"3F4D+MD",'TP-b'!$B$2:$B$60,AB135,'TP-b'!$E$2:$E$60,1))</f>
        <v/>
      </c>
      <c r="AE135" s="10">
        <f>IF(OR($A135="",NOT(ISNUMBER($J135)),AC135=""),"",ROUND($J135-AC135+AD135,1))</f>
        <v/>
      </c>
      <c r="AF135" s="10">
        <f>IF(AND($K135="Yes",ISNUMBER($L135),AC135&lt;&gt;""),ROUND($L135-AC135+AD135,1),"")</f>
        <v/>
      </c>
      <c r="AG135" s="10">
        <f>IF(AND($K135="Yes",ISNUMBER($M135),AC135&lt;&gt;""),ROUND($M135-AC135+AD135,1),"")</f>
        <v/>
      </c>
      <c r="AH135" s="10">
        <f>IF(AND(ISNUMBER($J135),ISNUMBER(AF135),ISNUMBER(AG135)),ROUND((AG135-MAX(AF135,0))*10,1),"")</f>
        <v/>
      </c>
      <c r="AI135" s="10">
        <f>IF(AE135="","",IF(AND($K135="Yes",ISNUMBER(AG135)),AG135,AE135))</f>
        <v/>
      </c>
      <c r="AJ135" s="10">
        <f>IF(AE135="","",ROUND(SUMIFS($AH$3:$AH$252,$A$3:$A$252,"&lt;="&amp;$A135),1))</f>
        <v/>
      </c>
      <c r="AK135" s="10">
        <f>IF(OR(AE135="",$A135=""),"",IF(ISNUMBER(IFERROR(INDEX($AI$3:$AI$252,MATCH($A135-1,$A$3:$A$252,0)),"")),ROUND((INDEX($AI$3:$AI$252,MATCH($A135-1,$A$3:$A$252,0))-AE135)*10,1),""))</f>
        <v/>
      </c>
      <c r="AL135" s="10">
        <f>IF(ISNUMBER(AE135),1,0)</f>
        <v/>
      </c>
      <c r="AM135" s="17">
        <f>IF($A135="","",IF(COUNTIF($A$3:$A$252,$A135)&gt;1,"same date twice; ","")&amp;IF(AND(ISNUMBER($B135),OR($B135&lt;0,$B135&gt;300)),"rain out of range; ","")&amp;IF(AND(ISNUMBER($C135),OR($C135&lt;0,$C135&gt;45)),"temp out of range; ","")&amp;IF(AND(ISNUMBER($D135),OR($D135&lt;0,$D135&gt;100)),"RH out of range; ",""))</f>
        <v/>
      </c>
      <c r="AN135" s="17">
        <f>IF($A135="","",IF(AND(ISNUMBER(T135),OR(T135&lt;-30,T135&gt;20)),"WL out of range; ","")&amp;IF(AND(ISNUMBER($E135),T135=""),"no TP/b; ","")&amp;IF(AND(ISNUMBER(U135),ISNUMBER(V135)),IF(V135&lt;U135,"After&lt;Before; ",""),"")&amp;IF(AND($F135="Yes",ISNUMBER($E135),W135=""),"irrigation readings missing; ","")&amp;IF(ISNUMBER(Z135),IF(AND(ABS(Z135)&gt;50,NOT(N($B135)&gt;0)),"WL jump &gt;5 cm; ",""),""))</f>
        <v/>
      </c>
      <c r="AO135" s="17">
        <f>IF($A135="","",IF(AND(ISNUMBER(AE135),OR(AE135&lt;-30,AE135&gt;20)),"WL out of range; ","")&amp;IF(AND(ISNUMBER($J135),AE135=""),"no TP/b; ","")&amp;IF(AND(ISNUMBER(AF135),ISNUMBER(AG135)),IF(AG135&lt;AF135,"After&lt;Before; ",""),"")&amp;IF(AND($K135="Yes",ISNUMBER($J135),AH135=""),"irrigation readings missing; ","")&amp;IF(ISNUMBER(AK135),IF(AND(ABS(AK135)&gt;50,NOT(N($B135)&gt;0)),"WL jump &gt;5 cm; ",""),"")&amp;IF(AND(ISNUMBER(PitanE),ISNUMBER(AB135),$A135&gt;PitanE+2,AB135&lt;PitanE),"re-measure TP/b after Pitan; ",""))</f>
        <v/>
      </c>
    </row>
    <row r="136">
      <c r="A136" s="14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0">
        <f>IF(OR($A136="",NOT(ISNUMBER(TransDate))),"",$A136-TransDate)</f>
        <v/>
      </c>
      <c r="Q136" s="16">
        <f>IF($A136="","",IF(_xlfn.MAXIFS('TP-b'!$B$2:$B$60,'TP-b'!$A$2:$A$60,"FP",'TP-b'!$E$2:$E$60,1,'TP-b'!$B$2:$B$60,"&lt;="&amp;$A136)&gt;0,_xlfn.MAXIFS('TP-b'!$B$2:$B$60,'TP-b'!$A$2:$A$60,"FP",'TP-b'!$E$2:$E$60,1,'TP-b'!$B$2:$B$60,"&lt;="&amp;$A136),IF(_xlfn.MINIFS('TP-b'!$B$2:$B$60,'TP-b'!$A$2:$A$60,"FP",'TP-b'!$E$2:$E$60,1)&gt;0,_xlfn.MINIFS('TP-b'!$B$2:$B$60,'TP-b'!$A$2:$A$60,"FP",'TP-b'!$E$2:$E$60,1),"")))</f>
        <v/>
      </c>
      <c r="R136" s="10">
        <f>IF(Q136="","",AVERAGEIFS('TP-b'!$C$2:$C$60,'TP-b'!$A$2:$A$60,"FP",'TP-b'!$B$2:$B$60,Q136,'TP-b'!$E$2:$E$60,1))</f>
        <v/>
      </c>
      <c r="S136" s="10">
        <f>IF(Q136="","",AVERAGEIFS('TP-b'!$D$2:$D$60,'TP-b'!$A$2:$A$60,"FP",'TP-b'!$B$2:$B$60,Q136,'TP-b'!$E$2:$E$60,1))</f>
        <v/>
      </c>
      <c r="T136" s="10">
        <f>IF(OR($A136="",NOT(ISNUMBER($E136)),R136=""),"",ROUND($E136-R136+S136,1))</f>
        <v/>
      </c>
      <c r="U136" s="10">
        <f>IF(AND($F136="Yes",ISNUMBER($G136),R136&lt;&gt;""),ROUND($G136-R136+S136,1),"")</f>
        <v/>
      </c>
      <c r="V136" s="10">
        <f>IF(AND($F136="Yes",ISNUMBER($H136),R136&lt;&gt;""),ROUND($H136-R136+S136,1),"")</f>
        <v/>
      </c>
      <c r="W136" s="10">
        <f>IF(AND(ISNUMBER($E136),ISNUMBER(U136),ISNUMBER(V136)),ROUND((V136-MAX(U136,0))*10,1),"")</f>
        <v/>
      </c>
      <c r="X136" s="10">
        <f>IF(T136="","",IF(AND($F136="Yes",ISNUMBER(V136)),V136,T136))</f>
        <v/>
      </c>
      <c r="Y136" s="10">
        <f>IF(T136="","",ROUND(SUMIFS($W$3:$W$252,$A$3:$A$252,"&lt;="&amp;$A136),1))</f>
        <v/>
      </c>
      <c r="Z136" s="10">
        <f>IF(OR(T136="",$A136=""),"",IF(ISNUMBER(IFERROR(INDEX($X$3:$X$252,MATCH($A136-1,$A$3:$A$252,0)),"")),ROUND((INDEX($X$3:$X$252,MATCH($A136-1,$A$3:$A$252,0))-T136)*10,1),""))</f>
        <v/>
      </c>
      <c r="AA136" s="10">
        <f>IF(ISNUMBER(T136),1,0)</f>
        <v/>
      </c>
      <c r="AB136" s="16">
        <f>IF($A136="","",IF(_xlfn.MAXIFS('TP-b'!$B$2:$B$60,'TP-b'!$A$2:$A$60,"3F4D+MD",'TP-b'!$E$2:$E$60,1,'TP-b'!$B$2:$B$60,"&lt;="&amp;$A136)&gt;0,_xlfn.MAXIFS('TP-b'!$B$2:$B$60,'TP-b'!$A$2:$A$60,"3F4D+MD",'TP-b'!$E$2:$E$60,1,'TP-b'!$B$2:$B$60,"&lt;="&amp;$A136),IF(_xlfn.MINIFS('TP-b'!$B$2:$B$60,'TP-b'!$A$2:$A$60,"3F4D+MD",'TP-b'!$E$2:$E$60,1)&gt;0,_xlfn.MINIFS('TP-b'!$B$2:$B$60,'TP-b'!$A$2:$A$60,"3F4D+MD",'TP-b'!$E$2:$E$60,1),"")))</f>
        <v/>
      </c>
      <c r="AC136" s="10">
        <f>IF(AB136="","",AVERAGEIFS('TP-b'!$C$2:$C$60,'TP-b'!$A$2:$A$60,"3F4D+MD",'TP-b'!$B$2:$B$60,AB136,'TP-b'!$E$2:$E$60,1))</f>
        <v/>
      </c>
      <c r="AD136" s="10">
        <f>IF(AB136="","",AVERAGEIFS('TP-b'!$D$2:$D$60,'TP-b'!$A$2:$A$60,"3F4D+MD",'TP-b'!$B$2:$B$60,AB136,'TP-b'!$E$2:$E$60,1))</f>
        <v/>
      </c>
      <c r="AE136" s="10">
        <f>IF(OR($A136="",NOT(ISNUMBER($J136)),AC136=""),"",ROUND($J136-AC136+AD136,1))</f>
        <v/>
      </c>
      <c r="AF136" s="10">
        <f>IF(AND($K136="Yes",ISNUMBER($L136),AC136&lt;&gt;""),ROUND($L136-AC136+AD136,1),"")</f>
        <v/>
      </c>
      <c r="AG136" s="10">
        <f>IF(AND($K136="Yes",ISNUMBER($M136),AC136&lt;&gt;""),ROUND($M136-AC136+AD136,1),"")</f>
        <v/>
      </c>
      <c r="AH136" s="10">
        <f>IF(AND(ISNUMBER($J136),ISNUMBER(AF136),ISNUMBER(AG136)),ROUND((AG136-MAX(AF136,0))*10,1),"")</f>
        <v/>
      </c>
      <c r="AI136" s="10">
        <f>IF(AE136="","",IF(AND($K136="Yes",ISNUMBER(AG136)),AG136,AE136))</f>
        <v/>
      </c>
      <c r="AJ136" s="10">
        <f>IF(AE136="","",ROUND(SUMIFS($AH$3:$AH$252,$A$3:$A$252,"&lt;="&amp;$A136),1))</f>
        <v/>
      </c>
      <c r="AK136" s="10">
        <f>IF(OR(AE136="",$A136=""),"",IF(ISNUMBER(IFERROR(INDEX($AI$3:$AI$252,MATCH($A136-1,$A$3:$A$252,0)),"")),ROUND((INDEX($AI$3:$AI$252,MATCH($A136-1,$A$3:$A$252,0))-AE136)*10,1),""))</f>
        <v/>
      </c>
      <c r="AL136" s="10">
        <f>IF(ISNUMBER(AE136),1,0)</f>
        <v/>
      </c>
      <c r="AM136" s="17">
        <f>IF($A136="","",IF(COUNTIF($A$3:$A$252,$A136)&gt;1,"same date twice; ","")&amp;IF(AND(ISNUMBER($B136),OR($B136&lt;0,$B136&gt;300)),"rain out of range; ","")&amp;IF(AND(ISNUMBER($C136),OR($C136&lt;0,$C136&gt;45)),"temp out of range; ","")&amp;IF(AND(ISNUMBER($D136),OR($D136&lt;0,$D136&gt;100)),"RH out of range; ",""))</f>
        <v/>
      </c>
      <c r="AN136" s="17">
        <f>IF($A136="","",IF(AND(ISNUMBER(T136),OR(T136&lt;-30,T136&gt;20)),"WL out of range; ","")&amp;IF(AND(ISNUMBER($E136),T136=""),"no TP/b; ","")&amp;IF(AND(ISNUMBER(U136),ISNUMBER(V136)),IF(V136&lt;U136,"After&lt;Before; ",""),"")&amp;IF(AND($F136="Yes",ISNUMBER($E136),W136=""),"irrigation readings missing; ","")&amp;IF(ISNUMBER(Z136),IF(AND(ABS(Z136)&gt;50,NOT(N($B136)&gt;0)),"WL jump &gt;5 cm; ",""),""))</f>
        <v/>
      </c>
      <c r="AO136" s="17">
        <f>IF($A136="","",IF(AND(ISNUMBER(AE136),OR(AE136&lt;-30,AE136&gt;20)),"WL out of range; ","")&amp;IF(AND(ISNUMBER($J136),AE136=""),"no TP/b; ","")&amp;IF(AND(ISNUMBER(AF136),ISNUMBER(AG136)),IF(AG136&lt;AF136,"After&lt;Before; ",""),"")&amp;IF(AND($K136="Yes",ISNUMBER($J136),AH136=""),"irrigation readings missing; ","")&amp;IF(ISNUMBER(AK136),IF(AND(ABS(AK136)&gt;50,NOT(N($B136)&gt;0)),"WL jump &gt;5 cm; ",""),"")&amp;IF(AND(ISNUMBER(PitanE),ISNUMBER(AB136),$A136&gt;PitanE+2,AB136&lt;PitanE),"re-measure TP/b after Pitan; ",""))</f>
        <v/>
      </c>
    </row>
    <row r="137">
      <c r="A137" s="14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0">
        <f>IF(OR($A137="",NOT(ISNUMBER(TransDate))),"",$A137-TransDate)</f>
        <v/>
      </c>
      <c r="Q137" s="16">
        <f>IF($A137="","",IF(_xlfn.MAXIFS('TP-b'!$B$2:$B$60,'TP-b'!$A$2:$A$60,"FP",'TP-b'!$E$2:$E$60,1,'TP-b'!$B$2:$B$60,"&lt;="&amp;$A137)&gt;0,_xlfn.MAXIFS('TP-b'!$B$2:$B$60,'TP-b'!$A$2:$A$60,"FP",'TP-b'!$E$2:$E$60,1,'TP-b'!$B$2:$B$60,"&lt;="&amp;$A137),IF(_xlfn.MINIFS('TP-b'!$B$2:$B$60,'TP-b'!$A$2:$A$60,"FP",'TP-b'!$E$2:$E$60,1)&gt;0,_xlfn.MINIFS('TP-b'!$B$2:$B$60,'TP-b'!$A$2:$A$60,"FP",'TP-b'!$E$2:$E$60,1),"")))</f>
        <v/>
      </c>
      <c r="R137" s="10">
        <f>IF(Q137="","",AVERAGEIFS('TP-b'!$C$2:$C$60,'TP-b'!$A$2:$A$60,"FP",'TP-b'!$B$2:$B$60,Q137,'TP-b'!$E$2:$E$60,1))</f>
        <v/>
      </c>
      <c r="S137" s="10">
        <f>IF(Q137="","",AVERAGEIFS('TP-b'!$D$2:$D$60,'TP-b'!$A$2:$A$60,"FP",'TP-b'!$B$2:$B$60,Q137,'TP-b'!$E$2:$E$60,1))</f>
        <v/>
      </c>
      <c r="T137" s="10">
        <f>IF(OR($A137="",NOT(ISNUMBER($E137)),R137=""),"",ROUND($E137-R137+S137,1))</f>
        <v/>
      </c>
      <c r="U137" s="10">
        <f>IF(AND($F137="Yes",ISNUMBER($G137),R137&lt;&gt;""),ROUND($G137-R137+S137,1),"")</f>
        <v/>
      </c>
      <c r="V137" s="10">
        <f>IF(AND($F137="Yes",ISNUMBER($H137),R137&lt;&gt;""),ROUND($H137-R137+S137,1),"")</f>
        <v/>
      </c>
      <c r="W137" s="10">
        <f>IF(AND(ISNUMBER($E137),ISNUMBER(U137),ISNUMBER(V137)),ROUND((V137-MAX(U137,0))*10,1),"")</f>
        <v/>
      </c>
      <c r="X137" s="10">
        <f>IF(T137="","",IF(AND($F137="Yes",ISNUMBER(V137)),V137,T137))</f>
        <v/>
      </c>
      <c r="Y137" s="10">
        <f>IF(T137="","",ROUND(SUMIFS($W$3:$W$252,$A$3:$A$252,"&lt;="&amp;$A137),1))</f>
        <v/>
      </c>
      <c r="Z137" s="10">
        <f>IF(OR(T137="",$A137=""),"",IF(ISNUMBER(IFERROR(INDEX($X$3:$X$252,MATCH($A137-1,$A$3:$A$252,0)),"")),ROUND((INDEX($X$3:$X$252,MATCH($A137-1,$A$3:$A$252,0))-T137)*10,1),""))</f>
        <v/>
      </c>
      <c r="AA137" s="10">
        <f>IF(ISNUMBER(T137),1,0)</f>
        <v/>
      </c>
      <c r="AB137" s="16">
        <f>IF($A137="","",IF(_xlfn.MAXIFS('TP-b'!$B$2:$B$60,'TP-b'!$A$2:$A$60,"3F4D+MD",'TP-b'!$E$2:$E$60,1,'TP-b'!$B$2:$B$60,"&lt;="&amp;$A137)&gt;0,_xlfn.MAXIFS('TP-b'!$B$2:$B$60,'TP-b'!$A$2:$A$60,"3F4D+MD",'TP-b'!$E$2:$E$60,1,'TP-b'!$B$2:$B$60,"&lt;="&amp;$A137),IF(_xlfn.MINIFS('TP-b'!$B$2:$B$60,'TP-b'!$A$2:$A$60,"3F4D+MD",'TP-b'!$E$2:$E$60,1)&gt;0,_xlfn.MINIFS('TP-b'!$B$2:$B$60,'TP-b'!$A$2:$A$60,"3F4D+MD",'TP-b'!$E$2:$E$60,1),"")))</f>
        <v/>
      </c>
      <c r="AC137" s="10">
        <f>IF(AB137="","",AVERAGEIFS('TP-b'!$C$2:$C$60,'TP-b'!$A$2:$A$60,"3F4D+MD",'TP-b'!$B$2:$B$60,AB137,'TP-b'!$E$2:$E$60,1))</f>
        <v/>
      </c>
      <c r="AD137" s="10">
        <f>IF(AB137="","",AVERAGEIFS('TP-b'!$D$2:$D$60,'TP-b'!$A$2:$A$60,"3F4D+MD",'TP-b'!$B$2:$B$60,AB137,'TP-b'!$E$2:$E$60,1))</f>
        <v/>
      </c>
      <c r="AE137" s="10">
        <f>IF(OR($A137="",NOT(ISNUMBER($J137)),AC137=""),"",ROUND($J137-AC137+AD137,1))</f>
        <v/>
      </c>
      <c r="AF137" s="10">
        <f>IF(AND($K137="Yes",ISNUMBER($L137),AC137&lt;&gt;""),ROUND($L137-AC137+AD137,1),"")</f>
        <v/>
      </c>
      <c r="AG137" s="10">
        <f>IF(AND($K137="Yes",ISNUMBER($M137),AC137&lt;&gt;""),ROUND($M137-AC137+AD137,1),"")</f>
        <v/>
      </c>
      <c r="AH137" s="10">
        <f>IF(AND(ISNUMBER($J137),ISNUMBER(AF137),ISNUMBER(AG137)),ROUND((AG137-MAX(AF137,0))*10,1),"")</f>
        <v/>
      </c>
      <c r="AI137" s="10">
        <f>IF(AE137="","",IF(AND($K137="Yes",ISNUMBER(AG137)),AG137,AE137))</f>
        <v/>
      </c>
      <c r="AJ137" s="10">
        <f>IF(AE137="","",ROUND(SUMIFS($AH$3:$AH$252,$A$3:$A$252,"&lt;="&amp;$A137),1))</f>
        <v/>
      </c>
      <c r="AK137" s="10">
        <f>IF(OR(AE137="",$A137=""),"",IF(ISNUMBER(IFERROR(INDEX($AI$3:$AI$252,MATCH($A137-1,$A$3:$A$252,0)),"")),ROUND((INDEX($AI$3:$AI$252,MATCH($A137-1,$A$3:$A$252,0))-AE137)*10,1),""))</f>
        <v/>
      </c>
      <c r="AL137" s="10">
        <f>IF(ISNUMBER(AE137),1,0)</f>
        <v/>
      </c>
      <c r="AM137" s="17">
        <f>IF($A137="","",IF(COUNTIF($A$3:$A$252,$A137)&gt;1,"same date twice; ","")&amp;IF(AND(ISNUMBER($B137),OR($B137&lt;0,$B137&gt;300)),"rain out of range; ","")&amp;IF(AND(ISNUMBER($C137),OR($C137&lt;0,$C137&gt;45)),"temp out of range; ","")&amp;IF(AND(ISNUMBER($D137),OR($D137&lt;0,$D137&gt;100)),"RH out of range; ",""))</f>
        <v/>
      </c>
      <c r="AN137" s="17">
        <f>IF($A137="","",IF(AND(ISNUMBER(T137),OR(T137&lt;-30,T137&gt;20)),"WL out of range; ","")&amp;IF(AND(ISNUMBER($E137),T137=""),"no TP/b; ","")&amp;IF(AND(ISNUMBER(U137),ISNUMBER(V137)),IF(V137&lt;U137,"After&lt;Before; ",""),"")&amp;IF(AND($F137="Yes",ISNUMBER($E137),W137=""),"irrigation readings missing; ","")&amp;IF(ISNUMBER(Z137),IF(AND(ABS(Z137)&gt;50,NOT(N($B137)&gt;0)),"WL jump &gt;5 cm; ",""),""))</f>
        <v/>
      </c>
      <c r="AO137" s="17">
        <f>IF($A137="","",IF(AND(ISNUMBER(AE137),OR(AE137&lt;-30,AE137&gt;20)),"WL out of range; ","")&amp;IF(AND(ISNUMBER($J137),AE137=""),"no TP/b; ","")&amp;IF(AND(ISNUMBER(AF137),ISNUMBER(AG137)),IF(AG137&lt;AF137,"After&lt;Before; ",""),"")&amp;IF(AND($K137="Yes",ISNUMBER($J137),AH137=""),"irrigation readings missing; ","")&amp;IF(ISNUMBER(AK137),IF(AND(ABS(AK137)&gt;50,NOT(N($B137)&gt;0)),"WL jump &gt;5 cm; ",""),"")&amp;IF(AND(ISNUMBER(PitanE),ISNUMBER(AB137),$A137&gt;PitanE+2,AB137&lt;PitanE),"re-measure TP/b after Pitan; ",""))</f>
        <v/>
      </c>
    </row>
    <row r="138">
      <c r="A138" s="14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0">
        <f>IF(OR($A138="",NOT(ISNUMBER(TransDate))),"",$A138-TransDate)</f>
        <v/>
      </c>
      <c r="Q138" s="16">
        <f>IF($A138="","",IF(_xlfn.MAXIFS('TP-b'!$B$2:$B$60,'TP-b'!$A$2:$A$60,"FP",'TP-b'!$E$2:$E$60,1,'TP-b'!$B$2:$B$60,"&lt;="&amp;$A138)&gt;0,_xlfn.MAXIFS('TP-b'!$B$2:$B$60,'TP-b'!$A$2:$A$60,"FP",'TP-b'!$E$2:$E$60,1,'TP-b'!$B$2:$B$60,"&lt;="&amp;$A138),IF(_xlfn.MINIFS('TP-b'!$B$2:$B$60,'TP-b'!$A$2:$A$60,"FP",'TP-b'!$E$2:$E$60,1)&gt;0,_xlfn.MINIFS('TP-b'!$B$2:$B$60,'TP-b'!$A$2:$A$60,"FP",'TP-b'!$E$2:$E$60,1),"")))</f>
        <v/>
      </c>
      <c r="R138" s="10">
        <f>IF(Q138="","",AVERAGEIFS('TP-b'!$C$2:$C$60,'TP-b'!$A$2:$A$60,"FP",'TP-b'!$B$2:$B$60,Q138,'TP-b'!$E$2:$E$60,1))</f>
        <v/>
      </c>
      <c r="S138" s="10">
        <f>IF(Q138="","",AVERAGEIFS('TP-b'!$D$2:$D$60,'TP-b'!$A$2:$A$60,"FP",'TP-b'!$B$2:$B$60,Q138,'TP-b'!$E$2:$E$60,1))</f>
        <v/>
      </c>
      <c r="T138" s="10">
        <f>IF(OR($A138="",NOT(ISNUMBER($E138)),R138=""),"",ROUND($E138-R138+S138,1))</f>
        <v/>
      </c>
      <c r="U138" s="10">
        <f>IF(AND($F138="Yes",ISNUMBER($G138),R138&lt;&gt;""),ROUND($G138-R138+S138,1),"")</f>
        <v/>
      </c>
      <c r="V138" s="10">
        <f>IF(AND($F138="Yes",ISNUMBER($H138),R138&lt;&gt;""),ROUND($H138-R138+S138,1),"")</f>
        <v/>
      </c>
      <c r="W138" s="10">
        <f>IF(AND(ISNUMBER($E138),ISNUMBER(U138),ISNUMBER(V138)),ROUND((V138-MAX(U138,0))*10,1),"")</f>
        <v/>
      </c>
      <c r="X138" s="10">
        <f>IF(T138="","",IF(AND($F138="Yes",ISNUMBER(V138)),V138,T138))</f>
        <v/>
      </c>
      <c r="Y138" s="10">
        <f>IF(T138="","",ROUND(SUMIFS($W$3:$W$252,$A$3:$A$252,"&lt;="&amp;$A138),1))</f>
        <v/>
      </c>
      <c r="Z138" s="10">
        <f>IF(OR(T138="",$A138=""),"",IF(ISNUMBER(IFERROR(INDEX($X$3:$X$252,MATCH($A138-1,$A$3:$A$252,0)),"")),ROUND((INDEX($X$3:$X$252,MATCH($A138-1,$A$3:$A$252,0))-T138)*10,1),""))</f>
        <v/>
      </c>
      <c r="AA138" s="10">
        <f>IF(ISNUMBER(T138),1,0)</f>
        <v/>
      </c>
      <c r="AB138" s="16">
        <f>IF($A138="","",IF(_xlfn.MAXIFS('TP-b'!$B$2:$B$60,'TP-b'!$A$2:$A$60,"3F4D+MD",'TP-b'!$E$2:$E$60,1,'TP-b'!$B$2:$B$60,"&lt;="&amp;$A138)&gt;0,_xlfn.MAXIFS('TP-b'!$B$2:$B$60,'TP-b'!$A$2:$A$60,"3F4D+MD",'TP-b'!$E$2:$E$60,1,'TP-b'!$B$2:$B$60,"&lt;="&amp;$A138),IF(_xlfn.MINIFS('TP-b'!$B$2:$B$60,'TP-b'!$A$2:$A$60,"3F4D+MD",'TP-b'!$E$2:$E$60,1)&gt;0,_xlfn.MINIFS('TP-b'!$B$2:$B$60,'TP-b'!$A$2:$A$60,"3F4D+MD",'TP-b'!$E$2:$E$60,1),"")))</f>
        <v/>
      </c>
      <c r="AC138" s="10">
        <f>IF(AB138="","",AVERAGEIFS('TP-b'!$C$2:$C$60,'TP-b'!$A$2:$A$60,"3F4D+MD",'TP-b'!$B$2:$B$60,AB138,'TP-b'!$E$2:$E$60,1))</f>
        <v/>
      </c>
      <c r="AD138" s="10">
        <f>IF(AB138="","",AVERAGEIFS('TP-b'!$D$2:$D$60,'TP-b'!$A$2:$A$60,"3F4D+MD",'TP-b'!$B$2:$B$60,AB138,'TP-b'!$E$2:$E$60,1))</f>
        <v/>
      </c>
      <c r="AE138" s="10">
        <f>IF(OR($A138="",NOT(ISNUMBER($J138)),AC138=""),"",ROUND($J138-AC138+AD138,1))</f>
        <v/>
      </c>
      <c r="AF138" s="10">
        <f>IF(AND($K138="Yes",ISNUMBER($L138),AC138&lt;&gt;""),ROUND($L138-AC138+AD138,1),"")</f>
        <v/>
      </c>
      <c r="AG138" s="10">
        <f>IF(AND($K138="Yes",ISNUMBER($M138),AC138&lt;&gt;""),ROUND($M138-AC138+AD138,1),"")</f>
        <v/>
      </c>
      <c r="AH138" s="10">
        <f>IF(AND(ISNUMBER($J138),ISNUMBER(AF138),ISNUMBER(AG138)),ROUND((AG138-MAX(AF138,0))*10,1),"")</f>
        <v/>
      </c>
      <c r="AI138" s="10">
        <f>IF(AE138="","",IF(AND($K138="Yes",ISNUMBER(AG138)),AG138,AE138))</f>
        <v/>
      </c>
      <c r="AJ138" s="10">
        <f>IF(AE138="","",ROUND(SUMIFS($AH$3:$AH$252,$A$3:$A$252,"&lt;="&amp;$A138),1))</f>
        <v/>
      </c>
      <c r="AK138" s="10">
        <f>IF(OR(AE138="",$A138=""),"",IF(ISNUMBER(IFERROR(INDEX($AI$3:$AI$252,MATCH($A138-1,$A$3:$A$252,0)),"")),ROUND((INDEX($AI$3:$AI$252,MATCH($A138-1,$A$3:$A$252,0))-AE138)*10,1),""))</f>
        <v/>
      </c>
      <c r="AL138" s="10">
        <f>IF(ISNUMBER(AE138),1,0)</f>
        <v/>
      </c>
      <c r="AM138" s="17">
        <f>IF($A138="","",IF(COUNTIF($A$3:$A$252,$A138)&gt;1,"same date twice; ","")&amp;IF(AND(ISNUMBER($B138),OR($B138&lt;0,$B138&gt;300)),"rain out of range; ","")&amp;IF(AND(ISNUMBER($C138),OR($C138&lt;0,$C138&gt;45)),"temp out of range; ","")&amp;IF(AND(ISNUMBER($D138),OR($D138&lt;0,$D138&gt;100)),"RH out of range; ",""))</f>
        <v/>
      </c>
      <c r="AN138" s="17">
        <f>IF($A138="","",IF(AND(ISNUMBER(T138),OR(T138&lt;-30,T138&gt;20)),"WL out of range; ","")&amp;IF(AND(ISNUMBER($E138),T138=""),"no TP/b; ","")&amp;IF(AND(ISNUMBER(U138),ISNUMBER(V138)),IF(V138&lt;U138,"After&lt;Before; ",""),"")&amp;IF(AND($F138="Yes",ISNUMBER($E138),W138=""),"irrigation readings missing; ","")&amp;IF(ISNUMBER(Z138),IF(AND(ABS(Z138)&gt;50,NOT(N($B138)&gt;0)),"WL jump &gt;5 cm; ",""),""))</f>
        <v/>
      </c>
      <c r="AO138" s="17">
        <f>IF($A138="","",IF(AND(ISNUMBER(AE138),OR(AE138&lt;-30,AE138&gt;20)),"WL out of range; ","")&amp;IF(AND(ISNUMBER($J138),AE138=""),"no TP/b; ","")&amp;IF(AND(ISNUMBER(AF138),ISNUMBER(AG138)),IF(AG138&lt;AF138,"After&lt;Before; ",""),"")&amp;IF(AND($K138="Yes",ISNUMBER($J138),AH138=""),"irrigation readings missing; ","")&amp;IF(ISNUMBER(AK138),IF(AND(ABS(AK138)&gt;50,NOT(N($B138)&gt;0)),"WL jump &gt;5 cm; ",""),"")&amp;IF(AND(ISNUMBER(PitanE),ISNUMBER(AB138),$A138&gt;PitanE+2,AB138&lt;PitanE),"re-measure TP/b after Pitan; ",""))</f>
        <v/>
      </c>
    </row>
    <row r="139">
      <c r="A139" s="14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0">
        <f>IF(OR($A139="",NOT(ISNUMBER(TransDate))),"",$A139-TransDate)</f>
        <v/>
      </c>
      <c r="Q139" s="16">
        <f>IF($A139="","",IF(_xlfn.MAXIFS('TP-b'!$B$2:$B$60,'TP-b'!$A$2:$A$60,"FP",'TP-b'!$E$2:$E$60,1,'TP-b'!$B$2:$B$60,"&lt;="&amp;$A139)&gt;0,_xlfn.MAXIFS('TP-b'!$B$2:$B$60,'TP-b'!$A$2:$A$60,"FP",'TP-b'!$E$2:$E$60,1,'TP-b'!$B$2:$B$60,"&lt;="&amp;$A139),IF(_xlfn.MINIFS('TP-b'!$B$2:$B$60,'TP-b'!$A$2:$A$60,"FP",'TP-b'!$E$2:$E$60,1)&gt;0,_xlfn.MINIFS('TP-b'!$B$2:$B$60,'TP-b'!$A$2:$A$60,"FP",'TP-b'!$E$2:$E$60,1),"")))</f>
        <v/>
      </c>
      <c r="R139" s="10">
        <f>IF(Q139="","",AVERAGEIFS('TP-b'!$C$2:$C$60,'TP-b'!$A$2:$A$60,"FP",'TP-b'!$B$2:$B$60,Q139,'TP-b'!$E$2:$E$60,1))</f>
        <v/>
      </c>
      <c r="S139" s="10">
        <f>IF(Q139="","",AVERAGEIFS('TP-b'!$D$2:$D$60,'TP-b'!$A$2:$A$60,"FP",'TP-b'!$B$2:$B$60,Q139,'TP-b'!$E$2:$E$60,1))</f>
        <v/>
      </c>
      <c r="T139" s="10">
        <f>IF(OR($A139="",NOT(ISNUMBER($E139)),R139=""),"",ROUND($E139-R139+S139,1))</f>
        <v/>
      </c>
      <c r="U139" s="10">
        <f>IF(AND($F139="Yes",ISNUMBER($G139),R139&lt;&gt;""),ROUND($G139-R139+S139,1),"")</f>
        <v/>
      </c>
      <c r="V139" s="10">
        <f>IF(AND($F139="Yes",ISNUMBER($H139),R139&lt;&gt;""),ROUND($H139-R139+S139,1),"")</f>
        <v/>
      </c>
      <c r="W139" s="10">
        <f>IF(AND(ISNUMBER($E139),ISNUMBER(U139),ISNUMBER(V139)),ROUND((V139-MAX(U139,0))*10,1),"")</f>
        <v/>
      </c>
      <c r="X139" s="10">
        <f>IF(T139="","",IF(AND($F139="Yes",ISNUMBER(V139)),V139,T139))</f>
        <v/>
      </c>
      <c r="Y139" s="10">
        <f>IF(T139="","",ROUND(SUMIFS($W$3:$W$252,$A$3:$A$252,"&lt;="&amp;$A139),1))</f>
        <v/>
      </c>
      <c r="Z139" s="10">
        <f>IF(OR(T139="",$A139=""),"",IF(ISNUMBER(IFERROR(INDEX($X$3:$X$252,MATCH($A139-1,$A$3:$A$252,0)),"")),ROUND((INDEX($X$3:$X$252,MATCH($A139-1,$A$3:$A$252,0))-T139)*10,1),""))</f>
        <v/>
      </c>
      <c r="AA139" s="10">
        <f>IF(ISNUMBER(T139),1,0)</f>
        <v/>
      </c>
      <c r="AB139" s="16">
        <f>IF($A139="","",IF(_xlfn.MAXIFS('TP-b'!$B$2:$B$60,'TP-b'!$A$2:$A$60,"3F4D+MD",'TP-b'!$E$2:$E$60,1,'TP-b'!$B$2:$B$60,"&lt;="&amp;$A139)&gt;0,_xlfn.MAXIFS('TP-b'!$B$2:$B$60,'TP-b'!$A$2:$A$60,"3F4D+MD",'TP-b'!$E$2:$E$60,1,'TP-b'!$B$2:$B$60,"&lt;="&amp;$A139),IF(_xlfn.MINIFS('TP-b'!$B$2:$B$60,'TP-b'!$A$2:$A$60,"3F4D+MD",'TP-b'!$E$2:$E$60,1)&gt;0,_xlfn.MINIFS('TP-b'!$B$2:$B$60,'TP-b'!$A$2:$A$60,"3F4D+MD",'TP-b'!$E$2:$E$60,1),"")))</f>
        <v/>
      </c>
      <c r="AC139" s="10">
        <f>IF(AB139="","",AVERAGEIFS('TP-b'!$C$2:$C$60,'TP-b'!$A$2:$A$60,"3F4D+MD",'TP-b'!$B$2:$B$60,AB139,'TP-b'!$E$2:$E$60,1))</f>
        <v/>
      </c>
      <c r="AD139" s="10">
        <f>IF(AB139="","",AVERAGEIFS('TP-b'!$D$2:$D$60,'TP-b'!$A$2:$A$60,"3F4D+MD",'TP-b'!$B$2:$B$60,AB139,'TP-b'!$E$2:$E$60,1))</f>
        <v/>
      </c>
      <c r="AE139" s="10">
        <f>IF(OR($A139="",NOT(ISNUMBER($J139)),AC139=""),"",ROUND($J139-AC139+AD139,1))</f>
        <v/>
      </c>
      <c r="AF139" s="10">
        <f>IF(AND($K139="Yes",ISNUMBER($L139),AC139&lt;&gt;""),ROUND($L139-AC139+AD139,1),"")</f>
        <v/>
      </c>
      <c r="AG139" s="10">
        <f>IF(AND($K139="Yes",ISNUMBER($M139),AC139&lt;&gt;""),ROUND($M139-AC139+AD139,1),"")</f>
        <v/>
      </c>
      <c r="AH139" s="10">
        <f>IF(AND(ISNUMBER($J139),ISNUMBER(AF139),ISNUMBER(AG139)),ROUND((AG139-MAX(AF139,0))*10,1),"")</f>
        <v/>
      </c>
      <c r="AI139" s="10">
        <f>IF(AE139="","",IF(AND($K139="Yes",ISNUMBER(AG139)),AG139,AE139))</f>
        <v/>
      </c>
      <c r="AJ139" s="10">
        <f>IF(AE139="","",ROUND(SUMIFS($AH$3:$AH$252,$A$3:$A$252,"&lt;="&amp;$A139),1))</f>
        <v/>
      </c>
      <c r="AK139" s="10">
        <f>IF(OR(AE139="",$A139=""),"",IF(ISNUMBER(IFERROR(INDEX($AI$3:$AI$252,MATCH($A139-1,$A$3:$A$252,0)),"")),ROUND((INDEX($AI$3:$AI$252,MATCH($A139-1,$A$3:$A$252,0))-AE139)*10,1),""))</f>
        <v/>
      </c>
      <c r="AL139" s="10">
        <f>IF(ISNUMBER(AE139),1,0)</f>
        <v/>
      </c>
      <c r="AM139" s="17">
        <f>IF($A139="","",IF(COUNTIF($A$3:$A$252,$A139)&gt;1,"same date twice; ","")&amp;IF(AND(ISNUMBER($B139),OR($B139&lt;0,$B139&gt;300)),"rain out of range; ","")&amp;IF(AND(ISNUMBER($C139),OR($C139&lt;0,$C139&gt;45)),"temp out of range; ","")&amp;IF(AND(ISNUMBER($D139),OR($D139&lt;0,$D139&gt;100)),"RH out of range; ",""))</f>
        <v/>
      </c>
      <c r="AN139" s="17">
        <f>IF($A139="","",IF(AND(ISNUMBER(T139),OR(T139&lt;-30,T139&gt;20)),"WL out of range; ","")&amp;IF(AND(ISNUMBER($E139),T139=""),"no TP/b; ","")&amp;IF(AND(ISNUMBER(U139),ISNUMBER(V139)),IF(V139&lt;U139,"After&lt;Before; ",""),"")&amp;IF(AND($F139="Yes",ISNUMBER($E139),W139=""),"irrigation readings missing; ","")&amp;IF(ISNUMBER(Z139),IF(AND(ABS(Z139)&gt;50,NOT(N($B139)&gt;0)),"WL jump &gt;5 cm; ",""),""))</f>
        <v/>
      </c>
      <c r="AO139" s="17">
        <f>IF($A139="","",IF(AND(ISNUMBER(AE139),OR(AE139&lt;-30,AE139&gt;20)),"WL out of range; ","")&amp;IF(AND(ISNUMBER($J139),AE139=""),"no TP/b; ","")&amp;IF(AND(ISNUMBER(AF139),ISNUMBER(AG139)),IF(AG139&lt;AF139,"After&lt;Before; ",""),"")&amp;IF(AND($K139="Yes",ISNUMBER($J139),AH139=""),"irrigation readings missing; ","")&amp;IF(ISNUMBER(AK139),IF(AND(ABS(AK139)&gt;50,NOT(N($B139)&gt;0)),"WL jump &gt;5 cm; ",""),"")&amp;IF(AND(ISNUMBER(PitanE),ISNUMBER(AB139),$A139&gt;PitanE+2,AB139&lt;PitanE),"re-measure TP/b after Pitan; ",""))</f>
        <v/>
      </c>
    </row>
    <row r="140">
      <c r="A140" s="14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0">
        <f>IF(OR($A140="",NOT(ISNUMBER(TransDate))),"",$A140-TransDate)</f>
        <v/>
      </c>
      <c r="Q140" s="16">
        <f>IF($A140="","",IF(_xlfn.MAXIFS('TP-b'!$B$2:$B$60,'TP-b'!$A$2:$A$60,"FP",'TP-b'!$E$2:$E$60,1,'TP-b'!$B$2:$B$60,"&lt;="&amp;$A140)&gt;0,_xlfn.MAXIFS('TP-b'!$B$2:$B$60,'TP-b'!$A$2:$A$60,"FP",'TP-b'!$E$2:$E$60,1,'TP-b'!$B$2:$B$60,"&lt;="&amp;$A140),IF(_xlfn.MINIFS('TP-b'!$B$2:$B$60,'TP-b'!$A$2:$A$60,"FP",'TP-b'!$E$2:$E$60,1)&gt;0,_xlfn.MINIFS('TP-b'!$B$2:$B$60,'TP-b'!$A$2:$A$60,"FP",'TP-b'!$E$2:$E$60,1),"")))</f>
        <v/>
      </c>
      <c r="R140" s="10">
        <f>IF(Q140="","",AVERAGEIFS('TP-b'!$C$2:$C$60,'TP-b'!$A$2:$A$60,"FP",'TP-b'!$B$2:$B$60,Q140,'TP-b'!$E$2:$E$60,1))</f>
        <v/>
      </c>
      <c r="S140" s="10">
        <f>IF(Q140="","",AVERAGEIFS('TP-b'!$D$2:$D$60,'TP-b'!$A$2:$A$60,"FP",'TP-b'!$B$2:$B$60,Q140,'TP-b'!$E$2:$E$60,1))</f>
        <v/>
      </c>
      <c r="T140" s="10">
        <f>IF(OR($A140="",NOT(ISNUMBER($E140)),R140=""),"",ROUND($E140-R140+S140,1))</f>
        <v/>
      </c>
      <c r="U140" s="10">
        <f>IF(AND($F140="Yes",ISNUMBER($G140),R140&lt;&gt;""),ROUND($G140-R140+S140,1),"")</f>
        <v/>
      </c>
      <c r="V140" s="10">
        <f>IF(AND($F140="Yes",ISNUMBER($H140),R140&lt;&gt;""),ROUND($H140-R140+S140,1),"")</f>
        <v/>
      </c>
      <c r="W140" s="10">
        <f>IF(AND(ISNUMBER($E140),ISNUMBER(U140),ISNUMBER(V140)),ROUND((V140-MAX(U140,0))*10,1),"")</f>
        <v/>
      </c>
      <c r="X140" s="10">
        <f>IF(T140="","",IF(AND($F140="Yes",ISNUMBER(V140)),V140,T140))</f>
        <v/>
      </c>
      <c r="Y140" s="10">
        <f>IF(T140="","",ROUND(SUMIFS($W$3:$W$252,$A$3:$A$252,"&lt;="&amp;$A140),1))</f>
        <v/>
      </c>
      <c r="Z140" s="10">
        <f>IF(OR(T140="",$A140=""),"",IF(ISNUMBER(IFERROR(INDEX($X$3:$X$252,MATCH($A140-1,$A$3:$A$252,0)),"")),ROUND((INDEX($X$3:$X$252,MATCH($A140-1,$A$3:$A$252,0))-T140)*10,1),""))</f>
        <v/>
      </c>
      <c r="AA140" s="10">
        <f>IF(ISNUMBER(T140),1,0)</f>
        <v/>
      </c>
      <c r="AB140" s="16">
        <f>IF($A140="","",IF(_xlfn.MAXIFS('TP-b'!$B$2:$B$60,'TP-b'!$A$2:$A$60,"3F4D+MD",'TP-b'!$E$2:$E$60,1,'TP-b'!$B$2:$B$60,"&lt;="&amp;$A140)&gt;0,_xlfn.MAXIFS('TP-b'!$B$2:$B$60,'TP-b'!$A$2:$A$60,"3F4D+MD",'TP-b'!$E$2:$E$60,1,'TP-b'!$B$2:$B$60,"&lt;="&amp;$A140),IF(_xlfn.MINIFS('TP-b'!$B$2:$B$60,'TP-b'!$A$2:$A$60,"3F4D+MD",'TP-b'!$E$2:$E$60,1)&gt;0,_xlfn.MINIFS('TP-b'!$B$2:$B$60,'TP-b'!$A$2:$A$60,"3F4D+MD",'TP-b'!$E$2:$E$60,1),"")))</f>
        <v/>
      </c>
      <c r="AC140" s="10">
        <f>IF(AB140="","",AVERAGEIFS('TP-b'!$C$2:$C$60,'TP-b'!$A$2:$A$60,"3F4D+MD",'TP-b'!$B$2:$B$60,AB140,'TP-b'!$E$2:$E$60,1))</f>
        <v/>
      </c>
      <c r="AD140" s="10">
        <f>IF(AB140="","",AVERAGEIFS('TP-b'!$D$2:$D$60,'TP-b'!$A$2:$A$60,"3F4D+MD",'TP-b'!$B$2:$B$60,AB140,'TP-b'!$E$2:$E$60,1))</f>
        <v/>
      </c>
      <c r="AE140" s="10">
        <f>IF(OR($A140="",NOT(ISNUMBER($J140)),AC140=""),"",ROUND($J140-AC140+AD140,1))</f>
        <v/>
      </c>
      <c r="AF140" s="10">
        <f>IF(AND($K140="Yes",ISNUMBER($L140),AC140&lt;&gt;""),ROUND($L140-AC140+AD140,1),"")</f>
        <v/>
      </c>
      <c r="AG140" s="10">
        <f>IF(AND($K140="Yes",ISNUMBER($M140),AC140&lt;&gt;""),ROUND($M140-AC140+AD140,1),"")</f>
        <v/>
      </c>
      <c r="AH140" s="10">
        <f>IF(AND(ISNUMBER($J140),ISNUMBER(AF140),ISNUMBER(AG140)),ROUND((AG140-MAX(AF140,0))*10,1),"")</f>
        <v/>
      </c>
      <c r="AI140" s="10">
        <f>IF(AE140="","",IF(AND($K140="Yes",ISNUMBER(AG140)),AG140,AE140))</f>
        <v/>
      </c>
      <c r="AJ140" s="10">
        <f>IF(AE140="","",ROUND(SUMIFS($AH$3:$AH$252,$A$3:$A$252,"&lt;="&amp;$A140),1))</f>
        <v/>
      </c>
      <c r="AK140" s="10">
        <f>IF(OR(AE140="",$A140=""),"",IF(ISNUMBER(IFERROR(INDEX($AI$3:$AI$252,MATCH($A140-1,$A$3:$A$252,0)),"")),ROUND((INDEX($AI$3:$AI$252,MATCH($A140-1,$A$3:$A$252,0))-AE140)*10,1),""))</f>
        <v/>
      </c>
      <c r="AL140" s="10">
        <f>IF(ISNUMBER(AE140),1,0)</f>
        <v/>
      </c>
      <c r="AM140" s="17">
        <f>IF($A140="","",IF(COUNTIF($A$3:$A$252,$A140)&gt;1,"same date twice; ","")&amp;IF(AND(ISNUMBER($B140),OR($B140&lt;0,$B140&gt;300)),"rain out of range; ","")&amp;IF(AND(ISNUMBER($C140),OR($C140&lt;0,$C140&gt;45)),"temp out of range; ","")&amp;IF(AND(ISNUMBER($D140),OR($D140&lt;0,$D140&gt;100)),"RH out of range; ",""))</f>
        <v/>
      </c>
      <c r="AN140" s="17">
        <f>IF($A140="","",IF(AND(ISNUMBER(T140),OR(T140&lt;-30,T140&gt;20)),"WL out of range; ","")&amp;IF(AND(ISNUMBER($E140),T140=""),"no TP/b; ","")&amp;IF(AND(ISNUMBER(U140),ISNUMBER(V140)),IF(V140&lt;U140,"After&lt;Before; ",""),"")&amp;IF(AND($F140="Yes",ISNUMBER($E140),W140=""),"irrigation readings missing; ","")&amp;IF(ISNUMBER(Z140),IF(AND(ABS(Z140)&gt;50,NOT(N($B140)&gt;0)),"WL jump &gt;5 cm; ",""),""))</f>
        <v/>
      </c>
      <c r="AO140" s="17">
        <f>IF($A140="","",IF(AND(ISNUMBER(AE140),OR(AE140&lt;-30,AE140&gt;20)),"WL out of range; ","")&amp;IF(AND(ISNUMBER($J140),AE140=""),"no TP/b; ","")&amp;IF(AND(ISNUMBER(AF140),ISNUMBER(AG140)),IF(AG140&lt;AF140,"After&lt;Before; ",""),"")&amp;IF(AND($K140="Yes",ISNUMBER($J140),AH140=""),"irrigation readings missing; ","")&amp;IF(ISNUMBER(AK140),IF(AND(ABS(AK140)&gt;50,NOT(N($B140)&gt;0)),"WL jump &gt;5 cm; ",""),"")&amp;IF(AND(ISNUMBER(PitanE),ISNUMBER(AB140),$A140&gt;PitanE+2,AB140&lt;PitanE),"re-measure TP/b after Pitan; ",""))</f>
        <v/>
      </c>
    </row>
    <row r="141">
      <c r="A141" s="14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0">
        <f>IF(OR($A141="",NOT(ISNUMBER(TransDate))),"",$A141-TransDate)</f>
        <v/>
      </c>
      <c r="Q141" s="16">
        <f>IF($A141="","",IF(_xlfn.MAXIFS('TP-b'!$B$2:$B$60,'TP-b'!$A$2:$A$60,"FP",'TP-b'!$E$2:$E$60,1,'TP-b'!$B$2:$B$60,"&lt;="&amp;$A141)&gt;0,_xlfn.MAXIFS('TP-b'!$B$2:$B$60,'TP-b'!$A$2:$A$60,"FP",'TP-b'!$E$2:$E$60,1,'TP-b'!$B$2:$B$60,"&lt;="&amp;$A141),IF(_xlfn.MINIFS('TP-b'!$B$2:$B$60,'TP-b'!$A$2:$A$60,"FP",'TP-b'!$E$2:$E$60,1)&gt;0,_xlfn.MINIFS('TP-b'!$B$2:$B$60,'TP-b'!$A$2:$A$60,"FP",'TP-b'!$E$2:$E$60,1),"")))</f>
        <v/>
      </c>
      <c r="R141" s="10">
        <f>IF(Q141="","",AVERAGEIFS('TP-b'!$C$2:$C$60,'TP-b'!$A$2:$A$60,"FP",'TP-b'!$B$2:$B$60,Q141,'TP-b'!$E$2:$E$60,1))</f>
        <v/>
      </c>
      <c r="S141" s="10">
        <f>IF(Q141="","",AVERAGEIFS('TP-b'!$D$2:$D$60,'TP-b'!$A$2:$A$60,"FP",'TP-b'!$B$2:$B$60,Q141,'TP-b'!$E$2:$E$60,1))</f>
        <v/>
      </c>
      <c r="T141" s="10">
        <f>IF(OR($A141="",NOT(ISNUMBER($E141)),R141=""),"",ROUND($E141-R141+S141,1))</f>
        <v/>
      </c>
      <c r="U141" s="10">
        <f>IF(AND($F141="Yes",ISNUMBER($G141),R141&lt;&gt;""),ROUND($G141-R141+S141,1),"")</f>
        <v/>
      </c>
      <c r="V141" s="10">
        <f>IF(AND($F141="Yes",ISNUMBER($H141),R141&lt;&gt;""),ROUND($H141-R141+S141,1),"")</f>
        <v/>
      </c>
      <c r="W141" s="10">
        <f>IF(AND(ISNUMBER($E141),ISNUMBER(U141),ISNUMBER(V141)),ROUND((V141-MAX(U141,0))*10,1),"")</f>
        <v/>
      </c>
      <c r="X141" s="10">
        <f>IF(T141="","",IF(AND($F141="Yes",ISNUMBER(V141)),V141,T141))</f>
        <v/>
      </c>
      <c r="Y141" s="10">
        <f>IF(T141="","",ROUND(SUMIFS($W$3:$W$252,$A$3:$A$252,"&lt;="&amp;$A141),1))</f>
        <v/>
      </c>
      <c r="Z141" s="10">
        <f>IF(OR(T141="",$A141=""),"",IF(ISNUMBER(IFERROR(INDEX($X$3:$X$252,MATCH($A141-1,$A$3:$A$252,0)),"")),ROUND((INDEX($X$3:$X$252,MATCH($A141-1,$A$3:$A$252,0))-T141)*10,1),""))</f>
        <v/>
      </c>
      <c r="AA141" s="10">
        <f>IF(ISNUMBER(T141),1,0)</f>
        <v/>
      </c>
      <c r="AB141" s="16">
        <f>IF($A141="","",IF(_xlfn.MAXIFS('TP-b'!$B$2:$B$60,'TP-b'!$A$2:$A$60,"3F4D+MD",'TP-b'!$E$2:$E$60,1,'TP-b'!$B$2:$B$60,"&lt;="&amp;$A141)&gt;0,_xlfn.MAXIFS('TP-b'!$B$2:$B$60,'TP-b'!$A$2:$A$60,"3F4D+MD",'TP-b'!$E$2:$E$60,1,'TP-b'!$B$2:$B$60,"&lt;="&amp;$A141),IF(_xlfn.MINIFS('TP-b'!$B$2:$B$60,'TP-b'!$A$2:$A$60,"3F4D+MD",'TP-b'!$E$2:$E$60,1)&gt;0,_xlfn.MINIFS('TP-b'!$B$2:$B$60,'TP-b'!$A$2:$A$60,"3F4D+MD",'TP-b'!$E$2:$E$60,1),"")))</f>
        <v/>
      </c>
      <c r="AC141" s="10">
        <f>IF(AB141="","",AVERAGEIFS('TP-b'!$C$2:$C$60,'TP-b'!$A$2:$A$60,"3F4D+MD",'TP-b'!$B$2:$B$60,AB141,'TP-b'!$E$2:$E$60,1))</f>
        <v/>
      </c>
      <c r="AD141" s="10">
        <f>IF(AB141="","",AVERAGEIFS('TP-b'!$D$2:$D$60,'TP-b'!$A$2:$A$60,"3F4D+MD",'TP-b'!$B$2:$B$60,AB141,'TP-b'!$E$2:$E$60,1))</f>
        <v/>
      </c>
      <c r="AE141" s="10">
        <f>IF(OR($A141="",NOT(ISNUMBER($J141)),AC141=""),"",ROUND($J141-AC141+AD141,1))</f>
        <v/>
      </c>
      <c r="AF141" s="10">
        <f>IF(AND($K141="Yes",ISNUMBER($L141),AC141&lt;&gt;""),ROUND($L141-AC141+AD141,1),"")</f>
        <v/>
      </c>
      <c r="AG141" s="10">
        <f>IF(AND($K141="Yes",ISNUMBER($M141),AC141&lt;&gt;""),ROUND($M141-AC141+AD141,1),"")</f>
        <v/>
      </c>
      <c r="AH141" s="10">
        <f>IF(AND(ISNUMBER($J141),ISNUMBER(AF141),ISNUMBER(AG141)),ROUND((AG141-MAX(AF141,0))*10,1),"")</f>
        <v/>
      </c>
      <c r="AI141" s="10">
        <f>IF(AE141="","",IF(AND($K141="Yes",ISNUMBER(AG141)),AG141,AE141))</f>
        <v/>
      </c>
      <c r="AJ141" s="10">
        <f>IF(AE141="","",ROUND(SUMIFS($AH$3:$AH$252,$A$3:$A$252,"&lt;="&amp;$A141),1))</f>
        <v/>
      </c>
      <c r="AK141" s="10">
        <f>IF(OR(AE141="",$A141=""),"",IF(ISNUMBER(IFERROR(INDEX($AI$3:$AI$252,MATCH($A141-1,$A$3:$A$252,0)),"")),ROUND((INDEX($AI$3:$AI$252,MATCH($A141-1,$A$3:$A$252,0))-AE141)*10,1),""))</f>
        <v/>
      </c>
      <c r="AL141" s="10">
        <f>IF(ISNUMBER(AE141),1,0)</f>
        <v/>
      </c>
      <c r="AM141" s="17">
        <f>IF($A141="","",IF(COUNTIF($A$3:$A$252,$A141)&gt;1,"same date twice; ","")&amp;IF(AND(ISNUMBER($B141),OR($B141&lt;0,$B141&gt;300)),"rain out of range; ","")&amp;IF(AND(ISNUMBER($C141),OR($C141&lt;0,$C141&gt;45)),"temp out of range; ","")&amp;IF(AND(ISNUMBER($D141),OR($D141&lt;0,$D141&gt;100)),"RH out of range; ",""))</f>
        <v/>
      </c>
      <c r="AN141" s="17">
        <f>IF($A141="","",IF(AND(ISNUMBER(T141),OR(T141&lt;-30,T141&gt;20)),"WL out of range; ","")&amp;IF(AND(ISNUMBER($E141),T141=""),"no TP/b; ","")&amp;IF(AND(ISNUMBER(U141),ISNUMBER(V141)),IF(V141&lt;U141,"After&lt;Before; ",""),"")&amp;IF(AND($F141="Yes",ISNUMBER($E141),W141=""),"irrigation readings missing; ","")&amp;IF(ISNUMBER(Z141),IF(AND(ABS(Z141)&gt;50,NOT(N($B141)&gt;0)),"WL jump &gt;5 cm; ",""),""))</f>
        <v/>
      </c>
      <c r="AO141" s="17">
        <f>IF($A141="","",IF(AND(ISNUMBER(AE141),OR(AE141&lt;-30,AE141&gt;20)),"WL out of range; ","")&amp;IF(AND(ISNUMBER($J141),AE141=""),"no TP/b; ","")&amp;IF(AND(ISNUMBER(AF141),ISNUMBER(AG141)),IF(AG141&lt;AF141,"After&lt;Before; ",""),"")&amp;IF(AND($K141="Yes",ISNUMBER($J141),AH141=""),"irrigation readings missing; ","")&amp;IF(ISNUMBER(AK141),IF(AND(ABS(AK141)&gt;50,NOT(N($B141)&gt;0)),"WL jump &gt;5 cm; ",""),"")&amp;IF(AND(ISNUMBER(PitanE),ISNUMBER(AB141),$A141&gt;PitanE+2,AB141&lt;PitanE),"re-measure TP/b after Pitan; ",""))</f>
        <v/>
      </c>
    </row>
    <row r="142">
      <c r="A142" s="14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0">
        <f>IF(OR($A142="",NOT(ISNUMBER(TransDate))),"",$A142-TransDate)</f>
        <v/>
      </c>
      <c r="Q142" s="16">
        <f>IF($A142="","",IF(_xlfn.MAXIFS('TP-b'!$B$2:$B$60,'TP-b'!$A$2:$A$60,"FP",'TP-b'!$E$2:$E$60,1,'TP-b'!$B$2:$B$60,"&lt;="&amp;$A142)&gt;0,_xlfn.MAXIFS('TP-b'!$B$2:$B$60,'TP-b'!$A$2:$A$60,"FP",'TP-b'!$E$2:$E$60,1,'TP-b'!$B$2:$B$60,"&lt;="&amp;$A142),IF(_xlfn.MINIFS('TP-b'!$B$2:$B$60,'TP-b'!$A$2:$A$60,"FP",'TP-b'!$E$2:$E$60,1)&gt;0,_xlfn.MINIFS('TP-b'!$B$2:$B$60,'TP-b'!$A$2:$A$60,"FP",'TP-b'!$E$2:$E$60,1),"")))</f>
        <v/>
      </c>
      <c r="R142" s="10">
        <f>IF(Q142="","",AVERAGEIFS('TP-b'!$C$2:$C$60,'TP-b'!$A$2:$A$60,"FP",'TP-b'!$B$2:$B$60,Q142,'TP-b'!$E$2:$E$60,1))</f>
        <v/>
      </c>
      <c r="S142" s="10">
        <f>IF(Q142="","",AVERAGEIFS('TP-b'!$D$2:$D$60,'TP-b'!$A$2:$A$60,"FP",'TP-b'!$B$2:$B$60,Q142,'TP-b'!$E$2:$E$60,1))</f>
        <v/>
      </c>
      <c r="T142" s="10">
        <f>IF(OR($A142="",NOT(ISNUMBER($E142)),R142=""),"",ROUND($E142-R142+S142,1))</f>
        <v/>
      </c>
      <c r="U142" s="10">
        <f>IF(AND($F142="Yes",ISNUMBER($G142),R142&lt;&gt;""),ROUND($G142-R142+S142,1),"")</f>
        <v/>
      </c>
      <c r="V142" s="10">
        <f>IF(AND($F142="Yes",ISNUMBER($H142),R142&lt;&gt;""),ROUND($H142-R142+S142,1),"")</f>
        <v/>
      </c>
      <c r="W142" s="10">
        <f>IF(AND(ISNUMBER($E142),ISNUMBER(U142),ISNUMBER(V142)),ROUND((V142-MAX(U142,0))*10,1),"")</f>
        <v/>
      </c>
      <c r="X142" s="10">
        <f>IF(T142="","",IF(AND($F142="Yes",ISNUMBER(V142)),V142,T142))</f>
        <v/>
      </c>
      <c r="Y142" s="10">
        <f>IF(T142="","",ROUND(SUMIFS($W$3:$W$252,$A$3:$A$252,"&lt;="&amp;$A142),1))</f>
        <v/>
      </c>
      <c r="Z142" s="10">
        <f>IF(OR(T142="",$A142=""),"",IF(ISNUMBER(IFERROR(INDEX($X$3:$X$252,MATCH($A142-1,$A$3:$A$252,0)),"")),ROUND((INDEX($X$3:$X$252,MATCH($A142-1,$A$3:$A$252,0))-T142)*10,1),""))</f>
        <v/>
      </c>
      <c r="AA142" s="10">
        <f>IF(ISNUMBER(T142),1,0)</f>
        <v/>
      </c>
      <c r="AB142" s="16">
        <f>IF($A142="","",IF(_xlfn.MAXIFS('TP-b'!$B$2:$B$60,'TP-b'!$A$2:$A$60,"3F4D+MD",'TP-b'!$E$2:$E$60,1,'TP-b'!$B$2:$B$60,"&lt;="&amp;$A142)&gt;0,_xlfn.MAXIFS('TP-b'!$B$2:$B$60,'TP-b'!$A$2:$A$60,"3F4D+MD",'TP-b'!$E$2:$E$60,1,'TP-b'!$B$2:$B$60,"&lt;="&amp;$A142),IF(_xlfn.MINIFS('TP-b'!$B$2:$B$60,'TP-b'!$A$2:$A$60,"3F4D+MD",'TP-b'!$E$2:$E$60,1)&gt;0,_xlfn.MINIFS('TP-b'!$B$2:$B$60,'TP-b'!$A$2:$A$60,"3F4D+MD",'TP-b'!$E$2:$E$60,1),"")))</f>
        <v/>
      </c>
      <c r="AC142" s="10">
        <f>IF(AB142="","",AVERAGEIFS('TP-b'!$C$2:$C$60,'TP-b'!$A$2:$A$60,"3F4D+MD",'TP-b'!$B$2:$B$60,AB142,'TP-b'!$E$2:$E$60,1))</f>
        <v/>
      </c>
      <c r="AD142" s="10">
        <f>IF(AB142="","",AVERAGEIFS('TP-b'!$D$2:$D$60,'TP-b'!$A$2:$A$60,"3F4D+MD",'TP-b'!$B$2:$B$60,AB142,'TP-b'!$E$2:$E$60,1))</f>
        <v/>
      </c>
      <c r="AE142" s="10">
        <f>IF(OR($A142="",NOT(ISNUMBER($J142)),AC142=""),"",ROUND($J142-AC142+AD142,1))</f>
        <v/>
      </c>
      <c r="AF142" s="10">
        <f>IF(AND($K142="Yes",ISNUMBER($L142),AC142&lt;&gt;""),ROUND($L142-AC142+AD142,1),"")</f>
        <v/>
      </c>
      <c r="AG142" s="10">
        <f>IF(AND($K142="Yes",ISNUMBER($M142),AC142&lt;&gt;""),ROUND($M142-AC142+AD142,1),"")</f>
        <v/>
      </c>
      <c r="AH142" s="10">
        <f>IF(AND(ISNUMBER($J142),ISNUMBER(AF142),ISNUMBER(AG142)),ROUND((AG142-MAX(AF142,0))*10,1),"")</f>
        <v/>
      </c>
      <c r="AI142" s="10">
        <f>IF(AE142="","",IF(AND($K142="Yes",ISNUMBER(AG142)),AG142,AE142))</f>
        <v/>
      </c>
      <c r="AJ142" s="10">
        <f>IF(AE142="","",ROUND(SUMIFS($AH$3:$AH$252,$A$3:$A$252,"&lt;="&amp;$A142),1))</f>
        <v/>
      </c>
      <c r="AK142" s="10">
        <f>IF(OR(AE142="",$A142=""),"",IF(ISNUMBER(IFERROR(INDEX($AI$3:$AI$252,MATCH($A142-1,$A$3:$A$252,0)),"")),ROUND((INDEX($AI$3:$AI$252,MATCH($A142-1,$A$3:$A$252,0))-AE142)*10,1),""))</f>
        <v/>
      </c>
      <c r="AL142" s="10">
        <f>IF(ISNUMBER(AE142),1,0)</f>
        <v/>
      </c>
      <c r="AM142" s="17">
        <f>IF($A142="","",IF(COUNTIF($A$3:$A$252,$A142)&gt;1,"same date twice; ","")&amp;IF(AND(ISNUMBER($B142),OR($B142&lt;0,$B142&gt;300)),"rain out of range; ","")&amp;IF(AND(ISNUMBER($C142),OR($C142&lt;0,$C142&gt;45)),"temp out of range; ","")&amp;IF(AND(ISNUMBER($D142),OR($D142&lt;0,$D142&gt;100)),"RH out of range; ",""))</f>
        <v/>
      </c>
      <c r="AN142" s="17">
        <f>IF($A142="","",IF(AND(ISNUMBER(T142),OR(T142&lt;-30,T142&gt;20)),"WL out of range; ","")&amp;IF(AND(ISNUMBER($E142),T142=""),"no TP/b; ","")&amp;IF(AND(ISNUMBER(U142),ISNUMBER(V142)),IF(V142&lt;U142,"After&lt;Before; ",""),"")&amp;IF(AND($F142="Yes",ISNUMBER($E142),W142=""),"irrigation readings missing; ","")&amp;IF(ISNUMBER(Z142),IF(AND(ABS(Z142)&gt;50,NOT(N($B142)&gt;0)),"WL jump &gt;5 cm; ",""),""))</f>
        <v/>
      </c>
      <c r="AO142" s="17">
        <f>IF($A142="","",IF(AND(ISNUMBER(AE142),OR(AE142&lt;-30,AE142&gt;20)),"WL out of range; ","")&amp;IF(AND(ISNUMBER($J142),AE142=""),"no TP/b; ","")&amp;IF(AND(ISNUMBER(AF142),ISNUMBER(AG142)),IF(AG142&lt;AF142,"After&lt;Before; ",""),"")&amp;IF(AND($K142="Yes",ISNUMBER($J142),AH142=""),"irrigation readings missing; ","")&amp;IF(ISNUMBER(AK142),IF(AND(ABS(AK142)&gt;50,NOT(N($B142)&gt;0)),"WL jump &gt;5 cm; ",""),"")&amp;IF(AND(ISNUMBER(PitanE),ISNUMBER(AB142),$A142&gt;PitanE+2,AB142&lt;PitanE),"re-measure TP/b after Pitan; ",""))</f>
        <v/>
      </c>
    </row>
    <row r="143">
      <c r="A143" s="14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0">
        <f>IF(OR($A143="",NOT(ISNUMBER(TransDate))),"",$A143-TransDate)</f>
        <v/>
      </c>
      <c r="Q143" s="16">
        <f>IF($A143="","",IF(_xlfn.MAXIFS('TP-b'!$B$2:$B$60,'TP-b'!$A$2:$A$60,"FP",'TP-b'!$E$2:$E$60,1,'TP-b'!$B$2:$B$60,"&lt;="&amp;$A143)&gt;0,_xlfn.MAXIFS('TP-b'!$B$2:$B$60,'TP-b'!$A$2:$A$60,"FP",'TP-b'!$E$2:$E$60,1,'TP-b'!$B$2:$B$60,"&lt;="&amp;$A143),IF(_xlfn.MINIFS('TP-b'!$B$2:$B$60,'TP-b'!$A$2:$A$60,"FP",'TP-b'!$E$2:$E$60,1)&gt;0,_xlfn.MINIFS('TP-b'!$B$2:$B$60,'TP-b'!$A$2:$A$60,"FP",'TP-b'!$E$2:$E$60,1),"")))</f>
        <v/>
      </c>
      <c r="R143" s="10">
        <f>IF(Q143="","",AVERAGEIFS('TP-b'!$C$2:$C$60,'TP-b'!$A$2:$A$60,"FP",'TP-b'!$B$2:$B$60,Q143,'TP-b'!$E$2:$E$60,1))</f>
        <v/>
      </c>
      <c r="S143" s="10">
        <f>IF(Q143="","",AVERAGEIFS('TP-b'!$D$2:$D$60,'TP-b'!$A$2:$A$60,"FP",'TP-b'!$B$2:$B$60,Q143,'TP-b'!$E$2:$E$60,1))</f>
        <v/>
      </c>
      <c r="T143" s="10">
        <f>IF(OR($A143="",NOT(ISNUMBER($E143)),R143=""),"",ROUND($E143-R143+S143,1))</f>
        <v/>
      </c>
      <c r="U143" s="10">
        <f>IF(AND($F143="Yes",ISNUMBER($G143),R143&lt;&gt;""),ROUND($G143-R143+S143,1),"")</f>
        <v/>
      </c>
      <c r="V143" s="10">
        <f>IF(AND($F143="Yes",ISNUMBER($H143),R143&lt;&gt;""),ROUND($H143-R143+S143,1),"")</f>
        <v/>
      </c>
      <c r="W143" s="10">
        <f>IF(AND(ISNUMBER($E143),ISNUMBER(U143),ISNUMBER(V143)),ROUND((V143-MAX(U143,0))*10,1),"")</f>
        <v/>
      </c>
      <c r="X143" s="10">
        <f>IF(T143="","",IF(AND($F143="Yes",ISNUMBER(V143)),V143,T143))</f>
        <v/>
      </c>
      <c r="Y143" s="10">
        <f>IF(T143="","",ROUND(SUMIFS($W$3:$W$252,$A$3:$A$252,"&lt;="&amp;$A143),1))</f>
        <v/>
      </c>
      <c r="Z143" s="10">
        <f>IF(OR(T143="",$A143=""),"",IF(ISNUMBER(IFERROR(INDEX($X$3:$X$252,MATCH($A143-1,$A$3:$A$252,0)),"")),ROUND((INDEX($X$3:$X$252,MATCH($A143-1,$A$3:$A$252,0))-T143)*10,1),""))</f>
        <v/>
      </c>
      <c r="AA143" s="10">
        <f>IF(ISNUMBER(T143),1,0)</f>
        <v/>
      </c>
      <c r="AB143" s="16">
        <f>IF($A143="","",IF(_xlfn.MAXIFS('TP-b'!$B$2:$B$60,'TP-b'!$A$2:$A$60,"3F4D+MD",'TP-b'!$E$2:$E$60,1,'TP-b'!$B$2:$B$60,"&lt;="&amp;$A143)&gt;0,_xlfn.MAXIFS('TP-b'!$B$2:$B$60,'TP-b'!$A$2:$A$60,"3F4D+MD",'TP-b'!$E$2:$E$60,1,'TP-b'!$B$2:$B$60,"&lt;="&amp;$A143),IF(_xlfn.MINIFS('TP-b'!$B$2:$B$60,'TP-b'!$A$2:$A$60,"3F4D+MD",'TP-b'!$E$2:$E$60,1)&gt;0,_xlfn.MINIFS('TP-b'!$B$2:$B$60,'TP-b'!$A$2:$A$60,"3F4D+MD",'TP-b'!$E$2:$E$60,1),"")))</f>
        <v/>
      </c>
      <c r="AC143" s="10">
        <f>IF(AB143="","",AVERAGEIFS('TP-b'!$C$2:$C$60,'TP-b'!$A$2:$A$60,"3F4D+MD",'TP-b'!$B$2:$B$60,AB143,'TP-b'!$E$2:$E$60,1))</f>
        <v/>
      </c>
      <c r="AD143" s="10">
        <f>IF(AB143="","",AVERAGEIFS('TP-b'!$D$2:$D$60,'TP-b'!$A$2:$A$60,"3F4D+MD",'TP-b'!$B$2:$B$60,AB143,'TP-b'!$E$2:$E$60,1))</f>
        <v/>
      </c>
      <c r="AE143" s="10">
        <f>IF(OR($A143="",NOT(ISNUMBER($J143)),AC143=""),"",ROUND($J143-AC143+AD143,1))</f>
        <v/>
      </c>
      <c r="AF143" s="10">
        <f>IF(AND($K143="Yes",ISNUMBER($L143),AC143&lt;&gt;""),ROUND($L143-AC143+AD143,1),"")</f>
        <v/>
      </c>
      <c r="AG143" s="10">
        <f>IF(AND($K143="Yes",ISNUMBER($M143),AC143&lt;&gt;""),ROUND($M143-AC143+AD143,1),"")</f>
        <v/>
      </c>
      <c r="AH143" s="10">
        <f>IF(AND(ISNUMBER($J143),ISNUMBER(AF143),ISNUMBER(AG143)),ROUND((AG143-MAX(AF143,0))*10,1),"")</f>
        <v/>
      </c>
      <c r="AI143" s="10">
        <f>IF(AE143="","",IF(AND($K143="Yes",ISNUMBER(AG143)),AG143,AE143))</f>
        <v/>
      </c>
      <c r="AJ143" s="10">
        <f>IF(AE143="","",ROUND(SUMIFS($AH$3:$AH$252,$A$3:$A$252,"&lt;="&amp;$A143),1))</f>
        <v/>
      </c>
      <c r="AK143" s="10">
        <f>IF(OR(AE143="",$A143=""),"",IF(ISNUMBER(IFERROR(INDEX($AI$3:$AI$252,MATCH($A143-1,$A$3:$A$252,0)),"")),ROUND((INDEX($AI$3:$AI$252,MATCH($A143-1,$A$3:$A$252,0))-AE143)*10,1),""))</f>
        <v/>
      </c>
      <c r="AL143" s="10">
        <f>IF(ISNUMBER(AE143),1,0)</f>
        <v/>
      </c>
      <c r="AM143" s="17">
        <f>IF($A143="","",IF(COUNTIF($A$3:$A$252,$A143)&gt;1,"same date twice; ","")&amp;IF(AND(ISNUMBER($B143),OR($B143&lt;0,$B143&gt;300)),"rain out of range; ","")&amp;IF(AND(ISNUMBER($C143),OR($C143&lt;0,$C143&gt;45)),"temp out of range; ","")&amp;IF(AND(ISNUMBER($D143),OR($D143&lt;0,$D143&gt;100)),"RH out of range; ",""))</f>
        <v/>
      </c>
      <c r="AN143" s="17">
        <f>IF($A143="","",IF(AND(ISNUMBER(T143),OR(T143&lt;-30,T143&gt;20)),"WL out of range; ","")&amp;IF(AND(ISNUMBER($E143),T143=""),"no TP/b; ","")&amp;IF(AND(ISNUMBER(U143),ISNUMBER(V143)),IF(V143&lt;U143,"After&lt;Before; ",""),"")&amp;IF(AND($F143="Yes",ISNUMBER($E143),W143=""),"irrigation readings missing; ","")&amp;IF(ISNUMBER(Z143),IF(AND(ABS(Z143)&gt;50,NOT(N($B143)&gt;0)),"WL jump &gt;5 cm; ",""),""))</f>
        <v/>
      </c>
      <c r="AO143" s="17">
        <f>IF($A143="","",IF(AND(ISNUMBER(AE143),OR(AE143&lt;-30,AE143&gt;20)),"WL out of range; ","")&amp;IF(AND(ISNUMBER($J143),AE143=""),"no TP/b; ","")&amp;IF(AND(ISNUMBER(AF143),ISNUMBER(AG143)),IF(AG143&lt;AF143,"After&lt;Before; ",""),"")&amp;IF(AND($K143="Yes",ISNUMBER($J143),AH143=""),"irrigation readings missing; ","")&amp;IF(ISNUMBER(AK143),IF(AND(ABS(AK143)&gt;50,NOT(N($B143)&gt;0)),"WL jump &gt;5 cm; ",""),"")&amp;IF(AND(ISNUMBER(PitanE),ISNUMBER(AB143),$A143&gt;PitanE+2,AB143&lt;PitanE),"re-measure TP/b after Pitan; ",""))</f>
        <v/>
      </c>
    </row>
    <row r="144">
      <c r="A144" s="14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0">
        <f>IF(OR($A144="",NOT(ISNUMBER(TransDate))),"",$A144-TransDate)</f>
        <v/>
      </c>
      <c r="Q144" s="16">
        <f>IF($A144="","",IF(_xlfn.MAXIFS('TP-b'!$B$2:$B$60,'TP-b'!$A$2:$A$60,"FP",'TP-b'!$E$2:$E$60,1,'TP-b'!$B$2:$B$60,"&lt;="&amp;$A144)&gt;0,_xlfn.MAXIFS('TP-b'!$B$2:$B$60,'TP-b'!$A$2:$A$60,"FP",'TP-b'!$E$2:$E$60,1,'TP-b'!$B$2:$B$60,"&lt;="&amp;$A144),IF(_xlfn.MINIFS('TP-b'!$B$2:$B$60,'TP-b'!$A$2:$A$60,"FP",'TP-b'!$E$2:$E$60,1)&gt;0,_xlfn.MINIFS('TP-b'!$B$2:$B$60,'TP-b'!$A$2:$A$60,"FP",'TP-b'!$E$2:$E$60,1),"")))</f>
        <v/>
      </c>
      <c r="R144" s="10">
        <f>IF(Q144="","",AVERAGEIFS('TP-b'!$C$2:$C$60,'TP-b'!$A$2:$A$60,"FP",'TP-b'!$B$2:$B$60,Q144,'TP-b'!$E$2:$E$60,1))</f>
        <v/>
      </c>
      <c r="S144" s="10">
        <f>IF(Q144="","",AVERAGEIFS('TP-b'!$D$2:$D$60,'TP-b'!$A$2:$A$60,"FP",'TP-b'!$B$2:$B$60,Q144,'TP-b'!$E$2:$E$60,1))</f>
        <v/>
      </c>
      <c r="T144" s="10">
        <f>IF(OR($A144="",NOT(ISNUMBER($E144)),R144=""),"",ROUND($E144-R144+S144,1))</f>
        <v/>
      </c>
      <c r="U144" s="10">
        <f>IF(AND($F144="Yes",ISNUMBER($G144),R144&lt;&gt;""),ROUND($G144-R144+S144,1),"")</f>
        <v/>
      </c>
      <c r="V144" s="10">
        <f>IF(AND($F144="Yes",ISNUMBER($H144),R144&lt;&gt;""),ROUND($H144-R144+S144,1),"")</f>
        <v/>
      </c>
      <c r="W144" s="10">
        <f>IF(AND(ISNUMBER($E144),ISNUMBER(U144),ISNUMBER(V144)),ROUND((V144-MAX(U144,0))*10,1),"")</f>
        <v/>
      </c>
      <c r="X144" s="10">
        <f>IF(T144="","",IF(AND($F144="Yes",ISNUMBER(V144)),V144,T144))</f>
        <v/>
      </c>
      <c r="Y144" s="10">
        <f>IF(T144="","",ROUND(SUMIFS($W$3:$W$252,$A$3:$A$252,"&lt;="&amp;$A144),1))</f>
        <v/>
      </c>
      <c r="Z144" s="10">
        <f>IF(OR(T144="",$A144=""),"",IF(ISNUMBER(IFERROR(INDEX($X$3:$X$252,MATCH($A144-1,$A$3:$A$252,0)),"")),ROUND((INDEX($X$3:$X$252,MATCH($A144-1,$A$3:$A$252,0))-T144)*10,1),""))</f>
        <v/>
      </c>
      <c r="AA144" s="10">
        <f>IF(ISNUMBER(T144),1,0)</f>
        <v/>
      </c>
      <c r="AB144" s="16">
        <f>IF($A144="","",IF(_xlfn.MAXIFS('TP-b'!$B$2:$B$60,'TP-b'!$A$2:$A$60,"3F4D+MD",'TP-b'!$E$2:$E$60,1,'TP-b'!$B$2:$B$60,"&lt;="&amp;$A144)&gt;0,_xlfn.MAXIFS('TP-b'!$B$2:$B$60,'TP-b'!$A$2:$A$60,"3F4D+MD",'TP-b'!$E$2:$E$60,1,'TP-b'!$B$2:$B$60,"&lt;="&amp;$A144),IF(_xlfn.MINIFS('TP-b'!$B$2:$B$60,'TP-b'!$A$2:$A$60,"3F4D+MD",'TP-b'!$E$2:$E$60,1)&gt;0,_xlfn.MINIFS('TP-b'!$B$2:$B$60,'TP-b'!$A$2:$A$60,"3F4D+MD",'TP-b'!$E$2:$E$60,1),"")))</f>
        <v/>
      </c>
      <c r="AC144" s="10">
        <f>IF(AB144="","",AVERAGEIFS('TP-b'!$C$2:$C$60,'TP-b'!$A$2:$A$60,"3F4D+MD",'TP-b'!$B$2:$B$60,AB144,'TP-b'!$E$2:$E$60,1))</f>
        <v/>
      </c>
      <c r="AD144" s="10">
        <f>IF(AB144="","",AVERAGEIFS('TP-b'!$D$2:$D$60,'TP-b'!$A$2:$A$60,"3F4D+MD",'TP-b'!$B$2:$B$60,AB144,'TP-b'!$E$2:$E$60,1))</f>
        <v/>
      </c>
      <c r="AE144" s="10">
        <f>IF(OR($A144="",NOT(ISNUMBER($J144)),AC144=""),"",ROUND($J144-AC144+AD144,1))</f>
        <v/>
      </c>
      <c r="AF144" s="10">
        <f>IF(AND($K144="Yes",ISNUMBER($L144),AC144&lt;&gt;""),ROUND($L144-AC144+AD144,1),"")</f>
        <v/>
      </c>
      <c r="AG144" s="10">
        <f>IF(AND($K144="Yes",ISNUMBER($M144),AC144&lt;&gt;""),ROUND($M144-AC144+AD144,1),"")</f>
        <v/>
      </c>
      <c r="AH144" s="10">
        <f>IF(AND(ISNUMBER($J144),ISNUMBER(AF144),ISNUMBER(AG144)),ROUND((AG144-MAX(AF144,0))*10,1),"")</f>
        <v/>
      </c>
      <c r="AI144" s="10">
        <f>IF(AE144="","",IF(AND($K144="Yes",ISNUMBER(AG144)),AG144,AE144))</f>
        <v/>
      </c>
      <c r="AJ144" s="10">
        <f>IF(AE144="","",ROUND(SUMIFS($AH$3:$AH$252,$A$3:$A$252,"&lt;="&amp;$A144),1))</f>
        <v/>
      </c>
      <c r="AK144" s="10">
        <f>IF(OR(AE144="",$A144=""),"",IF(ISNUMBER(IFERROR(INDEX($AI$3:$AI$252,MATCH($A144-1,$A$3:$A$252,0)),"")),ROUND((INDEX($AI$3:$AI$252,MATCH($A144-1,$A$3:$A$252,0))-AE144)*10,1),""))</f>
        <v/>
      </c>
      <c r="AL144" s="10">
        <f>IF(ISNUMBER(AE144),1,0)</f>
        <v/>
      </c>
      <c r="AM144" s="17">
        <f>IF($A144="","",IF(COUNTIF($A$3:$A$252,$A144)&gt;1,"same date twice; ","")&amp;IF(AND(ISNUMBER($B144),OR($B144&lt;0,$B144&gt;300)),"rain out of range; ","")&amp;IF(AND(ISNUMBER($C144),OR($C144&lt;0,$C144&gt;45)),"temp out of range; ","")&amp;IF(AND(ISNUMBER($D144),OR($D144&lt;0,$D144&gt;100)),"RH out of range; ",""))</f>
        <v/>
      </c>
      <c r="AN144" s="17">
        <f>IF($A144="","",IF(AND(ISNUMBER(T144),OR(T144&lt;-30,T144&gt;20)),"WL out of range; ","")&amp;IF(AND(ISNUMBER($E144),T144=""),"no TP/b; ","")&amp;IF(AND(ISNUMBER(U144),ISNUMBER(V144)),IF(V144&lt;U144,"After&lt;Before; ",""),"")&amp;IF(AND($F144="Yes",ISNUMBER($E144),W144=""),"irrigation readings missing; ","")&amp;IF(ISNUMBER(Z144),IF(AND(ABS(Z144)&gt;50,NOT(N($B144)&gt;0)),"WL jump &gt;5 cm; ",""),""))</f>
        <v/>
      </c>
      <c r="AO144" s="17">
        <f>IF($A144="","",IF(AND(ISNUMBER(AE144),OR(AE144&lt;-30,AE144&gt;20)),"WL out of range; ","")&amp;IF(AND(ISNUMBER($J144),AE144=""),"no TP/b; ","")&amp;IF(AND(ISNUMBER(AF144),ISNUMBER(AG144)),IF(AG144&lt;AF144,"After&lt;Before; ",""),"")&amp;IF(AND($K144="Yes",ISNUMBER($J144),AH144=""),"irrigation readings missing; ","")&amp;IF(ISNUMBER(AK144),IF(AND(ABS(AK144)&gt;50,NOT(N($B144)&gt;0)),"WL jump &gt;5 cm; ",""),"")&amp;IF(AND(ISNUMBER(PitanE),ISNUMBER(AB144),$A144&gt;PitanE+2,AB144&lt;PitanE),"re-measure TP/b after Pitan; ",""))</f>
        <v/>
      </c>
    </row>
    <row r="145">
      <c r="A145" s="14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0">
        <f>IF(OR($A145="",NOT(ISNUMBER(TransDate))),"",$A145-TransDate)</f>
        <v/>
      </c>
      <c r="Q145" s="16">
        <f>IF($A145="","",IF(_xlfn.MAXIFS('TP-b'!$B$2:$B$60,'TP-b'!$A$2:$A$60,"FP",'TP-b'!$E$2:$E$60,1,'TP-b'!$B$2:$B$60,"&lt;="&amp;$A145)&gt;0,_xlfn.MAXIFS('TP-b'!$B$2:$B$60,'TP-b'!$A$2:$A$60,"FP",'TP-b'!$E$2:$E$60,1,'TP-b'!$B$2:$B$60,"&lt;="&amp;$A145),IF(_xlfn.MINIFS('TP-b'!$B$2:$B$60,'TP-b'!$A$2:$A$60,"FP",'TP-b'!$E$2:$E$60,1)&gt;0,_xlfn.MINIFS('TP-b'!$B$2:$B$60,'TP-b'!$A$2:$A$60,"FP",'TP-b'!$E$2:$E$60,1),"")))</f>
        <v/>
      </c>
      <c r="R145" s="10">
        <f>IF(Q145="","",AVERAGEIFS('TP-b'!$C$2:$C$60,'TP-b'!$A$2:$A$60,"FP",'TP-b'!$B$2:$B$60,Q145,'TP-b'!$E$2:$E$60,1))</f>
        <v/>
      </c>
      <c r="S145" s="10">
        <f>IF(Q145="","",AVERAGEIFS('TP-b'!$D$2:$D$60,'TP-b'!$A$2:$A$60,"FP",'TP-b'!$B$2:$B$60,Q145,'TP-b'!$E$2:$E$60,1))</f>
        <v/>
      </c>
      <c r="T145" s="10">
        <f>IF(OR($A145="",NOT(ISNUMBER($E145)),R145=""),"",ROUND($E145-R145+S145,1))</f>
        <v/>
      </c>
      <c r="U145" s="10">
        <f>IF(AND($F145="Yes",ISNUMBER($G145),R145&lt;&gt;""),ROUND($G145-R145+S145,1),"")</f>
        <v/>
      </c>
      <c r="V145" s="10">
        <f>IF(AND($F145="Yes",ISNUMBER($H145),R145&lt;&gt;""),ROUND($H145-R145+S145,1),"")</f>
        <v/>
      </c>
      <c r="W145" s="10">
        <f>IF(AND(ISNUMBER($E145),ISNUMBER(U145),ISNUMBER(V145)),ROUND((V145-MAX(U145,0))*10,1),"")</f>
        <v/>
      </c>
      <c r="X145" s="10">
        <f>IF(T145="","",IF(AND($F145="Yes",ISNUMBER(V145)),V145,T145))</f>
        <v/>
      </c>
      <c r="Y145" s="10">
        <f>IF(T145="","",ROUND(SUMIFS($W$3:$W$252,$A$3:$A$252,"&lt;="&amp;$A145),1))</f>
        <v/>
      </c>
      <c r="Z145" s="10">
        <f>IF(OR(T145="",$A145=""),"",IF(ISNUMBER(IFERROR(INDEX($X$3:$X$252,MATCH($A145-1,$A$3:$A$252,0)),"")),ROUND((INDEX($X$3:$X$252,MATCH($A145-1,$A$3:$A$252,0))-T145)*10,1),""))</f>
        <v/>
      </c>
      <c r="AA145" s="10">
        <f>IF(ISNUMBER(T145),1,0)</f>
        <v/>
      </c>
      <c r="AB145" s="16">
        <f>IF($A145="","",IF(_xlfn.MAXIFS('TP-b'!$B$2:$B$60,'TP-b'!$A$2:$A$60,"3F4D+MD",'TP-b'!$E$2:$E$60,1,'TP-b'!$B$2:$B$60,"&lt;="&amp;$A145)&gt;0,_xlfn.MAXIFS('TP-b'!$B$2:$B$60,'TP-b'!$A$2:$A$60,"3F4D+MD",'TP-b'!$E$2:$E$60,1,'TP-b'!$B$2:$B$60,"&lt;="&amp;$A145),IF(_xlfn.MINIFS('TP-b'!$B$2:$B$60,'TP-b'!$A$2:$A$60,"3F4D+MD",'TP-b'!$E$2:$E$60,1)&gt;0,_xlfn.MINIFS('TP-b'!$B$2:$B$60,'TP-b'!$A$2:$A$60,"3F4D+MD",'TP-b'!$E$2:$E$60,1),"")))</f>
        <v/>
      </c>
      <c r="AC145" s="10">
        <f>IF(AB145="","",AVERAGEIFS('TP-b'!$C$2:$C$60,'TP-b'!$A$2:$A$60,"3F4D+MD",'TP-b'!$B$2:$B$60,AB145,'TP-b'!$E$2:$E$60,1))</f>
        <v/>
      </c>
      <c r="AD145" s="10">
        <f>IF(AB145="","",AVERAGEIFS('TP-b'!$D$2:$D$60,'TP-b'!$A$2:$A$60,"3F4D+MD",'TP-b'!$B$2:$B$60,AB145,'TP-b'!$E$2:$E$60,1))</f>
        <v/>
      </c>
      <c r="AE145" s="10">
        <f>IF(OR($A145="",NOT(ISNUMBER($J145)),AC145=""),"",ROUND($J145-AC145+AD145,1))</f>
        <v/>
      </c>
      <c r="AF145" s="10">
        <f>IF(AND($K145="Yes",ISNUMBER($L145),AC145&lt;&gt;""),ROUND($L145-AC145+AD145,1),"")</f>
        <v/>
      </c>
      <c r="AG145" s="10">
        <f>IF(AND($K145="Yes",ISNUMBER($M145),AC145&lt;&gt;""),ROUND($M145-AC145+AD145,1),"")</f>
        <v/>
      </c>
      <c r="AH145" s="10">
        <f>IF(AND(ISNUMBER($J145),ISNUMBER(AF145),ISNUMBER(AG145)),ROUND((AG145-MAX(AF145,0))*10,1),"")</f>
        <v/>
      </c>
      <c r="AI145" s="10">
        <f>IF(AE145="","",IF(AND($K145="Yes",ISNUMBER(AG145)),AG145,AE145))</f>
        <v/>
      </c>
      <c r="AJ145" s="10">
        <f>IF(AE145="","",ROUND(SUMIFS($AH$3:$AH$252,$A$3:$A$252,"&lt;="&amp;$A145),1))</f>
        <v/>
      </c>
      <c r="AK145" s="10">
        <f>IF(OR(AE145="",$A145=""),"",IF(ISNUMBER(IFERROR(INDEX($AI$3:$AI$252,MATCH($A145-1,$A$3:$A$252,0)),"")),ROUND((INDEX($AI$3:$AI$252,MATCH($A145-1,$A$3:$A$252,0))-AE145)*10,1),""))</f>
        <v/>
      </c>
      <c r="AL145" s="10">
        <f>IF(ISNUMBER(AE145),1,0)</f>
        <v/>
      </c>
      <c r="AM145" s="17">
        <f>IF($A145="","",IF(COUNTIF($A$3:$A$252,$A145)&gt;1,"same date twice; ","")&amp;IF(AND(ISNUMBER($B145),OR($B145&lt;0,$B145&gt;300)),"rain out of range; ","")&amp;IF(AND(ISNUMBER($C145),OR($C145&lt;0,$C145&gt;45)),"temp out of range; ","")&amp;IF(AND(ISNUMBER($D145),OR($D145&lt;0,$D145&gt;100)),"RH out of range; ",""))</f>
        <v/>
      </c>
      <c r="AN145" s="17">
        <f>IF($A145="","",IF(AND(ISNUMBER(T145),OR(T145&lt;-30,T145&gt;20)),"WL out of range; ","")&amp;IF(AND(ISNUMBER($E145),T145=""),"no TP/b; ","")&amp;IF(AND(ISNUMBER(U145),ISNUMBER(V145)),IF(V145&lt;U145,"After&lt;Before; ",""),"")&amp;IF(AND($F145="Yes",ISNUMBER($E145),W145=""),"irrigation readings missing; ","")&amp;IF(ISNUMBER(Z145),IF(AND(ABS(Z145)&gt;50,NOT(N($B145)&gt;0)),"WL jump &gt;5 cm; ",""),""))</f>
        <v/>
      </c>
      <c r="AO145" s="17">
        <f>IF($A145="","",IF(AND(ISNUMBER(AE145),OR(AE145&lt;-30,AE145&gt;20)),"WL out of range; ","")&amp;IF(AND(ISNUMBER($J145),AE145=""),"no TP/b; ","")&amp;IF(AND(ISNUMBER(AF145),ISNUMBER(AG145)),IF(AG145&lt;AF145,"After&lt;Before; ",""),"")&amp;IF(AND($K145="Yes",ISNUMBER($J145),AH145=""),"irrigation readings missing; ","")&amp;IF(ISNUMBER(AK145),IF(AND(ABS(AK145)&gt;50,NOT(N($B145)&gt;0)),"WL jump &gt;5 cm; ",""),"")&amp;IF(AND(ISNUMBER(PitanE),ISNUMBER(AB145),$A145&gt;PitanE+2,AB145&lt;PitanE),"re-measure TP/b after Pitan; ",""))</f>
        <v/>
      </c>
    </row>
    <row r="146">
      <c r="A146" s="14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0">
        <f>IF(OR($A146="",NOT(ISNUMBER(TransDate))),"",$A146-TransDate)</f>
        <v/>
      </c>
      <c r="Q146" s="16">
        <f>IF($A146="","",IF(_xlfn.MAXIFS('TP-b'!$B$2:$B$60,'TP-b'!$A$2:$A$60,"FP",'TP-b'!$E$2:$E$60,1,'TP-b'!$B$2:$B$60,"&lt;="&amp;$A146)&gt;0,_xlfn.MAXIFS('TP-b'!$B$2:$B$60,'TP-b'!$A$2:$A$60,"FP",'TP-b'!$E$2:$E$60,1,'TP-b'!$B$2:$B$60,"&lt;="&amp;$A146),IF(_xlfn.MINIFS('TP-b'!$B$2:$B$60,'TP-b'!$A$2:$A$60,"FP",'TP-b'!$E$2:$E$60,1)&gt;0,_xlfn.MINIFS('TP-b'!$B$2:$B$60,'TP-b'!$A$2:$A$60,"FP",'TP-b'!$E$2:$E$60,1),"")))</f>
        <v/>
      </c>
      <c r="R146" s="10">
        <f>IF(Q146="","",AVERAGEIFS('TP-b'!$C$2:$C$60,'TP-b'!$A$2:$A$60,"FP",'TP-b'!$B$2:$B$60,Q146,'TP-b'!$E$2:$E$60,1))</f>
        <v/>
      </c>
      <c r="S146" s="10">
        <f>IF(Q146="","",AVERAGEIFS('TP-b'!$D$2:$D$60,'TP-b'!$A$2:$A$60,"FP",'TP-b'!$B$2:$B$60,Q146,'TP-b'!$E$2:$E$60,1))</f>
        <v/>
      </c>
      <c r="T146" s="10">
        <f>IF(OR($A146="",NOT(ISNUMBER($E146)),R146=""),"",ROUND($E146-R146+S146,1))</f>
        <v/>
      </c>
      <c r="U146" s="10">
        <f>IF(AND($F146="Yes",ISNUMBER($G146),R146&lt;&gt;""),ROUND($G146-R146+S146,1),"")</f>
        <v/>
      </c>
      <c r="V146" s="10">
        <f>IF(AND($F146="Yes",ISNUMBER($H146),R146&lt;&gt;""),ROUND($H146-R146+S146,1),"")</f>
        <v/>
      </c>
      <c r="W146" s="10">
        <f>IF(AND(ISNUMBER($E146),ISNUMBER(U146),ISNUMBER(V146)),ROUND((V146-MAX(U146,0))*10,1),"")</f>
        <v/>
      </c>
      <c r="X146" s="10">
        <f>IF(T146="","",IF(AND($F146="Yes",ISNUMBER(V146)),V146,T146))</f>
        <v/>
      </c>
      <c r="Y146" s="10">
        <f>IF(T146="","",ROUND(SUMIFS($W$3:$W$252,$A$3:$A$252,"&lt;="&amp;$A146),1))</f>
        <v/>
      </c>
      <c r="Z146" s="10">
        <f>IF(OR(T146="",$A146=""),"",IF(ISNUMBER(IFERROR(INDEX($X$3:$X$252,MATCH($A146-1,$A$3:$A$252,0)),"")),ROUND((INDEX($X$3:$X$252,MATCH($A146-1,$A$3:$A$252,0))-T146)*10,1),""))</f>
        <v/>
      </c>
      <c r="AA146" s="10">
        <f>IF(ISNUMBER(T146),1,0)</f>
        <v/>
      </c>
      <c r="AB146" s="16">
        <f>IF($A146="","",IF(_xlfn.MAXIFS('TP-b'!$B$2:$B$60,'TP-b'!$A$2:$A$60,"3F4D+MD",'TP-b'!$E$2:$E$60,1,'TP-b'!$B$2:$B$60,"&lt;="&amp;$A146)&gt;0,_xlfn.MAXIFS('TP-b'!$B$2:$B$60,'TP-b'!$A$2:$A$60,"3F4D+MD",'TP-b'!$E$2:$E$60,1,'TP-b'!$B$2:$B$60,"&lt;="&amp;$A146),IF(_xlfn.MINIFS('TP-b'!$B$2:$B$60,'TP-b'!$A$2:$A$60,"3F4D+MD",'TP-b'!$E$2:$E$60,1)&gt;0,_xlfn.MINIFS('TP-b'!$B$2:$B$60,'TP-b'!$A$2:$A$60,"3F4D+MD",'TP-b'!$E$2:$E$60,1),"")))</f>
        <v/>
      </c>
      <c r="AC146" s="10">
        <f>IF(AB146="","",AVERAGEIFS('TP-b'!$C$2:$C$60,'TP-b'!$A$2:$A$60,"3F4D+MD",'TP-b'!$B$2:$B$60,AB146,'TP-b'!$E$2:$E$60,1))</f>
        <v/>
      </c>
      <c r="AD146" s="10">
        <f>IF(AB146="","",AVERAGEIFS('TP-b'!$D$2:$D$60,'TP-b'!$A$2:$A$60,"3F4D+MD",'TP-b'!$B$2:$B$60,AB146,'TP-b'!$E$2:$E$60,1))</f>
        <v/>
      </c>
      <c r="AE146" s="10">
        <f>IF(OR($A146="",NOT(ISNUMBER($J146)),AC146=""),"",ROUND($J146-AC146+AD146,1))</f>
        <v/>
      </c>
      <c r="AF146" s="10">
        <f>IF(AND($K146="Yes",ISNUMBER($L146),AC146&lt;&gt;""),ROUND($L146-AC146+AD146,1),"")</f>
        <v/>
      </c>
      <c r="AG146" s="10">
        <f>IF(AND($K146="Yes",ISNUMBER($M146),AC146&lt;&gt;""),ROUND($M146-AC146+AD146,1),"")</f>
        <v/>
      </c>
      <c r="AH146" s="10">
        <f>IF(AND(ISNUMBER($J146),ISNUMBER(AF146),ISNUMBER(AG146)),ROUND((AG146-MAX(AF146,0))*10,1),"")</f>
        <v/>
      </c>
      <c r="AI146" s="10">
        <f>IF(AE146="","",IF(AND($K146="Yes",ISNUMBER(AG146)),AG146,AE146))</f>
        <v/>
      </c>
      <c r="AJ146" s="10">
        <f>IF(AE146="","",ROUND(SUMIFS($AH$3:$AH$252,$A$3:$A$252,"&lt;="&amp;$A146),1))</f>
        <v/>
      </c>
      <c r="AK146" s="10">
        <f>IF(OR(AE146="",$A146=""),"",IF(ISNUMBER(IFERROR(INDEX($AI$3:$AI$252,MATCH($A146-1,$A$3:$A$252,0)),"")),ROUND((INDEX($AI$3:$AI$252,MATCH($A146-1,$A$3:$A$252,0))-AE146)*10,1),""))</f>
        <v/>
      </c>
      <c r="AL146" s="10">
        <f>IF(ISNUMBER(AE146),1,0)</f>
        <v/>
      </c>
      <c r="AM146" s="17">
        <f>IF($A146="","",IF(COUNTIF($A$3:$A$252,$A146)&gt;1,"same date twice; ","")&amp;IF(AND(ISNUMBER($B146),OR($B146&lt;0,$B146&gt;300)),"rain out of range; ","")&amp;IF(AND(ISNUMBER($C146),OR($C146&lt;0,$C146&gt;45)),"temp out of range; ","")&amp;IF(AND(ISNUMBER($D146),OR($D146&lt;0,$D146&gt;100)),"RH out of range; ",""))</f>
        <v/>
      </c>
      <c r="AN146" s="17">
        <f>IF($A146="","",IF(AND(ISNUMBER(T146),OR(T146&lt;-30,T146&gt;20)),"WL out of range; ","")&amp;IF(AND(ISNUMBER($E146),T146=""),"no TP/b; ","")&amp;IF(AND(ISNUMBER(U146),ISNUMBER(V146)),IF(V146&lt;U146,"After&lt;Before; ",""),"")&amp;IF(AND($F146="Yes",ISNUMBER($E146),W146=""),"irrigation readings missing; ","")&amp;IF(ISNUMBER(Z146),IF(AND(ABS(Z146)&gt;50,NOT(N($B146)&gt;0)),"WL jump &gt;5 cm; ",""),""))</f>
        <v/>
      </c>
      <c r="AO146" s="17">
        <f>IF($A146="","",IF(AND(ISNUMBER(AE146),OR(AE146&lt;-30,AE146&gt;20)),"WL out of range; ","")&amp;IF(AND(ISNUMBER($J146),AE146=""),"no TP/b; ","")&amp;IF(AND(ISNUMBER(AF146),ISNUMBER(AG146)),IF(AG146&lt;AF146,"After&lt;Before; ",""),"")&amp;IF(AND($K146="Yes",ISNUMBER($J146),AH146=""),"irrigation readings missing; ","")&amp;IF(ISNUMBER(AK146),IF(AND(ABS(AK146)&gt;50,NOT(N($B146)&gt;0)),"WL jump &gt;5 cm; ",""),"")&amp;IF(AND(ISNUMBER(PitanE),ISNUMBER(AB146),$A146&gt;PitanE+2,AB146&lt;PitanE),"re-measure TP/b after Pitan; ",""))</f>
        <v/>
      </c>
    </row>
    <row r="147">
      <c r="A147" s="14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0">
        <f>IF(OR($A147="",NOT(ISNUMBER(TransDate))),"",$A147-TransDate)</f>
        <v/>
      </c>
      <c r="Q147" s="16">
        <f>IF($A147="","",IF(_xlfn.MAXIFS('TP-b'!$B$2:$B$60,'TP-b'!$A$2:$A$60,"FP",'TP-b'!$E$2:$E$60,1,'TP-b'!$B$2:$B$60,"&lt;="&amp;$A147)&gt;0,_xlfn.MAXIFS('TP-b'!$B$2:$B$60,'TP-b'!$A$2:$A$60,"FP",'TP-b'!$E$2:$E$60,1,'TP-b'!$B$2:$B$60,"&lt;="&amp;$A147),IF(_xlfn.MINIFS('TP-b'!$B$2:$B$60,'TP-b'!$A$2:$A$60,"FP",'TP-b'!$E$2:$E$60,1)&gt;0,_xlfn.MINIFS('TP-b'!$B$2:$B$60,'TP-b'!$A$2:$A$60,"FP",'TP-b'!$E$2:$E$60,1),"")))</f>
        <v/>
      </c>
      <c r="R147" s="10">
        <f>IF(Q147="","",AVERAGEIFS('TP-b'!$C$2:$C$60,'TP-b'!$A$2:$A$60,"FP",'TP-b'!$B$2:$B$60,Q147,'TP-b'!$E$2:$E$60,1))</f>
        <v/>
      </c>
      <c r="S147" s="10">
        <f>IF(Q147="","",AVERAGEIFS('TP-b'!$D$2:$D$60,'TP-b'!$A$2:$A$60,"FP",'TP-b'!$B$2:$B$60,Q147,'TP-b'!$E$2:$E$60,1))</f>
        <v/>
      </c>
      <c r="T147" s="10">
        <f>IF(OR($A147="",NOT(ISNUMBER($E147)),R147=""),"",ROUND($E147-R147+S147,1))</f>
        <v/>
      </c>
      <c r="U147" s="10">
        <f>IF(AND($F147="Yes",ISNUMBER($G147),R147&lt;&gt;""),ROUND($G147-R147+S147,1),"")</f>
        <v/>
      </c>
      <c r="V147" s="10">
        <f>IF(AND($F147="Yes",ISNUMBER($H147),R147&lt;&gt;""),ROUND($H147-R147+S147,1),"")</f>
        <v/>
      </c>
      <c r="W147" s="10">
        <f>IF(AND(ISNUMBER($E147),ISNUMBER(U147),ISNUMBER(V147)),ROUND((V147-MAX(U147,0))*10,1),"")</f>
        <v/>
      </c>
      <c r="X147" s="10">
        <f>IF(T147="","",IF(AND($F147="Yes",ISNUMBER(V147)),V147,T147))</f>
        <v/>
      </c>
      <c r="Y147" s="10">
        <f>IF(T147="","",ROUND(SUMIFS($W$3:$W$252,$A$3:$A$252,"&lt;="&amp;$A147),1))</f>
        <v/>
      </c>
      <c r="Z147" s="10">
        <f>IF(OR(T147="",$A147=""),"",IF(ISNUMBER(IFERROR(INDEX($X$3:$X$252,MATCH($A147-1,$A$3:$A$252,0)),"")),ROUND((INDEX($X$3:$X$252,MATCH($A147-1,$A$3:$A$252,0))-T147)*10,1),""))</f>
        <v/>
      </c>
      <c r="AA147" s="10">
        <f>IF(ISNUMBER(T147),1,0)</f>
        <v/>
      </c>
      <c r="AB147" s="16">
        <f>IF($A147="","",IF(_xlfn.MAXIFS('TP-b'!$B$2:$B$60,'TP-b'!$A$2:$A$60,"3F4D+MD",'TP-b'!$E$2:$E$60,1,'TP-b'!$B$2:$B$60,"&lt;="&amp;$A147)&gt;0,_xlfn.MAXIFS('TP-b'!$B$2:$B$60,'TP-b'!$A$2:$A$60,"3F4D+MD",'TP-b'!$E$2:$E$60,1,'TP-b'!$B$2:$B$60,"&lt;="&amp;$A147),IF(_xlfn.MINIFS('TP-b'!$B$2:$B$60,'TP-b'!$A$2:$A$60,"3F4D+MD",'TP-b'!$E$2:$E$60,1)&gt;0,_xlfn.MINIFS('TP-b'!$B$2:$B$60,'TP-b'!$A$2:$A$60,"3F4D+MD",'TP-b'!$E$2:$E$60,1),"")))</f>
        <v/>
      </c>
      <c r="AC147" s="10">
        <f>IF(AB147="","",AVERAGEIFS('TP-b'!$C$2:$C$60,'TP-b'!$A$2:$A$60,"3F4D+MD",'TP-b'!$B$2:$B$60,AB147,'TP-b'!$E$2:$E$60,1))</f>
        <v/>
      </c>
      <c r="AD147" s="10">
        <f>IF(AB147="","",AVERAGEIFS('TP-b'!$D$2:$D$60,'TP-b'!$A$2:$A$60,"3F4D+MD",'TP-b'!$B$2:$B$60,AB147,'TP-b'!$E$2:$E$60,1))</f>
        <v/>
      </c>
      <c r="AE147" s="10">
        <f>IF(OR($A147="",NOT(ISNUMBER($J147)),AC147=""),"",ROUND($J147-AC147+AD147,1))</f>
        <v/>
      </c>
      <c r="AF147" s="10">
        <f>IF(AND($K147="Yes",ISNUMBER($L147),AC147&lt;&gt;""),ROUND($L147-AC147+AD147,1),"")</f>
        <v/>
      </c>
      <c r="AG147" s="10">
        <f>IF(AND($K147="Yes",ISNUMBER($M147),AC147&lt;&gt;""),ROUND($M147-AC147+AD147,1),"")</f>
        <v/>
      </c>
      <c r="AH147" s="10">
        <f>IF(AND(ISNUMBER($J147),ISNUMBER(AF147),ISNUMBER(AG147)),ROUND((AG147-MAX(AF147,0))*10,1),"")</f>
        <v/>
      </c>
      <c r="AI147" s="10">
        <f>IF(AE147="","",IF(AND($K147="Yes",ISNUMBER(AG147)),AG147,AE147))</f>
        <v/>
      </c>
      <c r="AJ147" s="10">
        <f>IF(AE147="","",ROUND(SUMIFS($AH$3:$AH$252,$A$3:$A$252,"&lt;="&amp;$A147),1))</f>
        <v/>
      </c>
      <c r="AK147" s="10">
        <f>IF(OR(AE147="",$A147=""),"",IF(ISNUMBER(IFERROR(INDEX($AI$3:$AI$252,MATCH($A147-1,$A$3:$A$252,0)),"")),ROUND((INDEX($AI$3:$AI$252,MATCH($A147-1,$A$3:$A$252,0))-AE147)*10,1),""))</f>
        <v/>
      </c>
      <c r="AL147" s="10">
        <f>IF(ISNUMBER(AE147),1,0)</f>
        <v/>
      </c>
      <c r="AM147" s="17">
        <f>IF($A147="","",IF(COUNTIF($A$3:$A$252,$A147)&gt;1,"same date twice; ","")&amp;IF(AND(ISNUMBER($B147),OR($B147&lt;0,$B147&gt;300)),"rain out of range; ","")&amp;IF(AND(ISNUMBER($C147),OR($C147&lt;0,$C147&gt;45)),"temp out of range; ","")&amp;IF(AND(ISNUMBER($D147),OR($D147&lt;0,$D147&gt;100)),"RH out of range; ",""))</f>
        <v/>
      </c>
      <c r="AN147" s="17">
        <f>IF($A147="","",IF(AND(ISNUMBER(T147),OR(T147&lt;-30,T147&gt;20)),"WL out of range; ","")&amp;IF(AND(ISNUMBER($E147),T147=""),"no TP/b; ","")&amp;IF(AND(ISNUMBER(U147),ISNUMBER(V147)),IF(V147&lt;U147,"After&lt;Before; ",""),"")&amp;IF(AND($F147="Yes",ISNUMBER($E147),W147=""),"irrigation readings missing; ","")&amp;IF(ISNUMBER(Z147),IF(AND(ABS(Z147)&gt;50,NOT(N($B147)&gt;0)),"WL jump &gt;5 cm; ",""),""))</f>
        <v/>
      </c>
      <c r="AO147" s="17">
        <f>IF($A147="","",IF(AND(ISNUMBER(AE147),OR(AE147&lt;-30,AE147&gt;20)),"WL out of range; ","")&amp;IF(AND(ISNUMBER($J147),AE147=""),"no TP/b; ","")&amp;IF(AND(ISNUMBER(AF147),ISNUMBER(AG147)),IF(AG147&lt;AF147,"After&lt;Before; ",""),"")&amp;IF(AND($K147="Yes",ISNUMBER($J147),AH147=""),"irrigation readings missing; ","")&amp;IF(ISNUMBER(AK147),IF(AND(ABS(AK147)&gt;50,NOT(N($B147)&gt;0)),"WL jump &gt;5 cm; ",""),"")&amp;IF(AND(ISNUMBER(PitanE),ISNUMBER(AB147),$A147&gt;PitanE+2,AB147&lt;PitanE),"re-measure TP/b after Pitan; ",""))</f>
        <v/>
      </c>
    </row>
    <row r="148">
      <c r="A148" s="14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0">
        <f>IF(OR($A148="",NOT(ISNUMBER(TransDate))),"",$A148-TransDate)</f>
        <v/>
      </c>
      <c r="Q148" s="16">
        <f>IF($A148="","",IF(_xlfn.MAXIFS('TP-b'!$B$2:$B$60,'TP-b'!$A$2:$A$60,"FP",'TP-b'!$E$2:$E$60,1,'TP-b'!$B$2:$B$60,"&lt;="&amp;$A148)&gt;0,_xlfn.MAXIFS('TP-b'!$B$2:$B$60,'TP-b'!$A$2:$A$60,"FP",'TP-b'!$E$2:$E$60,1,'TP-b'!$B$2:$B$60,"&lt;="&amp;$A148),IF(_xlfn.MINIFS('TP-b'!$B$2:$B$60,'TP-b'!$A$2:$A$60,"FP",'TP-b'!$E$2:$E$60,1)&gt;0,_xlfn.MINIFS('TP-b'!$B$2:$B$60,'TP-b'!$A$2:$A$60,"FP",'TP-b'!$E$2:$E$60,1),"")))</f>
        <v/>
      </c>
      <c r="R148" s="10">
        <f>IF(Q148="","",AVERAGEIFS('TP-b'!$C$2:$C$60,'TP-b'!$A$2:$A$60,"FP",'TP-b'!$B$2:$B$60,Q148,'TP-b'!$E$2:$E$60,1))</f>
        <v/>
      </c>
      <c r="S148" s="10">
        <f>IF(Q148="","",AVERAGEIFS('TP-b'!$D$2:$D$60,'TP-b'!$A$2:$A$60,"FP",'TP-b'!$B$2:$B$60,Q148,'TP-b'!$E$2:$E$60,1))</f>
        <v/>
      </c>
      <c r="T148" s="10">
        <f>IF(OR($A148="",NOT(ISNUMBER($E148)),R148=""),"",ROUND($E148-R148+S148,1))</f>
        <v/>
      </c>
      <c r="U148" s="10">
        <f>IF(AND($F148="Yes",ISNUMBER($G148),R148&lt;&gt;""),ROUND($G148-R148+S148,1),"")</f>
        <v/>
      </c>
      <c r="V148" s="10">
        <f>IF(AND($F148="Yes",ISNUMBER($H148),R148&lt;&gt;""),ROUND($H148-R148+S148,1),"")</f>
        <v/>
      </c>
      <c r="W148" s="10">
        <f>IF(AND(ISNUMBER($E148),ISNUMBER(U148),ISNUMBER(V148)),ROUND((V148-MAX(U148,0))*10,1),"")</f>
        <v/>
      </c>
      <c r="X148" s="10">
        <f>IF(T148="","",IF(AND($F148="Yes",ISNUMBER(V148)),V148,T148))</f>
        <v/>
      </c>
      <c r="Y148" s="10">
        <f>IF(T148="","",ROUND(SUMIFS($W$3:$W$252,$A$3:$A$252,"&lt;="&amp;$A148),1))</f>
        <v/>
      </c>
      <c r="Z148" s="10">
        <f>IF(OR(T148="",$A148=""),"",IF(ISNUMBER(IFERROR(INDEX($X$3:$X$252,MATCH($A148-1,$A$3:$A$252,0)),"")),ROUND((INDEX($X$3:$X$252,MATCH($A148-1,$A$3:$A$252,0))-T148)*10,1),""))</f>
        <v/>
      </c>
      <c r="AA148" s="10">
        <f>IF(ISNUMBER(T148),1,0)</f>
        <v/>
      </c>
      <c r="AB148" s="16">
        <f>IF($A148="","",IF(_xlfn.MAXIFS('TP-b'!$B$2:$B$60,'TP-b'!$A$2:$A$60,"3F4D+MD",'TP-b'!$E$2:$E$60,1,'TP-b'!$B$2:$B$60,"&lt;="&amp;$A148)&gt;0,_xlfn.MAXIFS('TP-b'!$B$2:$B$60,'TP-b'!$A$2:$A$60,"3F4D+MD",'TP-b'!$E$2:$E$60,1,'TP-b'!$B$2:$B$60,"&lt;="&amp;$A148),IF(_xlfn.MINIFS('TP-b'!$B$2:$B$60,'TP-b'!$A$2:$A$60,"3F4D+MD",'TP-b'!$E$2:$E$60,1)&gt;0,_xlfn.MINIFS('TP-b'!$B$2:$B$60,'TP-b'!$A$2:$A$60,"3F4D+MD",'TP-b'!$E$2:$E$60,1),"")))</f>
        <v/>
      </c>
      <c r="AC148" s="10">
        <f>IF(AB148="","",AVERAGEIFS('TP-b'!$C$2:$C$60,'TP-b'!$A$2:$A$60,"3F4D+MD",'TP-b'!$B$2:$B$60,AB148,'TP-b'!$E$2:$E$60,1))</f>
        <v/>
      </c>
      <c r="AD148" s="10">
        <f>IF(AB148="","",AVERAGEIFS('TP-b'!$D$2:$D$60,'TP-b'!$A$2:$A$60,"3F4D+MD",'TP-b'!$B$2:$B$60,AB148,'TP-b'!$E$2:$E$60,1))</f>
        <v/>
      </c>
      <c r="AE148" s="10">
        <f>IF(OR($A148="",NOT(ISNUMBER($J148)),AC148=""),"",ROUND($J148-AC148+AD148,1))</f>
        <v/>
      </c>
      <c r="AF148" s="10">
        <f>IF(AND($K148="Yes",ISNUMBER($L148),AC148&lt;&gt;""),ROUND($L148-AC148+AD148,1),"")</f>
        <v/>
      </c>
      <c r="AG148" s="10">
        <f>IF(AND($K148="Yes",ISNUMBER($M148),AC148&lt;&gt;""),ROUND($M148-AC148+AD148,1),"")</f>
        <v/>
      </c>
      <c r="AH148" s="10">
        <f>IF(AND(ISNUMBER($J148),ISNUMBER(AF148),ISNUMBER(AG148)),ROUND((AG148-MAX(AF148,0))*10,1),"")</f>
        <v/>
      </c>
      <c r="AI148" s="10">
        <f>IF(AE148="","",IF(AND($K148="Yes",ISNUMBER(AG148)),AG148,AE148))</f>
        <v/>
      </c>
      <c r="AJ148" s="10">
        <f>IF(AE148="","",ROUND(SUMIFS($AH$3:$AH$252,$A$3:$A$252,"&lt;="&amp;$A148),1))</f>
        <v/>
      </c>
      <c r="AK148" s="10">
        <f>IF(OR(AE148="",$A148=""),"",IF(ISNUMBER(IFERROR(INDEX($AI$3:$AI$252,MATCH($A148-1,$A$3:$A$252,0)),"")),ROUND((INDEX($AI$3:$AI$252,MATCH($A148-1,$A$3:$A$252,0))-AE148)*10,1),""))</f>
        <v/>
      </c>
      <c r="AL148" s="10">
        <f>IF(ISNUMBER(AE148),1,0)</f>
        <v/>
      </c>
      <c r="AM148" s="17">
        <f>IF($A148="","",IF(COUNTIF($A$3:$A$252,$A148)&gt;1,"same date twice; ","")&amp;IF(AND(ISNUMBER($B148),OR($B148&lt;0,$B148&gt;300)),"rain out of range; ","")&amp;IF(AND(ISNUMBER($C148),OR($C148&lt;0,$C148&gt;45)),"temp out of range; ","")&amp;IF(AND(ISNUMBER($D148),OR($D148&lt;0,$D148&gt;100)),"RH out of range; ",""))</f>
        <v/>
      </c>
      <c r="AN148" s="17">
        <f>IF($A148="","",IF(AND(ISNUMBER(T148),OR(T148&lt;-30,T148&gt;20)),"WL out of range; ","")&amp;IF(AND(ISNUMBER($E148),T148=""),"no TP/b; ","")&amp;IF(AND(ISNUMBER(U148),ISNUMBER(V148)),IF(V148&lt;U148,"After&lt;Before; ",""),"")&amp;IF(AND($F148="Yes",ISNUMBER($E148),W148=""),"irrigation readings missing; ","")&amp;IF(ISNUMBER(Z148),IF(AND(ABS(Z148)&gt;50,NOT(N($B148)&gt;0)),"WL jump &gt;5 cm; ",""),""))</f>
        <v/>
      </c>
      <c r="AO148" s="17">
        <f>IF($A148="","",IF(AND(ISNUMBER(AE148),OR(AE148&lt;-30,AE148&gt;20)),"WL out of range; ","")&amp;IF(AND(ISNUMBER($J148),AE148=""),"no TP/b; ","")&amp;IF(AND(ISNUMBER(AF148),ISNUMBER(AG148)),IF(AG148&lt;AF148,"After&lt;Before; ",""),"")&amp;IF(AND($K148="Yes",ISNUMBER($J148),AH148=""),"irrigation readings missing; ","")&amp;IF(ISNUMBER(AK148),IF(AND(ABS(AK148)&gt;50,NOT(N($B148)&gt;0)),"WL jump &gt;5 cm; ",""),"")&amp;IF(AND(ISNUMBER(PitanE),ISNUMBER(AB148),$A148&gt;PitanE+2,AB148&lt;PitanE),"re-measure TP/b after Pitan; ",""))</f>
        <v/>
      </c>
    </row>
    <row r="149">
      <c r="A149" s="14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0">
        <f>IF(OR($A149="",NOT(ISNUMBER(TransDate))),"",$A149-TransDate)</f>
        <v/>
      </c>
      <c r="Q149" s="16">
        <f>IF($A149="","",IF(_xlfn.MAXIFS('TP-b'!$B$2:$B$60,'TP-b'!$A$2:$A$60,"FP",'TP-b'!$E$2:$E$60,1,'TP-b'!$B$2:$B$60,"&lt;="&amp;$A149)&gt;0,_xlfn.MAXIFS('TP-b'!$B$2:$B$60,'TP-b'!$A$2:$A$60,"FP",'TP-b'!$E$2:$E$60,1,'TP-b'!$B$2:$B$60,"&lt;="&amp;$A149),IF(_xlfn.MINIFS('TP-b'!$B$2:$B$60,'TP-b'!$A$2:$A$60,"FP",'TP-b'!$E$2:$E$60,1)&gt;0,_xlfn.MINIFS('TP-b'!$B$2:$B$60,'TP-b'!$A$2:$A$60,"FP",'TP-b'!$E$2:$E$60,1),"")))</f>
        <v/>
      </c>
      <c r="R149" s="10">
        <f>IF(Q149="","",AVERAGEIFS('TP-b'!$C$2:$C$60,'TP-b'!$A$2:$A$60,"FP",'TP-b'!$B$2:$B$60,Q149,'TP-b'!$E$2:$E$60,1))</f>
        <v/>
      </c>
      <c r="S149" s="10">
        <f>IF(Q149="","",AVERAGEIFS('TP-b'!$D$2:$D$60,'TP-b'!$A$2:$A$60,"FP",'TP-b'!$B$2:$B$60,Q149,'TP-b'!$E$2:$E$60,1))</f>
        <v/>
      </c>
      <c r="T149" s="10">
        <f>IF(OR($A149="",NOT(ISNUMBER($E149)),R149=""),"",ROUND($E149-R149+S149,1))</f>
        <v/>
      </c>
      <c r="U149" s="10">
        <f>IF(AND($F149="Yes",ISNUMBER($G149),R149&lt;&gt;""),ROUND($G149-R149+S149,1),"")</f>
        <v/>
      </c>
      <c r="V149" s="10">
        <f>IF(AND($F149="Yes",ISNUMBER($H149),R149&lt;&gt;""),ROUND($H149-R149+S149,1),"")</f>
        <v/>
      </c>
      <c r="W149" s="10">
        <f>IF(AND(ISNUMBER($E149),ISNUMBER(U149),ISNUMBER(V149)),ROUND((V149-MAX(U149,0))*10,1),"")</f>
        <v/>
      </c>
      <c r="X149" s="10">
        <f>IF(T149="","",IF(AND($F149="Yes",ISNUMBER(V149)),V149,T149))</f>
        <v/>
      </c>
      <c r="Y149" s="10">
        <f>IF(T149="","",ROUND(SUMIFS($W$3:$W$252,$A$3:$A$252,"&lt;="&amp;$A149),1))</f>
        <v/>
      </c>
      <c r="Z149" s="10">
        <f>IF(OR(T149="",$A149=""),"",IF(ISNUMBER(IFERROR(INDEX($X$3:$X$252,MATCH($A149-1,$A$3:$A$252,0)),"")),ROUND((INDEX($X$3:$X$252,MATCH($A149-1,$A$3:$A$252,0))-T149)*10,1),""))</f>
        <v/>
      </c>
      <c r="AA149" s="10">
        <f>IF(ISNUMBER(T149),1,0)</f>
        <v/>
      </c>
      <c r="AB149" s="16">
        <f>IF($A149="","",IF(_xlfn.MAXIFS('TP-b'!$B$2:$B$60,'TP-b'!$A$2:$A$60,"3F4D+MD",'TP-b'!$E$2:$E$60,1,'TP-b'!$B$2:$B$60,"&lt;="&amp;$A149)&gt;0,_xlfn.MAXIFS('TP-b'!$B$2:$B$60,'TP-b'!$A$2:$A$60,"3F4D+MD",'TP-b'!$E$2:$E$60,1,'TP-b'!$B$2:$B$60,"&lt;="&amp;$A149),IF(_xlfn.MINIFS('TP-b'!$B$2:$B$60,'TP-b'!$A$2:$A$60,"3F4D+MD",'TP-b'!$E$2:$E$60,1)&gt;0,_xlfn.MINIFS('TP-b'!$B$2:$B$60,'TP-b'!$A$2:$A$60,"3F4D+MD",'TP-b'!$E$2:$E$60,1),"")))</f>
        <v/>
      </c>
      <c r="AC149" s="10">
        <f>IF(AB149="","",AVERAGEIFS('TP-b'!$C$2:$C$60,'TP-b'!$A$2:$A$60,"3F4D+MD",'TP-b'!$B$2:$B$60,AB149,'TP-b'!$E$2:$E$60,1))</f>
        <v/>
      </c>
      <c r="AD149" s="10">
        <f>IF(AB149="","",AVERAGEIFS('TP-b'!$D$2:$D$60,'TP-b'!$A$2:$A$60,"3F4D+MD",'TP-b'!$B$2:$B$60,AB149,'TP-b'!$E$2:$E$60,1))</f>
        <v/>
      </c>
      <c r="AE149" s="10">
        <f>IF(OR($A149="",NOT(ISNUMBER($J149)),AC149=""),"",ROUND($J149-AC149+AD149,1))</f>
        <v/>
      </c>
      <c r="AF149" s="10">
        <f>IF(AND($K149="Yes",ISNUMBER($L149),AC149&lt;&gt;""),ROUND($L149-AC149+AD149,1),"")</f>
        <v/>
      </c>
      <c r="AG149" s="10">
        <f>IF(AND($K149="Yes",ISNUMBER($M149),AC149&lt;&gt;""),ROUND($M149-AC149+AD149,1),"")</f>
        <v/>
      </c>
      <c r="AH149" s="10">
        <f>IF(AND(ISNUMBER($J149),ISNUMBER(AF149),ISNUMBER(AG149)),ROUND((AG149-MAX(AF149,0))*10,1),"")</f>
        <v/>
      </c>
      <c r="AI149" s="10">
        <f>IF(AE149="","",IF(AND($K149="Yes",ISNUMBER(AG149)),AG149,AE149))</f>
        <v/>
      </c>
      <c r="AJ149" s="10">
        <f>IF(AE149="","",ROUND(SUMIFS($AH$3:$AH$252,$A$3:$A$252,"&lt;="&amp;$A149),1))</f>
        <v/>
      </c>
      <c r="AK149" s="10">
        <f>IF(OR(AE149="",$A149=""),"",IF(ISNUMBER(IFERROR(INDEX($AI$3:$AI$252,MATCH($A149-1,$A$3:$A$252,0)),"")),ROUND((INDEX($AI$3:$AI$252,MATCH($A149-1,$A$3:$A$252,0))-AE149)*10,1),""))</f>
        <v/>
      </c>
      <c r="AL149" s="10">
        <f>IF(ISNUMBER(AE149),1,0)</f>
        <v/>
      </c>
      <c r="AM149" s="17">
        <f>IF($A149="","",IF(COUNTIF($A$3:$A$252,$A149)&gt;1,"same date twice; ","")&amp;IF(AND(ISNUMBER($B149),OR($B149&lt;0,$B149&gt;300)),"rain out of range; ","")&amp;IF(AND(ISNUMBER($C149),OR($C149&lt;0,$C149&gt;45)),"temp out of range; ","")&amp;IF(AND(ISNUMBER($D149),OR($D149&lt;0,$D149&gt;100)),"RH out of range; ",""))</f>
        <v/>
      </c>
      <c r="AN149" s="17">
        <f>IF($A149="","",IF(AND(ISNUMBER(T149),OR(T149&lt;-30,T149&gt;20)),"WL out of range; ","")&amp;IF(AND(ISNUMBER($E149),T149=""),"no TP/b; ","")&amp;IF(AND(ISNUMBER(U149),ISNUMBER(V149)),IF(V149&lt;U149,"After&lt;Before; ",""),"")&amp;IF(AND($F149="Yes",ISNUMBER($E149),W149=""),"irrigation readings missing; ","")&amp;IF(ISNUMBER(Z149),IF(AND(ABS(Z149)&gt;50,NOT(N($B149)&gt;0)),"WL jump &gt;5 cm; ",""),""))</f>
        <v/>
      </c>
      <c r="AO149" s="17">
        <f>IF($A149="","",IF(AND(ISNUMBER(AE149),OR(AE149&lt;-30,AE149&gt;20)),"WL out of range; ","")&amp;IF(AND(ISNUMBER($J149),AE149=""),"no TP/b; ","")&amp;IF(AND(ISNUMBER(AF149),ISNUMBER(AG149)),IF(AG149&lt;AF149,"After&lt;Before; ",""),"")&amp;IF(AND($K149="Yes",ISNUMBER($J149),AH149=""),"irrigation readings missing; ","")&amp;IF(ISNUMBER(AK149),IF(AND(ABS(AK149)&gt;50,NOT(N($B149)&gt;0)),"WL jump &gt;5 cm; ",""),"")&amp;IF(AND(ISNUMBER(PitanE),ISNUMBER(AB149),$A149&gt;PitanE+2,AB149&lt;PitanE),"re-measure TP/b after Pitan; ",""))</f>
        <v/>
      </c>
    </row>
    <row r="150">
      <c r="A150" s="14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0">
        <f>IF(OR($A150="",NOT(ISNUMBER(TransDate))),"",$A150-TransDate)</f>
        <v/>
      </c>
      <c r="Q150" s="16">
        <f>IF($A150="","",IF(_xlfn.MAXIFS('TP-b'!$B$2:$B$60,'TP-b'!$A$2:$A$60,"FP",'TP-b'!$E$2:$E$60,1,'TP-b'!$B$2:$B$60,"&lt;="&amp;$A150)&gt;0,_xlfn.MAXIFS('TP-b'!$B$2:$B$60,'TP-b'!$A$2:$A$60,"FP",'TP-b'!$E$2:$E$60,1,'TP-b'!$B$2:$B$60,"&lt;="&amp;$A150),IF(_xlfn.MINIFS('TP-b'!$B$2:$B$60,'TP-b'!$A$2:$A$60,"FP",'TP-b'!$E$2:$E$60,1)&gt;0,_xlfn.MINIFS('TP-b'!$B$2:$B$60,'TP-b'!$A$2:$A$60,"FP",'TP-b'!$E$2:$E$60,1),"")))</f>
        <v/>
      </c>
      <c r="R150" s="10">
        <f>IF(Q150="","",AVERAGEIFS('TP-b'!$C$2:$C$60,'TP-b'!$A$2:$A$60,"FP",'TP-b'!$B$2:$B$60,Q150,'TP-b'!$E$2:$E$60,1))</f>
        <v/>
      </c>
      <c r="S150" s="10">
        <f>IF(Q150="","",AVERAGEIFS('TP-b'!$D$2:$D$60,'TP-b'!$A$2:$A$60,"FP",'TP-b'!$B$2:$B$60,Q150,'TP-b'!$E$2:$E$60,1))</f>
        <v/>
      </c>
      <c r="T150" s="10">
        <f>IF(OR($A150="",NOT(ISNUMBER($E150)),R150=""),"",ROUND($E150-R150+S150,1))</f>
        <v/>
      </c>
      <c r="U150" s="10">
        <f>IF(AND($F150="Yes",ISNUMBER($G150),R150&lt;&gt;""),ROUND($G150-R150+S150,1),"")</f>
        <v/>
      </c>
      <c r="V150" s="10">
        <f>IF(AND($F150="Yes",ISNUMBER($H150),R150&lt;&gt;""),ROUND($H150-R150+S150,1),"")</f>
        <v/>
      </c>
      <c r="W150" s="10">
        <f>IF(AND(ISNUMBER($E150),ISNUMBER(U150),ISNUMBER(V150)),ROUND((V150-MAX(U150,0))*10,1),"")</f>
        <v/>
      </c>
      <c r="X150" s="10">
        <f>IF(T150="","",IF(AND($F150="Yes",ISNUMBER(V150)),V150,T150))</f>
        <v/>
      </c>
      <c r="Y150" s="10">
        <f>IF(T150="","",ROUND(SUMIFS($W$3:$W$252,$A$3:$A$252,"&lt;="&amp;$A150),1))</f>
        <v/>
      </c>
      <c r="Z150" s="10">
        <f>IF(OR(T150="",$A150=""),"",IF(ISNUMBER(IFERROR(INDEX($X$3:$X$252,MATCH($A150-1,$A$3:$A$252,0)),"")),ROUND((INDEX($X$3:$X$252,MATCH($A150-1,$A$3:$A$252,0))-T150)*10,1),""))</f>
        <v/>
      </c>
      <c r="AA150" s="10">
        <f>IF(ISNUMBER(T150),1,0)</f>
        <v/>
      </c>
      <c r="AB150" s="16">
        <f>IF($A150="","",IF(_xlfn.MAXIFS('TP-b'!$B$2:$B$60,'TP-b'!$A$2:$A$60,"3F4D+MD",'TP-b'!$E$2:$E$60,1,'TP-b'!$B$2:$B$60,"&lt;="&amp;$A150)&gt;0,_xlfn.MAXIFS('TP-b'!$B$2:$B$60,'TP-b'!$A$2:$A$60,"3F4D+MD",'TP-b'!$E$2:$E$60,1,'TP-b'!$B$2:$B$60,"&lt;="&amp;$A150),IF(_xlfn.MINIFS('TP-b'!$B$2:$B$60,'TP-b'!$A$2:$A$60,"3F4D+MD",'TP-b'!$E$2:$E$60,1)&gt;0,_xlfn.MINIFS('TP-b'!$B$2:$B$60,'TP-b'!$A$2:$A$60,"3F4D+MD",'TP-b'!$E$2:$E$60,1),"")))</f>
        <v/>
      </c>
      <c r="AC150" s="10">
        <f>IF(AB150="","",AVERAGEIFS('TP-b'!$C$2:$C$60,'TP-b'!$A$2:$A$60,"3F4D+MD",'TP-b'!$B$2:$B$60,AB150,'TP-b'!$E$2:$E$60,1))</f>
        <v/>
      </c>
      <c r="AD150" s="10">
        <f>IF(AB150="","",AVERAGEIFS('TP-b'!$D$2:$D$60,'TP-b'!$A$2:$A$60,"3F4D+MD",'TP-b'!$B$2:$B$60,AB150,'TP-b'!$E$2:$E$60,1))</f>
        <v/>
      </c>
      <c r="AE150" s="10">
        <f>IF(OR($A150="",NOT(ISNUMBER($J150)),AC150=""),"",ROUND($J150-AC150+AD150,1))</f>
        <v/>
      </c>
      <c r="AF150" s="10">
        <f>IF(AND($K150="Yes",ISNUMBER($L150),AC150&lt;&gt;""),ROUND($L150-AC150+AD150,1),"")</f>
        <v/>
      </c>
      <c r="AG150" s="10">
        <f>IF(AND($K150="Yes",ISNUMBER($M150),AC150&lt;&gt;""),ROUND($M150-AC150+AD150,1),"")</f>
        <v/>
      </c>
      <c r="AH150" s="10">
        <f>IF(AND(ISNUMBER($J150),ISNUMBER(AF150),ISNUMBER(AG150)),ROUND((AG150-MAX(AF150,0))*10,1),"")</f>
        <v/>
      </c>
      <c r="AI150" s="10">
        <f>IF(AE150="","",IF(AND($K150="Yes",ISNUMBER(AG150)),AG150,AE150))</f>
        <v/>
      </c>
      <c r="AJ150" s="10">
        <f>IF(AE150="","",ROUND(SUMIFS($AH$3:$AH$252,$A$3:$A$252,"&lt;="&amp;$A150),1))</f>
        <v/>
      </c>
      <c r="AK150" s="10">
        <f>IF(OR(AE150="",$A150=""),"",IF(ISNUMBER(IFERROR(INDEX($AI$3:$AI$252,MATCH($A150-1,$A$3:$A$252,0)),"")),ROUND((INDEX($AI$3:$AI$252,MATCH($A150-1,$A$3:$A$252,0))-AE150)*10,1),""))</f>
        <v/>
      </c>
      <c r="AL150" s="10">
        <f>IF(ISNUMBER(AE150),1,0)</f>
        <v/>
      </c>
      <c r="AM150" s="17">
        <f>IF($A150="","",IF(COUNTIF($A$3:$A$252,$A150)&gt;1,"same date twice; ","")&amp;IF(AND(ISNUMBER($B150),OR($B150&lt;0,$B150&gt;300)),"rain out of range; ","")&amp;IF(AND(ISNUMBER($C150),OR($C150&lt;0,$C150&gt;45)),"temp out of range; ","")&amp;IF(AND(ISNUMBER($D150),OR($D150&lt;0,$D150&gt;100)),"RH out of range; ",""))</f>
        <v/>
      </c>
      <c r="AN150" s="17">
        <f>IF($A150="","",IF(AND(ISNUMBER(T150),OR(T150&lt;-30,T150&gt;20)),"WL out of range; ","")&amp;IF(AND(ISNUMBER($E150),T150=""),"no TP/b; ","")&amp;IF(AND(ISNUMBER(U150),ISNUMBER(V150)),IF(V150&lt;U150,"After&lt;Before; ",""),"")&amp;IF(AND($F150="Yes",ISNUMBER($E150),W150=""),"irrigation readings missing; ","")&amp;IF(ISNUMBER(Z150),IF(AND(ABS(Z150)&gt;50,NOT(N($B150)&gt;0)),"WL jump &gt;5 cm; ",""),""))</f>
        <v/>
      </c>
      <c r="AO150" s="17">
        <f>IF($A150="","",IF(AND(ISNUMBER(AE150),OR(AE150&lt;-30,AE150&gt;20)),"WL out of range; ","")&amp;IF(AND(ISNUMBER($J150),AE150=""),"no TP/b; ","")&amp;IF(AND(ISNUMBER(AF150),ISNUMBER(AG150)),IF(AG150&lt;AF150,"After&lt;Before; ",""),"")&amp;IF(AND($K150="Yes",ISNUMBER($J150),AH150=""),"irrigation readings missing; ","")&amp;IF(ISNUMBER(AK150),IF(AND(ABS(AK150)&gt;50,NOT(N($B150)&gt;0)),"WL jump &gt;5 cm; ",""),"")&amp;IF(AND(ISNUMBER(PitanE),ISNUMBER(AB150),$A150&gt;PitanE+2,AB150&lt;PitanE),"re-measure TP/b after Pitan; ",""))</f>
        <v/>
      </c>
    </row>
    <row r="151">
      <c r="A151" s="14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0">
        <f>IF(OR($A151="",NOT(ISNUMBER(TransDate))),"",$A151-TransDate)</f>
        <v/>
      </c>
      <c r="Q151" s="16">
        <f>IF($A151="","",IF(_xlfn.MAXIFS('TP-b'!$B$2:$B$60,'TP-b'!$A$2:$A$60,"FP",'TP-b'!$E$2:$E$60,1,'TP-b'!$B$2:$B$60,"&lt;="&amp;$A151)&gt;0,_xlfn.MAXIFS('TP-b'!$B$2:$B$60,'TP-b'!$A$2:$A$60,"FP",'TP-b'!$E$2:$E$60,1,'TP-b'!$B$2:$B$60,"&lt;="&amp;$A151),IF(_xlfn.MINIFS('TP-b'!$B$2:$B$60,'TP-b'!$A$2:$A$60,"FP",'TP-b'!$E$2:$E$60,1)&gt;0,_xlfn.MINIFS('TP-b'!$B$2:$B$60,'TP-b'!$A$2:$A$60,"FP",'TP-b'!$E$2:$E$60,1),"")))</f>
        <v/>
      </c>
      <c r="R151" s="10">
        <f>IF(Q151="","",AVERAGEIFS('TP-b'!$C$2:$C$60,'TP-b'!$A$2:$A$60,"FP",'TP-b'!$B$2:$B$60,Q151,'TP-b'!$E$2:$E$60,1))</f>
        <v/>
      </c>
      <c r="S151" s="10">
        <f>IF(Q151="","",AVERAGEIFS('TP-b'!$D$2:$D$60,'TP-b'!$A$2:$A$60,"FP",'TP-b'!$B$2:$B$60,Q151,'TP-b'!$E$2:$E$60,1))</f>
        <v/>
      </c>
      <c r="T151" s="10">
        <f>IF(OR($A151="",NOT(ISNUMBER($E151)),R151=""),"",ROUND($E151-R151+S151,1))</f>
        <v/>
      </c>
      <c r="U151" s="10">
        <f>IF(AND($F151="Yes",ISNUMBER($G151),R151&lt;&gt;""),ROUND($G151-R151+S151,1),"")</f>
        <v/>
      </c>
      <c r="V151" s="10">
        <f>IF(AND($F151="Yes",ISNUMBER($H151),R151&lt;&gt;""),ROUND($H151-R151+S151,1),"")</f>
        <v/>
      </c>
      <c r="W151" s="10">
        <f>IF(AND(ISNUMBER($E151),ISNUMBER(U151),ISNUMBER(V151)),ROUND((V151-MAX(U151,0))*10,1),"")</f>
        <v/>
      </c>
      <c r="X151" s="10">
        <f>IF(T151="","",IF(AND($F151="Yes",ISNUMBER(V151)),V151,T151))</f>
        <v/>
      </c>
      <c r="Y151" s="10">
        <f>IF(T151="","",ROUND(SUMIFS($W$3:$W$252,$A$3:$A$252,"&lt;="&amp;$A151),1))</f>
        <v/>
      </c>
      <c r="Z151" s="10">
        <f>IF(OR(T151="",$A151=""),"",IF(ISNUMBER(IFERROR(INDEX($X$3:$X$252,MATCH($A151-1,$A$3:$A$252,0)),"")),ROUND((INDEX($X$3:$X$252,MATCH($A151-1,$A$3:$A$252,0))-T151)*10,1),""))</f>
        <v/>
      </c>
      <c r="AA151" s="10">
        <f>IF(ISNUMBER(T151),1,0)</f>
        <v/>
      </c>
      <c r="AB151" s="16">
        <f>IF($A151="","",IF(_xlfn.MAXIFS('TP-b'!$B$2:$B$60,'TP-b'!$A$2:$A$60,"3F4D+MD",'TP-b'!$E$2:$E$60,1,'TP-b'!$B$2:$B$60,"&lt;="&amp;$A151)&gt;0,_xlfn.MAXIFS('TP-b'!$B$2:$B$60,'TP-b'!$A$2:$A$60,"3F4D+MD",'TP-b'!$E$2:$E$60,1,'TP-b'!$B$2:$B$60,"&lt;="&amp;$A151),IF(_xlfn.MINIFS('TP-b'!$B$2:$B$60,'TP-b'!$A$2:$A$60,"3F4D+MD",'TP-b'!$E$2:$E$60,1)&gt;0,_xlfn.MINIFS('TP-b'!$B$2:$B$60,'TP-b'!$A$2:$A$60,"3F4D+MD",'TP-b'!$E$2:$E$60,1),"")))</f>
        <v/>
      </c>
      <c r="AC151" s="10">
        <f>IF(AB151="","",AVERAGEIFS('TP-b'!$C$2:$C$60,'TP-b'!$A$2:$A$60,"3F4D+MD",'TP-b'!$B$2:$B$60,AB151,'TP-b'!$E$2:$E$60,1))</f>
        <v/>
      </c>
      <c r="AD151" s="10">
        <f>IF(AB151="","",AVERAGEIFS('TP-b'!$D$2:$D$60,'TP-b'!$A$2:$A$60,"3F4D+MD",'TP-b'!$B$2:$B$60,AB151,'TP-b'!$E$2:$E$60,1))</f>
        <v/>
      </c>
      <c r="AE151" s="10">
        <f>IF(OR($A151="",NOT(ISNUMBER($J151)),AC151=""),"",ROUND($J151-AC151+AD151,1))</f>
        <v/>
      </c>
      <c r="AF151" s="10">
        <f>IF(AND($K151="Yes",ISNUMBER($L151),AC151&lt;&gt;""),ROUND($L151-AC151+AD151,1),"")</f>
        <v/>
      </c>
      <c r="AG151" s="10">
        <f>IF(AND($K151="Yes",ISNUMBER($M151),AC151&lt;&gt;""),ROUND($M151-AC151+AD151,1),"")</f>
        <v/>
      </c>
      <c r="AH151" s="10">
        <f>IF(AND(ISNUMBER($J151),ISNUMBER(AF151),ISNUMBER(AG151)),ROUND((AG151-MAX(AF151,0))*10,1),"")</f>
        <v/>
      </c>
      <c r="AI151" s="10">
        <f>IF(AE151="","",IF(AND($K151="Yes",ISNUMBER(AG151)),AG151,AE151))</f>
        <v/>
      </c>
      <c r="AJ151" s="10">
        <f>IF(AE151="","",ROUND(SUMIFS($AH$3:$AH$252,$A$3:$A$252,"&lt;="&amp;$A151),1))</f>
        <v/>
      </c>
      <c r="AK151" s="10">
        <f>IF(OR(AE151="",$A151=""),"",IF(ISNUMBER(IFERROR(INDEX($AI$3:$AI$252,MATCH($A151-1,$A$3:$A$252,0)),"")),ROUND((INDEX($AI$3:$AI$252,MATCH($A151-1,$A$3:$A$252,0))-AE151)*10,1),""))</f>
        <v/>
      </c>
      <c r="AL151" s="10">
        <f>IF(ISNUMBER(AE151),1,0)</f>
        <v/>
      </c>
      <c r="AM151" s="17">
        <f>IF($A151="","",IF(COUNTIF($A$3:$A$252,$A151)&gt;1,"same date twice; ","")&amp;IF(AND(ISNUMBER($B151),OR($B151&lt;0,$B151&gt;300)),"rain out of range; ","")&amp;IF(AND(ISNUMBER($C151),OR($C151&lt;0,$C151&gt;45)),"temp out of range; ","")&amp;IF(AND(ISNUMBER($D151),OR($D151&lt;0,$D151&gt;100)),"RH out of range; ",""))</f>
        <v/>
      </c>
      <c r="AN151" s="17">
        <f>IF($A151="","",IF(AND(ISNUMBER(T151),OR(T151&lt;-30,T151&gt;20)),"WL out of range; ","")&amp;IF(AND(ISNUMBER($E151),T151=""),"no TP/b; ","")&amp;IF(AND(ISNUMBER(U151),ISNUMBER(V151)),IF(V151&lt;U151,"After&lt;Before; ",""),"")&amp;IF(AND($F151="Yes",ISNUMBER($E151),W151=""),"irrigation readings missing; ","")&amp;IF(ISNUMBER(Z151),IF(AND(ABS(Z151)&gt;50,NOT(N($B151)&gt;0)),"WL jump &gt;5 cm; ",""),""))</f>
        <v/>
      </c>
      <c r="AO151" s="17">
        <f>IF($A151="","",IF(AND(ISNUMBER(AE151),OR(AE151&lt;-30,AE151&gt;20)),"WL out of range; ","")&amp;IF(AND(ISNUMBER($J151),AE151=""),"no TP/b; ","")&amp;IF(AND(ISNUMBER(AF151),ISNUMBER(AG151)),IF(AG151&lt;AF151,"After&lt;Before; ",""),"")&amp;IF(AND($K151="Yes",ISNUMBER($J151),AH151=""),"irrigation readings missing; ","")&amp;IF(ISNUMBER(AK151),IF(AND(ABS(AK151)&gt;50,NOT(N($B151)&gt;0)),"WL jump &gt;5 cm; ",""),"")&amp;IF(AND(ISNUMBER(PitanE),ISNUMBER(AB151),$A151&gt;PitanE+2,AB151&lt;PitanE),"re-measure TP/b after Pitan; ",""))</f>
        <v/>
      </c>
    </row>
    <row r="152">
      <c r="A152" s="14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0">
        <f>IF(OR($A152="",NOT(ISNUMBER(TransDate))),"",$A152-TransDate)</f>
        <v/>
      </c>
      <c r="Q152" s="16">
        <f>IF($A152="","",IF(_xlfn.MAXIFS('TP-b'!$B$2:$B$60,'TP-b'!$A$2:$A$60,"FP",'TP-b'!$E$2:$E$60,1,'TP-b'!$B$2:$B$60,"&lt;="&amp;$A152)&gt;0,_xlfn.MAXIFS('TP-b'!$B$2:$B$60,'TP-b'!$A$2:$A$60,"FP",'TP-b'!$E$2:$E$60,1,'TP-b'!$B$2:$B$60,"&lt;="&amp;$A152),IF(_xlfn.MINIFS('TP-b'!$B$2:$B$60,'TP-b'!$A$2:$A$60,"FP",'TP-b'!$E$2:$E$60,1)&gt;0,_xlfn.MINIFS('TP-b'!$B$2:$B$60,'TP-b'!$A$2:$A$60,"FP",'TP-b'!$E$2:$E$60,1),"")))</f>
        <v/>
      </c>
      <c r="R152" s="10">
        <f>IF(Q152="","",AVERAGEIFS('TP-b'!$C$2:$C$60,'TP-b'!$A$2:$A$60,"FP",'TP-b'!$B$2:$B$60,Q152,'TP-b'!$E$2:$E$60,1))</f>
        <v/>
      </c>
      <c r="S152" s="10">
        <f>IF(Q152="","",AVERAGEIFS('TP-b'!$D$2:$D$60,'TP-b'!$A$2:$A$60,"FP",'TP-b'!$B$2:$B$60,Q152,'TP-b'!$E$2:$E$60,1))</f>
        <v/>
      </c>
      <c r="T152" s="10">
        <f>IF(OR($A152="",NOT(ISNUMBER($E152)),R152=""),"",ROUND($E152-R152+S152,1))</f>
        <v/>
      </c>
      <c r="U152" s="10">
        <f>IF(AND($F152="Yes",ISNUMBER($G152),R152&lt;&gt;""),ROUND($G152-R152+S152,1),"")</f>
        <v/>
      </c>
      <c r="V152" s="10">
        <f>IF(AND($F152="Yes",ISNUMBER($H152),R152&lt;&gt;""),ROUND($H152-R152+S152,1),"")</f>
        <v/>
      </c>
      <c r="W152" s="10">
        <f>IF(AND(ISNUMBER($E152),ISNUMBER(U152),ISNUMBER(V152)),ROUND((V152-MAX(U152,0))*10,1),"")</f>
        <v/>
      </c>
      <c r="X152" s="10">
        <f>IF(T152="","",IF(AND($F152="Yes",ISNUMBER(V152)),V152,T152))</f>
        <v/>
      </c>
      <c r="Y152" s="10">
        <f>IF(T152="","",ROUND(SUMIFS($W$3:$W$252,$A$3:$A$252,"&lt;="&amp;$A152),1))</f>
        <v/>
      </c>
      <c r="Z152" s="10">
        <f>IF(OR(T152="",$A152=""),"",IF(ISNUMBER(IFERROR(INDEX($X$3:$X$252,MATCH($A152-1,$A$3:$A$252,0)),"")),ROUND((INDEX($X$3:$X$252,MATCH($A152-1,$A$3:$A$252,0))-T152)*10,1),""))</f>
        <v/>
      </c>
      <c r="AA152" s="10">
        <f>IF(ISNUMBER(T152),1,0)</f>
        <v/>
      </c>
      <c r="AB152" s="16">
        <f>IF($A152="","",IF(_xlfn.MAXIFS('TP-b'!$B$2:$B$60,'TP-b'!$A$2:$A$60,"3F4D+MD",'TP-b'!$E$2:$E$60,1,'TP-b'!$B$2:$B$60,"&lt;="&amp;$A152)&gt;0,_xlfn.MAXIFS('TP-b'!$B$2:$B$60,'TP-b'!$A$2:$A$60,"3F4D+MD",'TP-b'!$E$2:$E$60,1,'TP-b'!$B$2:$B$60,"&lt;="&amp;$A152),IF(_xlfn.MINIFS('TP-b'!$B$2:$B$60,'TP-b'!$A$2:$A$60,"3F4D+MD",'TP-b'!$E$2:$E$60,1)&gt;0,_xlfn.MINIFS('TP-b'!$B$2:$B$60,'TP-b'!$A$2:$A$60,"3F4D+MD",'TP-b'!$E$2:$E$60,1),"")))</f>
        <v/>
      </c>
      <c r="AC152" s="10">
        <f>IF(AB152="","",AVERAGEIFS('TP-b'!$C$2:$C$60,'TP-b'!$A$2:$A$60,"3F4D+MD",'TP-b'!$B$2:$B$60,AB152,'TP-b'!$E$2:$E$60,1))</f>
        <v/>
      </c>
      <c r="AD152" s="10">
        <f>IF(AB152="","",AVERAGEIFS('TP-b'!$D$2:$D$60,'TP-b'!$A$2:$A$60,"3F4D+MD",'TP-b'!$B$2:$B$60,AB152,'TP-b'!$E$2:$E$60,1))</f>
        <v/>
      </c>
      <c r="AE152" s="10">
        <f>IF(OR($A152="",NOT(ISNUMBER($J152)),AC152=""),"",ROUND($J152-AC152+AD152,1))</f>
        <v/>
      </c>
      <c r="AF152" s="10">
        <f>IF(AND($K152="Yes",ISNUMBER($L152),AC152&lt;&gt;""),ROUND($L152-AC152+AD152,1),"")</f>
        <v/>
      </c>
      <c r="AG152" s="10">
        <f>IF(AND($K152="Yes",ISNUMBER($M152),AC152&lt;&gt;""),ROUND($M152-AC152+AD152,1),"")</f>
        <v/>
      </c>
      <c r="AH152" s="10">
        <f>IF(AND(ISNUMBER($J152),ISNUMBER(AF152),ISNUMBER(AG152)),ROUND((AG152-MAX(AF152,0))*10,1),"")</f>
        <v/>
      </c>
      <c r="AI152" s="10">
        <f>IF(AE152="","",IF(AND($K152="Yes",ISNUMBER(AG152)),AG152,AE152))</f>
        <v/>
      </c>
      <c r="AJ152" s="10">
        <f>IF(AE152="","",ROUND(SUMIFS($AH$3:$AH$252,$A$3:$A$252,"&lt;="&amp;$A152),1))</f>
        <v/>
      </c>
      <c r="AK152" s="10">
        <f>IF(OR(AE152="",$A152=""),"",IF(ISNUMBER(IFERROR(INDEX($AI$3:$AI$252,MATCH($A152-1,$A$3:$A$252,0)),"")),ROUND((INDEX($AI$3:$AI$252,MATCH($A152-1,$A$3:$A$252,0))-AE152)*10,1),""))</f>
        <v/>
      </c>
      <c r="AL152" s="10">
        <f>IF(ISNUMBER(AE152),1,0)</f>
        <v/>
      </c>
      <c r="AM152" s="17">
        <f>IF($A152="","",IF(COUNTIF($A$3:$A$252,$A152)&gt;1,"same date twice; ","")&amp;IF(AND(ISNUMBER($B152),OR($B152&lt;0,$B152&gt;300)),"rain out of range; ","")&amp;IF(AND(ISNUMBER($C152),OR($C152&lt;0,$C152&gt;45)),"temp out of range; ","")&amp;IF(AND(ISNUMBER($D152),OR($D152&lt;0,$D152&gt;100)),"RH out of range; ",""))</f>
        <v/>
      </c>
      <c r="AN152" s="17">
        <f>IF($A152="","",IF(AND(ISNUMBER(T152),OR(T152&lt;-30,T152&gt;20)),"WL out of range; ","")&amp;IF(AND(ISNUMBER($E152),T152=""),"no TP/b; ","")&amp;IF(AND(ISNUMBER(U152),ISNUMBER(V152)),IF(V152&lt;U152,"After&lt;Before; ",""),"")&amp;IF(AND($F152="Yes",ISNUMBER($E152),W152=""),"irrigation readings missing; ","")&amp;IF(ISNUMBER(Z152),IF(AND(ABS(Z152)&gt;50,NOT(N($B152)&gt;0)),"WL jump &gt;5 cm; ",""),""))</f>
        <v/>
      </c>
      <c r="AO152" s="17">
        <f>IF($A152="","",IF(AND(ISNUMBER(AE152),OR(AE152&lt;-30,AE152&gt;20)),"WL out of range; ","")&amp;IF(AND(ISNUMBER($J152),AE152=""),"no TP/b; ","")&amp;IF(AND(ISNUMBER(AF152),ISNUMBER(AG152)),IF(AG152&lt;AF152,"After&lt;Before; ",""),"")&amp;IF(AND($K152="Yes",ISNUMBER($J152),AH152=""),"irrigation readings missing; ","")&amp;IF(ISNUMBER(AK152),IF(AND(ABS(AK152)&gt;50,NOT(N($B152)&gt;0)),"WL jump &gt;5 cm; ",""),"")&amp;IF(AND(ISNUMBER(PitanE),ISNUMBER(AB152),$A152&gt;PitanE+2,AB152&lt;PitanE),"re-measure TP/b after Pitan; ",""))</f>
        <v/>
      </c>
    </row>
    <row r="153">
      <c r="A153" s="14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0">
        <f>IF(OR($A153="",NOT(ISNUMBER(TransDate))),"",$A153-TransDate)</f>
        <v/>
      </c>
      <c r="Q153" s="16">
        <f>IF($A153="","",IF(_xlfn.MAXIFS('TP-b'!$B$2:$B$60,'TP-b'!$A$2:$A$60,"FP",'TP-b'!$E$2:$E$60,1,'TP-b'!$B$2:$B$60,"&lt;="&amp;$A153)&gt;0,_xlfn.MAXIFS('TP-b'!$B$2:$B$60,'TP-b'!$A$2:$A$60,"FP",'TP-b'!$E$2:$E$60,1,'TP-b'!$B$2:$B$60,"&lt;="&amp;$A153),IF(_xlfn.MINIFS('TP-b'!$B$2:$B$60,'TP-b'!$A$2:$A$60,"FP",'TP-b'!$E$2:$E$60,1)&gt;0,_xlfn.MINIFS('TP-b'!$B$2:$B$60,'TP-b'!$A$2:$A$60,"FP",'TP-b'!$E$2:$E$60,1),"")))</f>
        <v/>
      </c>
      <c r="R153" s="10">
        <f>IF(Q153="","",AVERAGEIFS('TP-b'!$C$2:$C$60,'TP-b'!$A$2:$A$60,"FP",'TP-b'!$B$2:$B$60,Q153,'TP-b'!$E$2:$E$60,1))</f>
        <v/>
      </c>
      <c r="S153" s="10">
        <f>IF(Q153="","",AVERAGEIFS('TP-b'!$D$2:$D$60,'TP-b'!$A$2:$A$60,"FP",'TP-b'!$B$2:$B$60,Q153,'TP-b'!$E$2:$E$60,1))</f>
        <v/>
      </c>
      <c r="T153" s="10">
        <f>IF(OR($A153="",NOT(ISNUMBER($E153)),R153=""),"",ROUND($E153-R153+S153,1))</f>
        <v/>
      </c>
      <c r="U153" s="10">
        <f>IF(AND($F153="Yes",ISNUMBER($G153),R153&lt;&gt;""),ROUND($G153-R153+S153,1),"")</f>
        <v/>
      </c>
      <c r="V153" s="10">
        <f>IF(AND($F153="Yes",ISNUMBER($H153),R153&lt;&gt;""),ROUND($H153-R153+S153,1),"")</f>
        <v/>
      </c>
      <c r="W153" s="10">
        <f>IF(AND(ISNUMBER($E153),ISNUMBER(U153),ISNUMBER(V153)),ROUND((V153-MAX(U153,0))*10,1),"")</f>
        <v/>
      </c>
      <c r="X153" s="10">
        <f>IF(T153="","",IF(AND($F153="Yes",ISNUMBER(V153)),V153,T153))</f>
        <v/>
      </c>
      <c r="Y153" s="10">
        <f>IF(T153="","",ROUND(SUMIFS($W$3:$W$252,$A$3:$A$252,"&lt;="&amp;$A153),1))</f>
        <v/>
      </c>
      <c r="Z153" s="10">
        <f>IF(OR(T153="",$A153=""),"",IF(ISNUMBER(IFERROR(INDEX($X$3:$X$252,MATCH($A153-1,$A$3:$A$252,0)),"")),ROUND((INDEX($X$3:$X$252,MATCH($A153-1,$A$3:$A$252,0))-T153)*10,1),""))</f>
        <v/>
      </c>
      <c r="AA153" s="10">
        <f>IF(ISNUMBER(T153),1,0)</f>
        <v/>
      </c>
      <c r="AB153" s="16">
        <f>IF($A153="","",IF(_xlfn.MAXIFS('TP-b'!$B$2:$B$60,'TP-b'!$A$2:$A$60,"3F4D+MD",'TP-b'!$E$2:$E$60,1,'TP-b'!$B$2:$B$60,"&lt;="&amp;$A153)&gt;0,_xlfn.MAXIFS('TP-b'!$B$2:$B$60,'TP-b'!$A$2:$A$60,"3F4D+MD",'TP-b'!$E$2:$E$60,1,'TP-b'!$B$2:$B$60,"&lt;="&amp;$A153),IF(_xlfn.MINIFS('TP-b'!$B$2:$B$60,'TP-b'!$A$2:$A$60,"3F4D+MD",'TP-b'!$E$2:$E$60,1)&gt;0,_xlfn.MINIFS('TP-b'!$B$2:$B$60,'TP-b'!$A$2:$A$60,"3F4D+MD",'TP-b'!$E$2:$E$60,1),"")))</f>
        <v/>
      </c>
      <c r="AC153" s="10">
        <f>IF(AB153="","",AVERAGEIFS('TP-b'!$C$2:$C$60,'TP-b'!$A$2:$A$60,"3F4D+MD",'TP-b'!$B$2:$B$60,AB153,'TP-b'!$E$2:$E$60,1))</f>
        <v/>
      </c>
      <c r="AD153" s="10">
        <f>IF(AB153="","",AVERAGEIFS('TP-b'!$D$2:$D$60,'TP-b'!$A$2:$A$60,"3F4D+MD",'TP-b'!$B$2:$B$60,AB153,'TP-b'!$E$2:$E$60,1))</f>
        <v/>
      </c>
      <c r="AE153" s="10">
        <f>IF(OR($A153="",NOT(ISNUMBER($J153)),AC153=""),"",ROUND($J153-AC153+AD153,1))</f>
        <v/>
      </c>
      <c r="AF153" s="10">
        <f>IF(AND($K153="Yes",ISNUMBER($L153),AC153&lt;&gt;""),ROUND($L153-AC153+AD153,1),"")</f>
        <v/>
      </c>
      <c r="AG153" s="10">
        <f>IF(AND($K153="Yes",ISNUMBER($M153),AC153&lt;&gt;""),ROUND($M153-AC153+AD153,1),"")</f>
        <v/>
      </c>
      <c r="AH153" s="10">
        <f>IF(AND(ISNUMBER($J153),ISNUMBER(AF153),ISNUMBER(AG153)),ROUND((AG153-MAX(AF153,0))*10,1),"")</f>
        <v/>
      </c>
      <c r="AI153" s="10">
        <f>IF(AE153="","",IF(AND($K153="Yes",ISNUMBER(AG153)),AG153,AE153))</f>
        <v/>
      </c>
      <c r="AJ153" s="10">
        <f>IF(AE153="","",ROUND(SUMIFS($AH$3:$AH$252,$A$3:$A$252,"&lt;="&amp;$A153),1))</f>
        <v/>
      </c>
      <c r="AK153" s="10">
        <f>IF(OR(AE153="",$A153=""),"",IF(ISNUMBER(IFERROR(INDEX($AI$3:$AI$252,MATCH($A153-1,$A$3:$A$252,0)),"")),ROUND((INDEX($AI$3:$AI$252,MATCH($A153-1,$A$3:$A$252,0))-AE153)*10,1),""))</f>
        <v/>
      </c>
      <c r="AL153" s="10">
        <f>IF(ISNUMBER(AE153),1,0)</f>
        <v/>
      </c>
      <c r="AM153" s="17">
        <f>IF($A153="","",IF(COUNTIF($A$3:$A$252,$A153)&gt;1,"same date twice; ","")&amp;IF(AND(ISNUMBER($B153),OR($B153&lt;0,$B153&gt;300)),"rain out of range; ","")&amp;IF(AND(ISNUMBER($C153),OR($C153&lt;0,$C153&gt;45)),"temp out of range; ","")&amp;IF(AND(ISNUMBER($D153),OR($D153&lt;0,$D153&gt;100)),"RH out of range; ",""))</f>
        <v/>
      </c>
      <c r="AN153" s="17">
        <f>IF($A153="","",IF(AND(ISNUMBER(T153),OR(T153&lt;-30,T153&gt;20)),"WL out of range; ","")&amp;IF(AND(ISNUMBER($E153),T153=""),"no TP/b; ","")&amp;IF(AND(ISNUMBER(U153),ISNUMBER(V153)),IF(V153&lt;U153,"After&lt;Before; ",""),"")&amp;IF(AND($F153="Yes",ISNUMBER($E153),W153=""),"irrigation readings missing; ","")&amp;IF(ISNUMBER(Z153),IF(AND(ABS(Z153)&gt;50,NOT(N($B153)&gt;0)),"WL jump &gt;5 cm; ",""),""))</f>
        <v/>
      </c>
      <c r="AO153" s="17">
        <f>IF($A153="","",IF(AND(ISNUMBER(AE153),OR(AE153&lt;-30,AE153&gt;20)),"WL out of range; ","")&amp;IF(AND(ISNUMBER($J153),AE153=""),"no TP/b; ","")&amp;IF(AND(ISNUMBER(AF153),ISNUMBER(AG153)),IF(AG153&lt;AF153,"After&lt;Before; ",""),"")&amp;IF(AND($K153="Yes",ISNUMBER($J153),AH153=""),"irrigation readings missing; ","")&amp;IF(ISNUMBER(AK153),IF(AND(ABS(AK153)&gt;50,NOT(N($B153)&gt;0)),"WL jump &gt;5 cm; ",""),"")&amp;IF(AND(ISNUMBER(PitanE),ISNUMBER(AB153),$A153&gt;PitanE+2,AB153&lt;PitanE),"re-measure TP/b after Pitan; ",""))</f>
        <v/>
      </c>
    </row>
    <row r="154">
      <c r="A154" s="14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0">
        <f>IF(OR($A154="",NOT(ISNUMBER(TransDate))),"",$A154-TransDate)</f>
        <v/>
      </c>
      <c r="Q154" s="16">
        <f>IF($A154="","",IF(_xlfn.MAXIFS('TP-b'!$B$2:$B$60,'TP-b'!$A$2:$A$60,"FP",'TP-b'!$E$2:$E$60,1,'TP-b'!$B$2:$B$60,"&lt;="&amp;$A154)&gt;0,_xlfn.MAXIFS('TP-b'!$B$2:$B$60,'TP-b'!$A$2:$A$60,"FP",'TP-b'!$E$2:$E$60,1,'TP-b'!$B$2:$B$60,"&lt;="&amp;$A154),IF(_xlfn.MINIFS('TP-b'!$B$2:$B$60,'TP-b'!$A$2:$A$60,"FP",'TP-b'!$E$2:$E$60,1)&gt;0,_xlfn.MINIFS('TP-b'!$B$2:$B$60,'TP-b'!$A$2:$A$60,"FP",'TP-b'!$E$2:$E$60,1),"")))</f>
        <v/>
      </c>
      <c r="R154" s="10">
        <f>IF(Q154="","",AVERAGEIFS('TP-b'!$C$2:$C$60,'TP-b'!$A$2:$A$60,"FP",'TP-b'!$B$2:$B$60,Q154,'TP-b'!$E$2:$E$60,1))</f>
        <v/>
      </c>
      <c r="S154" s="10">
        <f>IF(Q154="","",AVERAGEIFS('TP-b'!$D$2:$D$60,'TP-b'!$A$2:$A$60,"FP",'TP-b'!$B$2:$B$60,Q154,'TP-b'!$E$2:$E$60,1))</f>
        <v/>
      </c>
      <c r="T154" s="10">
        <f>IF(OR($A154="",NOT(ISNUMBER($E154)),R154=""),"",ROUND($E154-R154+S154,1))</f>
        <v/>
      </c>
      <c r="U154" s="10">
        <f>IF(AND($F154="Yes",ISNUMBER($G154),R154&lt;&gt;""),ROUND($G154-R154+S154,1),"")</f>
        <v/>
      </c>
      <c r="V154" s="10">
        <f>IF(AND($F154="Yes",ISNUMBER($H154),R154&lt;&gt;""),ROUND($H154-R154+S154,1),"")</f>
        <v/>
      </c>
      <c r="W154" s="10">
        <f>IF(AND(ISNUMBER($E154),ISNUMBER(U154),ISNUMBER(V154)),ROUND((V154-MAX(U154,0))*10,1),"")</f>
        <v/>
      </c>
      <c r="X154" s="10">
        <f>IF(T154="","",IF(AND($F154="Yes",ISNUMBER(V154)),V154,T154))</f>
        <v/>
      </c>
      <c r="Y154" s="10">
        <f>IF(T154="","",ROUND(SUMIFS($W$3:$W$252,$A$3:$A$252,"&lt;="&amp;$A154),1))</f>
        <v/>
      </c>
      <c r="Z154" s="10">
        <f>IF(OR(T154="",$A154=""),"",IF(ISNUMBER(IFERROR(INDEX($X$3:$X$252,MATCH($A154-1,$A$3:$A$252,0)),"")),ROUND((INDEX($X$3:$X$252,MATCH($A154-1,$A$3:$A$252,0))-T154)*10,1),""))</f>
        <v/>
      </c>
      <c r="AA154" s="10">
        <f>IF(ISNUMBER(T154),1,0)</f>
        <v/>
      </c>
      <c r="AB154" s="16">
        <f>IF($A154="","",IF(_xlfn.MAXIFS('TP-b'!$B$2:$B$60,'TP-b'!$A$2:$A$60,"3F4D+MD",'TP-b'!$E$2:$E$60,1,'TP-b'!$B$2:$B$60,"&lt;="&amp;$A154)&gt;0,_xlfn.MAXIFS('TP-b'!$B$2:$B$60,'TP-b'!$A$2:$A$60,"3F4D+MD",'TP-b'!$E$2:$E$60,1,'TP-b'!$B$2:$B$60,"&lt;="&amp;$A154),IF(_xlfn.MINIFS('TP-b'!$B$2:$B$60,'TP-b'!$A$2:$A$60,"3F4D+MD",'TP-b'!$E$2:$E$60,1)&gt;0,_xlfn.MINIFS('TP-b'!$B$2:$B$60,'TP-b'!$A$2:$A$60,"3F4D+MD",'TP-b'!$E$2:$E$60,1),"")))</f>
        <v/>
      </c>
      <c r="AC154" s="10">
        <f>IF(AB154="","",AVERAGEIFS('TP-b'!$C$2:$C$60,'TP-b'!$A$2:$A$60,"3F4D+MD",'TP-b'!$B$2:$B$60,AB154,'TP-b'!$E$2:$E$60,1))</f>
        <v/>
      </c>
      <c r="AD154" s="10">
        <f>IF(AB154="","",AVERAGEIFS('TP-b'!$D$2:$D$60,'TP-b'!$A$2:$A$60,"3F4D+MD",'TP-b'!$B$2:$B$60,AB154,'TP-b'!$E$2:$E$60,1))</f>
        <v/>
      </c>
      <c r="AE154" s="10">
        <f>IF(OR($A154="",NOT(ISNUMBER($J154)),AC154=""),"",ROUND($J154-AC154+AD154,1))</f>
        <v/>
      </c>
      <c r="AF154" s="10">
        <f>IF(AND($K154="Yes",ISNUMBER($L154),AC154&lt;&gt;""),ROUND($L154-AC154+AD154,1),"")</f>
        <v/>
      </c>
      <c r="AG154" s="10">
        <f>IF(AND($K154="Yes",ISNUMBER($M154),AC154&lt;&gt;""),ROUND($M154-AC154+AD154,1),"")</f>
        <v/>
      </c>
      <c r="AH154" s="10">
        <f>IF(AND(ISNUMBER($J154),ISNUMBER(AF154),ISNUMBER(AG154)),ROUND((AG154-MAX(AF154,0))*10,1),"")</f>
        <v/>
      </c>
      <c r="AI154" s="10">
        <f>IF(AE154="","",IF(AND($K154="Yes",ISNUMBER(AG154)),AG154,AE154))</f>
        <v/>
      </c>
      <c r="AJ154" s="10">
        <f>IF(AE154="","",ROUND(SUMIFS($AH$3:$AH$252,$A$3:$A$252,"&lt;="&amp;$A154),1))</f>
        <v/>
      </c>
      <c r="AK154" s="10">
        <f>IF(OR(AE154="",$A154=""),"",IF(ISNUMBER(IFERROR(INDEX($AI$3:$AI$252,MATCH($A154-1,$A$3:$A$252,0)),"")),ROUND((INDEX($AI$3:$AI$252,MATCH($A154-1,$A$3:$A$252,0))-AE154)*10,1),""))</f>
        <v/>
      </c>
      <c r="AL154" s="10">
        <f>IF(ISNUMBER(AE154),1,0)</f>
        <v/>
      </c>
      <c r="AM154" s="17">
        <f>IF($A154="","",IF(COUNTIF($A$3:$A$252,$A154)&gt;1,"same date twice; ","")&amp;IF(AND(ISNUMBER($B154),OR($B154&lt;0,$B154&gt;300)),"rain out of range; ","")&amp;IF(AND(ISNUMBER($C154),OR($C154&lt;0,$C154&gt;45)),"temp out of range; ","")&amp;IF(AND(ISNUMBER($D154),OR($D154&lt;0,$D154&gt;100)),"RH out of range; ",""))</f>
        <v/>
      </c>
      <c r="AN154" s="17">
        <f>IF($A154="","",IF(AND(ISNUMBER(T154),OR(T154&lt;-30,T154&gt;20)),"WL out of range; ","")&amp;IF(AND(ISNUMBER($E154),T154=""),"no TP/b; ","")&amp;IF(AND(ISNUMBER(U154),ISNUMBER(V154)),IF(V154&lt;U154,"After&lt;Before; ",""),"")&amp;IF(AND($F154="Yes",ISNUMBER($E154),W154=""),"irrigation readings missing; ","")&amp;IF(ISNUMBER(Z154),IF(AND(ABS(Z154)&gt;50,NOT(N($B154)&gt;0)),"WL jump &gt;5 cm; ",""),""))</f>
        <v/>
      </c>
      <c r="AO154" s="17">
        <f>IF($A154="","",IF(AND(ISNUMBER(AE154),OR(AE154&lt;-30,AE154&gt;20)),"WL out of range; ","")&amp;IF(AND(ISNUMBER($J154),AE154=""),"no TP/b; ","")&amp;IF(AND(ISNUMBER(AF154),ISNUMBER(AG154)),IF(AG154&lt;AF154,"After&lt;Before; ",""),"")&amp;IF(AND($K154="Yes",ISNUMBER($J154),AH154=""),"irrigation readings missing; ","")&amp;IF(ISNUMBER(AK154),IF(AND(ABS(AK154)&gt;50,NOT(N($B154)&gt;0)),"WL jump &gt;5 cm; ",""),"")&amp;IF(AND(ISNUMBER(PitanE),ISNUMBER(AB154),$A154&gt;PitanE+2,AB154&lt;PitanE),"re-measure TP/b after Pitan; ",""))</f>
        <v/>
      </c>
    </row>
    <row r="155">
      <c r="A155" s="14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0">
        <f>IF(OR($A155="",NOT(ISNUMBER(TransDate))),"",$A155-TransDate)</f>
        <v/>
      </c>
      <c r="Q155" s="16">
        <f>IF($A155="","",IF(_xlfn.MAXIFS('TP-b'!$B$2:$B$60,'TP-b'!$A$2:$A$60,"FP",'TP-b'!$E$2:$E$60,1,'TP-b'!$B$2:$B$60,"&lt;="&amp;$A155)&gt;0,_xlfn.MAXIFS('TP-b'!$B$2:$B$60,'TP-b'!$A$2:$A$60,"FP",'TP-b'!$E$2:$E$60,1,'TP-b'!$B$2:$B$60,"&lt;="&amp;$A155),IF(_xlfn.MINIFS('TP-b'!$B$2:$B$60,'TP-b'!$A$2:$A$60,"FP",'TP-b'!$E$2:$E$60,1)&gt;0,_xlfn.MINIFS('TP-b'!$B$2:$B$60,'TP-b'!$A$2:$A$60,"FP",'TP-b'!$E$2:$E$60,1),"")))</f>
        <v/>
      </c>
      <c r="R155" s="10">
        <f>IF(Q155="","",AVERAGEIFS('TP-b'!$C$2:$C$60,'TP-b'!$A$2:$A$60,"FP",'TP-b'!$B$2:$B$60,Q155,'TP-b'!$E$2:$E$60,1))</f>
        <v/>
      </c>
      <c r="S155" s="10">
        <f>IF(Q155="","",AVERAGEIFS('TP-b'!$D$2:$D$60,'TP-b'!$A$2:$A$60,"FP",'TP-b'!$B$2:$B$60,Q155,'TP-b'!$E$2:$E$60,1))</f>
        <v/>
      </c>
      <c r="T155" s="10">
        <f>IF(OR($A155="",NOT(ISNUMBER($E155)),R155=""),"",ROUND($E155-R155+S155,1))</f>
        <v/>
      </c>
      <c r="U155" s="10">
        <f>IF(AND($F155="Yes",ISNUMBER($G155),R155&lt;&gt;""),ROUND($G155-R155+S155,1),"")</f>
        <v/>
      </c>
      <c r="V155" s="10">
        <f>IF(AND($F155="Yes",ISNUMBER($H155),R155&lt;&gt;""),ROUND($H155-R155+S155,1),"")</f>
        <v/>
      </c>
      <c r="W155" s="10">
        <f>IF(AND(ISNUMBER($E155),ISNUMBER(U155),ISNUMBER(V155)),ROUND((V155-MAX(U155,0))*10,1),"")</f>
        <v/>
      </c>
      <c r="X155" s="10">
        <f>IF(T155="","",IF(AND($F155="Yes",ISNUMBER(V155)),V155,T155))</f>
        <v/>
      </c>
      <c r="Y155" s="10">
        <f>IF(T155="","",ROUND(SUMIFS($W$3:$W$252,$A$3:$A$252,"&lt;="&amp;$A155),1))</f>
        <v/>
      </c>
      <c r="Z155" s="10">
        <f>IF(OR(T155="",$A155=""),"",IF(ISNUMBER(IFERROR(INDEX($X$3:$X$252,MATCH($A155-1,$A$3:$A$252,0)),"")),ROUND((INDEX($X$3:$X$252,MATCH($A155-1,$A$3:$A$252,0))-T155)*10,1),""))</f>
        <v/>
      </c>
      <c r="AA155" s="10">
        <f>IF(ISNUMBER(T155),1,0)</f>
        <v/>
      </c>
      <c r="AB155" s="16">
        <f>IF($A155="","",IF(_xlfn.MAXIFS('TP-b'!$B$2:$B$60,'TP-b'!$A$2:$A$60,"3F4D+MD",'TP-b'!$E$2:$E$60,1,'TP-b'!$B$2:$B$60,"&lt;="&amp;$A155)&gt;0,_xlfn.MAXIFS('TP-b'!$B$2:$B$60,'TP-b'!$A$2:$A$60,"3F4D+MD",'TP-b'!$E$2:$E$60,1,'TP-b'!$B$2:$B$60,"&lt;="&amp;$A155),IF(_xlfn.MINIFS('TP-b'!$B$2:$B$60,'TP-b'!$A$2:$A$60,"3F4D+MD",'TP-b'!$E$2:$E$60,1)&gt;0,_xlfn.MINIFS('TP-b'!$B$2:$B$60,'TP-b'!$A$2:$A$60,"3F4D+MD",'TP-b'!$E$2:$E$60,1),"")))</f>
        <v/>
      </c>
      <c r="AC155" s="10">
        <f>IF(AB155="","",AVERAGEIFS('TP-b'!$C$2:$C$60,'TP-b'!$A$2:$A$60,"3F4D+MD",'TP-b'!$B$2:$B$60,AB155,'TP-b'!$E$2:$E$60,1))</f>
        <v/>
      </c>
      <c r="AD155" s="10">
        <f>IF(AB155="","",AVERAGEIFS('TP-b'!$D$2:$D$60,'TP-b'!$A$2:$A$60,"3F4D+MD",'TP-b'!$B$2:$B$60,AB155,'TP-b'!$E$2:$E$60,1))</f>
        <v/>
      </c>
      <c r="AE155" s="10">
        <f>IF(OR($A155="",NOT(ISNUMBER($J155)),AC155=""),"",ROUND($J155-AC155+AD155,1))</f>
        <v/>
      </c>
      <c r="AF155" s="10">
        <f>IF(AND($K155="Yes",ISNUMBER($L155),AC155&lt;&gt;""),ROUND($L155-AC155+AD155,1),"")</f>
        <v/>
      </c>
      <c r="AG155" s="10">
        <f>IF(AND($K155="Yes",ISNUMBER($M155),AC155&lt;&gt;""),ROUND($M155-AC155+AD155,1),"")</f>
        <v/>
      </c>
      <c r="AH155" s="10">
        <f>IF(AND(ISNUMBER($J155),ISNUMBER(AF155),ISNUMBER(AG155)),ROUND((AG155-MAX(AF155,0))*10,1),"")</f>
        <v/>
      </c>
      <c r="AI155" s="10">
        <f>IF(AE155="","",IF(AND($K155="Yes",ISNUMBER(AG155)),AG155,AE155))</f>
        <v/>
      </c>
      <c r="AJ155" s="10">
        <f>IF(AE155="","",ROUND(SUMIFS($AH$3:$AH$252,$A$3:$A$252,"&lt;="&amp;$A155),1))</f>
        <v/>
      </c>
      <c r="AK155" s="10">
        <f>IF(OR(AE155="",$A155=""),"",IF(ISNUMBER(IFERROR(INDEX($AI$3:$AI$252,MATCH($A155-1,$A$3:$A$252,0)),"")),ROUND((INDEX($AI$3:$AI$252,MATCH($A155-1,$A$3:$A$252,0))-AE155)*10,1),""))</f>
        <v/>
      </c>
      <c r="AL155" s="10">
        <f>IF(ISNUMBER(AE155),1,0)</f>
        <v/>
      </c>
      <c r="AM155" s="17">
        <f>IF($A155="","",IF(COUNTIF($A$3:$A$252,$A155)&gt;1,"same date twice; ","")&amp;IF(AND(ISNUMBER($B155),OR($B155&lt;0,$B155&gt;300)),"rain out of range; ","")&amp;IF(AND(ISNUMBER($C155),OR($C155&lt;0,$C155&gt;45)),"temp out of range; ","")&amp;IF(AND(ISNUMBER($D155),OR($D155&lt;0,$D155&gt;100)),"RH out of range; ",""))</f>
        <v/>
      </c>
      <c r="AN155" s="17">
        <f>IF($A155="","",IF(AND(ISNUMBER(T155),OR(T155&lt;-30,T155&gt;20)),"WL out of range; ","")&amp;IF(AND(ISNUMBER($E155),T155=""),"no TP/b; ","")&amp;IF(AND(ISNUMBER(U155),ISNUMBER(V155)),IF(V155&lt;U155,"After&lt;Before; ",""),"")&amp;IF(AND($F155="Yes",ISNUMBER($E155),W155=""),"irrigation readings missing; ","")&amp;IF(ISNUMBER(Z155),IF(AND(ABS(Z155)&gt;50,NOT(N($B155)&gt;0)),"WL jump &gt;5 cm; ",""),""))</f>
        <v/>
      </c>
      <c r="AO155" s="17">
        <f>IF($A155="","",IF(AND(ISNUMBER(AE155),OR(AE155&lt;-30,AE155&gt;20)),"WL out of range; ","")&amp;IF(AND(ISNUMBER($J155),AE155=""),"no TP/b; ","")&amp;IF(AND(ISNUMBER(AF155),ISNUMBER(AG155)),IF(AG155&lt;AF155,"After&lt;Before; ",""),"")&amp;IF(AND($K155="Yes",ISNUMBER($J155),AH155=""),"irrigation readings missing; ","")&amp;IF(ISNUMBER(AK155),IF(AND(ABS(AK155)&gt;50,NOT(N($B155)&gt;0)),"WL jump &gt;5 cm; ",""),"")&amp;IF(AND(ISNUMBER(PitanE),ISNUMBER(AB155),$A155&gt;PitanE+2,AB155&lt;PitanE),"re-measure TP/b after Pitan; ",""))</f>
        <v/>
      </c>
    </row>
    <row r="156">
      <c r="A156" s="14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0">
        <f>IF(OR($A156="",NOT(ISNUMBER(TransDate))),"",$A156-TransDate)</f>
        <v/>
      </c>
      <c r="Q156" s="16">
        <f>IF($A156="","",IF(_xlfn.MAXIFS('TP-b'!$B$2:$B$60,'TP-b'!$A$2:$A$60,"FP",'TP-b'!$E$2:$E$60,1,'TP-b'!$B$2:$B$60,"&lt;="&amp;$A156)&gt;0,_xlfn.MAXIFS('TP-b'!$B$2:$B$60,'TP-b'!$A$2:$A$60,"FP",'TP-b'!$E$2:$E$60,1,'TP-b'!$B$2:$B$60,"&lt;="&amp;$A156),IF(_xlfn.MINIFS('TP-b'!$B$2:$B$60,'TP-b'!$A$2:$A$60,"FP",'TP-b'!$E$2:$E$60,1)&gt;0,_xlfn.MINIFS('TP-b'!$B$2:$B$60,'TP-b'!$A$2:$A$60,"FP",'TP-b'!$E$2:$E$60,1),"")))</f>
        <v/>
      </c>
      <c r="R156" s="10">
        <f>IF(Q156="","",AVERAGEIFS('TP-b'!$C$2:$C$60,'TP-b'!$A$2:$A$60,"FP",'TP-b'!$B$2:$B$60,Q156,'TP-b'!$E$2:$E$60,1))</f>
        <v/>
      </c>
      <c r="S156" s="10">
        <f>IF(Q156="","",AVERAGEIFS('TP-b'!$D$2:$D$60,'TP-b'!$A$2:$A$60,"FP",'TP-b'!$B$2:$B$60,Q156,'TP-b'!$E$2:$E$60,1))</f>
        <v/>
      </c>
      <c r="T156" s="10">
        <f>IF(OR($A156="",NOT(ISNUMBER($E156)),R156=""),"",ROUND($E156-R156+S156,1))</f>
        <v/>
      </c>
      <c r="U156" s="10">
        <f>IF(AND($F156="Yes",ISNUMBER($G156),R156&lt;&gt;""),ROUND($G156-R156+S156,1),"")</f>
        <v/>
      </c>
      <c r="V156" s="10">
        <f>IF(AND($F156="Yes",ISNUMBER($H156),R156&lt;&gt;""),ROUND($H156-R156+S156,1),"")</f>
        <v/>
      </c>
      <c r="W156" s="10">
        <f>IF(AND(ISNUMBER($E156),ISNUMBER(U156),ISNUMBER(V156)),ROUND((V156-MAX(U156,0))*10,1),"")</f>
        <v/>
      </c>
      <c r="X156" s="10">
        <f>IF(T156="","",IF(AND($F156="Yes",ISNUMBER(V156)),V156,T156))</f>
        <v/>
      </c>
      <c r="Y156" s="10">
        <f>IF(T156="","",ROUND(SUMIFS($W$3:$W$252,$A$3:$A$252,"&lt;="&amp;$A156),1))</f>
        <v/>
      </c>
      <c r="Z156" s="10">
        <f>IF(OR(T156="",$A156=""),"",IF(ISNUMBER(IFERROR(INDEX($X$3:$X$252,MATCH($A156-1,$A$3:$A$252,0)),"")),ROUND((INDEX($X$3:$X$252,MATCH($A156-1,$A$3:$A$252,0))-T156)*10,1),""))</f>
        <v/>
      </c>
      <c r="AA156" s="10">
        <f>IF(ISNUMBER(T156),1,0)</f>
        <v/>
      </c>
      <c r="AB156" s="16">
        <f>IF($A156="","",IF(_xlfn.MAXIFS('TP-b'!$B$2:$B$60,'TP-b'!$A$2:$A$60,"3F4D+MD",'TP-b'!$E$2:$E$60,1,'TP-b'!$B$2:$B$60,"&lt;="&amp;$A156)&gt;0,_xlfn.MAXIFS('TP-b'!$B$2:$B$60,'TP-b'!$A$2:$A$60,"3F4D+MD",'TP-b'!$E$2:$E$60,1,'TP-b'!$B$2:$B$60,"&lt;="&amp;$A156),IF(_xlfn.MINIFS('TP-b'!$B$2:$B$60,'TP-b'!$A$2:$A$60,"3F4D+MD",'TP-b'!$E$2:$E$60,1)&gt;0,_xlfn.MINIFS('TP-b'!$B$2:$B$60,'TP-b'!$A$2:$A$60,"3F4D+MD",'TP-b'!$E$2:$E$60,1),"")))</f>
        <v/>
      </c>
      <c r="AC156" s="10">
        <f>IF(AB156="","",AVERAGEIFS('TP-b'!$C$2:$C$60,'TP-b'!$A$2:$A$60,"3F4D+MD",'TP-b'!$B$2:$B$60,AB156,'TP-b'!$E$2:$E$60,1))</f>
        <v/>
      </c>
      <c r="AD156" s="10">
        <f>IF(AB156="","",AVERAGEIFS('TP-b'!$D$2:$D$60,'TP-b'!$A$2:$A$60,"3F4D+MD",'TP-b'!$B$2:$B$60,AB156,'TP-b'!$E$2:$E$60,1))</f>
        <v/>
      </c>
      <c r="AE156" s="10">
        <f>IF(OR($A156="",NOT(ISNUMBER($J156)),AC156=""),"",ROUND($J156-AC156+AD156,1))</f>
        <v/>
      </c>
      <c r="AF156" s="10">
        <f>IF(AND($K156="Yes",ISNUMBER($L156),AC156&lt;&gt;""),ROUND($L156-AC156+AD156,1),"")</f>
        <v/>
      </c>
      <c r="AG156" s="10">
        <f>IF(AND($K156="Yes",ISNUMBER($M156),AC156&lt;&gt;""),ROUND($M156-AC156+AD156,1),"")</f>
        <v/>
      </c>
      <c r="AH156" s="10">
        <f>IF(AND(ISNUMBER($J156),ISNUMBER(AF156),ISNUMBER(AG156)),ROUND((AG156-MAX(AF156,0))*10,1),"")</f>
        <v/>
      </c>
      <c r="AI156" s="10">
        <f>IF(AE156="","",IF(AND($K156="Yes",ISNUMBER(AG156)),AG156,AE156))</f>
        <v/>
      </c>
      <c r="AJ156" s="10">
        <f>IF(AE156="","",ROUND(SUMIFS($AH$3:$AH$252,$A$3:$A$252,"&lt;="&amp;$A156),1))</f>
        <v/>
      </c>
      <c r="AK156" s="10">
        <f>IF(OR(AE156="",$A156=""),"",IF(ISNUMBER(IFERROR(INDEX($AI$3:$AI$252,MATCH($A156-1,$A$3:$A$252,0)),"")),ROUND((INDEX($AI$3:$AI$252,MATCH($A156-1,$A$3:$A$252,0))-AE156)*10,1),""))</f>
        <v/>
      </c>
      <c r="AL156" s="10">
        <f>IF(ISNUMBER(AE156),1,0)</f>
        <v/>
      </c>
      <c r="AM156" s="17">
        <f>IF($A156="","",IF(COUNTIF($A$3:$A$252,$A156)&gt;1,"same date twice; ","")&amp;IF(AND(ISNUMBER($B156),OR($B156&lt;0,$B156&gt;300)),"rain out of range; ","")&amp;IF(AND(ISNUMBER($C156),OR($C156&lt;0,$C156&gt;45)),"temp out of range; ","")&amp;IF(AND(ISNUMBER($D156),OR($D156&lt;0,$D156&gt;100)),"RH out of range; ",""))</f>
        <v/>
      </c>
      <c r="AN156" s="17">
        <f>IF($A156="","",IF(AND(ISNUMBER(T156),OR(T156&lt;-30,T156&gt;20)),"WL out of range; ","")&amp;IF(AND(ISNUMBER($E156),T156=""),"no TP/b; ","")&amp;IF(AND(ISNUMBER(U156),ISNUMBER(V156)),IF(V156&lt;U156,"After&lt;Before; ",""),"")&amp;IF(AND($F156="Yes",ISNUMBER($E156),W156=""),"irrigation readings missing; ","")&amp;IF(ISNUMBER(Z156),IF(AND(ABS(Z156)&gt;50,NOT(N($B156)&gt;0)),"WL jump &gt;5 cm; ",""),""))</f>
        <v/>
      </c>
      <c r="AO156" s="17">
        <f>IF($A156="","",IF(AND(ISNUMBER(AE156),OR(AE156&lt;-30,AE156&gt;20)),"WL out of range; ","")&amp;IF(AND(ISNUMBER($J156),AE156=""),"no TP/b; ","")&amp;IF(AND(ISNUMBER(AF156),ISNUMBER(AG156)),IF(AG156&lt;AF156,"After&lt;Before; ",""),"")&amp;IF(AND($K156="Yes",ISNUMBER($J156),AH156=""),"irrigation readings missing; ","")&amp;IF(ISNUMBER(AK156),IF(AND(ABS(AK156)&gt;50,NOT(N($B156)&gt;0)),"WL jump &gt;5 cm; ",""),"")&amp;IF(AND(ISNUMBER(PitanE),ISNUMBER(AB156),$A156&gt;PitanE+2,AB156&lt;PitanE),"re-measure TP/b after Pitan; ",""))</f>
        <v/>
      </c>
    </row>
    <row r="157">
      <c r="A157" s="14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0">
        <f>IF(OR($A157="",NOT(ISNUMBER(TransDate))),"",$A157-TransDate)</f>
        <v/>
      </c>
      <c r="Q157" s="16">
        <f>IF($A157="","",IF(_xlfn.MAXIFS('TP-b'!$B$2:$B$60,'TP-b'!$A$2:$A$60,"FP",'TP-b'!$E$2:$E$60,1,'TP-b'!$B$2:$B$60,"&lt;="&amp;$A157)&gt;0,_xlfn.MAXIFS('TP-b'!$B$2:$B$60,'TP-b'!$A$2:$A$60,"FP",'TP-b'!$E$2:$E$60,1,'TP-b'!$B$2:$B$60,"&lt;="&amp;$A157),IF(_xlfn.MINIFS('TP-b'!$B$2:$B$60,'TP-b'!$A$2:$A$60,"FP",'TP-b'!$E$2:$E$60,1)&gt;0,_xlfn.MINIFS('TP-b'!$B$2:$B$60,'TP-b'!$A$2:$A$60,"FP",'TP-b'!$E$2:$E$60,1),"")))</f>
        <v/>
      </c>
      <c r="R157" s="10">
        <f>IF(Q157="","",AVERAGEIFS('TP-b'!$C$2:$C$60,'TP-b'!$A$2:$A$60,"FP",'TP-b'!$B$2:$B$60,Q157,'TP-b'!$E$2:$E$60,1))</f>
        <v/>
      </c>
      <c r="S157" s="10">
        <f>IF(Q157="","",AVERAGEIFS('TP-b'!$D$2:$D$60,'TP-b'!$A$2:$A$60,"FP",'TP-b'!$B$2:$B$60,Q157,'TP-b'!$E$2:$E$60,1))</f>
        <v/>
      </c>
      <c r="T157" s="10">
        <f>IF(OR($A157="",NOT(ISNUMBER($E157)),R157=""),"",ROUND($E157-R157+S157,1))</f>
        <v/>
      </c>
      <c r="U157" s="10">
        <f>IF(AND($F157="Yes",ISNUMBER($G157),R157&lt;&gt;""),ROUND($G157-R157+S157,1),"")</f>
        <v/>
      </c>
      <c r="V157" s="10">
        <f>IF(AND($F157="Yes",ISNUMBER($H157),R157&lt;&gt;""),ROUND($H157-R157+S157,1),"")</f>
        <v/>
      </c>
      <c r="W157" s="10">
        <f>IF(AND(ISNUMBER($E157),ISNUMBER(U157),ISNUMBER(V157)),ROUND((V157-MAX(U157,0))*10,1),"")</f>
        <v/>
      </c>
      <c r="X157" s="10">
        <f>IF(T157="","",IF(AND($F157="Yes",ISNUMBER(V157)),V157,T157))</f>
        <v/>
      </c>
      <c r="Y157" s="10">
        <f>IF(T157="","",ROUND(SUMIFS($W$3:$W$252,$A$3:$A$252,"&lt;="&amp;$A157),1))</f>
        <v/>
      </c>
      <c r="Z157" s="10">
        <f>IF(OR(T157="",$A157=""),"",IF(ISNUMBER(IFERROR(INDEX($X$3:$X$252,MATCH($A157-1,$A$3:$A$252,0)),"")),ROUND((INDEX($X$3:$X$252,MATCH($A157-1,$A$3:$A$252,0))-T157)*10,1),""))</f>
        <v/>
      </c>
      <c r="AA157" s="10">
        <f>IF(ISNUMBER(T157),1,0)</f>
        <v/>
      </c>
      <c r="AB157" s="16">
        <f>IF($A157="","",IF(_xlfn.MAXIFS('TP-b'!$B$2:$B$60,'TP-b'!$A$2:$A$60,"3F4D+MD",'TP-b'!$E$2:$E$60,1,'TP-b'!$B$2:$B$60,"&lt;="&amp;$A157)&gt;0,_xlfn.MAXIFS('TP-b'!$B$2:$B$60,'TP-b'!$A$2:$A$60,"3F4D+MD",'TP-b'!$E$2:$E$60,1,'TP-b'!$B$2:$B$60,"&lt;="&amp;$A157),IF(_xlfn.MINIFS('TP-b'!$B$2:$B$60,'TP-b'!$A$2:$A$60,"3F4D+MD",'TP-b'!$E$2:$E$60,1)&gt;0,_xlfn.MINIFS('TP-b'!$B$2:$B$60,'TP-b'!$A$2:$A$60,"3F4D+MD",'TP-b'!$E$2:$E$60,1),"")))</f>
        <v/>
      </c>
      <c r="AC157" s="10">
        <f>IF(AB157="","",AVERAGEIFS('TP-b'!$C$2:$C$60,'TP-b'!$A$2:$A$60,"3F4D+MD",'TP-b'!$B$2:$B$60,AB157,'TP-b'!$E$2:$E$60,1))</f>
        <v/>
      </c>
      <c r="AD157" s="10">
        <f>IF(AB157="","",AVERAGEIFS('TP-b'!$D$2:$D$60,'TP-b'!$A$2:$A$60,"3F4D+MD",'TP-b'!$B$2:$B$60,AB157,'TP-b'!$E$2:$E$60,1))</f>
        <v/>
      </c>
      <c r="AE157" s="10">
        <f>IF(OR($A157="",NOT(ISNUMBER($J157)),AC157=""),"",ROUND($J157-AC157+AD157,1))</f>
        <v/>
      </c>
      <c r="AF157" s="10">
        <f>IF(AND($K157="Yes",ISNUMBER($L157),AC157&lt;&gt;""),ROUND($L157-AC157+AD157,1),"")</f>
        <v/>
      </c>
      <c r="AG157" s="10">
        <f>IF(AND($K157="Yes",ISNUMBER($M157),AC157&lt;&gt;""),ROUND($M157-AC157+AD157,1),"")</f>
        <v/>
      </c>
      <c r="AH157" s="10">
        <f>IF(AND(ISNUMBER($J157),ISNUMBER(AF157),ISNUMBER(AG157)),ROUND((AG157-MAX(AF157,0))*10,1),"")</f>
        <v/>
      </c>
      <c r="AI157" s="10">
        <f>IF(AE157="","",IF(AND($K157="Yes",ISNUMBER(AG157)),AG157,AE157))</f>
        <v/>
      </c>
      <c r="AJ157" s="10">
        <f>IF(AE157="","",ROUND(SUMIFS($AH$3:$AH$252,$A$3:$A$252,"&lt;="&amp;$A157),1))</f>
        <v/>
      </c>
      <c r="AK157" s="10">
        <f>IF(OR(AE157="",$A157=""),"",IF(ISNUMBER(IFERROR(INDEX($AI$3:$AI$252,MATCH($A157-1,$A$3:$A$252,0)),"")),ROUND((INDEX($AI$3:$AI$252,MATCH($A157-1,$A$3:$A$252,0))-AE157)*10,1),""))</f>
        <v/>
      </c>
      <c r="AL157" s="10">
        <f>IF(ISNUMBER(AE157),1,0)</f>
        <v/>
      </c>
      <c r="AM157" s="17">
        <f>IF($A157="","",IF(COUNTIF($A$3:$A$252,$A157)&gt;1,"same date twice; ","")&amp;IF(AND(ISNUMBER($B157),OR($B157&lt;0,$B157&gt;300)),"rain out of range; ","")&amp;IF(AND(ISNUMBER($C157),OR($C157&lt;0,$C157&gt;45)),"temp out of range; ","")&amp;IF(AND(ISNUMBER($D157),OR($D157&lt;0,$D157&gt;100)),"RH out of range; ",""))</f>
        <v/>
      </c>
      <c r="AN157" s="17">
        <f>IF($A157="","",IF(AND(ISNUMBER(T157),OR(T157&lt;-30,T157&gt;20)),"WL out of range; ","")&amp;IF(AND(ISNUMBER($E157),T157=""),"no TP/b; ","")&amp;IF(AND(ISNUMBER(U157),ISNUMBER(V157)),IF(V157&lt;U157,"After&lt;Before; ",""),"")&amp;IF(AND($F157="Yes",ISNUMBER($E157),W157=""),"irrigation readings missing; ","")&amp;IF(ISNUMBER(Z157),IF(AND(ABS(Z157)&gt;50,NOT(N($B157)&gt;0)),"WL jump &gt;5 cm; ",""),""))</f>
        <v/>
      </c>
      <c r="AO157" s="17">
        <f>IF($A157="","",IF(AND(ISNUMBER(AE157),OR(AE157&lt;-30,AE157&gt;20)),"WL out of range; ","")&amp;IF(AND(ISNUMBER($J157),AE157=""),"no TP/b; ","")&amp;IF(AND(ISNUMBER(AF157),ISNUMBER(AG157)),IF(AG157&lt;AF157,"After&lt;Before; ",""),"")&amp;IF(AND($K157="Yes",ISNUMBER($J157),AH157=""),"irrigation readings missing; ","")&amp;IF(ISNUMBER(AK157),IF(AND(ABS(AK157)&gt;50,NOT(N($B157)&gt;0)),"WL jump &gt;5 cm; ",""),"")&amp;IF(AND(ISNUMBER(PitanE),ISNUMBER(AB157),$A157&gt;PitanE+2,AB157&lt;PitanE),"re-measure TP/b after Pitan; ",""))</f>
        <v/>
      </c>
    </row>
    <row r="158">
      <c r="A158" s="14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0">
        <f>IF(OR($A158="",NOT(ISNUMBER(TransDate))),"",$A158-TransDate)</f>
        <v/>
      </c>
      <c r="Q158" s="16">
        <f>IF($A158="","",IF(_xlfn.MAXIFS('TP-b'!$B$2:$B$60,'TP-b'!$A$2:$A$60,"FP",'TP-b'!$E$2:$E$60,1,'TP-b'!$B$2:$B$60,"&lt;="&amp;$A158)&gt;0,_xlfn.MAXIFS('TP-b'!$B$2:$B$60,'TP-b'!$A$2:$A$60,"FP",'TP-b'!$E$2:$E$60,1,'TP-b'!$B$2:$B$60,"&lt;="&amp;$A158),IF(_xlfn.MINIFS('TP-b'!$B$2:$B$60,'TP-b'!$A$2:$A$60,"FP",'TP-b'!$E$2:$E$60,1)&gt;0,_xlfn.MINIFS('TP-b'!$B$2:$B$60,'TP-b'!$A$2:$A$60,"FP",'TP-b'!$E$2:$E$60,1),"")))</f>
        <v/>
      </c>
      <c r="R158" s="10">
        <f>IF(Q158="","",AVERAGEIFS('TP-b'!$C$2:$C$60,'TP-b'!$A$2:$A$60,"FP",'TP-b'!$B$2:$B$60,Q158,'TP-b'!$E$2:$E$60,1))</f>
        <v/>
      </c>
      <c r="S158" s="10">
        <f>IF(Q158="","",AVERAGEIFS('TP-b'!$D$2:$D$60,'TP-b'!$A$2:$A$60,"FP",'TP-b'!$B$2:$B$60,Q158,'TP-b'!$E$2:$E$60,1))</f>
        <v/>
      </c>
      <c r="T158" s="10">
        <f>IF(OR($A158="",NOT(ISNUMBER($E158)),R158=""),"",ROUND($E158-R158+S158,1))</f>
        <v/>
      </c>
      <c r="U158" s="10">
        <f>IF(AND($F158="Yes",ISNUMBER($G158),R158&lt;&gt;""),ROUND($G158-R158+S158,1),"")</f>
        <v/>
      </c>
      <c r="V158" s="10">
        <f>IF(AND($F158="Yes",ISNUMBER($H158),R158&lt;&gt;""),ROUND($H158-R158+S158,1),"")</f>
        <v/>
      </c>
      <c r="W158" s="10">
        <f>IF(AND(ISNUMBER($E158),ISNUMBER(U158),ISNUMBER(V158)),ROUND((V158-MAX(U158,0))*10,1),"")</f>
        <v/>
      </c>
      <c r="X158" s="10">
        <f>IF(T158="","",IF(AND($F158="Yes",ISNUMBER(V158)),V158,T158))</f>
        <v/>
      </c>
      <c r="Y158" s="10">
        <f>IF(T158="","",ROUND(SUMIFS($W$3:$W$252,$A$3:$A$252,"&lt;="&amp;$A158),1))</f>
        <v/>
      </c>
      <c r="Z158" s="10">
        <f>IF(OR(T158="",$A158=""),"",IF(ISNUMBER(IFERROR(INDEX($X$3:$X$252,MATCH($A158-1,$A$3:$A$252,0)),"")),ROUND((INDEX($X$3:$X$252,MATCH($A158-1,$A$3:$A$252,0))-T158)*10,1),""))</f>
        <v/>
      </c>
      <c r="AA158" s="10">
        <f>IF(ISNUMBER(T158),1,0)</f>
        <v/>
      </c>
      <c r="AB158" s="16">
        <f>IF($A158="","",IF(_xlfn.MAXIFS('TP-b'!$B$2:$B$60,'TP-b'!$A$2:$A$60,"3F4D+MD",'TP-b'!$E$2:$E$60,1,'TP-b'!$B$2:$B$60,"&lt;="&amp;$A158)&gt;0,_xlfn.MAXIFS('TP-b'!$B$2:$B$60,'TP-b'!$A$2:$A$60,"3F4D+MD",'TP-b'!$E$2:$E$60,1,'TP-b'!$B$2:$B$60,"&lt;="&amp;$A158),IF(_xlfn.MINIFS('TP-b'!$B$2:$B$60,'TP-b'!$A$2:$A$60,"3F4D+MD",'TP-b'!$E$2:$E$60,1)&gt;0,_xlfn.MINIFS('TP-b'!$B$2:$B$60,'TP-b'!$A$2:$A$60,"3F4D+MD",'TP-b'!$E$2:$E$60,1),"")))</f>
        <v/>
      </c>
      <c r="AC158" s="10">
        <f>IF(AB158="","",AVERAGEIFS('TP-b'!$C$2:$C$60,'TP-b'!$A$2:$A$60,"3F4D+MD",'TP-b'!$B$2:$B$60,AB158,'TP-b'!$E$2:$E$60,1))</f>
        <v/>
      </c>
      <c r="AD158" s="10">
        <f>IF(AB158="","",AVERAGEIFS('TP-b'!$D$2:$D$60,'TP-b'!$A$2:$A$60,"3F4D+MD",'TP-b'!$B$2:$B$60,AB158,'TP-b'!$E$2:$E$60,1))</f>
        <v/>
      </c>
      <c r="AE158" s="10">
        <f>IF(OR($A158="",NOT(ISNUMBER($J158)),AC158=""),"",ROUND($J158-AC158+AD158,1))</f>
        <v/>
      </c>
      <c r="AF158" s="10">
        <f>IF(AND($K158="Yes",ISNUMBER($L158),AC158&lt;&gt;""),ROUND($L158-AC158+AD158,1),"")</f>
        <v/>
      </c>
      <c r="AG158" s="10">
        <f>IF(AND($K158="Yes",ISNUMBER($M158),AC158&lt;&gt;""),ROUND($M158-AC158+AD158,1),"")</f>
        <v/>
      </c>
      <c r="AH158" s="10">
        <f>IF(AND(ISNUMBER($J158),ISNUMBER(AF158),ISNUMBER(AG158)),ROUND((AG158-MAX(AF158,0))*10,1),"")</f>
        <v/>
      </c>
      <c r="AI158" s="10">
        <f>IF(AE158="","",IF(AND($K158="Yes",ISNUMBER(AG158)),AG158,AE158))</f>
        <v/>
      </c>
      <c r="AJ158" s="10">
        <f>IF(AE158="","",ROUND(SUMIFS($AH$3:$AH$252,$A$3:$A$252,"&lt;="&amp;$A158),1))</f>
        <v/>
      </c>
      <c r="AK158" s="10">
        <f>IF(OR(AE158="",$A158=""),"",IF(ISNUMBER(IFERROR(INDEX($AI$3:$AI$252,MATCH($A158-1,$A$3:$A$252,0)),"")),ROUND((INDEX($AI$3:$AI$252,MATCH($A158-1,$A$3:$A$252,0))-AE158)*10,1),""))</f>
        <v/>
      </c>
      <c r="AL158" s="10">
        <f>IF(ISNUMBER(AE158),1,0)</f>
        <v/>
      </c>
      <c r="AM158" s="17">
        <f>IF($A158="","",IF(COUNTIF($A$3:$A$252,$A158)&gt;1,"same date twice; ","")&amp;IF(AND(ISNUMBER($B158),OR($B158&lt;0,$B158&gt;300)),"rain out of range; ","")&amp;IF(AND(ISNUMBER($C158),OR($C158&lt;0,$C158&gt;45)),"temp out of range; ","")&amp;IF(AND(ISNUMBER($D158),OR($D158&lt;0,$D158&gt;100)),"RH out of range; ",""))</f>
        <v/>
      </c>
      <c r="AN158" s="17">
        <f>IF($A158="","",IF(AND(ISNUMBER(T158),OR(T158&lt;-30,T158&gt;20)),"WL out of range; ","")&amp;IF(AND(ISNUMBER($E158),T158=""),"no TP/b; ","")&amp;IF(AND(ISNUMBER(U158),ISNUMBER(V158)),IF(V158&lt;U158,"After&lt;Before; ",""),"")&amp;IF(AND($F158="Yes",ISNUMBER($E158),W158=""),"irrigation readings missing; ","")&amp;IF(ISNUMBER(Z158),IF(AND(ABS(Z158)&gt;50,NOT(N($B158)&gt;0)),"WL jump &gt;5 cm; ",""),""))</f>
        <v/>
      </c>
      <c r="AO158" s="17">
        <f>IF($A158="","",IF(AND(ISNUMBER(AE158),OR(AE158&lt;-30,AE158&gt;20)),"WL out of range; ","")&amp;IF(AND(ISNUMBER($J158),AE158=""),"no TP/b; ","")&amp;IF(AND(ISNUMBER(AF158),ISNUMBER(AG158)),IF(AG158&lt;AF158,"After&lt;Before; ",""),"")&amp;IF(AND($K158="Yes",ISNUMBER($J158),AH158=""),"irrigation readings missing; ","")&amp;IF(ISNUMBER(AK158),IF(AND(ABS(AK158)&gt;50,NOT(N($B158)&gt;0)),"WL jump &gt;5 cm; ",""),"")&amp;IF(AND(ISNUMBER(PitanE),ISNUMBER(AB158),$A158&gt;PitanE+2,AB158&lt;PitanE),"re-measure TP/b after Pitan; ",""))</f>
        <v/>
      </c>
    </row>
    <row r="159">
      <c r="A159" s="14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0">
        <f>IF(OR($A159="",NOT(ISNUMBER(TransDate))),"",$A159-TransDate)</f>
        <v/>
      </c>
      <c r="Q159" s="16">
        <f>IF($A159="","",IF(_xlfn.MAXIFS('TP-b'!$B$2:$B$60,'TP-b'!$A$2:$A$60,"FP",'TP-b'!$E$2:$E$60,1,'TP-b'!$B$2:$B$60,"&lt;="&amp;$A159)&gt;0,_xlfn.MAXIFS('TP-b'!$B$2:$B$60,'TP-b'!$A$2:$A$60,"FP",'TP-b'!$E$2:$E$60,1,'TP-b'!$B$2:$B$60,"&lt;="&amp;$A159),IF(_xlfn.MINIFS('TP-b'!$B$2:$B$60,'TP-b'!$A$2:$A$60,"FP",'TP-b'!$E$2:$E$60,1)&gt;0,_xlfn.MINIFS('TP-b'!$B$2:$B$60,'TP-b'!$A$2:$A$60,"FP",'TP-b'!$E$2:$E$60,1),"")))</f>
        <v/>
      </c>
      <c r="R159" s="10">
        <f>IF(Q159="","",AVERAGEIFS('TP-b'!$C$2:$C$60,'TP-b'!$A$2:$A$60,"FP",'TP-b'!$B$2:$B$60,Q159,'TP-b'!$E$2:$E$60,1))</f>
        <v/>
      </c>
      <c r="S159" s="10">
        <f>IF(Q159="","",AVERAGEIFS('TP-b'!$D$2:$D$60,'TP-b'!$A$2:$A$60,"FP",'TP-b'!$B$2:$B$60,Q159,'TP-b'!$E$2:$E$60,1))</f>
        <v/>
      </c>
      <c r="T159" s="10">
        <f>IF(OR($A159="",NOT(ISNUMBER($E159)),R159=""),"",ROUND($E159-R159+S159,1))</f>
        <v/>
      </c>
      <c r="U159" s="10">
        <f>IF(AND($F159="Yes",ISNUMBER($G159),R159&lt;&gt;""),ROUND($G159-R159+S159,1),"")</f>
        <v/>
      </c>
      <c r="V159" s="10">
        <f>IF(AND($F159="Yes",ISNUMBER($H159),R159&lt;&gt;""),ROUND($H159-R159+S159,1),"")</f>
        <v/>
      </c>
      <c r="W159" s="10">
        <f>IF(AND(ISNUMBER($E159),ISNUMBER(U159),ISNUMBER(V159)),ROUND((V159-MAX(U159,0))*10,1),"")</f>
        <v/>
      </c>
      <c r="X159" s="10">
        <f>IF(T159="","",IF(AND($F159="Yes",ISNUMBER(V159)),V159,T159))</f>
        <v/>
      </c>
      <c r="Y159" s="10">
        <f>IF(T159="","",ROUND(SUMIFS($W$3:$W$252,$A$3:$A$252,"&lt;="&amp;$A159),1))</f>
        <v/>
      </c>
      <c r="Z159" s="10">
        <f>IF(OR(T159="",$A159=""),"",IF(ISNUMBER(IFERROR(INDEX($X$3:$X$252,MATCH($A159-1,$A$3:$A$252,0)),"")),ROUND((INDEX($X$3:$X$252,MATCH($A159-1,$A$3:$A$252,0))-T159)*10,1),""))</f>
        <v/>
      </c>
      <c r="AA159" s="10">
        <f>IF(ISNUMBER(T159),1,0)</f>
        <v/>
      </c>
      <c r="AB159" s="16">
        <f>IF($A159="","",IF(_xlfn.MAXIFS('TP-b'!$B$2:$B$60,'TP-b'!$A$2:$A$60,"3F4D+MD",'TP-b'!$E$2:$E$60,1,'TP-b'!$B$2:$B$60,"&lt;="&amp;$A159)&gt;0,_xlfn.MAXIFS('TP-b'!$B$2:$B$60,'TP-b'!$A$2:$A$60,"3F4D+MD",'TP-b'!$E$2:$E$60,1,'TP-b'!$B$2:$B$60,"&lt;="&amp;$A159),IF(_xlfn.MINIFS('TP-b'!$B$2:$B$60,'TP-b'!$A$2:$A$60,"3F4D+MD",'TP-b'!$E$2:$E$60,1)&gt;0,_xlfn.MINIFS('TP-b'!$B$2:$B$60,'TP-b'!$A$2:$A$60,"3F4D+MD",'TP-b'!$E$2:$E$60,1),"")))</f>
        <v/>
      </c>
      <c r="AC159" s="10">
        <f>IF(AB159="","",AVERAGEIFS('TP-b'!$C$2:$C$60,'TP-b'!$A$2:$A$60,"3F4D+MD",'TP-b'!$B$2:$B$60,AB159,'TP-b'!$E$2:$E$60,1))</f>
        <v/>
      </c>
      <c r="AD159" s="10">
        <f>IF(AB159="","",AVERAGEIFS('TP-b'!$D$2:$D$60,'TP-b'!$A$2:$A$60,"3F4D+MD",'TP-b'!$B$2:$B$60,AB159,'TP-b'!$E$2:$E$60,1))</f>
        <v/>
      </c>
      <c r="AE159" s="10">
        <f>IF(OR($A159="",NOT(ISNUMBER($J159)),AC159=""),"",ROUND($J159-AC159+AD159,1))</f>
        <v/>
      </c>
      <c r="AF159" s="10">
        <f>IF(AND($K159="Yes",ISNUMBER($L159),AC159&lt;&gt;""),ROUND($L159-AC159+AD159,1),"")</f>
        <v/>
      </c>
      <c r="AG159" s="10">
        <f>IF(AND($K159="Yes",ISNUMBER($M159),AC159&lt;&gt;""),ROUND($M159-AC159+AD159,1),"")</f>
        <v/>
      </c>
      <c r="AH159" s="10">
        <f>IF(AND(ISNUMBER($J159),ISNUMBER(AF159),ISNUMBER(AG159)),ROUND((AG159-MAX(AF159,0))*10,1),"")</f>
        <v/>
      </c>
      <c r="AI159" s="10">
        <f>IF(AE159="","",IF(AND($K159="Yes",ISNUMBER(AG159)),AG159,AE159))</f>
        <v/>
      </c>
      <c r="AJ159" s="10">
        <f>IF(AE159="","",ROUND(SUMIFS($AH$3:$AH$252,$A$3:$A$252,"&lt;="&amp;$A159),1))</f>
        <v/>
      </c>
      <c r="AK159" s="10">
        <f>IF(OR(AE159="",$A159=""),"",IF(ISNUMBER(IFERROR(INDEX($AI$3:$AI$252,MATCH($A159-1,$A$3:$A$252,0)),"")),ROUND((INDEX($AI$3:$AI$252,MATCH($A159-1,$A$3:$A$252,0))-AE159)*10,1),""))</f>
        <v/>
      </c>
      <c r="AL159" s="10">
        <f>IF(ISNUMBER(AE159),1,0)</f>
        <v/>
      </c>
      <c r="AM159" s="17">
        <f>IF($A159="","",IF(COUNTIF($A$3:$A$252,$A159)&gt;1,"same date twice; ","")&amp;IF(AND(ISNUMBER($B159),OR($B159&lt;0,$B159&gt;300)),"rain out of range; ","")&amp;IF(AND(ISNUMBER($C159),OR($C159&lt;0,$C159&gt;45)),"temp out of range; ","")&amp;IF(AND(ISNUMBER($D159),OR($D159&lt;0,$D159&gt;100)),"RH out of range; ",""))</f>
        <v/>
      </c>
      <c r="AN159" s="17">
        <f>IF($A159="","",IF(AND(ISNUMBER(T159),OR(T159&lt;-30,T159&gt;20)),"WL out of range; ","")&amp;IF(AND(ISNUMBER($E159),T159=""),"no TP/b; ","")&amp;IF(AND(ISNUMBER(U159),ISNUMBER(V159)),IF(V159&lt;U159,"After&lt;Before; ",""),"")&amp;IF(AND($F159="Yes",ISNUMBER($E159),W159=""),"irrigation readings missing; ","")&amp;IF(ISNUMBER(Z159),IF(AND(ABS(Z159)&gt;50,NOT(N($B159)&gt;0)),"WL jump &gt;5 cm; ",""),""))</f>
        <v/>
      </c>
      <c r="AO159" s="17">
        <f>IF($A159="","",IF(AND(ISNUMBER(AE159),OR(AE159&lt;-30,AE159&gt;20)),"WL out of range; ","")&amp;IF(AND(ISNUMBER($J159),AE159=""),"no TP/b; ","")&amp;IF(AND(ISNUMBER(AF159),ISNUMBER(AG159)),IF(AG159&lt;AF159,"After&lt;Before; ",""),"")&amp;IF(AND($K159="Yes",ISNUMBER($J159),AH159=""),"irrigation readings missing; ","")&amp;IF(ISNUMBER(AK159),IF(AND(ABS(AK159)&gt;50,NOT(N($B159)&gt;0)),"WL jump &gt;5 cm; ",""),"")&amp;IF(AND(ISNUMBER(PitanE),ISNUMBER(AB159),$A159&gt;PitanE+2,AB159&lt;PitanE),"re-measure TP/b after Pitan; ",""))</f>
        <v/>
      </c>
    </row>
    <row r="160">
      <c r="A160" s="14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0">
        <f>IF(OR($A160="",NOT(ISNUMBER(TransDate))),"",$A160-TransDate)</f>
        <v/>
      </c>
      <c r="Q160" s="16">
        <f>IF($A160="","",IF(_xlfn.MAXIFS('TP-b'!$B$2:$B$60,'TP-b'!$A$2:$A$60,"FP",'TP-b'!$E$2:$E$60,1,'TP-b'!$B$2:$B$60,"&lt;="&amp;$A160)&gt;0,_xlfn.MAXIFS('TP-b'!$B$2:$B$60,'TP-b'!$A$2:$A$60,"FP",'TP-b'!$E$2:$E$60,1,'TP-b'!$B$2:$B$60,"&lt;="&amp;$A160),IF(_xlfn.MINIFS('TP-b'!$B$2:$B$60,'TP-b'!$A$2:$A$60,"FP",'TP-b'!$E$2:$E$60,1)&gt;0,_xlfn.MINIFS('TP-b'!$B$2:$B$60,'TP-b'!$A$2:$A$60,"FP",'TP-b'!$E$2:$E$60,1),"")))</f>
        <v/>
      </c>
      <c r="R160" s="10">
        <f>IF(Q160="","",AVERAGEIFS('TP-b'!$C$2:$C$60,'TP-b'!$A$2:$A$60,"FP",'TP-b'!$B$2:$B$60,Q160,'TP-b'!$E$2:$E$60,1))</f>
        <v/>
      </c>
      <c r="S160" s="10">
        <f>IF(Q160="","",AVERAGEIFS('TP-b'!$D$2:$D$60,'TP-b'!$A$2:$A$60,"FP",'TP-b'!$B$2:$B$60,Q160,'TP-b'!$E$2:$E$60,1))</f>
        <v/>
      </c>
      <c r="T160" s="10">
        <f>IF(OR($A160="",NOT(ISNUMBER($E160)),R160=""),"",ROUND($E160-R160+S160,1))</f>
        <v/>
      </c>
      <c r="U160" s="10">
        <f>IF(AND($F160="Yes",ISNUMBER($G160),R160&lt;&gt;""),ROUND($G160-R160+S160,1),"")</f>
        <v/>
      </c>
      <c r="V160" s="10">
        <f>IF(AND($F160="Yes",ISNUMBER($H160),R160&lt;&gt;""),ROUND($H160-R160+S160,1),"")</f>
        <v/>
      </c>
      <c r="W160" s="10">
        <f>IF(AND(ISNUMBER($E160),ISNUMBER(U160),ISNUMBER(V160)),ROUND((V160-MAX(U160,0))*10,1),"")</f>
        <v/>
      </c>
      <c r="X160" s="10">
        <f>IF(T160="","",IF(AND($F160="Yes",ISNUMBER(V160)),V160,T160))</f>
        <v/>
      </c>
      <c r="Y160" s="10">
        <f>IF(T160="","",ROUND(SUMIFS($W$3:$W$252,$A$3:$A$252,"&lt;="&amp;$A160),1))</f>
        <v/>
      </c>
      <c r="Z160" s="10">
        <f>IF(OR(T160="",$A160=""),"",IF(ISNUMBER(IFERROR(INDEX($X$3:$X$252,MATCH($A160-1,$A$3:$A$252,0)),"")),ROUND((INDEX($X$3:$X$252,MATCH($A160-1,$A$3:$A$252,0))-T160)*10,1),""))</f>
        <v/>
      </c>
      <c r="AA160" s="10">
        <f>IF(ISNUMBER(T160),1,0)</f>
        <v/>
      </c>
      <c r="AB160" s="16">
        <f>IF($A160="","",IF(_xlfn.MAXIFS('TP-b'!$B$2:$B$60,'TP-b'!$A$2:$A$60,"3F4D+MD",'TP-b'!$E$2:$E$60,1,'TP-b'!$B$2:$B$60,"&lt;="&amp;$A160)&gt;0,_xlfn.MAXIFS('TP-b'!$B$2:$B$60,'TP-b'!$A$2:$A$60,"3F4D+MD",'TP-b'!$E$2:$E$60,1,'TP-b'!$B$2:$B$60,"&lt;="&amp;$A160),IF(_xlfn.MINIFS('TP-b'!$B$2:$B$60,'TP-b'!$A$2:$A$60,"3F4D+MD",'TP-b'!$E$2:$E$60,1)&gt;0,_xlfn.MINIFS('TP-b'!$B$2:$B$60,'TP-b'!$A$2:$A$60,"3F4D+MD",'TP-b'!$E$2:$E$60,1),"")))</f>
        <v/>
      </c>
      <c r="AC160" s="10">
        <f>IF(AB160="","",AVERAGEIFS('TP-b'!$C$2:$C$60,'TP-b'!$A$2:$A$60,"3F4D+MD",'TP-b'!$B$2:$B$60,AB160,'TP-b'!$E$2:$E$60,1))</f>
        <v/>
      </c>
      <c r="AD160" s="10">
        <f>IF(AB160="","",AVERAGEIFS('TP-b'!$D$2:$D$60,'TP-b'!$A$2:$A$60,"3F4D+MD",'TP-b'!$B$2:$B$60,AB160,'TP-b'!$E$2:$E$60,1))</f>
        <v/>
      </c>
      <c r="AE160" s="10">
        <f>IF(OR($A160="",NOT(ISNUMBER($J160)),AC160=""),"",ROUND($J160-AC160+AD160,1))</f>
        <v/>
      </c>
      <c r="AF160" s="10">
        <f>IF(AND($K160="Yes",ISNUMBER($L160),AC160&lt;&gt;""),ROUND($L160-AC160+AD160,1),"")</f>
        <v/>
      </c>
      <c r="AG160" s="10">
        <f>IF(AND($K160="Yes",ISNUMBER($M160),AC160&lt;&gt;""),ROUND($M160-AC160+AD160,1),"")</f>
        <v/>
      </c>
      <c r="AH160" s="10">
        <f>IF(AND(ISNUMBER($J160),ISNUMBER(AF160),ISNUMBER(AG160)),ROUND((AG160-MAX(AF160,0))*10,1),"")</f>
        <v/>
      </c>
      <c r="AI160" s="10">
        <f>IF(AE160="","",IF(AND($K160="Yes",ISNUMBER(AG160)),AG160,AE160))</f>
        <v/>
      </c>
      <c r="AJ160" s="10">
        <f>IF(AE160="","",ROUND(SUMIFS($AH$3:$AH$252,$A$3:$A$252,"&lt;="&amp;$A160),1))</f>
        <v/>
      </c>
      <c r="AK160" s="10">
        <f>IF(OR(AE160="",$A160=""),"",IF(ISNUMBER(IFERROR(INDEX($AI$3:$AI$252,MATCH($A160-1,$A$3:$A$252,0)),"")),ROUND((INDEX($AI$3:$AI$252,MATCH($A160-1,$A$3:$A$252,0))-AE160)*10,1),""))</f>
        <v/>
      </c>
      <c r="AL160" s="10">
        <f>IF(ISNUMBER(AE160),1,0)</f>
        <v/>
      </c>
      <c r="AM160" s="17">
        <f>IF($A160="","",IF(COUNTIF($A$3:$A$252,$A160)&gt;1,"same date twice; ","")&amp;IF(AND(ISNUMBER($B160),OR($B160&lt;0,$B160&gt;300)),"rain out of range; ","")&amp;IF(AND(ISNUMBER($C160),OR($C160&lt;0,$C160&gt;45)),"temp out of range; ","")&amp;IF(AND(ISNUMBER($D160),OR($D160&lt;0,$D160&gt;100)),"RH out of range; ",""))</f>
        <v/>
      </c>
      <c r="AN160" s="17">
        <f>IF($A160="","",IF(AND(ISNUMBER(T160),OR(T160&lt;-30,T160&gt;20)),"WL out of range; ","")&amp;IF(AND(ISNUMBER($E160),T160=""),"no TP/b; ","")&amp;IF(AND(ISNUMBER(U160),ISNUMBER(V160)),IF(V160&lt;U160,"After&lt;Before; ",""),"")&amp;IF(AND($F160="Yes",ISNUMBER($E160),W160=""),"irrigation readings missing; ","")&amp;IF(ISNUMBER(Z160),IF(AND(ABS(Z160)&gt;50,NOT(N($B160)&gt;0)),"WL jump &gt;5 cm; ",""),""))</f>
        <v/>
      </c>
      <c r="AO160" s="17">
        <f>IF($A160="","",IF(AND(ISNUMBER(AE160),OR(AE160&lt;-30,AE160&gt;20)),"WL out of range; ","")&amp;IF(AND(ISNUMBER($J160),AE160=""),"no TP/b; ","")&amp;IF(AND(ISNUMBER(AF160),ISNUMBER(AG160)),IF(AG160&lt;AF160,"After&lt;Before; ",""),"")&amp;IF(AND($K160="Yes",ISNUMBER($J160),AH160=""),"irrigation readings missing; ","")&amp;IF(ISNUMBER(AK160),IF(AND(ABS(AK160)&gt;50,NOT(N($B160)&gt;0)),"WL jump &gt;5 cm; ",""),"")&amp;IF(AND(ISNUMBER(PitanE),ISNUMBER(AB160),$A160&gt;PitanE+2,AB160&lt;PitanE),"re-measure TP/b after Pitan; ",""))</f>
        <v/>
      </c>
    </row>
    <row r="161">
      <c r="A161" s="14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0">
        <f>IF(OR($A161="",NOT(ISNUMBER(TransDate))),"",$A161-TransDate)</f>
        <v/>
      </c>
      <c r="Q161" s="16">
        <f>IF($A161="","",IF(_xlfn.MAXIFS('TP-b'!$B$2:$B$60,'TP-b'!$A$2:$A$60,"FP",'TP-b'!$E$2:$E$60,1,'TP-b'!$B$2:$B$60,"&lt;="&amp;$A161)&gt;0,_xlfn.MAXIFS('TP-b'!$B$2:$B$60,'TP-b'!$A$2:$A$60,"FP",'TP-b'!$E$2:$E$60,1,'TP-b'!$B$2:$B$60,"&lt;="&amp;$A161),IF(_xlfn.MINIFS('TP-b'!$B$2:$B$60,'TP-b'!$A$2:$A$60,"FP",'TP-b'!$E$2:$E$60,1)&gt;0,_xlfn.MINIFS('TP-b'!$B$2:$B$60,'TP-b'!$A$2:$A$60,"FP",'TP-b'!$E$2:$E$60,1),"")))</f>
        <v/>
      </c>
      <c r="R161" s="10">
        <f>IF(Q161="","",AVERAGEIFS('TP-b'!$C$2:$C$60,'TP-b'!$A$2:$A$60,"FP",'TP-b'!$B$2:$B$60,Q161,'TP-b'!$E$2:$E$60,1))</f>
        <v/>
      </c>
      <c r="S161" s="10">
        <f>IF(Q161="","",AVERAGEIFS('TP-b'!$D$2:$D$60,'TP-b'!$A$2:$A$60,"FP",'TP-b'!$B$2:$B$60,Q161,'TP-b'!$E$2:$E$60,1))</f>
        <v/>
      </c>
      <c r="T161" s="10">
        <f>IF(OR($A161="",NOT(ISNUMBER($E161)),R161=""),"",ROUND($E161-R161+S161,1))</f>
        <v/>
      </c>
      <c r="U161" s="10">
        <f>IF(AND($F161="Yes",ISNUMBER($G161),R161&lt;&gt;""),ROUND($G161-R161+S161,1),"")</f>
        <v/>
      </c>
      <c r="V161" s="10">
        <f>IF(AND($F161="Yes",ISNUMBER($H161),R161&lt;&gt;""),ROUND($H161-R161+S161,1),"")</f>
        <v/>
      </c>
      <c r="W161" s="10">
        <f>IF(AND(ISNUMBER($E161),ISNUMBER(U161),ISNUMBER(V161)),ROUND((V161-MAX(U161,0))*10,1),"")</f>
        <v/>
      </c>
      <c r="X161" s="10">
        <f>IF(T161="","",IF(AND($F161="Yes",ISNUMBER(V161)),V161,T161))</f>
        <v/>
      </c>
      <c r="Y161" s="10">
        <f>IF(T161="","",ROUND(SUMIFS($W$3:$W$252,$A$3:$A$252,"&lt;="&amp;$A161),1))</f>
        <v/>
      </c>
      <c r="Z161" s="10">
        <f>IF(OR(T161="",$A161=""),"",IF(ISNUMBER(IFERROR(INDEX($X$3:$X$252,MATCH($A161-1,$A$3:$A$252,0)),"")),ROUND((INDEX($X$3:$X$252,MATCH($A161-1,$A$3:$A$252,0))-T161)*10,1),""))</f>
        <v/>
      </c>
      <c r="AA161" s="10">
        <f>IF(ISNUMBER(T161),1,0)</f>
        <v/>
      </c>
      <c r="AB161" s="16">
        <f>IF($A161="","",IF(_xlfn.MAXIFS('TP-b'!$B$2:$B$60,'TP-b'!$A$2:$A$60,"3F4D+MD",'TP-b'!$E$2:$E$60,1,'TP-b'!$B$2:$B$60,"&lt;="&amp;$A161)&gt;0,_xlfn.MAXIFS('TP-b'!$B$2:$B$60,'TP-b'!$A$2:$A$60,"3F4D+MD",'TP-b'!$E$2:$E$60,1,'TP-b'!$B$2:$B$60,"&lt;="&amp;$A161),IF(_xlfn.MINIFS('TP-b'!$B$2:$B$60,'TP-b'!$A$2:$A$60,"3F4D+MD",'TP-b'!$E$2:$E$60,1)&gt;0,_xlfn.MINIFS('TP-b'!$B$2:$B$60,'TP-b'!$A$2:$A$60,"3F4D+MD",'TP-b'!$E$2:$E$60,1),"")))</f>
        <v/>
      </c>
      <c r="AC161" s="10">
        <f>IF(AB161="","",AVERAGEIFS('TP-b'!$C$2:$C$60,'TP-b'!$A$2:$A$60,"3F4D+MD",'TP-b'!$B$2:$B$60,AB161,'TP-b'!$E$2:$E$60,1))</f>
        <v/>
      </c>
      <c r="AD161" s="10">
        <f>IF(AB161="","",AVERAGEIFS('TP-b'!$D$2:$D$60,'TP-b'!$A$2:$A$60,"3F4D+MD",'TP-b'!$B$2:$B$60,AB161,'TP-b'!$E$2:$E$60,1))</f>
        <v/>
      </c>
      <c r="AE161" s="10">
        <f>IF(OR($A161="",NOT(ISNUMBER($J161)),AC161=""),"",ROUND($J161-AC161+AD161,1))</f>
        <v/>
      </c>
      <c r="AF161" s="10">
        <f>IF(AND($K161="Yes",ISNUMBER($L161),AC161&lt;&gt;""),ROUND($L161-AC161+AD161,1),"")</f>
        <v/>
      </c>
      <c r="AG161" s="10">
        <f>IF(AND($K161="Yes",ISNUMBER($M161),AC161&lt;&gt;""),ROUND($M161-AC161+AD161,1),"")</f>
        <v/>
      </c>
      <c r="AH161" s="10">
        <f>IF(AND(ISNUMBER($J161),ISNUMBER(AF161),ISNUMBER(AG161)),ROUND((AG161-MAX(AF161,0))*10,1),"")</f>
        <v/>
      </c>
      <c r="AI161" s="10">
        <f>IF(AE161="","",IF(AND($K161="Yes",ISNUMBER(AG161)),AG161,AE161))</f>
        <v/>
      </c>
      <c r="AJ161" s="10">
        <f>IF(AE161="","",ROUND(SUMIFS($AH$3:$AH$252,$A$3:$A$252,"&lt;="&amp;$A161),1))</f>
        <v/>
      </c>
      <c r="AK161" s="10">
        <f>IF(OR(AE161="",$A161=""),"",IF(ISNUMBER(IFERROR(INDEX($AI$3:$AI$252,MATCH($A161-1,$A$3:$A$252,0)),"")),ROUND((INDEX($AI$3:$AI$252,MATCH($A161-1,$A$3:$A$252,0))-AE161)*10,1),""))</f>
        <v/>
      </c>
      <c r="AL161" s="10">
        <f>IF(ISNUMBER(AE161),1,0)</f>
        <v/>
      </c>
      <c r="AM161" s="17">
        <f>IF($A161="","",IF(COUNTIF($A$3:$A$252,$A161)&gt;1,"same date twice; ","")&amp;IF(AND(ISNUMBER($B161),OR($B161&lt;0,$B161&gt;300)),"rain out of range; ","")&amp;IF(AND(ISNUMBER($C161),OR($C161&lt;0,$C161&gt;45)),"temp out of range; ","")&amp;IF(AND(ISNUMBER($D161),OR($D161&lt;0,$D161&gt;100)),"RH out of range; ",""))</f>
        <v/>
      </c>
      <c r="AN161" s="17">
        <f>IF($A161="","",IF(AND(ISNUMBER(T161),OR(T161&lt;-30,T161&gt;20)),"WL out of range; ","")&amp;IF(AND(ISNUMBER($E161),T161=""),"no TP/b; ","")&amp;IF(AND(ISNUMBER(U161),ISNUMBER(V161)),IF(V161&lt;U161,"After&lt;Before; ",""),"")&amp;IF(AND($F161="Yes",ISNUMBER($E161),W161=""),"irrigation readings missing; ","")&amp;IF(ISNUMBER(Z161),IF(AND(ABS(Z161)&gt;50,NOT(N($B161)&gt;0)),"WL jump &gt;5 cm; ",""),""))</f>
        <v/>
      </c>
      <c r="AO161" s="17">
        <f>IF($A161="","",IF(AND(ISNUMBER(AE161),OR(AE161&lt;-30,AE161&gt;20)),"WL out of range; ","")&amp;IF(AND(ISNUMBER($J161),AE161=""),"no TP/b; ","")&amp;IF(AND(ISNUMBER(AF161),ISNUMBER(AG161)),IF(AG161&lt;AF161,"After&lt;Before; ",""),"")&amp;IF(AND($K161="Yes",ISNUMBER($J161),AH161=""),"irrigation readings missing; ","")&amp;IF(ISNUMBER(AK161),IF(AND(ABS(AK161)&gt;50,NOT(N($B161)&gt;0)),"WL jump &gt;5 cm; ",""),"")&amp;IF(AND(ISNUMBER(PitanE),ISNUMBER(AB161),$A161&gt;PitanE+2,AB161&lt;PitanE),"re-measure TP/b after Pitan; ",""))</f>
        <v/>
      </c>
    </row>
    <row r="162">
      <c r="A162" s="14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0">
        <f>IF(OR($A162="",NOT(ISNUMBER(TransDate))),"",$A162-TransDate)</f>
        <v/>
      </c>
      <c r="Q162" s="16">
        <f>IF($A162="","",IF(_xlfn.MAXIFS('TP-b'!$B$2:$B$60,'TP-b'!$A$2:$A$60,"FP",'TP-b'!$E$2:$E$60,1,'TP-b'!$B$2:$B$60,"&lt;="&amp;$A162)&gt;0,_xlfn.MAXIFS('TP-b'!$B$2:$B$60,'TP-b'!$A$2:$A$60,"FP",'TP-b'!$E$2:$E$60,1,'TP-b'!$B$2:$B$60,"&lt;="&amp;$A162),IF(_xlfn.MINIFS('TP-b'!$B$2:$B$60,'TP-b'!$A$2:$A$60,"FP",'TP-b'!$E$2:$E$60,1)&gt;0,_xlfn.MINIFS('TP-b'!$B$2:$B$60,'TP-b'!$A$2:$A$60,"FP",'TP-b'!$E$2:$E$60,1),"")))</f>
        <v/>
      </c>
      <c r="R162" s="10">
        <f>IF(Q162="","",AVERAGEIFS('TP-b'!$C$2:$C$60,'TP-b'!$A$2:$A$60,"FP",'TP-b'!$B$2:$B$60,Q162,'TP-b'!$E$2:$E$60,1))</f>
        <v/>
      </c>
      <c r="S162" s="10">
        <f>IF(Q162="","",AVERAGEIFS('TP-b'!$D$2:$D$60,'TP-b'!$A$2:$A$60,"FP",'TP-b'!$B$2:$B$60,Q162,'TP-b'!$E$2:$E$60,1))</f>
        <v/>
      </c>
      <c r="T162" s="10">
        <f>IF(OR($A162="",NOT(ISNUMBER($E162)),R162=""),"",ROUND($E162-R162+S162,1))</f>
        <v/>
      </c>
      <c r="U162" s="10">
        <f>IF(AND($F162="Yes",ISNUMBER($G162),R162&lt;&gt;""),ROUND($G162-R162+S162,1),"")</f>
        <v/>
      </c>
      <c r="V162" s="10">
        <f>IF(AND($F162="Yes",ISNUMBER($H162),R162&lt;&gt;""),ROUND($H162-R162+S162,1),"")</f>
        <v/>
      </c>
      <c r="W162" s="10">
        <f>IF(AND(ISNUMBER($E162),ISNUMBER(U162),ISNUMBER(V162)),ROUND((V162-MAX(U162,0))*10,1),"")</f>
        <v/>
      </c>
      <c r="X162" s="10">
        <f>IF(T162="","",IF(AND($F162="Yes",ISNUMBER(V162)),V162,T162))</f>
        <v/>
      </c>
      <c r="Y162" s="10">
        <f>IF(T162="","",ROUND(SUMIFS($W$3:$W$252,$A$3:$A$252,"&lt;="&amp;$A162),1))</f>
        <v/>
      </c>
      <c r="Z162" s="10">
        <f>IF(OR(T162="",$A162=""),"",IF(ISNUMBER(IFERROR(INDEX($X$3:$X$252,MATCH($A162-1,$A$3:$A$252,0)),"")),ROUND((INDEX($X$3:$X$252,MATCH($A162-1,$A$3:$A$252,0))-T162)*10,1),""))</f>
        <v/>
      </c>
      <c r="AA162" s="10">
        <f>IF(ISNUMBER(T162),1,0)</f>
        <v/>
      </c>
      <c r="AB162" s="16">
        <f>IF($A162="","",IF(_xlfn.MAXIFS('TP-b'!$B$2:$B$60,'TP-b'!$A$2:$A$60,"3F4D+MD",'TP-b'!$E$2:$E$60,1,'TP-b'!$B$2:$B$60,"&lt;="&amp;$A162)&gt;0,_xlfn.MAXIFS('TP-b'!$B$2:$B$60,'TP-b'!$A$2:$A$60,"3F4D+MD",'TP-b'!$E$2:$E$60,1,'TP-b'!$B$2:$B$60,"&lt;="&amp;$A162),IF(_xlfn.MINIFS('TP-b'!$B$2:$B$60,'TP-b'!$A$2:$A$60,"3F4D+MD",'TP-b'!$E$2:$E$60,1)&gt;0,_xlfn.MINIFS('TP-b'!$B$2:$B$60,'TP-b'!$A$2:$A$60,"3F4D+MD",'TP-b'!$E$2:$E$60,1),"")))</f>
        <v/>
      </c>
      <c r="AC162" s="10">
        <f>IF(AB162="","",AVERAGEIFS('TP-b'!$C$2:$C$60,'TP-b'!$A$2:$A$60,"3F4D+MD",'TP-b'!$B$2:$B$60,AB162,'TP-b'!$E$2:$E$60,1))</f>
        <v/>
      </c>
      <c r="AD162" s="10">
        <f>IF(AB162="","",AVERAGEIFS('TP-b'!$D$2:$D$60,'TP-b'!$A$2:$A$60,"3F4D+MD",'TP-b'!$B$2:$B$60,AB162,'TP-b'!$E$2:$E$60,1))</f>
        <v/>
      </c>
      <c r="AE162" s="10">
        <f>IF(OR($A162="",NOT(ISNUMBER($J162)),AC162=""),"",ROUND($J162-AC162+AD162,1))</f>
        <v/>
      </c>
      <c r="AF162" s="10">
        <f>IF(AND($K162="Yes",ISNUMBER($L162),AC162&lt;&gt;""),ROUND($L162-AC162+AD162,1),"")</f>
        <v/>
      </c>
      <c r="AG162" s="10">
        <f>IF(AND($K162="Yes",ISNUMBER($M162),AC162&lt;&gt;""),ROUND($M162-AC162+AD162,1),"")</f>
        <v/>
      </c>
      <c r="AH162" s="10">
        <f>IF(AND(ISNUMBER($J162),ISNUMBER(AF162),ISNUMBER(AG162)),ROUND((AG162-MAX(AF162,0))*10,1),"")</f>
        <v/>
      </c>
      <c r="AI162" s="10">
        <f>IF(AE162="","",IF(AND($K162="Yes",ISNUMBER(AG162)),AG162,AE162))</f>
        <v/>
      </c>
      <c r="AJ162" s="10">
        <f>IF(AE162="","",ROUND(SUMIFS($AH$3:$AH$252,$A$3:$A$252,"&lt;="&amp;$A162),1))</f>
        <v/>
      </c>
      <c r="AK162" s="10">
        <f>IF(OR(AE162="",$A162=""),"",IF(ISNUMBER(IFERROR(INDEX($AI$3:$AI$252,MATCH($A162-1,$A$3:$A$252,0)),"")),ROUND((INDEX($AI$3:$AI$252,MATCH($A162-1,$A$3:$A$252,0))-AE162)*10,1),""))</f>
        <v/>
      </c>
      <c r="AL162" s="10">
        <f>IF(ISNUMBER(AE162),1,0)</f>
        <v/>
      </c>
      <c r="AM162" s="17">
        <f>IF($A162="","",IF(COUNTIF($A$3:$A$252,$A162)&gt;1,"same date twice; ","")&amp;IF(AND(ISNUMBER($B162),OR($B162&lt;0,$B162&gt;300)),"rain out of range; ","")&amp;IF(AND(ISNUMBER($C162),OR($C162&lt;0,$C162&gt;45)),"temp out of range; ","")&amp;IF(AND(ISNUMBER($D162),OR($D162&lt;0,$D162&gt;100)),"RH out of range; ",""))</f>
        <v/>
      </c>
      <c r="AN162" s="17">
        <f>IF($A162="","",IF(AND(ISNUMBER(T162),OR(T162&lt;-30,T162&gt;20)),"WL out of range; ","")&amp;IF(AND(ISNUMBER($E162),T162=""),"no TP/b; ","")&amp;IF(AND(ISNUMBER(U162),ISNUMBER(V162)),IF(V162&lt;U162,"After&lt;Before; ",""),"")&amp;IF(AND($F162="Yes",ISNUMBER($E162),W162=""),"irrigation readings missing; ","")&amp;IF(ISNUMBER(Z162),IF(AND(ABS(Z162)&gt;50,NOT(N($B162)&gt;0)),"WL jump &gt;5 cm; ",""),""))</f>
        <v/>
      </c>
      <c r="AO162" s="17">
        <f>IF($A162="","",IF(AND(ISNUMBER(AE162),OR(AE162&lt;-30,AE162&gt;20)),"WL out of range; ","")&amp;IF(AND(ISNUMBER($J162),AE162=""),"no TP/b; ","")&amp;IF(AND(ISNUMBER(AF162),ISNUMBER(AG162)),IF(AG162&lt;AF162,"After&lt;Before; ",""),"")&amp;IF(AND($K162="Yes",ISNUMBER($J162),AH162=""),"irrigation readings missing; ","")&amp;IF(ISNUMBER(AK162),IF(AND(ABS(AK162)&gt;50,NOT(N($B162)&gt;0)),"WL jump &gt;5 cm; ",""),"")&amp;IF(AND(ISNUMBER(PitanE),ISNUMBER(AB162),$A162&gt;PitanE+2,AB162&lt;PitanE),"re-measure TP/b after Pitan; ",""))</f>
        <v/>
      </c>
    </row>
    <row r="163">
      <c r="A163" s="14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0">
        <f>IF(OR($A163="",NOT(ISNUMBER(TransDate))),"",$A163-TransDate)</f>
        <v/>
      </c>
      <c r="Q163" s="16">
        <f>IF($A163="","",IF(_xlfn.MAXIFS('TP-b'!$B$2:$B$60,'TP-b'!$A$2:$A$60,"FP",'TP-b'!$E$2:$E$60,1,'TP-b'!$B$2:$B$60,"&lt;="&amp;$A163)&gt;0,_xlfn.MAXIFS('TP-b'!$B$2:$B$60,'TP-b'!$A$2:$A$60,"FP",'TP-b'!$E$2:$E$60,1,'TP-b'!$B$2:$B$60,"&lt;="&amp;$A163),IF(_xlfn.MINIFS('TP-b'!$B$2:$B$60,'TP-b'!$A$2:$A$60,"FP",'TP-b'!$E$2:$E$60,1)&gt;0,_xlfn.MINIFS('TP-b'!$B$2:$B$60,'TP-b'!$A$2:$A$60,"FP",'TP-b'!$E$2:$E$60,1),"")))</f>
        <v/>
      </c>
      <c r="R163" s="10">
        <f>IF(Q163="","",AVERAGEIFS('TP-b'!$C$2:$C$60,'TP-b'!$A$2:$A$60,"FP",'TP-b'!$B$2:$B$60,Q163,'TP-b'!$E$2:$E$60,1))</f>
        <v/>
      </c>
      <c r="S163" s="10">
        <f>IF(Q163="","",AVERAGEIFS('TP-b'!$D$2:$D$60,'TP-b'!$A$2:$A$60,"FP",'TP-b'!$B$2:$B$60,Q163,'TP-b'!$E$2:$E$60,1))</f>
        <v/>
      </c>
      <c r="T163" s="10">
        <f>IF(OR($A163="",NOT(ISNUMBER($E163)),R163=""),"",ROUND($E163-R163+S163,1))</f>
        <v/>
      </c>
      <c r="U163" s="10">
        <f>IF(AND($F163="Yes",ISNUMBER($G163),R163&lt;&gt;""),ROUND($G163-R163+S163,1),"")</f>
        <v/>
      </c>
      <c r="V163" s="10">
        <f>IF(AND($F163="Yes",ISNUMBER($H163),R163&lt;&gt;""),ROUND($H163-R163+S163,1),"")</f>
        <v/>
      </c>
      <c r="W163" s="10">
        <f>IF(AND(ISNUMBER($E163),ISNUMBER(U163),ISNUMBER(V163)),ROUND((V163-MAX(U163,0))*10,1),"")</f>
        <v/>
      </c>
      <c r="X163" s="10">
        <f>IF(T163="","",IF(AND($F163="Yes",ISNUMBER(V163)),V163,T163))</f>
        <v/>
      </c>
      <c r="Y163" s="10">
        <f>IF(T163="","",ROUND(SUMIFS($W$3:$W$252,$A$3:$A$252,"&lt;="&amp;$A163),1))</f>
        <v/>
      </c>
      <c r="Z163" s="10">
        <f>IF(OR(T163="",$A163=""),"",IF(ISNUMBER(IFERROR(INDEX($X$3:$X$252,MATCH($A163-1,$A$3:$A$252,0)),"")),ROUND((INDEX($X$3:$X$252,MATCH($A163-1,$A$3:$A$252,0))-T163)*10,1),""))</f>
        <v/>
      </c>
      <c r="AA163" s="10">
        <f>IF(ISNUMBER(T163),1,0)</f>
        <v/>
      </c>
      <c r="AB163" s="16">
        <f>IF($A163="","",IF(_xlfn.MAXIFS('TP-b'!$B$2:$B$60,'TP-b'!$A$2:$A$60,"3F4D+MD",'TP-b'!$E$2:$E$60,1,'TP-b'!$B$2:$B$60,"&lt;="&amp;$A163)&gt;0,_xlfn.MAXIFS('TP-b'!$B$2:$B$60,'TP-b'!$A$2:$A$60,"3F4D+MD",'TP-b'!$E$2:$E$60,1,'TP-b'!$B$2:$B$60,"&lt;="&amp;$A163),IF(_xlfn.MINIFS('TP-b'!$B$2:$B$60,'TP-b'!$A$2:$A$60,"3F4D+MD",'TP-b'!$E$2:$E$60,1)&gt;0,_xlfn.MINIFS('TP-b'!$B$2:$B$60,'TP-b'!$A$2:$A$60,"3F4D+MD",'TP-b'!$E$2:$E$60,1),"")))</f>
        <v/>
      </c>
      <c r="AC163" s="10">
        <f>IF(AB163="","",AVERAGEIFS('TP-b'!$C$2:$C$60,'TP-b'!$A$2:$A$60,"3F4D+MD",'TP-b'!$B$2:$B$60,AB163,'TP-b'!$E$2:$E$60,1))</f>
        <v/>
      </c>
      <c r="AD163" s="10">
        <f>IF(AB163="","",AVERAGEIFS('TP-b'!$D$2:$D$60,'TP-b'!$A$2:$A$60,"3F4D+MD",'TP-b'!$B$2:$B$60,AB163,'TP-b'!$E$2:$E$60,1))</f>
        <v/>
      </c>
      <c r="AE163" s="10">
        <f>IF(OR($A163="",NOT(ISNUMBER($J163)),AC163=""),"",ROUND($J163-AC163+AD163,1))</f>
        <v/>
      </c>
      <c r="AF163" s="10">
        <f>IF(AND($K163="Yes",ISNUMBER($L163),AC163&lt;&gt;""),ROUND($L163-AC163+AD163,1),"")</f>
        <v/>
      </c>
      <c r="AG163" s="10">
        <f>IF(AND($K163="Yes",ISNUMBER($M163),AC163&lt;&gt;""),ROUND($M163-AC163+AD163,1),"")</f>
        <v/>
      </c>
      <c r="AH163" s="10">
        <f>IF(AND(ISNUMBER($J163),ISNUMBER(AF163),ISNUMBER(AG163)),ROUND((AG163-MAX(AF163,0))*10,1),"")</f>
        <v/>
      </c>
      <c r="AI163" s="10">
        <f>IF(AE163="","",IF(AND($K163="Yes",ISNUMBER(AG163)),AG163,AE163))</f>
        <v/>
      </c>
      <c r="AJ163" s="10">
        <f>IF(AE163="","",ROUND(SUMIFS($AH$3:$AH$252,$A$3:$A$252,"&lt;="&amp;$A163),1))</f>
        <v/>
      </c>
      <c r="AK163" s="10">
        <f>IF(OR(AE163="",$A163=""),"",IF(ISNUMBER(IFERROR(INDEX($AI$3:$AI$252,MATCH($A163-1,$A$3:$A$252,0)),"")),ROUND((INDEX($AI$3:$AI$252,MATCH($A163-1,$A$3:$A$252,0))-AE163)*10,1),""))</f>
        <v/>
      </c>
      <c r="AL163" s="10">
        <f>IF(ISNUMBER(AE163),1,0)</f>
        <v/>
      </c>
      <c r="AM163" s="17">
        <f>IF($A163="","",IF(COUNTIF($A$3:$A$252,$A163)&gt;1,"same date twice; ","")&amp;IF(AND(ISNUMBER($B163),OR($B163&lt;0,$B163&gt;300)),"rain out of range; ","")&amp;IF(AND(ISNUMBER($C163),OR($C163&lt;0,$C163&gt;45)),"temp out of range; ","")&amp;IF(AND(ISNUMBER($D163),OR($D163&lt;0,$D163&gt;100)),"RH out of range; ",""))</f>
        <v/>
      </c>
      <c r="AN163" s="17">
        <f>IF($A163="","",IF(AND(ISNUMBER(T163),OR(T163&lt;-30,T163&gt;20)),"WL out of range; ","")&amp;IF(AND(ISNUMBER($E163),T163=""),"no TP/b; ","")&amp;IF(AND(ISNUMBER(U163),ISNUMBER(V163)),IF(V163&lt;U163,"After&lt;Before; ",""),"")&amp;IF(AND($F163="Yes",ISNUMBER($E163),W163=""),"irrigation readings missing; ","")&amp;IF(ISNUMBER(Z163),IF(AND(ABS(Z163)&gt;50,NOT(N($B163)&gt;0)),"WL jump &gt;5 cm; ",""),""))</f>
        <v/>
      </c>
      <c r="AO163" s="17">
        <f>IF($A163="","",IF(AND(ISNUMBER(AE163),OR(AE163&lt;-30,AE163&gt;20)),"WL out of range; ","")&amp;IF(AND(ISNUMBER($J163),AE163=""),"no TP/b; ","")&amp;IF(AND(ISNUMBER(AF163),ISNUMBER(AG163)),IF(AG163&lt;AF163,"After&lt;Before; ",""),"")&amp;IF(AND($K163="Yes",ISNUMBER($J163),AH163=""),"irrigation readings missing; ","")&amp;IF(ISNUMBER(AK163),IF(AND(ABS(AK163)&gt;50,NOT(N($B163)&gt;0)),"WL jump &gt;5 cm; ",""),"")&amp;IF(AND(ISNUMBER(PitanE),ISNUMBER(AB163),$A163&gt;PitanE+2,AB163&lt;PitanE),"re-measure TP/b after Pitan; ",""))</f>
        <v/>
      </c>
    </row>
    <row r="164">
      <c r="A164" s="14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0">
        <f>IF(OR($A164="",NOT(ISNUMBER(TransDate))),"",$A164-TransDate)</f>
        <v/>
      </c>
      <c r="Q164" s="16">
        <f>IF($A164="","",IF(_xlfn.MAXIFS('TP-b'!$B$2:$B$60,'TP-b'!$A$2:$A$60,"FP",'TP-b'!$E$2:$E$60,1,'TP-b'!$B$2:$B$60,"&lt;="&amp;$A164)&gt;0,_xlfn.MAXIFS('TP-b'!$B$2:$B$60,'TP-b'!$A$2:$A$60,"FP",'TP-b'!$E$2:$E$60,1,'TP-b'!$B$2:$B$60,"&lt;="&amp;$A164),IF(_xlfn.MINIFS('TP-b'!$B$2:$B$60,'TP-b'!$A$2:$A$60,"FP",'TP-b'!$E$2:$E$60,1)&gt;0,_xlfn.MINIFS('TP-b'!$B$2:$B$60,'TP-b'!$A$2:$A$60,"FP",'TP-b'!$E$2:$E$60,1),"")))</f>
        <v/>
      </c>
      <c r="R164" s="10">
        <f>IF(Q164="","",AVERAGEIFS('TP-b'!$C$2:$C$60,'TP-b'!$A$2:$A$60,"FP",'TP-b'!$B$2:$B$60,Q164,'TP-b'!$E$2:$E$60,1))</f>
        <v/>
      </c>
      <c r="S164" s="10">
        <f>IF(Q164="","",AVERAGEIFS('TP-b'!$D$2:$D$60,'TP-b'!$A$2:$A$60,"FP",'TP-b'!$B$2:$B$60,Q164,'TP-b'!$E$2:$E$60,1))</f>
        <v/>
      </c>
      <c r="T164" s="10">
        <f>IF(OR($A164="",NOT(ISNUMBER($E164)),R164=""),"",ROUND($E164-R164+S164,1))</f>
        <v/>
      </c>
      <c r="U164" s="10">
        <f>IF(AND($F164="Yes",ISNUMBER($G164),R164&lt;&gt;""),ROUND($G164-R164+S164,1),"")</f>
        <v/>
      </c>
      <c r="V164" s="10">
        <f>IF(AND($F164="Yes",ISNUMBER($H164),R164&lt;&gt;""),ROUND($H164-R164+S164,1),"")</f>
        <v/>
      </c>
      <c r="W164" s="10">
        <f>IF(AND(ISNUMBER($E164),ISNUMBER(U164),ISNUMBER(V164)),ROUND((V164-MAX(U164,0))*10,1),"")</f>
        <v/>
      </c>
      <c r="X164" s="10">
        <f>IF(T164="","",IF(AND($F164="Yes",ISNUMBER(V164)),V164,T164))</f>
        <v/>
      </c>
      <c r="Y164" s="10">
        <f>IF(T164="","",ROUND(SUMIFS($W$3:$W$252,$A$3:$A$252,"&lt;="&amp;$A164),1))</f>
        <v/>
      </c>
      <c r="Z164" s="10">
        <f>IF(OR(T164="",$A164=""),"",IF(ISNUMBER(IFERROR(INDEX($X$3:$X$252,MATCH($A164-1,$A$3:$A$252,0)),"")),ROUND((INDEX($X$3:$X$252,MATCH($A164-1,$A$3:$A$252,0))-T164)*10,1),""))</f>
        <v/>
      </c>
      <c r="AA164" s="10">
        <f>IF(ISNUMBER(T164),1,0)</f>
        <v/>
      </c>
      <c r="AB164" s="16">
        <f>IF($A164="","",IF(_xlfn.MAXIFS('TP-b'!$B$2:$B$60,'TP-b'!$A$2:$A$60,"3F4D+MD",'TP-b'!$E$2:$E$60,1,'TP-b'!$B$2:$B$60,"&lt;="&amp;$A164)&gt;0,_xlfn.MAXIFS('TP-b'!$B$2:$B$60,'TP-b'!$A$2:$A$60,"3F4D+MD",'TP-b'!$E$2:$E$60,1,'TP-b'!$B$2:$B$60,"&lt;="&amp;$A164),IF(_xlfn.MINIFS('TP-b'!$B$2:$B$60,'TP-b'!$A$2:$A$60,"3F4D+MD",'TP-b'!$E$2:$E$60,1)&gt;0,_xlfn.MINIFS('TP-b'!$B$2:$B$60,'TP-b'!$A$2:$A$60,"3F4D+MD",'TP-b'!$E$2:$E$60,1),"")))</f>
        <v/>
      </c>
      <c r="AC164" s="10">
        <f>IF(AB164="","",AVERAGEIFS('TP-b'!$C$2:$C$60,'TP-b'!$A$2:$A$60,"3F4D+MD",'TP-b'!$B$2:$B$60,AB164,'TP-b'!$E$2:$E$60,1))</f>
        <v/>
      </c>
      <c r="AD164" s="10">
        <f>IF(AB164="","",AVERAGEIFS('TP-b'!$D$2:$D$60,'TP-b'!$A$2:$A$60,"3F4D+MD",'TP-b'!$B$2:$B$60,AB164,'TP-b'!$E$2:$E$60,1))</f>
        <v/>
      </c>
      <c r="AE164" s="10">
        <f>IF(OR($A164="",NOT(ISNUMBER($J164)),AC164=""),"",ROUND($J164-AC164+AD164,1))</f>
        <v/>
      </c>
      <c r="AF164" s="10">
        <f>IF(AND($K164="Yes",ISNUMBER($L164),AC164&lt;&gt;""),ROUND($L164-AC164+AD164,1),"")</f>
        <v/>
      </c>
      <c r="AG164" s="10">
        <f>IF(AND($K164="Yes",ISNUMBER($M164),AC164&lt;&gt;""),ROUND($M164-AC164+AD164,1),"")</f>
        <v/>
      </c>
      <c r="AH164" s="10">
        <f>IF(AND(ISNUMBER($J164),ISNUMBER(AF164),ISNUMBER(AG164)),ROUND((AG164-MAX(AF164,0))*10,1),"")</f>
        <v/>
      </c>
      <c r="AI164" s="10">
        <f>IF(AE164="","",IF(AND($K164="Yes",ISNUMBER(AG164)),AG164,AE164))</f>
        <v/>
      </c>
      <c r="AJ164" s="10">
        <f>IF(AE164="","",ROUND(SUMIFS($AH$3:$AH$252,$A$3:$A$252,"&lt;="&amp;$A164),1))</f>
        <v/>
      </c>
      <c r="AK164" s="10">
        <f>IF(OR(AE164="",$A164=""),"",IF(ISNUMBER(IFERROR(INDEX($AI$3:$AI$252,MATCH($A164-1,$A$3:$A$252,0)),"")),ROUND((INDEX($AI$3:$AI$252,MATCH($A164-1,$A$3:$A$252,0))-AE164)*10,1),""))</f>
        <v/>
      </c>
      <c r="AL164" s="10">
        <f>IF(ISNUMBER(AE164),1,0)</f>
        <v/>
      </c>
      <c r="AM164" s="17">
        <f>IF($A164="","",IF(COUNTIF($A$3:$A$252,$A164)&gt;1,"same date twice; ","")&amp;IF(AND(ISNUMBER($B164),OR($B164&lt;0,$B164&gt;300)),"rain out of range; ","")&amp;IF(AND(ISNUMBER($C164),OR($C164&lt;0,$C164&gt;45)),"temp out of range; ","")&amp;IF(AND(ISNUMBER($D164),OR($D164&lt;0,$D164&gt;100)),"RH out of range; ",""))</f>
        <v/>
      </c>
      <c r="AN164" s="17">
        <f>IF($A164="","",IF(AND(ISNUMBER(T164),OR(T164&lt;-30,T164&gt;20)),"WL out of range; ","")&amp;IF(AND(ISNUMBER($E164),T164=""),"no TP/b; ","")&amp;IF(AND(ISNUMBER(U164),ISNUMBER(V164)),IF(V164&lt;U164,"After&lt;Before; ",""),"")&amp;IF(AND($F164="Yes",ISNUMBER($E164),W164=""),"irrigation readings missing; ","")&amp;IF(ISNUMBER(Z164),IF(AND(ABS(Z164)&gt;50,NOT(N($B164)&gt;0)),"WL jump &gt;5 cm; ",""),""))</f>
        <v/>
      </c>
      <c r="AO164" s="17">
        <f>IF($A164="","",IF(AND(ISNUMBER(AE164),OR(AE164&lt;-30,AE164&gt;20)),"WL out of range; ","")&amp;IF(AND(ISNUMBER($J164),AE164=""),"no TP/b; ","")&amp;IF(AND(ISNUMBER(AF164),ISNUMBER(AG164)),IF(AG164&lt;AF164,"After&lt;Before; ",""),"")&amp;IF(AND($K164="Yes",ISNUMBER($J164),AH164=""),"irrigation readings missing; ","")&amp;IF(ISNUMBER(AK164),IF(AND(ABS(AK164)&gt;50,NOT(N($B164)&gt;0)),"WL jump &gt;5 cm; ",""),"")&amp;IF(AND(ISNUMBER(PitanE),ISNUMBER(AB164),$A164&gt;PitanE+2,AB164&lt;PitanE),"re-measure TP/b after Pitan; ",""))</f>
        <v/>
      </c>
    </row>
    <row r="165">
      <c r="A165" s="14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0">
        <f>IF(OR($A165="",NOT(ISNUMBER(TransDate))),"",$A165-TransDate)</f>
        <v/>
      </c>
      <c r="Q165" s="16">
        <f>IF($A165="","",IF(_xlfn.MAXIFS('TP-b'!$B$2:$B$60,'TP-b'!$A$2:$A$60,"FP",'TP-b'!$E$2:$E$60,1,'TP-b'!$B$2:$B$60,"&lt;="&amp;$A165)&gt;0,_xlfn.MAXIFS('TP-b'!$B$2:$B$60,'TP-b'!$A$2:$A$60,"FP",'TP-b'!$E$2:$E$60,1,'TP-b'!$B$2:$B$60,"&lt;="&amp;$A165),IF(_xlfn.MINIFS('TP-b'!$B$2:$B$60,'TP-b'!$A$2:$A$60,"FP",'TP-b'!$E$2:$E$60,1)&gt;0,_xlfn.MINIFS('TP-b'!$B$2:$B$60,'TP-b'!$A$2:$A$60,"FP",'TP-b'!$E$2:$E$60,1),"")))</f>
        <v/>
      </c>
      <c r="R165" s="10">
        <f>IF(Q165="","",AVERAGEIFS('TP-b'!$C$2:$C$60,'TP-b'!$A$2:$A$60,"FP",'TP-b'!$B$2:$B$60,Q165,'TP-b'!$E$2:$E$60,1))</f>
        <v/>
      </c>
      <c r="S165" s="10">
        <f>IF(Q165="","",AVERAGEIFS('TP-b'!$D$2:$D$60,'TP-b'!$A$2:$A$60,"FP",'TP-b'!$B$2:$B$60,Q165,'TP-b'!$E$2:$E$60,1))</f>
        <v/>
      </c>
      <c r="T165" s="10">
        <f>IF(OR($A165="",NOT(ISNUMBER($E165)),R165=""),"",ROUND($E165-R165+S165,1))</f>
        <v/>
      </c>
      <c r="U165" s="10">
        <f>IF(AND($F165="Yes",ISNUMBER($G165),R165&lt;&gt;""),ROUND($G165-R165+S165,1),"")</f>
        <v/>
      </c>
      <c r="V165" s="10">
        <f>IF(AND($F165="Yes",ISNUMBER($H165),R165&lt;&gt;""),ROUND($H165-R165+S165,1),"")</f>
        <v/>
      </c>
      <c r="W165" s="10">
        <f>IF(AND(ISNUMBER($E165),ISNUMBER(U165),ISNUMBER(V165)),ROUND((V165-MAX(U165,0))*10,1),"")</f>
        <v/>
      </c>
      <c r="X165" s="10">
        <f>IF(T165="","",IF(AND($F165="Yes",ISNUMBER(V165)),V165,T165))</f>
        <v/>
      </c>
      <c r="Y165" s="10">
        <f>IF(T165="","",ROUND(SUMIFS($W$3:$W$252,$A$3:$A$252,"&lt;="&amp;$A165),1))</f>
        <v/>
      </c>
      <c r="Z165" s="10">
        <f>IF(OR(T165="",$A165=""),"",IF(ISNUMBER(IFERROR(INDEX($X$3:$X$252,MATCH($A165-1,$A$3:$A$252,0)),"")),ROUND((INDEX($X$3:$X$252,MATCH($A165-1,$A$3:$A$252,0))-T165)*10,1),""))</f>
        <v/>
      </c>
      <c r="AA165" s="10">
        <f>IF(ISNUMBER(T165),1,0)</f>
        <v/>
      </c>
      <c r="AB165" s="16">
        <f>IF($A165="","",IF(_xlfn.MAXIFS('TP-b'!$B$2:$B$60,'TP-b'!$A$2:$A$60,"3F4D+MD",'TP-b'!$E$2:$E$60,1,'TP-b'!$B$2:$B$60,"&lt;="&amp;$A165)&gt;0,_xlfn.MAXIFS('TP-b'!$B$2:$B$60,'TP-b'!$A$2:$A$60,"3F4D+MD",'TP-b'!$E$2:$E$60,1,'TP-b'!$B$2:$B$60,"&lt;="&amp;$A165),IF(_xlfn.MINIFS('TP-b'!$B$2:$B$60,'TP-b'!$A$2:$A$60,"3F4D+MD",'TP-b'!$E$2:$E$60,1)&gt;0,_xlfn.MINIFS('TP-b'!$B$2:$B$60,'TP-b'!$A$2:$A$60,"3F4D+MD",'TP-b'!$E$2:$E$60,1),"")))</f>
        <v/>
      </c>
      <c r="AC165" s="10">
        <f>IF(AB165="","",AVERAGEIFS('TP-b'!$C$2:$C$60,'TP-b'!$A$2:$A$60,"3F4D+MD",'TP-b'!$B$2:$B$60,AB165,'TP-b'!$E$2:$E$60,1))</f>
        <v/>
      </c>
      <c r="AD165" s="10">
        <f>IF(AB165="","",AVERAGEIFS('TP-b'!$D$2:$D$60,'TP-b'!$A$2:$A$60,"3F4D+MD",'TP-b'!$B$2:$B$60,AB165,'TP-b'!$E$2:$E$60,1))</f>
        <v/>
      </c>
      <c r="AE165" s="10">
        <f>IF(OR($A165="",NOT(ISNUMBER($J165)),AC165=""),"",ROUND($J165-AC165+AD165,1))</f>
        <v/>
      </c>
      <c r="AF165" s="10">
        <f>IF(AND($K165="Yes",ISNUMBER($L165),AC165&lt;&gt;""),ROUND($L165-AC165+AD165,1),"")</f>
        <v/>
      </c>
      <c r="AG165" s="10">
        <f>IF(AND($K165="Yes",ISNUMBER($M165),AC165&lt;&gt;""),ROUND($M165-AC165+AD165,1),"")</f>
        <v/>
      </c>
      <c r="AH165" s="10">
        <f>IF(AND(ISNUMBER($J165),ISNUMBER(AF165),ISNUMBER(AG165)),ROUND((AG165-MAX(AF165,0))*10,1),"")</f>
        <v/>
      </c>
      <c r="AI165" s="10">
        <f>IF(AE165="","",IF(AND($K165="Yes",ISNUMBER(AG165)),AG165,AE165))</f>
        <v/>
      </c>
      <c r="AJ165" s="10">
        <f>IF(AE165="","",ROUND(SUMIFS($AH$3:$AH$252,$A$3:$A$252,"&lt;="&amp;$A165),1))</f>
        <v/>
      </c>
      <c r="AK165" s="10">
        <f>IF(OR(AE165="",$A165=""),"",IF(ISNUMBER(IFERROR(INDEX($AI$3:$AI$252,MATCH($A165-1,$A$3:$A$252,0)),"")),ROUND((INDEX($AI$3:$AI$252,MATCH($A165-1,$A$3:$A$252,0))-AE165)*10,1),""))</f>
        <v/>
      </c>
      <c r="AL165" s="10">
        <f>IF(ISNUMBER(AE165),1,0)</f>
        <v/>
      </c>
      <c r="AM165" s="17">
        <f>IF($A165="","",IF(COUNTIF($A$3:$A$252,$A165)&gt;1,"same date twice; ","")&amp;IF(AND(ISNUMBER($B165),OR($B165&lt;0,$B165&gt;300)),"rain out of range; ","")&amp;IF(AND(ISNUMBER($C165),OR($C165&lt;0,$C165&gt;45)),"temp out of range; ","")&amp;IF(AND(ISNUMBER($D165),OR($D165&lt;0,$D165&gt;100)),"RH out of range; ",""))</f>
        <v/>
      </c>
      <c r="AN165" s="17">
        <f>IF($A165="","",IF(AND(ISNUMBER(T165),OR(T165&lt;-30,T165&gt;20)),"WL out of range; ","")&amp;IF(AND(ISNUMBER($E165),T165=""),"no TP/b; ","")&amp;IF(AND(ISNUMBER(U165),ISNUMBER(V165)),IF(V165&lt;U165,"After&lt;Before; ",""),"")&amp;IF(AND($F165="Yes",ISNUMBER($E165),W165=""),"irrigation readings missing; ","")&amp;IF(ISNUMBER(Z165),IF(AND(ABS(Z165)&gt;50,NOT(N($B165)&gt;0)),"WL jump &gt;5 cm; ",""),""))</f>
        <v/>
      </c>
      <c r="AO165" s="17">
        <f>IF($A165="","",IF(AND(ISNUMBER(AE165),OR(AE165&lt;-30,AE165&gt;20)),"WL out of range; ","")&amp;IF(AND(ISNUMBER($J165),AE165=""),"no TP/b; ","")&amp;IF(AND(ISNUMBER(AF165),ISNUMBER(AG165)),IF(AG165&lt;AF165,"After&lt;Before; ",""),"")&amp;IF(AND($K165="Yes",ISNUMBER($J165),AH165=""),"irrigation readings missing; ","")&amp;IF(ISNUMBER(AK165),IF(AND(ABS(AK165)&gt;50,NOT(N($B165)&gt;0)),"WL jump &gt;5 cm; ",""),"")&amp;IF(AND(ISNUMBER(PitanE),ISNUMBER(AB165),$A165&gt;PitanE+2,AB165&lt;PitanE),"re-measure TP/b after Pitan; ",""))</f>
        <v/>
      </c>
    </row>
    <row r="166">
      <c r="A166" s="14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0">
        <f>IF(OR($A166="",NOT(ISNUMBER(TransDate))),"",$A166-TransDate)</f>
        <v/>
      </c>
      <c r="Q166" s="16">
        <f>IF($A166="","",IF(_xlfn.MAXIFS('TP-b'!$B$2:$B$60,'TP-b'!$A$2:$A$60,"FP",'TP-b'!$E$2:$E$60,1,'TP-b'!$B$2:$B$60,"&lt;="&amp;$A166)&gt;0,_xlfn.MAXIFS('TP-b'!$B$2:$B$60,'TP-b'!$A$2:$A$60,"FP",'TP-b'!$E$2:$E$60,1,'TP-b'!$B$2:$B$60,"&lt;="&amp;$A166),IF(_xlfn.MINIFS('TP-b'!$B$2:$B$60,'TP-b'!$A$2:$A$60,"FP",'TP-b'!$E$2:$E$60,1)&gt;0,_xlfn.MINIFS('TP-b'!$B$2:$B$60,'TP-b'!$A$2:$A$60,"FP",'TP-b'!$E$2:$E$60,1),"")))</f>
        <v/>
      </c>
      <c r="R166" s="10">
        <f>IF(Q166="","",AVERAGEIFS('TP-b'!$C$2:$C$60,'TP-b'!$A$2:$A$60,"FP",'TP-b'!$B$2:$B$60,Q166,'TP-b'!$E$2:$E$60,1))</f>
        <v/>
      </c>
      <c r="S166" s="10">
        <f>IF(Q166="","",AVERAGEIFS('TP-b'!$D$2:$D$60,'TP-b'!$A$2:$A$60,"FP",'TP-b'!$B$2:$B$60,Q166,'TP-b'!$E$2:$E$60,1))</f>
        <v/>
      </c>
      <c r="T166" s="10">
        <f>IF(OR($A166="",NOT(ISNUMBER($E166)),R166=""),"",ROUND($E166-R166+S166,1))</f>
        <v/>
      </c>
      <c r="U166" s="10">
        <f>IF(AND($F166="Yes",ISNUMBER($G166),R166&lt;&gt;""),ROUND($G166-R166+S166,1),"")</f>
        <v/>
      </c>
      <c r="V166" s="10">
        <f>IF(AND($F166="Yes",ISNUMBER($H166),R166&lt;&gt;""),ROUND($H166-R166+S166,1),"")</f>
        <v/>
      </c>
      <c r="W166" s="10">
        <f>IF(AND(ISNUMBER($E166),ISNUMBER(U166),ISNUMBER(V166)),ROUND((V166-MAX(U166,0))*10,1),"")</f>
        <v/>
      </c>
      <c r="X166" s="10">
        <f>IF(T166="","",IF(AND($F166="Yes",ISNUMBER(V166)),V166,T166))</f>
        <v/>
      </c>
      <c r="Y166" s="10">
        <f>IF(T166="","",ROUND(SUMIFS($W$3:$W$252,$A$3:$A$252,"&lt;="&amp;$A166),1))</f>
        <v/>
      </c>
      <c r="Z166" s="10">
        <f>IF(OR(T166="",$A166=""),"",IF(ISNUMBER(IFERROR(INDEX($X$3:$X$252,MATCH($A166-1,$A$3:$A$252,0)),"")),ROUND((INDEX($X$3:$X$252,MATCH($A166-1,$A$3:$A$252,0))-T166)*10,1),""))</f>
        <v/>
      </c>
      <c r="AA166" s="10">
        <f>IF(ISNUMBER(T166),1,0)</f>
        <v/>
      </c>
      <c r="AB166" s="16">
        <f>IF($A166="","",IF(_xlfn.MAXIFS('TP-b'!$B$2:$B$60,'TP-b'!$A$2:$A$60,"3F4D+MD",'TP-b'!$E$2:$E$60,1,'TP-b'!$B$2:$B$60,"&lt;="&amp;$A166)&gt;0,_xlfn.MAXIFS('TP-b'!$B$2:$B$60,'TP-b'!$A$2:$A$60,"3F4D+MD",'TP-b'!$E$2:$E$60,1,'TP-b'!$B$2:$B$60,"&lt;="&amp;$A166),IF(_xlfn.MINIFS('TP-b'!$B$2:$B$60,'TP-b'!$A$2:$A$60,"3F4D+MD",'TP-b'!$E$2:$E$60,1)&gt;0,_xlfn.MINIFS('TP-b'!$B$2:$B$60,'TP-b'!$A$2:$A$60,"3F4D+MD",'TP-b'!$E$2:$E$60,1),"")))</f>
        <v/>
      </c>
      <c r="AC166" s="10">
        <f>IF(AB166="","",AVERAGEIFS('TP-b'!$C$2:$C$60,'TP-b'!$A$2:$A$60,"3F4D+MD",'TP-b'!$B$2:$B$60,AB166,'TP-b'!$E$2:$E$60,1))</f>
        <v/>
      </c>
      <c r="AD166" s="10">
        <f>IF(AB166="","",AVERAGEIFS('TP-b'!$D$2:$D$60,'TP-b'!$A$2:$A$60,"3F4D+MD",'TP-b'!$B$2:$B$60,AB166,'TP-b'!$E$2:$E$60,1))</f>
        <v/>
      </c>
      <c r="AE166" s="10">
        <f>IF(OR($A166="",NOT(ISNUMBER($J166)),AC166=""),"",ROUND($J166-AC166+AD166,1))</f>
        <v/>
      </c>
      <c r="AF166" s="10">
        <f>IF(AND($K166="Yes",ISNUMBER($L166),AC166&lt;&gt;""),ROUND($L166-AC166+AD166,1),"")</f>
        <v/>
      </c>
      <c r="AG166" s="10">
        <f>IF(AND($K166="Yes",ISNUMBER($M166),AC166&lt;&gt;""),ROUND($M166-AC166+AD166,1),"")</f>
        <v/>
      </c>
      <c r="AH166" s="10">
        <f>IF(AND(ISNUMBER($J166),ISNUMBER(AF166),ISNUMBER(AG166)),ROUND((AG166-MAX(AF166,0))*10,1),"")</f>
        <v/>
      </c>
      <c r="AI166" s="10">
        <f>IF(AE166="","",IF(AND($K166="Yes",ISNUMBER(AG166)),AG166,AE166))</f>
        <v/>
      </c>
      <c r="AJ166" s="10">
        <f>IF(AE166="","",ROUND(SUMIFS($AH$3:$AH$252,$A$3:$A$252,"&lt;="&amp;$A166),1))</f>
        <v/>
      </c>
      <c r="AK166" s="10">
        <f>IF(OR(AE166="",$A166=""),"",IF(ISNUMBER(IFERROR(INDEX($AI$3:$AI$252,MATCH($A166-1,$A$3:$A$252,0)),"")),ROUND((INDEX($AI$3:$AI$252,MATCH($A166-1,$A$3:$A$252,0))-AE166)*10,1),""))</f>
        <v/>
      </c>
      <c r="AL166" s="10">
        <f>IF(ISNUMBER(AE166),1,0)</f>
        <v/>
      </c>
      <c r="AM166" s="17">
        <f>IF($A166="","",IF(COUNTIF($A$3:$A$252,$A166)&gt;1,"same date twice; ","")&amp;IF(AND(ISNUMBER($B166),OR($B166&lt;0,$B166&gt;300)),"rain out of range; ","")&amp;IF(AND(ISNUMBER($C166),OR($C166&lt;0,$C166&gt;45)),"temp out of range; ","")&amp;IF(AND(ISNUMBER($D166),OR($D166&lt;0,$D166&gt;100)),"RH out of range; ",""))</f>
        <v/>
      </c>
      <c r="AN166" s="17">
        <f>IF($A166="","",IF(AND(ISNUMBER(T166),OR(T166&lt;-30,T166&gt;20)),"WL out of range; ","")&amp;IF(AND(ISNUMBER($E166),T166=""),"no TP/b; ","")&amp;IF(AND(ISNUMBER(U166),ISNUMBER(V166)),IF(V166&lt;U166,"After&lt;Before; ",""),"")&amp;IF(AND($F166="Yes",ISNUMBER($E166),W166=""),"irrigation readings missing; ","")&amp;IF(ISNUMBER(Z166),IF(AND(ABS(Z166)&gt;50,NOT(N($B166)&gt;0)),"WL jump &gt;5 cm; ",""),""))</f>
        <v/>
      </c>
      <c r="AO166" s="17">
        <f>IF($A166="","",IF(AND(ISNUMBER(AE166),OR(AE166&lt;-30,AE166&gt;20)),"WL out of range; ","")&amp;IF(AND(ISNUMBER($J166),AE166=""),"no TP/b; ","")&amp;IF(AND(ISNUMBER(AF166),ISNUMBER(AG166)),IF(AG166&lt;AF166,"After&lt;Before; ",""),"")&amp;IF(AND($K166="Yes",ISNUMBER($J166),AH166=""),"irrigation readings missing; ","")&amp;IF(ISNUMBER(AK166),IF(AND(ABS(AK166)&gt;50,NOT(N($B166)&gt;0)),"WL jump &gt;5 cm; ",""),"")&amp;IF(AND(ISNUMBER(PitanE),ISNUMBER(AB166),$A166&gt;PitanE+2,AB166&lt;PitanE),"re-measure TP/b after Pitan; ",""))</f>
        <v/>
      </c>
    </row>
    <row r="167">
      <c r="A167" s="14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0">
        <f>IF(OR($A167="",NOT(ISNUMBER(TransDate))),"",$A167-TransDate)</f>
        <v/>
      </c>
      <c r="Q167" s="16">
        <f>IF($A167="","",IF(_xlfn.MAXIFS('TP-b'!$B$2:$B$60,'TP-b'!$A$2:$A$60,"FP",'TP-b'!$E$2:$E$60,1,'TP-b'!$B$2:$B$60,"&lt;="&amp;$A167)&gt;0,_xlfn.MAXIFS('TP-b'!$B$2:$B$60,'TP-b'!$A$2:$A$60,"FP",'TP-b'!$E$2:$E$60,1,'TP-b'!$B$2:$B$60,"&lt;="&amp;$A167),IF(_xlfn.MINIFS('TP-b'!$B$2:$B$60,'TP-b'!$A$2:$A$60,"FP",'TP-b'!$E$2:$E$60,1)&gt;0,_xlfn.MINIFS('TP-b'!$B$2:$B$60,'TP-b'!$A$2:$A$60,"FP",'TP-b'!$E$2:$E$60,1),"")))</f>
        <v/>
      </c>
      <c r="R167" s="10">
        <f>IF(Q167="","",AVERAGEIFS('TP-b'!$C$2:$C$60,'TP-b'!$A$2:$A$60,"FP",'TP-b'!$B$2:$B$60,Q167,'TP-b'!$E$2:$E$60,1))</f>
        <v/>
      </c>
      <c r="S167" s="10">
        <f>IF(Q167="","",AVERAGEIFS('TP-b'!$D$2:$D$60,'TP-b'!$A$2:$A$60,"FP",'TP-b'!$B$2:$B$60,Q167,'TP-b'!$E$2:$E$60,1))</f>
        <v/>
      </c>
      <c r="T167" s="10">
        <f>IF(OR($A167="",NOT(ISNUMBER($E167)),R167=""),"",ROUND($E167-R167+S167,1))</f>
        <v/>
      </c>
      <c r="U167" s="10">
        <f>IF(AND($F167="Yes",ISNUMBER($G167),R167&lt;&gt;""),ROUND($G167-R167+S167,1),"")</f>
        <v/>
      </c>
      <c r="V167" s="10">
        <f>IF(AND($F167="Yes",ISNUMBER($H167),R167&lt;&gt;""),ROUND($H167-R167+S167,1),"")</f>
        <v/>
      </c>
      <c r="W167" s="10">
        <f>IF(AND(ISNUMBER($E167),ISNUMBER(U167),ISNUMBER(V167)),ROUND((V167-MAX(U167,0))*10,1),"")</f>
        <v/>
      </c>
      <c r="X167" s="10">
        <f>IF(T167="","",IF(AND($F167="Yes",ISNUMBER(V167)),V167,T167))</f>
        <v/>
      </c>
      <c r="Y167" s="10">
        <f>IF(T167="","",ROUND(SUMIFS($W$3:$W$252,$A$3:$A$252,"&lt;="&amp;$A167),1))</f>
        <v/>
      </c>
      <c r="Z167" s="10">
        <f>IF(OR(T167="",$A167=""),"",IF(ISNUMBER(IFERROR(INDEX($X$3:$X$252,MATCH($A167-1,$A$3:$A$252,0)),"")),ROUND((INDEX($X$3:$X$252,MATCH($A167-1,$A$3:$A$252,0))-T167)*10,1),""))</f>
        <v/>
      </c>
      <c r="AA167" s="10">
        <f>IF(ISNUMBER(T167),1,0)</f>
        <v/>
      </c>
      <c r="AB167" s="16">
        <f>IF($A167="","",IF(_xlfn.MAXIFS('TP-b'!$B$2:$B$60,'TP-b'!$A$2:$A$60,"3F4D+MD",'TP-b'!$E$2:$E$60,1,'TP-b'!$B$2:$B$60,"&lt;="&amp;$A167)&gt;0,_xlfn.MAXIFS('TP-b'!$B$2:$B$60,'TP-b'!$A$2:$A$60,"3F4D+MD",'TP-b'!$E$2:$E$60,1,'TP-b'!$B$2:$B$60,"&lt;="&amp;$A167),IF(_xlfn.MINIFS('TP-b'!$B$2:$B$60,'TP-b'!$A$2:$A$60,"3F4D+MD",'TP-b'!$E$2:$E$60,1)&gt;0,_xlfn.MINIFS('TP-b'!$B$2:$B$60,'TP-b'!$A$2:$A$60,"3F4D+MD",'TP-b'!$E$2:$E$60,1),"")))</f>
        <v/>
      </c>
      <c r="AC167" s="10">
        <f>IF(AB167="","",AVERAGEIFS('TP-b'!$C$2:$C$60,'TP-b'!$A$2:$A$60,"3F4D+MD",'TP-b'!$B$2:$B$60,AB167,'TP-b'!$E$2:$E$60,1))</f>
        <v/>
      </c>
      <c r="AD167" s="10">
        <f>IF(AB167="","",AVERAGEIFS('TP-b'!$D$2:$D$60,'TP-b'!$A$2:$A$60,"3F4D+MD",'TP-b'!$B$2:$B$60,AB167,'TP-b'!$E$2:$E$60,1))</f>
        <v/>
      </c>
      <c r="AE167" s="10">
        <f>IF(OR($A167="",NOT(ISNUMBER($J167)),AC167=""),"",ROUND($J167-AC167+AD167,1))</f>
        <v/>
      </c>
      <c r="AF167" s="10">
        <f>IF(AND($K167="Yes",ISNUMBER($L167),AC167&lt;&gt;""),ROUND($L167-AC167+AD167,1),"")</f>
        <v/>
      </c>
      <c r="AG167" s="10">
        <f>IF(AND($K167="Yes",ISNUMBER($M167),AC167&lt;&gt;""),ROUND($M167-AC167+AD167,1),"")</f>
        <v/>
      </c>
      <c r="AH167" s="10">
        <f>IF(AND(ISNUMBER($J167),ISNUMBER(AF167),ISNUMBER(AG167)),ROUND((AG167-MAX(AF167,0))*10,1),"")</f>
        <v/>
      </c>
      <c r="AI167" s="10">
        <f>IF(AE167="","",IF(AND($K167="Yes",ISNUMBER(AG167)),AG167,AE167))</f>
        <v/>
      </c>
      <c r="AJ167" s="10">
        <f>IF(AE167="","",ROUND(SUMIFS($AH$3:$AH$252,$A$3:$A$252,"&lt;="&amp;$A167),1))</f>
        <v/>
      </c>
      <c r="AK167" s="10">
        <f>IF(OR(AE167="",$A167=""),"",IF(ISNUMBER(IFERROR(INDEX($AI$3:$AI$252,MATCH($A167-1,$A$3:$A$252,0)),"")),ROUND((INDEX($AI$3:$AI$252,MATCH($A167-1,$A$3:$A$252,0))-AE167)*10,1),""))</f>
        <v/>
      </c>
      <c r="AL167" s="10">
        <f>IF(ISNUMBER(AE167),1,0)</f>
        <v/>
      </c>
      <c r="AM167" s="17">
        <f>IF($A167="","",IF(COUNTIF($A$3:$A$252,$A167)&gt;1,"same date twice; ","")&amp;IF(AND(ISNUMBER($B167),OR($B167&lt;0,$B167&gt;300)),"rain out of range; ","")&amp;IF(AND(ISNUMBER($C167),OR($C167&lt;0,$C167&gt;45)),"temp out of range; ","")&amp;IF(AND(ISNUMBER($D167),OR($D167&lt;0,$D167&gt;100)),"RH out of range; ",""))</f>
        <v/>
      </c>
      <c r="AN167" s="17">
        <f>IF($A167="","",IF(AND(ISNUMBER(T167),OR(T167&lt;-30,T167&gt;20)),"WL out of range; ","")&amp;IF(AND(ISNUMBER($E167),T167=""),"no TP/b; ","")&amp;IF(AND(ISNUMBER(U167),ISNUMBER(V167)),IF(V167&lt;U167,"After&lt;Before; ",""),"")&amp;IF(AND($F167="Yes",ISNUMBER($E167),W167=""),"irrigation readings missing; ","")&amp;IF(ISNUMBER(Z167),IF(AND(ABS(Z167)&gt;50,NOT(N($B167)&gt;0)),"WL jump &gt;5 cm; ",""),""))</f>
        <v/>
      </c>
      <c r="AO167" s="17">
        <f>IF($A167="","",IF(AND(ISNUMBER(AE167),OR(AE167&lt;-30,AE167&gt;20)),"WL out of range; ","")&amp;IF(AND(ISNUMBER($J167),AE167=""),"no TP/b; ","")&amp;IF(AND(ISNUMBER(AF167),ISNUMBER(AG167)),IF(AG167&lt;AF167,"After&lt;Before; ",""),"")&amp;IF(AND($K167="Yes",ISNUMBER($J167),AH167=""),"irrigation readings missing; ","")&amp;IF(ISNUMBER(AK167),IF(AND(ABS(AK167)&gt;50,NOT(N($B167)&gt;0)),"WL jump &gt;5 cm; ",""),"")&amp;IF(AND(ISNUMBER(PitanE),ISNUMBER(AB167),$A167&gt;PitanE+2,AB167&lt;PitanE),"re-measure TP/b after Pitan; ",""))</f>
        <v/>
      </c>
    </row>
    <row r="168">
      <c r="A168" s="14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0">
        <f>IF(OR($A168="",NOT(ISNUMBER(TransDate))),"",$A168-TransDate)</f>
        <v/>
      </c>
      <c r="Q168" s="16">
        <f>IF($A168="","",IF(_xlfn.MAXIFS('TP-b'!$B$2:$B$60,'TP-b'!$A$2:$A$60,"FP",'TP-b'!$E$2:$E$60,1,'TP-b'!$B$2:$B$60,"&lt;="&amp;$A168)&gt;0,_xlfn.MAXIFS('TP-b'!$B$2:$B$60,'TP-b'!$A$2:$A$60,"FP",'TP-b'!$E$2:$E$60,1,'TP-b'!$B$2:$B$60,"&lt;="&amp;$A168),IF(_xlfn.MINIFS('TP-b'!$B$2:$B$60,'TP-b'!$A$2:$A$60,"FP",'TP-b'!$E$2:$E$60,1)&gt;0,_xlfn.MINIFS('TP-b'!$B$2:$B$60,'TP-b'!$A$2:$A$60,"FP",'TP-b'!$E$2:$E$60,1),"")))</f>
        <v/>
      </c>
      <c r="R168" s="10">
        <f>IF(Q168="","",AVERAGEIFS('TP-b'!$C$2:$C$60,'TP-b'!$A$2:$A$60,"FP",'TP-b'!$B$2:$B$60,Q168,'TP-b'!$E$2:$E$60,1))</f>
        <v/>
      </c>
      <c r="S168" s="10">
        <f>IF(Q168="","",AVERAGEIFS('TP-b'!$D$2:$D$60,'TP-b'!$A$2:$A$60,"FP",'TP-b'!$B$2:$B$60,Q168,'TP-b'!$E$2:$E$60,1))</f>
        <v/>
      </c>
      <c r="T168" s="10">
        <f>IF(OR($A168="",NOT(ISNUMBER($E168)),R168=""),"",ROUND($E168-R168+S168,1))</f>
        <v/>
      </c>
      <c r="U168" s="10">
        <f>IF(AND($F168="Yes",ISNUMBER($G168),R168&lt;&gt;""),ROUND($G168-R168+S168,1),"")</f>
        <v/>
      </c>
      <c r="V168" s="10">
        <f>IF(AND($F168="Yes",ISNUMBER($H168),R168&lt;&gt;""),ROUND($H168-R168+S168,1),"")</f>
        <v/>
      </c>
      <c r="W168" s="10">
        <f>IF(AND(ISNUMBER($E168),ISNUMBER(U168),ISNUMBER(V168)),ROUND((V168-MAX(U168,0))*10,1),"")</f>
        <v/>
      </c>
      <c r="X168" s="10">
        <f>IF(T168="","",IF(AND($F168="Yes",ISNUMBER(V168)),V168,T168))</f>
        <v/>
      </c>
      <c r="Y168" s="10">
        <f>IF(T168="","",ROUND(SUMIFS($W$3:$W$252,$A$3:$A$252,"&lt;="&amp;$A168),1))</f>
        <v/>
      </c>
      <c r="Z168" s="10">
        <f>IF(OR(T168="",$A168=""),"",IF(ISNUMBER(IFERROR(INDEX($X$3:$X$252,MATCH($A168-1,$A$3:$A$252,0)),"")),ROUND((INDEX($X$3:$X$252,MATCH($A168-1,$A$3:$A$252,0))-T168)*10,1),""))</f>
        <v/>
      </c>
      <c r="AA168" s="10">
        <f>IF(ISNUMBER(T168),1,0)</f>
        <v/>
      </c>
      <c r="AB168" s="16">
        <f>IF($A168="","",IF(_xlfn.MAXIFS('TP-b'!$B$2:$B$60,'TP-b'!$A$2:$A$60,"3F4D+MD",'TP-b'!$E$2:$E$60,1,'TP-b'!$B$2:$B$60,"&lt;="&amp;$A168)&gt;0,_xlfn.MAXIFS('TP-b'!$B$2:$B$60,'TP-b'!$A$2:$A$60,"3F4D+MD",'TP-b'!$E$2:$E$60,1,'TP-b'!$B$2:$B$60,"&lt;="&amp;$A168),IF(_xlfn.MINIFS('TP-b'!$B$2:$B$60,'TP-b'!$A$2:$A$60,"3F4D+MD",'TP-b'!$E$2:$E$60,1)&gt;0,_xlfn.MINIFS('TP-b'!$B$2:$B$60,'TP-b'!$A$2:$A$60,"3F4D+MD",'TP-b'!$E$2:$E$60,1),"")))</f>
        <v/>
      </c>
      <c r="AC168" s="10">
        <f>IF(AB168="","",AVERAGEIFS('TP-b'!$C$2:$C$60,'TP-b'!$A$2:$A$60,"3F4D+MD",'TP-b'!$B$2:$B$60,AB168,'TP-b'!$E$2:$E$60,1))</f>
        <v/>
      </c>
      <c r="AD168" s="10">
        <f>IF(AB168="","",AVERAGEIFS('TP-b'!$D$2:$D$60,'TP-b'!$A$2:$A$60,"3F4D+MD",'TP-b'!$B$2:$B$60,AB168,'TP-b'!$E$2:$E$60,1))</f>
        <v/>
      </c>
      <c r="AE168" s="10">
        <f>IF(OR($A168="",NOT(ISNUMBER($J168)),AC168=""),"",ROUND($J168-AC168+AD168,1))</f>
        <v/>
      </c>
      <c r="AF168" s="10">
        <f>IF(AND($K168="Yes",ISNUMBER($L168),AC168&lt;&gt;""),ROUND($L168-AC168+AD168,1),"")</f>
        <v/>
      </c>
      <c r="AG168" s="10">
        <f>IF(AND($K168="Yes",ISNUMBER($M168),AC168&lt;&gt;""),ROUND($M168-AC168+AD168,1),"")</f>
        <v/>
      </c>
      <c r="AH168" s="10">
        <f>IF(AND(ISNUMBER($J168),ISNUMBER(AF168),ISNUMBER(AG168)),ROUND((AG168-MAX(AF168,0))*10,1),"")</f>
        <v/>
      </c>
      <c r="AI168" s="10">
        <f>IF(AE168="","",IF(AND($K168="Yes",ISNUMBER(AG168)),AG168,AE168))</f>
        <v/>
      </c>
      <c r="AJ168" s="10">
        <f>IF(AE168="","",ROUND(SUMIFS($AH$3:$AH$252,$A$3:$A$252,"&lt;="&amp;$A168),1))</f>
        <v/>
      </c>
      <c r="AK168" s="10">
        <f>IF(OR(AE168="",$A168=""),"",IF(ISNUMBER(IFERROR(INDEX($AI$3:$AI$252,MATCH($A168-1,$A$3:$A$252,0)),"")),ROUND((INDEX($AI$3:$AI$252,MATCH($A168-1,$A$3:$A$252,0))-AE168)*10,1),""))</f>
        <v/>
      </c>
      <c r="AL168" s="10">
        <f>IF(ISNUMBER(AE168),1,0)</f>
        <v/>
      </c>
      <c r="AM168" s="17">
        <f>IF($A168="","",IF(COUNTIF($A$3:$A$252,$A168)&gt;1,"same date twice; ","")&amp;IF(AND(ISNUMBER($B168),OR($B168&lt;0,$B168&gt;300)),"rain out of range; ","")&amp;IF(AND(ISNUMBER($C168),OR($C168&lt;0,$C168&gt;45)),"temp out of range; ","")&amp;IF(AND(ISNUMBER($D168),OR($D168&lt;0,$D168&gt;100)),"RH out of range; ",""))</f>
        <v/>
      </c>
      <c r="AN168" s="17">
        <f>IF($A168="","",IF(AND(ISNUMBER(T168),OR(T168&lt;-30,T168&gt;20)),"WL out of range; ","")&amp;IF(AND(ISNUMBER($E168),T168=""),"no TP/b; ","")&amp;IF(AND(ISNUMBER(U168),ISNUMBER(V168)),IF(V168&lt;U168,"After&lt;Before; ",""),"")&amp;IF(AND($F168="Yes",ISNUMBER($E168),W168=""),"irrigation readings missing; ","")&amp;IF(ISNUMBER(Z168),IF(AND(ABS(Z168)&gt;50,NOT(N($B168)&gt;0)),"WL jump &gt;5 cm; ",""),""))</f>
        <v/>
      </c>
      <c r="AO168" s="17">
        <f>IF($A168="","",IF(AND(ISNUMBER(AE168),OR(AE168&lt;-30,AE168&gt;20)),"WL out of range; ","")&amp;IF(AND(ISNUMBER($J168),AE168=""),"no TP/b; ","")&amp;IF(AND(ISNUMBER(AF168),ISNUMBER(AG168)),IF(AG168&lt;AF168,"After&lt;Before; ",""),"")&amp;IF(AND($K168="Yes",ISNUMBER($J168),AH168=""),"irrigation readings missing; ","")&amp;IF(ISNUMBER(AK168),IF(AND(ABS(AK168)&gt;50,NOT(N($B168)&gt;0)),"WL jump &gt;5 cm; ",""),"")&amp;IF(AND(ISNUMBER(PitanE),ISNUMBER(AB168),$A168&gt;PitanE+2,AB168&lt;PitanE),"re-measure TP/b after Pitan; ",""))</f>
        <v/>
      </c>
    </row>
    <row r="169">
      <c r="A169" s="14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0">
        <f>IF(OR($A169="",NOT(ISNUMBER(TransDate))),"",$A169-TransDate)</f>
        <v/>
      </c>
      <c r="Q169" s="16">
        <f>IF($A169="","",IF(_xlfn.MAXIFS('TP-b'!$B$2:$B$60,'TP-b'!$A$2:$A$60,"FP",'TP-b'!$E$2:$E$60,1,'TP-b'!$B$2:$B$60,"&lt;="&amp;$A169)&gt;0,_xlfn.MAXIFS('TP-b'!$B$2:$B$60,'TP-b'!$A$2:$A$60,"FP",'TP-b'!$E$2:$E$60,1,'TP-b'!$B$2:$B$60,"&lt;="&amp;$A169),IF(_xlfn.MINIFS('TP-b'!$B$2:$B$60,'TP-b'!$A$2:$A$60,"FP",'TP-b'!$E$2:$E$60,1)&gt;0,_xlfn.MINIFS('TP-b'!$B$2:$B$60,'TP-b'!$A$2:$A$60,"FP",'TP-b'!$E$2:$E$60,1),"")))</f>
        <v/>
      </c>
      <c r="R169" s="10">
        <f>IF(Q169="","",AVERAGEIFS('TP-b'!$C$2:$C$60,'TP-b'!$A$2:$A$60,"FP",'TP-b'!$B$2:$B$60,Q169,'TP-b'!$E$2:$E$60,1))</f>
        <v/>
      </c>
      <c r="S169" s="10">
        <f>IF(Q169="","",AVERAGEIFS('TP-b'!$D$2:$D$60,'TP-b'!$A$2:$A$60,"FP",'TP-b'!$B$2:$B$60,Q169,'TP-b'!$E$2:$E$60,1))</f>
        <v/>
      </c>
      <c r="T169" s="10">
        <f>IF(OR($A169="",NOT(ISNUMBER($E169)),R169=""),"",ROUND($E169-R169+S169,1))</f>
        <v/>
      </c>
      <c r="U169" s="10">
        <f>IF(AND($F169="Yes",ISNUMBER($G169),R169&lt;&gt;""),ROUND($G169-R169+S169,1),"")</f>
        <v/>
      </c>
      <c r="V169" s="10">
        <f>IF(AND($F169="Yes",ISNUMBER($H169),R169&lt;&gt;""),ROUND($H169-R169+S169,1),"")</f>
        <v/>
      </c>
      <c r="W169" s="10">
        <f>IF(AND(ISNUMBER($E169),ISNUMBER(U169),ISNUMBER(V169)),ROUND((V169-MAX(U169,0))*10,1),"")</f>
        <v/>
      </c>
      <c r="X169" s="10">
        <f>IF(T169="","",IF(AND($F169="Yes",ISNUMBER(V169)),V169,T169))</f>
        <v/>
      </c>
      <c r="Y169" s="10">
        <f>IF(T169="","",ROUND(SUMIFS($W$3:$W$252,$A$3:$A$252,"&lt;="&amp;$A169),1))</f>
        <v/>
      </c>
      <c r="Z169" s="10">
        <f>IF(OR(T169="",$A169=""),"",IF(ISNUMBER(IFERROR(INDEX($X$3:$X$252,MATCH($A169-1,$A$3:$A$252,0)),"")),ROUND((INDEX($X$3:$X$252,MATCH($A169-1,$A$3:$A$252,0))-T169)*10,1),""))</f>
        <v/>
      </c>
      <c r="AA169" s="10">
        <f>IF(ISNUMBER(T169),1,0)</f>
        <v/>
      </c>
      <c r="AB169" s="16">
        <f>IF($A169="","",IF(_xlfn.MAXIFS('TP-b'!$B$2:$B$60,'TP-b'!$A$2:$A$60,"3F4D+MD",'TP-b'!$E$2:$E$60,1,'TP-b'!$B$2:$B$60,"&lt;="&amp;$A169)&gt;0,_xlfn.MAXIFS('TP-b'!$B$2:$B$60,'TP-b'!$A$2:$A$60,"3F4D+MD",'TP-b'!$E$2:$E$60,1,'TP-b'!$B$2:$B$60,"&lt;="&amp;$A169),IF(_xlfn.MINIFS('TP-b'!$B$2:$B$60,'TP-b'!$A$2:$A$60,"3F4D+MD",'TP-b'!$E$2:$E$60,1)&gt;0,_xlfn.MINIFS('TP-b'!$B$2:$B$60,'TP-b'!$A$2:$A$60,"3F4D+MD",'TP-b'!$E$2:$E$60,1),"")))</f>
        <v/>
      </c>
      <c r="AC169" s="10">
        <f>IF(AB169="","",AVERAGEIFS('TP-b'!$C$2:$C$60,'TP-b'!$A$2:$A$60,"3F4D+MD",'TP-b'!$B$2:$B$60,AB169,'TP-b'!$E$2:$E$60,1))</f>
        <v/>
      </c>
      <c r="AD169" s="10">
        <f>IF(AB169="","",AVERAGEIFS('TP-b'!$D$2:$D$60,'TP-b'!$A$2:$A$60,"3F4D+MD",'TP-b'!$B$2:$B$60,AB169,'TP-b'!$E$2:$E$60,1))</f>
        <v/>
      </c>
      <c r="AE169" s="10">
        <f>IF(OR($A169="",NOT(ISNUMBER($J169)),AC169=""),"",ROUND($J169-AC169+AD169,1))</f>
        <v/>
      </c>
      <c r="AF169" s="10">
        <f>IF(AND($K169="Yes",ISNUMBER($L169),AC169&lt;&gt;""),ROUND($L169-AC169+AD169,1),"")</f>
        <v/>
      </c>
      <c r="AG169" s="10">
        <f>IF(AND($K169="Yes",ISNUMBER($M169),AC169&lt;&gt;""),ROUND($M169-AC169+AD169,1),"")</f>
        <v/>
      </c>
      <c r="AH169" s="10">
        <f>IF(AND(ISNUMBER($J169),ISNUMBER(AF169),ISNUMBER(AG169)),ROUND((AG169-MAX(AF169,0))*10,1),"")</f>
        <v/>
      </c>
      <c r="AI169" s="10">
        <f>IF(AE169="","",IF(AND($K169="Yes",ISNUMBER(AG169)),AG169,AE169))</f>
        <v/>
      </c>
      <c r="AJ169" s="10">
        <f>IF(AE169="","",ROUND(SUMIFS($AH$3:$AH$252,$A$3:$A$252,"&lt;="&amp;$A169),1))</f>
        <v/>
      </c>
      <c r="AK169" s="10">
        <f>IF(OR(AE169="",$A169=""),"",IF(ISNUMBER(IFERROR(INDEX($AI$3:$AI$252,MATCH($A169-1,$A$3:$A$252,0)),"")),ROUND((INDEX($AI$3:$AI$252,MATCH($A169-1,$A$3:$A$252,0))-AE169)*10,1),""))</f>
        <v/>
      </c>
      <c r="AL169" s="10">
        <f>IF(ISNUMBER(AE169),1,0)</f>
        <v/>
      </c>
      <c r="AM169" s="17">
        <f>IF($A169="","",IF(COUNTIF($A$3:$A$252,$A169)&gt;1,"same date twice; ","")&amp;IF(AND(ISNUMBER($B169),OR($B169&lt;0,$B169&gt;300)),"rain out of range; ","")&amp;IF(AND(ISNUMBER($C169),OR($C169&lt;0,$C169&gt;45)),"temp out of range; ","")&amp;IF(AND(ISNUMBER($D169),OR($D169&lt;0,$D169&gt;100)),"RH out of range; ",""))</f>
        <v/>
      </c>
      <c r="AN169" s="17">
        <f>IF($A169="","",IF(AND(ISNUMBER(T169),OR(T169&lt;-30,T169&gt;20)),"WL out of range; ","")&amp;IF(AND(ISNUMBER($E169),T169=""),"no TP/b; ","")&amp;IF(AND(ISNUMBER(U169),ISNUMBER(V169)),IF(V169&lt;U169,"After&lt;Before; ",""),"")&amp;IF(AND($F169="Yes",ISNUMBER($E169),W169=""),"irrigation readings missing; ","")&amp;IF(ISNUMBER(Z169),IF(AND(ABS(Z169)&gt;50,NOT(N($B169)&gt;0)),"WL jump &gt;5 cm; ",""),""))</f>
        <v/>
      </c>
      <c r="AO169" s="17">
        <f>IF($A169="","",IF(AND(ISNUMBER(AE169),OR(AE169&lt;-30,AE169&gt;20)),"WL out of range; ","")&amp;IF(AND(ISNUMBER($J169),AE169=""),"no TP/b; ","")&amp;IF(AND(ISNUMBER(AF169),ISNUMBER(AG169)),IF(AG169&lt;AF169,"After&lt;Before; ",""),"")&amp;IF(AND($K169="Yes",ISNUMBER($J169),AH169=""),"irrigation readings missing; ","")&amp;IF(ISNUMBER(AK169),IF(AND(ABS(AK169)&gt;50,NOT(N($B169)&gt;0)),"WL jump &gt;5 cm; ",""),"")&amp;IF(AND(ISNUMBER(PitanE),ISNUMBER(AB169),$A169&gt;PitanE+2,AB169&lt;PitanE),"re-measure TP/b after Pitan; ",""))</f>
        <v/>
      </c>
    </row>
    <row r="170">
      <c r="A170" s="14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0">
        <f>IF(OR($A170="",NOT(ISNUMBER(TransDate))),"",$A170-TransDate)</f>
        <v/>
      </c>
      <c r="Q170" s="16">
        <f>IF($A170="","",IF(_xlfn.MAXIFS('TP-b'!$B$2:$B$60,'TP-b'!$A$2:$A$60,"FP",'TP-b'!$E$2:$E$60,1,'TP-b'!$B$2:$B$60,"&lt;="&amp;$A170)&gt;0,_xlfn.MAXIFS('TP-b'!$B$2:$B$60,'TP-b'!$A$2:$A$60,"FP",'TP-b'!$E$2:$E$60,1,'TP-b'!$B$2:$B$60,"&lt;="&amp;$A170),IF(_xlfn.MINIFS('TP-b'!$B$2:$B$60,'TP-b'!$A$2:$A$60,"FP",'TP-b'!$E$2:$E$60,1)&gt;0,_xlfn.MINIFS('TP-b'!$B$2:$B$60,'TP-b'!$A$2:$A$60,"FP",'TP-b'!$E$2:$E$60,1),"")))</f>
        <v/>
      </c>
      <c r="R170" s="10">
        <f>IF(Q170="","",AVERAGEIFS('TP-b'!$C$2:$C$60,'TP-b'!$A$2:$A$60,"FP",'TP-b'!$B$2:$B$60,Q170,'TP-b'!$E$2:$E$60,1))</f>
        <v/>
      </c>
      <c r="S170" s="10">
        <f>IF(Q170="","",AVERAGEIFS('TP-b'!$D$2:$D$60,'TP-b'!$A$2:$A$60,"FP",'TP-b'!$B$2:$B$60,Q170,'TP-b'!$E$2:$E$60,1))</f>
        <v/>
      </c>
      <c r="T170" s="10">
        <f>IF(OR($A170="",NOT(ISNUMBER($E170)),R170=""),"",ROUND($E170-R170+S170,1))</f>
        <v/>
      </c>
      <c r="U170" s="10">
        <f>IF(AND($F170="Yes",ISNUMBER($G170),R170&lt;&gt;""),ROUND($G170-R170+S170,1),"")</f>
        <v/>
      </c>
      <c r="V170" s="10">
        <f>IF(AND($F170="Yes",ISNUMBER($H170),R170&lt;&gt;""),ROUND($H170-R170+S170,1),"")</f>
        <v/>
      </c>
      <c r="W170" s="10">
        <f>IF(AND(ISNUMBER($E170),ISNUMBER(U170),ISNUMBER(V170)),ROUND((V170-MAX(U170,0))*10,1),"")</f>
        <v/>
      </c>
      <c r="X170" s="10">
        <f>IF(T170="","",IF(AND($F170="Yes",ISNUMBER(V170)),V170,T170))</f>
        <v/>
      </c>
      <c r="Y170" s="10">
        <f>IF(T170="","",ROUND(SUMIFS($W$3:$W$252,$A$3:$A$252,"&lt;="&amp;$A170),1))</f>
        <v/>
      </c>
      <c r="Z170" s="10">
        <f>IF(OR(T170="",$A170=""),"",IF(ISNUMBER(IFERROR(INDEX($X$3:$X$252,MATCH($A170-1,$A$3:$A$252,0)),"")),ROUND((INDEX($X$3:$X$252,MATCH($A170-1,$A$3:$A$252,0))-T170)*10,1),""))</f>
        <v/>
      </c>
      <c r="AA170" s="10">
        <f>IF(ISNUMBER(T170),1,0)</f>
        <v/>
      </c>
      <c r="AB170" s="16">
        <f>IF($A170="","",IF(_xlfn.MAXIFS('TP-b'!$B$2:$B$60,'TP-b'!$A$2:$A$60,"3F4D+MD",'TP-b'!$E$2:$E$60,1,'TP-b'!$B$2:$B$60,"&lt;="&amp;$A170)&gt;0,_xlfn.MAXIFS('TP-b'!$B$2:$B$60,'TP-b'!$A$2:$A$60,"3F4D+MD",'TP-b'!$E$2:$E$60,1,'TP-b'!$B$2:$B$60,"&lt;="&amp;$A170),IF(_xlfn.MINIFS('TP-b'!$B$2:$B$60,'TP-b'!$A$2:$A$60,"3F4D+MD",'TP-b'!$E$2:$E$60,1)&gt;0,_xlfn.MINIFS('TP-b'!$B$2:$B$60,'TP-b'!$A$2:$A$60,"3F4D+MD",'TP-b'!$E$2:$E$60,1),"")))</f>
        <v/>
      </c>
      <c r="AC170" s="10">
        <f>IF(AB170="","",AVERAGEIFS('TP-b'!$C$2:$C$60,'TP-b'!$A$2:$A$60,"3F4D+MD",'TP-b'!$B$2:$B$60,AB170,'TP-b'!$E$2:$E$60,1))</f>
        <v/>
      </c>
      <c r="AD170" s="10">
        <f>IF(AB170="","",AVERAGEIFS('TP-b'!$D$2:$D$60,'TP-b'!$A$2:$A$60,"3F4D+MD",'TP-b'!$B$2:$B$60,AB170,'TP-b'!$E$2:$E$60,1))</f>
        <v/>
      </c>
      <c r="AE170" s="10">
        <f>IF(OR($A170="",NOT(ISNUMBER($J170)),AC170=""),"",ROUND($J170-AC170+AD170,1))</f>
        <v/>
      </c>
      <c r="AF170" s="10">
        <f>IF(AND($K170="Yes",ISNUMBER($L170),AC170&lt;&gt;""),ROUND($L170-AC170+AD170,1),"")</f>
        <v/>
      </c>
      <c r="AG170" s="10">
        <f>IF(AND($K170="Yes",ISNUMBER($M170),AC170&lt;&gt;""),ROUND($M170-AC170+AD170,1),"")</f>
        <v/>
      </c>
      <c r="AH170" s="10">
        <f>IF(AND(ISNUMBER($J170),ISNUMBER(AF170),ISNUMBER(AG170)),ROUND((AG170-MAX(AF170,0))*10,1),"")</f>
        <v/>
      </c>
      <c r="AI170" s="10">
        <f>IF(AE170="","",IF(AND($K170="Yes",ISNUMBER(AG170)),AG170,AE170))</f>
        <v/>
      </c>
      <c r="AJ170" s="10">
        <f>IF(AE170="","",ROUND(SUMIFS($AH$3:$AH$252,$A$3:$A$252,"&lt;="&amp;$A170),1))</f>
        <v/>
      </c>
      <c r="AK170" s="10">
        <f>IF(OR(AE170="",$A170=""),"",IF(ISNUMBER(IFERROR(INDEX($AI$3:$AI$252,MATCH($A170-1,$A$3:$A$252,0)),"")),ROUND((INDEX($AI$3:$AI$252,MATCH($A170-1,$A$3:$A$252,0))-AE170)*10,1),""))</f>
        <v/>
      </c>
      <c r="AL170" s="10">
        <f>IF(ISNUMBER(AE170),1,0)</f>
        <v/>
      </c>
      <c r="AM170" s="17">
        <f>IF($A170="","",IF(COUNTIF($A$3:$A$252,$A170)&gt;1,"same date twice; ","")&amp;IF(AND(ISNUMBER($B170),OR($B170&lt;0,$B170&gt;300)),"rain out of range; ","")&amp;IF(AND(ISNUMBER($C170),OR($C170&lt;0,$C170&gt;45)),"temp out of range; ","")&amp;IF(AND(ISNUMBER($D170),OR($D170&lt;0,$D170&gt;100)),"RH out of range; ",""))</f>
        <v/>
      </c>
      <c r="AN170" s="17">
        <f>IF($A170="","",IF(AND(ISNUMBER(T170),OR(T170&lt;-30,T170&gt;20)),"WL out of range; ","")&amp;IF(AND(ISNUMBER($E170),T170=""),"no TP/b; ","")&amp;IF(AND(ISNUMBER(U170),ISNUMBER(V170)),IF(V170&lt;U170,"After&lt;Before; ",""),"")&amp;IF(AND($F170="Yes",ISNUMBER($E170),W170=""),"irrigation readings missing; ","")&amp;IF(ISNUMBER(Z170),IF(AND(ABS(Z170)&gt;50,NOT(N($B170)&gt;0)),"WL jump &gt;5 cm; ",""),""))</f>
        <v/>
      </c>
      <c r="AO170" s="17">
        <f>IF($A170="","",IF(AND(ISNUMBER(AE170),OR(AE170&lt;-30,AE170&gt;20)),"WL out of range; ","")&amp;IF(AND(ISNUMBER($J170),AE170=""),"no TP/b; ","")&amp;IF(AND(ISNUMBER(AF170),ISNUMBER(AG170)),IF(AG170&lt;AF170,"After&lt;Before; ",""),"")&amp;IF(AND($K170="Yes",ISNUMBER($J170),AH170=""),"irrigation readings missing; ","")&amp;IF(ISNUMBER(AK170),IF(AND(ABS(AK170)&gt;50,NOT(N($B170)&gt;0)),"WL jump &gt;5 cm; ",""),"")&amp;IF(AND(ISNUMBER(PitanE),ISNUMBER(AB170),$A170&gt;PitanE+2,AB170&lt;PitanE),"re-measure TP/b after Pitan; ",""))</f>
        <v/>
      </c>
    </row>
    <row r="171">
      <c r="A171" s="14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0">
        <f>IF(OR($A171="",NOT(ISNUMBER(TransDate))),"",$A171-TransDate)</f>
        <v/>
      </c>
      <c r="Q171" s="16">
        <f>IF($A171="","",IF(_xlfn.MAXIFS('TP-b'!$B$2:$B$60,'TP-b'!$A$2:$A$60,"FP",'TP-b'!$E$2:$E$60,1,'TP-b'!$B$2:$B$60,"&lt;="&amp;$A171)&gt;0,_xlfn.MAXIFS('TP-b'!$B$2:$B$60,'TP-b'!$A$2:$A$60,"FP",'TP-b'!$E$2:$E$60,1,'TP-b'!$B$2:$B$60,"&lt;="&amp;$A171),IF(_xlfn.MINIFS('TP-b'!$B$2:$B$60,'TP-b'!$A$2:$A$60,"FP",'TP-b'!$E$2:$E$60,1)&gt;0,_xlfn.MINIFS('TP-b'!$B$2:$B$60,'TP-b'!$A$2:$A$60,"FP",'TP-b'!$E$2:$E$60,1),"")))</f>
        <v/>
      </c>
      <c r="R171" s="10">
        <f>IF(Q171="","",AVERAGEIFS('TP-b'!$C$2:$C$60,'TP-b'!$A$2:$A$60,"FP",'TP-b'!$B$2:$B$60,Q171,'TP-b'!$E$2:$E$60,1))</f>
        <v/>
      </c>
      <c r="S171" s="10">
        <f>IF(Q171="","",AVERAGEIFS('TP-b'!$D$2:$D$60,'TP-b'!$A$2:$A$60,"FP",'TP-b'!$B$2:$B$60,Q171,'TP-b'!$E$2:$E$60,1))</f>
        <v/>
      </c>
      <c r="T171" s="10">
        <f>IF(OR($A171="",NOT(ISNUMBER($E171)),R171=""),"",ROUND($E171-R171+S171,1))</f>
        <v/>
      </c>
      <c r="U171" s="10">
        <f>IF(AND($F171="Yes",ISNUMBER($G171),R171&lt;&gt;""),ROUND($G171-R171+S171,1),"")</f>
        <v/>
      </c>
      <c r="V171" s="10">
        <f>IF(AND($F171="Yes",ISNUMBER($H171),R171&lt;&gt;""),ROUND($H171-R171+S171,1),"")</f>
        <v/>
      </c>
      <c r="W171" s="10">
        <f>IF(AND(ISNUMBER($E171),ISNUMBER(U171),ISNUMBER(V171)),ROUND((V171-MAX(U171,0))*10,1),"")</f>
        <v/>
      </c>
      <c r="X171" s="10">
        <f>IF(T171="","",IF(AND($F171="Yes",ISNUMBER(V171)),V171,T171))</f>
        <v/>
      </c>
      <c r="Y171" s="10">
        <f>IF(T171="","",ROUND(SUMIFS($W$3:$W$252,$A$3:$A$252,"&lt;="&amp;$A171),1))</f>
        <v/>
      </c>
      <c r="Z171" s="10">
        <f>IF(OR(T171="",$A171=""),"",IF(ISNUMBER(IFERROR(INDEX($X$3:$X$252,MATCH($A171-1,$A$3:$A$252,0)),"")),ROUND((INDEX($X$3:$X$252,MATCH($A171-1,$A$3:$A$252,0))-T171)*10,1),""))</f>
        <v/>
      </c>
      <c r="AA171" s="10">
        <f>IF(ISNUMBER(T171),1,0)</f>
        <v/>
      </c>
      <c r="AB171" s="16">
        <f>IF($A171="","",IF(_xlfn.MAXIFS('TP-b'!$B$2:$B$60,'TP-b'!$A$2:$A$60,"3F4D+MD",'TP-b'!$E$2:$E$60,1,'TP-b'!$B$2:$B$60,"&lt;="&amp;$A171)&gt;0,_xlfn.MAXIFS('TP-b'!$B$2:$B$60,'TP-b'!$A$2:$A$60,"3F4D+MD",'TP-b'!$E$2:$E$60,1,'TP-b'!$B$2:$B$60,"&lt;="&amp;$A171),IF(_xlfn.MINIFS('TP-b'!$B$2:$B$60,'TP-b'!$A$2:$A$60,"3F4D+MD",'TP-b'!$E$2:$E$60,1)&gt;0,_xlfn.MINIFS('TP-b'!$B$2:$B$60,'TP-b'!$A$2:$A$60,"3F4D+MD",'TP-b'!$E$2:$E$60,1),"")))</f>
        <v/>
      </c>
      <c r="AC171" s="10">
        <f>IF(AB171="","",AVERAGEIFS('TP-b'!$C$2:$C$60,'TP-b'!$A$2:$A$60,"3F4D+MD",'TP-b'!$B$2:$B$60,AB171,'TP-b'!$E$2:$E$60,1))</f>
        <v/>
      </c>
      <c r="AD171" s="10">
        <f>IF(AB171="","",AVERAGEIFS('TP-b'!$D$2:$D$60,'TP-b'!$A$2:$A$60,"3F4D+MD",'TP-b'!$B$2:$B$60,AB171,'TP-b'!$E$2:$E$60,1))</f>
        <v/>
      </c>
      <c r="AE171" s="10">
        <f>IF(OR($A171="",NOT(ISNUMBER($J171)),AC171=""),"",ROUND($J171-AC171+AD171,1))</f>
        <v/>
      </c>
      <c r="AF171" s="10">
        <f>IF(AND($K171="Yes",ISNUMBER($L171),AC171&lt;&gt;""),ROUND($L171-AC171+AD171,1),"")</f>
        <v/>
      </c>
      <c r="AG171" s="10">
        <f>IF(AND($K171="Yes",ISNUMBER($M171),AC171&lt;&gt;""),ROUND($M171-AC171+AD171,1),"")</f>
        <v/>
      </c>
      <c r="AH171" s="10">
        <f>IF(AND(ISNUMBER($J171),ISNUMBER(AF171),ISNUMBER(AG171)),ROUND((AG171-MAX(AF171,0))*10,1),"")</f>
        <v/>
      </c>
      <c r="AI171" s="10">
        <f>IF(AE171="","",IF(AND($K171="Yes",ISNUMBER(AG171)),AG171,AE171))</f>
        <v/>
      </c>
      <c r="AJ171" s="10">
        <f>IF(AE171="","",ROUND(SUMIFS($AH$3:$AH$252,$A$3:$A$252,"&lt;="&amp;$A171),1))</f>
        <v/>
      </c>
      <c r="AK171" s="10">
        <f>IF(OR(AE171="",$A171=""),"",IF(ISNUMBER(IFERROR(INDEX($AI$3:$AI$252,MATCH($A171-1,$A$3:$A$252,0)),"")),ROUND((INDEX($AI$3:$AI$252,MATCH($A171-1,$A$3:$A$252,0))-AE171)*10,1),""))</f>
        <v/>
      </c>
      <c r="AL171" s="10">
        <f>IF(ISNUMBER(AE171),1,0)</f>
        <v/>
      </c>
      <c r="AM171" s="17">
        <f>IF($A171="","",IF(COUNTIF($A$3:$A$252,$A171)&gt;1,"same date twice; ","")&amp;IF(AND(ISNUMBER($B171),OR($B171&lt;0,$B171&gt;300)),"rain out of range; ","")&amp;IF(AND(ISNUMBER($C171),OR($C171&lt;0,$C171&gt;45)),"temp out of range; ","")&amp;IF(AND(ISNUMBER($D171),OR($D171&lt;0,$D171&gt;100)),"RH out of range; ",""))</f>
        <v/>
      </c>
      <c r="AN171" s="17">
        <f>IF($A171="","",IF(AND(ISNUMBER(T171),OR(T171&lt;-30,T171&gt;20)),"WL out of range; ","")&amp;IF(AND(ISNUMBER($E171),T171=""),"no TP/b; ","")&amp;IF(AND(ISNUMBER(U171),ISNUMBER(V171)),IF(V171&lt;U171,"After&lt;Before; ",""),"")&amp;IF(AND($F171="Yes",ISNUMBER($E171),W171=""),"irrigation readings missing; ","")&amp;IF(ISNUMBER(Z171),IF(AND(ABS(Z171)&gt;50,NOT(N($B171)&gt;0)),"WL jump &gt;5 cm; ",""),""))</f>
        <v/>
      </c>
      <c r="AO171" s="17">
        <f>IF($A171="","",IF(AND(ISNUMBER(AE171),OR(AE171&lt;-30,AE171&gt;20)),"WL out of range; ","")&amp;IF(AND(ISNUMBER($J171),AE171=""),"no TP/b; ","")&amp;IF(AND(ISNUMBER(AF171),ISNUMBER(AG171)),IF(AG171&lt;AF171,"After&lt;Before; ",""),"")&amp;IF(AND($K171="Yes",ISNUMBER($J171),AH171=""),"irrigation readings missing; ","")&amp;IF(ISNUMBER(AK171),IF(AND(ABS(AK171)&gt;50,NOT(N($B171)&gt;0)),"WL jump &gt;5 cm; ",""),"")&amp;IF(AND(ISNUMBER(PitanE),ISNUMBER(AB171),$A171&gt;PitanE+2,AB171&lt;PitanE),"re-measure TP/b after Pitan; ",""))</f>
        <v/>
      </c>
    </row>
    <row r="172">
      <c r="A172" s="14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0">
        <f>IF(OR($A172="",NOT(ISNUMBER(TransDate))),"",$A172-TransDate)</f>
        <v/>
      </c>
      <c r="Q172" s="16">
        <f>IF($A172="","",IF(_xlfn.MAXIFS('TP-b'!$B$2:$B$60,'TP-b'!$A$2:$A$60,"FP",'TP-b'!$E$2:$E$60,1,'TP-b'!$B$2:$B$60,"&lt;="&amp;$A172)&gt;0,_xlfn.MAXIFS('TP-b'!$B$2:$B$60,'TP-b'!$A$2:$A$60,"FP",'TP-b'!$E$2:$E$60,1,'TP-b'!$B$2:$B$60,"&lt;="&amp;$A172),IF(_xlfn.MINIFS('TP-b'!$B$2:$B$60,'TP-b'!$A$2:$A$60,"FP",'TP-b'!$E$2:$E$60,1)&gt;0,_xlfn.MINIFS('TP-b'!$B$2:$B$60,'TP-b'!$A$2:$A$60,"FP",'TP-b'!$E$2:$E$60,1),"")))</f>
        <v/>
      </c>
      <c r="R172" s="10">
        <f>IF(Q172="","",AVERAGEIFS('TP-b'!$C$2:$C$60,'TP-b'!$A$2:$A$60,"FP",'TP-b'!$B$2:$B$60,Q172,'TP-b'!$E$2:$E$60,1))</f>
        <v/>
      </c>
      <c r="S172" s="10">
        <f>IF(Q172="","",AVERAGEIFS('TP-b'!$D$2:$D$60,'TP-b'!$A$2:$A$60,"FP",'TP-b'!$B$2:$B$60,Q172,'TP-b'!$E$2:$E$60,1))</f>
        <v/>
      </c>
      <c r="T172" s="10">
        <f>IF(OR($A172="",NOT(ISNUMBER($E172)),R172=""),"",ROUND($E172-R172+S172,1))</f>
        <v/>
      </c>
      <c r="U172" s="10">
        <f>IF(AND($F172="Yes",ISNUMBER($G172),R172&lt;&gt;""),ROUND($G172-R172+S172,1),"")</f>
        <v/>
      </c>
      <c r="V172" s="10">
        <f>IF(AND($F172="Yes",ISNUMBER($H172),R172&lt;&gt;""),ROUND($H172-R172+S172,1),"")</f>
        <v/>
      </c>
      <c r="W172" s="10">
        <f>IF(AND(ISNUMBER($E172),ISNUMBER(U172),ISNUMBER(V172)),ROUND((V172-MAX(U172,0))*10,1),"")</f>
        <v/>
      </c>
      <c r="X172" s="10">
        <f>IF(T172="","",IF(AND($F172="Yes",ISNUMBER(V172)),V172,T172))</f>
        <v/>
      </c>
      <c r="Y172" s="10">
        <f>IF(T172="","",ROUND(SUMIFS($W$3:$W$252,$A$3:$A$252,"&lt;="&amp;$A172),1))</f>
        <v/>
      </c>
      <c r="Z172" s="10">
        <f>IF(OR(T172="",$A172=""),"",IF(ISNUMBER(IFERROR(INDEX($X$3:$X$252,MATCH($A172-1,$A$3:$A$252,0)),"")),ROUND((INDEX($X$3:$X$252,MATCH($A172-1,$A$3:$A$252,0))-T172)*10,1),""))</f>
        <v/>
      </c>
      <c r="AA172" s="10">
        <f>IF(ISNUMBER(T172),1,0)</f>
        <v/>
      </c>
      <c r="AB172" s="16">
        <f>IF($A172="","",IF(_xlfn.MAXIFS('TP-b'!$B$2:$B$60,'TP-b'!$A$2:$A$60,"3F4D+MD",'TP-b'!$E$2:$E$60,1,'TP-b'!$B$2:$B$60,"&lt;="&amp;$A172)&gt;0,_xlfn.MAXIFS('TP-b'!$B$2:$B$60,'TP-b'!$A$2:$A$60,"3F4D+MD",'TP-b'!$E$2:$E$60,1,'TP-b'!$B$2:$B$60,"&lt;="&amp;$A172),IF(_xlfn.MINIFS('TP-b'!$B$2:$B$60,'TP-b'!$A$2:$A$60,"3F4D+MD",'TP-b'!$E$2:$E$60,1)&gt;0,_xlfn.MINIFS('TP-b'!$B$2:$B$60,'TP-b'!$A$2:$A$60,"3F4D+MD",'TP-b'!$E$2:$E$60,1),"")))</f>
        <v/>
      </c>
      <c r="AC172" s="10">
        <f>IF(AB172="","",AVERAGEIFS('TP-b'!$C$2:$C$60,'TP-b'!$A$2:$A$60,"3F4D+MD",'TP-b'!$B$2:$B$60,AB172,'TP-b'!$E$2:$E$60,1))</f>
        <v/>
      </c>
      <c r="AD172" s="10">
        <f>IF(AB172="","",AVERAGEIFS('TP-b'!$D$2:$D$60,'TP-b'!$A$2:$A$60,"3F4D+MD",'TP-b'!$B$2:$B$60,AB172,'TP-b'!$E$2:$E$60,1))</f>
        <v/>
      </c>
      <c r="AE172" s="10">
        <f>IF(OR($A172="",NOT(ISNUMBER($J172)),AC172=""),"",ROUND($J172-AC172+AD172,1))</f>
        <v/>
      </c>
      <c r="AF172" s="10">
        <f>IF(AND($K172="Yes",ISNUMBER($L172),AC172&lt;&gt;""),ROUND($L172-AC172+AD172,1),"")</f>
        <v/>
      </c>
      <c r="AG172" s="10">
        <f>IF(AND($K172="Yes",ISNUMBER($M172),AC172&lt;&gt;""),ROUND($M172-AC172+AD172,1),"")</f>
        <v/>
      </c>
      <c r="AH172" s="10">
        <f>IF(AND(ISNUMBER($J172),ISNUMBER(AF172),ISNUMBER(AG172)),ROUND((AG172-MAX(AF172,0))*10,1),"")</f>
        <v/>
      </c>
      <c r="AI172" s="10">
        <f>IF(AE172="","",IF(AND($K172="Yes",ISNUMBER(AG172)),AG172,AE172))</f>
        <v/>
      </c>
      <c r="AJ172" s="10">
        <f>IF(AE172="","",ROUND(SUMIFS($AH$3:$AH$252,$A$3:$A$252,"&lt;="&amp;$A172),1))</f>
        <v/>
      </c>
      <c r="AK172" s="10">
        <f>IF(OR(AE172="",$A172=""),"",IF(ISNUMBER(IFERROR(INDEX($AI$3:$AI$252,MATCH($A172-1,$A$3:$A$252,0)),"")),ROUND((INDEX($AI$3:$AI$252,MATCH($A172-1,$A$3:$A$252,0))-AE172)*10,1),""))</f>
        <v/>
      </c>
      <c r="AL172" s="10">
        <f>IF(ISNUMBER(AE172),1,0)</f>
        <v/>
      </c>
      <c r="AM172" s="17">
        <f>IF($A172="","",IF(COUNTIF($A$3:$A$252,$A172)&gt;1,"same date twice; ","")&amp;IF(AND(ISNUMBER($B172),OR($B172&lt;0,$B172&gt;300)),"rain out of range; ","")&amp;IF(AND(ISNUMBER($C172),OR($C172&lt;0,$C172&gt;45)),"temp out of range; ","")&amp;IF(AND(ISNUMBER($D172),OR($D172&lt;0,$D172&gt;100)),"RH out of range; ",""))</f>
        <v/>
      </c>
      <c r="AN172" s="17">
        <f>IF($A172="","",IF(AND(ISNUMBER(T172),OR(T172&lt;-30,T172&gt;20)),"WL out of range; ","")&amp;IF(AND(ISNUMBER($E172),T172=""),"no TP/b; ","")&amp;IF(AND(ISNUMBER(U172),ISNUMBER(V172)),IF(V172&lt;U172,"After&lt;Before; ",""),"")&amp;IF(AND($F172="Yes",ISNUMBER($E172),W172=""),"irrigation readings missing; ","")&amp;IF(ISNUMBER(Z172),IF(AND(ABS(Z172)&gt;50,NOT(N($B172)&gt;0)),"WL jump &gt;5 cm; ",""),""))</f>
        <v/>
      </c>
      <c r="AO172" s="17">
        <f>IF($A172="","",IF(AND(ISNUMBER(AE172),OR(AE172&lt;-30,AE172&gt;20)),"WL out of range; ","")&amp;IF(AND(ISNUMBER($J172),AE172=""),"no TP/b; ","")&amp;IF(AND(ISNUMBER(AF172),ISNUMBER(AG172)),IF(AG172&lt;AF172,"After&lt;Before; ",""),"")&amp;IF(AND($K172="Yes",ISNUMBER($J172),AH172=""),"irrigation readings missing; ","")&amp;IF(ISNUMBER(AK172),IF(AND(ABS(AK172)&gt;50,NOT(N($B172)&gt;0)),"WL jump &gt;5 cm; ",""),"")&amp;IF(AND(ISNUMBER(PitanE),ISNUMBER(AB172),$A172&gt;PitanE+2,AB172&lt;PitanE),"re-measure TP/b after Pitan; ",""))</f>
        <v/>
      </c>
    </row>
    <row r="173">
      <c r="A173" s="14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0">
        <f>IF(OR($A173="",NOT(ISNUMBER(TransDate))),"",$A173-TransDate)</f>
        <v/>
      </c>
      <c r="Q173" s="16">
        <f>IF($A173="","",IF(_xlfn.MAXIFS('TP-b'!$B$2:$B$60,'TP-b'!$A$2:$A$60,"FP",'TP-b'!$E$2:$E$60,1,'TP-b'!$B$2:$B$60,"&lt;="&amp;$A173)&gt;0,_xlfn.MAXIFS('TP-b'!$B$2:$B$60,'TP-b'!$A$2:$A$60,"FP",'TP-b'!$E$2:$E$60,1,'TP-b'!$B$2:$B$60,"&lt;="&amp;$A173),IF(_xlfn.MINIFS('TP-b'!$B$2:$B$60,'TP-b'!$A$2:$A$60,"FP",'TP-b'!$E$2:$E$60,1)&gt;0,_xlfn.MINIFS('TP-b'!$B$2:$B$60,'TP-b'!$A$2:$A$60,"FP",'TP-b'!$E$2:$E$60,1),"")))</f>
        <v/>
      </c>
      <c r="R173" s="10">
        <f>IF(Q173="","",AVERAGEIFS('TP-b'!$C$2:$C$60,'TP-b'!$A$2:$A$60,"FP",'TP-b'!$B$2:$B$60,Q173,'TP-b'!$E$2:$E$60,1))</f>
        <v/>
      </c>
      <c r="S173" s="10">
        <f>IF(Q173="","",AVERAGEIFS('TP-b'!$D$2:$D$60,'TP-b'!$A$2:$A$60,"FP",'TP-b'!$B$2:$B$60,Q173,'TP-b'!$E$2:$E$60,1))</f>
        <v/>
      </c>
      <c r="T173" s="10">
        <f>IF(OR($A173="",NOT(ISNUMBER($E173)),R173=""),"",ROUND($E173-R173+S173,1))</f>
        <v/>
      </c>
      <c r="U173" s="10">
        <f>IF(AND($F173="Yes",ISNUMBER($G173),R173&lt;&gt;""),ROUND($G173-R173+S173,1),"")</f>
        <v/>
      </c>
      <c r="V173" s="10">
        <f>IF(AND($F173="Yes",ISNUMBER($H173),R173&lt;&gt;""),ROUND($H173-R173+S173,1),"")</f>
        <v/>
      </c>
      <c r="W173" s="10">
        <f>IF(AND(ISNUMBER($E173),ISNUMBER(U173),ISNUMBER(V173)),ROUND((V173-MAX(U173,0))*10,1),"")</f>
        <v/>
      </c>
      <c r="X173" s="10">
        <f>IF(T173="","",IF(AND($F173="Yes",ISNUMBER(V173)),V173,T173))</f>
        <v/>
      </c>
      <c r="Y173" s="10">
        <f>IF(T173="","",ROUND(SUMIFS($W$3:$W$252,$A$3:$A$252,"&lt;="&amp;$A173),1))</f>
        <v/>
      </c>
      <c r="Z173" s="10">
        <f>IF(OR(T173="",$A173=""),"",IF(ISNUMBER(IFERROR(INDEX($X$3:$X$252,MATCH($A173-1,$A$3:$A$252,0)),"")),ROUND((INDEX($X$3:$X$252,MATCH($A173-1,$A$3:$A$252,0))-T173)*10,1),""))</f>
        <v/>
      </c>
      <c r="AA173" s="10">
        <f>IF(ISNUMBER(T173),1,0)</f>
        <v/>
      </c>
      <c r="AB173" s="16">
        <f>IF($A173="","",IF(_xlfn.MAXIFS('TP-b'!$B$2:$B$60,'TP-b'!$A$2:$A$60,"3F4D+MD",'TP-b'!$E$2:$E$60,1,'TP-b'!$B$2:$B$60,"&lt;="&amp;$A173)&gt;0,_xlfn.MAXIFS('TP-b'!$B$2:$B$60,'TP-b'!$A$2:$A$60,"3F4D+MD",'TP-b'!$E$2:$E$60,1,'TP-b'!$B$2:$B$60,"&lt;="&amp;$A173),IF(_xlfn.MINIFS('TP-b'!$B$2:$B$60,'TP-b'!$A$2:$A$60,"3F4D+MD",'TP-b'!$E$2:$E$60,1)&gt;0,_xlfn.MINIFS('TP-b'!$B$2:$B$60,'TP-b'!$A$2:$A$60,"3F4D+MD",'TP-b'!$E$2:$E$60,1),"")))</f>
        <v/>
      </c>
      <c r="AC173" s="10">
        <f>IF(AB173="","",AVERAGEIFS('TP-b'!$C$2:$C$60,'TP-b'!$A$2:$A$60,"3F4D+MD",'TP-b'!$B$2:$B$60,AB173,'TP-b'!$E$2:$E$60,1))</f>
        <v/>
      </c>
      <c r="AD173" s="10">
        <f>IF(AB173="","",AVERAGEIFS('TP-b'!$D$2:$D$60,'TP-b'!$A$2:$A$60,"3F4D+MD",'TP-b'!$B$2:$B$60,AB173,'TP-b'!$E$2:$E$60,1))</f>
        <v/>
      </c>
      <c r="AE173" s="10">
        <f>IF(OR($A173="",NOT(ISNUMBER($J173)),AC173=""),"",ROUND($J173-AC173+AD173,1))</f>
        <v/>
      </c>
      <c r="AF173" s="10">
        <f>IF(AND($K173="Yes",ISNUMBER($L173),AC173&lt;&gt;""),ROUND($L173-AC173+AD173,1),"")</f>
        <v/>
      </c>
      <c r="AG173" s="10">
        <f>IF(AND($K173="Yes",ISNUMBER($M173),AC173&lt;&gt;""),ROUND($M173-AC173+AD173,1),"")</f>
        <v/>
      </c>
      <c r="AH173" s="10">
        <f>IF(AND(ISNUMBER($J173),ISNUMBER(AF173),ISNUMBER(AG173)),ROUND((AG173-MAX(AF173,0))*10,1),"")</f>
        <v/>
      </c>
      <c r="AI173" s="10">
        <f>IF(AE173="","",IF(AND($K173="Yes",ISNUMBER(AG173)),AG173,AE173))</f>
        <v/>
      </c>
      <c r="AJ173" s="10">
        <f>IF(AE173="","",ROUND(SUMIFS($AH$3:$AH$252,$A$3:$A$252,"&lt;="&amp;$A173),1))</f>
        <v/>
      </c>
      <c r="AK173" s="10">
        <f>IF(OR(AE173="",$A173=""),"",IF(ISNUMBER(IFERROR(INDEX($AI$3:$AI$252,MATCH($A173-1,$A$3:$A$252,0)),"")),ROUND((INDEX($AI$3:$AI$252,MATCH($A173-1,$A$3:$A$252,0))-AE173)*10,1),""))</f>
        <v/>
      </c>
      <c r="AL173" s="10">
        <f>IF(ISNUMBER(AE173),1,0)</f>
        <v/>
      </c>
      <c r="AM173" s="17">
        <f>IF($A173="","",IF(COUNTIF($A$3:$A$252,$A173)&gt;1,"same date twice; ","")&amp;IF(AND(ISNUMBER($B173),OR($B173&lt;0,$B173&gt;300)),"rain out of range; ","")&amp;IF(AND(ISNUMBER($C173),OR($C173&lt;0,$C173&gt;45)),"temp out of range; ","")&amp;IF(AND(ISNUMBER($D173),OR($D173&lt;0,$D173&gt;100)),"RH out of range; ",""))</f>
        <v/>
      </c>
      <c r="AN173" s="17">
        <f>IF($A173="","",IF(AND(ISNUMBER(T173),OR(T173&lt;-30,T173&gt;20)),"WL out of range; ","")&amp;IF(AND(ISNUMBER($E173),T173=""),"no TP/b; ","")&amp;IF(AND(ISNUMBER(U173),ISNUMBER(V173)),IF(V173&lt;U173,"After&lt;Before; ",""),"")&amp;IF(AND($F173="Yes",ISNUMBER($E173),W173=""),"irrigation readings missing; ","")&amp;IF(ISNUMBER(Z173),IF(AND(ABS(Z173)&gt;50,NOT(N($B173)&gt;0)),"WL jump &gt;5 cm; ",""),""))</f>
        <v/>
      </c>
      <c r="AO173" s="17">
        <f>IF($A173="","",IF(AND(ISNUMBER(AE173),OR(AE173&lt;-30,AE173&gt;20)),"WL out of range; ","")&amp;IF(AND(ISNUMBER($J173),AE173=""),"no TP/b; ","")&amp;IF(AND(ISNUMBER(AF173),ISNUMBER(AG173)),IF(AG173&lt;AF173,"After&lt;Before; ",""),"")&amp;IF(AND($K173="Yes",ISNUMBER($J173),AH173=""),"irrigation readings missing; ","")&amp;IF(ISNUMBER(AK173),IF(AND(ABS(AK173)&gt;50,NOT(N($B173)&gt;0)),"WL jump &gt;5 cm; ",""),"")&amp;IF(AND(ISNUMBER(PitanE),ISNUMBER(AB173),$A173&gt;PitanE+2,AB173&lt;PitanE),"re-measure TP/b after Pitan; ",""))</f>
        <v/>
      </c>
    </row>
    <row r="174">
      <c r="A174" s="14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0">
        <f>IF(OR($A174="",NOT(ISNUMBER(TransDate))),"",$A174-TransDate)</f>
        <v/>
      </c>
      <c r="Q174" s="16">
        <f>IF($A174="","",IF(_xlfn.MAXIFS('TP-b'!$B$2:$B$60,'TP-b'!$A$2:$A$60,"FP",'TP-b'!$E$2:$E$60,1,'TP-b'!$B$2:$B$60,"&lt;="&amp;$A174)&gt;0,_xlfn.MAXIFS('TP-b'!$B$2:$B$60,'TP-b'!$A$2:$A$60,"FP",'TP-b'!$E$2:$E$60,1,'TP-b'!$B$2:$B$60,"&lt;="&amp;$A174),IF(_xlfn.MINIFS('TP-b'!$B$2:$B$60,'TP-b'!$A$2:$A$60,"FP",'TP-b'!$E$2:$E$60,1)&gt;0,_xlfn.MINIFS('TP-b'!$B$2:$B$60,'TP-b'!$A$2:$A$60,"FP",'TP-b'!$E$2:$E$60,1),"")))</f>
        <v/>
      </c>
      <c r="R174" s="10">
        <f>IF(Q174="","",AVERAGEIFS('TP-b'!$C$2:$C$60,'TP-b'!$A$2:$A$60,"FP",'TP-b'!$B$2:$B$60,Q174,'TP-b'!$E$2:$E$60,1))</f>
        <v/>
      </c>
      <c r="S174" s="10">
        <f>IF(Q174="","",AVERAGEIFS('TP-b'!$D$2:$D$60,'TP-b'!$A$2:$A$60,"FP",'TP-b'!$B$2:$B$60,Q174,'TP-b'!$E$2:$E$60,1))</f>
        <v/>
      </c>
      <c r="T174" s="10">
        <f>IF(OR($A174="",NOT(ISNUMBER($E174)),R174=""),"",ROUND($E174-R174+S174,1))</f>
        <v/>
      </c>
      <c r="U174" s="10">
        <f>IF(AND($F174="Yes",ISNUMBER($G174),R174&lt;&gt;""),ROUND($G174-R174+S174,1),"")</f>
        <v/>
      </c>
      <c r="V174" s="10">
        <f>IF(AND($F174="Yes",ISNUMBER($H174),R174&lt;&gt;""),ROUND($H174-R174+S174,1),"")</f>
        <v/>
      </c>
      <c r="W174" s="10">
        <f>IF(AND(ISNUMBER($E174),ISNUMBER(U174),ISNUMBER(V174)),ROUND((V174-MAX(U174,0))*10,1),"")</f>
        <v/>
      </c>
      <c r="X174" s="10">
        <f>IF(T174="","",IF(AND($F174="Yes",ISNUMBER(V174)),V174,T174))</f>
        <v/>
      </c>
      <c r="Y174" s="10">
        <f>IF(T174="","",ROUND(SUMIFS($W$3:$W$252,$A$3:$A$252,"&lt;="&amp;$A174),1))</f>
        <v/>
      </c>
      <c r="Z174" s="10">
        <f>IF(OR(T174="",$A174=""),"",IF(ISNUMBER(IFERROR(INDEX($X$3:$X$252,MATCH($A174-1,$A$3:$A$252,0)),"")),ROUND((INDEX($X$3:$X$252,MATCH($A174-1,$A$3:$A$252,0))-T174)*10,1),""))</f>
        <v/>
      </c>
      <c r="AA174" s="10">
        <f>IF(ISNUMBER(T174),1,0)</f>
        <v/>
      </c>
      <c r="AB174" s="16">
        <f>IF($A174="","",IF(_xlfn.MAXIFS('TP-b'!$B$2:$B$60,'TP-b'!$A$2:$A$60,"3F4D+MD",'TP-b'!$E$2:$E$60,1,'TP-b'!$B$2:$B$60,"&lt;="&amp;$A174)&gt;0,_xlfn.MAXIFS('TP-b'!$B$2:$B$60,'TP-b'!$A$2:$A$60,"3F4D+MD",'TP-b'!$E$2:$E$60,1,'TP-b'!$B$2:$B$60,"&lt;="&amp;$A174),IF(_xlfn.MINIFS('TP-b'!$B$2:$B$60,'TP-b'!$A$2:$A$60,"3F4D+MD",'TP-b'!$E$2:$E$60,1)&gt;0,_xlfn.MINIFS('TP-b'!$B$2:$B$60,'TP-b'!$A$2:$A$60,"3F4D+MD",'TP-b'!$E$2:$E$60,1),"")))</f>
        <v/>
      </c>
      <c r="AC174" s="10">
        <f>IF(AB174="","",AVERAGEIFS('TP-b'!$C$2:$C$60,'TP-b'!$A$2:$A$60,"3F4D+MD",'TP-b'!$B$2:$B$60,AB174,'TP-b'!$E$2:$E$60,1))</f>
        <v/>
      </c>
      <c r="AD174" s="10">
        <f>IF(AB174="","",AVERAGEIFS('TP-b'!$D$2:$D$60,'TP-b'!$A$2:$A$60,"3F4D+MD",'TP-b'!$B$2:$B$60,AB174,'TP-b'!$E$2:$E$60,1))</f>
        <v/>
      </c>
      <c r="AE174" s="10">
        <f>IF(OR($A174="",NOT(ISNUMBER($J174)),AC174=""),"",ROUND($J174-AC174+AD174,1))</f>
        <v/>
      </c>
      <c r="AF174" s="10">
        <f>IF(AND($K174="Yes",ISNUMBER($L174),AC174&lt;&gt;""),ROUND($L174-AC174+AD174,1),"")</f>
        <v/>
      </c>
      <c r="AG174" s="10">
        <f>IF(AND($K174="Yes",ISNUMBER($M174),AC174&lt;&gt;""),ROUND($M174-AC174+AD174,1),"")</f>
        <v/>
      </c>
      <c r="AH174" s="10">
        <f>IF(AND(ISNUMBER($J174),ISNUMBER(AF174),ISNUMBER(AG174)),ROUND((AG174-MAX(AF174,0))*10,1),"")</f>
        <v/>
      </c>
      <c r="AI174" s="10">
        <f>IF(AE174="","",IF(AND($K174="Yes",ISNUMBER(AG174)),AG174,AE174))</f>
        <v/>
      </c>
      <c r="AJ174" s="10">
        <f>IF(AE174="","",ROUND(SUMIFS($AH$3:$AH$252,$A$3:$A$252,"&lt;="&amp;$A174),1))</f>
        <v/>
      </c>
      <c r="AK174" s="10">
        <f>IF(OR(AE174="",$A174=""),"",IF(ISNUMBER(IFERROR(INDEX($AI$3:$AI$252,MATCH($A174-1,$A$3:$A$252,0)),"")),ROUND((INDEX($AI$3:$AI$252,MATCH($A174-1,$A$3:$A$252,0))-AE174)*10,1),""))</f>
        <v/>
      </c>
      <c r="AL174" s="10">
        <f>IF(ISNUMBER(AE174),1,0)</f>
        <v/>
      </c>
      <c r="AM174" s="17">
        <f>IF($A174="","",IF(COUNTIF($A$3:$A$252,$A174)&gt;1,"same date twice; ","")&amp;IF(AND(ISNUMBER($B174),OR($B174&lt;0,$B174&gt;300)),"rain out of range; ","")&amp;IF(AND(ISNUMBER($C174),OR($C174&lt;0,$C174&gt;45)),"temp out of range; ","")&amp;IF(AND(ISNUMBER($D174),OR($D174&lt;0,$D174&gt;100)),"RH out of range; ",""))</f>
        <v/>
      </c>
      <c r="AN174" s="17">
        <f>IF($A174="","",IF(AND(ISNUMBER(T174),OR(T174&lt;-30,T174&gt;20)),"WL out of range; ","")&amp;IF(AND(ISNUMBER($E174),T174=""),"no TP/b; ","")&amp;IF(AND(ISNUMBER(U174),ISNUMBER(V174)),IF(V174&lt;U174,"After&lt;Before; ",""),"")&amp;IF(AND($F174="Yes",ISNUMBER($E174),W174=""),"irrigation readings missing; ","")&amp;IF(ISNUMBER(Z174),IF(AND(ABS(Z174)&gt;50,NOT(N($B174)&gt;0)),"WL jump &gt;5 cm; ",""),""))</f>
        <v/>
      </c>
      <c r="AO174" s="17">
        <f>IF($A174="","",IF(AND(ISNUMBER(AE174),OR(AE174&lt;-30,AE174&gt;20)),"WL out of range; ","")&amp;IF(AND(ISNUMBER($J174),AE174=""),"no TP/b; ","")&amp;IF(AND(ISNUMBER(AF174),ISNUMBER(AG174)),IF(AG174&lt;AF174,"After&lt;Before; ",""),"")&amp;IF(AND($K174="Yes",ISNUMBER($J174),AH174=""),"irrigation readings missing; ","")&amp;IF(ISNUMBER(AK174),IF(AND(ABS(AK174)&gt;50,NOT(N($B174)&gt;0)),"WL jump &gt;5 cm; ",""),"")&amp;IF(AND(ISNUMBER(PitanE),ISNUMBER(AB174),$A174&gt;PitanE+2,AB174&lt;PitanE),"re-measure TP/b after Pitan; ",""))</f>
        <v/>
      </c>
    </row>
    <row r="175">
      <c r="A175" s="14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0">
        <f>IF(OR($A175="",NOT(ISNUMBER(TransDate))),"",$A175-TransDate)</f>
        <v/>
      </c>
      <c r="Q175" s="16">
        <f>IF($A175="","",IF(_xlfn.MAXIFS('TP-b'!$B$2:$B$60,'TP-b'!$A$2:$A$60,"FP",'TP-b'!$E$2:$E$60,1,'TP-b'!$B$2:$B$60,"&lt;="&amp;$A175)&gt;0,_xlfn.MAXIFS('TP-b'!$B$2:$B$60,'TP-b'!$A$2:$A$60,"FP",'TP-b'!$E$2:$E$60,1,'TP-b'!$B$2:$B$60,"&lt;="&amp;$A175),IF(_xlfn.MINIFS('TP-b'!$B$2:$B$60,'TP-b'!$A$2:$A$60,"FP",'TP-b'!$E$2:$E$60,1)&gt;0,_xlfn.MINIFS('TP-b'!$B$2:$B$60,'TP-b'!$A$2:$A$60,"FP",'TP-b'!$E$2:$E$60,1),"")))</f>
        <v/>
      </c>
      <c r="R175" s="10">
        <f>IF(Q175="","",AVERAGEIFS('TP-b'!$C$2:$C$60,'TP-b'!$A$2:$A$60,"FP",'TP-b'!$B$2:$B$60,Q175,'TP-b'!$E$2:$E$60,1))</f>
        <v/>
      </c>
      <c r="S175" s="10">
        <f>IF(Q175="","",AVERAGEIFS('TP-b'!$D$2:$D$60,'TP-b'!$A$2:$A$60,"FP",'TP-b'!$B$2:$B$60,Q175,'TP-b'!$E$2:$E$60,1))</f>
        <v/>
      </c>
      <c r="T175" s="10">
        <f>IF(OR($A175="",NOT(ISNUMBER($E175)),R175=""),"",ROUND($E175-R175+S175,1))</f>
        <v/>
      </c>
      <c r="U175" s="10">
        <f>IF(AND($F175="Yes",ISNUMBER($G175),R175&lt;&gt;""),ROUND($G175-R175+S175,1),"")</f>
        <v/>
      </c>
      <c r="V175" s="10">
        <f>IF(AND($F175="Yes",ISNUMBER($H175),R175&lt;&gt;""),ROUND($H175-R175+S175,1),"")</f>
        <v/>
      </c>
      <c r="W175" s="10">
        <f>IF(AND(ISNUMBER($E175),ISNUMBER(U175),ISNUMBER(V175)),ROUND((V175-MAX(U175,0))*10,1),"")</f>
        <v/>
      </c>
      <c r="X175" s="10">
        <f>IF(T175="","",IF(AND($F175="Yes",ISNUMBER(V175)),V175,T175))</f>
        <v/>
      </c>
      <c r="Y175" s="10">
        <f>IF(T175="","",ROUND(SUMIFS($W$3:$W$252,$A$3:$A$252,"&lt;="&amp;$A175),1))</f>
        <v/>
      </c>
      <c r="Z175" s="10">
        <f>IF(OR(T175="",$A175=""),"",IF(ISNUMBER(IFERROR(INDEX($X$3:$X$252,MATCH($A175-1,$A$3:$A$252,0)),"")),ROUND((INDEX($X$3:$X$252,MATCH($A175-1,$A$3:$A$252,0))-T175)*10,1),""))</f>
        <v/>
      </c>
      <c r="AA175" s="10">
        <f>IF(ISNUMBER(T175),1,0)</f>
        <v/>
      </c>
      <c r="AB175" s="16">
        <f>IF($A175="","",IF(_xlfn.MAXIFS('TP-b'!$B$2:$B$60,'TP-b'!$A$2:$A$60,"3F4D+MD",'TP-b'!$E$2:$E$60,1,'TP-b'!$B$2:$B$60,"&lt;="&amp;$A175)&gt;0,_xlfn.MAXIFS('TP-b'!$B$2:$B$60,'TP-b'!$A$2:$A$60,"3F4D+MD",'TP-b'!$E$2:$E$60,1,'TP-b'!$B$2:$B$60,"&lt;="&amp;$A175),IF(_xlfn.MINIFS('TP-b'!$B$2:$B$60,'TP-b'!$A$2:$A$60,"3F4D+MD",'TP-b'!$E$2:$E$60,1)&gt;0,_xlfn.MINIFS('TP-b'!$B$2:$B$60,'TP-b'!$A$2:$A$60,"3F4D+MD",'TP-b'!$E$2:$E$60,1),"")))</f>
        <v/>
      </c>
      <c r="AC175" s="10">
        <f>IF(AB175="","",AVERAGEIFS('TP-b'!$C$2:$C$60,'TP-b'!$A$2:$A$60,"3F4D+MD",'TP-b'!$B$2:$B$60,AB175,'TP-b'!$E$2:$E$60,1))</f>
        <v/>
      </c>
      <c r="AD175" s="10">
        <f>IF(AB175="","",AVERAGEIFS('TP-b'!$D$2:$D$60,'TP-b'!$A$2:$A$60,"3F4D+MD",'TP-b'!$B$2:$B$60,AB175,'TP-b'!$E$2:$E$60,1))</f>
        <v/>
      </c>
      <c r="AE175" s="10">
        <f>IF(OR($A175="",NOT(ISNUMBER($J175)),AC175=""),"",ROUND($J175-AC175+AD175,1))</f>
        <v/>
      </c>
      <c r="AF175" s="10">
        <f>IF(AND($K175="Yes",ISNUMBER($L175),AC175&lt;&gt;""),ROUND($L175-AC175+AD175,1),"")</f>
        <v/>
      </c>
      <c r="AG175" s="10">
        <f>IF(AND($K175="Yes",ISNUMBER($M175),AC175&lt;&gt;""),ROUND($M175-AC175+AD175,1),"")</f>
        <v/>
      </c>
      <c r="AH175" s="10">
        <f>IF(AND(ISNUMBER($J175),ISNUMBER(AF175),ISNUMBER(AG175)),ROUND((AG175-MAX(AF175,0))*10,1),"")</f>
        <v/>
      </c>
      <c r="AI175" s="10">
        <f>IF(AE175="","",IF(AND($K175="Yes",ISNUMBER(AG175)),AG175,AE175))</f>
        <v/>
      </c>
      <c r="AJ175" s="10">
        <f>IF(AE175="","",ROUND(SUMIFS($AH$3:$AH$252,$A$3:$A$252,"&lt;="&amp;$A175),1))</f>
        <v/>
      </c>
      <c r="AK175" s="10">
        <f>IF(OR(AE175="",$A175=""),"",IF(ISNUMBER(IFERROR(INDEX($AI$3:$AI$252,MATCH($A175-1,$A$3:$A$252,0)),"")),ROUND((INDEX($AI$3:$AI$252,MATCH($A175-1,$A$3:$A$252,0))-AE175)*10,1),""))</f>
        <v/>
      </c>
      <c r="AL175" s="10">
        <f>IF(ISNUMBER(AE175),1,0)</f>
        <v/>
      </c>
      <c r="AM175" s="17">
        <f>IF($A175="","",IF(COUNTIF($A$3:$A$252,$A175)&gt;1,"same date twice; ","")&amp;IF(AND(ISNUMBER($B175),OR($B175&lt;0,$B175&gt;300)),"rain out of range; ","")&amp;IF(AND(ISNUMBER($C175),OR($C175&lt;0,$C175&gt;45)),"temp out of range; ","")&amp;IF(AND(ISNUMBER($D175),OR($D175&lt;0,$D175&gt;100)),"RH out of range; ",""))</f>
        <v/>
      </c>
      <c r="AN175" s="17">
        <f>IF($A175="","",IF(AND(ISNUMBER(T175),OR(T175&lt;-30,T175&gt;20)),"WL out of range; ","")&amp;IF(AND(ISNUMBER($E175),T175=""),"no TP/b; ","")&amp;IF(AND(ISNUMBER(U175),ISNUMBER(V175)),IF(V175&lt;U175,"After&lt;Before; ",""),"")&amp;IF(AND($F175="Yes",ISNUMBER($E175),W175=""),"irrigation readings missing; ","")&amp;IF(ISNUMBER(Z175),IF(AND(ABS(Z175)&gt;50,NOT(N($B175)&gt;0)),"WL jump &gt;5 cm; ",""),""))</f>
        <v/>
      </c>
      <c r="AO175" s="17">
        <f>IF($A175="","",IF(AND(ISNUMBER(AE175),OR(AE175&lt;-30,AE175&gt;20)),"WL out of range; ","")&amp;IF(AND(ISNUMBER($J175),AE175=""),"no TP/b; ","")&amp;IF(AND(ISNUMBER(AF175),ISNUMBER(AG175)),IF(AG175&lt;AF175,"After&lt;Before; ",""),"")&amp;IF(AND($K175="Yes",ISNUMBER($J175),AH175=""),"irrigation readings missing; ","")&amp;IF(ISNUMBER(AK175),IF(AND(ABS(AK175)&gt;50,NOT(N($B175)&gt;0)),"WL jump &gt;5 cm; ",""),"")&amp;IF(AND(ISNUMBER(PitanE),ISNUMBER(AB175),$A175&gt;PitanE+2,AB175&lt;PitanE),"re-measure TP/b after Pitan; ",""))</f>
        <v/>
      </c>
    </row>
    <row r="176">
      <c r="A176" s="14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0">
        <f>IF(OR($A176="",NOT(ISNUMBER(TransDate))),"",$A176-TransDate)</f>
        <v/>
      </c>
      <c r="Q176" s="16">
        <f>IF($A176="","",IF(_xlfn.MAXIFS('TP-b'!$B$2:$B$60,'TP-b'!$A$2:$A$60,"FP",'TP-b'!$E$2:$E$60,1,'TP-b'!$B$2:$B$60,"&lt;="&amp;$A176)&gt;0,_xlfn.MAXIFS('TP-b'!$B$2:$B$60,'TP-b'!$A$2:$A$60,"FP",'TP-b'!$E$2:$E$60,1,'TP-b'!$B$2:$B$60,"&lt;="&amp;$A176),IF(_xlfn.MINIFS('TP-b'!$B$2:$B$60,'TP-b'!$A$2:$A$60,"FP",'TP-b'!$E$2:$E$60,1)&gt;0,_xlfn.MINIFS('TP-b'!$B$2:$B$60,'TP-b'!$A$2:$A$60,"FP",'TP-b'!$E$2:$E$60,1),"")))</f>
        <v/>
      </c>
      <c r="R176" s="10">
        <f>IF(Q176="","",AVERAGEIFS('TP-b'!$C$2:$C$60,'TP-b'!$A$2:$A$60,"FP",'TP-b'!$B$2:$B$60,Q176,'TP-b'!$E$2:$E$60,1))</f>
        <v/>
      </c>
      <c r="S176" s="10">
        <f>IF(Q176="","",AVERAGEIFS('TP-b'!$D$2:$D$60,'TP-b'!$A$2:$A$60,"FP",'TP-b'!$B$2:$B$60,Q176,'TP-b'!$E$2:$E$60,1))</f>
        <v/>
      </c>
      <c r="T176" s="10">
        <f>IF(OR($A176="",NOT(ISNUMBER($E176)),R176=""),"",ROUND($E176-R176+S176,1))</f>
        <v/>
      </c>
      <c r="U176" s="10">
        <f>IF(AND($F176="Yes",ISNUMBER($G176),R176&lt;&gt;""),ROUND($G176-R176+S176,1),"")</f>
        <v/>
      </c>
      <c r="V176" s="10">
        <f>IF(AND($F176="Yes",ISNUMBER($H176),R176&lt;&gt;""),ROUND($H176-R176+S176,1),"")</f>
        <v/>
      </c>
      <c r="W176" s="10">
        <f>IF(AND(ISNUMBER($E176),ISNUMBER(U176),ISNUMBER(V176)),ROUND((V176-MAX(U176,0))*10,1),"")</f>
        <v/>
      </c>
      <c r="X176" s="10">
        <f>IF(T176="","",IF(AND($F176="Yes",ISNUMBER(V176)),V176,T176))</f>
        <v/>
      </c>
      <c r="Y176" s="10">
        <f>IF(T176="","",ROUND(SUMIFS($W$3:$W$252,$A$3:$A$252,"&lt;="&amp;$A176),1))</f>
        <v/>
      </c>
      <c r="Z176" s="10">
        <f>IF(OR(T176="",$A176=""),"",IF(ISNUMBER(IFERROR(INDEX($X$3:$X$252,MATCH($A176-1,$A$3:$A$252,0)),"")),ROUND((INDEX($X$3:$X$252,MATCH($A176-1,$A$3:$A$252,0))-T176)*10,1),""))</f>
        <v/>
      </c>
      <c r="AA176" s="10">
        <f>IF(ISNUMBER(T176),1,0)</f>
        <v/>
      </c>
      <c r="AB176" s="16">
        <f>IF($A176="","",IF(_xlfn.MAXIFS('TP-b'!$B$2:$B$60,'TP-b'!$A$2:$A$60,"3F4D+MD",'TP-b'!$E$2:$E$60,1,'TP-b'!$B$2:$B$60,"&lt;="&amp;$A176)&gt;0,_xlfn.MAXIFS('TP-b'!$B$2:$B$60,'TP-b'!$A$2:$A$60,"3F4D+MD",'TP-b'!$E$2:$E$60,1,'TP-b'!$B$2:$B$60,"&lt;="&amp;$A176),IF(_xlfn.MINIFS('TP-b'!$B$2:$B$60,'TP-b'!$A$2:$A$60,"3F4D+MD",'TP-b'!$E$2:$E$60,1)&gt;0,_xlfn.MINIFS('TP-b'!$B$2:$B$60,'TP-b'!$A$2:$A$60,"3F4D+MD",'TP-b'!$E$2:$E$60,1),"")))</f>
        <v/>
      </c>
      <c r="AC176" s="10">
        <f>IF(AB176="","",AVERAGEIFS('TP-b'!$C$2:$C$60,'TP-b'!$A$2:$A$60,"3F4D+MD",'TP-b'!$B$2:$B$60,AB176,'TP-b'!$E$2:$E$60,1))</f>
        <v/>
      </c>
      <c r="AD176" s="10">
        <f>IF(AB176="","",AVERAGEIFS('TP-b'!$D$2:$D$60,'TP-b'!$A$2:$A$60,"3F4D+MD",'TP-b'!$B$2:$B$60,AB176,'TP-b'!$E$2:$E$60,1))</f>
        <v/>
      </c>
      <c r="AE176" s="10">
        <f>IF(OR($A176="",NOT(ISNUMBER($J176)),AC176=""),"",ROUND($J176-AC176+AD176,1))</f>
        <v/>
      </c>
      <c r="AF176" s="10">
        <f>IF(AND($K176="Yes",ISNUMBER($L176),AC176&lt;&gt;""),ROUND($L176-AC176+AD176,1),"")</f>
        <v/>
      </c>
      <c r="AG176" s="10">
        <f>IF(AND($K176="Yes",ISNUMBER($M176),AC176&lt;&gt;""),ROUND($M176-AC176+AD176,1),"")</f>
        <v/>
      </c>
      <c r="AH176" s="10">
        <f>IF(AND(ISNUMBER($J176),ISNUMBER(AF176),ISNUMBER(AG176)),ROUND((AG176-MAX(AF176,0))*10,1),"")</f>
        <v/>
      </c>
      <c r="AI176" s="10">
        <f>IF(AE176="","",IF(AND($K176="Yes",ISNUMBER(AG176)),AG176,AE176))</f>
        <v/>
      </c>
      <c r="AJ176" s="10">
        <f>IF(AE176="","",ROUND(SUMIFS($AH$3:$AH$252,$A$3:$A$252,"&lt;="&amp;$A176),1))</f>
        <v/>
      </c>
      <c r="AK176" s="10">
        <f>IF(OR(AE176="",$A176=""),"",IF(ISNUMBER(IFERROR(INDEX($AI$3:$AI$252,MATCH($A176-1,$A$3:$A$252,0)),"")),ROUND((INDEX($AI$3:$AI$252,MATCH($A176-1,$A$3:$A$252,0))-AE176)*10,1),""))</f>
        <v/>
      </c>
      <c r="AL176" s="10">
        <f>IF(ISNUMBER(AE176),1,0)</f>
        <v/>
      </c>
      <c r="AM176" s="17">
        <f>IF($A176="","",IF(COUNTIF($A$3:$A$252,$A176)&gt;1,"same date twice; ","")&amp;IF(AND(ISNUMBER($B176),OR($B176&lt;0,$B176&gt;300)),"rain out of range; ","")&amp;IF(AND(ISNUMBER($C176),OR($C176&lt;0,$C176&gt;45)),"temp out of range; ","")&amp;IF(AND(ISNUMBER($D176),OR($D176&lt;0,$D176&gt;100)),"RH out of range; ",""))</f>
        <v/>
      </c>
      <c r="AN176" s="17">
        <f>IF($A176="","",IF(AND(ISNUMBER(T176),OR(T176&lt;-30,T176&gt;20)),"WL out of range; ","")&amp;IF(AND(ISNUMBER($E176),T176=""),"no TP/b; ","")&amp;IF(AND(ISNUMBER(U176),ISNUMBER(V176)),IF(V176&lt;U176,"After&lt;Before; ",""),"")&amp;IF(AND($F176="Yes",ISNUMBER($E176),W176=""),"irrigation readings missing; ","")&amp;IF(ISNUMBER(Z176),IF(AND(ABS(Z176)&gt;50,NOT(N($B176)&gt;0)),"WL jump &gt;5 cm; ",""),""))</f>
        <v/>
      </c>
      <c r="AO176" s="17">
        <f>IF($A176="","",IF(AND(ISNUMBER(AE176),OR(AE176&lt;-30,AE176&gt;20)),"WL out of range; ","")&amp;IF(AND(ISNUMBER($J176),AE176=""),"no TP/b; ","")&amp;IF(AND(ISNUMBER(AF176),ISNUMBER(AG176)),IF(AG176&lt;AF176,"After&lt;Before; ",""),"")&amp;IF(AND($K176="Yes",ISNUMBER($J176),AH176=""),"irrigation readings missing; ","")&amp;IF(ISNUMBER(AK176),IF(AND(ABS(AK176)&gt;50,NOT(N($B176)&gt;0)),"WL jump &gt;5 cm; ",""),"")&amp;IF(AND(ISNUMBER(PitanE),ISNUMBER(AB176),$A176&gt;PitanE+2,AB176&lt;PitanE),"re-measure TP/b after Pitan; ",""))</f>
        <v/>
      </c>
    </row>
    <row r="177">
      <c r="A177" s="14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0">
        <f>IF(OR($A177="",NOT(ISNUMBER(TransDate))),"",$A177-TransDate)</f>
        <v/>
      </c>
      <c r="Q177" s="16">
        <f>IF($A177="","",IF(_xlfn.MAXIFS('TP-b'!$B$2:$B$60,'TP-b'!$A$2:$A$60,"FP",'TP-b'!$E$2:$E$60,1,'TP-b'!$B$2:$B$60,"&lt;="&amp;$A177)&gt;0,_xlfn.MAXIFS('TP-b'!$B$2:$B$60,'TP-b'!$A$2:$A$60,"FP",'TP-b'!$E$2:$E$60,1,'TP-b'!$B$2:$B$60,"&lt;="&amp;$A177),IF(_xlfn.MINIFS('TP-b'!$B$2:$B$60,'TP-b'!$A$2:$A$60,"FP",'TP-b'!$E$2:$E$60,1)&gt;0,_xlfn.MINIFS('TP-b'!$B$2:$B$60,'TP-b'!$A$2:$A$60,"FP",'TP-b'!$E$2:$E$60,1),"")))</f>
        <v/>
      </c>
      <c r="R177" s="10">
        <f>IF(Q177="","",AVERAGEIFS('TP-b'!$C$2:$C$60,'TP-b'!$A$2:$A$60,"FP",'TP-b'!$B$2:$B$60,Q177,'TP-b'!$E$2:$E$60,1))</f>
        <v/>
      </c>
      <c r="S177" s="10">
        <f>IF(Q177="","",AVERAGEIFS('TP-b'!$D$2:$D$60,'TP-b'!$A$2:$A$60,"FP",'TP-b'!$B$2:$B$60,Q177,'TP-b'!$E$2:$E$60,1))</f>
        <v/>
      </c>
      <c r="T177" s="10">
        <f>IF(OR($A177="",NOT(ISNUMBER($E177)),R177=""),"",ROUND($E177-R177+S177,1))</f>
        <v/>
      </c>
      <c r="U177" s="10">
        <f>IF(AND($F177="Yes",ISNUMBER($G177),R177&lt;&gt;""),ROUND($G177-R177+S177,1),"")</f>
        <v/>
      </c>
      <c r="V177" s="10">
        <f>IF(AND($F177="Yes",ISNUMBER($H177),R177&lt;&gt;""),ROUND($H177-R177+S177,1),"")</f>
        <v/>
      </c>
      <c r="W177" s="10">
        <f>IF(AND(ISNUMBER($E177),ISNUMBER(U177),ISNUMBER(V177)),ROUND((V177-MAX(U177,0))*10,1),"")</f>
        <v/>
      </c>
      <c r="X177" s="10">
        <f>IF(T177="","",IF(AND($F177="Yes",ISNUMBER(V177)),V177,T177))</f>
        <v/>
      </c>
      <c r="Y177" s="10">
        <f>IF(T177="","",ROUND(SUMIFS($W$3:$W$252,$A$3:$A$252,"&lt;="&amp;$A177),1))</f>
        <v/>
      </c>
      <c r="Z177" s="10">
        <f>IF(OR(T177="",$A177=""),"",IF(ISNUMBER(IFERROR(INDEX($X$3:$X$252,MATCH($A177-1,$A$3:$A$252,0)),"")),ROUND((INDEX($X$3:$X$252,MATCH($A177-1,$A$3:$A$252,0))-T177)*10,1),""))</f>
        <v/>
      </c>
      <c r="AA177" s="10">
        <f>IF(ISNUMBER(T177),1,0)</f>
        <v/>
      </c>
      <c r="AB177" s="16">
        <f>IF($A177="","",IF(_xlfn.MAXIFS('TP-b'!$B$2:$B$60,'TP-b'!$A$2:$A$60,"3F4D+MD",'TP-b'!$E$2:$E$60,1,'TP-b'!$B$2:$B$60,"&lt;="&amp;$A177)&gt;0,_xlfn.MAXIFS('TP-b'!$B$2:$B$60,'TP-b'!$A$2:$A$60,"3F4D+MD",'TP-b'!$E$2:$E$60,1,'TP-b'!$B$2:$B$60,"&lt;="&amp;$A177),IF(_xlfn.MINIFS('TP-b'!$B$2:$B$60,'TP-b'!$A$2:$A$60,"3F4D+MD",'TP-b'!$E$2:$E$60,1)&gt;0,_xlfn.MINIFS('TP-b'!$B$2:$B$60,'TP-b'!$A$2:$A$60,"3F4D+MD",'TP-b'!$E$2:$E$60,1),"")))</f>
        <v/>
      </c>
      <c r="AC177" s="10">
        <f>IF(AB177="","",AVERAGEIFS('TP-b'!$C$2:$C$60,'TP-b'!$A$2:$A$60,"3F4D+MD",'TP-b'!$B$2:$B$60,AB177,'TP-b'!$E$2:$E$60,1))</f>
        <v/>
      </c>
      <c r="AD177" s="10">
        <f>IF(AB177="","",AVERAGEIFS('TP-b'!$D$2:$D$60,'TP-b'!$A$2:$A$60,"3F4D+MD",'TP-b'!$B$2:$B$60,AB177,'TP-b'!$E$2:$E$60,1))</f>
        <v/>
      </c>
      <c r="AE177" s="10">
        <f>IF(OR($A177="",NOT(ISNUMBER($J177)),AC177=""),"",ROUND($J177-AC177+AD177,1))</f>
        <v/>
      </c>
      <c r="AF177" s="10">
        <f>IF(AND($K177="Yes",ISNUMBER($L177),AC177&lt;&gt;""),ROUND($L177-AC177+AD177,1),"")</f>
        <v/>
      </c>
      <c r="AG177" s="10">
        <f>IF(AND($K177="Yes",ISNUMBER($M177),AC177&lt;&gt;""),ROUND($M177-AC177+AD177,1),"")</f>
        <v/>
      </c>
      <c r="AH177" s="10">
        <f>IF(AND(ISNUMBER($J177),ISNUMBER(AF177),ISNUMBER(AG177)),ROUND((AG177-MAX(AF177,0))*10,1),"")</f>
        <v/>
      </c>
      <c r="AI177" s="10">
        <f>IF(AE177="","",IF(AND($K177="Yes",ISNUMBER(AG177)),AG177,AE177))</f>
        <v/>
      </c>
      <c r="AJ177" s="10">
        <f>IF(AE177="","",ROUND(SUMIFS($AH$3:$AH$252,$A$3:$A$252,"&lt;="&amp;$A177),1))</f>
        <v/>
      </c>
      <c r="AK177" s="10">
        <f>IF(OR(AE177="",$A177=""),"",IF(ISNUMBER(IFERROR(INDEX($AI$3:$AI$252,MATCH($A177-1,$A$3:$A$252,0)),"")),ROUND((INDEX($AI$3:$AI$252,MATCH($A177-1,$A$3:$A$252,0))-AE177)*10,1),""))</f>
        <v/>
      </c>
      <c r="AL177" s="10">
        <f>IF(ISNUMBER(AE177),1,0)</f>
        <v/>
      </c>
      <c r="AM177" s="17">
        <f>IF($A177="","",IF(COUNTIF($A$3:$A$252,$A177)&gt;1,"same date twice; ","")&amp;IF(AND(ISNUMBER($B177),OR($B177&lt;0,$B177&gt;300)),"rain out of range; ","")&amp;IF(AND(ISNUMBER($C177),OR($C177&lt;0,$C177&gt;45)),"temp out of range; ","")&amp;IF(AND(ISNUMBER($D177),OR($D177&lt;0,$D177&gt;100)),"RH out of range; ",""))</f>
        <v/>
      </c>
      <c r="AN177" s="17">
        <f>IF($A177="","",IF(AND(ISNUMBER(T177),OR(T177&lt;-30,T177&gt;20)),"WL out of range; ","")&amp;IF(AND(ISNUMBER($E177),T177=""),"no TP/b; ","")&amp;IF(AND(ISNUMBER(U177),ISNUMBER(V177)),IF(V177&lt;U177,"After&lt;Before; ",""),"")&amp;IF(AND($F177="Yes",ISNUMBER($E177),W177=""),"irrigation readings missing; ","")&amp;IF(ISNUMBER(Z177),IF(AND(ABS(Z177)&gt;50,NOT(N($B177)&gt;0)),"WL jump &gt;5 cm; ",""),""))</f>
        <v/>
      </c>
      <c r="AO177" s="17">
        <f>IF($A177="","",IF(AND(ISNUMBER(AE177),OR(AE177&lt;-30,AE177&gt;20)),"WL out of range; ","")&amp;IF(AND(ISNUMBER($J177),AE177=""),"no TP/b; ","")&amp;IF(AND(ISNUMBER(AF177),ISNUMBER(AG177)),IF(AG177&lt;AF177,"After&lt;Before; ",""),"")&amp;IF(AND($K177="Yes",ISNUMBER($J177),AH177=""),"irrigation readings missing; ","")&amp;IF(ISNUMBER(AK177),IF(AND(ABS(AK177)&gt;50,NOT(N($B177)&gt;0)),"WL jump &gt;5 cm; ",""),"")&amp;IF(AND(ISNUMBER(PitanE),ISNUMBER(AB177),$A177&gt;PitanE+2,AB177&lt;PitanE),"re-measure TP/b after Pitan; ",""))</f>
        <v/>
      </c>
    </row>
    <row r="178">
      <c r="A178" s="14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0">
        <f>IF(OR($A178="",NOT(ISNUMBER(TransDate))),"",$A178-TransDate)</f>
        <v/>
      </c>
      <c r="Q178" s="16">
        <f>IF($A178="","",IF(_xlfn.MAXIFS('TP-b'!$B$2:$B$60,'TP-b'!$A$2:$A$60,"FP",'TP-b'!$E$2:$E$60,1,'TP-b'!$B$2:$B$60,"&lt;="&amp;$A178)&gt;0,_xlfn.MAXIFS('TP-b'!$B$2:$B$60,'TP-b'!$A$2:$A$60,"FP",'TP-b'!$E$2:$E$60,1,'TP-b'!$B$2:$B$60,"&lt;="&amp;$A178),IF(_xlfn.MINIFS('TP-b'!$B$2:$B$60,'TP-b'!$A$2:$A$60,"FP",'TP-b'!$E$2:$E$60,1)&gt;0,_xlfn.MINIFS('TP-b'!$B$2:$B$60,'TP-b'!$A$2:$A$60,"FP",'TP-b'!$E$2:$E$60,1),"")))</f>
        <v/>
      </c>
      <c r="R178" s="10">
        <f>IF(Q178="","",AVERAGEIFS('TP-b'!$C$2:$C$60,'TP-b'!$A$2:$A$60,"FP",'TP-b'!$B$2:$B$60,Q178,'TP-b'!$E$2:$E$60,1))</f>
        <v/>
      </c>
      <c r="S178" s="10">
        <f>IF(Q178="","",AVERAGEIFS('TP-b'!$D$2:$D$60,'TP-b'!$A$2:$A$60,"FP",'TP-b'!$B$2:$B$60,Q178,'TP-b'!$E$2:$E$60,1))</f>
        <v/>
      </c>
      <c r="T178" s="10">
        <f>IF(OR($A178="",NOT(ISNUMBER($E178)),R178=""),"",ROUND($E178-R178+S178,1))</f>
        <v/>
      </c>
      <c r="U178" s="10">
        <f>IF(AND($F178="Yes",ISNUMBER($G178),R178&lt;&gt;""),ROUND($G178-R178+S178,1),"")</f>
        <v/>
      </c>
      <c r="V178" s="10">
        <f>IF(AND($F178="Yes",ISNUMBER($H178),R178&lt;&gt;""),ROUND($H178-R178+S178,1),"")</f>
        <v/>
      </c>
      <c r="W178" s="10">
        <f>IF(AND(ISNUMBER($E178),ISNUMBER(U178),ISNUMBER(V178)),ROUND((V178-MAX(U178,0))*10,1),"")</f>
        <v/>
      </c>
      <c r="X178" s="10">
        <f>IF(T178="","",IF(AND($F178="Yes",ISNUMBER(V178)),V178,T178))</f>
        <v/>
      </c>
      <c r="Y178" s="10">
        <f>IF(T178="","",ROUND(SUMIFS($W$3:$W$252,$A$3:$A$252,"&lt;="&amp;$A178),1))</f>
        <v/>
      </c>
      <c r="Z178" s="10">
        <f>IF(OR(T178="",$A178=""),"",IF(ISNUMBER(IFERROR(INDEX($X$3:$X$252,MATCH($A178-1,$A$3:$A$252,0)),"")),ROUND((INDEX($X$3:$X$252,MATCH($A178-1,$A$3:$A$252,0))-T178)*10,1),""))</f>
        <v/>
      </c>
      <c r="AA178" s="10">
        <f>IF(ISNUMBER(T178),1,0)</f>
        <v/>
      </c>
      <c r="AB178" s="16">
        <f>IF($A178="","",IF(_xlfn.MAXIFS('TP-b'!$B$2:$B$60,'TP-b'!$A$2:$A$60,"3F4D+MD",'TP-b'!$E$2:$E$60,1,'TP-b'!$B$2:$B$60,"&lt;="&amp;$A178)&gt;0,_xlfn.MAXIFS('TP-b'!$B$2:$B$60,'TP-b'!$A$2:$A$60,"3F4D+MD",'TP-b'!$E$2:$E$60,1,'TP-b'!$B$2:$B$60,"&lt;="&amp;$A178),IF(_xlfn.MINIFS('TP-b'!$B$2:$B$60,'TP-b'!$A$2:$A$60,"3F4D+MD",'TP-b'!$E$2:$E$60,1)&gt;0,_xlfn.MINIFS('TP-b'!$B$2:$B$60,'TP-b'!$A$2:$A$60,"3F4D+MD",'TP-b'!$E$2:$E$60,1),"")))</f>
        <v/>
      </c>
      <c r="AC178" s="10">
        <f>IF(AB178="","",AVERAGEIFS('TP-b'!$C$2:$C$60,'TP-b'!$A$2:$A$60,"3F4D+MD",'TP-b'!$B$2:$B$60,AB178,'TP-b'!$E$2:$E$60,1))</f>
        <v/>
      </c>
      <c r="AD178" s="10">
        <f>IF(AB178="","",AVERAGEIFS('TP-b'!$D$2:$D$60,'TP-b'!$A$2:$A$60,"3F4D+MD",'TP-b'!$B$2:$B$60,AB178,'TP-b'!$E$2:$E$60,1))</f>
        <v/>
      </c>
      <c r="AE178" s="10">
        <f>IF(OR($A178="",NOT(ISNUMBER($J178)),AC178=""),"",ROUND($J178-AC178+AD178,1))</f>
        <v/>
      </c>
      <c r="AF178" s="10">
        <f>IF(AND($K178="Yes",ISNUMBER($L178),AC178&lt;&gt;""),ROUND($L178-AC178+AD178,1),"")</f>
        <v/>
      </c>
      <c r="AG178" s="10">
        <f>IF(AND($K178="Yes",ISNUMBER($M178),AC178&lt;&gt;""),ROUND($M178-AC178+AD178,1),"")</f>
        <v/>
      </c>
      <c r="AH178" s="10">
        <f>IF(AND(ISNUMBER($J178),ISNUMBER(AF178),ISNUMBER(AG178)),ROUND((AG178-MAX(AF178,0))*10,1),"")</f>
        <v/>
      </c>
      <c r="AI178" s="10">
        <f>IF(AE178="","",IF(AND($K178="Yes",ISNUMBER(AG178)),AG178,AE178))</f>
        <v/>
      </c>
      <c r="AJ178" s="10">
        <f>IF(AE178="","",ROUND(SUMIFS($AH$3:$AH$252,$A$3:$A$252,"&lt;="&amp;$A178),1))</f>
        <v/>
      </c>
      <c r="AK178" s="10">
        <f>IF(OR(AE178="",$A178=""),"",IF(ISNUMBER(IFERROR(INDEX($AI$3:$AI$252,MATCH($A178-1,$A$3:$A$252,0)),"")),ROUND((INDEX($AI$3:$AI$252,MATCH($A178-1,$A$3:$A$252,0))-AE178)*10,1),""))</f>
        <v/>
      </c>
      <c r="AL178" s="10">
        <f>IF(ISNUMBER(AE178),1,0)</f>
        <v/>
      </c>
      <c r="AM178" s="17">
        <f>IF($A178="","",IF(COUNTIF($A$3:$A$252,$A178)&gt;1,"same date twice; ","")&amp;IF(AND(ISNUMBER($B178),OR($B178&lt;0,$B178&gt;300)),"rain out of range; ","")&amp;IF(AND(ISNUMBER($C178),OR($C178&lt;0,$C178&gt;45)),"temp out of range; ","")&amp;IF(AND(ISNUMBER($D178),OR($D178&lt;0,$D178&gt;100)),"RH out of range; ",""))</f>
        <v/>
      </c>
      <c r="AN178" s="17">
        <f>IF($A178="","",IF(AND(ISNUMBER(T178),OR(T178&lt;-30,T178&gt;20)),"WL out of range; ","")&amp;IF(AND(ISNUMBER($E178),T178=""),"no TP/b; ","")&amp;IF(AND(ISNUMBER(U178),ISNUMBER(V178)),IF(V178&lt;U178,"After&lt;Before; ",""),"")&amp;IF(AND($F178="Yes",ISNUMBER($E178),W178=""),"irrigation readings missing; ","")&amp;IF(ISNUMBER(Z178),IF(AND(ABS(Z178)&gt;50,NOT(N($B178)&gt;0)),"WL jump &gt;5 cm; ",""),""))</f>
        <v/>
      </c>
      <c r="AO178" s="17">
        <f>IF($A178="","",IF(AND(ISNUMBER(AE178),OR(AE178&lt;-30,AE178&gt;20)),"WL out of range; ","")&amp;IF(AND(ISNUMBER($J178),AE178=""),"no TP/b; ","")&amp;IF(AND(ISNUMBER(AF178),ISNUMBER(AG178)),IF(AG178&lt;AF178,"After&lt;Before; ",""),"")&amp;IF(AND($K178="Yes",ISNUMBER($J178),AH178=""),"irrigation readings missing; ","")&amp;IF(ISNUMBER(AK178),IF(AND(ABS(AK178)&gt;50,NOT(N($B178)&gt;0)),"WL jump &gt;5 cm; ",""),"")&amp;IF(AND(ISNUMBER(PitanE),ISNUMBER(AB178),$A178&gt;PitanE+2,AB178&lt;PitanE),"re-measure TP/b after Pitan; ",""))</f>
        <v/>
      </c>
    </row>
    <row r="179">
      <c r="A179" s="14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0">
        <f>IF(OR($A179="",NOT(ISNUMBER(TransDate))),"",$A179-TransDate)</f>
        <v/>
      </c>
      <c r="Q179" s="16">
        <f>IF($A179="","",IF(_xlfn.MAXIFS('TP-b'!$B$2:$B$60,'TP-b'!$A$2:$A$60,"FP",'TP-b'!$E$2:$E$60,1,'TP-b'!$B$2:$B$60,"&lt;="&amp;$A179)&gt;0,_xlfn.MAXIFS('TP-b'!$B$2:$B$60,'TP-b'!$A$2:$A$60,"FP",'TP-b'!$E$2:$E$60,1,'TP-b'!$B$2:$B$60,"&lt;="&amp;$A179),IF(_xlfn.MINIFS('TP-b'!$B$2:$B$60,'TP-b'!$A$2:$A$60,"FP",'TP-b'!$E$2:$E$60,1)&gt;0,_xlfn.MINIFS('TP-b'!$B$2:$B$60,'TP-b'!$A$2:$A$60,"FP",'TP-b'!$E$2:$E$60,1),"")))</f>
        <v/>
      </c>
      <c r="R179" s="10">
        <f>IF(Q179="","",AVERAGEIFS('TP-b'!$C$2:$C$60,'TP-b'!$A$2:$A$60,"FP",'TP-b'!$B$2:$B$60,Q179,'TP-b'!$E$2:$E$60,1))</f>
        <v/>
      </c>
      <c r="S179" s="10">
        <f>IF(Q179="","",AVERAGEIFS('TP-b'!$D$2:$D$60,'TP-b'!$A$2:$A$60,"FP",'TP-b'!$B$2:$B$60,Q179,'TP-b'!$E$2:$E$60,1))</f>
        <v/>
      </c>
      <c r="T179" s="10">
        <f>IF(OR($A179="",NOT(ISNUMBER($E179)),R179=""),"",ROUND($E179-R179+S179,1))</f>
        <v/>
      </c>
      <c r="U179" s="10">
        <f>IF(AND($F179="Yes",ISNUMBER($G179),R179&lt;&gt;""),ROUND($G179-R179+S179,1),"")</f>
        <v/>
      </c>
      <c r="V179" s="10">
        <f>IF(AND($F179="Yes",ISNUMBER($H179),R179&lt;&gt;""),ROUND($H179-R179+S179,1),"")</f>
        <v/>
      </c>
      <c r="W179" s="10">
        <f>IF(AND(ISNUMBER($E179),ISNUMBER(U179),ISNUMBER(V179)),ROUND((V179-MAX(U179,0))*10,1),"")</f>
        <v/>
      </c>
      <c r="X179" s="10">
        <f>IF(T179="","",IF(AND($F179="Yes",ISNUMBER(V179)),V179,T179))</f>
        <v/>
      </c>
      <c r="Y179" s="10">
        <f>IF(T179="","",ROUND(SUMIFS($W$3:$W$252,$A$3:$A$252,"&lt;="&amp;$A179),1))</f>
        <v/>
      </c>
      <c r="Z179" s="10">
        <f>IF(OR(T179="",$A179=""),"",IF(ISNUMBER(IFERROR(INDEX($X$3:$X$252,MATCH($A179-1,$A$3:$A$252,0)),"")),ROUND((INDEX($X$3:$X$252,MATCH($A179-1,$A$3:$A$252,0))-T179)*10,1),""))</f>
        <v/>
      </c>
      <c r="AA179" s="10">
        <f>IF(ISNUMBER(T179),1,0)</f>
        <v/>
      </c>
      <c r="AB179" s="16">
        <f>IF($A179="","",IF(_xlfn.MAXIFS('TP-b'!$B$2:$B$60,'TP-b'!$A$2:$A$60,"3F4D+MD",'TP-b'!$E$2:$E$60,1,'TP-b'!$B$2:$B$60,"&lt;="&amp;$A179)&gt;0,_xlfn.MAXIFS('TP-b'!$B$2:$B$60,'TP-b'!$A$2:$A$60,"3F4D+MD",'TP-b'!$E$2:$E$60,1,'TP-b'!$B$2:$B$60,"&lt;="&amp;$A179),IF(_xlfn.MINIFS('TP-b'!$B$2:$B$60,'TP-b'!$A$2:$A$60,"3F4D+MD",'TP-b'!$E$2:$E$60,1)&gt;0,_xlfn.MINIFS('TP-b'!$B$2:$B$60,'TP-b'!$A$2:$A$60,"3F4D+MD",'TP-b'!$E$2:$E$60,1),"")))</f>
        <v/>
      </c>
      <c r="AC179" s="10">
        <f>IF(AB179="","",AVERAGEIFS('TP-b'!$C$2:$C$60,'TP-b'!$A$2:$A$60,"3F4D+MD",'TP-b'!$B$2:$B$60,AB179,'TP-b'!$E$2:$E$60,1))</f>
        <v/>
      </c>
      <c r="AD179" s="10">
        <f>IF(AB179="","",AVERAGEIFS('TP-b'!$D$2:$D$60,'TP-b'!$A$2:$A$60,"3F4D+MD",'TP-b'!$B$2:$B$60,AB179,'TP-b'!$E$2:$E$60,1))</f>
        <v/>
      </c>
      <c r="AE179" s="10">
        <f>IF(OR($A179="",NOT(ISNUMBER($J179)),AC179=""),"",ROUND($J179-AC179+AD179,1))</f>
        <v/>
      </c>
      <c r="AF179" s="10">
        <f>IF(AND($K179="Yes",ISNUMBER($L179),AC179&lt;&gt;""),ROUND($L179-AC179+AD179,1),"")</f>
        <v/>
      </c>
      <c r="AG179" s="10">
        <f>IF(AND($K179="Yes",ISNUMBER($M179),AC179&lt;&gt;""),ROUND($M179-AC179+AD179,1),"")</f>
        <v/>
      </c>
      <c r="AH179" s="10">
        <f>IF(AND(ISNUMBER($J179),ISNUMBER(AF179),ISNUMBER(AG179)),ROUND((AG179-MAX(AF179,0))*10,1),"")</f>
        <v/>
      </c>
      <c r="AI179" s="10">
        <f>IF(AE179="","",IF(AND($K179="Yes",ISNUMBER(AG179)),AG179,AE179))</f>
        <v/>
      </c>
      <c r="AJ179" s="10">
        <f>IF(AE179="","",ROUND(SUMIFS($AH$3:$AH$252,$A$3:$A$252,"&lt;="&amp;$A179),1))</f>
        <v/>
      </c>
      <c r="AK179" s="10">
        <f>IF(OR(AE179="",$A179=""),"",IF(ISNUMBER(IFERROR(INDEX($AI$3:$AI$252,MATCH($A179-1,$A$3:$A$252,0)),"")),ROUND((INDEX($AI$3:$AI$252,MATCH($A179-1,$A$3:$A$252,0))-AE179)*10,1),""))</f>
        <v/>
      </c>
      <c r="AL179" s="10">
        <f>IF(ISNUMBER(AE179),1,0)</f>
        <v/>
      </c>
      <c r="AM179" s="17">
        <f>IF($A179="","",IF(COUNTIF($A$3:$A$252,$A179)&gt;1,"same date twice; ","")&amp;IF(AND(ISNUMBER($B179),OR($B179&lt;0,$B179&gt;300)),"rain out of range; ","")&amp;IF(AND(ISNUMBER($C179),OR($C179&lt;0,$C179&gt;45)),"temp out of range; ","")&amp;IF(AND(ISNUMBER($D179),OR($D179&lt;0,$D179&gt;100)),"RH out of range; ",""))</f>
        <v/>
      </c>
      <c r="AN179" s="17">
        <f>IF($A179="","",IF(AND(ISNUMBER(T179),OR(T179&lt;-30,T179&gt;20)),"WL out of range; ","")&amp;IF(AND(ISNUMBER($E179),T179=""),"no TP/b; ","")&amp;IF(AND(ISNUMBER(U179),ISNUMBER(V179)),IF(V179&lt;U179,"After&lt;Before; ",""),"")&amp;IF(AND($F179="Yes",ISNUMBER($E179),W179=""),"irrigation readings missing; ","")&amp;IF(ISNUMBER(Z179),IF(AND(ABS(Z179)&gt;50,NOT(N($B179)&gt;0)),"WL jump &gt;5 cm; ",""),""))</f>
        <v/>
      </c>
      <c r="AO179" s="17">
        <f>IF($A179="","",IF(AND(ISNUMBER(AE179),OR(AE179&lt;-30,AE179&gt;20)),"WL out of range; ","")&amp;IF(AND(ISNUMBER($J179),AE179=""),"no TP/b; ","")&amp;IF(AND(ISNUMBER(AF179),ISNUMBER(AG179)),IF(AG179&lt;AF179,"After&lt;Before; ",""),"")&amp;IF(AND($K179="Yes",ISNUMBER($J179),AH179=""),"irrigation readings missing; ","")&amp;IF(ISNUMBER(AK179),IF(AND(ABS(AK179)&gt;50,NOT(N($B179)&gt;0)),"WL jump &gt;5 cm; ",""),"")&amp;IF(AND(ISNUMBER(PitanE),ISNUMBER(AB179),$A179&gt;PitanE+2,AB179&lt;PitanE),"re-measure TP/b after Pitan; ",""))</f>
        <v/>
      </c>
    </row>
    <row r="180">
      <c r="A180" s="14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0">
        <f>IF(OR($A180="",NOT(ISNUMBER(TransDate))),"",$A180-TransDate)</f>
        <v/>
      </c>
      <c r="Q180" s="16">
        <f>IF($A180="","",IF(_xlfn.MAXIFS('TP-b'!$B$2:$B$60,'TP-b'!$A$2:$A$60,"FP",'TP-b'!$E$2:$E$60,1,'TP-b'!$B$2:$B$60,"&lt;="&amp;$A180)&gt;0,_xlfn.MAXIFS('TP-b'!$B$2:$B$60,'TP-b'!$A$2:$A$60,"FP",'TP-b'!$E$2:$E$60,1,'TP-b'!$B$2:$B$60,"&lt;="&amp;$A180),IF(_xlfn.MINIFS('TP-b'!$B$2:$B$60,'TP-b'!$A$2:$A$60,"FP",'TP-b'!$E$2:$E$60,1)&gt;0,_xlfn.MINIFS('TP-b'!$B$2:$B$60,'TP-b'!$A$2:$A$60,"FP",'TP-b'!$E$2:$E$60,1),"")))</f>
        <v/>
      </c>
      <c r="R180" s="10">
        <f>IF(Q180="","",AVERAGEIFS('TP-b'!$C$2:$C$60,'TP-b'!$A$2:$A$60,"FP",'TP-b'!$B$2:$B$60,Q180,'TP-b'!$E$2:$E$60,1))</f>
        <v/>
      </c>
      <c r="S180" s="10">
        <f>IF(Q180="","",AVERAGEIFS('TP-b'!$D$2:$D$60,'TP-b'!$A$2:$A$60,"FP",'TP-b'!$B$2:$B$60,Q180,'TP-b'!$E$2:$E$60,1))</f>
        <v/>
      </c>
      <c r="T180" s="10">
        <f>IF(OR($A180="",NOT(ISNUMBER($E180)),R180=""),"",ROUND($E180-R180+S180,1))</f>
        <v/>
      </c>
      <c r="U180" s="10">
        <f>IF(AND($F180="Yes",ISNUMBER($G180),R180&lt;&gt;""),ROUND($G180-R180+S180,1),"")</f>
        <v/>
      </c>
      <c r="V180" s="10">
        <f>IF(AND($F180="Yes",ISNUMBER($H180),R180&lt;&gt;""),ROUND($H180-R180+S180,1),"")</f>
        <v/>
      </c>
      <c r="W180" s="10">
        <f>IF(AND(ISNUMBER($E180),ISNUMBER(U180),ISNUMBER(V180)),ROUND((V180-MAX(U180,0))*10,1),"")</f>
        <v/>
      </c>
      <c r="X180" s="10">
        <f>IF(T180="","",IF(AND($F180="Yes",ISNUMBER(V180)),V180,T180))</f>
        <v/>
      </c>
      <c r="Y180" s="10">
        <f>IF(T180="","",ROUND(SUMIFS($W$3:$W$252,$A$3:$A$252,"&lt;="&amp;$A180),1))</f>
        <v/>
      </c>
      <c r="Z180" s="10">
        <f>IF(OR(T180="",$A180=""),"",IF(ISNUMBER(IFERROR(INDEX($X$3:$X$252,MATCH($A180-1,$A$3:$A$252,0)),"")),ROUND((INDEX($X$3:$X$252,MATCH($A180-1,$A$3:$A$252,0))-T180)*10,1),""))</f>
        <v/>
      </c>
      <c r="AA180" s="10">
        <f>IF(ISNUMBER(T180),1,0)</f>
        <v/>
      </c>
      <c r="AB180" s="16">
        <f>IF($A180="","",IF(_xlfn.MAXIFS('TP-b'!$B$2:$B$60,'TP-b'!$A$2:$A$60,"3F4D+MD",'TP-b'!$E$2:$E$60,1,'TP-b'!$B$2:$B$60,"&lt;="&amp;$A180)&gt;0,_xlfn.MAXIFS('TP-b'!$B$2:$B$60,'TP-b'!$A$2:$A$60,"3F4D+MD",'TP-b'!$E$2:$E$60,1,'TP-b'!$B$2:$B$60,"&lt;="&amp;$A180),IF(_xlfn.MINIFS('TP-b'!$B$2:$B$60,'TP-b'!$A$2:$A$60,"3F4D+MD",'TP-b'!$E$2:$E$60,1)&gt;0,_xlfn.MINIFS('TP-b'!$B$2:$B$60,'TP-b'!$A$2:$A$60,"3F4D+MD",'TP-b'!$E$2:$E$60,1),"")))</f>
        <v/>
      </c>
      <c r="AC180" s="10">
        <f>IF(AB180="","",AVERAGEIFS('TP-b'!$C$2:$C$60,'TP-b'!$A$2:$A$60,"3F4D+MD",'TP-b'!$B$2:$B$60,AB180,'TP-b'!$E$2:$E$60,1))</f>
        <v/>
      </c>
      <c r="AD180" s="10">
        <f>IF(AB180="","",AVERAGEIFS('TP-b'!$D$2:$D$60,'TP-b'!$A$2:$A$60,"3F4D+MD",'TP-b'!$B$2:$B$60,AB180,'TP-b'!$E$2:$E$60,1))</f>
        <v/>
      </c>
      <c r="AE180" s="10">
        <f>IF(OR($A180="",NOT(ISNUMBER($J180)),AC180=""),"",ROUND($J180-AC180+AD180,1))</f>
        <v/>
      </c>
      <c r="AF180" s="10">
        <f>IF(AND($K180="Yes",ISNUMBER($L180),AC180&lt;&gt;""),ROUND($L180-AC180+AD180,1),"")</f>
        <v/>
      </c>
      <c r="AG180" s="10">
        <f>IF(AND($K180="Yes",ISNUMBER($M180),AC180&lt;&gt;""),ROUND($M180-AC180+AD180,1),"")</f>
        <v/>
      </c>
      <c r="AH180" s="10">
        <f>IF(AND(ISNUMBER($J180),ISNUMBER(AF180),ISNUMBER(AG180)),ROUND((AG180-MAX(AF180,0))*10,1),"")</f>
        <v/>
      </c>
      <c r="AI180" s="10">
        <f>IF(AE180="","",IF(AND($K180="Yes",ISNUMBER(AG180)),AG180,AE180))</f>
        <v/>
      </c>
      <c r="AJ180" s="10">
        <f>IF(AE180="","",ROUND(SUMIFS($AH$3:$AH$252,$A$3:$A$252,"&lt;="&amp;$A180),1))</f>
        <v/>
      </c>
      <c r="AK180" s="10">
        <f>IF(OR(AE180="",$A180=""),"",IF(ISNUMBER(IFERROR(INDEX($AI$3:$AI$252,MATCH($A180-1,$A$3:$A$252,0)),"")),ROUND((INDEX($AI$3:$AI$252,MATCH($A180-1,$A$3:$A$252,0))-AE180)*10,1),""))</f>
        <v/>
      </c>
      <c r="AL180" s="10">
        <f>IF(ISNUMBER(AE180),1,0)</f>
        <v/>
      </c>
      <c r="AM180" s="17">
        <f>IF($A180="","",IF(COUNTIF($A$3:$A$252,$A180)&gt;1,"same date twice; ","")&amp;IF(AND(ISNUMBER($B180),OR($B180&lt;0,$B180&gt;300)),"rain out of range; ","")&amp;IF(AND(ISNUMBER($C180),OR($C180&lt;0,$C180&gt;45)),"temp out of range; ","")&amp;IF(AND(ISNUMBER($D180),OR($D180&lt;0,$D180&gt;100)),"RH out of range; ",""))</f>
        <v/>
      </c>
      <c r="AN180" s="17">
        <f>IF($A180="","",IF(AND(ISNUMBER(T180),OR(T180&lt;-30,T180&gt;20)),"WL out of range; ","")&amp;IF(AND(ISNUMBER($E180),T180=""),"no TP/b; ","")&amp;IF(AND(ISNUMBER(U180),ISNUMBER(V180)),IF(V180&lt;U180,"After&lt;Before; ",""),"")&amp;IF(AND($F180="Yes",ISNUMBER($E180),W180=""),"irrigation readings missing; ","")&amp;IF(ISNUMBER(Z180),IF(AND(ABS(Z180)&gt;50,NOT(N($B180)&gt;0)),"WL jump &gt;5 cm; ",""),""))</f>
        <v/>
      </c>
      <c r="AO180" s="17">
        <f>IF($A180="","",IF(AND(ISNUMBER(AE180),OR(AE180&lt;-30,AE180&gt;20)),"WL out of range; ","")&amp;IF(AND(ISNUMBER($J180),AE180=""),"no TP/b; ","")&amp;IF(AND(ISNUMBER(AF180),ISNUMBER(AG180)),IF(AG180&lt;AF180,"After&lt;Before; ",""),"")&amp;IF(AND($K180="Yes",ISNUMBER($J180),AH180=""),"irrigation readings missing; ","")&amp;IF(ISNUMBER(AK180),IF(AND(ABS(AK180)&gt;50,NOT(N($B180)&gt;0)),"WL jump &gt;5 cm; ",""),"")&amp;IF(AND(ISNUMBER(PitanE),ISNUMBER(AB180),$A180&gt;PitanE+2,AB180&lt;PitanE),"re-measure TP/b after Pitan; ",""))</f>
        <v/>
      </c>
    </row>
    <row r="181">
      <c r="A181" s="14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0">
        <f>IF(OR($A181="",NOT(ISNUMBER(TransDate))),"",$A181-TransDate)</f>
        <v/>
      </c>
      <c r="Q181" s="16">
        <f>IF($A181="","",IF(_xlfn.MAXIFS('TP-b'!$B$2:$B$60,'TP-b'!$A$2:$A$60,"FP",'TP-b'!$E$2:$E$60,1,'TP-b'!$B$2:$B$60,"&lt;="&amp;$A181)&gt;0,_xlfn.MAXIFS('TP-b'!$B$2:$B$60,'TP-b'!$A$2:$A$60,"FP",'TP-b'!$E$2:$E$60,1,'TP-b'!$B$2:$B$60,"&lt;="&amp;$A181),IF(_xlfn.MINIFS('TP-b'!$B$2:$B$60,'TP-b'!$A$2:$A$60,"FP",'TP-b'!$E$2:$E$60,1)&gt;0,_xlfn.MINIFS('TP-b'!$B$2:$B$60,'TP-b'!$A$2:$A$60,"FP",'TP-b'!$E$2:$E$60,1),"")))</f>
        <v/>
      </c>
      <c r="R181" s="10">
        <f>IF(Q181="","",AVERAGEIFS('TP-b'!$C$2:$C$60,'TP-b'!$A$2:$A$60,"FP",'TP-b'!$B$2:$B$60,Q181,'TP-b'!$E$2:$E$60,1))</f>
        <v/>
      </c>
      <c r="S181" s="10">
        <f>IF(Q181="","",AVERAGEIFS('TP-b'!$D$2:$D$60,'TP-b'!$A$2:$A$60,"FP",'TP-b'!$B$2:$B$60,Q181,'TP-b'!$E$2:$E$60,1))</f>
        <v/>
      </c>
      <c r="T181" s="10">
        <f>IF(OR($A181="",NOT(ISNUMBER($E181)),R181=""),"",ROUND($E181-R181+S181,1))</f>
        <v/>
      </c>
      <c r="U181" s="10">
        <f>IF(AND($F181="Yes",ISNUMBER($G181),R181&lt;&gt;""),ROUND($G181-R181+S181,1),"")</f>
        <v/>
      </c>
      <c r="V181" s="10">
        <f>IF(AND($F181="Yes",ISNUMBER($H181),R181&lt;&gt;""),ROUND($H181-R181+S181,1),"")</f>
        <v/>
      </c>
      <c r="W181" s="10">
        <f>IF(AND(ISNUMBER($E181),ISNUMBER(U181),ISNUMBER(V181)),ROUND((V181-MAX(U181,0))*10,1),"")</f>
        <v/>
      </c>
      <c r="X181" s="10">
        <f>IF(T181="","",IF(AND($F181="Yes",ISNUMBER(V181)),V181,T181))</f>
        <v/>
      </c>
      <c r="Y181" s="10">
        <f>IF(T181="","",ROUND(SUMIFS($W$3:$W$252,$A$3:$A$252,"&lt;="&amp;$A181),1))</f>
        <v/>
      </c>
      <c r="Z181" s="10">
        <f>IF(OR(T181="",$A181=""),"",IF(ISNUMBER(IFERROR(INDEX($X$3:$X$252,MATCH($A181-1,$A$3:$A$252,0)),"")),ROUND((INDEX($X$3:$X$252,MATCH($A181-1,$A$3:$A$252,0))-T181)*10,1),""))</f>
        <v/>
      </c>
      <c r="AA181" s="10">
        <f>IF(ISNUMBER(T181),1,0)</f>
        <v/>
      </c>
      <c r="AB181" s="16">
        <f>IF($A181="","",IF(_xlfn.MAXIFS('TP-b'!$B$2:$B$60,'TP-b'!$A$2:$A$60,"3F4D+MD",'TP-b'!$E$2:$E$60,1,'TP-b'!$B$2:$B$60,"&lt;="&amp;$A181)&gt;0,_xlfn.MAXIFS('TP-b'!$B$2:$B$60,'TP-b'!$A$2:$A$60,"3F4D+MD",'TP-b'!$E$2:$E$60,1,'TP-b'!$B$2:$B$60,"&lt;="&amp;$A181),IF(_xlfn.MINIFS('TP-b'!$B$2:$B$60,'TP-b'!$A$2:$A$60,"3F4D+MD",'TP-b'!$E$2:$E$60,1)&gt;0,_xlfn.MINIFS('TP-b'!$B$2:$B$60,'TP-b'!$A$2:$A$60,"3F4D+MD",'TP-b'!$E$2:$E$60,1),"")))</f>
        <v/>
      </c>
      <c r="AC181" s="10">
        <f>IF(AB181="","",AVERAGEIFS('TP-b'!$C$2:$C$60,'TP-b'!$A$2:$A$60,"3F4D+MD",'TP-b'!$B$2:$B$60,AB181,'TP-b'!$E$2:$E$60,1))</f>
        <v/>
      </c>
      <c r="AD181" s="10">
        <f>IF(AB181="","",AVERAGEIFS('TP-b'!$D$2:$D$60,'TP-b'!$A$2:$A$60,"3F4D+MD",'TP-b'!$B$2:$B$60,AB181,'TP-b'!$E$2:$E$60,1))</f>
        <v/>
      </c>
      <c r="AE181" s="10">
        <f>IF(OR($A181="",NOT(ISNUMBER($J181)),AC181=""),"",ROUND($J181-AC181+AD181,1))</f>
        <v/>
      </c>
      <c r="AF181" s="10">
        <f>IF(AND($K181="Yes",ISNUMBER($L181),AC181&lt;&gt;""),ROUND($L181-AC181+AD181,1),"")</f>
        <v/>
      </c>
      <c r="AG181" s="10">
        <f>IF(AND($K181="Yes",ISNUMBER($M181),AC181&lt;&gt;""),ROUND($M181-AC181+AD181,1),"")</f>
        <v/>
      </c>
      <c r="AH181" s="10">
        <f>IF(AND(ISNUMBER($J181),ISNUMBER(AF181),ISNUMBER(AG181)),ROUND((AG181-MAX(AF181,0))*10,1),"")</f>
        <v/>
      </c>
      <c r="AI181" s="10">
        <f>IF(AE181="","",IF(AND($K181="Yes",ISNUMBER(AG181)),AG181,AE181))</f>
        <v/>
      </c>
      <c r="AJ181" s="10">
        <f>IF(AE181="","",ROUND(SUMIFS($AH$3:$AH$252,$A$3:$A$252,"&lt;="&amp;$A181),1))</f>
        <v/>
      </c>
      <c r="AK181" s="10">
        <f>IF(OR(AE181="",$A181=""),"",IF(ISNUMBER(IFERROR(INDEX($AI$3:$AI$252,MATCH($A181-1,$A$3:$A$252,0)),"")),ROUND((INDEX($AI$3:$AI$252,MATCH($A181-1,$A$3:$A$252,0))-AE181)*10,1),""))</f>
        <v/>
      </c>
      <c r="AL181" s="10">
        <f>IF(ISNUMBER(AE181),1,0)</f>
        <v/>
      </c>
      <c r="AM181" s="17">
        <f>IF($A181="","",IF(COUNTIF($A$3:$A$252,$A181)&gt;1,"same date twice; ","")&amp;IF(AND(ISNUMBER($B181),OR($B181&lt;0,$B181&gt;300)),"rain out of range; ","")&amp;IF(AND(ISNUMBER($C181),OR($C181&lt;0,$C181&gt;45)),"temp out of range; ","")&amp;IF(AND(ISNUMBER($D181),OR($D181&lt;0,$D181&gt;100)),"RH out of range; ",""))</f>
        <v/>
      </c>
      <c r="AN181" s="17">
        <f>IF($A181="","",IF(AND(ISNUMBER(T181),OR(T181&lt;-30,T181&gt;20)),"WL out of range; ","")&amp;IF(AND(ISNUMBER($E181),T181=""),"no TP/b; ","")&amp;IF(AND(ISNUMBER(U181),ISNUMBER(V181)),IF(V181&lt;U181,"After&lt;Before; ",""),"")&amp;IF(AND($F181="Yes",ISNUMBER($E181),W181=""),"irrigation readings missing; ","")&amp;IF(ISNUMBER(Z181),IF(AND(ABS(Z181)&gt;50,NOT(N($B181)&gt;0)),"WL jump &gt;5 cm; ",""),""))</f>
        <v/>
      </c>
      <c r="AO181" s="17">
        <f>IF($A181="","",IF(AND(ISNUMBER(AE181),OR(AE181&lt;-30,AE181&gt;20)),"WL out of range; ","")&amp;IF(AND(ISNUMBER($J181),AE181=""),"no TP/b; ","")&amp;IF(AND(ISNUMBER(AF181),ISNUMBER(AG181)),IF(AG181&lt;AF181,"After&lt;Before; ",""),"")&amp;IF(AND($K181="Yes",ISNUMBER($J181),AH181=""),"irrigation readings missing; ","")&amp;IF(ISNUMBER(AK181),IF(AND(ABS(AK181)&gt;50,NOT(N($B181)&gt;0)),"WL jump &gt;5 cm; ",""),"")&amp;IF(AND(ISNUMBER(PitanE),ISNUMBER(AB181),$A181&gt;PitanE+2,AB181&lt;PitanE),"re-measure TP/b after Pitan; ",""))</f>
        <v/>
      </c>
    </row>
    <row r="182">
      <c r="A182" s="14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0">
        <f>IF(OR($A182="",NOT(ISNUMBER(TransDate))),"",$A182-TransDate)</f>
        <v/>
      </c>
      <c r="Q182" s="16">
        <f>IF($A182="","",IF(_xlfn.MAXIFS('TP-b'!$B$2:$B$60,'TP-b'!$A$2:$A$60,"FP",'TP-b'!$E$2:$E$60,1,'TP-b'!$B$2:$B$60,"&lt;="&amp;$A182)&gt;0,_xlfn.MAXIFS('TP-b'!$B$2:$B$60,'TP-b'!$A$2:$A$60,"FP",'TP-b'!$E$2:$E$60,1,'TP-b'!$B$2:$B$60,"&lt;="&amp;$A182),IF(_xlfn.MINIFS('TP-b'!$B$2:$B$60,'TP-b'!$A$2:$A$60,"FP",'TP-b'!$E$2:$E$60,1)&gt;0,_xlfn.MINIFS('TP-b'!$B$2:$B$60,'TP-b'!$A$2:$A$60,"FP",'TP-b'!$E$2:$E$60,1),"")))</f>
        <v/>
      </c>
      <c r="R182" s="10">
        <f>IF(Q182="","",AVERAGEIFS('TP-b'!$C$2:$C$60,'TP-b'!$A$2:$A$60,"FP",'TP-b'!$B$2:$B$60,Q182,'TP-b'!$E$2:$E$60,1))</f>
        <v/>
      </c>
      <c r="S182" s="10">
        <f>IF(Q182="","",AVERAGEIFS('TP-b'!$D$2:$D$60,'TP-b'!$A$2:$A$60,"FP",'TP-b'!$B$2:$B$60,Q182,'TP-b'!$E$2:$E$60,1))</f>
        <v/>
      </c>
      <c r="T182" s="10">
        <f>IF(OR($A182="",NOT(ISNUMBER($E182)),R182=""),"",ROUND($E182-R182+S182,1))</f>
        <v/>
      </c>
      <c r="U182" s="10">
        <f>IF(AND($F182="Yes",ISNUMBER($G182),R182&lt;&gt;""),ROUND($G182-R182+S182,1),"")</f>
        <v/>
      </c>
      <c r="V182" s="10">
        <f>IF(AND($F182="Yes",ISNUMBER($H182),R182&lt;&gt;""),ROUND($H182-R182+S182,1),"")</f>
        <v/>
      </c>
      <c r="W182" s="10">
        <f>IF(AND(ISNUMBER($E182),ISNUMBER(U182),ISNUMBER(V182)),ROUND((V182-MAX(U182,0))*10,1),"")</f>
        <v/>
      </c>
      <c r="X182" s="10">
        <f>IF(T182="","",IF(AND($F182="Yes",ISNUMBER(V182)),V182,T182))</f>
        <v/>
      </c>
      <c r="Y182" s="10">
        <f>IF(T182="","",ROUND(SUMIFS($W$3:$W$252,$A$3:$A$252,"&lt;="&amp;$A182),1))</f>
        <v/>
      </c>
      <c r="Z182" s="10">
        <f>IF(OR(T182="",$A182=""),"",IF(ISNUMBER(IFERROR(INDEX($X$3:$X$252,MATCH($A182-1,$A$3:$A$252,0)),"")),ROUND((INDEX($X$3:$X$252,MATCH($A182-1,$A$3:$A$252,0))-T182)*10,1),""))</f>
        <v/>
      </c>
      <c r="AA182" s="10">
        <f>IF(ISNUMBER(T182),1,0)</f>
        <v/>
      </c>
      <c r="AB182" s="16">
        <f>IF($A182="","",IF(_xlfn.MAXIFS('TP-b'!$B$2:$B$60,'TP-b'!$A$2:$A$60,"3F4D+MD",'TP-b'!$E$2:$E$60,1,'TP-b'!$B$2:$B$60,"&lt;="&amp;$A182)&gt;0,_xlfn.MAXIFS('TP-b'!$B$2:$B$60,'TP-b'!$A$2:$A$60,"3F4D+MD",'TP-b'!$E$2:$E$60,1,'TP-b'!$B$2:$B$60,"&lt;="&amp;$A182),IF(_xlfn.MINIFS('TP-b'!$B$2:$B$60,'TP-b'!$A$2:$A$60,"3F4D+MD",'TP-b'!$E$2:$E$60,1)&gt;0,_xlfn.MINIFS('TP-b'!$B$2:$B$60,'TP-b'!$A$2:$A$60,"3F4D+MD",'TP-b'!$E$2:$E$60,1),"")))</f>
        <v/>
      </c>
      <c r="AC182" s="10">
        <f>IF(AB182="","",AVERAGEIFS('TP-b'!$C$2:$C$60,'TP-b'!$A$2:$A$60,"3F4D+MD",'TP-b'!$B$2:$B$60,AB182,'TP-b'!$E$2:$E$60,1))</f>
        <v/>
      </c>
      <c r="AD182" s="10">
        <f>IF(AB182="","",AVERAGEIFS('TP-b'!$D$2:$D$60,'TP-b'!$A$2:$A$60,"3F4D+MD",'TP-b'!$B$2:$B$60,AB182,'TP-b'!$E$2:$E$60,1))</f>
        <v/>
      </c>
      <c r="AE182" s="10">
        <f>IF(OR($A182="",NOT(ISNUMBER($J182)),AC182=""),"",ROUND($J182-AC182+AD182,1))</f>
        <v/>
      </c>
      <c r="AF182" s="10">
        <f>IF(AND($K182="Yes",ISNUMBER($L182),AC182&lt;&gt;""),ROUND($L182-AC182+AD182,1),"")</f>
        <v/>
      </c>
      <c r="AG182" s="10">
        <f>IF(AND($K182="Yes",ISNUMBER($M182),AC182&lt;&gt;""),ROUND($M182-AC182+AD182,1),"")</f>
        <v/>
      </c>
      <c r="AH182" s="10">
        <f>IF(AND(ISNUMBER($J182),ISNUMBER(AF182),ISNUMBER(AG182)),ROUND((AG182-MAX(AF182,0))*10,1),"")</f>
        <v/>
      </c>
      <c r="AI182" s="10">
        <f>IF(AE182="","",IF(AND($K182="Yes",ISNUMBER(AG182)),AG182,AE182))</f>
        <v/>
      </c>
      <c r="AJ182" s="10">
        <f>IF(AE182="","",ROUND(SUMIFS($AH$3:$AH$252,$A$3:$A$252,"&lt;="&amp;$A182),1))</f>
        <v/>
      </c>
      <c r="AK182" s="10">
        <f>IF(OR(AE182="",$A182=""),"",IF(ISNUMBER(IFERROR(INDEX($AI$3:$AI$252,MATCH($A182-1,$A$3:$A$252,0)),"")),ROUND((INDEX($AI$3:$AI$252,MATCH($A182-1,$A$3:$A$252,0))-AE182)*10,1),""))</f>
        <v/>
      </c>
      <c r="AL182" s="10">
        <f>IF(ISNUMBER(AE182),1,0)</f>
        <v/>
      </c>
      <c r="AM182" s="17">
        <f>IF($A182="","",IF(COUNTIF($A$3:$A$252,$A182)&gt;1,"same date twice; ","")&amp;IF(AND(ISNUMBER($B182),OR($B182&lt;0,$B182&gt;300)),"rain out of range; ","")&amp;IF(AND(ISNUMBER($C182),OR($C182&lt;0,$C182&gt;45)),"temp out of range; ","")&amp;IF(AND(ISNUMBER($D182),OR($D182&lt;0,$D182&gt;100)),"RH out of range; ",""))</f>
        <v/>
      </c>
      <c r="AN182" s="17">
        <f>IF($A182="","",IF(AND(ISNUMBER(T182),OR(T182&lt;-30,T182&gt;20)),"WL out of range; ","")&amp;IF(AND(ISNUMBER($E182),T182=""),"no TP/b; ","")&amp;IF(AND(ISNUMBER(U182),ISNUMBER(V182)),IF(V182&lt;U182,"After&lt;Before; ",""),"")&amp;IF(AND($F182="Yes",ISNUMBER($E182),W182=""),"irrigation readings missing; ","")&amp;IF(ISNUMBER(Z182),IF(AND(ABS(Z182)&gt;50,NOT(N($B182)&gt;0)),"WL jump &gt;5 cm; ",""),""))</f>
        <v/>
      </c>
      <c r="AO182" s="17">
        <f>IF($A182="","",IF(AND(ISNUMBER(AE182),OR(AE182&lt;-30,AE182&gt;20)),"WL out of range; ","")&amp;IF(AND(ISNUMBER($J182),AE182=""),"no TP/b; ","")&amp;IF(AND(ISNUMBER(AF182),ISNUMBER(AG182)),IF(AG182&lt;AF182,"After&lt;Before; ",""),"")&amp;IF(AND($K182="Yes",ISNUMBER($J182),AH182=""),"irrigation readings missing; ","")&amp;IF(ISNUMBER(AK182),IF(AND(ABS(AK182)&gt;50,NOT(N($B182)&gt;0)),"WL jump &gt;5 cm; ",""),"")&amp;IF(AND(ISNUMBER(PitanE),ISNUMBER(AB182),$A182&gt;PitanE+2,AB182&lt;PitanE),"re-measure TP/b after Pitan; ",""))</f>
        <v/>
      </c>
    </row>
    <row r="183">
      <c r="A183" s="14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0">
        <f>IF(OR($A183="",NOT(ISNUMBER(TransDate))),"",$A183-TransDate)</f>
        <v/>
      </c>
      <c r="Q183" s="16">
        <f>IF($A183="","",IF(_xlfn.MAXIFS('TP-b'!$B$2:$B$60,'TP-b'!$A$2:$A$60,"FP",'TP-b'!$E$2:$E$60,1,'TP-b'!$B$2:$B$60,"&lt;="&amp;$A183)&gt;0,_xlfn.MAXIFS('TP-b'!$B$2:$B$60,'TP-b'!$A$2:$A$60,"FP",'TP-b'!$E$2:$E$60,1,'TP-b'!$B$2:$B$60,"&lt;="&amp;$A183),IF(_xlfn.MINIFS('TP-b'!$B$2:$B$60,'TP-b'!$A$2:$A$60,"FP",'TP-b'!$E$2:$E$60,1)&gt;0,_xlfn.MINIFS('TP-b'!$B$2:$B$60,'TP-b'!$A$2:$A$60,"FP",'TP-b'!$E$2:$E$60,1),"")))</f>
        <v/>
      </c>
      <c r="R183" s="10">
        <f>IF(Q183="","",AVERAGEIFS('TP-b'!$C$2:$C$60,'TP-b'!$A$2:$A$60,"FP",'TP-b'!$B$2:$B$60,Q183,'TP-b'!$E$2:$E$60,1))</f>
        <v/>
      </c>
      <c r="S183" s="10">
        <f>IF(Q183="","",AVERAGEIFS('TP-b'!$D$2:$D$60,'TP-b'!$A$2:$A$60,"FP",'TP-b'!$B$2:$B$60,Q183,'TP-b'!$E$2:$E$60,1))</f>
        <v/>
      </c>
      <c r="T183" s="10">
        <f>IF(OR($A183="",NOT(ISNUMBER($E183)),R183=""),"",ROUND($E183-R183+S183,1))</f>
        <v/>
      </c>
      <c r="U183" s="10">
        <f>IF(AND($F183="Yes",ISNUMBER($G183),R183&lt;&gt;""),ROUND($G183-R183+S183,1),"")</f>
        <v/>
      </c>
      <c r="V183" s="10">
        <f>IF(AND($F183="Yes",ISNUMBER($H183),R183&lt;&gt;""),ROUND($H183-R183+S183,1),"")</f>
        <v/>
      </c>
      <c r="W183" s="10">
        <f>IF(AND(ISNUMBER($E183),ISNUMBER(U183),ISNUMBER(V183)),ROUND((V183-MAX(U183,0))*10,1),"")</f>
        <v/>
      </c>
      <c r="X183" s="10">
        <f>IF(T183="","",IF(AND($F183="Yes",ISNUMBER(V183)),V183,T183))</f>
        <v/>
      </c>
      <c r="Y183" s="10">
        <f>IF(T183="","",ROUND(SUMIFS($W$3:$W$252,$A$3:$A$252,"&lt;="&amp;$A183),1))</f>
        <v/>
      </c>
      <c r="Z183" s="10">
        <f>IF(OR(T183="",$A183=""),"",IF(ISNUMBER(IFERROR(INDEX($X$3:$X$252,MATCH($A183-1,$A$3:$A$252,0)),"")),ROUND((INDEX($X$3:$X$252,MATCH($A183-1,$A$3:$A$252,0))-T183)*10,1),""))</f>
        <v/>
      </c>
      <c r="AA183" s="10">
        <f>IF(ISNUMBER(T183),1,0)</f>
        <v/>
      </c>
      <c r="AB183" s="16">
        <f>IF($A183="","",IF(_xlfn.MAXIFS('TP-b'!$B$2:$B$60,'TP-b'!$A$2:$A$60,"3F4D+MD",'TP-b'!$E$2:$E$60,1,'TP-b'!$B$2:$B$60,"&lt;="&amp;$A183)&gt;0,_xlfn.MAXIFS('TP-b'!$B$2:$B$60,'TP-b'!$A$2:$A$60,"3F4D+MD",'TP-b'!$E$2:$E$60,1,'TP-b'!$B$2:$B$60,"&lt;="&amp;$A183),IF(_xlfn.MINIFS('TP-b'!$B$2:$B$60,'TP-b'!$A$2:$A$60,"3F4D+MD",'TP-b'!$E$2:$E$60,1)&gt;0,_xlfn.MINIFS('TP-b'!$B$2:$B$60,'TP-b'!$A$2:$A$60,"3F4D+MD",'TP-b'!$E$2:$E$60,1),"")))</f>
        <v/>
      </c>
      <c r="AC183" s="10">
        <f>IF(AB183="","",AVERAGEIFS('TP-b'!$C$2:$C$60,'TP-b'!$A$2:$A$60,"3F4D+MD",'TP-b'!$B$2:$B$60,AB183,'TP-b'!$E$2:$E$60,1))</f>
        <v/>
      </c>
      <c r="AD183" s="10">
        <f>IF(AB183="","",AVERAGEIFS('TP-b'!$D$2:$D$60,'TP-b'!$A$2:$A$60,"3F4D+MD",'TP-b'!$B$2:$B$60,AB183,'TP-b'!$E$2:$E$60,1))</f>
        <v/>
      </c>
      <c r="AE183" s="10">
        <f>IF(OR($A183="",NOT(ISNUMBER($J183)),AC183=""),"",ROUND($J183-AC183+AD183,1))</f>
        <v/>
      </c>
      <c r="AF183" s="10">
        <f>IF(AND($K183="Yes",ISNUMBER($L183),AC183&lt;&gt;""),ROUND($L183-AC183+AD183,1),"")</f>
        <v/>
      </c>
      <c r="AG183" s="10">
        <f>IF(AND($K183="Yes",ISNUMBER($M183),AC183&lt;&gt;""),ROUND($M183-AC183+AD183,1),"")</f>
        <v/>
      </c>
      <c r="AH183" s="10">
        <f>IF(AND(ISNUMBER($J183),ISNUMBER(AF183),ISNUMBER(AG183)),ROUND((AG183-MAX(AF183,0))*10,1),"")</f>
        <v/>
      </c>
      <c r="AI183" s="10">
        <f>IF(AE183="","",IF(AND($K183="Yes",ISNUMBER(AG183)),AG183,AE183))</f>
        <v/>
      </c>
      <c r="AJ183" s="10">
        <f>IF(AE183="","",ROUND(SUMIFS($AH$3:$AH$252,$A$3:$A$252,"&lt;="&amp;$A183),1))</f>
        <v/>
      </c>
      <c r="AK183" s="10">
        <f>IF(OR(AE183="",$A183=""),"",IF(ISNUMBER(IFERROR(INDEX($AI$3:$AI$252,MATCH($A183-1,$A$3:$A$252,0)),"")),ROUND((INDEX($AI$3:$AI$252,MATCH($A183-1,$A$3:$A$252,0))-AE183)*10,1),""))</f>
        <v/>
      </c>
      <c r="AL183" s="10">
        <f>IF(ISNUMBER(AE183),1,0)</f>
        <v/>
      </c>
      <c r="AM183" s="17">
        <f>IF($A183="","",IF(COUNTIF($A$3:$A$252,$A183)&gt;1,"same date twice; ","")&amp;IF(AND(ISNUMBER($B183),OR($B183&lt;0,$B183&gt;300)),"rain out of range; ","")&amp;IF(AND(ISNUMBER($C183),OR($C183&lt;0,$C183&gt;45)),"temp out of range; ","")&amp;IF(AND(ISNUMBER($D183),OR($D183&lt;0,$D183&gt;100)),"RH out of range; ",""))</f>
        <v/>
      </c>
      <c r="AN183" s="17">
        <f>IF($A183="","",IF(AND(ISNUMBER(T183),OR(T183&lt;-30,T183&gt;20)),"WL out of range; ","")&amp;IF(AND(ISNUMBER($E183),T183=""),"no TP/b; ","")&amp;IF(AND(ISNUMBER(U183),ISNUMBER(V183)),IF(V183&lt;U183,"After&lt;Before; ",""),"")&amp;IF(AND($F183="Yes",ISNUMBER($E183),W183=""),"irrigation readings missing; ","")&amp;IF(ISNUMBER(Z183),IF(AND(ABS(Z183)&gt;50,NOT(N($B183)&gt;0)),"WL jump &gt;5 cm; ",""),""))</f>
        <v/>
      </c>
      <c r="AO183" s="17">
        <f>IF($A183="","",IF(AND(ISNUMBER(AE183),OR(AE183&lt;-30,AE183&gt;20)),"WL out of range; ","")&amp;IF(AND(ISNUMBER($J183),AE183=""),"no TP/b; ","")&amp;IF(AND(ISNUMBER(AF183),ISNUMBER(AG183)),IF(AG183&lt;AF183,"After&lt;Before; ",""),"")&amp;IF(AND($K183="Yes",ISNUMBER($J183),AH183=""),"irrigation readings missing; ","")&amp;IF(ISNUMBER(AK183),IF(AND(ABS(AK183)&gt;50,NOT(N($B183)&gt;0)),"WL jump &gt;5 cm; ",""),"")&amp;IF(AND(ISNUMBER(PitanE),ISNUMBER(AB183),$A183&gt;PitanE+2,AB183&lt;PitanE),"re-measure TP/b after Pitan; ",""))</f>
        <v/>
      </c>
    </row>
    <row r="184">
      <c r="A184" s="14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0">
        <f>IF(OR($A184="",NOT(ISNUMBER(TransDate))),"",$A184-TransDate)</f>
        <v/>
      </c>
      <c r="Q184" s="16">
        <f>IF($A184="","",IF(_xlfn.MAXIFS('TP-b'!$B$2:$B$60,'TP-b'!$A$2:$A$60,"FP",'TP-b'!$E$2:$E$60,1,'TP-b'!$B$2:$B$60,"&lt;="&amp;$A184)&gt;0,_xlfn.MAXIFS('TP-b'!$B$2:$B$60,'TP-b'!$A$2:$A$60,"FP",'TP-b'!$E$2:$E$60,1,'TP-b'!$B$2:$B$60,"&lt;="&amp;$A184),IF(_xlfn.MINIFS('TP-b'!$B$2:$B$60,'TP-b'!$A$2:$A$60,"FP",'TP-b'!$E$2:$E$60,1)&gt;0,_xlfn.MINIFS('TP-b'!$B$2:$B$60,'TP-b'!$A$2:$A$60,"FP",'TP-b'!$E$2:$E$60,1),"")))</f>
        <v/>
      </c>
      <c r="R184" s="10">
        <f>IF(Q184="","",AVERAGEIFS('TP-b'!$C$2:$C$60,'TP-b'!$A$2:$A$60,"FP",'TP-b'!$B$2:$B$60,Q184,'TP-b'!$E$2:$E$60,1))</f>
        <v/>
      </c>
      <c r="S184" s="10">
        <f>IF(Q184="","",AVERAGEIFS('TP-b'!$D$2:$D$60,'TP-b'!$A$2:$A$60,"FP",'TP-b'!$B$2:$B$60,Q184,'TP-b'!$E$2:$E$60,1))</f>
        <v/>
      </c>
      <c r="T184" s="10">
        <f>IF(OR($A184="",NOT(ISNUMBER($E184)),R184=""),"",ROUND($E184-R184+S184,1))</f>
        <v/>
      </c>
      <c r="U184" s="10">
        <f>IF(AND($F184="Yes",ISNUMBER($G184),R184&lt;&gt;""),ROUND($G184-R184+S184,1),"")</f>
        <v/>
      </c>
      <c r="V184" s="10">
        <f>IF(AND($F184="Yes",ISNUMBER($H184),R184&lt;&gt;""),ROUND($H184-R184+S184,1),"")</f>
        <v/>
      </c>
      <c r="W184" s="10">
        <f>IF(AND(ISNUMBER($E184),ISNUMBER(U184),ISNUMBER(V184)),ROUND((V184-MAX(U184,0))*10,1),"")</f>
        <v/>
      </c>
      <c r="X184" s="10">
        <f>IF(T184="","",IF(AND($F184="Yes",ISNUMBER(V184)),V184,T184))</f>
        <v/>
      </c>
      <c r="Y184" s="10">
        <f>IF(T184="","",ROUND(SUMIFS($W$3:$W$252,$A$3:$A$252,"&lt;="&amp;$A184),1))</f>
        <v/>
      </c>
      <c r="Z184" s="10">
        <f>IF(OR(T184="",$A184=""),"",IF(ISNUMBER(IFERROR(INDEX($X$3:$X$252,MATCH($A184-1,$A$3:$A$252,0)),"")),ROUND((INDEX($X$3:$X$252,MATCH($A184-1,$A$3:$A$252,0))-T184)*10,1),""))</f>
        <v/>
      </c>
      <c r="AA184" s="10">
        <f>IF(ISNUMBER(T184),1,0)</f>
        <v/>
      </c>
      <c r="AB184" s="16">
        <f>IF($A184="","",IF(_xlfn.MAXIFS('TP-b'!$B$2:$B$60,'TP-b'!$A$2:$A$60,"3F4D+MD",'TP-b'!$E$2:$E$60,1,'TP-b'!$B$2:$B$60,"&lt;="&amp;$A184)&gt;0,_xlfn.MAXIFS('TP-b'!$B$2:$B$60,'TP-b'!$A$2:$A$60,"3F4D+MD",'TP-b'!$E$2:$E$60,1,'TP-b'!$B$2:$B$60,"&lt;="&amp;$A184),IF(_xlfn.MINIFS('TP-b'!$B$2:$B$60,'TP-b'!$A$2:$A$60,"3F4D+MD",'TP-b'!$E$2:$E$60,1)&gt;0,_xlfn.MINIFS('TP-b'!$B$2:$B$60,'TP-b'!$A$2:$A$60,"3F4D+MD",'TP-b'!$E$2:$E$60,1),"")))</f>
        <v/>
      </c>
      <c r="AC184" s="10">
        <f>IF(AB184="","",AVERAGEIFS('TP-b'!$C$2:$C$60,'TP-b'!$A$2:$A$60,"3F4D+MD",'TP-b'!$B$2:$B$60,AB184,'TP-b'!$E$2:$E$60,1))</f>
        <v/>
      </c>
      <c r="AD184" s="10">
        <f>IF(AB184="","",AVERAGEIFS('TP-b'!$D$2:$D$60,'TP-b'!$A$2:$A$60,"3F4D+MD",'TP-b'!$B$2:$B$60,AB184,'TP-b'!$E$2:$E$60,1))</f>
        <v/>
      </c>
      <c r="AE184" s="10">
        <f>IF(OR($A184="",NOT(ISNUMBER($J184)),AC184=""),"",ROUND($J184-AC184+AD184,1))</f>
        <v/>
      </c>
      <c r="AF184" s="10">
        <f>IF(AND($K184="Yes",ISNUMBER($L184),AC184&lt;&gt;""),ROUND($L184-AC184+AD184,1),"")</f>
        <v/>
      </c>
      <c r="AG184" s="10">
        <f>IF(AND($K184="Yes",ISNUMBER($M184),AC184&lt;&gt;""),ROUND($M184-AC184+AD184,1),"")</f>
        <v/>
      </c>
      <c r="AH184" s="10">
        <f>IF(AND(ISNUMBER($J184),ISNUMBER(AF184),ISNUMBER(AG184)),ROUND((AG184-MAX(AF184,0))*10,1),"")</f>
        <v/>
      </c>
      <c r="AI184" s="10">
        <f>IF(AE184="","",IF(AND($K184="Yes",ISNUMBER(AG184)),AG184,AE184))</f>
        <v/>
      </c>
      <c r="AJ184" s="10">
        <f>IF(AE184="","",ROUND(SUMIFS($AH$3:$AH$252,$A$3:$A$252,"&lt;="&amp;$A184),1))</f>
        <v/>
      </c>
      <c r="AK184" s="10">
        <f>IF(OR(AE184="",$A184=""),"",IF(ISNUMBER(IFERROR(INDEX($AI$3:$AI$252,MATCH($A184-1,$A$3:$A$252,0)),"")),ROUND((INDEX($AI$3:$AI$252,MATCH($A184-1,$A$3:$A$252,0))-AE184)*10,1),""))</f>
        <v/>
      </c>
      <c r="AL184" s="10">
        <f>IF(ISNUMBER(AE184),1,0)</f>
        <v/>
      </c>
      <c r="AM184" s="17">
        <f>IF($A184="","",IF(COUNTIF($A$3:$A$252,$A184)&gt;1,"same date twice; ","")&amp;IF(AND(ISNUMBER($B184),OR($B184&lt;0,$B184&gt;300)),"rain out of range; ","")&amp;IF(AND(ISNUMBER($C184),OR($C184&lt;0,$C184&gt;45)),"temp out of range; ","")&amp;IF(AND(ISNUMBER($D184),OR($D184&lt;0,$D184&gt;100)),"RH out of range; ",""))</f>
        <v/>
      </c>
      <c r="AN184" s="17">
        <f>IF($A184="","",IF(AND(ISNUMBER(T184),OR(T184&lt;-30,T184&gt;20)),"WL out of range; ","")&amp;IF(AND(ISNUMBER($E184),T184=""),"no TP/b; ","")&amp;IF(AND(ISNUMBER(U184),ISNUMBER(V184)),IF(V184&lt;U184,"After&lt;Before; ",""),"")&amp;IF(AND($F184="Yes",ISNUMBER($E184),W184=""),"irrigation readings missing; ","")&amp;IF(ISNUMBER(Z184),IF(AND(ABS(Z184)&gt;50,NOT(N($B184)&gt;0)),"WL jump &gt;5 cm; ",""),""))</f>
        <v/>
      </c>
      <c r="AO184" s="17">
        <f>IF($A184="","",IF(AND(ISNUMBER(AE184),OR(AE184&lt;-30,AE184&gt;20)),"WL out of range; ","")&amp;IF(AND(ISNUMBER($J184),AE184=""),"no TP/b; ","")&amp;IF(AND(ISNUMBER(AF184),ISNUMBER(AG184)),IF(AG184&lt;AF184,"After&lt;Before; ",""),"")&amp;IF(AND($K184="Yes",ISNUMBER($J184),AH184=""),"irrigation readings missing; ","")&amp;IF(ISNUMBER(AK184),IF(AND(ABS(AK184)&gt;50,NOT(N($B184)&gt;0)),"WL jump &gt;5 cm; ",""),"")&amp;IF(AND(ISNUMBER(PitanE),ISNUMBER(AB184),$A184&gt;PitanE+2,AB184&lt;PitanE),"re-measure TP/b after Pitan; ",""))</f>
        <v/>
      </c>
    </row>
    <row r="185">
      <c r="A185" s="14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0">
        <f>IF(OR($A185="",NOT(ISNUMBER(TransDate))),"",$A185-TransDate)</f>
        <v/>
      </c>
      <c r="Q185" s="16">
        <f>IF($A185="","",IF(_xlfn.MAXIFS('TP-b'!$B$2:$B$60,'TP-b'!$A$2:$A$60,"FP",'TP-b'!$E$2:$E$60,1,'TP-b'!$B$2:$B$60,"&lt;="&amp;$A185)&gt;0,_xlfn.MAXIFS('TP-b'!$B$2:$B$60,'TP-b'!$A$2:$A$60,"FP",'TP-b'!$E$2:$E$60,1,'TP-b'!$B$2:$B$60,"&lt;="&amp;$A185),IF(_xlfn.MINIFS('TP-b'!$B$2:$B$60,'TP-b'!$A$2:$A$60,"FP",'TP-b'!$E$2:$E$60,1)&gt;0,_xlfn.MINIFS('TP-b'!$B$2:$B$60,'TP-b'!$A$2:$A$60,"FP",'TP-b'!$E$2:$E$60,1),"")))</f>
        <v/>
      </c>
      <c r="R185" s="10">
        <f>IF(Q185="","",AVERAGEIFS('TP-b'!$C$2:$C$60,'TP-b'!$A$2:$A$60,"FP",'TP-b'!$B$2:$B$60,Q185,'TP-b'!$E$2:$E$60,1))</f>
        <v/>
      </c>
      <c r="S185" s="10">
        <f>IF(Q185="","",AVERAGEIFS('TP-b'!$D$2:$D$60,'TP-b'!$A$2:$A$60,"FP",'TP-b'!$B$2:$B$60,Q185,'TP-b'!$E$2:$E$60,1))</f>
        <v/>
      </c>
      <c r="T185" s="10">
        <f>IF(OR($A185="",NOT(ISNUMBER($E185)),R185=""),"",ROUND($E185-R185+S185,1))</f>
        <v/>
      </c>
      <c r="U185" s="10">
        <f>IF(AND($F185="Yes",ISNUMBER($G185),R185&lt;&gt;""),ROUND($G185-R185+S185,1),"")</f>
        <v/>
      </c>
      <c r="V185" s="10">
        <f>IF(AND($F185="Yes",ISNUMBER($H185),R185&lt;&gt;""),ROUND($H185-R185+S185,1),"")</f>
        <v/>
      </c>
      <c r="W185" s="10">
        <f>IF(AND(ISNUMBER($E185),ISNUMBER(U185),ISNUMBER(V185)),ROUND((V185-MAX(U185,0))*10,1),"")</f>
        <v/>
      </c>
      <c r="X185" s="10">
        <f>IF(T185="","",IF(AND($F185="Yes",ISNUMBER(V185)),V185,T185))</f>
        <v/>
      </c>
      <c r="Y185" s="10">
        <f>IF(T185="","",ROUND(SUMIFS($W$3:$W$252,$A$3:$A$252,"&lt;="&amp;$A185),1))</f>
        <v/>
      </c>
      <c r="Z185" s="10">
        <f>IF(OR(T185="",$A185=""),"",IF(ISNUMBER(IFERROR(INDEX($X$3:$X$252,MATCH($A185-1,$A$3:$A$252,0)),"")),ROUND((INDEX($X$3:$X$252,MATCH($A185-1,$A$3:$A$252,0))-T185)*10,1),""))</f>
        <v/>
      </c>
      <c r="AA185" s="10">
        <f>IF(ISNUMBER(T185),1,0)</f>
        <v/>
      </c>
      <c r="AB185" s="16">
        <f>IF($A185="","",IF(_xlfn.MAXIFS('TP-b'!$B$2:$B$60,'TP-b'!$A$2:$A$60,"3F4D+MD",'TP-b'!$E$2:$E$60,1,'TP-b'!$B$2:$B$60,"&lt;="&amp;$A185)&gt;0,_xlfn.MAXIFS('TP-b'!$B$2:$B$60,'TP-b'!$A$2:$A$60,"3F4D+MD",'TP-b'!$E$2:$E$60,1,'TP-b'!$B$2:$B$60,"&lt;="&amp;$A185),IF(_xlfn.MINIFS('TP-b'!$B$2:$B$60,'TP-b'!$A$2:$A$60,"3F4D+MD",'TP-b'!$E$2:$E$60,1)&gt;0,_xlfn.MINIFS('TP-b'!$B$2:$B$60,'TP-b'!$A$2:$A$60,"3F4D+MD",'TP-b'!$E$2:$E$60,1),"")))</f>
        <v/>
      </c>
      <c r="AC185" s="10">
        <f>IF(AB185="","",AVERAGEIFS('TP-b'!$C$2:$C$60,'TP-b'!$A$2:$A$60,"3F4D+MD",'TP-b'!$B$2:$B$60,AB185,'TP-b'!$E$2:$E$60,1))</f>
        <v/>
      </c>
      <c r="AD185" s="10">
        <f>IF(AB185="","",AVERAGEIFS('TP-b'!$D$2:$D$60,'TP-b'!$A$2:$A$60,"3F4D+MD",'TP-b'!$B$2:$B$60,AB185,'TP-b'!$E$2:$E$60,1))</f>
        <v/>
      </c>
      <c r="AE185" s="10">
        <f>IF(OR($A185="",NOT(ISNUMBER($J185)),AC185=""),"",ROUND($J185-AC185+AD185,1))</f>
        <v/>
      </c>
      <c r="AF185" s="10">
        <f>IF(AND($K185="Yes",ISNUMBER($L185),AC185&lt;&gt;""),ROUND($L185-AC185+AD185,1),"")</f>
        <v/>
      </c>
      <c r="AG185" s="10">
        <f>IF(AND($K185="Yes",ISNUMBER($M185),AC185&lt;&gt;""),ROUND($M185-AC185+AD185,1),"")</f>
        <v/>
      </c>
      <c r="AH185" s="10">
        <f>IF(AND(ISNUMBER($J185),ISNUMBER(AF185),ISNUMBER(AG185)),ROUND((AG185-MAX(AF185,0))*10,1),"")</f>
        <v/>
      </c>
      <c r="AI185" s="10">
        <f>IF(AE185="","",IF(AND($K185="Yes",ISNUMBER(AG185)),AG185,AE185))</f>
        <v/>
      </c>
      <c r="AJ185" s="10">
        <f>IF(AE185="","",ROUND(SUMIFS($AH$3:$AH$252,$A$3:$A$252,"&lt;="&amp;$A185),1))</f>
        <v/>
      </c>
      <c r="AK185" s="10">
        <f>IF(OR(AE185="",$A185=""),"",IF(ISNUMBER(IFERROR(INDEX($AI$3:$AI$252,MATCH($A185-1,$A$3:$A$252,0)),"")),ROUND((INDEX($AI$3:$AI$252,MATCH($A185-1,$A$3:$A$252,0))-AE185)*10,1),""))</f>
        <v/>
      </c>
      <c r="AL185" s="10">
        <f>IF(ISNUMBER(AE185),1,0)</f>
        <v/>
      </c>
      <c r="AM185" s="17">
        <f>IF($A185="","",IF(COUNTIF($A$3:$A$252,$A185)&gt;1,"same date twice; ","")&amp;IF(AND(ISNUMBER($B185),OR($B185&lt;0,$B185&gt;300)),"rain out of range; ","")&amp;IF(AND(ISNUMBER($C185),OR($C185&lt;0,$C185&gt;45)),"temp out of range; ","")&amp;IF(AND(ISNUMBER($D185),OR($D185&lt;0,$D185&gt;100)),"RH out of range; ",""))</f>
        <v/>
      </c>
      <c r="AN185" s="17">
        <f>IF($A185="","",IF(AND(ISNUMBER(T185),OR(T185&lt;-30,T185&gt;20)),"WL out of range; ","")&amp;IF(AND(ISNUMBER($E185),T185=""),"no TP/b; ","")&amp;IF(AND(ISNUMBER(U185),ISNUMBER(V185)),IF(V185&lt;U185,"After&lt;Before; ",""),"")&amp;IF(AND($F185="Yes",ISNUMBER($E185),W185=""),"irrigation readings missing; ","")&amp;IF(ISNUMBER(Z185),IF(AND(ABS(Z185)&gt;50,NOT(N($B185)&gt;0)),"WL jump &gt;5 cm; ",""),""))</f>
        <v/>
      </c>
      <c r="AO185" s="17">
        <f>IF($A185="","",IF(AND(ISNUMBER(AE185),OR(AE185&lt;-30,AE185&gt;20)),"WL out of range; ","")&amp;IF(AND(ISNUMBER($J185),AE185=""),"no TP/b; ","")&amp;IF(AND(ISNUMBER(AF185),ISNUMBER(AG185)),IF(AG185&lt;AF185,"After&lt;Before; ",""),"")&amp;IF(AND($K185="Yes",ISNUMBER($J185),AH185=""),"irrigation readings missing; ","")&amp;IF(ISNUMBER(AK185),IF(AND(ABS(AK185)&gt;50,NOT(N($B185)&gt;0)),"WL jump &gt;5 cm; ",""),"")&amp;IF(AND(ISNUMBER(PitanE),ISNUMBER(AB185),$A185&gt;PitanE+2,AB185&lt;PitanE),"re-measure TP/b after Pitan; ",""))</f>
        <v/>
      </c>
    </row>
    <row r="186">
      <c r="A186" s="14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0">
        <f>IF(OR($A186="",NOT(ISNUMBER(TransDate))),"",$A186-TransDate)</f>
        <v/>
      </c>
      <c r="Q186" s="16">
        <f>IF($A186="","",IF(_xlfn.MAXIFS('TP-b'!$B$2:$B$60,'TP-b'!$A$2:$A$60,"FP",'TP-b'!$E$2:$E$60,1,'TP-b'!$B$2:$B$60,"&lt;="&amp;$A186)&gt;0,_xlfn.MAXIFS('TP-b'!$B$2:$B$60,'TP-b'!$A$2:$A$60,"FP",'TP-b'!$E$2:$E$60,1,'TP-b'!$B$2:$B$60,"&lt;="&amp;$A186),IF(_xlfn.MINIFS('TP-b'!$B$2:$B$60,'TP-b'!$A$2:$A$60,"FP",'TP-b'!$E$2:$E$60,1)&gt;0,_xlfn.MINIFS('TP-b'!$B$2:$B$60,'TP-b'!$A$2:$A$60,"FP",'TP-b'!$E$2:$E$60,1),"")))</f>
        <v/>
      </c>
      <c r="R186" s="10">
        <f>IF(Q186="","",AVERAGEIFS('TP-b'!$C$2:$C$60,'TP-b'!$A$2:$A$60,"FP",'TP-b'!$B$2:$B$60,Q186,'TP-b'!$E$2:$E$60,1))</f>
        <v/>
      </c>
      <c r="S186" s="10">
        <f>IF(Q186="","",AVERAGEIFS('TP-b'!$D$2:$D$60,'TP-b'!$A$2:$A$60,"FP",'TP-b'!$B$2:$B$60,Q186,'TP-b'!$E$2:$E$60,1))</f>
        <v/>
      </c>
      <c r="T186" s="10">
        <f>IF(OR($A186="",NOT(ISNUMBER($E186)),R186=""),"",ROUND($E186-R186+S186,1))</f>
        <v/>
      </c>
      <c r="U186" s="10">
        <f>IF(AND($F186="Yes",ISNUMBER($G186),R186&lt;&gt;""),ROUND($G186-R186+S186,1),"")</f>
        <v/>
      </c>
      <c r="V186" s="10">
        <f>IF(AND($F186="Yes",ISNUMBER($H186),R186&lt;&gt;""),ROUND($H186-R186+S186,1),"")</f>
        <v/>
      </c>
      <c r="W186" s="10">
        <f>IF(AND(ISNUMBER($E186),ISNUMBER(U186),ISNUMBER(V186)),ROUND((V186-MAX(U186,0))*10,1),"")</f>
        <v/>
      </c>
      <c r="X186" s="10">
        <f>IF(T186="","",IF(AND($F186="Yes",ISNUMBER(V186)),V186,T186))</f>
        <v/>
      </c>
      <c r="Y186" s="10">
        <f>IF(T186="","",ROUND(SUMIFS($W$3:$W$252,$A$3:$A$252,"&lt;="&amp;$A186),1))</f>
        <v/>
      </c>
      <c r="Z186" s="10">
        <f>IF(OR(T186="",$A186=""),"",IF(ISNUMBER(IFERROR(INDEX($X$3:$X$252,MATCH($A186-1,$A$3:$A$252,0)),"")),ROUND((INDEX($X$3:$X$252,MATCH($A186-1,$A$3:$A$252,0))-T186)*10,1),""))</f>
        <v/>
      </c>
      <c r="AA186" s="10">
        <f>IF(ISNUMBER(T186),1,0)</f>
        <v/>
      </c>
      <c r="AB186" s="16">
        <f>IF($A186="","",IF(_xlfn.MAXIFS('TP-b'!$B$2:$B$60,'TP-b'!$A$2:$A$60,"3F4D+MD",'TP-b'!$E$2:$E$60,1,'TP-b'!$B$2:$B$60,"&lt;="&amp;$A186)&gt;0,_xlfn.MAXIFS('TP-b'!$B$2:$B$60,'TP-b'!$A$2:$A$60,"3F4D+MD",'TP-b'!$E$2:$E$60,1,'TP-b'!$B$2:$B$60,"&lt;="&amp;$A186),IF(_xlfn.MINIFS('TP-b'!$B$2:$B$60,'TP-b'!$A$2:$A$60,"3F4D+MD",'TP-b'!$E$2:$E$60,1)&gt;0,_xlfn.MINIFS('TP-b'!$B$2:$B$60,'TP-b'!$A$2:$A$60,"3F4D+MD",'TP-b'!$E$2:$E$60,1),"")))</f>
        <v/>
      </c>
      <c r="AC186" s="10">
        <f>IF(AB186="","",AVERAGEIFS('TP-b'!$C$2:$C$60,'TP-b'!$A$2:$A$60,"3F4D+MD",'TP-b'!$B$2:$B$60,AB186,'TP-b'!$E$2:$E$60,1))</f>
        <v/>
      </c>
      <c r="AD186" s="10">
        <f>IF(AB186="","",AVERAGEIFS('TP-b'!$D$2:$D$60,'TP-b'!$A$2:$A$60,"3F4D+MD",'TP-b'!$B$2:$B$60,AB186,'TP-b'!$E$2:$E$60,1))</f>
        <v/>
      </c>
      <c r="AE186" s="10">
        <f>IF(OR($A186="",NOT(ISNUMBER($J186)),AC186=""),"",ROUND($J186-AC186+AD186,1))</f>
        <v/>
      </c>
      <c r="AF186" s="10">
        <f>IF(AND($K186="Yes",ISNUMBER($L186),AC186&lt;&gt;""),ROUND($L186-AC186+AD186,1),"")</f>
        <v/>
      </c>
      <c r="AG186" s="10">
        <f>IF(AND($K186="Yes",ISNUMBER($M186),AC186&lt;&gt;""),ROUND($M186-AC186+AD186,1),"")</f>
        <v/>
      </c>
      <c r="AH186" s="10">
        <f>IF(AND(ISNUMBER($J186),ISNUMBER(AF186),ISNUMBER(AG186)),ROUND((AG186-MAX(AF186,0))*10,1),"")</f>
        <v/>
      </c>
      <c r="AI186" s="10">
        <f>IF(AE186="","",IF(AND($K186="Yes",ISNUMBER(AG186)),AG186,AE186))</f>
        <v/>
      </c>
      <c r="AJ186" s="10">
        <f>IF(AE186="","",ROUND(SUMIFS($AH$3:$AH$252,$A$3:$A$252,"&lt;="&amp;$A186),1))</f>
        <v/>
      </c>
      <c r="AK186" s="10">
        <f>IF(OR(AE186="",$A186=""),"",IF(ISNUMBER(IFERROR(INDEX($AI$3:$AI$252,MATCH($A186-1,$A$3:$A$252,0)),"")),ROUND((INDEX($AI$3:$AI$252,MATCH($A186-1,$A$3:$A$252,0))-AE186)*10,1),""))</f>
        <v/>
      </c>
      <c r="AL186" s="10">
        <f>IF(ISNUMBER(AE186),1,0)</f>
        <v/>
      </c>
      <c r="AM186" s="17">
        <f>IF($A186="","",IF(COUNTIF($A$3:$A$252,$A186)&gt;1,"same date twice; ","")&amp;IF(AND(ISNUMBER($B186),OR($B186&lt;0,$B186&gt;300)),"rain out of range; ","")&amp;IF(AND(ISNUMBER($C186),OR($C186&lt;0,$C186&gt;45)),"temp out of range; ","")&amp;IF(AND(ISNUMBER($D186),OR($D186&lt;0,$D186&gt;100)),"RH out of range; ",""))</f>
        <v/>
      </c>
      <c r="AN186" s="17">
        <f>IF($A186="","",IF(AND(ISNUMBER(T186),OR(T186&lt;-30,T186&gt;20)),"WL out of range; ","")&amp;IF(AND(ISNUMBER($E186),T186=""),"no TP/b; ","")&amp;IF(AND(ISNUMBER(U186),ISNUMBER(V186)),IF(V186&lt;U186,"After&lt;Before; ",""),"")&amp;IF(AND($F186="Yes",ISNUMBER($E186),W186=""),"irrigation readings missing; ","")&amp;IF(ISNUMBER(Z186),IF(AND(ABS(Z186)&gt;50,NOT(N($B186)&gt;0)),"WL jump &gt;5 cm; ",""),""))</f>
        <v/>
      </c>
      <c r="AO186" s="17">
        <f>IF($A186="","",IF(AND(ISNUMBER(AE186),OR(AE186&lt;-30,AE186&gt;20)),"WL out of range; ","")&amp;IF(AND(ISNUMBER($J186),AE186=""),"no TP/b; ","")&amp;IF(AND(ISNUMBER(AF186),ISNUMBER(AG186)),IF(AG186&lt;AF186,"After&lt;Before; ",""),"")&amp;IF(AND($K186="Yes",ISNUMBER($J186),AH186=""),"irrigation readings missing; ","")&amp;IF(ISNUMBER(AK186),IF(AND(ABS(AK186)&gt;50,NOT(N($B186)&gt;0)),"WL jump &gt;5 cm; ",""),"")&amp;IF(AND(ISNUMBER(PitanE),ISNUMBER(AB186),$A186&gt;PitanE+2,AB186&lt;PitanE),"re-measure TP/b after Pitan; ",""))</f>
        <v/>
      </c>
    </row>
    <row r="187">
      <c r="A187" s="14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0">
        <f>IF(OR($A187="",NOT(ISNUMBER(TransDate))),"",$A187-TransDate)</f>
        <v/>
      </c>
      <c r="Q187" s="16">
        <f>IF($A187="","",IF(_xlfn.MAXIFS('TP-b'!$B$2:$B$60,'TP-b'!$A$2:$A$60,"FP",'TP-b'!$E$2:$E$60,1,'TP-b'!$B$2:$B$60,"&lt;="&amp;$A187)&gt;0,_xlfn.MAXIFS('TP-b'!$B$2:$B$60,'TP-b'!$A$2:$A$60,"FP",'TP-b'!$E$2:$E$60,1,'TP-b'!$B$2:$B$60,"&lt;="&amp;$A187),IF(_xlfn.MINIFS('TP-b'!$B$2:$B$60,'TP-b'!$A$2:$A$60,"FP",'TP-b'!$E$2:$E$60,1)&gt;0,_xlfn.MINIFS('TP-b'!$B$2:$B$60,'TP-b'!$A$2:$A$60,"FP",'TP-b'!$E$2:$E$60,1),"")))</f>
        <v/>
      </c>
      <c r="R187" s="10">
        <f>IF(Q187="","",AVERAGEIFS('TP-b'!$C$2:$C$60,'TP-b'!$A$2:$A$60,"FP",'TP-b'!$B$2:$B$60,Q187,'TP-b'!$E$2:$E$60,1))</f>
        <v/>
      </c>
      <c r="S187" s="10">
        <f>IF(Q187="","",AVERAGEIFS('TP-b'!$D$2:$D$60,'TP-b'!$A$2:$A$60,"FP",'TP-b'!$B$2:$B$60,Q187,'TP-b'!$E$2:$E$60,1))</f>
        <v/>
      </c>
      <c r="T187" s="10">
        <f>IF(OR($A187="",NOT(ISNUMBER($E187)),R187=""),"",ROUND($E187-R187+S187,1))</f>
        <v/>
      </c>
      <c r="U187" s="10">
        <f>IF(AND($F187="Yes",ISNUMBER($G187),R187&lt;&gt;""),ROUND($G187-R187+S187,1),"")</f>
        <v/>
      </c>
      <c r="V187" s="10">
        <f>IF(AND($F187="Yes",ISNUMBER($H187),R187&lt;&gt;""),ROUND($H187-R187+S187,1),"")</f>
        <v/>
      </c>
      <c r="W187" s="10">
        <f>IF(AND(ISNUMBER($E187),ISNUMBER(U187),ISNUMBER(V187)),ROUND((V187-MAX(U187,0))*10,1),"")</f>
        <v/>
      </c>
      <c r="X187" s="10">
        <f>IF(T187="","",IF(AND($F187="Yes",ISNUMBER(V187)),V187,T187))</f>
        <v/>
      </c>
      <c r="Y187" s="10">
        <f>IF(T187="","",ROUND(SUMIFS($W$3:$W$252,$A$3:$A$252,"&lt;="&amp;$A187),1))</f>
        <v/>
      </c>
      <c r="Z187" s="10">
        <f>IF(OR(T187="",$A187=""),"",IF(ISNUMBER(IFERROR(INDEX($X$3:$X$252,MATCH($A187-1,$A$3:$A$252,0)),"")),ROUND((INDEX($X$3:$X$252,MATCH($A187-1,$A$3:$A$252,0))-T187)*10,1),""))</f>
        <v/>
      </c>
      <c r="AA187" s="10">
        <f>IF(ISNUMBER(T187),1,0)</f>
        <v/>
      </c>
      <c r="AB187" s="16">
        <f>IF($A187="","",IF(_xlfn.MAXIFS('TP-b'!$B$2:$B$60,'TP-b'!$A$2:$A$60,"3F4D+MD",'TP-b'!$E$2:$E$60,1,'TP-b'!$B$2:$B$60,"&lt;="&amp;$A187)&gt;0,_xlfn.MAXIFS('TP-b'!$B$2:$B$60,'TP-b'!$A$2:$A$60,"3F4D+MD",'TP-b'!$E$2:$E$60,1,'TP-b'!$B$2:$B$60,"&lt;="&amp;$A187),IF(_xlfn.MINIFS('TP-b'!$B$2:$B$60,'TP-b'!$A$2:$A$60,"3F4D+MD",'TP-b'!$E$2:$E$60,1)&gt;0,_xlfn.MINIFS('TP-b'!$B$2:$B$60,'TP-b'!$A$2:$A$60,"3F4D+MD",'TP-b'!$E$2:$E$60,1),"")))</f>
        <v/>
      </c>
      <c r="AC187" s="10">
        <f>IF(AB187="","",AVERAGEIFS('TP-b'!$C$2:$C$60,'TP-b'!$A$2:$A$60,"3F4D+MD",'TP-b'!$B$2:$B$60,AB187,'TP-b'!$E$2:$E$60,1))</f>
        <v/>
      </c>
      <c r="AD187" s="10">
        <f>IF(AB187="","",AVERAGEIFS('TP-b'!$D$2:$D$60,'TP-b'!$A$2:$A$60,"3F4D+MD",'TP-b'!$B$2:$B$60,AB187,'TP-b'!$E$2:$E$60,1))</f>
        <v/>
      </c>
      <c r="AE187" s="10">
        <f>IF(OR($A187="",NOT(ISNUMBER($J187)),AC187=""),"",ROUND($J187-AC187+AD187,1))</f>
        <v/>
      </c>
      <c r="AF187" s="10">
        <f>IF(AND($K187="Yes",ISNUMBER($L187),AC187&lt;&gt;""),ROUND($L187-AC187+AD187,1),"")</f>
        <v/>
      </c>
      <c r="AG187" s="10">
        <f>IF(AND($K187="Yes",ISNUMBER($M187),AC187&lt;&gt;""),ROUND($M187-AC187+AD187,1),"")</f>
        <v/>
      </c>
      <c r="AH187" s="10">
        <f>IF(AND(ISNUMBER($J187),ISNUMBER(AF187),ISNUMBER(AG187)),ROUND((AG187-MAX(AF187,0))*10,1),"")</f>
        <v/>
      </c>
      <c r="AI187" s="10">
        <f>IF(AE187="","",IF(AND($K187="Yes",ISNUMBER(AG187)),AG187,AE187))</f>
        <v/>
      </c>
      <c r="AJ187" s="10">
        <f>IF(AE187="","",ROUND(SUMIFS($AH$3:$AH$252,$A$3:$A$252,"&lt;="&amp;$A187),1))</f>
        <v/>
      </c>
      <c r="AK187" s="10">
        <f>IF(OR(AE187="",$A187=""),"",IF(ISNUMBER(IFERROR(INDEX($AI$3:$AI$252,MATCH($A187-1,$A$3:$A$252,0)),"")),ROUND((INDEX($AI$3:$AI$252,MATCH($A187-1,$A$3:$A$252,0))-AE187)*10,1),""))</f>
        <v/>
      </c>
      <c r="AL187" s="10">
        <f>IF(ISNUMBER(AE187),1,0)</f>
        <v/>
      </c>
      <c r="AM187" s="17">
        <f>IF($A187="","",IF(COUNTIF($A$3:$A$252,$A187)&gt;1,"same date twice; ","")&amp;IF(AND(ISNUMBER($B187),OR($B187&lt;0,$B187&gt;300)),"rain out of range; ","")&amp;IF(AND(ISNUMBER($C187),OR($C187&lt;0,$C187&gt;45)),"temp out of range; ","")&amp;IF(AND(ISNUMBER($D187),OR($D187&lt;0,$D187&gt;100)),"RH out of range; ",""))</f>
        <v/>
      </c>
      <c r="AN187" s="17">
        <f>IF($A187="","",IF(AND(ISNUMBER(T187),OR(T187&lt;-30,T187&gt;20)),"WL out of range; ","")&amp;IF(AND(ISNUMBER($E187),T187=""),"no TP/b; ","")&amp;IF(AND(ISNUMBER(U187),ISNUMBER(V187)),IF(V187&lt;U187,"After&lt;Before; ",""),"")&amp;IF(AND($F187="Yes",ISNUMBER($E187),W187=""),"irrigation readings missing; ","")&amp;IF(ISNUMBER(Z187),IF(AND(ABS(Z187)&gt;50,NOT(N($B187)&gt;0)),"WL jump &gt;5 cm; ",""),""))</f>
        <v/>
      </c>
      <c r="AO187" s="17">
        <f>IF($A187="","",IF(AND(ISNUMBER(AE187),OR(AE187&lt;-30,AE187&gt;20)),"WL out of range; ","")&amp;IF(AND(ISNUMBER($J187),AE187=""),"no TP/b; ","")&amp;IF(AND(ISNUMBER(AF187),ISNUMBER(AG187)),IF(AG187&lt;AF187,"After&lt;Before; ",""),"")&amp;IF(AND($K187="Yes",ISNUMBER($J187),AH187=""),"irrigation readings missing; ","")&amp;IF(ISNUMBER(AK187),IF(AND(ABS(AK187)&gt;50,NOT(N($B187)&gt;0)),"WL jump &gt;5 cm; ",""),"")&amp;IF(AND(ISNUMBER(PitanE),ISNUMBER(AB187),$A187&gt;PitanE+2,AB187&lt;PitanE),"re-measure TP/b after Pitan; ",""))</f>
        <v/>
      </c>
    </row>
    <row r="188">
      <c r="A188" s="14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0">
        <f>IF(OR($A188="",NOT(ISNUMBER(TransDate))),"",$A188-TransDate)</f>
        <v/>
      </c>
      <c r="Q188" s="16">
        <f>IF($A188="","",IF(_xlfn.MAXIFS('TP-b'!$B$2:$B$60,'TP-b'!$A$2:$A$60,"FP",'TP-b'!$E$2:$E$60,1,'TP-b'!$B$2:$B$60,"&lt;="&amp;$A188)&gt;0,_xlfn.MAXIFS('TP-b'!$B$2:$B$60,'TP-b'!$A$2:$A$60,"FP",'TP-b'!$E$2:$E$60,1,'TP-b'!$B$2:$B$60,"&lt;="&amp;$A188),IF(_xlfn.MINIFS('TP-b'!$B$2:$B$60,'TP-b'!$A$2:$A$60,"FP",'TP-b'!$E$2:$E$60,1)&gt;0,_xlfn.MINIFS('TP-b'!$B$2:$B$60,'TP-b'!$A$2:$A$60,"FP",'TP-b'!$E$2:$E$60,1),"")))</f>
        <v/>
      </c>
      <c r="R188" s="10">
        <f>IF(Q188="","",AVERAGEIFS('TP-b'!$C$2:$C$60,'TP-b'!$A$2:$A$60,"FP",'TP-b'!$B$2:$B$60,Q188,'TP-b'!$E$2:$E$60,1))</f>
        <v/>
      </c>
      <c r="S188" s="10">
        <f>IF(Q188="","",AVERAGEIFS('TP-b'!$D$2:$D$60,'TP-b'!$A$2:$A$60,"FP",'TP-b'!$B$2:$B$60,Q188,'TP-b'!$E$2:$E$60,1))</f>
        <v/>
      </c>
      <c r="T188" s="10">
        <f>IF(OR($A188="",NOT(ISNUMBER($E188)),R188=""),"",ROUND($E188-R188+S188,1))</f>
        <v/>
      </c>
      <c r="U188" s="10">
        <f>IF(AND($F188="Yes",ISNUMBER($G188),R188&lt;&gt;""),ROUND($G188-R188+S188,1),"")</f>
        <v/>
      </c>
      <c r="V188" s="10">
        <f>IF(AND($F188="Yes",ISNUMBER($H188),R188&lt;&gt;""),ROUND($H188-R188+S188,1),"")</f>
        <v/>
      </c>
      <c r="W188" s="10">
        <f>IF(AND(ISNUMBER($E188),ISNUMBER(U188),ISNUMBER(V188)),ROUND((V188-MAX(U188,0))*10,1),"")</f>
        <v/>
      </c>
      <c r="X188" s="10">
        <f>IF(T188="","",IF(AND($F188="Yes",ISNUMBER(V188)),V188,T188))</f>
        <v/>
      </c>
      <c r="Y188" s="10">
        <f>IF(T188="","",ROUND(SUMIFS($W$3:$W$252,$A$3:$A$252,"&lt;="&amp;$A188),1))</f>
        <v/>
      </c>
      <c r="Z188" s="10">
        <f>IF(OR(T188="",$A188=""),"",IF(ISNUMBER(IFERROR(INDEX($X$3:$X$252,MATCH($A188-1,$A$3:$A$252,0)),"")),ROUND((INDEX($X$3:$X$252,MATCH($A188-1,$A$3:$A$252,0))-T188)*10,1),""))</f>
        <v/>
      </c>
      <c r="AA188" s="10">
        <f>IF(ISNUMBER(T188),1,0)</f>
        <v/>
      </c>
      <c r="AB188" s="16">
        <f>IF($A188="","",IF(_xlfn.MAXIFS('TP-b'!$B$2:$B$60,'TP-b'!$A$2:$A$60,"3F4D+MD",'TP-b'!$E$2:$E$60,1,'TP-b'!$B$2:$B$60,"&lt;="&amp;$A188)&gt;0,_xlfn.MAXIFS('TP-b'!$B$2:$B$60,'TP-b'!$A$2:$A$60,"3F4D+MD",'TP-b'!$E$2:$E$60,1,'TP-b'!$B$2:$B$60,"&lt;="&amp;$A188),IF(_xlfn.MINIFS('TP-b'!$B$2:$B$60,'TP-b'!$A$2:$A$60,"3F4D+MD",'TP-b'!$E$2:$E$60,1)&gt;0,_xlfn.MINIFS('TP-b'!$B$2:$B$60,'TP-b'!$A$2:$A$60,"3F4D+MD",'TP-b'!$E$2:$E$60,1),"")))</f>
        <v/>
      </c>
      <c r="AC188" s="10">
        <f>IF(AB188="","",AVERAGEIFS('TP-b'!$C$2:$C$60,'TP-b'!$A$2:$A$60,"3F4D+MD",'TP-b'!$B$2:$B$60,AB188,'TP-b'!$E$2:$E$60,1))</f>
        <v/>
      </c>
      <c r="AD188" s="10">
        <f>IF(AB188="","",AVERAGEIFS('TP-b'!$D$2:$D$60,'TP-b'!$A$2:$A$60,"3F4D+MD",'TP-b'!$B$2:$B$60,AB188,'TP-b'!$E$2:$E$60,1))</f>
        <v/>
      </c>
      <c r="AE188" s="10">
        <f>IF(OR($A188="",NOT(ISNUMBER($J188)),AC188=""),"",ROUND($J188-AC188+AD188,1))</f>
        <v/>
      </c>
      <c r="AF188" s="10">
        <f>IF(AND($K188="Yes",ISNUMBER($L188),AC188&lt;&gt;""),ROUND($L188-AC188+AD188,1),"")</f>
        <v/>
      </c>
      <c r="AG188" s="10">
        <f>IF(AND($K188="Yes",ISNUMBER($M188),AC188&lt;&gt;""),ROUND($M188-AC188+AD188,1),"")</f>
        <v/>
      </c>
      <c r="AH188" s="10">
        <f>IF(AND(ISNUMBER($J188),ISNUMBER(AF188),ISNUMBER(AG188)),ROUND((AG188-MAX(AF188,0))*10,1),"")</f>
        <v/>
      </c>
      <c r="AI188" s="10">
        <f>IF(AE188="","",IF(AND($K188="Yes",ISNUMBER(AG188)),AG188,AE188))</f>
        <v/>
      </c>
      <c r="AJ188" s="10">
        <f>IF(AE188="","",ROUND(SUMIFS($AH$3:$AH$252,$A$3:$A$252,"&lt;="&amp;$A188),1))</f>
        <v/>
      </c>
      <c r="AK188" s="10">
        <f>IF(OR(AE188="",$A188=""),"",IF(ISNUMBER(IFERROR(INDEX($AI$3:$AI$252,MATCH($A188-1,$A$3:$A$252,0)),"")),ROUND((INDEX($AI$3:$AI$252,MATCH($A188-1,$A$3:$A$252,0))-AE188)*10,1),""))</f>
        <v/>
      </c>
      <c r="AL188" s="10">
        <f>IF(ISNUMBER(AE188),1,0)</f>
        <v/>
      </c>
      <c r="AM188" s="17">
        <f>IF($A188="","",IF(COUNTIF($A$3:$A$252,$A188)&gt;1,"same date twice; ","")&amp;IF(AND(ISNUMBER($B188),OR($B188&lt;0,$B188&gt;300)),"rain out of range; ","")&amp;IF(AND(ISNUMBER($C188),OR($C188&lt;0,$C188&gt;45)),"temp out of range; ","")&amp;IF(AND(ISNUMBER($D188),OR($D188&lt;0,$D188&gt;100)),"RH out of range; ",""))</f>
        <v/>
      </c>
      <c r="AN188" s="17">
        <f>IF($A188="","",IF(AND(ISNUMBER(T188),OR(T188&lt;-30,T188&gt;20)),"WL out of range; ","")&amp;IF(AND(ISNUMBER($E188),T188=""),"no TP/b; ","")&amp;IF(AND(ISNUMBER(U188),ISNUMBER(V188)),IF(V188&lt;U188,"After&lt;Before; ",""),"")&amp;IF(AND($F188="Yes",ISNUMBER($E188),W188=""),"irrigation readings missing; ","")&amp;IF(ISNUMBER(Z188),IF(AND(ABS(Z188)&gt;50,NOT(N($B188)&gt;0)),"WL jump &gt;5 cm; ",""),""))</f>
        <v/>
      </c>
      <c r="AO188" s="17">
        <f>IF($A188="","",IF(AND(ISNUMBER(AE188),OR(AE188&lt;-30,AE188&gt;20)),"WL out of range; ","")&amp;IF(AND(ISNUMBER($J188),AE188=""),"no TP/b; ","")&amp;IF(AND(ISNUMBER(AF188),ISNUMBER(AG188)),IF(AG188&lt;AF188,"After&lt;Before; ",""),"")&amp;IF(AND($K188="Yes",ISNUMBER($J188),AH188=""),"irrigation readings missing; ","")&amp;IF(ISNUMBER(AK188),IF(AND(ABS(AK188)&gt;50,NOT(N($B188)&gt;0)),"WL jump &gt;5 cm; ",""),"")&amp;IF(AND(ISNUMBER(PitanE),ISNUMBER(AB188),$A188&gt;PitanE+2,AB188&lt;PitanE),"re-measure TP/b after Pitan; ",""))</f>
        <v/>
      </c>
    </row>
    <row r="189">
      <c r="A189" s="14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0">
        <f>IF(OR($A189="",NOT(ISNUMBER(TransDate))),"",$A189-TransDate)</f>
        <v/>
      </c>
      <c r="Q189" s="16">
        <f>IF($A189="","",IF(_xlfn.MAXIFS('TP-b'!$B$2:$B$60,'TP-b'!$A$2:$A$60,"FP",'TP-b'!$E$2:$E$60,1,'TP-b'!$B$2:$B$60,"&lt;="&amp;$A189)&gt;0,_xlfn.MAXIFS('TP-b'!$B$2:$B$60,'TP-b'!$A$2:$A$60,"FP",'TP-b'!$E$2:$E$60,1,'TP-b'!$B$2:$B$60,"&lt;="&amp;$A189),IF(_xlfn.MINIFS('TP-b'!$B$2:$B$60,'TP-b'!$A$2:$A$60,"FP",'TP-b'!$E$2:$E$60,1)&gt;0,_xlfn.MINIFS('TP-b'!$B$2:$B$60,'TP-b'!$A$2:$A$60,"FP",'TP-b'!$E$2:$E$60,1),"")))</f>
        <v/>
      </c>
      <c r="R189" s="10">
        <f>IF(Q189="","",AVERAGEIFS('TP-b'!$C$2:$C$60,'TP-b'!$A$2:$A$60,"FP",'TP-b'!$B$2:$B$60,Q189,'TP-b'!$E$2:$E$60,1))</f>
        <v/>
      </c>
      <c r="S189" s="10">
        <f>IF(Q189="","",AVERAGEIFS('TP-b'!$D$2:$D$60,'TP-b'!$A$2:$A$60,"FP",'TP-b'!$B$2:$B$60,Q189,'TP-b'!$E$2:$E$60,1))</f>
        <v/>
      </c>
      <c r="T189" s="10">
        <f>IF(OR($A189="",NOT(ISNUMBER($E189)),R189=""),"",ROUND($E189-R189+S189,1))</f>
        <v/>
      </c>
      <c r="U189" s="10">
        <f>IF(AND($F189="Yes",ISNUMBER($G189),R189&lt;&gt;""),ROUND($G189-R189+S189,1),"")</f>
        <v/>
      </c>
      <c r="V189" s="10">
        <f>IF(AND($F189="Yes",ISNUMBER($H189),R189&lt;&gt;""),ROUND($H189-R189+S189,1),"")</f>
        <v/>
      </c>
      <c r="W189" s="10">
        <f>IF(AND(ISNUMBER($E189),ISNUMBER(U189),ISNUMBER(V189)),ROUND((V189-MAX(U189,0))*10,1),"")</f>
        <v/>
      </c>
      <c r="X189" s="10">
        <f>IF(T189="","",IF(AND($F189="Yes",ISNUMBER(V189)),V189,T189))</f>
        <v/>
      </c>
      <c r="Y189" s="10">
        <f>IF(T189="","",ROUND(SUMIFS($W$3:$W$252,$A$3:$A$252,"&lt;="&amp;$A189),1))</f>
        <v/>
      </c>
      <c r="Z189" s="10">
        <f>IF(OR(T189="",$A189=""),"",IF(ISNUMBER(IFERROR(INDEX($X$3:$X$252,MATCH($A189-1,$A$3:$A$252,0)),"")),ROUND((INDEX($X$3:$X$252,MATCH($A189-1,$A$3:$A$252,0))-T189)*10,1),""))</f>
        <v/>
      </c>
      <c r="AA189" s="10">
        <f>IF(ISNUMBER(T189),1,0)</f>
        <v/>
      </c>
      <c r="AB189" s="16">
        <f>IF($A189="","",IF(_xlfn.MAXIFS('TP-b'!$B$2:$B$60,'TP-b'!$A$2:$A$60,"3F4D+MD",'TP-b'!$E$2:$E$60,1,'TP-b'!$B$2:$B$60,"&lt;="&amp;$A189)&gt;0,_xlfn.MAXIFS('TP-b'!$B$2:$B$60,'TP-b'!$A$2:$A$60,"3F4D+MD",'TP-b'!$E$2:$E$60,1,'TP-b'!$B$2:$B$60,"&lt;="&amp;$A189),IF(_xlfn.MINIFS('TP-b'!$B$2:$B$60,'TP-b'!$A$2:$A$60,"3F4D+MD",'TP-b'!$E$2:$E$60,1)&gt;0,_xlfn.MINIFS('TP-b'!$B$2:$B$60,'TP-b'!$A$2:$A$60,"3F4D+MD",'TP-b'!$E$2:$E$60,1),"")))</f>
        <v/>
      </c>
      <c r="AC189" s="10">
        <f>IF(AB189="","",AVERAGEIFS('TP-b'!$C$2:$C$60,'TP-b'!$A$2:$A$60,"3F4D+MD",'TP-b'!$B$2:$B$60,AB189,'TP-b'!$E$2:$E$60,1))</f>
        <v/>
      </c>
      <c r="AD189" s="10">
        <f>IF(AB189="","",AVERAGEIFS('TP-b'!$D$2:$D$60,'TP-b'!$A$2:$A$60,"3F4D+MD",'TP-b'!$B$2:$B$60,AB189,'TP-b'!$E$2:$E$60,1))</f>
        <v/>
      </c>
      <c r="AE189" s="10">
        <f>IF(OR($A189="",NOT(ISNUMBER($J189)),AC189=""),"",ROUND($J189-AC189+AD189,1))</f>
        <v/>
      </c>
      <c r="AF189" s="10">
        <f>IF(AND($K189="Yes",ISNUMBER($L189),AC189&lt;&gt;""),ROUND($L189-AC189+AD189,1),"")</f>
        <v/>
      </c>
      <c r="AG189" s="10">
        <f>IF(AND($K189="Yes",ISNUMBER($M189),AC189&lt;&gt;""),ROUND($M189-AC189+AD189,1),"")</f>
        <v/>
      </c>
      <c r="AH189" s="10">
        <f>IF(AND(ISNUMBER($J189),ISNUMBER(AF189),ISNUMBER(AG189)),ROUND((AG189-MAX(AF189,0))*10,1),"")</f>
        <v/>
      </c>
      <c r="AI189" s="10">
        <f>IF(AE189="","",IF(AND($K189="Yes",ISNUMBER(AG189)),AG189,AE189))</f>
        <v/>
      </c>
      <c r="AJ189" s="10">
        <f>IF(AE189="","",ROUND(SUMIFS($AH$3:$AH$252,$A$3:$A$252,"&lt;="&amp;$A189),1))</f>
        <v/>
      </c>
      <c r="AK189" s="10">
        <f>IF(OR(AE189="",$A189=""),"",IF(ISNUMBER(IFERROR(INDEX($AI$3:$AI$252,MATCH($A189-1,$A$3:$A$252,0)),"")),ROUND((INDEX($AI$3:$AI$252,MATCH($A189-1,$A$3:$A$252,0))-AE189)*10,1),""))</f>
        <v/>
      </c>
      <c r="AL189" s="10">
        <f>IF(ISNUMBER(AE189),1,0)</f>
        <v/>
      </c>
      <c r="AM189" s="17">
        <f>IF($A189="","",IF(COUNTIF($A$3:$A$252,$A189)&gt;1,"same date twice; ","")&amp;IF(AND(ISNUMBER($B189),OR($B189&lt;0,$B189&gt;300)),"rain out of range; ","")&amp;IF(AND(ISNUMBER($C189),OR($C189&lt;0,$C189&gt;45)),"temp out of range; ","")&amp;IF(AND(ISNUMBER($D189),OR($D189&lt;0,$D189&gt;100)),"RH out of range; ",""))</f>
        <v/>
      </c>
      <c r="AN189" s="17">
        <f>IF($A189="","",IF(AND(ISNUMBER(T189),OR(T189&lt;-30,T189&gt;20)),"WL out of range; ","")&amp;IF(AND(ISNUMBER($E189),T189=""),"no TP/b; ","")&amp;IF(AND(ISNUMBER(U189),ISNUMBER(V189)),IF(V189&lt;U189,"After&lt;Before; ",""),"")&amp;IF(AND($F189="Yes",ISNUMBER($E189),W189=""),"irrigation readings missing; ","")&amp;IF(ISNUMBER(Z189),IF(AND(ABS(Z189)&gt;50,NOT(N($B189)&gt;0)),"WL jump &gt;5 cm; ",""),""))</f>
        <v/>
      </c>
      <c r="AO189" s="17">
        <f>IF($A189="","",IF(AND(ISNUMBER(AE189),OR(AE189&lt;-30,AE189&gt;20)),"WL out of range; ","")&amp;IF(AND(ISNUMBER($J189),AE189=""),"no TP/b; ","")&amp;IF(AND(ISNUMBER(AF189),ISNUMBER(AG189)),IF(AG189&lt;AF189,"After&lt;Before; ",""),"")&amp;IF(AND($K189="Yes",ISNUMBER($J189),AH189=""),"irrigation readings missing; ","")&amp;IF(ISNUMBER(AK189),IF(AND(ABS(AK189)&gt;50,NOT(N($B189)&gt;0)),"WL jump &gt;5 cm; ",""),"")&amp;IF(AND(ISNUMBER(PitanE),ISNUMBER(AB189),$A189&gt;PitanE+2,AB189&lt;PitanE),"re-measure TP/b after Pitan; ",""))</f>
        <v/>
      </c>
    </row>
    <row r="190">
      <c r="A190" s="14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0">
        <f>IF(OR($A190="",NOT(ISNUMBER(TransDate))),"",$A190-TransDate)</f>
        <v/>
      </c>
      <c r="Q190" s="16">
        <f>IF($A190="","",IF(_xlfn.MAXIFS('TP-b'!$B$2:$B$60,'TP-b'!$A$2:$A$60,"FP",'TP-b'!$E$2:$E$60,1,'TP-b'!$B$2:$B$60,"&lt;="&amp;$A190)&gt;0,_xlfn.MAXIFS('TP-b'!$B$2:$B$60,'TP-b'!$A$2:$A$60,"FP",'TP-b'!$E$2:$E$60,1,'TP-b'!$B$2:$B$60,"&lt;="&amp;$A190),IF(_xlfn.MINIFS('TP-b'!$B$2:$B$60,'TP-b'!$A$2:$A$60,"FP",'TP-b'!$E$2:$E$60,1)&gt;0,_xlfn.MINIFS('TP-b'!$B$2:$B$60,'TP-b'!$A$2:$A$60,"FP",'TP-b'!$E$2:$E$60,1),"")))</f>
        <v/>
      </c>
      <c r="R190" s="10">
        <f>IF(Q190="","",AVERAGEIFS('TP-b'!$C$2:$C$60,'TP-b'!$A$2:$A$60,"FP",'TP-b'!$B$2:$B$60,Q190,'TP-b'!$E$2:$E$60,1))</f>
        <v/>
      </c>
      <c r="S190" s="10">
        <f>IF(Q190="","",AVERAGEIFS('TP-b'!$D$2:$D$60,'TP-b'!$A$2:$A$60,"FP",'TP-b'!$B$2:$B$60,Q190,'TP-b'!$E$2:$E$60,1))</f>
        <v/>
      </c>
      <c r="T190" s="10">
        <f>IF(OR($A190="",NOT(ISNUMBER($E190)),R190=""),"",ROUND($E190-R190+S190,1))</f>
        <v/>
      </c>
      <c r="U190" s="10">
        <f>IF(AND($F190="Yes",ISNUMBER($G190),R190&lt;&gt;""),ROUND($G190-R190+S190,1),"")</f>
        <v/>
      </c>
      <c r="V190" s="10">
        <f>IF(AND($F190="Yes",ISNUMBER($H190),R190&lt;&gt;""),ROUND($H190-R190+S190,1),"")</f>
        <v/>
      </c>
      <c r="W190" s="10">
        <f>IF(AND(ISNUMBER($E190),ISNUMBER(U190),ISNUMBER(V190)),ROUND((V190-MAX(U190,0))*10,1),"")</f>
        <v/>
      </c>
      <c r="X190" s="10">
        <f>IF(T190="","",IF(AND($F190="Yes",ISNUMBER(V190)),V190,T190))</f>
        <v/>
      </c>
      <c r="Y190" s="10">
        <f>IF(T190="","",ROUND(SUMIFS($W$3:$W$252,$A$3:$A$252,"&lt;="&amp;$A190),1))</f>
        <v/>
      </c>
      <c r="Z190" s="10">
        <f>IF(OR(T190="",$A190=""),"",IF(ISNUMBER(IFERROR(INDEX($X$3:$X$252,MATCH($A190-1,$A$3:$A$252,0)),"")),ROUND((INDEX($X$3:$X$252,MATCH($A190-1,$A$3:$A$252,0))-T190)*10,1),""))</f>
        <v/>
      </c>
      <c r="AA190" s="10">
        <f>IF(ISNUMBER(T190),1,0)</f>
        <v/>
      </c>
      <c r="AB190" s="16">
        <f>IF($A190="","",IF(_xlfn.MAXIFS('TP-b'!$B$2:$B$60,'TP-b'!$A$2:$A$60,"3F4D+MD",'TP-b'!$E$2:$E$60,1,'TP-b'!$B$2:$B$60,"&lt;="&amp;$A190)&gt;0,_xlfn.MAXIFS('TP-b'!$B$2:$B$60,'TP-b'!$A$2:$A$60,"3F4D+MD",'TP-b'!$E$2:$E$60,1,'TP-b'!$B$2:$B$60,"&lt;="&amp;$A190),IF(_xlfn.MINIFS('TP-b'!$B$2:$B$60,'TP-b'!$A$2:$A$60,"3F4D+MD",'TP-b'!$E$2:$E$60,1)&gt;0,_xlfn.MINIFS('TP-b'!$B$2:$B$60,'TP-b'!$A$2:$A$60,"3F4D+MD",'TP-b'!$E$2:$E$60,1),"")))</f>
        <v/>
      </c>
      <c r="AC190" s="10">
        <f>IF(AB190="","",AVERAGEIFS('TP-b'!$C$2:$C$60,'TP-b'!$A$2:$A$60,"3F4D+MD",'TP-b'!$B$2:$B$60,AB190,'TP-b'!$E$2:$E$60,1))</f>
        <v/>
      </c>
      <c r="AD190" s="10">
        <f>IF(AB190="","",AVERAGEIFS('TP-b'!$D$2:$D$60,'TP-b'!$A$2:$A$60,"3F4D+MD",'TP-b'!$B$2:$B$60,AB190,'TP-b'!$E$2:$E$60,1))</f>
        <v/>
      </c>
      <c r="AE190" s="10">
        <f>IF(OR($A190="",NOT(ISNUMBER($J190)),AC190=""),"",ROUND($J190-AC190+AD190,1))</f>
        <v/>
      </c>
      <c r="AF190" s="10">
        <f>IF(AND($K190="Yes",ISNUMBER($L190),AC190&lt;&gt;""),ROUND($L190-AC190+AD190,1),"")</f>
        <v/>
      </c>
      <c r="AG190" s="10">
        <f>IF(AND($K190="Yes",ISNUMBER($M190),AC190&lt;&gt;""),ROUND($M190-AC190+AD190,1),"")</f>
        <v/>
      </c>
      <c r="AH190" s="10">
        <f>IF(AND(ISNUMBER($J190),ISNUMBER(AF190),ISNUMBER(AG190)),ROUND((AG190-MAX(AF190,0))*10,1),"")</f>
        <v/>
      </c>
      <c r="AI190" s="10">
        <f>IF(AE190="","",IF(AND($K190="Yes",ISNUMBER(AG190)),AG190,AE190))</f>
        <v/>
      </c>
      <c r="AJ190" s="10">
        <f>IF(AE190="","",ROUND(SUMIFS($AH$3:$AH$252,$A$3:$A$252,"&lt;="&amp;$A190),1))</f>
        <v/>
      </c>
      <c r="AK190" s="10">
        <f>IF(OR(AE190="",$A190=""),"",IF(ISNUMBER(IFERROR(INDEX($AI$3:$AI$252,MATCH($A190-1,$A$3:$A$252,0)),"")),ROUND((INDEX($AI$3:$AI$252,MATCH($A190-1,$A$3:$A$252,0))-AE190)*10,1),""))</f>
        <v/>
      </c>
      <c r="AL190" s="10">
        <f>IF(ISNUMBER(AE190),1,0)</f>
        <v/>
      </c>
      <c r="AM190" s="17">
        <f>IF($A190="","",IF(COUNTIF($A$3:$A$252,$A190)&gt;1,"same date twice; ","")&amp;IF(AND(ISNUMBER($B190),OR($B190&lt;0,$B190&gt;300)),"rain out of range; ","")&amp;IF(AND(ISNUMBER($C190),OR($C190&lt;0,$C190&gt;45)),"temp out of range; ","")&amp;IF(AND(ISNUMBER($D190),OR($D190&lt;0,$D190&gt;100)),"RH out of range; ",""))</f>
        <v/>
      </c>
      <c r="AN190" s="17">
        <f>IF($A190="","",IF(AND(ISNUMBER(T190),OR(T190&lt;-30,T190&gt;20)),"WL out of range; ","")&amp;IF(AND(ISNUMBER($E190),T190=""),"no TP/b; ","")&amp;IF(AND(ISNUMBER(U190),ISNUMBER(V190)),IF(V190&lt;U190,"After&lt;Before; ",""),"")&amp;IF(AND($F190="Yes",ISNUMBER($E190),W190=""),"irrigation readings missing; ","")&amp;IF(ISNUMBER(Z190),IF(AND(ABS(Z190)&gt;50,NOT(N($B190)&gt;0)),"WL jump &gt;5 cm; ",""),""))</f>
        <v/>
      </c>
      <c r="AO190" s="17">
        <f>IF($A190="","",IF(AND(ISNUMBER(AE190),OR(AE190&lt;-30,AE190&gt;20)),"WL out of range; ","")&amp;IF(AND(ISNUMBER($J190),AE190=""),"no TP/b; ","")&amp;IF(AND(ISNUMBER(AF190),ISNUMBER(AG190)),IF(AG190&lt;AF190,"After&lt;Before; ",""),"")&amp;IF(AND($K190="Yes",ISNUMBER($J190),AH190=""),"irrigation readings missing; ","")&amp;IF(ISNUMBER(AK190),IF(AND(ABS(AK190)&gt;50,NOT(N($B190)&gt;0)),"WL jump &gt;5 cm; ",""),"")&amp;IF(AND(ISNUMBER(PitanE),ISNUMBER(AB190),$A190&gt;PitanE+2,AB190&lt;PitanE),"re-measure TP/b after Pitan; ",""))</f>
        <v/>
      </c>
    </row>
    <row r="191">
      <c r="A191" s="14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0">
        <f>IF(OR($A191="",NOT(ISNUMBER(TransDate))),"",$A191-TransDate)</f>
        <v/>
      </c>
      <c r="Q191" s="16">
        <f>IF($A191="","",IF(_xlfn.MAXIFS('TP-b'!$B$2:$B$60,'TP-b'!$A$2:$A$60,"FP",'TP-b'!$E$2:$E$60,1,'TP-b'!$B$2:$B$60,"&lt;="&amp;$A191)&gt;0,_xlfn.MAXIFS('TP-b'!$B$2:$B$60,'TP-b'!$A$2:$A$60,"FP",'TP-b'!$E$2:$E$60,1,'TP-b'!$B$2:$B$60,"&lt;="&amp;$A191),IF(_xlfn.MINIFS('TP-b'!$B$2:$B$60,'TP-b'!$A$2:$A$60,"FP",'TP-b'!$E$2:$E$60,1)&gt;0,_xlfn.MINIFS('TP-b'!$B$2:$B$60,'TP-b'!$A$2:$A$60,"FP",'TP-b'!$E$2:$E$60,1),"")))</f>
        <v/>
      </c>
      <c r="R191" s="10">
        <f>IF(Q191="","",AVERAGEIFS('TP-b'!$C$2:$C$60,'TP-b'!$A$2:$A$60,"FP",'TP-b'!$B$2:$B$60,Q191,'TP-b'!$E$2:$E$60,1))</f>
        <v/>
      </c>
      <c r="S191" s="10">
        <f>IF(Q191="","",AVERAGEIFS('TP-b'!$D$2:$D$60,'TP-b'!$A$2:$A$60,"FP",'TP-b'!$B$2:$B$60,Q191,'TP-b'!$E$2:$E$60,1))</f>
        <v/>
      </c>
      <c r="T191" s="10">
        <f>IF(OR($A191="",NOT(ISNUMBER($E191)),R191=""),"",ROUND($E191-R191+S191,1))</f>
        <v/>
      </c>
      <c r="U191" s="10">
        <f>IF(AND($F191="Yes",ISNUMBER($G191),R191&lt;&gt;""),ROUND($G191-R191+S191,1),"")</f>
        <v/>
      </c>
      <c r="V191" s="10">
        <f>IF(AND($F191="Yes",ISNUMBER($H191),R191&lt;&gt;""),ROUND($H191-R191+S191,1),"")</f>
        <v/>
      </c>
      <c r="W191" s="10">
        <f>IF(AND(ISNUMBER($E191),ISNUMBER(U191),ISNUMBER(V191)),ROUND((V191-MAX(U191,0))*10,1),"")</f>
        <v/>
      </c>
      <c r="X191" s="10">
        <f>IF(T191="","",IF(AND($F191="Yes",ISNUMBER(V191)),V191,T191))</f>
        <v/>
      </c>
      <c r="Y191" s="10">
        <f>IF(T191="","",ROUND(SUMIFS($W$3:$W$252,$A$3:$A$252,"&lt;="&amp;$A191),1))</f>
        <v/>
      </c>
      <c r="Z191" s="10">
        <f>IF(OR(T191="",$A191=""),"",IF(ISNUMBER(IFERROR(INDEX($X$3:$X$252,MATCH($A191-1,$A$3:$A$252,0)),"")),ROUND((INDEX($X$3:$X$252,MATCH($A191-1,$A$3:$A$252,0))-T191)*10,1),""))</f>
        <v/>
      </c>
      <c r="AA191" s="10">
        <f>IF(ISNUMBER(T191),1,0)</f>
        <v/>
      </c>
      <c r="AB191" s="16">
        <f>IF($A191="","",IF(_xlfn.MAXIFS('TP-b'!$B$2:$B$60,'TP-b'!$A$2:$A$60,"3F4D+MD",'TP-b'!$E$2:$E$60,1,'TP-b'!$B$2:$B$60,"&lt;="&amp;$A191)&gt;0,_xlfn.MAXIFS('TP-b'!$B$2:$B$60,'TP-b'!$A$2:$A$60,"3F4D+MD",'TP-b'!$E$2:$E$60,1,'TP-b'!$B$2:$B$60,"&lt;="&amp;$A191),IF(_xlfn.MINIFS('TP-b'!$B$2:$B$60,'TP-b'!$A$2:$A$60,"3F4D+MD",'TP-b'!$E$2:$E$60,1)&gt;0,_xlfn.MINIFS('TP-b'!$B$2:$B$60,'TP-b'!$A$2:$A$60,"3F4D+MD",'TP-b'!$E$2:$E$60,1),"")))</f>
        <v/>
      </c>
      <c r="AC191" s="10">
        <f>IF(AB191="","",AVERAGEIFS('TP-b'!$C$2:$C$60,'TP-b'!$A$2:$A$60,"3F4D+MD",'TP-b'!$B$2:$B$60,AB191,'TP-b'!$E$2:$E$60,1))</f>
        <v/>
      </c>
      <c r="AD191" s="10">
        <f>IF(AB191="","",AVERAGEIFS('TP-b'!$D$2:$D$60,'TP-b'!$A$2:$A$60,"3F4D+MD",'TP-b'!$B$2:$B$60,AB191,'TP-b'!$E$2:$E$60,1))</f>
        <v/>
      </c>
      <c r="AE191" s="10">
        <f>IF(OR($A191="",NOT(ISNUMBER($J191)),AC191=""),"",ROUND($J191-AC191+AD191,1))</f>
        <v/>
      </c>
      <c r="AF191" s="10">
        <f>IF(AND($K191="Yes",ISNUMBER($L191),AC191&lt;&gt;""),ROUND($L191-AC191+AD191,1),"")</f>
        <v/>
      </c>
      <c r="AG191" s="10">
        <f>IF(AND($K191="Yes",ISNUMBER($M191),AC191&lt;&gt;""),ROUND($M191-AC191+AD191,1),"")</f>
        <v/>
      </c>
      <c r="AH191" s="10">
        <f>IF(AND(ISNUMBER($J191),ISNUMBER(AF191),ISNUMBER(AG191)),ROUND((AG191-MAX(AF191,0))*10,1),"")</f>
        <v/>
      </c>
      <c r="AI191" s="10">
        <f>IF(AE191="","",IF(AND($K191="Yes",ISNUMBER(AG191)),AG191,AE191))</f>
        <v/>
      </c>
      <c r="AJ191" s="10">
        <f>IF(AE191="","",ROUND(SUMIFS($AH$3:$AH$252,$A$3:$A$252,"&lt;="&amp;$A191),1))</f>
        <v/>
      </c>
      <c r="AK191" s="10">
        <f>IF(OR(AE191="",$A191=""),"",IF(ISNUMBER(IFERROR(INDEX($AI$3:$AI$252,MATCH($A191-1,$A$3:$A$252,0)),"")),ROUND((INDEX($AI$3:$AI$252,MATCH($A191-1,$A$3:$A$252,0))-AE191)*10,1),""))</f>
        <v/>
      </c>
      <c r="AL191" s="10">
        <f>IF(ISNUMBER(AE191),1,0)</f>
        <v/>
      </c>
      <c r="AM191" s="17">
        <f>IF($A191="","",IF(COUNTIF($A$3:$A$252,$A191)&gt;1,"same date twice; ","")&amp;IF(AND(ISNUMBER($B191),OR($B191&lt;0,$B191&gt;300)),"rain out of range; ","")&amp;IF(AND(ISNUMBER($C191),OR($C191&lt;0,$C191&gt;45)),"temp out of range; ","")&amp;IF(AND(ISNUMBER($D191),OR($D191&lt;0,$D191&gt;100)),"RH out of range; ",""))</f>
        <v/>
      </c>
      <c r="AN191" s="17">
        <f>IF($A191="","",IF(AND(ISNUMBER(T191),OR(T191&lt;-30,T191&gt;20)),"WL out of range; ","")&amp;IF(AND(ISNUMBER($E191),T191=""),"no TP/b; ","")&amp;IF(AND(ISNUMBER(U191),ISNUMBER(V191)),IF(V191&lt;U191,"After&lt;Before; ",""),"")&amp;IF(AND($F191="Yes",ISNUMBER($E191),W191=""),"irrigation readings missing; ","")&amp;IF(ISNUMBER(Z191),IF(AND(ABS(Z191)&gt;50,NOT(N($B191)&gt;0)),"WL jump &gt;5 cm; ",""),""))</f>
        <v/>
      </c>
      <c r="AO191" s="17">
        <f>IF($A191="","",IF(AND(ISNUMBER(AE191),OR(AE191&lt;-30,AE191&gt;20)),"WL out of range; ","")&amp;IF(AND(ISNUMBER($J191),AE191=""),"no TP/b; ","")&amp;IF(AND(ISNUMBER(AF191),ISNUMBER(AG191)),IF(AG191&lt;AF191,"After&lt;Before; ",""),"")&amp;IF(AND($K191="Yes",ISNUMBER($J191),AH191=""),"irrigation readings missing; ","")&amp;IF(ISNUMBER(AK191),IF(AND(ABS(AK191)&gt;50,NOT(N($B191)&gt;0)),"WL jump &gt;5 cm; ",""),"")&amp;IF(AND(ISNUMBER(PitanE),ISNUMBER(AB191),$A191&gt;PitanE+2,AB191&lt;PitanE),"re-measure TP/b after Pitan; ",""))</f>
        <v/>
      </c>
    </row>
    <row r="192">
      <c r="A192" s="14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0">
        <f>IF(OR($A192="",NOT(ISNUMBER(TransDate))),"",$A192-TransDate)</f>
        <v/>
      </c>
      <c r="Q192" s="16">
        <f>IF($A192="","",IF(_xlfn.MAXIFS('TP-b'!$B$2:$B$60,'TP-b'!$A$2:$A$60,"FP",'TP-b'!$E$2:$E$60,1,'TP-b'!$B$2:$B$60,"&lt;="&amp;$A192)&gt;0,_xlfn.MAXIFS('TP-b'!$B$2:$B$60,'TP-b'!$A$2:$A$60,"FP",'TP-b'!$E$2:$E$60,1,'TP-b'!$B$2:$B$60,"&lt;="&amp;$A192),IF(_xlfn.MINIFS('TP-b'!$B$2:$B$60,'TP-b'!$A$2:$A$60,"FP",'TP-b'!$E$2:$E$60,1)&gt;0,_xlfn.MINIFS('TP-b'!$B$2:$B$60,'TP-b'!$A$2:$A$60,"FP",'TP-b'!$E$2:$E$60,1),"")))</f>
        <v/>
      </c>
      <c r="R192" s="10">
        <f>IF(Q192="","",AVERAGEIFS('TP-b'!$C$2:$C$60,'TP-b'!$A$2:$A$60,"FP",'TP-b'!$B$2:$B$60,Q192,'TP-b'!$E$2:$E$60,1))</f>
        <v/>
      </c>
      <c r="S192" s="10">
        <f>IF(Q192="","",AVERAGEIFS('TP-b'!$D$2:$D$60,'TP-b'!$A$2:$A$60,"FP",'TP-b'!$B$2:$B$60,Q192,'TP-b'!$E$2:$E$60,1))</f>
        <v/>
      </c>
      <c r="T192" s="10">
        <f>IF(OR($A192="",NOT(ISNUMBER($E192)),R192=""),"",ROUND($E192-R192+S192,1))</f>
        <v/>
      </c>
      <c r="U192" s="10">
        <f>IF(AND($F192="Yes",ISNUMBER($G192),R192&lt;&gt;""),ROUND($G192-R192+S192,1),"")</f>
        <v/>
      </c>
      <c r="V192" s="10">
        <f>IF(AND($F192="Yes",ISNUMBER($H192),R192&lt;&gt;""),ROUND($H192-R192+S192,1),"")</f>
        <v/>
      </c>
      <c r="W192" s="10">
        <f>IF(AND(ISNUMBER($E192),ISNUMBER(U192),ISNUMBER(V192)),ROUND((V192-MAX(U192,0))*10,1),"")</f>
        <v/>
      </c>
      <c r="X192" s="10">
        <f>IF(T192="","",IF(AND($F192="Yes",ISNUMBER(V192)),V192,T192))</f>
        <v/>
      </c>
      <c r="Y192" s="10">
        <f>IF(T192="","",ROUND(SUMIFS($W$3:$W$252,$A$3:$A$252,"&lt;="&amp;$A192),1))</f>
        <v/>
      </c>
      <c r="Z192" s="10">
        <f>IF(OR(T192="",$A192=""),"",IF(ISNUMBER(IFERROR(INDEX($X$3:$X$252,MATCH($A192-1,$A$3:$A$252,0)),"")),ROUND((INDEX($X$3:$X$252,MATCH($A192-1,$A$3:$A$252,0))-T192)*10,1),""))</f>
        <v/>
      </c>
      <c r="AA192" s="10">
        <f>IF(ISNUMBER(T192),1,0)</f>
        <v/>
      </c>
      <c r="AB192" s="16">
        <f>IF($A192="","",IF(_xlfn.MAXIFS('TP-b'!$B$2:$B$60,'TP-b'!$A$2:$A$60,"3F4D+MD",'TP-b'!$E$2:$E$60,1,'TP-b'!$B$2:$B$60,"&lt;="&amp;$A192)&gt;0,_xlfn.MAXIFS('TP-b'!$B$2:$B$60,'TP-b'!$A$2:$A$60,"3F4D+MD",'TP-b'!$E$2:$E$60,1,'TP-b'!$B$2:$B$60,"&lt;="&amp;$A192),IF(_xlfn.MINIFS('TP-b'!$B$2:$B$60,'TP-b'!$A$2:$A$60,"3F4D+MD",'TP-b'!$E$2:$E$60,1)&gt;0,_xlfn.MINIFS('TP-b'!$B$2:$B$60,'TP-b'!$A$2:$A$60,"3F4D+MD",'TP-b'!$E$2:$E$60,1),"")))</f>
        <v/>
      </c>
      <c r="AC192" s="10">
        <f>IF(AB192="","",AVERAGEIFS('TP-b'!$C$2:$C$60,'TP-b'!$A$2:$A$60,"3F4D+MD",'TP-b'!$B$2:$B$60,AB192,'TP-b'!$E$2:$E$60,1))</f>
        <v/>
      </c>
      <c r="AD192" s="10">
        <f>IF(AB192="","",AVERAGEIFS('TP-b'!$D$2:$D$60,'TP-b'!$A$2:$A$60,"3F4D+MD",'TP-b'!$B$2:$B$60,AB192,'TP-b'!$E$2:$E$60,1))</f>
        <v/>
      </c>
      <c r="AE192" s="10">
        <f>IF(OR($A192="",NOT(ISNUMBER($J192)),AC192=""),"",ROUND($J192-AC192+AD192,1))</f>
        <v/>
      </c>
      <c r="AF192" s="10">
        <f>IF(AND($K192="Yes",ISNUMBER($L192),AC192&lt;&gt;""),ROUND($L192-AC192+AD192,1),"")</f>
        <v/>
      </c>
      <c r="AG192" s="10">
        <f>IF(AND($K192="Yes",ISNUMBER($M192),AC192&lt;&gt;""),ROUND($M192-AC192+AD192,1),"")</f>
        <v/>
      </c>
      <c r="AH192" s="10">
        <f>IF(AND(ISNUMBER($J192),ISNUMBER(AF192),ISNUMBER(AG192)),ROUND((AG192-MAX(AF192,0))*10,1),"")</f>
        <v/>
      </c>
      <c r="AI192" s="10">
        <f>IF(AE192="","",IF(AND($K192="Yes",ISNUMBER(AG192)),AG192,AE192))</f>
        <v/>
      </c>
      <c r="AJ192" s="10">
        <f>IF(AE192="","",ROUND(SUMIFS($AH$3:$AH$252,$A$3:$A$252,"&lt;="&amp;$A192),1))</f>
        <v/>
      </c>
      <c r="AK192" s="10">
        <f>IF(OR(AE192="",$A192=""),"",IF(ISNUMBER(IFERROR(INDEX($AI$3:$AI$252,MATCH($A192-1,$A$3:$A$252,0)),"")),ROUND((INDEX($AI$3:$AI$252,MATCH($A192-1,$A$3:$A$252,0))-AE192)*10,1),""))</f>
        <v/>
      </c>
      <c r="AL192" s="10">
        <f>IF(ISNUMBER(AE192),1,0)</f>
        <v/>
      </c>
      <c r="AM192" s="17">
        <f>IF($A192="","",IF(COUNTIF($A$3:$A$252,$A192)&gt;1,"same date twice; ","")&amp;IF(AND(ISNUMBER($B192),OR($B192&lt;0,$B192&gt;300)),"rain out of range; ","")&amp;IF(AND(ISNUMBER($C192),OR($C192&lt;0,$C192&gt;45)),"temp out of range; ","")&amp;IF(AND(ISNUMBER($D192),OR($D192&lt;0,$D192&gt;100)),"RH out of range; ",""))</f>
        <v/>
      </c>
      <c r="AN192" s="17">
        <f>IF($A192="","",IF(AND(ISNUMBER(T192),OR(T192&lt;-30,T192&gt;20)),"WL out of range; ","")&amp;IF(AND(ISNUMBER($E192),T192=""),"no TP/b; ","")&amp;IF(AND(ISNUMBER(U192),ISNUMBER(V192)),IF(V192&lt;U192,"After&lt;Before; ",""),"")&amp;IF(AND($F192="Yes",ISNUMBER($E192),W192=""),"irrigation readings missing; ","")&amp;IF(ISNUMBER(Z192),IF(AND(ABS(Z192)&gt;50,NOT(N($B192)&gt;0)),"WL jump &gt;5 cm; ",""),""))</f>
        <v/>
      </c>
      <c r="AO192" s="17">
        <f>IF($A192="","",IF(AND(ISNUMBER(AE192),OR(AE192&lt;-30,AE192&gt;20)),"WL out of range; ","")&amp;IF(AND(ISNUMBER($J192),AE192=""),"no TP/b; ","")&amp;IF(AND(ISNUMBER(AF192),ISNUMBER(AG192)),IF(AG192&lt;AF192,"After&lt;Before; ",""),"")&amp;IF(AND($K192="Yes",ISNUMBER($J192),AH192=""),"irrigation readings missing; ","")&amp;IF(ISNUMBER(AK192),IF(AND(ABS(AK192)&gt;50,NOT(N($B192)&gt;0)),"WL jump &gt;5 cm; ",""),"")&amp;IF(AND(ISNUMBER(PitanE),ISNUMBER(AB192),$A192&gt;PitanE+2,AB192&lt;PitanE),"re-measure TP/b after Pitan; ",""))</f>
        <v/>
      </c>
    </row>
    <row r="193">
      <c r="A193" s="14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0">
        <f>IF(OR($A193="",NOT(ISNUMBER(TransDate))),"",$A193-TransDate)</f>
        <v/>
      </c>
      <c r="Q193" s="16">
        <f>IF($A193="","",IF(_xlfn.MAXIFS('TP-b'!$B$2:$B$60,'TP-b'!$A$2:$A$60,"FP",'TP-b'!$E$2:$E$60,1,'TP-b'!$B$2:$B$60,"&lt;="&amp;$A193)&gt;0,_xlfn.MAXIFS('TP-b'!$B$2:$B$60,'TP-b'!$A$2:$A$60,"FP",'TP-b'!$E$2:$E$60,1,'TP-b'!$B$2:$B$60,"&lt;="&amp;$A193),IF(_xlfn.MINIFS('TP-b'!$B$2:$B$60,'TP-b'!$A$2:$A$60,"FP",'TP-b'!$E$2:$E$60,1)&gt;0,_xlfn.MINIFS('TP-b'!$B$2:$B$60,'TP-b'!$A$2:$A$60,"FP",'TP-b'!$E$2:$E$60,1),"")))</f>
        <v/>
      </c>
      <c r="R193" s="10">
        <f>IF(Q193="","",AVERAGEIFS('TP-b'!$C$2:$C$60,'TP-b'!$A$2:$A$60,"FP",'TP-b'!$B$2:$B$60,Q193,'TP-b'!$E$2:$E$60,1))</f>
        <v/>
      </c>
      <c r="S193" s="10">
        <f>IF(Q193="","",AVERAGEIFS('TP-b'!$D$2:$D$60,'TP-b'!$A$2:$A$60,"FP",'TP-b'!$B$2:$B$60,Q193,'TP-b'!$E$2:$E$60,1))</f>
        <v/>
      </c>
      <c r="T193" s="10">
        <f>IF(OR($A193="",NOT(ISNUMBER($E193)),R193=""),"",ROUND($E193-R193+S193,1))</f>
        <v/>
      </c>
      <c r="U193" s="10">
        <f>IF(AND($F193="Yes",ISNUMBER($G193),R193&lt;&gt;""),ROUND($G193-R193+S193,1),"")</f>
        <v/>
      </c>
      <c r="V193" s="10">
        <f>IF(AND($F193="Yes",ISNUMBER($H193),R193&lt;&gt;""),ROUND($H193-R193+S193,1),"")</f>
        <v/>
      </c>
      <c r="W193" s="10">
        <f>IF(AND(ISNUMBER($E193),ISNUMBER(U193),ISNUMBER(V193)),ROUND((V193-MAX(U193,0))*10,1),"")</f>
        <v/>
      </c>
      <c r="X193" s="10">
        <f>IF(T193="","",IF(AND($F193="Yes",ISNUMBER(V193)),V193,T193))</f>
        <v/>
      </c>
      <c r="Y193" s="10">
        <f>IF(T193="","",ROUND(SUMIFS($W$3:$W$252,$A$3:$A$252,"&lt;="&amp;$A193),1))</f>
        <v/>
      </c>
      <c r="Z193" s="10">
        <f>IF(OR(T193="",$A193=""),"",IF(ISNUMBER(IFERROR(INDEX($X$3:$X$252,MATCH($A193-1,$A$3:$A$252,0)),"")),ROUND((INDEX($X$3:$X$252,MATCH($A193-1,$A$3:$A$252,0))-T193)*10,1),""))</f>
        <v/>
      </c>
      <c r="AA193" s="10">
        <f>IF(ISNUMBER(T193),1,0)</f>
        <v/>
      </c>
      <c r="AB193" s="16">
        <f>IF($A193="","",IF(_xlfn.MAXIFS('TP-b'!$B$2:$B$60,'TP-b'!$A$2:$A$60,"3F4D+MD",'TP-b'!$E$2:$E$60,1,'TP-b'!$B$2:$B$60,"&lt;="&amp;$A193)&gt;0,_xlfn.MAXIFS('TP-b'!$B$2:$B$60,'TP-b'!$A$2:$A$60,"3F4D+MD",'TP-b'!$E$2:$E$60,1,'TP-b'!$B$2:$B$60,"&lt;="&amp;$A193),IF(_xlfn.MINIFS('TP-b'!$B$2:$B$60,'TP-b'!$A$2:$A$60,"3F4D+MD",'TP-b'!$E$2:$E$60,1)&gt;0,_xlfn.MINIFS('TP-b'!$B$2:$B$60,'TP-b'!$A$2:$A$60,"3F4D+MD",'TP-b'!$E$2:$E$60,1),"")))</f>
        <v/>
      </c>
      <c r="AC193" s="10">
        <f>IF(AB193="","",AVERAGEIFS('TP-b'!$C$2:$C$60,'TP-b'!$A$2:$A$60,"3F4D+MD",'TP-b'!$B$2:$B$60,AB193,'TP-b'!$E$2:$E$60,1))</f>
        <v/>
      </c>
      <c r="AD193" s="10">
        <f>IF(AB193="","",AVERAGEIFS('TP-b'!$D$2:$D$60,'TP-b'!$A$2:$A$60,"3F4D+MD",'TP-b'!$B$2:$B$60,AB193,'TP-b'!$E$2:$E$60,1))</f>
        <v/>
      </c>
      <c r="AE193" s="10">
        <f>IF(OR($A193="",NOT(ISNUMBER($J193)),AC193=""),"",ROUND($J193-AC193+AD193,1))</f>
        <v/>
      </c>
      <c r="AF193" s="10">
        <f>IF(AND($K193="Yes",ISNUMBER($L193),AC193&lt;&gt;""),ROUND($L193-AC193+AD193,1),"")</f>
        <v/>
      </c>
      <c r="AG193" s="10">
        <f>IF(AND($K193="Yes",ISNUMBER($M193),AC193&lt;&gt;""),ROUND($M193-AC193+AD193,1),"")</f>
        <v/>
      </c>
      <c r="AH193" s="10">
        <f>IF(AND(ISNUMBER($J193),ISNUMBER(AF193),ISNUMBER(AG193)),ROUND((AG193-MAX(AF193,0))*10,1),"")</f>
        <v/>
      </c>
      <c r="AI193" s="10">
        <f>IF(AE193="","",IF(AND($K193="Yes",ISNUMBER(AG193)),AG193,AE193))</f>
        <v/>
      </c>
      <c r="AJ193" s="10">
        <f>IF(AE193="","",ROUND(SUMIFS($AH$3:$AH$252,$A$3:$A$252,"&lt;="&amp;$A193),1))</f>
        <v/>
      </c>
      <c r="AK193" s="10">
        <f>IF(OR(AE193="",$A193=""),"",IF(ISNUMBER(IFERROR(INDEX($AI$3:$AI$252,MATCH($A193-1,$A$3:$A$252,0)),"")),ROUND((INDEX($AI$3:$AI$252,MATCH($A193-1,$A$3:$A$252,0))-AE193)*10,1),""))</f>
        <v/>
      </c>
      <c r="AL193" s="10">
        <f>IF(ISNUMBER(AE193),1,0)</f>
        <v/>
      </c>
      <c r="AM193" s="17">
        <f>IF($A193="","",IF(COUNTIF($A$3:$A$252,$A193)&gt;1,"same date twice; ","")&amp;IF(AND(ISNUMBER($B193),OR($B193&lt;0,$B193&gt;300)),"rain out of range; ","")&amp;IF(AND(ISNUMBER($C193),OR($C193&lt;0,$C193&gt;45)),"temp out of range; ","")&amp;IF(AND(ISNUMBER($D193),OR($D193&lt;0,$D193&gt;100)),"RH out of range; ",""))</f>
        <v/>
      </c>
      <c r="AN193" s="17">
        <f>IF($A193="","",IF(AND(ISNUMBER(T193),OR(T193&lt;-30,T193&gt;20)),"WL out of range; ","")&amp;IF(AND(ISNUMBER($E193),T193=""),"no TP/b; ","")&amp;IF(AND(ISNUMBER(U193),ISNUMBER(V193)),IF(V193&lt;U193,"After&lt;Before; ",""),"")&amp;IF(AND($F193="Yes",ISNUMBER($E193),W193=""),"irrigation readings missing; ","")&amp;IF(ISNUMBER(Z193),IF(AND(ABS(Z193)&gt;50,NOT(N($B193)&gt;0)),"WL jump &gt;5 cm; ",""),""))</f>
        <v/>
      </c>
      <c r="AO193" s="17">
        <f>IF($A193="","",IF(AND(ISNUMBER(AE193),OR(AE193&lt;-30,AE193&gt;20)),"WL out of range; ","")&amp;IF(AND(ISNUMBER($J193),AE193=""),"no TP/b; ","")&amp;IF(AND(ISNUMBER(AF193),ISNUMBER(AG193)),IF(AG193&lt;AF193,"After&lt;Before; ",""),"")&amp;IF(AND($K193="Yes",ISNUMBER($J193),AH193=""),"irrigation readings missing; ","")&amp;IF(ISNUMBER(AK193),IF(AND(ABS(AK193)&gt;50,NOT(N($B193)&gt;0)),"WL jump &gt;5 cm; ",""),"")&amp;IF(AND(ISNUMBER(PitanE),ISNUMBER(AB193),$A193&gt;PitanE+2,AB193&lt;PitanE),"re-measure TP/b after Pitan; ",""))</f>
        <v/>
      </c>
    </row>
    <row r="194">
      <c r="A194" s="14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0">
        <f>IF(OR($A194="",NOT(ISNUMBER(TransDate))),"",$A194-TransDate)</f>
        <v/>
      </c>
      <c r="Q194" s="16">
        <f>IF($A194="","",IF(_xlfn.MAXIFS('TP-b'!$B$2:$B$60,'TP-b'!$A$2:$A$60,"FP",'TP-b'!$E$2:$E$60,1,'TP-b'!$B$2:$B$60,"&lt;="&amp;$A194)&gt;0,_xlfn.MAXIFS('TP-b'!$B$2:$B$60,'TP-b'!$A$2:$A$60,"FP",'TP-b'!$E$2:$E$60,1,'TP-b'!$B$2:$B$60,"&lt;="&amp;$A194),IF(_xlfn.MINIFS('TP-b'!$B$2:$B$60,'TP-b'!$A$2:$A$60,"FP",'TP-b'!$E$2:$E$60,1)&gt;0,_xlfn.MINIFS('TP-b'!$B$2:$B$60,'TP-b'!$A$2:$A$60,"FP",'TP-b'!$E$2:$E$60,1),"")))</f>
        <v/>
      </c>
      <c r="R194" s="10">
        <f>IF(Q194="","",AVERAGEIFS('TP-b'!$C$2:$C$60,'TP-b'!$A$2:$A$60,"FP",'TP-b'!$B$2:$B$60,Q194,'TP-b'!$E$2:$E$60,1))</f>
        <v/>
      </c>
      <c r="S194" s="10">
        <f>IF(Q194="","",AVERAGEIFS('TP-b'!$D$2:$D$60,'TP-b'!$A$2:$A$60,"FP",'TP-b'!$B$2:$B$60,Q194,'TP-b'!$E$2:$E$60,1))</f>
        <v/>
      </c>
      <c r="T194" s="10">
        <f>IF(OR($A194="",NOT(ISNUMBER($E194)),R194=""),"",ROUND($E194-R194+S194,1))</f>
        <v/>
      </c>
      <c r="U194" s="10">
        <f>IF(AND($F194="Yes",ISNUMBER($G194),R194&lt;&gt;""),ROUND($G194-R194+S194,1),"")</f>
        <v/>
      </c>
      <c r="V194" s="10">
        <f>IF(AND($F194="Yes",ISNUMBER($H194),R194&lt;&gt;""),ROUND($H194-R194+S194,1),"")</f>
        <v/>
      </c>
      <c r="W194" s="10">
        <f>IF(AND(ISNUMBER($E194),ISNUMBER(U194),ISNUMBER(V194)),ROUND((V194-MAX(U194,0))*10,1),"")</f>
        <v/>
      </c>
      <c r="X194" s="10">
        <f>IF(T194="","",IF(AND($F194="Yes",ISNUMBER(V194)),V194,T194))</f>
        <v/>
      </c>
      <c r="Y194" s="10">
        <f>IF(T194="","",ROUND(SUMIFS($W$3:$W$252,$A$3:$A$252,"&lt;="&amp;$A194),1))</f>
        <v/>
      </c>
      <c r="Z194" s="10">
        <f>IF(OR(T194="",$A194=""),"",IF(ISNUMBER(IFERROR(INDEX($X$3:$X$252,MATCH($A194-1,$A$3:$A$252,0)),"")),ROUND((INDEX($X$3:$X$252,MATCH($A194-1,$A$3:$A$252,0))-T194)*10,1),""))</f>
        <v/>
      </c>
      <c r="AA194" s="10">
        <f>IF(ISNUMBER(T194),1,0)</f>
        <v/>
      </c>
      <c r="AB194" s="16">
        <f>IF($A194="","",IF(_xlfn.MAXIFS('TP-b'!$B$2:$B$60,'TP-b'!$A$2:$A$60,"3F4D+MD",'TP-b'!$E$2:$E$60,1,'TP-b'!$B$2:$B$60,"&lt;="&amp;$A194)&gt;0,_xlfn.MAXIFS('TP-b'!$B$2:$B$60,'TP-b'!$A$2:$A$60,"3F4D+MD",'TP-b'!$E$2:$E$60,1,'TP-b'!$B$2:$B$60,"&lt;="&amp;$A194),IF(_xlfn.MINIFS('TP-b'!$B$2:$B$60,'TP-b'!$A$2:$A$60,"3F4D+MD",'TP-b'!$E$2:$E$60,1)&gt;0,_xlfn.MINIFS('TP-b'!$B$2:$B$60,'TP-b'!$A$2:$A$60,"3F4D+MD",'TP-b'!$E$2:$E$60,1),"")))</f>
        <v/>
      </c>
      <c r="AC194" s="10">
        <f>IF(AB194="","",AVERAGEIFS('TP-b'!$C$2:$C$60,'TP-b'!$A$2:$A$60,"3F4D+MD",'TP-b'!$B$2:$B$60,AB194,'TP-b'!$E$2:$E$60,1))</f>
        <v/>
      </c>
      <c r="AD194" s="10">
        <f>IF(AB194="","",AVERAGEIFS('TP-b'!$D$2:$D$60,'TP-b'!$A$2:$A$60,"3F4D+MD",'TP-b'!$B$2:$B$60,AB194,'TP-b'!$E$2:$E$60,1))</f>
        <v/>
      </c>
      <c r="AE194" s="10">
        <f>IF(OR($A194="",NOT(ISNUMBER($J194)),AC194=""),"",ROUND($J194-AC194+AD194,1))</f>
        <v/>
      </c>
      <c r="AF194" s="10">
        <f>IF(AND($K194="Yes",ISNUMBER($L194),AC194&lt;&gt;""),ROUND($L194-AC194+AD194,1),"")</f>
        <v/>
      </c>
      <c r="AG194" s="10">
        <f>IF(AND($K194="Yes",ISNUMBER($M194),AC194&lt;&gt;""),ROUND($M194-AC194+AD194,1),"")</f>
        <v/>
      </c>
      <c r="AH194" s="10">
        <f>IF(AND(ISNUMBER($J194),ISNUMBER(AF194),ISNUMBER(AG194)),ROUND((AG194-MAX(AF194,0))*10,1),"")</f>
        <v/>
      </c>
      <c r="AI194" s="10">
        <f>IF(AE194="","",IF(AND($K194="Yes",ISNUMBER(AG194)),AG194,AE194))</f>
        <v/>
      </c>
      <c r="AJ194" s="10">
        <f>IF(AE194="","",ROUND(SUMIFS($AH$3:$AH$252,$A$3:$A$252,"&lt;="&amp;$A194),1))</f>
        <v/>
      </c>
      <c r="AK194" s="10">
        <f>IF(OR(AE194="",$A194=""),"",IF(ISNUMBER(IFERROR(INDEX($AI$3:$AI$252,MATCH($A194-1,$A$3:$A$252,0)),"")),ROUND((INDEX($AI$3:$AI$252,MATCH($A194-1,$A$3:$A$252,0))-AE194)*10,1),""))</f>
        <v/>
      </c>
      <c r="AL194" s="10">
        <f>IF(ISNUMBER(AE194),1,0)</f>
        <v/>
      </c>
      <c r="AM194" s="17">
        <f>IF($A194="","",IF(COUNTIF($A$3:$A$252,$A194)&gt;1,"same date twice; ","")&amp;IF(AND(ISNUMBER($B194),OR($B194&lt;0,$B194&gt;300)),"rain out of range; ","")&amp;IF(AND(ISNUMBER($C194),OR($C194&lt;0,$C194&gt;45)),"temp out of range; ","")&amp;IF(AND(ISNUMBER($D194),OR($D194&lt;0,$D194&gt;100)),"RH out of range; ",""))</f>
        <v/>
      </c>
      <c r="AN194" s="17">
        <f>IF($A194="","",IF(AND(ISNUMBER(T194),OR(T194&lt;-30,T194&gt;20)),"WL out of range; ","")&amp;IF(AND(ISNUMBER($E194),T194=""),"no TP/b; ","")&amp;IF(AND(ISNUMBER(U194),ISNUMBER(V194)),IF(V194&lt;U194,"After&lt;Before; ",""),"")&amp;IF(AND($F194="Yes",ISNUMBER($E194),W194=""),"irrigation readings missing; ","")&amp;IF(ISNUMBER(Z194),IF(AND(ABS(Z194)&gt;50,NOT(N($B194)&gt;0)),"WL jump &gt;5 cm; ",""),""))</f>
        <v/>
      </c>
      <c r="AO194" s="17">
        <f>IF($A194="","",IF(AND(ISNUMBER(AE194),OR(AE194&lt;-30,AE194&gt;20)),"WL out of range; ","")&amp;IF(AND(ISNUMBER($J194),AE194=""),"no TP/b; ","")&amp;IF(AND(ISNUMBER(AF194),ISNUMBER(AG194)),IF(AG194&lt;AF194,"After&lt;Before; ",""),"")&amp;IF(AND($K194="Yes",ISNUMBER($J194),AH194=""),"irrigation readings missing; ","")&amp;IF(ISNUMBER(AK194),IF(AND(ABS(AK194)&gt;50,NOT(N($B194)&gt;0)),"WL jump &gt;5 cm; ",""),"")&amp;IF(AND(ISNUMBER(PitanE),ISNUMBER(AB194),$A194&gt;PitanE+2,AB194&lt;PitanE),"re-measure TP/b after Pitan; ",""))</f>
        <v/>
      </c>
    </row>
    <row r="195">
      <c r="A195" s="14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0">
        <f>IF(OR($A195="",NOT(ISNUMBER(TransDate))),"",$A195-TransDate)</f>
        <v/>
      </c>
      <c r="Q195" s="16">
        <f>IF($A195="","",IF(_xlfn.MAXIFS('TP-b'!$B$2:$B$60,'TP-b'!$A$2:$A$60,"FP",'TP-b'!$E$2:$E$60,1,'TP-b'!$B$2:$B$60,"&lt;="&amp;$A195)&gt;0,_xlfn.MAXIFS('TP-b'!$B$2:$B$60,'TP-b'!$A$2:$A$60,"FP",'TP-b'!$E$2:$E$60,1,'TP-b'!$B$2:$B$60,"&lt;="&amp;$A195),IF(_xlfn.MINIFS('TP-b'!$B$2:$B$60,'TP-b'!$A$2:$A$60,"FP",'TP-b'!$E$2:$E$60,1)&gt;0,_xlfn.MINIFS('TP-b'!$B$2:$B$60,'TP-b'!$A$2:$A$60,"FP",'TP-b'!$E$2:$E$60,1),"")))</f>
        <v/>
      </c>
      <c r="R195" s="10">
        <f>IF(Q195="","",AVERAGEIFS('TP-b'!$C$2:$C$60,'TP-b'!$A$2:$A$60,"FP",'TP-b'!$B$2:$B$60,Q195,'TP-b'!$E$2:$E$60,1))</f>
        <v/>
      </c>
      <c r="S195" s="10">
        <f>IF(Q195="","",AVERAGEIFS('TP-b'!$D$2:$D$60,'TP-b'!$A$2:$A$60,"FP",'TP-b'!$B$2:$B$60,Q195,'TP-b'!$E$2:$E$60,1))</f>
        <v/>
      </c>
      <c r="T195" s="10">
        <f>IF(OR($A195="",NOT(ISNUMBER($E195)),R195=""),"",ROUND($E195-R195+S195,1))</f>
        <v/>
      </c>
      <c r="U195" s="10">
        <f>IF(AND($F195="Yes",ISNUMBER($G195),R195&lt;&gt;""),ROUND($G195-R195+S195,1),"")</f>
        <v/>
      </c>
      <c r="V195" s="10">
        <f>IF(AND($F195="Yes",ISNUMBER($H195),R195&lt;&gt;""),ROUND($H195-R195+S195,1),"")</f>
        <v/>
      </c>
      <c r="W195" s="10">
        <f>IF(AND(ISNUMBER($E195),ISNUMBER(U195),ISNUMBER(V195)),ROUND((V195-MAX(U195,0))*10,1),"")</f>
        <v/>
      </c>
      <c r="X195" s="10">
        <f>IF(T195="","",IF(AND($F195="Yes",ISNUMBER(V195)),V195,T195))</f>
        <v/>
      </c>
      <c r="Y195" s="10">
        <f>IF(T195="","",ROUND(SUMIFS($W$3:$W$252,$A$3:$A$252,"&lt;="&amp;$A195),1))</f>
        <v/>
      </c>
      <c r="Z195" s="10">
        <f>IF(OR(T195="",$A195=""),"",IF(ISNUMBER(IFERROR(INDEX($X$3:$X$252,MATCH($A195-1,$A$3:$A$252,0)),"")),ROUND((INDEX($X$3:$X$252,MATCH($A195-1,$A$3:$A$252,0))-T195)*10,1),""))</f>
        <v/>
      </c>
      <c r="AA195" s="10">
        <f>IF(ISNUMBER(T195),1,0)</f>
        <v/>
      </c>
      <c r="AB195" s="16">
        <f>IF($A195="","",IF(_xlfn.MAXIFS('TP-b'!$B$2:$B$60,'TP-b'!$A$2:$A$60,"3F4D+MD",'TP-b'!$E$2:$E$60,1,'TP-b'!$B$2:$B$60,"&lt;="&amp;$A195)&gt;0,_xlfn.MAXIFS('TP-b'!$B$2:$B$60,'TP-b'!$A$2:$A$60,"3F4D+MD",'TP-b'!$E$2:$E$60,1,'TP-b'!$B$2:$B$60,"&lt;="&amp;$A195),IF(_xlfn.MINIFS('TP-b'!$B$2:$B$60,'TP-b'!$A$2:$A$60,"3F4D+MD",'TP-b'!$E$2:$E$60,1)&gt;0,_xlfn.MINIFS('TP-b'!$B$2:$B$60,'TP-b'!$A$2:$A$60,"3F4D+MD",'TP-b'!$E$2:$E$60,1),"")))</f>
        <v/>
      </c>
      <c r="AC195" s="10">
        <f>IF(AB195="","",AVERAGEIFS('TP-b'!$C$2:$C$60,'TP-b'!$A$2:$A$60,"3F4D+MD",'TP-b'!$B$2:$B$60,AB195,'TP-b'!$E$2:$E$60,1))</f>
        <v/>
      </c>
      <c r="AD195" s="10">
        <f>IF(AB195="","",AVERAGEIFS('TP-b'!$D$2:$D$60,'TP-b'!$A$2:$A$60,"3F4D+MD",'TP-b'!$B$2:$B$60,AB195,'TP-b'!$E$2:$E$60,1))</f>
        <v/>
      </c>
      <c r="AE195" s="10">
        <f>IF(OR($A195="",NOT(ISNUMBER($J195)),AC195=""),"",ROUND($J195-AC195+AD195,1))</f>
        <v/>
      </c>
      <c r="AF195" s="10">
        <f>IF(AND($K195="Yes",ISNUMBER($L195),AC195&lt;&gt;""),ROUND($L195-AC195+AD195,1),"")</f>
        <v/>
      </c>
      <c r="AG195" s="10">
        <f>IF(AND($K195="Yes",ISNUMBER($M195),AC195&lt;&gt;""),ROUND($M195-AC195+AD195,1),"")</f>
        <v/>
      </c>
      <c r="AH195" s="10">
        <f>IF(AND(ISNUMBER($J195),ISNUMBER(AF195),ISNUMBER(AG195)),ROUND((AG195-MAX(AF195,0))*10,1),"")</f>
        <v/>
      </c>
      <c r="AI195" s="10">
        <f>IF(AE195="","",IF(AND($K195="Yes",ISNUMBER(AG195)),AG195,AE195))</f>
        <v/>
      </c>
      <c r="AJ195" s="10">
        <f>IF(AE195="","",ROUND(SUMIFS($AH$3:$AH$252,$A$3:$A$252,"&lt;="&amp;$A195),1))</f>
        <v/>
      </c>
      <c r="AK195" s="10">
        <f>IF(OR(AE195="",$A195=""),"",IF(ISNUMBER(IFERROR(INDEX($AI$3:$AI$252,MATCH($A195-1,$A$3:$A$252,0)),"")),ROUND((INDEX($AI$3:$AI$252,MATCH($A195-1,$A$3:$A$252,0))-AE195)*10,1),""))</f>
        <v/>
      </c>
      <c r="AL195" s="10">
        <f>IF(ISNUMBER(AE195),1,0)</f>
        <v/>
      </c>
      <c r="AM195" s="17">
        <f>IF($A195="","",IF(COUNTIF($A$3:$A$252,$A195)&gt;1,"same date twice; ","")&amp;IF(AND(ISNUMBER($B195),OR($B195&lt;0,$B195&gt;300)),"rain out of range; ","")&amp;IF(AND(ISNUMBER($C195),OR($C195&lt;0,$C195&gt;45)),"temp out of range; ","")&amp;IF(AND(ISNUMBER($D195),OR($D195&lt;0,$D195&gt;100)),"RH out of range; ",""))</f>
        <v/>
      </c>
      <c r="AN195" s="17">
        <f>IF($A195="","",IF(AND(ISNUMBER(T195),OR(T195&lt;-30,T195&gt;20)),"WL out of range; ","")&amp;IF(AND(ISNUMBER($E195),T195=""),"no TP/b; ","")&amp;IF(AND(ISNUMBER(U195),ISNUMBER(V195)),IF(V195&lt;U195,"After&lt;Before; ",""),"")&amp;IF(AND($F195="Yes",ISNUMBER($E195),W195=""),"irrigation readings missing; ","")&amp;IF(ISNUMBER(Z195),IF(AND(ABS(Z195)&gt;50,NOT(N($B195)&gt;0)),"WL jump &gt;5 cm; ",""),""))</f>
        <v/>
      </c>
      <c r="AO195" s="17">
        <f>IF($A195="","",IF(AND(ISNUMBER(AE195),OR(AE195&lt;-30,AE195&gt;20)),"WL out of range; ","")&amp;IF(AND(ISNUMBER($J195),AE195=""),"no TP/b; ","")&amp;IF(AND(ISNUMBER(AF195),ISNUMBER(AG195)),IF(AG195&lt;AF195,"After&lt;Before; ",""),"")&amp;IF(AND($K195="Yes",ISNUMBER($J195),AH195=""),"irrigation readings missing; ","")&amp;IF(ISNUMBER(AK195),IF(AND(ABS(AK195)&gt;50,NOT(N($B195)&gt;0)),"WL jump &gt;5 cm; ",""),"")&amp;IF(AND(ISNUMBER(PitanE),ISNUMBER(AB195),$A195&gt;PitanE+2,AB195&lt;PitanE),"re-measure TP/b after Pitan; ",""))</f>
        <v/>
      </c>
    </row>
    <row r="196">
      <c r="A196" s="14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0">
        <f>IF(OR($A196="",NOT(ISNUMBER(TransDate))),"",$A196-TransDate)</f>
        <v/>
      </c>
      <c r="Q196" s="16">
        <f>IF($A196="","",IF(_xlfn.MAXIFS('TP-b'!$B$2:$B$60,'TP-b'!$A$2:$A$60,"FP",'TP-b'!$E$2:$E$60,1,'TP-b'!$B$2:$B$60,"&lt;="&amp;$A196)&gt;0,_xlfn.MAXIFS('TP-b'!$B$2:$B$60,'TP-b'!$A$2:$A$60,"FP",'TP-b'!$E$2:$E$60,1,'TP-b'!$B$2:$B$60,"&lt;="&amp;$A196),IF(_xlfn.MINIFS('TP-b'!$B$2:$B$60,'TP-b'!$A$2:$A$60,"FP",'TP-b'!$E$2:$E$60,1)&gt;0,_xlfn.MINIFS('TP-b'!$B$2:$B$60,'TP-b'!$A$2:$A$60,"FP",'TP-b'!$E$2:$E$60,1),"")))</f>
        <v/>
      </c>
      <c r="R196" s="10">
        <f>IF(Q196="","",AVERAGEIFS('TP-b'!$C$2:$C$60,'TP-b'!$A$2:$A$60,"FP",'TP-b'!$B$2:$B$60,Q196,'TP-b'!$E$2:$E$60,1))</f>
        <v/>
      </c>
      <c r="S196" s="10">
        <f>IF(Q196="","",AVERAGEIFS('TP-b'!$D$2:$D$60,'TP-b'!$A$2:$A$60,"FP",'TP-b'!$B$2:$B$60,Q196,'TP-b'!$E$2:$E$60,1))</f>
        <v/>
      </c>
      <c r="T196" s="10">
        <f>IF(OR($A196="",NOT(ISNUMBER($E196)),R196=""),"",ROUND($E196-R196+S196,1))</f>
        <v/>
      </c>
      <c r="U196" s="10">
        <f>IF(AND($F196="Yes",ISNUMBER($G196),R196&lt;&gt;""),ROUND($G196-R196+S196,1),"")</f>
        <v/>
      </c>
      <c r="V196" s="10">
        <f>IF(AND($F196="Yes",ISNUMBER($H196),R196&lt;&gt;""),ROUND($H196-R196+S196,1),"")</f>
        <v/>
      </c>
      <c r="W196" s="10">
        <f>IF(AND(ISNUMBER($E196),ISNUMBER(U196),ISNUMBER(V196)),ROUND((V196-MAX(U196,0))*10,1),"")</f>
        <v/>
      </c>
      <c r="X196" s="10">
        <f>IF(T196="","",IF(AND($F196="Yes",ISNUMBER(V196)),V196,T196))</f>
        <v/>
      </c>
      <c r="Y196" s="10">
        <f>IF(T196="","",ROUND(SUMIFS($W$3:$W$252,$A$3:$A$252,"&lt;="&amp;$A196),1))</f>
        <v/>
      </c>
      <c r="Z196" s="10">
        <f>IF(OR(T196="",$A196=""),"",IF(ISNUMBER(IFERROR(INDEX($X$3:$X$252,MATCH($A196-1,$A$3:$A$252,0)),"")),ROUND((INDEX($X$3:$X$252,MATCH($A196-1,$A$3:$A$252,0))-T196)*10,1),""))</f>
        <v/>
      </c>
      <c r="AA196" s="10">
        <f>IF(ISNUMBER(T196),1,0)</f>
        <v/>
      </c>
      <c r="AB196" s="16">
        <f>IF($A196="","",IF(_xlfn.MAXIFS('TP-b'!$B$2:$B$60,'TP-b'!$A$2:$A$60,"3F4D+MD",'TP-b'!$E$2:$E$60,1,'TP-b'!$B$2:$B$60,"&lt;="&amp;$A196)&gt;0,_xlfn.MAXIFS('TP-b'!$B$2:$B$60,'TP-b'!$A$2:$A$60,"3F4D+MD",'TP-b'!$E$2:$E$60,1,'TP-b'!$B$2:$B$60,"&lt;="&amp;$A196),IF(_xlfn.MINIFS('TP-b'!$B$2:$B$60,'TP-b'!$A$2:$A$60,"3F4D+MD",'TP-b'!$E$2:$E$60,1)&gt;0,_xlfn.MINIFS('TP-b'!$B$2:$B$60,'TP-b'!$A$2:$A$60,"3F4D+MD",'TP-b'!$E$2:$E$60,1),"")))</f>
        <v/>
      </c>
      <c r="AC196" s="10">
        <f>IF(AB196="","",AVERAGEIFS('TP-b'!$C$2:$C$60,'TP-b'!$A$2:$A$60,"3F4D+MD",'TP-b'!$B$2:$B$60,AB196,'TP-b'!$E$2:$E$60,1))</f>
        <v/>
      </c>
      <c r="AD196" s="10">
        <f>IF(AB196="","",AVERAGEIFS('TP-b'!$D$2:$D$60,'TP-b'!$A$2:$A$60,"3F4D+MD",'TP-b'!$B$2:$B$60,AB196,'TP-b'!$E$2:$E$60,1))</f>
        <v/>
      </c>
      <c r="AE196" s="10">
        <f>IF(OR($A196="",NOT(ISNUMBER($J196)),AC196=""),"",ROUND($J196-AC196+AD196,1))</f>
        <v/>
      </c>
      <c r="AF196" s="10">
        <f>IF(AND($K196="Yes",ISNUMBER($L196),AC196&lt;&gt;""),ROUND($L196-AC196+AD196,1),"")</f>
        <v/>
      </c>
      <c r="AG196" s="10">
        <f>IF(AND($K196="Yes",ISNUMBER($M196),AC196&lt;&gt;""),ROUND($M196-AC196+AD196,1),"")</f>
        <v/>
      </c>
      <c r="AH196" s="10">
        <f>IF(AND(ISNUMBER($J196),ISNUMBER(AF196),ISNUMBER(AG196)),ROUND((AG196-MAX(AF196,0))*10,1),"")</f>
        <v/>
      </c>
      <c r="AI196" s="10">
        <f>IF(AE196="","",IF(AND($K196="Yes",ISNUMBER(AG196)),AG196,AE196))</f>
        <v/>
      </c>
      <c r="AJ196" s="10">
        <f>IF(AE196="","",ROUND(SUMIFS($AH$3:$AH$252,$A$3:$A$252,"&lt;="&amp;$A196),1))</f>
        <v/>
      </c>
      <c r="AK196" s="10">
        <f>IF(OR(AE196="",$A196=""),"",IF(ISNUMBER(IFERROR(INDEX($AI$3:$AI$252,MATCH($A196-1,$A$3:$A$252,0)),"")),ROUND((INDEX($AI$3:$AI$252,MATCH($A196-1,$A$3:$A$252,0))-AE196)*10,1),""))</f>
        <v/>
      </c>
      <c r="AL196" s="10">
        <f>IF(ISNUMBER(AE196),1,0)</f>
        <v/>
      </c>
      <c r="AM196" s="17">
        <f>IF($A196="","",IF(COUNTIF($A$3:$A$252,$A196)&gt;1,"same date twice; ","")&amp;IF(AND(ISNUMBER($B196),OR($B196&lt;0,$B196&gt;300)),"rain out of range; ","")&amp;IF(AND(ISNUMBER($C196),OR($C196&lt;0,$C196&gt;45)),"temp out of range; ","")&amp;IF(AND(ISNUMBER($D196),OR($D196&lt;0,$D196&gt;100)),"RH out of range; ",""))</f>
        <v/>
      </c>
      <c r="AN196" s="17">
        <f>IF($A196="","",IF(AND(ISNUMBER(T196),OR(T196&lt;-30,T196&gt;20)),"WL out of range; ","")&amp;IF(AND(ISNUMBER($E196),T196=""),"no TP/b; ","")&amp;IF(AND(ISNUMBER(U196),ISNUMBER(V196)),IF(V196&lt;U196,"After&lt;Before; ",""),"")&amp;IF(AND($F196="Yes",ISNUMBER($E196),W196=""),"irrigation readings missing; ","")&amp;IF(ISNUMBER(Z196),IF(AND(ABS(Z196)&gt;50,NOT(N($B196)&gt;0)),"WL jump &gt;5 cm; ",""),""))</f>
        <v/>
      </c>
      <c r="AO196" s="17">
        <f>IF($A196="","",IF(AND(ISNUMBER(AE196),OR(AE196&lt;-30,AE196&gt;20)),"WL out of range; ","")&amp;IF(AND(ISNUMBER($J196),AE196=""),"no TP/b; ","")&amp;IF(AND(ISNUMBER(AF196),ISNUMBER(AG196)),IF(AG196&lt;AF196,"After&lt;Before; ",""),"")&amp;IF(AND($K196="Yes",ISNUMBER($J196),AH196=""),"irrigation readings missing; ","")&amp;IF(ISNUMBER(AK196),IF(AND(ABS(AK196)&gt;50,NOT(N($B196)&gt;0)),"WL jump &gt;5 cm; ",""),"")&amp;IF(AND(ISNUMBER(PitanE),ISNUMBER(AB196),$A196&gt;PitanE+2,AB196&lt;PitanE),"re-measure TP/b after Pitan; ",""))</f>
        <v/>
      </c>
    </row>
    <row r="197">
      <c r="A197" s="14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0">
        <f>IF(OR($A197="",NOT(ISNUMBER(TransDate))),"",$A197-TransDate)</f>
        <v/>
      </c>
      <c r="Q197" s="16">
        <f>IF($A197="","",IF(_xlfn.MAXIFS('TP-b'!$B$2:$B$60,'TP-b'!$A$2:$A$60,"FP",'TP-b'!$E$2:$E$60,1,'TP-b'!$B$2:$B$60,"&lt;="&amp;$A197)&gt;0,_xlfn.MAXIFS('TP-b'!$B$2:$B$60,'TP-b'!$A$2:$A$60,"FP",'TP-b'!$E$2:$E$60,1,'TP-b'!$B$2:$B$60,"&lt;="&amp;$A197),IF(_xlfn.MINIFS('TP-b'!$B$2:$B$60,'TP-b'!$A$2:$A$60,"FP",'TP-b'!$E$2:$E$60,1)&gt;0,_xlfn.MINIFS('TP-b'!$B$2:$B$60,'TP-b'!$A$2:$A$60,"FP",'TP-b'!$E$2:$E$60,1),"")))</f>
        <v/>
      </c>
      <c r="R197" s="10">
        <f>IF(Q197="","",AVERAGEIFS('TP-b'!$C$2:$C$60,'TP-b'!$A$2:$A$60,"FP",'TP-b'!$B$2:$B$60,Q197,'TP-b'!$E$2:$E$60,1))</f>
        <v/>
      </c>
      <c r="S197" s="10">
        <f>IF(Q197="","",AVERAGEIFS('TP-b'!$D$2:$D$60,'TP-b'!$A$2:$A$60,"FP",'TP-b'!$B$2:$B$60,Q197,'TP-b'!$E$2:$E$60,1))</f>
        <v/>
      </c>
      <c r="T197" s="10">
        <f>IF(OR($A197="",NOT(ISNUMBER($E197)),R197=""),"",ROUND($E197-R197+S197,1))</f>
        <v/>
      </c>
      <c r="U197" s="10">
        <f>IF(AND($F197="Yes",ISNUMBER($G197),R197&lt;&gt;""),ROUND($G197-R197+S197,1),"")</f>
        <v/>
      </c>
      <c r="V197" s="10">
        <f>IF(AND($F197="Yes",ISNUMBER($H197),R197&lt;&gt;""),ROUND($H197-R197+S197,1),"")</f>
        <v/>
      </c>
      <c r="W197" s="10">
        <f>IF(AND(ISNUMBER($E197),ISNUMBER(U197),ISNUMBER(V197)),ROUND((V197-MAX(U197,0))*10,1),"")</f>
        <v/>
      </c>
      <c r="X197" s="10">
        <f>IF(T197="","",IF(AND($F197="Yes",ISNUMBER(V197)),V197,T197))</f>
        <v/>
      </c>
      <c r="Y197" s="10">
        <f>IF(T197="","",ROUND(SUMIFS($W$3:$W$252,$A$3:$A$252,"&lt;="&amp;$A197),1))</f>
        <v/>
      </c>
      <c r="Z197" s="10">
        <f>IF(OR(T197="",$A197=""),"",IF(ISNUMBER(IFERROR(INDEX($X$3:$X$252,MATCH($A197-1,$A$3:$A$252,0)),"")),ROUND((INDEX($X$3:$X$252,MATCH($A197-1,$A$3:$A$252,0))-T197)*10,1),""))</f>
        <v/>
      </c>
      <c r="AA197" s="10">
        <f>IF(ISNUMBER(T197),1,0)</f>
        <v/>
      </c>
      <c r="AB197" s="16">
        <f>IF($A197="","",IF(_xlfn.MAXIFS('TP-b'!$B$2:$B$60,'TP-b'!$A$2:$A$60,"3F4D+MD",'TP-b'!$E$2:$E$60,1,'TP-b'!$B$2:$B$60,"&lt;="&amp;$A197)&gt;0,_xlfn.MAXIFS('TP-b'!$B$2:$B$60,'TP-b'!$A$2:$A$60,"3F4D+MD",'TP-b'!$E$2:$E$60,1,'TP-b'!$B$2:$B$60,"&lt;="&amp;$A197),IF(_xlfn.MINIFS('TP-b'!$B$2:$B$60,'TP-b'!$A$2:$A$60,"3F4D+MD",'TP-b'!$E$2:$E$60,1)&gt;0,_xlfn.MINIFS('TP-b'!$B$2:$B$60,'TP-b'!$A$2:$A$60,"3F4D+MD",'TP-b'!$E$2:$E$60,1),"")))</f>
        <v/>
      </c>
      <c r="AC197" s="10">
        <f>IF(AB197="","",AVERAGEIFS('TP-b'!$C$2:$C$60,'TP-b'!$A$2:$A$60,"3F4D+MD",'TP-b'!$B$2:$B$60,AB197,'TP-b'!$E$2:$E$60,1))</f>
        <v/>
      </c>
      <c r="AD197" s="10">
        <f>IF(AB197="","",AVERAGEIFS('TP-b'!$D$2:$D$60,'TP-b'!$A$2:$A$60,"3F4D+MD",'TP-b'!$B$2:$B$60,AB197,'TP-b'!$E$2:$E$60,1))</f>
        <v/>
      </c>
      <c r="AE197" s="10">
        <f>IF(OR($A197="",NOT(ISNUMBER($J197)),AC197=""),"",ROUND($J197-AC197+AD197,1))</f>
        <v/>
      </c>
      <c r="AF197" s="10">
        <f>IF(AND($K197="Yes",ISNUMBER($L197),AC197&lt;&gt;""),ROUND($L197-AC197+AD197,1),"")</f>
        <v/>
      </c>
      <c r="AG197" s="10">
        <f>IF(AND($K197="Yes",ISNUMBER($M197),AC197&lt;&gt;""),ROUND($M197-AC197+AD197,1),"")</f>
        <v/>
      </c>
      <c r="AH197" s="10">
        <f>IF(AND(ISNUMBER($J197),ISNUMBER(AF197),ISNUMBER(AG197)),ROUND((AG197-MAX(AF197,0))*10,1),"")</f>
        <v/>
      </c>
      <c r="AI197" s="10">
        <f>IF(AE197="","",IF(AND($K197="Yes",ISNUMBER(AG197)),AG197,AE197))</f>
        <v/>
      </c>
      <c r="AJ197" s="10">
        <f>IF(AE197="","",ROUND(SUMIFS($AH$3:$AH$252,$A$3:$A$252,"&lt;="&amp;$A197),1))</f>
        <v/>
      </c>
      <c r="AK197" s="10">
        <f>IF(OR(AE197="",$A197=""),"",IF(ISNUMBER(IFERROR(INDEX($AI$3:$AI$252,MATCH($A197-1,$A$3:$A$252,0)),"")),ROUND((INDEX($AI$3:$AI$252,MATCH($A197-1,$A$3:$A$252,0))-AE197)*10,1),""))</f>
        <v/>
      </c>
      <c r="AL197" s="10">
        <f>IF(ISNUMBER(AE197),1,0)</f>
        <v/>
      </c>
      <c r="AM197" s="17">
        <f>IF($A197="","",IF(COUNTIF($A$3:$A$252,$A197)&gt;1,"same date twice; ","")&amp;IF(AND(ISNUMBER($B197),OR($B197&lt;0,$B197&gt;300)),"rain out of range; ","")&amp;IF(AND(ISNUMBER($C197),OR($C197&lt;0,$C197&gt;45)),"temp out of range; ","")&amp;IF(AND(ISNUMBER($D197),OR($D197&lt;0,$D197&gt;100)),"RH out of range; ",""))</f>
        <v/>
      </c>
      <c r="AN197" s="17">
        <f>IF($A197="","",IF(AND(ISNUMBER(T197),OR(T197&lt;-30,T197&gt;20)),"WL out of range; ","")&amp;IF(AND(ISNUMBER($E197),T197=""),"no TP/b; ","")&amp;IF(AND(ISNUMBER(U197),ISNUMBER(V197)),IF(V197&lt;U197,"After&lt;Before; ",""),"")&amp;IF(AND($F197="Yes",ISNUMBER($E197),W197=""),"irrigation readings missing; ","")&amp;IF(ISNUMBER(Z197),IF(AND(ABS(Z197)&gt;50,NOT(N($B197)&gt;0)),"WL jump &gt;5 cm; ",""),""))</f>
        <v/>
      </c>
      <c r="AO197" s="17">
        <f>IF($A197="","",IF(AND(ISNUMBER(AE197),OR(AE197&lt;-30,AE197&gt;20)),"WL out of range; ","")&amp;IF(AND(ISNUMBER($J197),AE197=""),"no TP/b; ","")&amp;IF(AND(ISNUMBER(AF197),ISNUMBER(AG197)),IF(AG197&lt;AF197,"After&lt;Before; ",""),"")&amp;IF(AND($K197="Yes",ISNUMBER($J197),AH197=""),"irrigation readings missing; ","")&amp;IF(ISNUMBER(AK197),IF(AND(ABS(AK197)&gt;50,NOT(N($B197)&gt;0)),"WL jump &gt;5 cm; ",""),"")&amp;IF(AND(ISNUMBER(PitanE),ISNUMBER(AB197),$A197&gt;PitanE+2,AB197&lt;PitanE),"re-measure TP/b after Pitan; ",""))</f>
        <v/>
      </c>
    </row>
    <row r="198">
      <c r="A198" s="14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0">
        <f>IF(OR($A198="",NOT(ISNUMBER(TransDate))),"",$A198-TransDate)</f>
        <v/>
      </c>
      <c r="Q198" s="16">
        <f>IF($A198="","",IF(_xlfn.MAXIFS('TP-b'!$B$2:$B$60,'TP-b'!$A$2:$A$60,"FP",'TP-b'!$E$2:$E$60,1,'TP-b'!$B$2:$B$60,"&lt;="&amp;$A198)&gt;0,_xlfn.MAXIFS('TP-b'!$B$2:$B$60,'TP-b'!$A$2:$A$60,"FP",'TP-b'!$E$2:$E$60,1,'TP-b'!$B$2:$B$60,"&lt;="&amp;$A198),IF(_xlfn.MINIFS('TP-b'!$B$2:$B$60,'TP-b'!$A$2:$A$60,"FP",'TP-b'!$E$2:$E$60,1)&gt;0,_xlfn.MINIFS('TP-b'!$B$2:$B$60,'TP-b'!$A$2:$A$60,"FP",'TP-b'!$E$2:$E$60,1),"")))</f>
        <v/>
      </c>
      <c r="R198" s="10">
        <f>IF(Q198="","",AVERAGEIFS('TP-b'!$C$2:$C$60,'TP-b'!$A$2:$A$60,"FP",'TP-b'!$B$2:$B$60,Q198,'TP-b'!$E$2:$E$60,1))</f>
        <v/>
      </c>
      <c r="S198" s="10">
        <f>IF(Q198="","",AVERAGEIFS('TP-b'!$D$2:$D$60,'TP-b'!$A$2:$A$60,"FP",'TP-b'!$B$2:$B$60,Q198,'TP-b'!$E$2:$E$60,1))</f>
        <v/>
      </c>
      <c r="T198" s="10">
        <f>IF(OR($A198="",NOT(ISNUMBER($E198)),R198=""),"",ROUND($E198-R198+S198,1))</f>
        <v/>
      </c>
      <c r="U198" s="10">
        <f>IF(AND($F198="Yes",ISNUMBER($G198),R198&lt;&gt;""),ROUND($G198-R198+S198,1),"")</f>
        <v/>
      </c>
      <c r="V198" s="10">
        <f>IF(AND($F198="Yes",ISNUMBER($H198),R198&lt;&gt;""),ROUND($H198-R198+S198,1),"")</f>
        <v/>
      </c>
      <c r="W198" s="10">
        <f>IF(AND(ISNUMBER($E198),ISNUMBER(U198),ISNUMBER(V198)),ROUND((V198-MAX(U198,0))*10,1),"")</f>
        <v/>
      </c>
      <c r="X198" s="10">
        <f>IF(T198="","",IF(AND($F198="Yes",ISNUMBER(V198)),V198,T198))</f>
        <v/>
      </c>
      <c r="Y198" s="10">
        <f>IF(T198="","",ROUND(SUMIFS($W$3:$W$252,$A$3:$A$252,"&lt;="&amp;$A198),1))</f>
        <v/>
      </c>
      <c r="Z198" s="10">
        <f>IF(OR(T198="",$A198=""),"",IF(ISNUMBER(IFERROR(INDEX($X$3:$X$252,MATCH($A198-1,$A$3:$A$252,0)),"")),ROUND((INDEX($X$3:$X$252,MATCH($A198-1,$A$3:$A$252,0))-T198)*10,1),""))</f>
        <v/>
      </c>
      <c r="AA198" s="10">
        <f>IF(ISNUMBER(T198),1,0)</f>
        <v/>
      </c>
      <c r="AB198" s="16">
        <f>IF($A198="","",IF(_xlfn.MAXIFS('TP-b'!$B$2:$B$60,'TP-b'!$A$2:$A$60,"3F4D+MD",'TP-b'!$E$2:$E$60,1,'TP-b'!$B$2:$B$60,"&lt;="&amp;$A198)&gt;0,_xlfn.MAXIFS('TP-b'!$B$2:$B$60,'TP-b'!$A$2:$A$60,"3F4D+MD",'TP-b'!$E$2:$E$60,1,'TP-b'!$B$2:$B$60,"&lt;="&amp;$A198),IF(_xlfn.MINIFS('TP-b'!$B$2:$B$60,'TP-b'!$A$2:$A$60,"3F4D+MD",'TP-b'!$E$2:$E$60,1)&gt;0,_xlfn.MINIFS('TP-b'!$B$2:$B$60,'TP-b'!$A$2:$A$60,"3F4D+MD",'TP-b'!$E$2:$E$60,1),"")))</f>
        <v/>
      </c>
      <c r="AC198" s="10">
        <f>IF(AB198="","",AVERAGEIFS('TP-b'!$C$2:$C$60,'TP-b'!$A$2:$A$60,"3F4D+MD",'TP-b'!$B$2:$B$60,AB198,'TP-b'!$E$2:$E$60,1))</f>
        <v/>
      </c>
      <c r="AD198" s="10">
        <f>IF(AB198="","",AVERAGEIFS('TP-b'!$D$2:$D$60,'TP-b'!$A$2:$A$60,"3F4D+MD",'TP-b'!$B$2:$B$60,AB198,'TP-b'!$E$2:$E$60,1))</f>
        <v/>
      </c>
      <c r="AE198" s="10">
        <f>IF(OR($A198="",NOT(ISNUMBER($J198)),AC198=""),"",ROUND($J198-AC198+AD198,1))</f>
        <v/>
      </c>
      <c r="AF198" s="10">
        <f>IF(AND($K198="Yes",ISNUMBER($L198),AC198&lt;&gt;""),ROUND($L198-AC198+AD198,1),"")</f>
        <v/>
      </c>
      <c r="AG198" s="10">
        <f>IF(AND($K198="Yes",ISNUMBER($M198),AC198&lt;&gt;""),ROUND($M198-AC198+AD198,1),"")</f>
        <v/>
      </c>
      <c r="AH198" s="10">
        <f>IF(AND(ISNUMBER($J198),ISNUMBER(AF198),ISNUMBER(AG198)),ROUND((AG198-MAX(AF198,0))*10,1),"")</f>
        <v/>
      </c>
      <c r="AI198" s="10">
        <f>IF(AE198="","",IF(AND($K198="Yes",ISNUMBER(AG198)),AG198,AE198))</f>
        <v/>
      </c>
      <c r="AJ198" s="10">
        <f>IF(AE198="","",ROUND(SUMIFS($AH$3:$AH$252,$A$3:$A$252,"&lt;="&amp;$A198),1))</f>
        <v/>
      </c>
      <c r="AK198" s="10">
        <f>IF(OR(AE198="",$A198=""),"",IF(ISNUMBER(IFERROR(INDEX($AI$3:$AI$252,MATCH($A198-1,$A$3:$A$252,0)),"")),ROUND((INDEX($AI$3:$AI$252,MATCH($A198-1,$A$3:$A$252,0))-AE198)*10,1),""))</f>
        <v/>
      </c>
      <c r="AL198" s="10">
        <f>IF(ISNUMBER(AE198),1,0)</f>
        <v/>
      </c>
      <c r="AM198" s="17">
        <f>IF($A198="","",IF(COUNTIF($A$3:$A$252,$A198)&gt;1,"same date twice; ","")&amp;IF(AND(ISNUMBER($B198),OR($B198&lt;0,$B198&gt;300)),"rain out of range; ","")&amp;IF(AND(ISNUMBER($C198),OR($C198&lt;0,$C198&gt;45)),"temp out of range; ","")&amp;IF(AND(ISNUMBER($D198),OR($D198&lt;0,$D198&gt;100)),"RH out of range; ",""))</f>
        <v/>
      </c>
      <c r="AN198" s="17">
        <f>IF($A198="","",IF(AND(ISNUMBER(T198),OR(T198&lt;-30,T198&gt;20)),"WL out of range; ","")&amp;IF(AND(ISNUMBER($E198),T198=""),"no TP/b; ","")&amp;IF(AND(ISNUMBER(U198),ISNUMBER(V198)),IF(V198&lt;U198,"After&lt;Before; ",""),"")&amp;IF(AND($F198="Yes",ISNUMBER($E198),W198=""),"irrigation readings missing; ","")&amp;IF(ISNUMBER(Z198),IF(AND(ABS(Z198)&gt;50,NOT(N($B198)&gt;0)),"WL jump &gt;5 cm; ",""),""))</f>
        <v/>
      </c>
      <c r="AO198" s="17">
        <f>IF($A198="","",IF(AND(ISNUMBER(AE198),OR(AE198&lt;-30,AE198&gt;20)),"WL out of range; ","")&amp;IF(AND(ISNUMBER($J198),AE198=""),"no TP/b; ","")&amp;IF(AND(ISNUMBER(AF198),ISNUMBER(AG198)),IF(AG198&lt;AF198,"After&lt;Before; ",""),"")&amp;IF(AND($K198="Yes",ISNUMBER($J198),AH198=""),"irrigation readings missing; ","")&amp;IF(ISNUMBER(AK198),IF(AND(ABS(AK198)&gt;50,NOT(N($B198)&gt;0)),"WL jump &gt;5 cm; ",""),"")&amp;IF(AND(ISNUMBER(PitanE),ISNUMBER(AB198),$A198&gt;PitanE+2,AB198&lt;PitanE),"re-measure TP/b after Pitan; ",""))</f>
        <v/>
      </c>
    </row>
    <row r="199">
      <c r="A199" s="14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0">
        <f>IF(OR($A199="",NOT(ISNUMBER(TransDate))),"",$A199-TransDate)</f>
        <v/>
      </c>
      <c r="Q199" s="16">
        <f>IF($A199="","",IF(_xlfn.MAXIFS('TP-b'!$B$2:$B$60,'TP-b'!$A$2:$A$60,"FP",'TP-b'!$E$2:$E$60,1,'TP-b'!$B$2:$B$60,"&lt;="&amp;$A199)&gt;0,_xlfn.MAXIFS('TP-b'!$B$2:$B$60,'TP-b'!$A$2:$A$60,"FP",'TP-b'!$E$2:$E$60,1,'TP-b'!$B$2:$B$60,"&lt;="&amp;$A199),IF(_xlfn.MINIFS('TP-b'!$B$2:$B$60,'TP-b'!$A$2:$A$60,"FP",'TP-b'!$E$2:$E$60,1)&gt;0,_xlfn.MINIFS('TP-b'!$B$2:$B$60,'TP-b'!$A$2:$A$60,"FP",'TP-b'!$E$2:$E$60,1),"")))</f>
        <v/>
      </c>
      <c r="R199" s="10">
        <f>IF(Q199="","",AVERAGEIFS('TP-b'!$C$2:$C$60,'TP-b'!$A$2:$A$60,"FP",'TP-b'!$B$2:$B$60,Q199,'TP-b'!$E$2:$E$60,1))</f>
        <v/>
      </c>
      <c r="S199" s="10">
        <f>IF(Q199="","",AVERAGEIFS('TP-b'!$D$2:$D$60,'TP-b'!$A$2:$A$60,"FP",'TP-b'!$B$2:$B$60,Q199,'TP-b'!$E$2:$E$60,1))</f>
        <v/>
      </c>
      <c r="T199" s="10">
        <f>IF(OR($A199="",NOT(ISNUMBER($E199)),R199=""),"",ROUND($E199-R199+S199,1))</f>
        <v/>
      </c>
      <c r="U199" s="10">
        <f>IF(AND($F199="Yes",ISNUMBER($G199),R199&lt;&gt;""),ROUND($G199-R199+S199,1),"")</f>
        <v/>
      </c>
      <c r="V199" s="10">
        <f>IF(AND($F199="Yes",ISNUMBER($H199),R199&lt;&gt;""),ROUND($H199-R199+S199,1),"")</f>
        <v/>
      </c>
      <c r="W199" s="10">
        <f>IF(AND(ISNUMBER($E199),ISNUMBER(U199),ISNUMBER(V199)),ROUND((V199-MAX(U199,0))*10,1),"")</f>
        <v/>
      </c>
      <c r="X199" s="10">
        <f>IF(T199="","",IF(AND($F199="Yes",ISNUMBER(V199)),V199,T199))</f>
        <v/>
      </c>
      <c r="Y199" s="10">
        <f>IF(T199="","",ROUND(SUMIFS($W$3:$W$252,$A$3:$A$252,"&lt;="&amp;$A199),1))</f>
        <v/>
      </c>
      <c r="Z199" s="10">
        <f>IF(OR(T199="",$A199=""),"",IF(ISNUMBER(IFERROR(INDEX($X$3:$X$252,MATCH($A199-1,$A$3:$A$252,0)),"")),ROUND((INDEX($X$3:$X$252,MATCH($A199-1,$A$3:$A$252,0))-T199)*10,1),""))</f>
        <v/>
      </c>
      <c r="AA199" s="10">
        <f>IF(ISNUMBER(T199),1,0)</f>
        <v/>
      </c>
      <c r="AB199" s="16">
        <f>IF($A199="","",IF(_xlfn.MAXIFS('TP-b'!$B$2:$B$60,'TP-b'!$A$2:$A$60,"3F4D+MD",'TP-b'!$E$2:$E$60,1,'TP-b'!$B$2:$B$60,"&lt;="&amp;$A199)&gt;0,_xlfn.MAXIFS('TP-b'!$B$2:$B$60,'TP-b'!$A$2:$A$60,"3F4D+MD",'TP-b'!$E$2:$E$60,1,'TP-b'!$B$2:$B$60,"&lt;="&amp;$A199),IF(_xlfn.MINIFS('TP-b'!$B$2:$B$60,'TP-b'!$A$2:$A$60,"3F4D+MD",'TP-b'!$E$2:$E$60,1)&gt;0,_xlfn.MINIFS('TP-b'!$B$2:$B$60,'TP-b'!$A$2:$A$60,"3F4D+MD",'TP-b'!$E$2:$E$60,1),"")))</f>
        <v/>
      </c>
      <c r="AC199" s="10">
        <f>IF(AB199="","",AVERAGEIFS('TP-b'!$C$2:$C$60,'TP-b'!$A$2:$A$60,"3F4D+MD",'TP-b'!$B$2:$B$60,AB199,'TP-b'!$E$2:$E$60,1))</f>
        <v/>
      </c>
      <c r="AD199" s="10">
        <f>IF(AB199="","",AVERAGEIFS('TP-b'!$D$2:$D$60,'TP-b'!$A$2:$A$60,"3F4D+MD",'TP-b'!$B$2:$B$60,AB199,'TP-b'!$E$2:$E$60,1))</f>
        <v/>
      </c>
      <c r="AE199" s="10">
        <f>IF(OR($A199="",NOT(ISNUMBER($J199)),AC199=""),"",ROUND($J199-AC199+AD199,1))</f>
        <v/>
      </c>
      <c r="AF199" s="10">
        <f>IF(AND($K199="Yes",ISNUMBER($L199),AC199&lt;&gt;""),ROUND($L199-AC199+AD199,1),"")</f>
        <v/>
      </c>
      <c r="AG199" s="10">
        <f>IF(AND($K199="Yes",ISNUMBER($M199),AC199&lt;&gt;""),ROUND($M199-AC199+AD199,1),"")</f>
        <v/>
      </c>
      <c r="AH199" s="10">
        <f>IF(AND(ISNUMBER($J199),ISNUMBER(AF199),ISNUMBER(AG199)),ROUND((AG199-MAX(AF199,0))*10,1),"")</f>
        <v/>
      </c>
      <c r="AI199" s="10">
        <f>IF(AE199="","",IF(AND($K199="Yes",ISNUMBER(AG199)),AG199,AE199))</f>
        <v/>
      </c>
      <c r="AJ199" s="10">
        <f>IF(AE199="","",ROUND(SUMIFS($AH$3:$AH$252,$A$3:$A$252,"&lt;="&amp;$A199),1))</f>
        <v/>
      </c>
      <c r="AK199" s="10">
        <f>IF(OR(AE199="",$A199=""),"",IF(ISNUMBER(IFERROR(INDEX($AI$3:$AI$252,MATCH($A199-1,$A$3:$A$252,0)),"")),ROUND((INDEX($AI$3:$AI$252,MATCH($A199-1,$A$3:$A$252,0))-AE199)*10,1),""))</f>
        <v/>
      </c>
      <c r="AL199" s="10">
        <f>IF(ISNUMBER(AE199),1,0)</f>
        <v/>
      </c>
      <c r="AM199" s="17">
        <f>IF($A199="","",IF(COUNTIF($A$3:$A$252,$A199)&gt;1,"same date twice; ","")&amp;IF(AND(ISNUMBER($B199),OR($B199&lt;0,$B199&gt;300)),"rain out of range; ","")&amp;IF(AND(ISNUMBER($C199),OR($C199&lt;0,$C199&gt;45)),"temp out of range; ","")&amp;IF(AND(ISNUMBER($D199),OR($D199&lt;0,$D199&gt;100)),"RH out of range; ",""))</f>
        <v/>
      </c>
      <c r="AN199" s="17">
        <f>IF($A199="","",IF(AND(ISNUMBER(T199),OR(T199&lt;-30,T199&gt;20)),"WL out of range; ","")&amp;IF(AND(ISNUMBER($E199),T199=""),"no TP/b; ","")&amp;IF(AND(ISNUMBER(U199),ISNUMBER(V199)),IF(V199&lt;U199,"After&lt;Before; ",""),"")&amp;IF(AND($F199="Yes",ISNUMBER($E199),W199=""),"irrigation readings missing; ","")&amp;IF(ISNUMBER(Z199),IF(AND(ABS(Z199)&gt;50,NOT(N($B199)&gt;0)),"WL jump &gt;5 cm; ",""),""))</f>
        <v/>
      </c>
      <c r="AO199" s="17">
        <f>IF($A199="","",IF(AND(ISNUMBER(AE199),OR(AE199&lt;-30,AE199&gt;20)),"WL out of range; ","")&amp;IF(AND(ISNUMBER($J199),AE199=""),"no TP/b; ","")&amp;IF(AND(ISNUMBER(AF199),ISNUMBER(AG199)),IF(AG199&lt;AF199,"After&lt;Before; ",""),"")&amp;IF(AND($K199="Yes",ISNUMBER($J199),AH199=""),"irrigation readings missing; ","")&amp;IF(ISNUMBER(AK199),IF(AND(ABS(AK199)&gt;50,NOT(N($B199)&gt;0)),"WL jump &gt;5 cm; ",""),"")&amp;IF(AND(ISNUMBER(PitanE),ISNUMBER(AB199),$A199&gt;PitanE+2,AB199&lt;PitanE),"re-measure TP/b after Pitan; ",""))</f>
        <v/>
      </c>
    </row>
    <row r="200">
      <c r="A200" s="14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0">
        <f>IF(OR($A200="",NOT(ISNUMBER(TransDate))),"",$A200-TransDate)</f>
        <v/>
      </c>
      <c r="Q200" s="16">
        <f>IF($A200="","",IF(_xlfn.MAXIFS('TP-b'!$B$2:$B$60,'TP-b'!$A$2:$A$60,"FP",'TP-b'!$E$2:$E$60,1,'TP-b'!$B$2:$B$60,"&lt;="&amp;$A200)&gt;0,_xlfn.MAXIFS('TP-b'!$B$2:$B$60,'TP-b'!$A$2:$A$60,"FP",'TP-b'!$E$2:$E$60,1,'TP-b'!$B$2:$B$60,"&lt;="&amp;$A200),IF(_xlfn.MINIFS('TP-b'!$B$2:$B$60,'TP-b'!$A$2:$A$60,"FP",'TP-b'!$E$2:$E$60,1)&gt;0,_xlfn.MINIFS('TP-b'!$B$2:$B$60,'TP-b'!$A$2:$A$60,"FP",'TP-b'!$E$2:$E$60,1),"")))</f>
        <v/>
      </c>
      <c r="R200" s="10">
        <f>IF(Q200="","",AVERAGEIFS('TP-b'!$C$2:$C$60,'TP-b'!$A$2:$A$60,"FP",'TP-b'!$B$2:$B$60,Q200,'TP-b'!$E$2:$E$60,1))</f>
        <v/>
      </c>
      <c r="S200" s="10">
        <f>IF(Q200="","",AVERAGEIFS('TP-b'!$D$2:$D$60,'TP-b'!$A$2:$A$60,"FP",'TP-b'!$B$2:$B$60,Q200,'TP-b'!$E$2:$E$60,1))</f>
        <v/>
      </c>
      <c r="T200" s="10">
        <f>IF(OR($A200="",NOT(ISNUMBER($E200)),R200=""),"",ROUND($E200-R200+S200,1))</f>
        <v/>
      </c>
      <c r="U200" s="10">
        <f>IF(AND($F200="Yes",ISNUMBER($G200),R200&lt;&gt;""),ROUND($G200-R200+S200,1),"")</f>
        <v/>
      </c>
      <c r="V200" s="10">
        <f>IF(AND($F200="Yes",ISNUMBER($H200),R200&lt;&gt;""),ROUND($H200-R200+S200,1),"")</f>
        <v/>
      </c>
      <c r="W200" s="10">
        <f>IF(AND(ISNUMBER($E200),ISNUMBER(U200),ISNUMBER(V200)),ROUND((V200-MAX(U200,0))*10,1),"")</f>
        <v/>
      </c>
      <c r="X200" s="10">
        <f>IF(T200="","",IF(AND($F200="Yes",ISNUMBER(V200)),V200,T200))</f>
        <v/>
      </c>
      <c r="Y200" s="10">
        <f>IF(T200="","",ROUND(SUMIFS($W$3:$W$252,$A$3:$A$252,"&lt;="&amp;$A200),1))</f>
        <v/>
      </c>
      <c r="Z200" s="10">
        <f>IF(OR(T200="",$A200=""),"",IF(ISNUMBER(IFERROR(INDEX($X$3:$X$252,MATCH($A200-1,$A$3:$A$252,0)),"")),ROUND((INDEX($X$3:$X$252,MATCH($A200-1,$A$3:$A$252,0))-T200)*10,1),""))</f>
        <v/>
      </c>
      <c r="AA200" s="10">
        <f>IF(ISNUMBER(T200),1,0)</f>
        <v/>
      </c>
      <c r="AB200" s="16">
        <f>IF($A200="","",IF(_xlfn.MAXIFS('TP-b'!$B$2:$B$60,'TP-b'!$A$2:$A$60,"3F4D+MD",'TP-b'!$E$2:$E$60,1,'TP-b'!$B$2:$B$60,"&lt;="&amp;$A200)&gt;0,_xlfn.MAXIFS('TP-b'!$B$2:$B$60,'TP-b'!$A$2:$A$60,"3F4D+MD",'TP-b'!$E$2:$E$60,1,'TP-b'!$B$2:$B$60,"&lt;="&amp;$A200),IF(_xlfn.MINIFS('TP-b'!$B$2:$B$60,'TP-b'!$A$2:$A$60,"3F4D+MD",'TP-b'!$E$2:$E$60,1)&gt;0,_xlfn.MINIFS('TP-b'!$B$2:$B$60,'TP-b'!$A$2:$A$60,"3F4D+MD",'TP-b'!$E$2:$E$60,1),"")))</f>
        <v/>
      </c>
      <c r="AC200" s="10">
        <f>IF(AB200="","",AVERAGEIFS('TP-b'!$C$2:$C$60,'TP-b'!$A$2:$A$60,"3F4D+MD",'TP-b'!$B$2:$B$60,AB200,'TP-b'!$E$2:$E$60,1))</f>
        <v/>
      </c>
      <c r="AD200" s="10">
        <f>IF(AB200="","",AVERAGEIFS('TP-b'!$D$2:$D$60,'TP-b'!$A$2:$A$60,"3F4D+MD",'TP-b'!$B$2:$B$60,AB200,'TP-b'!$E$2:$E$60,1))</f>
        <v/>
      </c>
      <c r="AE200" s="10">
        <f>IF(OR($A200="",NOT(ISNUMBER($J200)),AC200=""),"",ROUND($J200-AC200+AD200,1))</f>
        <v/>
      </c>
      <c r="AF200" s="10">
        <f>IF(AND($K200="Yes",ISNUMBER($L200),AC200&lt;&gt;""),ROUND($L200-AC200+AD200,1),"")</f>
        <v/>
      </c>
      <c r="AG200" s="10">
        <f>IF(AND($K200="Yes",ISNUMBER($M200),AC200&lt;&gt;""),ROUND($M200-AC200+AD200,1),"")</f>
        <v/>
      </c>
      <c r="AH200" s="10">
        <f>IF(AND(ISNUMBER($J200),ISNUMBER(AF200),ISNUMBER(AG200)),ROUND((AG200-MAX(AF200,0))*10,1),"")</f>
        <v/>
      </c>
      <c r="AI200" s="10">
        <f>IF(AE200="","",IF(AND($K200="Yes",ISNUMBER(AG200)),AG200,AE200))</f>
        <v/>
      </c>
      <c r="AJ200" s="10">
        <f>IF(AE200="","",ROUND(SUMIFS($AH$3:$AH$252,$A$3:$A$252,"&lt;="&amp;$A200),1))</f>
        <v/>
      </c>
      <c r="AK200" s="10">
        <f>IF(OR(AE200="",$A200=""),"",IF(ISNUMBER(IFERROR(INDEX($AI$3:$AI$252,MATCH($A200-1,$A$3:$A$252,0)),"")),ROUND((INDEX($AI$3:$AI$252,MATCH($A200-1,$A$3:$A$252,0))-AE200)*10,1),""))</f>
        <v/>
      </c>
      <c r="AL200" s="10">
        <f>IF(ISNUMBER(AE200),1,0)</f>
        <v/>
      </c>
      <c r="AM200" s="17">
        <f>IF($A200="","",IF(COUNTIF($A$3:$A$252,$A200)&gt;1,"same date twice; ","")&amp;IF(AND(ISNUMBER($B200),OR($B200&lt;0,$B200&gt;300)),"rain out of range; ","")&amp;IF(AND(ISNUMBER($C200),OR($C200&lt;0,$C200&gt;45)),"temp out of range; ","")&amp;IF(AND(ISNUMBER($D200),OR($D200&lt;0,$D200&gt;100)),"RH out of range; ",""))</f>
        <v/>
      </c>
      <c r="AN200" s="17">
        <f>IF($A200="","",IF(AND(ISNUMBER(T200),OR(T200&lt;-30,T200&gt;20)),"WL out of range; ","")&amp;IF(AND(ISNUMBER($E200),T200=""),"no TP/b; ","")&amp;IF(AND(ISNUMBER(U200),ISNUMBER(V200)),IF(V200&lt;U200,"After&lt;Before; ",""),"")&amp;IF(AND($F200="Yes",ISNUMBER($E200),W200=""),"irrigation readings missing; ","")&amp;IF(ISNUMBER(Z200),IF(AND(ABS(Z200)&gt;50,NOT(N($B200)&gt;0)),"WL jump &gt;5 cm; ",""),""))</f>
        <v/>
      </c>
      <c r="AO200" s="17">
        <f>IF($A200="","",IF(AND(ISNUMBER(AE200),OR(AE200&lt;-30,AE200&gt;20)),"WL out of range; ","")&amp;IF(AND(ISNUMBER($J200),AE200=""),"no TP/b; ","")&amp;IF(AND(ISNUMBER(AF200),ISNUMBER(AG200)),IF(AG200&lt;AF200,"After&lt;Before; ",""),"")&amp;IF(AND($K200="Yes",ISNUMBER($J200),AH200=""),"irrigation readings missing; ","")&amp;IF(ISNUMBER(AK200),IF(AND(ABS(AK200)&gt;50,NOT(N($B200)&gt;0)),"WL jump &gt;5 cm; ",""),"")&amp;IF(AND(ISNUMBER(PitanE),ISNUMBER(AB200),$A200&gt;PitanE+2,AB200&lt;PitanE),"re-measure TP/b after Pitan; ",""))</f>
        <v/>
      </c>
    </row>
    <row r="201">
      <c r="A201" s="14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0">
        <f>IF(OR($A201="",NOT(ISNUMBER(TransDate))),"",$A201-TransDate)</f>
        <v/>
      </c>
      <c r="Q201" s="16">
        <f>IF($A201="","",IF(_xlfn.MAXIFS('TP-b'!$B$2:$B$60,'TP-b'!$A$2:$A$60,"FP",'TP-b'!$E$2:$E$60,1,'TP-b'!$B$2:$B$60,"&lt;="&amp;$A201)&gt;0,_xlfn.MAXIFS('TP-b'!$B$2:$B$60,'TP-b'!$A$2:$A$60,"FP",'TP-b'!$E$2:$E$60,1,'TP-b'!$B$2:$B$60,"&lt;="&amp;$A201),IF(_xlfn.MINIFS('TP-b'!$B$2:$B$60,'TP-b'!$A$2:$A$60,"FP",'TP-b'!$E$2:$E$60,1)&gt;0,_xlfn.MINIFS('TP-b'!$B$2:$B$60,'TP-b'!$A$2:$A$60,"FP",'TP-b'!$E$2:$E$60,1),"")))</f>
        <v/>
      </c>
      <c r="R201" s="10">
        <f>IF(Q201="","",AVERAGEIFS('TP-b'!$C$2:$C$60,'TP-b'!$A$2:$A$60,"FP",'TP-b'!$B$2:$B$60,Q201,'TP-b'!$E$2:$E$60,1))</f>
        <v/>
      </c>
      <c r="S201" s="10">
        <f>IF(Q201="","",AVERAGEIFS('TP-b'!$D$2:$D$60,'TP-b'!$A$2:$A$60,"FP",'TP-b'!$B$2:$B$60,Q201,'TP-b'!$E$2:$E$60,1))</f>
        <v/>
      </c>
      <c r="T201" s="10">
        <f>IF(OR($A201="",NOT(ISNUMBER($E201)),R201=""),"",ROUND($E201-R201+S201,1))</f>
        <v/>
      </c>
      <c r="U201" s="10">
        <f>IF(AND($F201="Yes",ISNUMBER($G201),R201&lt;&gt;""),ROUND($G201-R201+S201,1),"")</f>
        <v/>
      </c>
      <c r="V201" s="10">
        <f>IF(AND($F201="Yes",ISNUMBER($H201),R201&lt;&gt;""),ROUND($H201-R201+S201,1),"")</f>
        <v/>
      </c>
      <c r="W201" s="10">
        <f>IF(AND(ISNUMBER($E201),ISNUMBER(U201),ISNUMBER(V201)),ROUND((V201-MAX(U201,0))*10,1),"")</f>
        <v/>
      </c>
      <c r="X201" s="10">
        <f>IF(T201="","",IF(AND($F201="Yes",ISNUMBER(V201)),V201,T201))</f>
        <v/>
      </c>
      <c r="Y201" s="10">
        <f>IF(T201="","",ROUND(SUMIFS($W$3:$W$252,$A$3:$A$252,"&lt;="&amp;$A201),1))</f>
        <v/>
      </c>
      <c r="Z201" s="10">
        <f>IF(OR(T201="",$A201=""),"",IF(ISNUMBER(IFERROR(INDEX($X$3:$X$252,MATCH($A201-1,$A$3:$A$252,0)),"")),ROUND((INDEX($X$3:$X$252,MATCH($A201-1,$A$3:$A$252,0))-T201)*10,1),""))</f>
        <v/>
      </c>
      <c r="AA201" s="10">
        <f>IF(ISNUMBER(T201),1,0)</f>
        <v/>
      </c>
      <c r="AB201" s="16">
        <f>IF($A201="","",IF(_xlfn.MAXIFS('TP-b'!$B$2:$B$60,'TP-b'!$A$2:$A$60,"3F4D+MD",'TP-b'!$E$2:$E$60,1,'TP-b'!$B$2:$B$60,"&lt;="&amp;$A201)&gt;0,_xlfn.MAXIFS('TP-b'!$B$2:$B$60,'TP-b'!$A$2:$A$60,"3F4D+MD",'TP-b'!$E$2:$E$60,1,'TP-b'!$B$2:$B$60,"&lt;="&amp;$A201),IF(_xlfn.MINIFS('TP-b'!$B$2:$B$60,'TP-b'!$A$2:$A$60,"3F4D+MD",'TP-b'!$E$2:$E$60,1)&gt;0,_xlfn.MINIFS('TP-b'!$B$2:$B$60,'TP-b'!$A$2:$A$60,"3F4D+MD",'TP-b'!$E$2:$E$60,1),"")))</f>
        <v/>
      </c>
      <c r="AC201" s="10">
        <f>IF(AB201="","",AVERAGEIFS('TP-b'!$C$2:$C$60,'TP-b'!$A$2:$A$60,"3F4D+MD",'TP-b'!$B$2:$B$60,AB201,'TP-b'!$E$2:$E$60,1))</f>
        <v/>
      </c>
      <c r="AD201" s="10">
        <f>IF(AB201="","",AVERAGEIFS('TP-b'!$D$2:$D$60,'TP-b'!$A$2:$A$60,"3F4D+MD",'TP-b'!$B$2:$B$60,AB201,'TP-b'!$E$2:$E$60,1))</f>
        <v/>
      </c>
      <c r="AE201" s="10">
        <f>IF(OR($A201="",NOT(ISNUMBER($J201)),AC201=""),"",ROUND($J201-AC201+AD201,1))</f>
        <v/>
      </c>
      <c r="AF201" s="10">
        <f>IF(AND($K201="Yes",ISNUMBER($L201),AC201&lt;&gt;""),ROUND($L201-AC201+AD201,1),"")</f>
        <v/>
      </c>
      <c r="AG201" s="10">
        <f>IF(AND($K201="Yes",ISNUMBER($M201),AC201&lt;&gt;""),ROUND($M201-AC201+AD201,1),"")</f>
        <v/>
      </c>
      <c r="AH201" s="10">
        <f>IF(AND(ISNUMBER($J201),ISNUMBER(AF201),ISNUMBER(AG201)),ROUND((AG201-MAX(AF201,0))*10,1),"")</f>
        <v/>
      </c>
      <c r="AI201" s="10">
        <f>IF(AE201="","",IF(AND($K201="Yes",ISNUMBER(AG201)),AG201,AE201))</f>
        <v/>
      </c>
      <c r="AJ201" s="10">
        <f>IF(AE201="","",ROUND(SUMIFS($AH$3:$AH$252,$A$3:$A$252,"&lt;="&amp;$A201),1))</f>
        <v/>
      </c>
      <c r="AK201" s="10">
        <f>IF(OR(AE201="",$A201=""),"",IF(ISNUMBER(IFERROR(INDEX($AI$3:$AI$252,MATCH($A201-1,$A$3:$A$252,0)),"")),ROUND((INDEX($AI$3:$AI$252,MATCH($A201-1,$A$3:$A$252,0))-AE201)*10,1),""))</f>
        <v/>
      </c>
      <c r="AL201" s="10">
        <f>IF(ISNUMBER(AE201),1,0)</f>
        <v/>
      </c>
      <c r="AM201" s="17">
        <f>IF($A201="","",IF(COUNTIF($A$3:$A$252,$A201)&gt;1,"same date twice; ","")&amp;IF(AND(ISNUMBER($B201),OR($B201&lt;0,$B201&gt;300)),"rain out of range; ","")&amp;IF(AND(ISNUMBER($C201),OR($C201&lt;0,$C201&gt;45)),"temp out of range; ","")&amp;IF(AND(ISNUMBER($D201),OR($D201&lt;0,$D201&gt;100)),"RH out of range; ",""))</f>
        <v/>
      </c>
      <c r="AN201" s="17">
        <f>IF($A201="","",IF(AND(ISNUMBER(T201),OR(T201&lt;-30,T201&gt;20)),"WL out of range; ","")&amp;IF(AND(ISNUMBER($E201),T201=""),"no TP/b; ","")&amp;IF(AND(ISNUMBER(U201),ISNUMBER(V201)),IF(V201&lt;U201,"After&lt;Before; ",""),"")&amp;IF(AND($F201="Yes",ISNUMBER($E201),W201=""),"irrigation readings missing; ","")&amp;IF(ISNUMBER(Z201),IF(AND(ABS(Z201)&gt;50,NOT(N($B201)&gt;0)),"WL jump &gt;5 cm; ",""),""))</f>
        <v/>
      </c>
      <c r="AO201" s="17">
        <f>IF($A201="","",IF(AND(ISNUMBER(AE201),OR(AE201&lt;-30,AE201&gt;20)),"WL out of range; ","")&amp;IF(AND(ISNUMBER($J201),AE201=""),"no TP/b; ","")&amp;IF(AND(ISNUMBER(AF201),ISNUMBER(AG201)),IF(AG201&lt;AF201,"After&lt;Before; ",""),"")&amp;IF(AND($K201="Yes",ISNUMBER($J201),AH201=""),"irrigation readings missing; ","")&amp;IF(ISNUMBER(AK201),IF(AND(ABS(AK201)&gt;50,NOT(N($B201)&gt;0)),"WL jump &gt;5 cm; ",""),"")&amp;IF(AND(ISNUMBER(PitanE),ISNUMBER(AB201),$A201&gt;PitanE+2,AB201&lt;PitanE),"re-measure TP/b after Pitan; ",""))</f>
        <v/>
      </c>
    </row>
    <row r="202">
      <c r="A202" s="14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0">
        <f>IF(OR($A202="",NOT(ISNUMBER(TransDate))),"",$A202-TransDate)</f>
        <v/>
      </c>
      <c r="Q202" s="16">
        <f>IF($A202="","",IF(_xlfn.MAXIFS('TP-b'!$B$2:$B$60,'TP-b'!$A$2:$A$60,"FP",'TP-b'!$E$2:$E$60,1,'TP-b'!$B$2:$B$60,"&lt;="&amp;$A202)&gt;0,_xlfn.MAXIFS('TP-b'!$B$2:$B$60,'TP-b'!$A$2:$A$60,"FP",'TP-b'!$E$2:$E$60,1,'TP-b'!$B$2:$B$60,"&lt;="&amp;$A202),IF(_xlfn.MINIFS('TP-b'!$B$2:$B$60,'TP-b'!$A$2:$A$60,"FP",'TP-b'!$E$2:$E$60,1)&gt;0,_xlfn.MINIFS('TP-b'!$B$2:$B$60,'TP-b'!$A$2:$A$60,"FP",'TP-b'!$E$2:$E$60,1),"")))</f>
        <v/>
      </c>
      <c r="R202" s="10">
        <f>IF(Q202="","",AVERAGEIFS('TP-b'!$C$2:$C$60,'TP-b'!$A$2:$A$60,"FP",'TP-b'!$B$2:$B$60,Q202,'TP-b'!$E$2:$E$60,1))</f>
        <v/>
      </c>
      <c r="S202" s="10">
        <f>IF(Q202="","",AVERAGEIFS('TP-b'!$D$2:$D$60,'TP-b'!$A$2:$A$60,"FP",'TP-b'!$B$2:$B$60,Q202,'TP-b'!$E$2:$E$60,1))</f>
        <v/>
      </c>
      <c r="T202" s="10">
        <f>IF(OR($A202="",NOT(ISNUMBER($E202)),R202=""),"",ROUND($E202-R202+S202,1))</f>
        <v/>
      </c>
      <c r="U202" s="10">
        <f>IF(AND($F202="Yes",ISNUMBER($G202),R202&lt;&gt;""),ROUND($G202-R202+S202,1),"")</f>
        <v/>
      </c>
      <c r="V202" s="10">
        <f>IF(AND($F202="Yes",ISNUMBER($H202),R202&lt;&gt;""),ROUND($H202-R202+S202,1),"")</f>
        <v/>
      </c>
      <c r="W202" s="10">
        <f>IF(AND(ISNUMBER($E202),ISNUMBER(U202),ISNUMBER(V202)),ROUND((V202-MAX(U202,0))*10,1),"")</f>
        <v/>
      </c>
      <c r="X202" s="10">
        <f>IF(T202="","",IF(AND($F202="Yes",ISNUMBER(V202)),V202,T202))</f>
        <v/>
      </c>
      <c r="Y202" s="10">
        <f>IF(T202="","",ROUND(SUMIFS($W$3:$W$252,$A$3:$A$252,"&lt;="&amp;$A202),1))</f>
        <v/>
      </c>
      <c r="Z202" s="10">
        <f>IF(OR(T202="",$A202=""),"",IF(ISNUMBER(IFERROR(INDEX($X$3:$X$252,MATCH($A202-1,$A$3:$A$252,0)),"")),ROUND((INDEX($X$3:$X$252,MATCH($A202-1,$A$3:$A$252,0))-T202)*10,1),""))</f>
        <v/>
      </c>
      <c r="AA202" s="10">
        <f>IF(ISNUMBER(T202),1,0)</f>
        <v/>
      </c>
      <c r="AB202" s="16">
        <f>IF($A202="","",IF(_xlfn.MAXIFS('TP-b'!$B$2:$B$60,'TP-b'!$A$2:$A$60,"3F4D+MD",'TP-b'!$E$2:$E$60,1,'TP-b'!$B$2:$B$60,"&lt;="&amp;$A202)&gt;0,_xlfn.MAXIFS('TP-b'!$B$2:$B$60,'TP-b'!$A$2:$A$60,"3F4D+MD",'TP-b'!$E$2:$E$60,1,'TP-b'!$B$2:$B$60,"&lt;="&amp;$A202),IF(_xlfn.MINIFS('TP-b'!$B$2:$B$60,'TP-b'!$A$2:$A$60,"3F4D+MD",'TP-b'!$E$2:$E$60,1)&gt;0,_xlfn.MINIFS('TP-b'!$B$2:$B$60,'TP-b'!$A$2:$A$60,"3F4D+MD",'TP-b'!$E$2:$E$60,1),"")))</f>
        <v/>
      </c>
      <c r="AC202" s="10">
        <f>IF(AB202="","",AVERAGEIFS('TP-b'!$C$2:$C$60,'TP-b'!$A$2:$A$60,"3F4D+MD",'TP-b'!$B$2:$B$60,AB202,'TP-b'!$E$2:$E$60,1))</f>
        <v/>
      </c>
      <c r="AD202" s="10">
        <f>IF(AB202="","",AVERAGEIFS('TP-b'!$D$2:$D$60,'TP-b'!$A$2:$A$60,"3F4D+MD",'TP-b'!$B$2:$B$60,AB202,'TP-b'!$E$2:$E$60,1))</f>
        <v/>
      </c>
      <c r="AE202" s="10">
        <f>IF(OR($A202="",NOT(ISNUMBER($J202)),AC202=""),"",ROUND($J202-AC202+AD202,1))</f>
        <v/>
      </c>
      <c r="AF202" s="10">
        <f>IF(AND($K202="Yes",ISNUMBER($L202),AC202&lt;&gt;""),ROUND($L202-AC202+AD202,1),"")</f>
        <v/>
      </c>
      <c r="AG202" s="10">
        <f>IF(AND($K202="Yes",ISNUMBER($M202),AC202&lt;&gt;""),ROUND($M202-AC202+AD202,1),"")</f>
        <v/>
      </c>
      <c r="AH202" s="10">
        <f>IF(AND(ISNUMBER($J202),ISNUMBER(AF202),ISNUMBER(AG202)),ROUND((AG202-MAX(AF202,0))*10,1),"")</f>
        <v/>
      </c>
      <c r="AI202" s="10">
        <f>IF(AE202="","",IF(AND($K202="Yes",ISNUMBER(AG202)),AG202,AE202))</f>
        <v/>
      </c>
      <c r="AJ202" s="10">
        <f>IF(AE202="","",ROUND(SUMIFS($AH$3:$AH$252,$A$3:$A$252,"&lt;="&amp;$A202),1))</f>
        <v/>
      </c>
      <c r="AK202" s="10">
        <f>IF(OR(AE202="",$A202=""),"",IF(ISNUMBER(IFERROR(INDEX($AI$3:$AI$252,MATCH($A202-1,$A$3:$A$252,0)),"")),ROUND((INDEX($AI$3:$AI$252,MATCH($A202-1,$A$3:$A$252,0))-AE202)*10,1),""))</f>
        <v/>
      </c>
      <c r="AL202" s="10">
        <f>IF(ISNUMBER(AE202),1,0)</f>
        <v/>
      </c>
      <c r="AM202" s="17">
        <f>IF($A202="","",IF(COUNTIF($A$3:$A$252,$A202)&gt;1,"same date twice; ","")&amp;IF(AND(ISNUMBER($B202),OR($B202&lt;0,$B202&gt;300)),"rain out of range; ","")&amp;IF(AND(ISNUMBER($C202),OR($C202&lt;0,$C202&gt;45)),"temp out of range; ","")&amp;IF(AND(ISNUMBER($D202),OR($D202&lt;0,$D202&gt;100)),"RH out of range; ",""))</f>
        <v/>
      </c>
      <c r="AN202" s="17">
        <f>IF($A202="","",IF(AND(ISNUMBER(T202),OR(T202&lt;-30,T202&gt;20)),"WL out of range; ","")&amp;IF(AND(ISNUMBER($E202),T202=""),"no TP/b; ","")&amp;IF(AND(ISNUMBER(U202),ISNUMBER(V202)),IF(V202&lt;U202,"After&lt;Before; ",""),"")&amp;IF(AND($F202="Yes",ISNUMBER($E202),W202=""),"irrigation readings missing; ","")&amp;IF(ISNUMBER(Z202),IF(AND(ABS(Z202)&gt;50,NOT(N($B202)&gt;0)),"WL jump &gt;5 cm; ",""),""))</f>
        <v/>
      </c>
      <c r="AO202" s="17">
        <f>IF($A202="","",IF(AND(ISNUMBER(AE202),OR(AE202&lt;-30,AE202&gt;20)),"WL out of range; ","")&amp;IF(AND(ISNUMBER($J202),AE202=""),"no TP/b; ","")&amp;IF(AND(ISNUMBER(AF202),ISNUMBER(AG202)),IF(AG202&lt;AF202,"After&lt;Before; ",""),"")&amp;IF(AND($K202="Yes",ISNUMBER($J202),AH202=""),"irrigation readings missing; ","")&amp;IF(ISNUMBER(AK202),IF(AND(ABS(AK202)&gt;50,NOT(N($B202)&gt;0)),"WL jump &gt;5 cm; ",""),"")&amp;IF(AND(ISNUMBER(PitanE),ISNUMBER(AB202),$A202&gt;PitanE+2,AB202&lt;PitanE),"re-measure TP/b after Pitan; ",""))</f>
        <v/>
      </c>
    </row>
    <row r="203">
      <c r="A203" s="14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0">
        <f>IF(OR($A203="",NOT(ISNUMBER(TransDate))),"",$A203-TransDate)</f>
        <v/>
      </c>
      <c r="Q203" s="16">
        <f>IF($A203="","",IF(_xlfn.MAXIFS('TP-b'!$B$2:$B$60,'TP-b'!$A$2:$A$60,"FP",'TP-b'!$E$2:$E$60,1,'TP-b'!$B$2:$B$60,"&lt;="&amp;$A203)&gt;0,_xlfn.MAXIFS('TP-b'!$B$2:$B$60,'TP-b'!$A$2:$A$60,"FP",'TP-b'!$E$2:$E$60,1,'TP-b'!$B$2:$B$60,"&lt;="&amp;$A203),IF(_xlfn.MINIFS('TP-b'!$B$2:$B$60,'TP-b'!$A$2:$A$60,"FP",'TP-b'!$E$2:$E$60,1)&gt;0,_xlfn.MINIFS('TP-b'!$B$2:$B$60,'TP-b'!$A$2:$A$60,"FP",'TP-b'!$E$2:$E$60,1),"")))</f>
        <v/>
      </c>
      <c r="R203" s="10">
        <f>IF(Q203="","",AVERAGEIFS('TP-b'!$C$2:$C$60,'TP-b'!$A$2:$A$60,"FP",'TP-b'!$B$2:$B$60,Q203,'TP-b'!$E$2:$E$60,1))</f>
        <v/>
      </c>
      <c r="S203" s="10">
        <f>IF(Q203="","",AVERAGEIFS('TP-b'!$D$2:$D$60,'TP-b'!$A$2:$A$60,"FP",'TP-b'!$B$2:$B$60,Q203,'TP-b'!$E$2:$E$60,1))</f>
        <v/>
      </c>
      <c r="T203" s="10">
        <f>IF(OR($A203="",NOT(ISNUMBER($E203)),R203=""),"",ROUND($E203-R203+S203,1))</f>
        <v/>
      </c>
      <c r="U203" s="10">
        <f>IF(AND($F203="Yes",ISNUMBER($G203),R203&lt;&gt;""),ROUND($G203-R203+S203,1),"")</f>
        <v/>
      </c>
      <c r="V203" s="10">
        <f>IF(AND($F203="Yes",ISNUMBER($H203),R203&lt;&gt;""),ROUND($H203-R203+S203,1),"")</f>
        <v/>
      </c>
      <c r="W203" s="10">
        <f>IF(AND(ISNUMBER($E203),ISNUMBER(U203),ISNUMBER(V203)),ROUND((V203-MAX(U203,0))*10,1),"")</f>
        <v/>
      </c>
      <c r="X203" s="10">
        <f>IF(T203="","",IF(AND($F203="Yes",ISNUMBER(V203)),V203,T203))</f>
        <v/>
      </c>
      <c r="Y203" s="10">
        <f>IF(T203="","",ROUND(SUMIFS($W$3:$W$252,$A$3:$A$252,"&lt;="&amp;$A203),1))</f>
        <v/>
      </c>
      <c r="Z203" s="10">
        <f>IF(OR(T203="",$A203=""),"",IF(ISNUMBER(IFERROR(INDEX($X$3:$X$252,MATCH($A203-1,$A$3:$A$252,0)),"")),ROUND((INDEX($X$3:$X$252,MATCH($A203-1,$A$3:$A$252,0))-T203)*10,1),""))</f>
        <v/>
      </c>
      <c r="AA203" s="10">
        <f>IF(ISNUMBER(T203),1,0)</f>
        <v/>
      </c>
      <c r="AB203" s="16">
        <f>IF($A203="","",IF(_xlfn.MAXIFS('TP-b'!$B$2:$B$60,'TP-b'!$A$2:$A$60,"3F4D+MD",'TP-b'!$E$2:$E$60,1,'TP-b'!$B$2:$B$60,"&lt;="&amp;$A203)&gt;0,_xlfn.MAXIFS('TP-b'!$B$2:$B$60,'TP-b'!$A$2:$A$60,"3F4D+MD",'TP-b'!$E$2:$E$60,1,'TP-b'!$B$2:$B$60,"&lt;="&amp;$A203),IF(_xlfn.MINIFS('TP-b'!$B$2:$B$60,'TP-b'!$A$2:$A$60,"3F4D+MD",'TP-b'!$E$2:$E$60,1)&gt;0,_xlfn.MINIFS('TP-b'!$B$2:$B$60,'TP-b'!$A$2:$A$60,"3F4D+MD",'TP-b'!$E$2:$E$60,1),"")))</f>
        <v/>
      </c>
      <c r="AC203" s="10">
        <f>IF(AB203="","",AVERAGEIFS('TP-b'!$C$2:$C$60,'TP-b'!$A$2:$A$60,"3F4D+MD",'TP-b'!$B$2:$B$60,AB203,'TP-b'!$E$2:$E$60,1))</f>
        <v/>
      </c>
      <c r="AD203" s="10">
        <f>IF(AB203="","",AVERAGEIFS('TP-b'!$D$2:$D$60,'TP-b'!$A$2:$A$60,"3F4D+MD",'TP-b'!$B$2:$B$60,AB203,'TP-b'!$E$2:$E$60,1))</f>
        <v/>
      </c>
      <c r="AE203" s="10">
        <f>IF(OR($A203="",NOT(ISNUMBER($J203)),AC203=""),"",ROUND($J203-AC203+AD203,1))</f>
        <v/>
      </c>
      <c r="AF203" s="10">
        <f>IF(AND($K203="Yes",ISNUMBER($L203),AC203&lt;&gt;""),ROUND($L203-AC203+AD203,1),"")</f>
        <v/>
      </c>
      <c r="AG203" s="10">
        <f>IF(AND($K203="Yes",ISNUMBER($M203),AC203&lt;&gt;""),ROUND($M203-AC203+AD203,1),"")</f>
        <v/>
      </c>
      <c r="AH203" s="10">
        <f>IF(AND(ISNUMBER($J203),ISNUMBER(AF203),ISNUMBER(AG203)),ROUND((AG203-MAX(AF203,0))*10,1),"")</f>
        <v/>
      </c>
      <c r="AI203" s="10">
        <f>IF(AE203="","",IF(AND($K203="Yes",ISNUMBER(AG203)),AG203,AE203))</f>
        <v/>
      </c>
      <c r="AJ203" s="10">
        <f>IF(AE203="","",ROUND(SUMIFS($AH$3:$AH$252,$A$3:$A$252,"&lt;="&amp;$A203),1))</f>
        <v/>
      </c>
      <c r="AK203" s="10">
        <f>IF(OR(AE203="",$A203=""),"",IF(ISNUMBER(IFERROR(INDEX($AI$3:$AI$252,MATCH($A203-1,$A$3:$A$252,0)),"")),ROUND((INDEX($AI$3:$AI$252,MATCH($A203-1,$A$3:$A$252,0))-AE203)*10,1),""))</f>
        <v/>
      </c>
      <c r="AL203" s="10">
        <f>IF(ISNUMBER(AE203),1,0)</f>
        <v/>
      </c>
      <c r="AM203" s="17">
        <f>IF($A203="","",IF(COUNTIF($A$3:$A$252,$A203)&gt;1,"same date twice; ","")&amp;IF(AND(ISNUMBER($B203),OR($B203&lt;0,$B203&gt;300)),"rain out of range; ","")&amp;IF(AND(ISNUMBER($C203),OR($C203&lt;0,$C203&gt;45)),"temp out of range; ","")&amp;IF(AND(ISNUMBER($D203),OR($D203&lt;0,$D203&gt;100)),"RH out of range; ",""))</f>
        <v/>
      </c>
      <c r="AN203" s="17">
        <f>IF($A203="","",IF(AND(ISNUMBER(T203),OR(T203&lt;-30,T203&gt;20)),"WL out of range; ","")&amp;IF(AND(ISNUMBER($E203),T203=""),"no TP/b; ","")&amp;IF(AND(ISNUMBER(U203),ISNUMBER(V203)),IF(V203&lt;U203,"After&lt;Before; ",""),"")&amp;IF(AND($F203="Yes",ISNUMBER($E203),W203=""),"irrigation readings missing; ","")&amp;IF(ISNUMBER(Z203),IF(AND(ABS(Z203)&gt;50,NOT(N($B203)&gt;0)),"WL jump &gt;5 cm; ",""),""))</f>
        <v/>
      </c>
      <c r="AO203" s="17">
        <f>IF($A203="","",IF(AND(ISNUMBER(AE203),OR(AE203&lt;-30,AE203&gt;20)),"WL out of range; ","")&amp;IF(AND(ISNUMBER($J203),AE203=""),"no TP/b; ","")&amp;IF(AND(ISNUMBER(AF203),ISNUMBER(AG203)),IF(AG203&lt;AF203,"After&lt;Before; ",""),"")&amp;IF(AND($K203="Yes",ISNUMBER($J203),AH203=""),"irrigation readings missing; ","")&amp;IF(ISNUMBER(AK203),IF(AND(ABS(AK203)&gt;50,NOT(N($B203)&gt;0)),"WL jump &gt;5 cm; ",""),"")&amp;IF(AND(ISNUMBER(PitanE),ISNUMBER(AB203),$A203&gt;PitanE+2,AB203&lt;PitanE),"re-measure TP/b after Pitan; ",""))</f>
        <v/>
      </c>
    </row>
    <row r="204">
      <c r="A204" s="14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0">
        <f>IF(OR($A204="",NOT(ISNUMBER(TransDate))),"",$A204-TransDate)</f>
        <v/>
      </c>
      <c r="Q204" s="16">
        <f>IF($A204="","",IF(_xlfn.MAXIFS('TP-b'!$B$2:$B$60,'TP-b'!$A$2:$A$60,"FP",'TP-b'!$E$2:$E$60,1,'TP-b'!$B$2:$B$60,"&lt;="&amp;$A204)&gt;0,_xlfn.MAXIFS('TP-b'!$B$2:$B$60,'TP-b'!$A$2:$A$60,"FP",'TP-b'!$E$2:$E$60,1,'TP-b'!$B$2:$B$60,"&lt;="&amp;$A204),IF(_xlfn.MINIFS('TP-b'!$B$2:$B$60,'TP-b'!$A$2:$A$60,"FP",'TP-b'!$E$2:$E$60,1)&gt;0,_xlfn.MINIFS('TP-b'!$B$2:$B$60,'TP-b'!$A$2:$A$60,"FP",'TP-b'!$E$2:$E$60,1),"")))</f>
        <v/>
      </c>
      <c r="R204" s="10">
        <f>IF(Q204="","",AVERAGEIFS('TP-b'!$C$2:$C$60,'TP-b'!$A$2:$A$60,"FP",'TP-b'!$B$2:$B$60,Q204,'TP-b'!$E$2:$E$60,1))</f>
        <v/>
      </c>
      <c r="S204" s="10">
        <f>IF(Q204="","",AVERAGEIFS('TP-b'!$D$2:$D$60,'TP-b'!$A$2:$A$60,"FP",'TP-b'!$B$2:$B$60,Q204,'TP-b'!$E$2:$E$60,1))</f>
        <v/>
      </c>
      <c r="T204" s="10">
        <f>IF(OR($A204="",NOT(ISNUMBER($E204)),R204=""),"",ROUND($E204-R204+S204,1))</f>
        <v/>
      </c>
      <c r="U204" s="10">
        <f>IF(AND($F204="Yes",ISNUMBER($G204),R204&lt;&gt;""),ROUND($G204-R204+S204,1),"")</f>
        <v/>
      </c>
      <c r="V204" s="10">
        <f>IF(AND($F204="Yes",ISNUMBER($H204),R204&lt;&gt;""),ROUND($H204-R204+S204,1),"")</f>
        <v/>
      </c>
      <c r="W204" s="10">
        <f>IF(AND(ISNUMBER($E204),ISNUMBER(U204),ISNUMBER(V204)),ROUND((V204-MAX(U204,0))*10,1),"")</f>
        <v/>
      </c>
      <c r="X204" s="10">
        <f>IF(T204="","",IF(AND($F204="Yes",ISNUMBER(V204)),V204,T204))</f>
        <v/>
      </c>
      <c r="Y204" s="10">
        <f>IF(T204="","",ROUND(SUMIFS($W$3:$W$252,$A$3:$A$252,"&lt;="&amp;$A204),1))</f>
        <v/>
      </c>
      <c r="Z204" s="10">
        <f>IF(OR(T204="",$A204=""),"",IF(ISNUMBER(IFERROR(INDEX($X$3:$X$252,MATCH($A204-1,$A$3:$A$252,0)),"")),ROUND((INDEX($X$3:$X$252,MATCH($A204-1,$A$3:$A$252,0))-T204)*10,1),""))</f>
        <v/>
      </c>
      <c r="AA204" s="10">
        <f>IF(ISNUMBER(T204),1,0)</f>
        <v/>
      </c>
      <c r="AB204" s="16">
        <f>IF($A204="","",IF(_xlfn.MAXIFS('TP-b'!$B$2:$B$60,'TP-b'!$A$2:$A$60,"3F4D+MD",'TP-b'!$E$2:$E$60,1,'TP-b'!$B$2:$B$60,"&lt;="&amp;$A204)&gt;0,_xlfn.MAXIFS('TP-b'!$B$2:$B$60,'TP-b'!$A$2:$A$60,"3F4D+MD",'TP-b'!$E$2:$E$60,1,'TP-b'!$B$2:$B$60,"&lt;="&amp;$A204),IF(_xlfn.MINIFS('TP-b'!$B$2:$B$60,'TP-b'!$A$2:$A$60,"3F4D+MD",'TP-b'!$E$2:$E$60,1)&gt;0,_xlfn.MINIFS('TP-b'!$B$2:$B$60,'TP-b'!$A$2:$A$60,"3F4D+MD",'TP-b'!$E$2:$E$60,1),"")))</f>
        <v/>
      </c>
      <c r="AC204" s="10">
        <f>IF(AB204="","",AVERAGEIFS('TP-b'!$C$2:$C$60,'TP-b'!$A$2:$A$60,"3F4D+MD",'TP-b'!$B$2:$B$60,AB204,'TP-b'!$E$2:$E$60,1))</f>
        <v/>
      </c>
      <c r="AD204" s="10">
        <f>IF(AB204="","",AVERAGEIFS('TP-b'!$D$2:$D$60,'TP-b'!$A$2:$A$60,"3F4D+MD",'TP-b'!$B$2:$B$60,AB204,'TP-b'!$E$2:$E$60,1))</f>
        <v/>
      </c>
      <c r="AE204" s="10">
        <f>IF(OR($A204="",NOT(ISNUMBER($J204)),AC204=""),"",ROUND($J204-AC204+AD204,1))</f>
        <v/>
      </c>
      <c r="AF204" s="10">
        <f>IF(AND($K204="Yes",ISNUMBER($L204),AC204&lt;&gt;""),ROUND($L204-AC204+AD204,1),"")</f>
        <v/>
      </c>
      <c r="AG204" s="10">
        <f>IF(AND($K204="Yes",ISNUMBER($M204),AC204&lt;&gt;""),ROUND($M204-AC204+AD204,1),"")</f>
        <v/>
      </c>
      <c r="AH204" s="10">
        <f>IF(AND(ISNUMBER($J204),ISNUMBER(AF204),ISNUMBER(AG204)),ROUND((AG204-MAX(AF204,0))*10,1),"")</f>
        <v/>
      </c>
      <c r="AI204" s="10">
        <f>IF(AE204="","",IF(AND($K204="Yes",ISNUMBER(AG204)),AG204,AE204))</f>
        <v/>
      </c>
      <c r="AJ204" s="10">
        <f>IF(AE204="","",ROUND(SUMIFS($AH$3:$AH$252,$A$3:$A$252,"&lt;="&amp;$A204),1))</f>
        <v/>
      </c>
      <c r="AK204" s="10">
        <f>IF(OR(AE204="",$A204=""),"",IF(ISNUMBER(IFERROR(INDEX($AI$3:$AI$252,MATCH($A204-1,$A$3:$A$252,0)),"")),ROUND((INDEX($AI$3:$AI$252,MATCH($A204-1,$A$3:$A$252,0))-AE204)*10,1),""))</f>
        <v/>
      </c>
      <c r="AL204" s="10">
        <f>IF(ISNUMBER(AE204),1,0)</f>
        <v/>
      </c>
      <c r="AM204" s="17">
        <f>IF($A204="","",IF(COUNTIF($A$3:$A$252,$A204)&gt;1,"same date twice; ","")&amp;IF(AND(ISNUMBER($B204),OR($B204&lt;0,$B204&gt;300)),"rain out of range; ","")&amp;IF(AND(ISNUMBER($C204),OR($C204&lt;0,$C204&gt;45)),"temp out of range; ","")&amp;IF(AND(ISNUMBER($D204),OR($D204&lt;0,$D204&gt;100)),"RH out of range; ",""))</f>
        <v/>
      </c>
      <c r="AN204" s="17">
        <f>IF($A204="","",IF(AND(ISNUMBER(T204),OR(T204&lt;-30,T204&gt;20)),"WL out of range; ","")&amp;IF(AND(ISNUMBER($E204),T204=""),"no TP/b; ","")&amp;IF(AND(ISNUMBER(U204),ISNUMBER(V204)),IF(V204&lt;U204,"After&lt;Before; ",""),"")&amp;IF(AND($F204="Yes",ISNUMBER($E204),W204=""),"irrigation readings missing; ","")&amp;IF(ISNUMBER(Z204),IF(AND(ABS(Z204)&gt;50,NOT(N($B204)&gt;0)),"WL jump &gt;5 cm; ",""),""))</f>
        <v/>
      </c>
      <c r="AO204" s="17">
        <f>IF($A204="","",IF(AND(ISNUMBER(AE204),OR(AE204&lt;-30,AE204&gt;20)),"WL out of range; ","")&amp;IF(AND(ISNUMBER($J204),AE204=""),"no TP/b; ","")&amp;IF(AND(ISNUMBER(AF204),ISNUMBER(AG204)),IF(AG204&lt;AF204,"After&lt;Before; ",""),"")&amp;IF(AND($K204="Yes",ISNUMBER($J204),AH204=""),"irrigation readings missing; ","")&amp;IF(ISNUMBER(AK204),IF(AND(ABS(AK204)&gt;50,NOT(N($B204)&gt;0)),"WL jump &gt;5 cm; ",""),"")&amp;IF(AND(ISNUMBER(PitanE),ISNUMBER(AB204),$A204&gt;PitanE+2,AB204&lt;PitanE),"re-measure TP/b after Pitan; ",""))</f>
        <v/>
      </c>
    </row>
    <row r="205">
      <c r="A205" s="14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0">
        <f>IF(OR($A205="",NOT(ISNUMBER(TransDate))),"",$A205-TransDate)</f>
        <v/>
      </c>
      <c r="Q205" s="16">
        <f>IF($A205="","",IF(_xlfn.MAXIFS('TP-b'!$B$2:$B$60,'TP-b'!$A$2:$A$60,"FP",'TP-b'!$E$2:$E$60,1,'TP-b'!$B$2:$B$60,"&lt;="&amp;$A205)&gt;0,_xlfn.MAXIFS('TP-b'!$B$2:$B$60,'TP-b'!$A$2:$A$60,"FP",'TP-b'!$E$2:$E$60,1,'TP-b'!$B$2:$B$60,"&lt;="&amp;$A205),IF(_xlfn.MINIFS('TP-b'!$B$2:$B$60,'TP-b'!$A$2:$A$60,"FP",'TP-b'!$E$2:$E$60,1)&gt;0,_xlfn.MINIFS('TP-b'!$B$2:$B$60,'TP-b'!$A$2:$A$60,"FP",'TP-b'!$E$2:$E$60,1),"")))</f>
        <v/>
      </c>
      <c r="R205" s="10">
        <f>IF(Q205="","",AVERAGEIFS('TP-b'!$C$2:$C$60,'TP-b'!$A$2:$A$60,"FP",'TP-b'!$B$2:$B$60,Q205,'TP-b'!$E$2:$E$60,1))</f>
        <v/>
      </c>
      <c r="S205" s="10">
        <f>IF(Q205="","",AVERAGEIFS('TP-b'!$D$2:$D$60,'TP-b'!$A$2:$A$60,"FP",'TP-b'!$B$2:$B$60,Q205,'TP-b'!$E$2:$E$60,1))</f>
        <v/>
      </c>
      <c r="T205" s="10">
        <f>IF(OR($A205="",NOT(ISNUMBER($E205)),R205=""),"",ROUND($E205-R205+S205,1))</f>
        <v/>
      </c>
      <c r="U205" s="10">
        <f>IF(AND($F205="Yes",ISNUMBER($G205),R205&lt;&gt;""),ROUND($G205-R205+S205,1),"")</f>
        <v/>
      </c>
      <c r="V205" s="10">
        <f>IF(AND($F205="Yes",ISNUMBER($H205),R205&lt;&gt;""),ROUND($H205-R205+S205,1),"")</f>
        <v/>
      </c>
      <c r="W205" s="10">
        <f>IF(AND(ISNUMBER($E205),ISNUMBER(U205),ISNUMBER(V205)),ROUND((V205-MAX(U205,0))*10,1),"")</f>
        <v/>
      </c>
      <c r="X205" s="10">
        <f>IF(T205="","",IF(AND($F205="Yes",ISNUMBER(V205)),V205,T205))</f>
        <v/>
      </c>
      <c r="Y205" s="10">
        <f>IF(T205="","",ROUND(SUMIFS($W$3:$W$252,$A$3:$A$252,"&lt;="&amp;$A205),1))</f>
        <v/>
      </c>
      <c r="Z205" s="10">
        <f>IF(OR(T205="",$A205=""),"",IF(ISNUMBER(IFERROR(INDEX($X$3:$X$252,MATCH($A205-1,$A$3:$A$252,0)),"")),ROUND((INDEX($X$3:$X$252,MATCH($A205-1,$A$3:$A$252,0))-T205)*10,1),""))</f>
        <v/>
      </c>
      <c r="AA205" s="10">
        <f>IF(ISNUMBER(T205),1,0)</f>
        <v/>
      </c>
      <c r="AB205" s="16">
        <f>IF($A205="","",IF(_xlfn.MAXIFS('TP-b'!$B$2:$B$60,'TP-b'!$A$2:$A$60,"3F4D+MD",'TP-b'!$E$2:$E$60,1,'TP-b'!$B$2:$B$60,"&lt;="&amp;$A205)&gt;0,_xlfn.MAXIFS('TP-b'!$B$2:$B$60,'TP-b'!$A$2:$A$60,"3F4D+MD",'TP-b'!$E$2:$E$60,1,'TP-b'!$B$2:$B$60,"&lt;="&amp;$A205),IF(_xlfn.MINIFS('TP-b'!$B$2:$B$60,'TP-b'!$A$2:$A$60,"3F4D+MD",'TP-b'!$E$2:$E$60,1)&gt;0,_xlfn.MINIFS('TP-b'!$B$2:$B$60,'TP-b'!$A$2:$A$60,"3F4D+MD",'TP-b'!$E$2:$E$60,1),"")))</f>
        <v/>
      </c>
      <c r="AC205" s="10">
        <f>IF(AB205="","",AVERAGEIFS('TP-b'!$C$2:$C$60,'TP-b'!$A$2:$A$60,"3F4D+MD",'TP-b'!$B$2:$B$60,AB205,'TP-b'!$E$2:$E$60,1))</f>
        <v/>
      </c>
      <c r="AD205" s="10">
        <f>IF(AB205="","",AVERAGEIFS('TP-b'!$D$2:$D$60,'TP-b'!$A$2:$A$60,"3F4D+MD",'TP-b'!$B$2:$B$60,AB205,'TP-b'!$E$2:$E$60,1))</f>
        <v/>
      </c>
      <c r="AE205" s="10">
        <f>IF(OR($A205="",NOT(ISNUMBER($J205)),AC205=""),"",ROUND($J205-AC205+AD205,1))</f>
        <v/>
      </c>
      <c r="AF205" s="10">
        <f>IF(AND($K205="Yes",ISNUMBER($L205),AC205&lt;&gt;""),ROUND($L205-AC205+AD205,1),"")</f>
        <v/>
      </c>
      <c r="AG205" s="10">
        <f>IF(AND($K205="Yes",ISNUMBER($M205),AC205&lt;&gt;""),ROUND($M205-AC205+AD205,1),"")</f>
        <v/>
      </c>
      <c r="AH205" s="10">
        <f>IF(AND(ISNUMBER($J205),ISNUMBER(AF205),ISNUMBER(AG205)),ROUND((AG205-MAX(AF205,0))*10,1),"")</f>
        <v/>
      </c>
      <c r="AI205" s="10">
        <f>IF(AE205="","",IF(AND($K205="Yes",ISNUMBER(AG205)),AG205,AE205))</f>
        <v/>
      </c>
      <c r="AJ205" s="10">
        <f>IF(AE205="","",ROUND(SUMIFS($AH$3:$AH$252,$A$3:$A$252,"&lt;="&amp;$A205),1))</f>
        <v/>
      </c>
      <c r="AK205" s="10">
        <f>IF(OR(AE205="",$A205=""),"",IF(ISNUMBER(IFERROR(INDEX($AI$3:$AI$252,MATCH($A205-1,$A$3:$A$252,0)),"")),ROUND((INDEX($AI$3:$AI$252,MATCH($A205-1,$A$3:$A$252,0))-AE205)*10,1),""))</f>
        <v/>
      </c>
      <c r="AL205" s="10">
        <f>IF(ISNUMBER(AE205),1,0)</f>
        <v/>
      </c>
      <c r="AM205" s="17">
        <f>IF($A205="","",IF(COUNTIF($A$3:$A$252,$A205)&gt;1,"same date twice; ","")&amp;IF(AND(ISNUMBER($B205),OR($B205&lt;0,$B205&gt;300)),"rain out of range; ","")&amp;IF(AND(ISNUMBER($C205),OR($C205&lt;0,$C205&gt;45)),"temp out of range; ","")&amp;IF(AND(ISNUMBER($D205),OR($D205&lt;0,$D205&gt;100)),"RH out of range; ",""))</f>
        <v/>
      </c>
      <c r="AN205" s="17">
        <f>IF($A205="","",IF(AND(ISNUMBER(T205),OR(T205&lt;-30,T205&gt;20)),"WL out of range; ","")&amp;IF(AND(ISNUMBER($E205),T205=""),"no TP/b; ","")&amp;IF(AND(ISNUMBER(U205),ISNUMBER(V205)),IF(V205&lt;U205,"After&lt;Before; ",""),"")&amp;IF(AND($F205="Yes",ISNUMBER($E205),W205=""),"irrigation readings missing; ","")&amp;IF(ISNUMBER(Z205),IF(AND(ABS(Z205)&gt;50,NOT(N($B205)&gt;0)),"WL jump &gt;5 cm; ",""),""))</f>
        <v/>
      </c>
      <c r="AO205" s="17">
        <f>IF($A205="","",IF(AND(ISNUMBER(AE205),OR(AE205&lt;-30,AE205&gt;20)),"WL out of range; ","")&amp;IF(AND(ISNUMBER($J205),AE205=""),"no TP/b; ","")&amp;IF(AND(ISNUMBER(AF205),ISNUMBER(AG205)),IF(AG205&lt;AF205,"After&lt;Before; ",""),"")&amp;IF(AND($K205="Yes",ISNUMBER($J205),AH205=""),"irrigation readings missing; ","")&amp;IF(ISNUMBER(AK205),IF(AND(ABS(AK205)&gt;50,NOT(N($B205)&gt;0)),"WL jump &gt;5 cm; ",""),"")&amp;IF(AND(ISNUMBER(PitanE),ISNUMBER(AB205),$A205&gt;PitanE+2,AB205&lt;PitanE),"re-measure TP/b after Pitan; ",""))</f>
        <v/>
      </c>
    </row>
    <row r="206">
      <c r="A206" s="14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0">
        <f>IF(OR($A206="",NOT(ISNUMBER(TransDate))),"",$A206-TransDate)</f>
        <v/>
      </c>
      <c r="Q206" s="16">
        <f>IF($A206="","",IF(_xlfn.MAXIFS('TP-b'!$B$2:$B$60,'TP-b'!$A$2:$A$60,"FP",'TP-b'!$E$2:$E$60,1,'TP-b'!$B$2:$B$60,"&lt;="&amp;$A206)&gt;0,_xlfn.MAXIFS('TP-b'!$B$2:$B$60,'TP-b'!$A$2:$A$60,"FP",'TP-b'!$E$2:$E$60,1,'TP-b'!$B$2:$B$60,"&lt;="&amp;$A206),IF(_xlfn.MINIFS('TP-b'!$B$2:$B$60,'TP-b'!$A$2:$A$60,"FP",'TP-b'!$E$2:$E$60,1)&gt;0,_xlfn.MINIFS('TP-b'!$B$2:$B$60,'TP-b'!$A$2:$A$60,"FP",'TP-b'!$E$2:$E$60,1),"")))</f>
        <v/>
      </c>
      <c r="R206" s="10">
        <f>IF(Q206="","",AVERAGEIFS('TP-b'!$C$2:$C$60,'TP-b'!$A$2:$A$60,"FP",'TP-b'!$B$2:$B$60,Q206,'TP-b'!$E$2:$E$60,1))</f>
        <v/>
      </c>
      <c r="S206" s="10">
        <f>IF(Q206="","",AVERAGEIFS('TP-b'!$D$2:$D$60,'TP-b'!$A$2:$A$60,"FP",'TP-b'!$B$2:$B$60,Q206,'TP-b'!$E$2:$E$60,1))</f>
        <v/>
      </c>
      <c r="T206" s="10">
        <f>IF(OR($A206="",NOT(ISNUMBER($E206)),R206=""),"",ROUND($E206-R206+S206,1))</f>
        <v/>
      </c>
      <c r="U206" s="10">
        <f>IF(AND($F206="Yes",ISNUMBER($G206),R206&lt;&gt;""),ROUND($G206-R206+S206,1),"")</f>
        <v/>
      </c>
      <c r="V206" s="10">
        <f>IF(AND($F206="Yes",ISNUMBER($H206),R206&lt;&gt;""),ROUND($H206-R206+S206,1),"")</f>
        <v/>
      </c>
      <c r="W206" s="10">
        <f>IF(AND(ISNUMBER($E206),ISNUMBER(U206),ISNUMBER(V206)),ROUND((V206-MAX(U206,0))*10,1),"")</f>
        <v/>
      </c>
      <c r="X206" s="10">
        <f>IF(T206="","",IF(AND($F206="Yes",ISNUMBER(V206)),V206,T206))</f>
        <v/>
      </c>
      <c r="Y206" s="10">
        <f>IF(T206="","",ROUND(SUMIFS($W$3:$W$252,$A$3:$A$252,"&lt;="&amp;$A206),1))</f>
        <v/>
      </c>
      <c r="Z206" s="10">
        <f>IF(OR(T206="",$A206=""),"",IF(ISNUMBER(IFERROR(INDEX($X$3:$X$252,MATCH($A206-1,$A$3:$A$252,0)),"")),ROUND((INDEX($X$3:$X$252,MATCH($A206-1,$A$3:$A$252,0))-T206)*10,1),""))</f>
        <v/>
      </c>
      <c r="AA206" s="10">
        <f>IF(ISNUMBER(T206),1,0)</f>
        <v/>
      </c>
      <c r="AB206" s="16">
        <f>IF($A206="","",IF(_xlfn.MAXIFS('TP-b'!$B$2:$B$60,'TP-b'!$A$2:$A$60,"3F4D+MD",'TP-b'!$E$2:$E$60,1,'TP-b'!$B$2:$B$60,"&lt;="&amp;$A206)&gt;0,_xlfn.MAXIFS('TP-b'!$B$2:$B$60,'TP-b'!$A$2:$A$60,"3F4D+MD",'TP-b'!$E$2:$E$60,1,'TP-b'!$B$2:$B$60,"&lt;="&amp;$A206),IF(_xlfn.MINIFS('TP-b'!$B$2:$B$60,'TP-b'!$A$2:$A$60,"3F4D+MD",'TP-b'!$E$2:$E$60,1)&gt;0,_xlfn.MINIFS('TP-b'!$B$2:$B$60,'TP-b'!$A$2:$A$60,"3F4D+MD",'TP-b'!$E$2:$E$60,1),"")))</f>
        <v/>
      </c>
      <c r="AC206" s="10">
        <f>IF(AB206="","",AVERAGEIFS('TP-b'!$C$2:$C$60,'TP-b'!$A$2:$A$60,"3F4D+MD",'TP-b'!$B$2:$B$60,AB206,'TP-b'!$E$2:$E$60,1))</f>
        <v/>
      </c>
      <c r="AD206" s="10">
        <f>IF(AB206="","",AVERAGEIFS('TP-b'!$D$2:$D$60,'TP-b'!$A$2:$A$60,"3F4D+MD",'TP-b'!$B$2:$B$60,AB206,'TP-b'!$E$2:$E$60,1))</f>
        <v/>
      </c>
      <c r="AE206" s="10">
        <f>IF(OR($A206="",NOT(ISNUMBER($J206)),AC206=""),"",ROUND($J206-AC206+AD206,1))</f>
        <v/>
      </c>
      <c r="AF206" s="10">
        <f>IF(AND($K206="Yes",ISNUMBER($L206),AC206&lt;&gt;""),ROUND($L206-AC206+AD206,1),"")</f>
        <v/>
      </c>
      <c r="AG206" s="10">
        <f>IF(AND($K206="Yes",ISNUMBER($M206),AC206&lt;&gt;""),ROUND($M206-AC206+AD206,1),"")</f>
        <v/>
      </c>
      <c r="AH206" s="10">
        <f>IF(AND(ISNUMBER($J206),ISNUMBER(AF206),ISNUMBER(AG206)),ROUND((AG206-MAX(AF206,0))*10,1),"")</f>
        <v/>
      </c>
      <c r="AI206" s="10">
        <f>IF(AE206="","",IF(AND($K206="Yes",ISNUMBER(AG206)),AG206,AE206))</f>
        <v/>
      </c>
      <c r="AJ206" s="10">
        <f>IF(AE206="","",ROUND(SUMIFS($AH$3:$AH$252,$A$3:$A$252,"&lt;="&amp;$A206),1))</f>
        <v/>
      </c>
      <c r="AK206" s="10">
        <f>IF(OR(AE206="",$A206=""),"",IF(ISNUMBER(IFERROR(INDEX($AI$3:$AI$252,MATCH($A206-1,$A$3:$A$252,0)),"")),ROUND((INDEX($AI$3:$AI$252,MATCH($A206-1,$A$3:$A$252,0))-AE206)*10,1),""))</f>
        <v/>
      </c>
      <c r="AL206" s="10">
        <f>IF(ISNUMBER(AE206),1,0)</f>
        <v/>
      </c>
      <c r="AM206" s="17">
        <f>IF($A206="","",IF(COUNTIF($A$3:$A$252,$A206)&gt;1,"same date twice; ","")&amp;IF(AND(ISNUMBER($B206),OR($B206&lt;0,$B206&gt;300)),"rain out of range; ","")&amp;IF(AND(ISNUMBER($C206),OR($C206&lt;0,$C206&gt;45)),"temp out of range; ","")&amp;IF(AND(ISNUMBER($D206),OR($D206&lt;0,$D206&gt;100)),"RH out of range; ",""))</f>
        <v/>
      </c>
      <c r="AN206" s="17">
        <f>IF($A206="","",IF(AND(ISNUMBER(T206),OR(T206&lt;-30,T206&gt;20)),"WL out of range; ","")&amp;IF(AND(ISNUMBER($E206),T206=""),"no TP/b; ","")&amp;IF(AND(ISNUMBER(U206),ISNUMBER(V206)),IF(V206&lt;U206,"After&lt;Before; ",""),"")&amp;IF(AND($F206="Yes",ISNUMBER($E206),W206=""),"irrigation readings missing; ","")&amp;IF(ISNUMBER(Z206),IF(AND(ABS(Z206)&gt;50,NOT(N($B206)&gt;0)),"WL jump &gt;5 cm; ",""),""))</f>
        <v/>
      </c>
      <c r="AO206" s="17">
        <f>IF($A206="","",IF(AND(ISNUMBER(AE206),OR(AE206&lt;-30,AE206&gt;20)),"WL out of range; ","")&amp;IF(AND(ISNUMBER($J206),AE206=""),"no TP/b; ","")&amp;IF(AND(ISNUMBER(AF206),ISNUMBER(AG206)),IF(AG206&lt;AF206,"After&lt;Before; ",""),"")&amp;IF(AND($K206="Yes",ISNUMBER($J206),AH206=""),"irrigation readings missing; ","")&amp;IF(ISNUMBER(AK206),IF(AND(ABS(AK206)&gt;50,NOT(N($B206)&gt;0)),"WL jump &gt;5 cm; ",""),"")&amp;IF(AND(ISNUMBER(PitanE),ISNUMBER(AB206),$A206&gt;PitanE+2,AB206&lt;PitanE),"re-measure TP/b after Pitan; ",""))</f>
        <v/>
      </c>
    </row>
    <row r="207">
      <c r="A207" s="14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0">
        <f>IF(OR($A207="",NOT(ISNUMBER(TransDate))),"",$A207-TransDate)</f>
        <v/>
      </c>
      <c r="Q207" s="16">
        <f>IF($A207="","",IF(_xlfn.MAXIFS('TP-b'!$B$2:$B$60,'TP-b'!$A$2:$A$60,"FP",'TP-b'!$E$2:$E$60,1,'TP-b'!$B$2:$B$60,"&lt;="&amp;$A207)&gt;0,_xlfn.MAXIFS('TP-b'!$B$2:$B$60,'TP-b'!$A$2:$A$60,"FP",'TP-b'!$E$2:$E$60,1,'TP-b'!$B$2:$B$60,"&lt;="&amp;$A207),IF(_xlfn.MINIFS('TP-b'!$B$2:$B$60,'TP-b'!$A$2:$A$60,"FP",'TP-b'!$E$2:$E$60,1)&gt;0,_xlfn.MINIFS('TP-b'!$B$2:$B$60,'TP-b'!$A$2:$A$60,"FP",'TP-b'!$E$2:$E$60,1),"")))</f>
        <v/>
      </c>
      <c r="R207" s="10">
        <f>IF(Q207="","",AVERAGEIFS('TP-b'!$C$2:$C$60,'TP-b'!$A$2:$A$60,"FP",'TP-b'!$B$2:$B$60,Q207,'TP-b'!$E$2:$E$60,1))</f>
        <v/>
      </c>
      <c r="S207" s="10">
        <f>IF(Q207="","",AVERAGEIFS('TP-b'!$D$2:$D$60,'TP-b'!$A$2:$A$60,"FP",'TP-b'!$B$2:$B$60,Q207,'TP-b'!$E$2:$E$60,1))</f>
        <v/>
      </c>
      <c r="T207" s="10">
        <f>IF(OR($A207="",NOT(ISNUMBER($E207)),R207=""),"",ROUND($E207-R207+S207,1))</f>
        <v/>
      </c>
      <c r="U207" s="10">
        <f>IF(AND($F207="Yes",ISNUMBER($G207),R207&lt;&gt;""),ROUND($G207-R207+S207,1),"")</f>
        <v/>
      </c>
      <c r="V207" s="10">
        <f>IF(AND($F207="Yes",ISNUMBER($H207),R207&lt;&gt;""),ROUND($H207-R207+S207,1),"")</f>
        <v/>
      </c>
      <c r="W207" s="10">
        <f>IF(AND(ISNUMBER($E207),ISNUMBER(U207),ISNUMBER(V207)),ROUND((V207-MAX(U207,0))*10,1),"")</f>
        <v/>
      </c>
      <c r="X207" s="10">
        <f>IF(T207="","",IF(AND($F207="Yes",ISNUMBER(V207)),V207,T207))</f>
        <v/>
      </c>
      <c r="Y207" s="10">
        <f>IF(T207="","",ROUND(SUMIFS($W$3:$W$252,$A$3:$A$252,"&lt;="&amp;$A207),1))</f>
        <v/>
      </c>
      <c r="Z207" s="10">
        <f>IF(OR(T207="",$A207=""),"",IF(ISNUMBER(IFERROR(INDEX($X$3:$X$252,MATCH($A207-1,$A$3:$A$252,0)),"")),ROUND((INDEX($X$3:$X$252,MATCH($A207-1,$A$3:$A$252,0))-T207)*10,1),""))</f>
        <v/>
      </c>
      <c r="AA207" s="10">
        <f>IF(ISNUMBER(T207),1,0)</f>
        <v/>
      </c>
      <c r="AB207" s="16">
        <f>IF($A207="","",IF(_xlfn.MAXIFS('TP-b'!$B$2:$B$60,'TP-b'!$A$2:$A$60,"3F4D+MD",'TP-b'!$E$2:$E$60,1,'TP-b'!$B$2:$B$60,"&lt;="&amp;$A207)&gt;0,_xlfn.MAXIFS('TP-b'!$B$2:$B$60,'TP-b'!$A$2:$A$60,"3F4D+MD",'TP-b'!$E$2:$E$60,1,'TP-b'!$B$2:$B$60,"&lt;="&amp;$A207),IF(_xlfn.MINIFS('TP-b'!$B$2:$B$60,'TP-b'!$A$2:$A$60,"3F4D+MD",'TP-b'!$E$2:$E$60,1)&gt;0,_xlfn.MINIFS('TP-b'!$B$2:$B$60,'TP-b'!$A$2:$A$60,"3F4D+MD",'TP-b'!$E$2:$E$60,1),"")))</f>
        <v/>
      </c>
      <c r="AC207" s="10">
        <f>IF(AB207="","",AVERAGEIFS('TP-b'!$C$2:$C$60,'TP-b'!$A$2:$A$60,"3F4D+MD",'TP-b'!$B$2:$B$60,AB207,'TP-b'!$E$2:$E$60,1))</f>
        <v/>
      </c>
      <c r="AD207" s="10">
        <f>IF(AB207="","",AVERAGEIFS('TP-b'!$D$2:$D$60,'TP-b'!$A$2:$A$60,"3F4D+MD",'TP-b'!$B$2:$B$60,AB207,'TP-b'!$E$2:$E$60,1))</f>
        <v/>
      </c>
      <c r="AE207" s="10">
        <f>IF(OR($A207="",NOT(ISNUMBER($J207)),AC207=""),"",ROUND($J207-AC207+AD207,1))</f>
        <v/>
      </c>
      <c r="AF207" s="10">
        <f>IF(AND($K207="Yes",ISNUMBER($L207),AC207&lt;&gt;""),ROUND($L207-AC207+AD207,1),"")</f>
        <v/>
      </c>
      <c r="AG207" s="10">
        <f>IF(AND($K207="Yes",ISNUMBER($M207),AC207&lt;&gt;""),ROUND($M207-AC207+AD207,1),"")</f>
        <v/>
      </c>
      <c r="AH207" s="10">
        <f>IF(AND(ISNUMBER($J207),ISNUMBER(AF207),ISNUMBER(AG207)),ROUND((AG207-MAX(AF207,0))*10,1),"")</f>
        <v/>
      </c>
      <c r="AI207" s="10">
        <f>IF(AE207="","",IF(AND($K207="Yes",ISNUMBER(AG207)),AG207,AE207))</f>
        <v/>
      </c>
      <c r="AJ207" s="10">
        <f>IF(AE207="","",ROUND(SUMIFS($AH$3:$AH$252,$A$3:$A$252,"&lt;="&amp;$A207),1))</f>
        <v/>
      </c>
      <c r="AK207" s="10">
        <f>IF(OR(AE207="",$A207=""),"",IF(ISNUMBER(IFERROR(INDEX($AI$3:$AI$252,MATCH($A207-1,$A$3:$A$252,0)),"")),ROUND((INDEX($AI$3:$AI$252,MATCH($A207-1,$A$3:$A$252,0))-AE207)*10,1),""))</f>
        <v/>
      </c>
      <c r="AL207" s="10">
        <f>IF(ISNUMBER(AE207),1,0)</f>
        <v/>
      </c>
      <c r="AM207" s="17">
        <f>IF($A207="","",IF(COUNTIF($A$3:$A$252,$A207)&gt;1,"same date twice; ","")&amp;IF(AND(ISNUMBER($B207),OR($B207&lt;0,$B207&gt;300)),"rain out of range; ","")&amp;IF(AND(ISNUMBER($C207),OR($C207&lt;0,$C207&gt;45)),"temp out of range; ","")&amp;IF(AND(ISNUMBER($D207),OR($D207&lt;0,$D207&gt;100)),"RH out of range; ",""))</f>
        <v/>
      </c>
      <c r="AN207" s="17">
        <f>IF($A207="","",IF(AND(ISNUMBER(T207),OR(T207&lt;-30,T207&gt;20)),"WL out of range; ","")&amp;IF(AND(ISNUMBER($E207),T207=""),"no TP/b; ","")&amp;IF(AND(ISNUMBER(U207),ISNUMBER(V207)),IF(V207&lt;U207,"After&lt;Before; ",""),"")&amp;IF(AND($F207="Yes",ISNUMBER($E207),W207=""),"irrigation readings missing; ","")&amp;IF(ISNUMBER(Z207),IF(AND(ABS(Z207)&gt;50,NOT(N($B207)&gt;0)),"WL jump &gt;5 cm; ",""),""))</f>
        <v/>
      </c>
      <c r="AO207" s="17">
        <f>IF($A207="","",IF(AND(ISNUMBER(AE207),OR(AE207&lt;-30,AE207&gt;20)),"WL out of range; ","")&amp;IF(AND(ISNUMBER($J207),AE207=""),"no TP/b; ","")&amp;IF(AND(ISNUMBER(AF207),ISNUMBER(AG207)),IF(AG207&lt;AF207,"After&lt;Before; ",""),"")&amp;IF(AND($K207="Yes",ISNUMBER($J207),AH207=""),"irrigation readings missing; ","")&amp;IF(ISNUMBER(AK207),IF(AND(ABS(AK207)&gt;50,NOT(N($B207)&gt;0)),"WL jump &gt;5 cm; ",""),"")&amp;IF(AND(ISNUMBER(PitanE),ISNUMBER(AB207),$A207&gt;PitanE+2,AB207&lt;PitanE),"re-measure TP/b after Pitan; ",""))</f>
        <v/>
      </c>
    </row>
    <row r="208">
      <c r="A208" s="14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0">
        <f>IF(OR($A208="",NOT(ISNUMBER(TransDate))),"",$A208-TransDate)</f>
        <v/>
      </c>
      <c r="Q208" s="16">
        <f>IF($A208="","",IF(_xlfn.MAXIFS('TP-b'!$B$2:$B$60,'TP-b'!$A$2:$A$60,"FP",'TP-b'!$E$2:$E$60,1,'TP-b'!$B$2:$B$60,"&lt;="&amp;$A208)&gt;0,_xlfn.MAXIFS('TP-b'!$B$2:$B$60,'TP-b'!$A$2:$A$60,"FP",'TP-b'!$E$2:$E$60,1,'TP-b'!$B$2:$B$60,"&lt;="&amp;$A208),IF(_xlfn.MINIFS('TP-b'!$B$2:$B$60,'TP-b'!$A$2:$A$60,"FP",'TP-b'!$E$2:$E$60,1)&gt;0,_xlfn.MINIFS('TP-b'!$B$2:$B$60,'TP-b'!$A$2:$A$60,"FP",'TP-b'!$E$2:$E$60,1),"")))</f>
        <v/>
      </c>
      <c r="R208" s="10">
        <f>IF(Q208="","",AVERAGEIFS('TP-b'!$C$2:$C$60,'TP-b'!$A$2:$A$60,"FP",'TP-b'!$B$2:$B$60,Q208,'TP-b'!$E$2:$E$60,1))</f>
        <v/>
      </c>
      <c r="S208" s="10">
        <f>IF(Q208="","",AVERAGEIFS('TP-b'!$D$2:$D$60,'TP-b'!$A$2:$A$60,"FP",'TP-b'!$B$2:$B$60,Q208,'TP-b'!$E$2:$E$60,1))</f>
        <v/>
      </c>
      <c r="T208" s="10">
        <f>IF(OR($A208="",NOT(ISNUMBER($E208)),R208=""),"",ROUND($E208-R208+S208,1))</f>
        <v/>
      </c>
      <c r="U208" s="10">
        <f>IF(AND($F208="Yes",ISNUMBER($G208),R208&lt;&gt;""),ROUND($G208-R208+S208,1),"")</f>
        <v/>
      </c>
      <c r="V208" s="10">
        <f>IF(AND($F208="Yes",ISNUMBER($H208),R208&lt;&gt;""),ROUND($H208-R208+S208,1),"")</f>
        <v/>
      </c>
      <c r="W208" s="10">
        <f>IF(AND(ISNUMBER($E208),ISNUMBER(U208),ISNUMBER(V208)),ROUND((V208-MAX(U208,0))*10,1),"")</f>
        <v/>
      </c>
      <c r="X208" s="10">
        <f>IF(T208="","",IF(AND($F208="Yes",ISNUMBER(V208)),V208,T208))</f>
        <v/>
      </c>
      <c r="Y208" s="10">
        <f>IF(T208="","",ROUND(SUMIFS($W$3:$W$252,$A$3:$A$252,"&lt;="&amp;$A208),1))</f>
        <v/>
      </c>
      <c r="Z208" s="10">
        <f>IF(OR(T208="",$A208=""),"",IF(ISNUMBER(IFERROR(INDEX($X$3:$X$252,MATCH($A208-1,$A$3:$A$252,0)),"")),ROUND((INDEX($X$3:$X$252,MATCH($A208-1,$A$3:$A$252,0))-T208)*10,1),""))</f>
        <v/>
      </c>
      <c r="AA208" s="10">
        <f>IF(ISNUMBER(T208),1,0)</f>
        <v/>
      </c>
      <c r="AB208" s="16">
        <f>IF($A208="","",IF(_xlfn.MAXIFS('TP-b'!$B$2:$B$60,'TP-b'!$A$2:$A$60,"3F4D+MD",'TP-b'!$E$2:$E$60,1,'TP-b'!$B$2:$B$60,"&lt;="&amp;$A208)&gt;0,_xlfn.MAXIFS('TP-b'!$B$2:$B$60,'TP-b'!$A$2:$A$60,"3F4D+MD",'TP-b'!$E$2:$E$60,1,'TP-b'!$B$2:$B$60,"&lt;="&amp;$A208),IF(_xlfn.MINIFS('TP-b'!$B$2:$B$60,'TP-b'!$A$2:$A$60,"3F4D+MD",'TP-b'!$E$2:$E$60,1)&gt;0,_xlfn.MINIFS('TP-b'!$B$2:$B$60,'TP-b'!$A$2:$A$60,"3F4D+MD",'TP-b'!$E$2:$E$60,1),"")))</f>
        <v/>
      </c>
      <c r="AC208" s="10">
        <f>IF(AB208="","",AVERAGEIFS('TP-b'!$C$2:$C$60,'TP-b'!$A$2:$A$60,"3F4D+MD",'TP-b'!$B$2:$B$60,AB208,'TP-b'!$E$2:$E$60,1))</f>
        <v/>
      </c>
      <c r="AD208" s="10">
        <f>IF(AB208="","",AVERAGEIFS('TP-b'!$D$2:$D$60,'TP-b'!$A$2:$A$60,"3F4D+MD",'TP-b'!$B$2:$B$60,AB208,'TP-b'!$E$2:$E$60,1))</f>
        <v/>
      </c>
      <c r="AE208" s="10">
        <f>IF(OR($A208="",NOT(ISNUMBER($J208)),AC208=""),"",ROUND($J208-AC208+AD208,1))</f>
        <v/>
      </c>
      <c r="AF208" s="10">
        <f>IF(AND($K208="Yes",ISNUMBER($L208),AC208&lt;&gt;""),ROUND($L208-AC208+AD208,1),"")</f>
        <v/>
      </c>
      <c r="AG208" s="10">
        <f>IF(AND($K208="Yes",ISNUMBER($M208),AC208&lt;&gt;""),ROUND($M208-AC208+AD208,1),"")</f>
        <v/>
      </c>
      <c r="AH208" s="10">
        <f>IF(AND(ISNUMBER($J208),ISNUMBER(AF208),ISNUMBER(AG208)),ROUND((AG208-MAX(AF208,0))*10,1),"")</f>
        <v/>
      </c>
      <c r="AI208" s="10">
        <f>IF(AE208="","",IF(AND($K208="Yes",ISNUMBER(AG208)),AG208,AE208))</f>
        <v/>
      </c>
      <c r="AJ208" s="10">
        <f>IF(AE208="","",ROUND(SUMIFS($AH$3:$AH$252,$A$3:$A$252,"&lt;="&amp;$A208),1))</f>
        <v/>
      </c>
      <c r="AK208" s="10">
        <f>IF(OR(AE208="",$A208=""),"",IF(ISNUMBER(IFERROR(INDEX($AI$3:$AI$252,MATCH($A208-1,$A$3:$A$252,0)),"")),ROUND((INDEX($AI$3:$AI$252,MATCH($A208-1,$A$3:$A$252,0))-AE208)*10,1),""))</f>
        <v/>
      </c>
      <c r="AL208" s="10">
        <f>IF(ISNUMBER(AE208),1,0)</f>
        <v/>
      </c>
      <c r="AM208" s="17">
        <f>IF($A208="","",IF(COUNTIF($A$3:$A$252,$A208)&gt;1,"same date twice; ","")&amp;IF(AND(ISNUMBER($B208),OR($B208&lt;0,$B208&gt;300)),"rain out of range; ","")&amp;IF(AND(ISNUMBER($C208),OR($C208&lt;0,$C208&gt;45)),"temp out of range; ","")&amp;IF(AND(ISNUMBER($D208),OR($D208&lt;0,$D208&gt;100)),"RH out of range; ",""))</f>
        <v/>
      </c>
      <c r="AN208" s="17">
        <f>IF($A208="","",IF(AND(ISNUMBER(T208),OR(T208&lt;-30,T208&gt;20)),"WL out of range; ","")&amp;IF(AND(ISNUMBER($E208),T208=""),"no TP/b; ","")&amp;IF(AND(ISNUMBER(U208),ISNUMBER(V208)),IF(V208&lt;U208,"After&lt;Before; ",""),"")&amp;IF(AND($F208="Yes",ISNUMBER($E208),W208=""),"irrigation readings missing; ","")&amp;IF(ISNUMBER(Z208),IF(AND(ABS(Z208)&gt;50,NOT(N($B208)&gt;0)),"WL jump &gt;5 cm; ",""),""))</f>
        <v/>
      </c>
      <c r="AO208" s="17">
        <f>IF($A208="","",IF(AND(ISNUMBER(AE208),OR(AE208&lt;-30,AE208&gt;20)),"WL out of range; ","")&amp;IF(AND(ISNUMBER($J208),AE208=""),"no TP/b; ","")&amp;IF(AND(ISNUMBER(AF208),ISNUMBER(AG208)),IF(AG208&lt;AF208,"After&lt;Before; ",""),"")&amp;IF(AND($K208="Yes",ISNUMBER($J208),AH208=""),"irrigation readings missing; ","")&amp;IF(ISNUMBER(AK208),IF(AND(ABS(AK208)&gt;50,NOT(N($B208)&gt;0)),"WL jump &gt;5 cm; ",""),"")&amp;IF(AND(ISNUMBER(PitanE),ISNUMBER(AB208),$A208&gt;PitanE+2,AB208&lt;PitanE),"re-measure TP/b after Pitan; ",""))</f>
        <v/>
      </c>
    </row>
    <row r="209">
      <c r="A209" s="14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0">
        <f>IF(OR($A209="",NOT(ISNUMBER(TransDate))),"",$A209-TransDate)</f>
        <v/>
      </c>
      <c r="Q209" s="16">
        <f>IF($A209="","",IF(_xlfn.MAXIFS('TP-b'!$B$2:$B$60,'TP-b'!$A$2:$A$60,"FP",'TP-b'!$E$2:$E$60,1,'TP-b'!$B$2:$B$60,"&lt;="&amp;$A209)&gt;0,_xlfn.MAXIFS('TP-b'!$B$2:$B$60,'TP-b'!$A$2:$A$60,"FP",'TP-b'!$E$2:$E$60,1,'TP-b'!$B$2:$B$60,"&lt;="&amp;$A209),IF(_xlfn.MINIFS('TP-b'!$B$2:$B$60,'TP-b'!$A$2:$A$60,"FP",'TP-b'!$E$2:$E$60,1)&gt;0,_xlfn.MINIFS('TP-b'!$B$2:$B$60,'TP-b'!$A$2:$A$60,"FP",'TP-b'!$E$2:$E$60,1),"")))</f>
        <v/>
      </c>
      <c r="R209" s="10">
        <f>IF(Q209="","",AVERAGEIFS('TP-b'!$C$2:$C$60,'TP-b'!$A$2:$A$60,"FP",'TP-b'!$B$2:$B$60,Q209,'TP-b'!$E$2:$E$60,1))</f>
        <v/>
      </c>
      <c r="S209" s="10">
        <f>IF(Q209="","",AVERAGEIFS('TP-b'!$D$2:$D$60,'TP-b'!$A$2:$A$60,"FP",'TP-b'!$B$2:$B$60,Q209,'TP-b'!$E$2:$E$60,1))</f>
        <v/>
      </c>
      <c r="T209" s="10">
        <f>IF(OR($A209="",NOT(ISNUMBER($E209)),R209=""),"",ROUND($E209-R209+S209,1))</f>
        <v/>
      </c>
      <c r="U209" s="10">
        <f>IF(AND($F209="Yes",ISNUMBER($G209),R209&lt;&gt;""),ROUND($G209-R209+S209,1),"")</f>
        <v/>
      </c>
      <c r="V209" s="10">
        <f>IF(AND($F209="Yes",ISNUMBER($H209),R209&lt;&gt;""),ROUND($H209-R209+S209,1),"")</f>
        <v/>
      </c>
      <c r="W209" s="10">
        <f>IF(AND(ISNUMBER($E209),ISNUMBER(U209),ISNUMBER(V209)),ROUND((V209-MAX(U209,0))*10,1),"")</f>
        <v/>
      </c>
      <c r="X209" s="10">
        <f>IF(T209="","",IF(AND($F209="Yes",ISNUMBER(V209)),V209,T209))</f>
        <v/>
      </c>
      <c r="Y209" s="10">
        <f>IF(T209="","",ROUND(SUMIFS($W$3:$W$252,$A$3:$A$252,"&lt;="&amp;$A209),1))</f>
        <v/>
      </c>
      <c r="Z209" s="10">
        <f>IF(OR(T209="",$A209=""),"",IF(ISNUMBER(IFERROR(INDEX($X$3:$X$252,MATCH($A209-1,$A$3:$A$252,0)),"")),ROUND((INDEX($X$3:$X$252,MATCH($A209-1,$A$3:$A$252,0))-T209)*10,1),""))</f>
        <v/>
      </c>
      <c r="AA209" s="10">
        <f>IF(ISNUMBER(T209),1,0)</f>
        <v/>
      </c>
      <c r="AB209" s="16">
        <f>IF($A209="","",IF(_xlfn.MAXIFS('TP-b'!$B$2:$B$60,'TP-b'!$A$2:$A$60,"3F4D+MD",'TP-b'!$E$2:$E$60,1,'TP-b'!$B$2:$B$60,"&lt;="&amp;$A209)&gt;0,_xlfn.MAXIFS('TP-b'!$B$2:$B$60,'TP-b'!$A$2:$A$60,"3F4D+MD",'TP-b'!$E$2:$E$60,1,'TP-b'!$B$2:$B$60,"&lt;="&amp;$A209),IF(_xlfn.MINIFS('TP-b'!$B$2:$B$60,'TP-b'!$A$2:$A$60,"3F4D+MD",'TP-b'!$E$2:$E$60,1)&gt;0,_xlfn.MINIFS('TP-b'!$B$2:$B$60,'TP-b'!$A$2:$A$60,"3F4D+MD",'TP-b'!$E$2:$E$60,1),"")))</f>
        <v/>
      </c>
      <c r="AC209" s="10">
        <f>IF(AB209="","",AVERAGEIFS('TP-b'!$C$2:$C$60,'TP-b'!$A$2:$A$60,"3F4D+MD",'TP-b'!$B$2:$B$60,AB209,'TP-b'!$E$2:$E$60,1))</f>
        <v/>
      </c>
      <c r="AD209" s="10">
        <f>IF(AB209="","",AVERAGEIFS('TP-b'!$D$2:$D$60,'TP-b'!$A$2:$A$60,"3F4D+MD",'TP-b'!$B$2:$B$60,AB209,'TP-b'!$E$2:$E$60,1))</f>
        <v/>
      </c>
      <c r="AE209" s="10">
        <f>IF(OR($A209="",NOT(ISNUMBER($J209)),AC209=""),"",ROUND($J209-AC209+AD209,1))</f>
        <v/>
      </c>
      <c r="AF209" s="10">
        <f>IF(AND($K209="Yes",ISNUMBER($L209),AC209&lt;&gt;""),ROUND($L209-AC209+AD209,1),"")</f>
        <v/>
      </c>
      <c r="AG209" s="10">
        <f>IF(AND($K209="Yes",ISNUMBER($M209),AC209&lt;&gt;""),ROUND($M209-AC209+AD209,1),"")</f>
        <v/>
      </c>
      <c r="AH209" s="10">
        <f>IF(AND(ISNUMBER($J209),ISNUMBER(AF209),ISNUMBER(AG209)),ROUND((AG209-MAX(AF209,0))*10,1),"")</f>
        <v/>
      </c>
      <c r="AI209" s="10">
        <f>IF(AE209="","",IF(AND($K209="Yes",ISNUMBER(AG209)),AG209,AE209))</f>
        <v/>
      </c>
      <c r="AJ209" s="10">
        <f>IF(AE209="","",ROUND(SUMIFS($AH$3:$AH$252,$A$3:$A$252,"&lt;="&amp;$A209),1))</f>
        <v/>
      </c>
      <c r="AK209" s="10">
        <f>IF(OR(AE209="",$A209=""),"",IF(ISNUMBER(IFERROR(INDEX($AI$3:$AI$252,MATCH($A209-1,$A$3:$A$252,0)),"")),ROUND((INDEX($AI$3:$AI$252,MATCH($A209-1,$A$3:$A$252,0))-AE209)*10,1),""))</f>
        <v/>
      </c>
      <c r="AL209" s="10">
        <f>IF(ISNUMBER(AE209),1,0)</f>
        <v/>
      </c>
      <c r="AM209" s="17">
        <f>IF($A209="","",IF(COUNTIF($A$3:$A$252,$A209)&gt;1,"same date twice; ","")&amp;IF(AND(ISNUMBER($B209),OR($B209&lt;0,$B209&gt;300)),"rain out of range; ","")&amp;IF(AND(ISNUMBER($C209),OR($C209&lt;0,$C209&gt;45)),"temp out of range; ","")&amp;IF(AND(ISNUMBER($D209),OR($D209&lt;0,$D209&gt;100)),"RH out of range; ",""))</f>
        <v/>
      </c>
      <c r="AN209" s="17">
        <f>IF($A209="","",IF(AND(ISNUMBER(T209),OR(T209&lt;-30,T209&gt;20)),"WL out of range; ","")&amp;IF(AND(ISNUMBER($E209),T209=""),"no TP/b; ","")&amp;IF(AND(ISNUMBER(U209),ISNUMBER(V209)),IF(V209&lt;U209,"After&lt;Before; ",""),"")&amp;IF(AND($F209="Yes",ISNUMBER($E209),W209=""),"irrigation readings missing; ","")&amp;IF(ISNUMBER(Z209),IF(AND(ABS(Z209)&gt;50,NOT(N($B209)&gt;0)),"WL jump &gt;5 cm; ",""),""))</f>
        <v/>
      </c>
      <c r="AO209" s="17">
        <f>IF($A209="","",IF(AND(ISNUMBER(AE209),OR(AE209&lt;-30,AE209&gt;20)),"WL out of range; ","")&amp;IF(AND(ISNUMBER($J209),AE209=""),"no TP/b; ","")&amp;IF(AND(ISNUMBER(AF209),ISNUMBER(AG209)),IF(AG209&lt;AF209,"After&lt;Before; ",""),"")&amp;IF(AND($K209="Yes",ISNUMBER($J209),AH209=""),"irrigation readings missing; ","")&amp;IF(ISNUMBER(AK209),IF(AND(ABS(AK209)&gt;50,NOT(N($B209)&gt;0)),"WL jump &gt;5 cm; ",""),"")&amp;IF(AND(ISNUMBER(PitanE),ISNUMBER(AB209),$A209&gt;PitanE+2,AB209&lt;PitanE),"re-measure TP/b after Pitan; ",""))</f>
        <v/>
      </c>
    </row>
    <row r="210">
      <c r="A210" s="14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0">
        <f>IF(OR($A210="",NOT(ISNUMBER(TransDate))),"",$A210-TransDate)</f>
        <v/>
      </c>
      <c r="Q210" s="16">
        <f>IF($A210="","",IF(_xlfn.MAXIFS('TP-b'!$B$2:$B$60,'TP-b'!$A$2:$A$60,"FP",'TP-b'!$E$2:$E$60,1,'TP-b'!$B$2:$B$60,"&lt;="&amp;$A210)&gt;0,_xlfn.MAXIFS('TP-b'!$B$2:$B$60,'TP-b'!$A$2:$A$60,"FP",'TP-b'!$E$2:$E$60,1,'TP-b'!$B$2:$B$60,"&lt;="&amp;$A210),IF(_xlfn.MINIFS('TP-b'!$B$2:$B$60,'TP-b'!$A$2:$A$60,"FP",'TP-b'!$E$2:$E$60,1)&gt;0,_xlfn.MINIFS('TP-b'!$B$2:$B$60,'TP-b'!$A$2:$A$60,"FP",'TP-b'!$E$2:$E$60,1),"")))</f>
        <v/>
      </c>
      <c r="R210" s="10">
        <f>IF(Q210="","",AVERAGEIFS('TP-b'!$C$2:$C$60,'TP-b'!$A$2:$A$60,"FP",'TP-b'!$B$2:$B$60,Q210,'TP-b'!$E$2:$E$60,1))</f>
        <v/>
      </c>
      <c r="S210" s="10">
        <f>IF(Q210="","",AVERAGEIFS('TP-b'!$D$2:$D$60,'TP-b'!$A$2:$A$60,"FP",'TP-b'!$B$2:$B$60,Q210,'TP-b'!$E$2:$E$60,1))</f>
        <v/>
      </c>
      <c r="T210" s="10">
        <f>IF(OR($A210="",NOT(ISNUMBER($E210)),R210=""),"",ROUND($E210-R210+S210,1))</f>
        <v/>
      </c>
      <c r="U210" s="10">
        <f>IF(AND($F210="Yes",ISNUMBER($G210),R210&lt;&gt;""),ROUND($G210-R210+S210,1),"")</f>
        <v/>
      </c>
      <c r="V210" s="10">
        <f>IF(AND($F210="Yes",ISNUMBER($H210),R210&lt;&gt;""),ROUND($H210-R210+S210,1),"")</f>
        <v/>
      </c>
      <c r="W210" s="10">
        <f>IF(AND(ISNUMBER($E210),ISNUMBER(U210),ISNUMBER(V210)),ROUND((V210-MAX(U210,0))*10,1),"")</f>
        <v/>
      </c>
      <c r="X210" s="10">
        <f>IF(T210="","",IF(AND($F210="Yes",ISNUMBER(V210)),V210,T210))</f>
        <v/>
      </c>
      <c r="Y210" s="10">
        <f>IF(T210="","",ROUND(SUMIFS($W$3:$W$252,$A$3:$A$252,"&lt;="&amp;$A210),1))</f>
        <v/>
      </c>
      <c r="Z210" s="10">
        <f>IF(OR(T210="",$A210=""),"",IF(ISNUMBER(IFERROR(INDEX($X$3:$X$252,MATCH($A210-1,$A$3:$A$252,0)),"")),ROUND((INDEX($X$3:$X$252,MATCH($A210-1,$A$3:$A$252,0))-T210)*10,1),""))</f>
        <v/>
      </c>
      <c r="AA210" s="10">
        <f>IF(ISNUMBER(T210),1,0)</f>
        <v/>
      </c>
      <c r="AB210" s="16">
        <f>IF($A210="","",IF(_xlfn.MAXIFS('TP-b'!$B$2:$B$60,'TP-b'!$A$2:$A$60,"3F4D+MD",'TP-b'!$E$2:$E$60,1,'TP-b'!$B$2:$B$60,"&lt;="&amp;$A210)&gt;0,_xlfn.MAXIFS('TP-b'!$B$2:$B$60,'TP-b'!$A$2:$A$60,"3F4D+MD",'TP-b'!$E$2:$E$60,1,'TP-b'!$B$2:$B$60,"&lt;="&amp;$A210),IF(_xlfn.MINIFS('TP-b'!$B$2:$B$60,'TP-b'!$A$2:$A$60,"3F4D+MD",'TP-b'!$E$2:$E$60,1)&gt;0,_xlfn.MINIFS('TP-b'!$B$2:$B$60,'TP-b'!$A$2:$A$60,"3F4D+MD",'TP-b'!$E$2:$E$60,1),"")))</f>
        <v/>
      </c>
      <c r="AC210" s="10">
        <f>IF(AB210="","",AVERAGEIFS('TP-b'!$C$2:$C$60,'TP-b'!$A$2:$A$60,"3F4D+MD",'TP-b'!$B$2:$B$60,AB210,'TP-b'!$E$2:$E$60,1))</f>
        <v/>
      </c>
      <c r="AD210" s="10">
        <f>IF(AB210="","",AVERAGEIFS('TP-b'!$D$2:$D$60,'TP-b'!$A$2:$A$60,"3F4D+MD",'TP-b'!$B$2:$B$60,AB210,'TP-b'!$E$2:$E$60,1))</f>
        <v/>
      </c>
      <c r="AE210" s="10">
        <f>IF(OR($A210="",NOT(ISNUMBER($J210)),AC210=""),"",ROUND($J210-AC210+AD210,1))</f>
        <v/>
      </c>
      <c r="AF210" s="10">
        <f>IF(AND($K210="Yes",ISNUMBER($L210),AC210&lt;&gt;""),ROUND($L210-AC210+AD210,1),"")</f>
        <v/>
      </c>
      <c r="AG210" s="10">
        <f>IF(AND($K210="Yes",ISNUMBER($M210),AC210&lt;&gt;""),ROUND($M210-AC210+AD210,1),"")</f>
        <v/>
      </c>
      <c r="AH210" s="10">
        <f>IF(AND(ISNUMBER($J210),ISNUMBER(AF210),ISNUMBER(AG210)),ROUND((AG210-MAX(AF210,0))*10,1),"")</f>
        <v/>
      </c>
      <c r="AI210" s="10">
        <f>IF(AE210="","",IF(AND($K210="Yes",ISNUMBER(AG210)),AG210,AE210))</f>
        <v/>
      </c>
      <c r="AJ210" s="10">
        <f>IF(AE210="","",ROUND(SUMIFS($AH$3:$AH$252,$A$3:$A$252,"&lt;="&amp;$A210),1))</f>
        <v/>
      </c>
      <c r="AK210" s="10">
        <f>IF(OR(AE210="",$A210=""),"",IF(ISNUMBER(IFERROR(INDEX($AI$3:$AI$252,MATCH($A210-1,$A$3:$A$252,0)),"")),ROUND((INDEX($AI$3:$AI$252,MATCH($A210-1,$A$3:$A$252,0))-AE210)*10,1),""))</f>
        <v/>
      </c>
      <c r="AL210" s="10">
        <f>IF(ISNUMBER(AE210),1,0)</f>
        <v/>
      </c>
      <c r="AM210" s="17">
        <f>IF($A210="","",IF(COUNTIF($A$3:$A$252,$A210)&gt;1,"same date twice; ","")&amp;IF(AND(ISNUMBER($B210),OR($B210&lt;0,$B210&gt;300)),"rain out of range; ","")&amp;IF(AND(ISNUMBER($C210),OR($C210&lt;0,$C210&gt;45)),"temp out of range; ","")&amp;IF(AND(ISNUMBER($D210),OR($D210&lt;0,$D210&gt;100)),"RH out of range; ",""))</f>
        <v/>
      </c>
      <c r="AN210" s="17">
        <f>IF($A210="","",IF(AND(ISNUMBER(T210),OR(T210&lt;-30,T210&gt;20)),"WL out of range; ","")&amp;IF(AND(ISNUMBER($E210),T210=""),"no TP/b; ","")&amp;IF(AND(ISNUMBER(U210),ISNUMBER(V210)),IF(V210&lt;U210,"After&lt;Before; ",""),"")&amp;IF(AND($F210="Yes",ISNUMBER($E210),W210=""),"irrigation readings missing; ","")&amp;IF(ISNUMBER(Z210),IF(AND(ABS(Z210)&gt;50,NOT(N($B210)&gt;0)),"WL jump &gt;5 cm; ",""),""))</f>
        <v/>
      </c>
      <c r="AO210" s="17">
        <f>IF($A210="","",IF(AND(ISNUMBER(AE210),OR(AE210&lt;-30,AE210&gt;20)),"WL out of range; ","")&amp;IF(AND(ISNUMBER($J210),AE210=""),"no TP/b; ","")&amp;IF(AND(ISNUMBER(AF210),ISNUMBER(AG210)),IF(AG210&lt;AF210,"After&lt;Before; ",""),"")&amp;IF(AND($K210="Yes",ISNUMBER($J210),AH210=""),"irrigation readings missing; ","")&amp;IF(ISNUMBER(AK210),IF(AND(ABS(AK210)&gt;50,NOT(N($B210)&gt;0)),"WL jump &gt;5 cm; ",""),"")&amp;IF(AND(ISNUMBER(PitanE),ISNUMBER(AB210),$A210&gt;PitanE+2,AB210&lt;PitanE),"re-measure TP/b after Pitan; ",""))</f>
        <v/>
      </c>
    </row>
    <row r="211">
      <c r="A211" s="14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0">
        <f>IF(OR($A211="",NOT(ISNUMBER(TransDate))),"",$A211-TransDate)</f>
        <v/>
      </c>
      <c r="Q211" s="16">
        <f>IF($A211="","",IF(_xlfn.MAXIFS('TP-b'!$B$2:$B$60,'TP-b'!$A$2:$A$60,"FP",'TP-b'!$E$2:$E$60,1,'TP-b'!$B$2:$B$60,"&lt;="&amp;$A211)&gt;0,_xlfn.MAXIFS('TP-b'!$B$2:$B$60,'TP-b'!$A$2:$A$60,"FP",'TP-b'!$E$2:$E$60,1,'TP-b'!$B$2:$B$60,"&lt;="&amp;$A211),IF(_xlfn.MINIFS('TP-b'!$B$2:$B$60,'TP-b'!$A$2:$A$60,"FP",'TP-b'!$E$2:$E$60,1)&gt;0,_xlfn.MINIFS('TP-b'!$B$2:$B$60,'TP-b'!$A$2:$A$60,"FP",'TP-b'!$E$2:$E$60,1),"")))</f>
        <v/>
      </c>
      <c r="R211" s="10">
        <f>IF(Q211="","",AVERAGEIFS('TP-b'!$C$2:$C$60,'TP-b'!$A$2:$A$60,"FP",'TP-b'!$B$2:$B$60,Q211,'TP-b'!$E$2:$E$60,1))</f>
        <v/>
      </c>
      <c r="S211" s="10">
        <f>IF(Q211="","",AVERAGEIFS('TP-b'!$D$2:$D$60,'TP-b'!$A$2:$A$60,"FP",'TP-b'!$B$2:$B$60,Q211,'TP-b'!$E$2:$E$60,1))</f>
        <v/>
      </c>
      <c r="T211" s="10">
        <f>IF(OR($A211="",NOT(ISNUMBER($E211)),R211=""),"",ROUND($E211-R211+S211,1))</f>
        <v/>
      </c>
      <c r="U211" s="10">
        <f>IF(AND($F211="Yes",ISNUMBER($G211),R211&lt;&gt;""),ROUND($G211-R211+S211,1),"")</f>
        <v/>
      </c>
      <c r="V211" s="10">
        <f>IF(AND($F211="Yes",ISNUMBER($H211),R211&lt;&gt;""),ROUND($H211-R211+S211,1),"")</f>
        <v/>
      </c>
      <c r="W211" s="10">
        <f>IF(AND(ISNUMBER($E211),ISNUMBER(U211),ISNUMBER(V211)),ROUND((V211-MAX(U211,0))*10,1),"")</f>
        <v/>
      </c>
      <c r="X211" s="10">
        <f>IF(T211="","",IF(AND($F211="Yes",ISNUMBER(V211)),V211,T211))</f>
        <v/>
      </c>
      <c r="Y211" s="10">
        <f>IF(T211="","",ROUND(SUMIFS($W$3:$W$252,$A$3:$A$252,"&lt;="&amp;$A211),1))</f>
        <v/>
      </c>
      <c r="Z211" s="10">
        <f>IF(OR(T211="",$A211=""),"",IF(ISNUMBER(IFERROR(INDEX($X$3:$X$252,MATCH($A211-1,$A$3:$A$252,0)),"")),ROUND((INDEX($X$3:$X$252,MATCH($A211-1,$A$3:$A$252,0))-T211)*10,1),""))</f>
        <v/>
      </c>
      <c r="AA211" s="10">
        <f>IF(ISNUMBER(T211),1,0)</f>
        <v/>
      </c>
      <c r="AB211" s="16">
        <f>IF($A211="","",IF(_xlfn.MAXIFS('TP-b'!$B$2:$B$60,'TP-b'!$A$2:$A$60,"3F4D+MD",'TP-b'!$E$2:$E$60,1,'TP-b'!$B$2:$B$60,"&lt;="&amp;$A211)&gt;0,_xlfn.MAXIFS('TP-b'!$B$2:$B$60,'TP-b'!$A$2:$A$60,"3F4D+MD",'TP-b'!$E$2:$E$60,1,'TP-b'!$B$2:$B$60,"&lt;="&amp;$A211),IF(_xlfn.MINIFS('TP-b'!$B$2:$B$60,'TP-b'!$A$2:$A$60,"3F4D+MD",'TP-b'!$E$2:$E$60,1)&gt;0,_xlfn.MINIFS('TP-b'!$B$2:$B$60,'TP-b'!$A$2:$A$60,"3F4D+MD",'TP-b'!$E$2:$E$60,1),"")))</f>
        <v/>
      </c>
      <c r="AC211" s="10">
        <f>IF(AB211="","",AVERAGEIFS('TP-b'!$C$2:$C$60,'TP-b'!$A$2:$A$60,"3F4D+MD",'TP-b'!$B$2:$B$60,AB211,'TP-b'!$E$2:$E$60,1))</f>
        <v/>
      </c>
      <c r="AD211" s="10">
        <f>IF(AB211="","",AVERAGEIFS('TP-b'!$D$2:$D$60,'TP-b'!$A$2:$A$60,"3F4D+MD",'TP-b'!$B$2:$B$60,AB211,'TP-b'!$E$2:$E$60,1))</f>
        <v/>
      </c>
      <c r="AE211" s="10">
        <f>IF(OR($A211="",NOT(ISNUMBER($J211)),AC211=""),"",ROUND($J211-AC211+AD211,1))</f>
        <v/>
      </c>
      <c r="AF211" s="10">
        <f>IF(AND($K211="Yes",ISNUMBER($L211),AC211&lt;&gt;""),ROUND($L211-AC211+AD211,1),"")</f>
        <v/>
      </c>
      <c r="AG211" s="10">
        <f>IF(AND($K211="Yes",ISNUMBER($M211),AC211&lt;&gt;""),ROUND($M211-AC211+AD211,1),"")</f>
        <v/>
      </c>
      <c r="AH211" s="10">
        <f>IF(AND(ISNUMBER($J211),ISNUMBER(AF211),ISNUMBER(AG211)),ROUND((AG211-MAX(AF211,0))*10,1),"")</f>
        <v/>
      </c>
      <c r="AI211" s="10">
        <f>IF(AE211="","",IF(AND($K211="Yes",ISNUMBER(AG211)),AG211,AE211))</f>
        <v/>
      </c>
      <c r="AJ211" s="10">
        <f>IF(AE211="","",ROUND(SUMIFS($AH$3:$AH$252,$A$3:$A$252,"&lt;="&amp;$A211),1))</f>
        <v/>
      </c>
      <c r="AK211" s="10">
        <f>IF(OR(AE211="",$A211=""),"",IF(ISNUMBER(IFERROR(INDEX($AI$3:$AI$252,MATCH($A211-1,$A$3:$A$252,0)),"")),ROUND((INDEX($AI$3:$AI$252,MATCH($A211-1,$A$3:$A$252,0))-AE211)*10,1),""))</f>
        <v/>
      </c>
      <c r="AL211" s="10">
        <f>IF(ISNUMBER(AE211),1,0)</f>
        <v/>
      </c>
      <c r="AM211" s="17">
        <f>IF($A211="","",IF(COUNTIF($A$3:$A$252,$A211)&gt;1,"same date twice; ","")&amp;IF(AND(ISNUMBER($B211),OR($B211&lt;0,$B211&gt;300)),"rain out of range; ","")&amp;IF(AND(ISNUMBER($C211),OR($C211&lt;0,$C211&gt;45)),"temp out of range; ","")&amp;IF(AND(ISNUMBER($D211),OR($D211&lt;0,$D211&gt;100)),"RH out of range; ",""))</f>
        <v/>
      </c>
      <c r="AN211" s="17">
        <f>IF($A211="","",IF(AND(ISNUMBER(T211),OR(T211&lt;-30,T211&gt;20)),"WL out of range; ","")&amp;IF(AND(ISNUMBER($E211),T211=""),"no TP/b; ","")&amp;IF(AND(ISNUMBER(U211),ISNUMBER(V211)),IF(V211&lt;U211,"After&lt;Before; ",""),"")&amp;IF(AND($F211="Yes",ISNUMBER($E211),W211=""),"irrigation readings missing; ","")&amp;IF(ISNUMBER(Z211),IF(AND(ABS(Z211)&gt;50,NOT(N($B211)&gt;0)),"WL jump &gt;5 cm; ",""),""))</f>
        <v/>
      </c>
      <c r="AO211" s="17">
        <f>IF($A211="","",IF(AND(ISNUMBER(AE211),OR(AE211&lt;-30,AE211&gt;20)),"WL out of range; ","")&amp;IF(AND(ISNUMBER($J211),AE211=""),"no TP/b; ","")&amp;IF(AND(ISNUMBER(AF211),ISNUMBER(AG211)),IF(AG211&lt;AF211,"After&lt;Before; ",""),"")&amp;IF(AND($K211="Yes",ISNUMBER($J211),AH211=""),"irrigation readings missing; ","")&amp;IF(ISNUMBER(AK211),IF(AND(ABS(AK211)&gt;50,NOT(N($B211)&gt;0)),"WL jump &gt;5 cm; ",""),"")&amp;IF(AND(ISNUMBER(PitanE),ISNUMBER(AB211),$A211&gt;PitanE+2,AB211&lt;PitanE),"re-measure TP/b after Pitan; ",""))</f>
        <v/>
      </c>
    </row>
    <row r="212">
      <c r="A212" s="14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0">
        <f>IF(OR($A212="",NOT(ISNUMBER(TransDate))),"",$A212-TransDate)</f>
        <v/>
      </c>
      <c r="Q212" s="16">
        <f>IF($A212="","",IF(_xlfn.MAXIFS('TP-b'!$B$2:$B$60,'TP-b'!$A$2:$A$60,"FP",'TP-b'!$E$2:$E$60,1,'TP-b'!$B$2:$B$60,"&lt;="&amp;$A212)&gt;0,_xlfn.MAXIFS('TP-b'!$B$2:$B$60,'TP-b'!$A$2:$A$60,"FP",'TP-b'!$E$2:$E$60,1,'TP-b'!$B$2:$B$60,"&lt;="&amp;$A212),IF(_xlfn.MINIFS('TP-b'!$B$2:$B$60,'TP-b'!$A$2:$A$60,"FP",'TP-b'!$E$2:$E$60,1)&gt;0,_xlfn.MINIFS('TP-b'!$B$2:$B$60,'TP-b'!$A$2:$A$60,"FP",'TP-b'!$E$2:$E$60,1),"")))</f>
        <v/>
      </c>
      <c r="R212" s="10">
        <f>IF(Q212="","",AVERAGEIFS('TP-b'!$C$2:$C$60,'TP-b'!$A$2:$A$60,"FP",'TP-b'!$B$2:$B$60,Q212,'TP-b'!$E$2:$E$60,1))</f>
        <v/>
      </c>
      <c r="S212" s="10">
        <f>IF(Q212="","",AVERAGEIFS('TP-b'!$D$2:$D$60,'TP-b'!$A$2:$A$60,"FP",'TP-b'!$B$2:$B$60,Q212,'TP-b'!$E$2:$E$60,1))</f>
        <v/>
      </c>
      <c r="T212" s="10">
        <f>IF(OR($A212="",NOT(ISNUMBER($E212)),R212=""),"",ROUND($E212-R212+S212,1))</f>
        <v/>
      </c>
      <c r="U212" s="10">
        <f>IF(AND($F212="Yes",ISNUMBER($G212),R212&lt;&gt;""),ROUND($G212-R212+S212,1),"")</f>
        <v/>
      </c>
      <c r="V212" s="10">
        <f>IF(AND($F212="Yes",ISNUMBER($H212),R212&lt;&gt;""),ROUND($H212-R212+S212,1),"")</f>
        <v/>
      </c>
      <c r="W212" s="10">
        <f>IF(AND(ISNUMBER($E212),ISNUMBER(U212),ISNUMBER(V212)),ROUND((V212-MAX(U212,0))*10,1),"")</f>
        <v/>
      </c>
      <c r="X212" s="10">
        <f>IF(T212="","",IF(AND($F212="Yes",ISNUMBER(V212)),V212,T212))</f>
        <v/>
      </c>
      <c r="Y212" s="10">
        <f>IF(T212="","",ROUND(SUMIFS($W$3:$W$252,$A$3:$A$252,"&lt;="&amp;$A212),1))</f>
        <v/>
      </c>
      <c r="Z212" s="10">
        <f>IF(OR(T212="",$A212=""),"",IF(ISNUMBER(IFERROR(INDEX($X$3:$X$252,MATCH($A212-1,$A$3:$A$252,0)),"")),ROUND((INDEX($X$3:$X$252,MATCH($A212-1,$A$3:$A$252,0))-T212)*10,1),""))</f>
        <v/>
      </c>
      <c r="AA212" s="10">
        <f>IF(ISNUMBER(T212),1,0)</f>
        <v/>
      </c>
      <c r="AB212" s="16">
        <f>IF($A212="","",IF(_xlfn.MAXIFS('TP-b'!$B$2:$B$60,'TP-b'!$A$2:$A$60,"3F4D+MD",'TP-b'!$E$2:$E$60,1,'TP-b'!$B$2:$B$60,"&lt;="&amp;$A212)&gt;0,_xlfn.MAXIFS('TP-b'!$B$2:$B$60,'TP-b'!$A$2:$A$60,"3F4D+MD",'TP-b'!$E$2:$E$60,1,'TP-b'!$B$2:$B$60,"&lt;="&amp;$A212),IF(_xlfn.MINIFS('TP-b'!$B$2:$B$60,'TP-b'!$A$2:$A$60,"3F4D+MD",'TP-b'!$E$2:$E$60,1)&gt;0,_xlfn.MINIFS('TP-b'!$B$2:$B$60,'TP-b'!$A$2:$A$60,"3F4D+MD",'TP-b'!$E$2:$E$60,1),"")))</f>
        <v/>
      </c>
      <c r="AC212" s="10">
        <f>IF(AB212="","",AVERAGEIFS('TP-b'!$C$2:$C$60,'TP-b'!$A$2:$A$60,"3F4D+MD",'TP-b'!$B$2:$B$60,AB212,'TP-b'!$E$2:$E$60,1))</f>
        <v/>
      </c>
      <c r="AD212" s="10">
        <f>IF(AB212="","",AVERAGEIFS('TP-b'!$D$2:$D$60,'TP-b'!$A$2:$A$60,"3F4D+MD",'TP-b'!$B$2:$B$60,AB212,'TP-b'!$E$2:$E$60,1))</f>
        <v/>
      </c>
      <c r="AE212" s="10">
        <f>IF(OR($A212="",NOT(ISNUMBER($J212)),AC212=""),"",ROUND($J212-AC212+AD212,1))</f>
        <v/>
      </c>
      <c r="AF212" s="10">
        <f>IF(AND($K212="Yes",ISNUMBER($L212),AC212&lt;&gt;""),ROUND($L212-AC212+AD212,1),"")</f>
        <v/>
      </c>
      <c r="AG212" s="10">
        <f>IF(AND($K212="Yes",ISNUMBER($M212),AC212&lt;&gt;""),ROUND($M212-AC212+AD212,1),"")</f>
        <v/>
      </c>
      <c r="AH212" s="10">
        <f>IF(AND(ISNUMBER($J212),ISNUMBER(AF212),ISNUMBER(AG212)),ROUND((AG212-MAX(AF212,0))*10,1),"")</f>
        <v/>
      </c>
      <c r="AI212" s="10">
        <f>IF(AE212="","",IF(AND($K212="Yes",ISNUMBER(AG212)),AG212,AE212))</f>
        <v/>
      </c>
      <c r="AJ212" s="10">
        <f>IF(AE212="","",ROUND(SUMIFS($AH$3:$AH$252,$A$3:$A$252,"&lt;="&amp;$A212),1))</f>
        <v/>
      </c>
      <c r="AK212" s="10">
        <f>IF(OR(AE212="",$A212=""),"",IF(ISNUMBER(IFERROR(INDEX($AI$3:$AI$252,MATCH($A212-1,$A$3:$A$252,0)),"")),ROUND((INDEX($AI$3:$AI$252,MATCH($A212-1,$A$3:$A$252,0))-AE212)*10,1),""))</f>
        <v/>
      </c>
      <c r="AL212" s="10">
        <f>IF(ISNUMBER(AE212),1,0)</f>
        <v/>
      </c>
      <c r="AM212" s="17">
        <f>IF($A212="","",IF(COUNTIF($A$3:$A$252,$A212)&gt;1,"same date twice; ","")&amp;IF(AND(ISNUMBER($B212),OR($B212&lt;0,$B212&gt;300)),"rain out of range; ","")&amp;IF(AND(ISNUMBER($C212),OR($C212&lt;0,$C212&gt;45)),"temp out of range; ","")&amp;IF(AND(ISNUMBER($D212),OR($D212&lt;0,$D212&gt;100)),"RH out of range; ",""))</f>
        <v/>
      </c>
      <c r="AN212" s="17">
        <f>IF($A212="","",IF(AND(ISNUMBER(T212),OR(T212&lt;-30,T212&gt;20)),"WL out of range; ","")&amp;IF(AND(ISNUMBER($E212),T212=""),"no TP/b; ","")&amp;IF(AND(ISNUMBER(U212),ISNUMBER(V212)),IF(V212&lt;U212,"After&lt;Before; ",""),"")&amp;IF(AND($F212="Yes",ISNUMBER($E212),W212=""),"irrigation readings missing; ","")&amp;IF(ISNUMBER(Z212),IF(AND(ABS(Z212)&gt;50,NOT(N($B212)&gt;0)),"WL jump &gt;5 cm; ",""),""))</f>
        <v/>
      </c>
      <c r="AO212" s="17">
        <f>IF($A212="","",IF(AND(ISNUMBER(AE212),OR(AE212&lt;-30,AE212&gt;20)),"WL out of range; ","")&amp;IF(AND(ISNUMBER($J212),AE212=""),"no TP/b; ","")&amp;IF(AND(ISNUMBER(AF212),ISNUMBER(AG212)),IF(AG212&lt;AF212,"After&lt;Before; ",""),"")&amp;IF(AND($K212="Yes",ISNUMBER($J212),AH212=""),"irrigation readings missing; ","")&amp;IF(ISNUMBER(AK212),IF(AND(ABS(AK212)&gt;50,NOT(N($B212)&gt;0)),"WL jump &gt;5 cm; ",""),"")&amp;IF(AND(ISNUMBER(PitanE),ISNUMBER(AB212),$A212&gt;PitanE+2,AB212&lt;PitanE),"re-measure TP/b after Pitan; ",""))</f>
        <v/>
      </c>
    </row>
    <row r="213">
      <c r="A213" s="14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0">
        <f>IF(OR($A213="",NOT(ISNUMBER(TransDate))),"",$A213-TransDate)</f>
        <v/>
      </c>
      <c r="Q213" s="16">
        <f>IF($A213="","",IF(_xlfn.MAXIFS('TP-b'!$B$2:$B$60,'TP-b'!$A$2:$A$60,"FP",'TP-b'!$E$2:$E$60,1,'TP-b'!$B$2:$B$60,"&lt;="&amp;$A213)&gt;0,_xlfn.MAXIFS('TP-b'!$B$2:$B$60,'TP-b'!$A$2:$A$60,"FP",'TP-b'!$E$2:$E$60,1,'TP-b'!$B$2:$B$60,"&lt;="&amp;$A213),IF(_xlfn.MINIFS('TP-b'!$B$2:$B$60,'TP-b'!$A$2:$A$60,"FP",'TP-b'!$E$2:$E$60,1)&gt;0,_xlfn.MINIFS('TP-b'!$B$2:$B$60,'TP-b'!$A$2:$A$60,"FP",'TP-b'!$E$2:$E$60,1),"")))</f>
        <v/>
      </c>
      <c r="R213" s="10">
        <f>IF(Q213="","",AVERAGEIFS('TP-b'!$C$2:$C$60,'TP-b'!$A$2:$A$60,"FP",'TP-b'!$B$2:$B$60,Q213,'TP-b'!$E$2:$E$60,1))</f>
        <v/>
      </c>
      <c r="S213" s="10">
        <f>IF(Q213="","",AVERAGEIFS('TP-b'!$D$2:$D$60,'TP-b'!$A$2:$A$60,"FP",'TP-b'!$B$2:$B$60,Q213,'TP-b'!$E$2:$E$60,1))</f>
        <v/>
      </c>
      <c r="T213" s="10">
        <f>IF(OR($A213="",NOT(ISNUMBER($E213)),R213=""),"",ROUND($E213-R213+S213,1))</f>
        <v/>
      </c>
      <c r="U213" s="10">
        <f>IF(AND($F213="Yes",ISNUMBER($G213),R213&lt;&gt;""),ROUND($G213-R213+S213,1),"")</f>
        <v/>
      </c>
      <c r="V213" s="10">
        <f>IF(AND($F213="Yes",ISNUMBER($H213),R213&lt;&gt;""),ROUND($H213-R213+S213,1),"")</f>
        <v/>
      </c>
      <c r="W213" s="10">
        <f>IF(AND(ISNUMBER($E213),ISNUMBER(U213),ISNUMBER(V213)),ROUND((V213-MAX(U213,0))*10,1),"")</f>
        <v/>
      </c>
      <c r="X213" s="10">
        <f>IF(T213="","",IF(AND($F213="Yes",ISNUMBER(V213)),V213,T213))</f>
        <v/>
      </c>
      <c r="Y213" s="10">
        <f>IF(T213="","",ROUND(SUMIFS($W$3:$W$252,$A$3:$A$252,"&lt;="&amp;$A213),1))</f>
        <v/>
      </c>
      <c r="Z213" s="10">
        <f>IF(OR(T213="",$A213=""),"",IF(ISNUMBER(IFERROR(INDEX($X$3:$X$252,MATCH($A213-1,$A$3:$A$252,0)),"")),ROUND((INDEX($X$3:$X$252,MATCH($A213-1,$A$3:$A$252,0))-T213)*10,1),""))</f>
        <v/>
      </c>
      <c r="AA213" s="10">
        <f>IF(ISNUMBER(T213),1,0)</f>
        <v/>
      </c>
      <c r="AB213" s="16">
        <f>IF($A213="","",IF(_xlfn.MAXIFS('TP-b'!$B$2:$B$60,'TP-b'!$A$2:$A$60,"3F4D+MD",'TP-b'!$E$2:$E$60,1,'TP-b'!$B$2:$B$60,"&lt;="&amp;$A213)&gt;0,_xlfn.MAXIFS('TP-b'!$B$2:$B$60,'TP-b'!$A$2:$A$60,"3F4D+MD",'TP-b'!$E$2:$E$60,1,'TP-b'!$B$2:$B$60,"&lt;="&amp;$A213),IF(_xlfn.MINIFS('TP-b'!$B$2:$B$60,'TP-b'!$A$2:$A$60,"3F4D+MD",'TP-b'!$E$2:$E$60,1)&gt;0,_xlfn.MINIFS('TP-b'!$B$2:$B$60,'TP-b'!$A$2:$A$60,"3F4D+MD",'TP-b'!$E$2:$E$60,1),"")))</f>
        <v/>
      </c>
      <c r="AC213" s="10">
        <f>IF(AB213="","",AVERAGEIFS('TP-b'!$C$2:$C$60,'TP-b'!$A$2:$A$60,"3F4D+MD",'TP-b'!$B$2:$B$60,AB213,'TP-b'!$E$2:$E$60,1))</f>
        <v/>
      </c>
      <c r="AD213" s="10">
        <f>IF(AB213="","",AVERAGEIFS('TP-b'!$D$2:$D$60,'TP-b'!$A$2:$A$60,"3F4D+MD",'TP-b'!$B$2:$B$60,AB213,'TP-b'!$E$2:$E$60,1))</f>
        <v/>
      </c>
      <c r="AE213" s="10">
        <f>IF(OR($A213="",NOT(ISNUMBER($J213)),AC213=""),"",ROUND($J213-AC213+AD213,1))</f>
        <v/>
      </c>
      <c r="AF213" s="10">
        <f>IF(AND($K213="Yes",ISNUMBER($L213),AC213&lt;&gt;""),ROUND($L213-AC213+AD213,1),"")</f>
        <v/>
      </c>
      <c r="AG213" s="10">
        <f>IF(AND($K213="Yes",ISNUMBER($M213),AC213&lt;&gt;""),ROUND($M213-AC213+AD213,1),"")</f>
        <v/>
      </c>
      <c r="AH213" s="10">
        <f>IF(AND(ISNUMBER($J213),ISNUMBER(AF213),ISNUMBER(AG213)),ROUND((AG213-MAX(AF213,0))*10,1),"")</f>
        <v/>
      </c>
      <c r="AI213" s="10">
        <f>IF(AE213="","",IF(AND($K213="Yes",ISNUMBER(AG213)),AG213,AE213))</f>
        <v/>
      </c>
      <c r="AJ213" s="10">
        <f>IF(AE213="","",ROUND(SUMIFS($AH$3:$AH$252,$A$3:$A$252,"&lt;="&amp;$A213),1))</f>
        <v/>
      </c>
      <c r="AK213" s="10">
        <f>IF(OR(AE213="",$A213=""),"",IF(ISNUMBER(IFERROR(INDEX($AI$3:$AI$252,MATCH($A213-1,$A$3:$A$252,0)),"")),ROUND((INDEX($AI$3:$AI$252,MATCH($A213-1,$A$3:$A$252,0))-AE213)*10,1),""))</f>
        <v/>
      </c>
      <c r="AL213" s="10">
        <f>IF(ISNUMBER(AE213),1,0)</f>
        <v/>
      </c>
      <c r="AM213" s="17">
        <f>IF($A213="","",IF(COUNTIF($A$3:$A$252,$A213)&gt;1,"same date twice; ","")&amp;IF(AND(ISNUMBER($B213),OR($B213&lt;0,$B213&gt;300)),"rain out of range; ","")&amp;IF(AND(ISNUMBER($C213),OR($C213&lt;0,$C213&gt;45)),"temp out of range; ","")&amp;IF(AND(ISNUMBER($D213),OR($D213&lt;0,$D213&gt;100)),"RH out of range; ",""))</f>
        <v/>
      </c>
      <c r="AN213" s="17">
        <f>IF($A213="","",IF(AND(ISNUMBER(T213),OR(T213&lt;-30,T213&gt;20)),"WL out of range; ","")&amp;IF(AND(ISNUMBER($E213),T213=""),"no TP/b; ","")&amp;IF(AND(ISNUMBER(U213),ISNUMBER(V213)),IF(V213&lt;U213,"After&lt;Before; ",""),"")&amp;IF(AND($F213="Yes",ISNUMBER($E213),W213=""),"irrigation readings missing; ","")&amp;IF(ISNUMBER(Z213),IF(AND(ABS(Z213)&gt;50,NOT(N($B213)&gt;0)),"WL jump &gt;5 cm; ",""),""))</f>
        <v/>
      </c>
      <c r="AO213" s="17">
        <f>IF($A213="","",IF(AND(ISNUMBER(AE213),OR(AE213&lt;-30,AE213&gt;20)),"WL out of range; ","")&amp;IF(AND(ISNUMBER($J213),AE213=""),"no TP/b; ","")&amp;IF(AND(ISNUMBER(AF213),ISNUMBER(AG213)),IF(AG213&lt;AF213,"After&lt;Before; ",""),"")&amp;IF(AND($K213="Yes",ISNUMBER($J213),AH213=""),"irrigation readings missing; ","")&amp;IF(ISNUMBER(AK213),IF(AND(ABS(AK213)&gt;50,NOT(N($B213)&gt;0)),"WL jump &gt;5 cm; ",""),"")&amp;IF(AND(ISNUMBER(PitanE),ISNUMBER(AB213),$A213&gt;PitanE+2,AB213&lt;PitanE),"re-measure TP/b after Pitan; ",""))</f>
        <v/>
      </c>
    </row>
    <row r="214">
      <c r="A214" s="14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0">
        <f>IF(OR($A214="",NOT(ISNUMBER(TransDate))),"",$A214-TransDate)</f>
        <v/>
      </c>
      <c r="Q214" s="16">
        <f>IF($A214="","",IF(_xlfn.MAXIFS('TP-b'!$B$2:$B$60,'TP-b'!$A$2:$A$60,"FP",'TP-b'!$E$2:$E$60,1,'TP-b'!$B$2:$B$60,"&lt;="&amp;$A214)&gt;0,_xlfn.MAXIFS('TP-b'!$B$2:$B$60,'TP-b'!$A$2:$A$60,"FP",'TP-b'!$E$2:$E$60,1,'TP-b'!$B$2:$B$60,"&lt;="&amp;$A214),IF(_xlfn.MINIFS('TP-b'!$B$2:$B$60,'TP-b'!$A$2:$A$60,"FP",'TP-b'!$E$2:$E$60,1)&gt;0,_xlfn.MINIFS('TP-b'!$B$2:$B$60,'TP-b'!$A$2:$A$60,"FP",'TP-b'!$E$2:$E$60,1),"")))</f>
        <v/>
      </c>
      <c r="R214" s="10">
        <f>IF(Q214="","",AVERAGEIFS('TP-b'!$C$2:$C$60,'TP-b'!$A$2:$A$60,"FP",'TP-b'!$B$2:$B$60,Q214,'TP-b'!$E$2:$E$60,1))</f>
        <v/>
      </c>
      <c r="S214" s="10">
        <f>IF(Q214="","",AVERAGEIFS('TP-b'!$D$2:$D$60,'TP-b'!$A$2:$A$60,"FP",'TP-b'!$B$2:$B$60,Q214,'TP-b'!$E$2:$E$60,1))</f>
        <v/>
      </c>
      <c r="T214" s="10">
        <f>IF(OR($A214="",NOT(ISNUMBER($E214)),R214=""),"",ROUND($E214-R214+S214,1))</f>
        <v/>
      </c>
      <c r="U214" s="10">
        <f>IF(AND($F214="Yes",ISNUMBER($G214),R214&lt;&gt;""),ROUND($G214-R214+S214,1),"")</f>
        <v/>
      </c>
      <c r="V214" s="10">
        <f>IF(AND($F214="Yes",ISNUMBER($H214),R214&lt;&gt;""),ROUND($H214-R214+S214,1),"")</f>
        <v/>
      </c>
      <c r="W214" s="10">
        <f>IF(AND(ISNUMBER($E214),ISNUMBER(U214),ISNUMBER(V214)),ROUND((V214-MAX(U214,0))*10,1),"")</f>
        <v/>
      </c>
      <c r="X214" s="10">
        <f>IF(T214="","",IF(AND($F214="Yes",ISNUMBER(V214)),V214,T214))</f>
        <v/>
      </c>
      <c r="Y214" s="10">
        <f>IF(T214="","",ROUND(SUMIFS($W$3:$W$252,$A$3:$A$252,"&lt;="&amp;$A214),1))</f>
        <v/>
      </c>
      <c r="Z214" s="10">
        <f>IF(OR(T214="",$A214=""),"",IF(ISNUMBER(IFERROR(INDEX($X$3:$X$252,MATCH($A214-1,$A$3:$A$252,0)),"")),ROUND((INDEX($X$3:$X$252,MATCH($A214-1,$A$3:$A$252,0))-T214)*10,1),""))</f>
        <v/>
      </c>
      <c r="AA214" s="10">
        <f>IF(ISNUMBER(T214),1,0)</f>
        <v/>
      </c>
      <c r="AB214" s="16">
        <f>IF($A214="","",IF(_xlfn.MAXIFS('TP-b'!$B$2:$B$60,'TP-b'!$A$2:$A$60,"3F4D+MD",'TP-b'!$E$2:$E$60,1,'TP-b'!$B$2:$B$60,"&lt;="&amp;$A214)&gt;0,_xlfn.MAXIFS('TP-b'!$B$2:$B$60,'TP-b'!$A$2:$A$60,"3F4D+MD",'TP-b'!$E$2:$E$60,1,'TP-b'!$B$2:$B$60,"&lt;="&amp;$A214),IF(_xlfn.MINIFS('TP-b'!$B$2:$B$60,'TP-b'!$A$2:$A$60,"3F4D+MD",'TP-b'!$E$2:$E$60,1)&gt;0,_xlfn.MINIFS('TP-b'!$B$2:$B$60,'TP-b'!$A$2:$A$60,"3F4D+MD",'TP-b'!$E$2:$E$60,1),"")))</f>
        <v/>
      </c>
      <c r="AC214" s="10">
        <f>IF(AB214="","",AVERAGEIFS('TP-b'!$C$2:$C$60,'TP-b'!$A$2:$A$60,"3F4D+MD",'TP-b'!$B$2:$B$60,AB214,'TP-b'!$E$2:$E$60,1))</f>
        <v/>
      </c>
      <c r="AD214" s="10">
        <f>IF(AB214="","",AVERAGEIFS('TP-b'!$D$2:$D$60,'TP-b'!$A$2:$A$60,"3F4D+MD",'TP-b'!$B$2:$B$60,AB214,'TP-b'!$E$2:$E$60,1))</f>
        <v/>
      </c>
      <c r="AE214" s="10">
        <f>IF(OR($A214="",NOT(ISNUMBER($J214)),AC214=""),"",ROUND($J214-AC214+AD214,1))</f>
        <v/>
      </c>
      <c r="AF214" s="10">
        <f>IF(AND($K214="Yes",ISNUMBER($L214),AC214&lt;&gt;""),ROUND($L214-AC214+AD214,1),"")</f>
        <v/>
      </c>
      <c r="AG214" s="10">
        <f>IF(AND($K214="Yes",ISNUMBER($M214),AC214&lt;&gt;""),ROUND($M214-AC214+AD214,1),"")</f>
        <v/>
      </c>
      <c r="AH214" s="10">
        <f>IF(AND(ISNUMBER($J214),ISNUMBER(AF214),ISNUMBER(AG214)),ROUND((AG214-MAX(AF214,0))*10,1),"")</f>
        <v/>
      </c>
      <c r="AI214" s="10">
        <f>IF(AE214="","",IF(AND($K214="Yes",ISNUMBER(AG214)),AG214,AE214))</f>
        <v/>
      </c>
      <c r="AJ214" s="10">
        <f>IF(AE214="","",ROUND(SUMIFS($AH$3:$AH$252,$A$3:$A$252,"&lt;="&amp;$A214),1))</f>
        <v/>
      </c>
      <c r="AK214" s="10">
        <f>IF(OR(AE214="",$A214=""),"",IF(ISNUMBER(IFERROR(INDEX($AI$3:$AI$252,MATCH($A214-1,$A$3:$A$252,0)),"")),ROUND((INDEX($AI$3:$AI$252,MATCH($A214-1,$A$3:$A$252,0))-AE214)*10,1),""))</f>
        <v/>
      </c>
      <c r="AL214" s="10">
        <f>IF(ISNUMBER(AE214),1,0)</f>
        <v/>
      </c>
      <c r="AM214" s="17">
        <f>IF($A214="","",IF(COUNTIF($A$3:$A$252,$A214)&gt;1,"same date twice; ","")&amp;IF(AND(ISNUMBER($B214),OR($B214&lt;0,$B214&gt;300)),"rain out of range; ","")&amp;IF(AND(ISNUMBER($C214),OR($C214&lt;0,$C214&gt;45)),"temp out of range; ","")&amp;IF(AND(ISNUMBER($D214),OR($D214&lt;0,$D214&gt;100)),"RH out of range; ",""))</f>
        <v/>
      </c>
      <c r="AN214" s="17">
        <f>IF($A214="","",IF(AND(ISNUMBER(T214),OR(T214&lt;-30,T214&gt;20)),"WL out of range; ","")&amp;IF(AND(ISNUMBER($E214),T214=""),"no TP/b; ","")&amp;IF(AND(ISNUMBER(U214),ISNUMBER(V214)),IF(V214&lt;U214,"After&lt;Before; ",""),"")&amp;IF(AND($F214="Yes",ISNUMBER($E214),W214=""),"irrigation readings missing; ","")&amp;IF(ISNUMBER(Z214),IF(AND(ABS(Z214)&gt;50,NOT(N($B214)&gt;0)),"WL jump &gt;5 cm; ",""),""))</f>
        <v/>
      </c>
      <c r="AO214" s="17">
        <f>IF($A214="","",IF(AND(ISNUMBER(AE214),OR(AE214&lt;-30,AE214&gt;20)),"WL out of range; ","")&amp;IF(AND(ISNUMBER($J214),AE214=""),"no TP/b; ","")&amp;IF(AND(ISNUMBER(AF214),ISNUMBER(AG214)),IF(AG214&lt;AF214,"After&lt;Before; ",""),"")&amp;IF(AND($K214="Yes",ISNUMBER($J214),AH214=""),"irrigation readings missing; ","")&amp;IF(ISNUMBER(AK214),IF(AND(ABS(AK214)&gt;50,NOT(N($B214)&gt;0)),"WL jump &gt;5 cm; ",""),"")&amp;IF(AND(ISNUMBER(PitanE),ISNUMBER(AB214),$A214&gt;PitanE+2,AB214&lt;PitanE),"re-measure TP/b after Pitan; ",""))</f>
        <v/>
      </c>
    </row>
    <row r="215">
      <c r="A215" s="14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0">
        <f>IF(OR($A215="",NOT(ISNUMBER(TransDate))),"",$A215-TransDate)</f>
        <v/>
      </c>
      <c r="Q215" s="16">
        <f>IF($A215="","",IF(_xlfn.MAXIFS('TP-b'!$B$2:$B$60,'TP-b'!$A$2:$A$60,"FP",'TP-b'!$E$2:$E$60,1,'TP-b'!$B$2:$B$60,"&lt;="&amp;$A215)&gt;0,_xlfn.MAXIFS('TP-b'!$B$2:$B$60,'TP-b'!$A$2:$A$60,"FP",'TP-b'!$E$2:$E$60,1,'TP-b'!$B$2:$B$60,"&lt;="&amp;$A215),IF(_xlfn.MINIFS('TP-b'!$B$2:$B$60,'TP-b'!$A$2:$A$60,"FP",'TP-b'!$E$2:$E$60,1)&gt;0,_xlfn.MINIFS('TP-b'!$B$2:$B$60,'TP-b'!$A$2:$A$60,"FP",'TP-b'!$E$2:$E$60,1),"")))</f>
        <v/>
      </c>
      <c r="R215" s="10">
        <f>IF(Q215="","",AVERAGEIFS('TP-b'!$C$2:$C$60,'TP-b'!$A$2:$A$60,"FP",'TP-b'!$B$2:$B$60,Q215,'TP-b'!$E$2:$E$60,1))</f>
        <v/>
      </c>
      <c r="S215" s="10">
        <f>IF(Q215="","",AVERAGEIFS('TP-b'!$D$2:$D$60,'TP-b'!$A$2:$A$60,"FP",'TP-b'!$B$2:$B$60,Q215,'TP-b'!$E$2:$E$60,1))</f>
        <v/>
      </c>
      <c r="T215" s="10">
        <f>IF(OR($A215="",NOT(ISNUMBER($E215)),R215=""),"",ROUND($E215-R215+S215,1))</f>
        <v/>
      </c>
      <c r="U215" s="10">
        <f>IF(AND($F215="Yes",ISNUMBER($G215),R215&lt;&gt;""),ROUND($G215-R215+S215,1),"")</f>
        <v/>
      </c>
      <c r="V215" s="10">
        <f>IF(AND($F215="Yes",ISNUMBER($H215),R215&lt;&gt;""),ROUND($H215-R215+S215,1),"")</f>
        <v/>
      </c>
      <c r="W215" s="10">
        <f>IF(AND(ISNUMBER($E215),ISNUMBER(U215),ISNUMBER(V215)),ROUND((V215-MAX(U215,0))*10,1),"")</f>
        <v/>
      </c>
      <c r="X215" s="10">
        <f>IF(T215="","",IF(AND($F215="Yes",ISNUMBER(V215)),V215,T215))</f>
        <v/>
      </c>
      <c r="Y215" s="10">
        <f>IF(T215="","",ROUND(SUMIFS($W$3:$W$252,$A$3:$A$252,"&lt;="&amp;$A215),1))</f>
        <v/>
      </c>
      <c r="Z215" s="10">
        <f>IF(OR(T215="",$A215=""),"",IF(ISNUMBER(IFERROR(INDEX($X$3:$X$252,MATCH($A215-1,$A$3:$A$252,0)),"")),ROUND((INDEX($X$3:$X$252,MATCH($A215-1,$A$3:$A$252,0))-T215)*10,1),""))</f>
        <v/>
      </c>
      <c r="AA215" s="10">
        <f>IF(ISNUMBER(T215),1,0)</f>
        <v/>
      </c>
      <c r="AB215" s="16">
        <f>IF($A215="","",IF(_xlfn.MAXIFS('TP-b'!$B$2:$B$60,'TP-b'!$A$2:$A$60,"3F4D+MD",'TP-b'!$E$2:$E$60,1,'TP-b'!$B$2:$B$60,"&lt;="&amp;$A215)&gt;0,_xlfn.MAXIFS('TP-b'!$B$2:$B$60,'TP-b'!$A$2:$A$60,"3F4D+MD",'TP-b'!$E$2:$E$60,1,'TP-b'!$B$2:$B$60,"&lt;="&amp;$A215),IF(_xlfn.MINIFS('TP-b'!$B$2:$B$60,'TP-b'!$A$2:$A$60,"3F4D+MD",'TP-b'!$E$2:$E$60,1)&gt;0,_xlfn.MINIFS('TP-b'!$B$2:$B$60,'TP-b'!$A$2:$A$60,"3F4D+MD",'TP-b'!$E$2:$E$60,1),"")))</f>
        <v/>
      </c>
      <c r="AC215" s="10">
        <f>IF(AB215="","",AVERAGEIFS('TP-b'!$C$2:$C$60,'TP-b'!$A$2:$A$60,"3F4D+MD",'TP-b'!$B$2:$B$60,AB215,'TP-b'!$E$2:$E$60,1))</f>
        <v/>
      </c>
      <c r="AD215" s="10">
        <f>IF(AB215="","",AVERAGEIFS('TP-b'!$D$2:$D$60,'TP-b'!$A$2:$A$60,"3F4D+MD",'TP-b'!$B$2:$B$60,AB215,'TP-b'!$E$2:$E$60,1))</f>
        <v/>
      </c>
      <c r="AE215" s="10">
        <f>IF(OR($A215="",NOT(ISNUMBER($J215)),AC215=""),"",ROUND($J215-AC215+AD215,1))</f>
        <v/>
      </c>
      <c r="AF215" s="10">
        <f>IF(AND($K215="Yes",ISNUMBER($L215),AC215&lt;&gt;""),ROUND($L215-AC215+AD215,1),"")</f>
        <v/>
      </c>
      <c r="AG215" s="10">
        <f>IF(AND($K215="Yes",ISNUMBER($M215),AC215&lt;&gt;""),ROUND($M215-AC215+AD215,1),"")</f>
        <v/>
      </c>
      <c r="AH215" s="10">
        <f>IF(AND(ISNUMBER($J215),ISNUMBER(AF215),ISNUMBER(AG215)),ROUND((AG215-MAX(AF215,0))*10,1),"")</f>
        <v/>
      </c>
      <c r="AI215" s="10">
        <f>IF(AE215="","",IF(AND($K215="Yes",ISNUMBER(AG215)),AG215,AE215))</f>
        <v/>
      </c>
      <c r="AJ215" s="10">
        <f>IF(AE215="","",ROUND(SUMIFS($AH$3:$AH$252,$A$3:$A$252,"&lt;="&amp;$A215),1))</f>
        <v/>
      </c>
      <c r="AK215" s="10">
        <f>IF(OR(AE215="",$A215=""),"",IF(ISNUMBER(IFERROR(INDEX($AI$3:$AI$252,MATCH($A215-1,$A$3:$A$252,0)),"")),ROUND((INDEX($AI$3:$AI$252,MATCH($A215-1,$A$3:$A$252,0))-AE215)*10,1),""))</f>
        <v/>
      </c>
      <c r="AL215" s="10">
        <f>IF(ISNUMBER(AE215),1,0)</f>
        <v/>
      </c>
      <c r="AM215" s="17">
        <f>IF($A215="","",IF(COUNTIF($A$3:$A$252,$A215)&gt;1,"same date twice; ","")&amp;IF(AND(ISNUMBER($B215),OR($B215&lt;0,$B215&gt;300)),"rain out of range; ","")&amp;IF(AND(ISNUMBER($C215),OR($C215&lt;0,$C215&gt;45)),"temp out of range; ","")&amp;IF(AND(ISNUMBER($D215),OR($D215&lt;0,$D215&gt;100)),"RH out of range; ",""))</f>
        <v/>
      </c>
      <c r="AN215" s="17">
        <f>IF($A215="","",IF(AND(ISNUMBER(T215),OR(T215&lt;-30,T215&gt;20)),"WL out of range; ","")&amp;IF(AND(ISNUMBER($E215),T215=""),"no TP/b; ","")&amp;IF(AND(ISNUMBER(U215),ISNUMBER(V215)),IF(V215&lt;U215,"After&lt;Before; ",""),"")&amp;IF(AND($F215="Yes",ISNUMBER($E215),W215=""),"irrigation readings missing; ","")&amp;IF(ISNUMBER(Z215),IF(AND(ABS(Z215)&gt;50,NOT(N($B215)&gt;0)),"WL jump &gt;5 cm; ",""),""))</f>
        <v/>
      </c>
      <c r="AO215" s="17">
        <f>IF($A215="","",IF(AND(ISNUMBER(AE215),OR(AE215&lt;-30,AE215&gt;20)),"WL out of range; ","")&amp;IF(AND(ISNUMBER($J215),AE215=""),"no TP/b; ","")&amp;IF(AND(ISNUMBER(AF215),ISNUMBER(AG215)),IF(AG215&lt;AF215,"After&lt;Before; ",""),"")&amp;IF(AND($K215="Yes",ISNUMBER($J215),AH215=""),"irrigation readings missing; ","")&amp;IF(ISNUMBER(AK215),IF(AND(ABS(AK215)&gt;50,NOT(N($B215)&gt;0)),"WL jump &gt;5 cm; ",""),"")&amp;IF(AND(ISNUMBER(PitanE),ISNUMBER(AB215),$A215&gt;PitanE+2,AB215&lt;PitanE),"re-measure TP/b after Pitan; ",""))</f>
        <v/>
      </c>
    </row>
    <row r="216">
      <c r="A216" s="14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0">
        <f>IF(OR($A216="",NOT(ISNUMBER(TransDate))),"",$A216-TransDate)</f>
        <v/>
      </c>
      <c r="Q216" s="16">
        <f>IF($A216="","",IF(_xlfn.MAXIFS('TP-b'!$B$2:$B$60,'TP-b'!$A$2:$A$60,"FP",'TP-b'!$E$2:$E$60,1,'TP-b'!$B$2:$B$60,"&lt;="&amp;$A216)&gt;0,_xlfn.MAXIFS('TP-b'!$B$2:$B$60,'TP-b'!$A$2:$A$60,"FP",'TP-b'!$E$2:$E$60,1,'TP-b'!$B$2:$B$60,"&lt;="&amp;$A216),IF(_xlfn.MINIFS('TP-b'!$B$2:$B$60,'TP-b'!$A$2:$A$60,"FP",'TP-b'!$E$2:$E$60,1)&gt;0,_xlfn.MINIFS('TP-b'!$B$2:$B$60,'TP-b'!$A$2:$A$60,"FP",'TP-b'!$E$2:$E$60,1),"")))</f>
        <v/>
      </c>
      <c r="R216" s="10">
        <f>IF(Q216="","",AVERAGEIFS('TP-b'!$C$2:$C$60,'TP-b'!$A$2:$A$60,"FP",'TP-b'!$B$2:$B$60,Q216,'TP-b'!$E$2:$E$60,1))</f>
        <v/>
      </c>
      <c r="S216" s="10">
        <f>IF(Q216="","",AVERAGEIFS('TP-b'!$D$2:$D$60,'TP-b'!$A$2:$A$60,"FP",'TP-b'!$B$2:$B$60,Q216,'TP-b'!$E$2:$E$60,1))</f>
        <v/>
      </c>
      <c r="T216" s="10">
        <f>IF(OR($A216="",NOT(ISNUMBER($E216)),R216=""),"",ROUND($E216-R216+S216,1))</f>
        <v/>
      </c>
      <c r="U216" s="10">
        <f>IF(AND($F216="Yes",ISNUMBER($G216),R216&lt;&gt;""),ROUND($G216-R216+S216,1),"")</f>
        <v/>
      </c>
      <c r="V216" s="10">
        <f>IF(AND($F216="Yes",ISNUMBER($H216),R216&lt;&gt;""),ROUND($H216-R216+S216,1),"")</f>
        <v/>
      </c>
      <c r="W216" s="10">
        <f>IF(AND(ISNUMBER($E216),ISNUMBER(U216),ISNUMBER(V216)),ROUND((V216-MAX(U216,0))*10,1),"")</f>
        <v/>
      </c>
      <c r="X216" s="10">
        <f>IF(T216="","",IF(AND($F216="Yes",ISNUMBER(V216)),V216,T216))</f>
        <v/>
      </c>
      <c r="Y216" s="10">
        <f>IF(T216="","",ROUND(SUMIFS($W$3:$W$252,$A$3:$A$252,"&lt;="&amp;$A216),1))</f>
        <v/>
      </c>
      <c r="Z216" s="10">
        <f>IF(OR(T216="",$A216=""),"",IF(ISNUMBER(IFERROR(INDEX($X$3:$X$252,MATCH($A216-1,$A$3:$A$252,0)),"")),ROUND((INDEX($X$3:$X$252,MATCH($A216-1,$A$3:$A$252,0))-T216)*10,1),""))</f>
        <v/>
      </c>
      <c r="AA216" s="10">
        <f>IF(ISNUMBER(T216),1,0)</f>
        <v/>
      </c>
      <c r="AB216" s="16">
        <f>IF($A216="","",IF(_xlfn.MAXIFS('TP-b'!$B$2:$B$60,'TP-b'!$A$2:$A$60,"3F4D+MD",'TP-b'!$E$2:$E$60,1,'TP-b'!$B$2:$B$60,"&lt;="&amp;$A216)&gt;0,_xlfn.MAXIFS('TP-b'!$B$2:$B$60,'TP-b'!$A$2:$A$60,"3F4D+MD",'TP-b'!$E$2:$E$60,1,'TP-b'!$B$2:$B$60,"&lt;="&amp;$A216),IF(_xlfn.MINIFS('TP-b'!$B$2:$B$60,'TP-b'!$A$2:$A$60,"3F4D+MD",'TP-b'!$E$2:$E$60,1)&gt;0,_xlfn.MINIFS('TP-b'!$B$2:$B$60,'TP-b'!$A$2:$A$60,"3F4D+MD",'TP-b'!$E$2:$E$60,1),"")))</f>
        <v/>
      </c>
      <c r="AC216" s="10">
        <f>IF(AB216="","",AVERAGEIFS('TP-b'!$C$2:$C$60,'TP-b'!$A$2:$A$60,"3F4D+MD",'TP-b'!$B$2:$B$60,AB216,'TP-b'!$E$2:$E$60,1))</f>
        <v/>
      </c>
      <c r="AD216" s="10">
        <f>IF(AB216="","",AVERAGEIFS('TP-b'!$D$2:$D$60,'TP-b'!$A$2:$A$60,"3F4D+MD",'TP-b'!$B$2:$B$60,AB216,'TP-b'!$E$2:$E$60,1))</f>
        <v/>
      </c>
      <c r="AE216" s="10">
        <f>IF(OR($A216="",NOT(ISNUMBER($J216)),AC216=""),"",ROUND($J216-AC216+AD216,1))</f>
        <v/>
      </c>
      <c r="AF216" s="10">
        <f>IF(AND($K216="Yes",ISNUMBER($L216),AC216&lt;&gt;""),ROUND($L216-AC216+AD216,1),"")</f>
        <v/>
      </c>
      <c r="AG216" s="10">
        <f>IF(AND($K216="Yes",ISNUMBER($M216),AC216&lt;&gt;""),ROUND($M216-AC216+AD216,1),"")</f>
        <v/>
      </c>
      <c r="AH216" s="10">
        <f>IF(AND(ISNUMBER($J216),ISNUMBER(AF216),ISNUMBER(AG216)),ROUND((AG216-MAX(AF216,0))*10,1),"")</f>
        <v/>
      </c>
      <c r="AI216" s="10">
        <f>IF(AE216="","",IF(AND($K216="Yes",ISNUMBER(AG216)),AG216,AE216))</f>
        <v/>
      </c>
      <c r="AJ216" s="10">
        <f>IF(AE216="","",ROUND(SUMIFS($AH$3:$AH$252,$A$3:$A$252,"&lt;="&amp;$A216),1))</f>
        <v/>
      </c>
      <c r="AK216" s="10">
        <f>IF(OR(AE216="",$A216=""),"",IF(ISNUMBER(IFERROR(INDEX($AI$3:$AI$252,MATCH($A216-1,$A$3:$A$252,0)),"")),ROUND((INDEX($AI$3:$AI$252,MATCH($A216-1,$A$3:$A$252,0))-AE216)*10,1),""))</f>
        <v/>
      </c>
      <c r="AL216" s="10">
        <f>IF(ISNUMBER(AE216),1,0)</f>
        <v/>
      </c>
      <c r="AM216" s="17">
        <f>IF($A216="","",IF(COUNTIF($A$3:$A$252,$A216)&gt;1,"same date twice; ","")&amp;IF(AND(ISNUMBER($B216),OR($B216&lt;0,$B216&gt;300)),"rain out of range; ","")&amp;IF(AND(ISNUMBER($C216),OR($C216&lt;0,$C216&gt;45)),"temp out of range; ","")&amp;IF(AND(ISNUMBER($D216),OR($D216&lt;0,$D216&gt;100)),"RH out of range; ",""))</f>
        <v/>
      </c>
      <c r="AN216" s="17">
        <f>IF($A216="","",IF(AND(ISNUMBER(T216),OR(T216&lt;-30,T216&gt;20)),"WL out of range; ","")&amp;IF(AND(ISNUMBER($E216),T216=""),"no TP/b; ","")&amp;IF(AND(ISNUMBER(U216),ISNUMBER(V216)),IF(V216&lt;U216,"After&lt;Before; ",""),"")&amp;IF(AND($F216="Yes",ISNUMBER($E216),W216=""),"irrigation readings missing; ","")&amp;IF(ISNUMBER(Z216),IF(AND(ABS(Z216)&gt;50,NOT(N($B216)&gt;0)),"WL jump &gt;5 cm; ",""),""))</f>
        <v/>
      </c>
      <c r="AO216" s="17">
        <f>IF($A216="","",IF(AND(ISNUMBER(AE216),OR(AE216&lt;-30,AE216&gt;20)),"WL out of range; ","")&amp;IF(AND(ISNUMBER($J216),AE216=""),"no TP/b; ","")&amp;IF(AND(ISNUMBER(AF216),ISNUMBER(AG216)),IF(AG216&lt;AF216,"After&lt;Before; ",""),"")&amp;IF(AND($K216="Yes",ISNUMBER($J216),AH216=""),"irrigation readings missing; ","")&amp;IF(ISNUMBER(AK216),IF(AND(ABS(AK216)&gt;50,NOT(N($B216)&gt;0)),"WL jump &gt;5 cm; ",""),"")&amp;IF(AND(ISNUMBER(PitanE),ISNUMBER(AB216),$A216&gt;PitanE+2,AB216&lt;PitanE),"re-measure TP/b after Pitan; ",""))</f>
        <v/>
      </c>
    </row>
    <row r="217">
      <c r="A217" s="14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0">
        <f>IF(OR($A217="",NOT(ISNUMBER(TransDate))),"",$A217-TransDate)</f>
        <v/>
      </c>
      <c r="Q217" s="16">
        <f>IF($A217="","",IF(_xlfn.MAXIFS('TP-b'!$B$2:$B$60,'TP-b'!$A$2:$A$60,"FP",'TP-b'!$E$2:$E$60,1,'TP-b'!$B$2:$B$60,"&lt;="&amp;$A217)&gt;0,_xlfn.MAXIFS('TP-b'!$B$2:$B$60,'TP-b'!$A$2:$A$60,"FP",'TP-b'!$E$2:$E$60,1,'TP-b'!$B$2:$B$60,"&lt;="&amp;$A217),IF(_xlfn.MINIFS('TP-b'!$B$2:$B$60,'TP-b'!$A$2:$A$60,"FP",'TP-b'!$E$2:$E$60,1)&gt;0,_xlfn.MINIFS('TP-b'!$B$2:$B$60,'TP-b'!$A$2:$A$60,"FP",'TP-b'!$E$2:$E$60,1),"")))</f>
        <v/>
      </c>
      <c r="R217" s="10">
        <f>IF(Q217="","",AVERAGEIFS('TP-b'!$C$2:$C$60,'TP-b'!$A$2:$A$60,"FP",'TP-b'!$B$2:$B$60,Q217,'TP-b'!$E$2:$E$60,1))</f>
        <v/>
      </c>
      <c r="S217" s="10">
        <f>IF(Q217="","",AVERAGEIFS('TP-b'!$D$2:$D$60,'TP-b'!$A$2:$A$60,"FP",'TP-b'!$B$2:$B$60,Q217,'TP-b'!$E$2:$E$60,1))</f>
        <v/>
      </c>
      <c r="T217" s="10">
        <f>IF(OR($A217="",NOT(ISNUMBER($E217)),R217=""),"",ROUND($E217-R217+S217,1))</f>
        <v/>
      </c>
      <c r="U217" s="10">
        <f>IF(AND($F217="Yes",ISNUMBER($G217),R217&lt;&gt;""),ROUND($G217-R217+S217,1),"")</f>
        <v/>
      </c>
      <c r="V217" s="10">
        <f>IF(AND($F217="Yes",ISNUMBER($H217),R217&lt;&gt;""),ROUND($H217-R217+S217,1),"")</f>
        <v/>
      </c>
      <c r="W217" s="10">
        <f>IF(AND(ISNUMBER($E217),ISNUMBER(U217),ISNUMBER(V217)),ROUND((V217-MAX(U217,0))*10,1),"")</f>
        <v/>
      </c>
      <c r="X217" s="10">
        <f>IF(T217="","",IF(AND($F217="Yes",ISNUMBER(V217)),V217,T217))</f>
        <v/>
      </c>
      <c r="Y217" s="10">
        <f>IF(T217="","",ROUND(SUMIFS($W$3:$W$252,$A$3:$A$252,"&lt;="&amp;$A217),1))</f>
        <v/>
      </c>
      <c r="Z217" s="10">
        <f>IF(OR(T217="",$A217=""),"",IF(ISNUMBER(IFERROR(INDEX($X$3:$X$252,MATCH($A217-1,$A$3:$A$252,0)),"")),ROUND((INDEX($X$3:$X$252,MATCH($A217-1,$A$3:$A$252,0))-T217)*10,1),""))</f>
        <v/>
      </c>
      <c r="AA217" s="10">
        <f>IF(ISNUMBER(T217),1,0)</f>
        <v/>
      </c>
      <c r="AB217" s="16">
        <f>IF($A217="","",IF(_xlfn.MAXIFS('TP-b'!$B$2:$B$60,'TP-b'!$A$2:$A$60,"3F4D+MD",'TP-b'!$E$2:$E$60,1,'TP-b'!$B$2:$B$60,"&lt;="&amp;$A217)&gt;0,_xlfn.MAXIFS('TP-b'!$B$2:$B$60,'TP-b'!$A$2:$A$60,"3F4D+MD",'TP-b'!$E$2:$E$60,1,'TP-b'!$B$2:$B$60,"&lt;="&amp;$A217),IF(_xlfn.MINIFS('TP-b'!$B$2:$B$60,'TP-b'!$A$2:$A$60,"3F4D+MD",'TP-b'!$E$2:$E$60,1)&gt;0,_xlfn.MINIFS('TP-b'!$B$2:$B$60,'TP-b'!$A$2:$A$60,"3F4D+MD",'TP-b'!$E$2:$E$60,1),"")))</f>
        <v/>
      </c>
      <c r="AC217" s="10">
        <f>IF(AB217="","",AVERAGEIFS('TP-b'!$C$2:$C$60,'TP-b'!$A$2:$A$60,"3F4D+MD",'TP-b'!$B$2:$B$60,AB217,'TP-b'!$E$2:$E$60,1))</f>
        <v/>
      </c>
      <c r="AD217" s="10">
        <f>IF(AB217="","",AVERAGEIFS('TP-b'!$D$2:$D$60,'TP-b'!$A$2:$A$60,"3F4D+MD",'TP-b'!$B$2:$B$60,AB217,'TP-b'!$E$2:$E$60,1))</f>
        <v/>
      </c>
      <c r="AE217" s="10">
        <f>IF(OR($A217="",NOT(ISNUMBER($J217)),AC217=""),"",ROUND($J217-AC217+AD217,1))</f>
        <v/>
      </c>
      <c r="AF217" s="10">
        <f>IF(AND($K217="Yes",ISNUMBER($L217),AC217&lt;&gt;""),ROUND($L217-AC217+AD217,1),"")</f>
        <v/>
      </c>
      <c r="AG217" s="10">
        <f>IF(AND($K217="Yes",ISNUMBER($M217),AC217&lt;&gt;""),ROUND($M217-AC217+AD217,1),"")</f>
        <v/>
      </c>
      <c r="AH217" s="10">
        <f>IF(AND(ISNUMBER($J217),ISNUMBER(AF217),ISNUMBER(AG217)),ROUND((AG217-MAX(AF217,0))*10,1),"")</f>
        <v/>
      </c>
      <c r="AI217" s="10">
        <f>IF(AE217="","",IF(AND($K217="Yes",ISNUMBER(AG217)),AG217,AE217))</f>
        <v/>
      </c>
      <c r="AJ217" s="10">
        <f>IF(AE217="","",ROUND(SUMIFS($AH$3:$AH$252,$A$3:$A$252,"&lt;="&amp;$A217),1))</f>
        <v/>
      </c>
      <c r="AK217" s="10">
        <f>IF(OR(AE217="",$A217=""),"",IF(ISNUMBER(IFERROR(INDEX($AI$3:$AI$252,MATCH($A217-1,$A$3:$A$252,0)),"")),ROUND((INDEX($AI$3:$AI$252,MATCH($A217-1,$A$3:$A$252,0))-AE217)*10,1),""))</f>
        <v/>
      </c>
      <c r="AL217" s="10">
        <f>IF(ISNUMBER(AE217),1,0)</f>
        <v/>
      </c>
      <c r="AM217" s="17">
        <f>IF($A217="","",IF(COUNTIF($A$3:$A$252,$A217)&gt;1,"same date twice; ","")&amp;IF(AND(ISNUMBER($B217),OR($B217&lt;0,$B217&gt;300)),"rain out of range; ","")&amp;IF(AND(ISNUMBER($C217),OR($C217&lt;0,$C217&gt;45)),"temp out of range; ","")&amp;IF(AND(ISNUMBER($D217),OR($D217&lt;0,$D217&gt;100)),"RH out of range; ",""))</f>
        <v/>
      </c>
      <c r="AN217" s="17">
        <f>IF($A217="","",IF(AND(ISNUMBER(T217),OR(T217&lt;-30,T217&gt;20)),"WL out of range; ","")&amp;IF(AND(ISNUMBER($E217),T217=""),"no TP/b; ","")&amp;IF(AND(ISNUMBER(U217),ISNUMBER(V217)),IF(V217&lt;U217,"After&lt;Before; ",""),"")&amp;IF(AND($F217="Yes",ISNUMBER($E217),W217=""),"irrigation readings missing; ","")&amp;IF(ISNUMBER(Z217),IF(AND(ABS(Z217)&gt;50,NOT(N($B217)&gt;0)),"WL jump &gt;5 cm; ",""),""))</f>
        <v/>
      </c>
      <c r="AO217" s="17">
        <f>IF($A217="","",IF(AND(ISNUMBER(AE217),OR(AE217&lt;-30,AE217&gt;20)),"WL out of range; ","")&amp;IF(AND(ISNUMBER($J217),AE217=""),"no TP/b; ","")&amp;IF(AND(ISNUMBER(AF217),ISNUMBER(AG217)),IF(AG217&lt;AF217,"After&lt;Before; ",""),"")&amp;IF(AND($K217="Yes",ISNUMBER($J217),AH217=""),"irrigation readings missing; ","")&amp;IF(ISNUMBER(AK217),IF(AND(ABS(AK217)&gt;50,NOT(N($B217)&gt;0)),"WL jump &gt;5 cm; ",""),"")&amp;IF(AND(ISNUMBER(PitanE),ISNUMBER(AB217),$A217&gt;PitanE+2,AB217&lt;PitanE),"re-measure TP/b after Pitan; ",""))</f>
        <v/>
      </c>
    </row>
    <row r="218">
      <c r="A218" s="14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0">
        <f>IF(OR($A218="",NOT(ISNUMBER(TransDate))),"",$A218-TransDate)</f>
        <v/>
      </c>
      <c r="Q218" s="16">
        <f>IF($A218="","",IF(_xlfn.MAXIFS('TP-b'!$B$2:$B$60,'TP-b'!$A$2:$A$60,"FP",'TP-b'!$E$2:$E$60,1,'TP-b'!$B$2:$B$60,"&lt;="&amp;$A218)&gt;0,_xlfn.MAXIFS('TP-b'!$B$2:$B$60,'TP-b'!$A$2:$A$60,"FP",'TP-b'!$E$2:$E$60,1,'TP-b'!$B$2:$B$60,"&lt;="&amp;$A218),IF(_xlfn.MINIFS('TP-b'!$B$2:$B$60,'TP-b'!$A$2:$A$60,"FP",'TP-b'!$E$2:$E$60,1)&gt;0,_xlfn.MINIFS('TP-b'!$B$2:$B$60,'TP-b'!$A$2:$A$60,"FP",'TP-b'!$E$2:$E$60,1),"")))</f>
        <v/>
      </c>
      <c r="R218" s="10">
        <f>IF(Q218="","",AVERAGEIFS('TP-b'!$C$2:$C$60,'TP-b'!$A$2:$A$60,"FP",'TP-b'!$B$2:$B$60,Q218,'TP-b'!$E$2:$E$60,1))</f>
        <v/>
      </c>
      <c r="S218" s="10">
        <f>IF(Q218="","",AVERAGEIFS('TP-b'!$D$2:$D$60,'TP-b'!$A$2:$A$60,"FP",'TP-b'!$B$2:$B$60,Q218,'TP-b'!$E$2:$E$60,1))</f>
        <v/>
      </c>
      <c r="T218" s="10">
        <f>IF(OR($A218="",NOT(ISNUMBER($E218)),R218=""),"",ROUND($E218-R218+S218,1))</f>
        <v/>
      </c>
      <c r="U218" s="10">
        <f>IF(AND($F218="Yes",ISNUMBER($G218),R218&lt;&gt;""),ROUND($G218-R218+S218,1),"")</f>
        <v/>
      </c>
      <c r="V218" s="10">
        <f>IF(AND($F218="Yes",ISNUMBER($H218),R218&lt;&gt;""),ROUND($H218-R218+S218,1),"")</f>
        <v/>
      </c>
      <c r="W218" s="10">
        <f>IF(AND(ISNUMBER($E218),ISNUMBER(U218),ISNUMBER(V218)),ROUND((V218-MAX(U218,0))*10,1),"")</f>
        <v/>
      </c>
      <c r="X218" s="10">
        <f>IF(T218="","",IF(AND($F218="Yes",ISNUMBER(V218)),V218,T218))</f>
        <v/>
      </c>
      <c r="Y218" s="10">
        <f>IF(T218="","",ROUND(SUMIFS($W$3:$W$252,$A$3:$A$252,"&lt;="&amp;$A218),1))</f>
        <v/>
      </c>
      <c r="Z218" s="10">
        <f>IF(OR(T218="",$A218=""),"",IF(ISNUMBER(IFERROR(INDEX($X$3:$X$252,MATCH($A218-1,$A$3:$A$252,0)),"")),ROUND((INDEX($X$3:$X$252,MATCH($A218-1,$A$3:$A$252,0))-T218)*10,1),""))</f>
        <v/>
      </c>
      <c r="AA218" s="10">
        <f>IF(ISNUMBER(T218),1,0)</f>
        <v/>
      </c>
      <c r="AB218" s="16">
        <f>IF($A218="","",IF(_xlfn.MAXIFS('TP-b'!$B$2:$B$60,'TP-b'!$A$2:$A$60,"3F4D+MD",'TP-b'!$E$2:$E$60,1,'TP-b'!$B$2:$B$60,"&lt;="&amp;$A218)&gt;0,_xlfn.MAXIFS('TP-b'!$B$2:$B$60,'TP-b'!$A$2:$A$60,"3F4D+MD",'TP-b'!$E$2:$E$60,1,'TP-b'!$B$2:$B$60,"&lt;="&amp;$A218),IF(_xlfn.MINIFS('TP-b'!$B$2:$B$60,'TP-b'!$A$2:$A$60,"3F4D+MD",'TP-b'!$E$2:$E$60,1)&gt;0,_xlfn.MINIFS('TP-b'!$B$2:$B$60,'TP-b'!$A$2:$A$60,"3F4D+MD",'TP-b'!$E$2:$E$60,1),"")))</f>
        <v/>
      </c>
      <c r="AC218" s="10">
        <f>IF(AB218="","",AVERAGEIFS('TP-b'!$C$2:$C$60,'TP-b'!$A$2:$A$60,"3F4D+MD",'TP-b'!$B$2:$B$60,AB218,'TP-b'!$E$2:$E$60,1))</f>
        <v/>
      </c>
      <c r="AD218" s="10">
        <f>IF(AB218="","",AVERAGEIFS('TP-b'!$D$2:$D$60,'TP-b'!$A$2:$A$60,"3F4D+MD",'TP-b'!$B$2:$B$60,AB218,'TP-b'!$E$2:$E$60,1))</f>
        <v/>
      </c>
      <c r="AE218" s="10">
        <f>IF(OR($A218="",NOT(ISNUMBER($J218)),AC218=""),"",ROUND($J218-AC218+AD218,1))</f>
        <v/>
      </c>
      <c r="AF218" s="10">
        <f>IF(AND($K218="Yes",ISNUMBER($L218),AC218&lt;&gt;""),ROUND($L218-AC218+AD218,1),"")</f>
        <v/>
      </c>
      <c r="AG218" s="10">
        <f>IF(AND($K218="Yes",ISNUMBER($M218),AC218&lt;&gt;""),ROUND($M218-AC218+AD218,1),"")</f>
        <v/>
      </c>
      <c r="AH218" s="10">
        <f>IF(AND(ISNUMBER($J218),ISNUMBER(AF218),ISNUMBER(AG218)),ROUND((AG218-MAX(AF218,0))*10,1),"")</f>
        <v/>
      </c>
      <c r="AI218" s="10">
        <f>IF(AE218="","",IF(AND($K218="Yes",ISNUMBER(AG218)),AG218,AE218))</f>
        <v/>
      </c>
      <c r="AJ218" s="10">
        <f>IF(AE218="","",ROUND(SUMIFS($AH$3:$AH$252,$A$3:$A$252,"&lt;="&amp;$A218),1))</f>
        <v/>
      </c>
      <c r="AK218" s="10">
        <f>IF(OR(AE218="",$A218=""),"",IF(ISNUMBER(IFERROR(INDEX($AI$3:$AI$252,MATCH($A218-1,$A$3:$A$252,0)),"")),ROUND((INDEX($AI$3:$AI$252,MATCH($A218-1,$A$3:$A$252,0))-AE218)*10,1),""))</f>
        <v/>
      </c>
      <c r="AL218" s="10">
        <f>IF(ISNUMBER(AE218),1,0)</f>
        <v/>
      </c>
      <c r="AM218" s="17">
        <f>IF($A218="","",IF(COUNTIF($A$3:$A$252,$A218)&gt;1,"same date twice; ","")&amp;IF(AND(ISNUMBER($B218),OR($B218&lt;0,$B218&gt;300)),"rain out of range; ","")&amp;IF(AND(ISNUMBER($C218),OR($C218&lt;0,$C218&gt;45)),"temp out of range; ","")&amp;IF(AND(ISNUMBER($D218),OR($D218&lt;0,$D218&gt;100)),"RH out of range; ",""))</f>
        <v/>
      </c>
      <c r="AN218" s="17">
        <f>IF($A218="","",IF(AND(ISNUMBER(T218),OR(T218&lt;-30,T218&gt;20)),"WL out of range; ","")&amp;IF(AND(ISNUMBER($E218),T218=""),"no TP/b; ","")&amp;IF(AND(ISNUMBER(U218),ISNUMBER(V218)),IF(V218&lt;U218,"After&lt;Before; ",""),"")&amp;IF(AND($F218="Yes",ISNUMBER($E218),W218=""),"irrigation readings missing; ","")&amp;IF(ISNUMBER(Z218),IF(AND(ABS(Z218)&gt;50,NOT(N($B218)&gt;0)),"WL jump &gt;5 cm; ",""),""))</f>
        <v/>
      </c>
      <c r="AO218" s="17">
        <f>IF($A218="","",IF(AND(ISNUMBER(AE218),OR(AE218&lt;-30,AE218&gt;20)),"WL out of range; ","")&amp;IF(AND(ISNUMBER($J218),AE218=""),"no TP/b; ","")&amp;IF(AND(ISNUMBER(AF218),ISNUMBER(AG218)),IF(AG218&lt;AF218,"After&lt;Before; ",""),"")&amp;IF(AND($K218="Yes",ISNUMBER($J218),AH218=""),"irrigation readings missing; ","")&amp;IF(ISNUMBER(AK218),IF(AND(ABS(AK218)&gt;50,NOT(N($B218)&gt;0)),"WL jump &gt;5 cm; ",""),"")&amp;IF(AND(ISNUMBER(PitanE),ISNUMBER(AB218),$A218&gt;PitanE+2,AB218&lt;PitanE),"re-measure TP/b after Pitan; ",""))</f>
        <v/>
      </c>
    </row>
    <row r="219">
      <c r="A219" s="14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0">
        <f>IF(OR($A219="",NOT(ISNUMBER(TransDate))),"",$A219-TransDate)</f>
        <v/>
      </c>
      <c r="Q219" s="16">
        <f>IF($A219="","",IF(_xlfn.MAXIFS('TP-b'!$B$2:$B$60,'TP-b'!$A$2:$A$60,"FP",'TP-b'!$E$2:$E$60,1,'TP-b'!$B$2:$B$60,"&lt;="&amp;$A219)&gt;0,_xlfn.MAXIFS('TP-b'!$B$2:$B$60,'TP-b'!$A$2:$A$60,"FP",'TP-b'!$E$2:$E$60,1,'TP-b'!$B$2:$B$60,"&lt;="&amp;$A219),IF(_xlfn.MINIFS('TP-b'!$B$2:$B$60,'TP-b'!$A$2:$A$60,"FP",'TP-b'!$E$2:$E$60,1)&gt;0,_xlfn.MINIFS('TP-b'!$B$2:$B$60,'TP-b'!$A$2:$A$60,"FP",'TP-b'!$E$2:$E$60,1),"")))</f>
        <v/>
      </c>
      <c r="R219" s="10">
        <f>IF(Q219="","",AVERAGEIFS('TP-b'!$C$2:$C$60,'TP-b'!$A$2:$A$60,"FP",'TP-b'!$B$2:$B$60,Q219,'TP-b'!$E$2:$E$60,1))</f>
        <v/>
      </c>
      <c r="S219" s="10">
        <f>IF(Q219="","",AVERAGEIFS('TP-b'!$D$2:$D$60,'TP-b'!$A$2:$A$60,"FP",'TP-b'!$B$2:$B$60,Q219,'TP-b'!$E$2:$E$60,1))</f>
        <v/>
      </c>
      <c r="T219" s="10">
        <f>IF(OR($A219="",NOT(ISNUMBER($E219)),R219=""),"",ROUND($E219-R219+S219,1))</f>
        <v/>
      </c>
      <c r="U219" s="10">
        <f>IF(AND($F219="Yes",ISNUMBER($G219),R219&lt;&gt;""),ROUND($G219-R219+S219,1),"")</f>
        <v/>
      </c>
      <c r="V219" s="10">
        <f>IF(AND($F219="Yes",ISNUMBER($H219),R219&lt;&gt;""),ROUND($H219-R219+S219,1),"")</f>
        <v/>
      </c>
      <c r="W219" s="10">
        <f>IF(AND(ISNUMBER($E219),ISNUMBER(U219),ISNUMBER(V219)),ROUND((V219-MAX(U219,0))*10,1),"")</f>
        <v/>
      </c>
      <c r="X219" s="10">
        <f>IF(T219="","",IF(AND($F219="Yes",ISNUMBER(V219)),V219,T219))</f>
        <v/>
      </c>
      <c r="Y219" s="10">
        <f>IF(T219="","",ROUND(SUMIFS($W$3:$W$252,$A$3:$A$252,"&lt;="&amp;$A219),1))</f>
        <v/>
      </c>
      <c r="Z219" s="10">
        <f>IF(OR(T219="",$A219=""),"",IF(ISNUMBER(IFERROR(INDEX($X$3:$X$252,MATCH($A219-1,$A$3:$A$252,0)),"")),ROUND((INDEX($X$3:$X$252,MATCH($A219-1,$A$3:$A$252,0))-T219)*10,1),""))</f>
        <v/>
      </c>
      <c r="AA219" s="10">
        <f>IF(ISNUMBER(T219),1,0)</f>
        <v/>
      </c>
      <c r="AB219" s="16">
        <f>IF($A219="","",IF(_xlfn.MAXIFS('TP-b'!$B$2:$B$60,'TP-b'!$A$2:$A$60,"3F4D+MD",'TP-b'!$E$2:$E$60,1,'TP-b'!$B$2:$B$60,"&lt;="&amp;$A219)&gt;0,_xlfn.MAXIFS('TP-b'!$B$2:$B$60,'TP-b'!$A$2:$A$60,"3F4D+MD",'TP-b'!$E$2:$E$60,1,'TP-b'!$B$2:$B$60,"&lt;="&amp;$A219),IF(_xlfn.MINIFS('TP-b'!$B$2:$B$60,'TP-b'!$A$2:$A$60,"3F4D+MD",'TP-b'!$E$2:$E$60,1)&gt;0,_xlfn.MINIFS('TP-b'!$B$2:$B$60,'TP-b'!$A$2:$A$60,"3F4D+MD",'TP-b'!$E$2:$E$60,1),"")))</f>
        <v/>
      </c>
      <c r="AC219" s="10">
        <f>IF(AB219="","",AVERAGEIFS('TP-b'!$C$2:$C$60,'TP-b'!$A$2:$A$60,"3F4D+MD",'TP-b'!$B$2:$B$60,AB219,'TP-b'!$E$2:$E$60,1))</f>
        <v/>
      </c>
      <c r="AD219" s="10">
        <f>IF(AB219="","",AVERAGEIFS('TP-b'!$D$2:$D$60,'TP-b'!$A$2:$A$60,"3F4D+MD",'TP-b'!$B$2:$B$60,AB219,'TP-b'!$E$2:$E$60,1))</f>
        <v/>
      </c>
      <c r="AE219" s="10">
        <f>IF(OR($A219="",NOT(ISNUMBER($J219)),AC219=""),"",ROUND($J219-AC219+AD219,1))</f>
        <v/>
      </c>
      <c r="AF219" s="10">
        <f>IF(AND($K219="Yes",ISNUMBER($L219),AC219&lt;&gt;""),ROUND($L219-AC219+AD219,1),"")</f>
        <v/>
      </c>
      <c r="AG219" s="10">
        <f>IF(AND($K219="Yes",ISNUMBER($M219),AC219&lt;&gt;""),ROUND($M219-AC219+AD219,1),"")</f>
        <v/>
      </c>
      <c r="AH219" s="10">
        <f>IF(AND(ISNUMBER($J219),ISNUMBER(AF219),ISNUMBER(AG219)),ROUND((AG219-MAX(AF219,0))*10,1),"")</f>
        <v/>
      </c>
      <c r="AI219" s="10">
        <f>IF(AE219="","",IF(AND($K219="Yes",ISNUMBER(AG219)),AG219,AE219))</f>
        <v/>
      </c>
      <c r="AJ219" s="10">
        <f>IF(AE219="","",ROUND(SUMIFS($AH$3:$AH$252,$A$3:$A$252,"&lt;="&amp;$A219),1))</f>
        <v/>
      </c>
      <c r="AK219" s="10">
        <f>IF(OR(AE219="",$A219=""),"",IF(ISNUMBER(IFERROR(INDEX($AI$3:$AI$252,MATCH($A219-1,$A$3:$A$252,0)),"")),ROUND((INDEX($AI$3:$AI$252,MATCH($A219-1,$A$3:$A$252,0))-AE219)*10,1),""))</f>
        <v/>
      </c>
      <c r="AL219" s="10">
        <f>IF(ISNUMBER(AE219),1,0)</f>
        <v/>
      </c>
      <c r="AM219" s="17">
        <f>IF($A219="","",IF(COUNTIF($A$3:$A$252,$A219)&gt;1,"same date twice; ","")&amp;IF(AND(ISNUMBER($B219),OR($B219&lt;0,$B219&gt;300)),"rain out of range; ","")&amp;IF(AND(ISNUMBER($C219),OR($C219&lt;0,$C219&gt;45)),"temp out of range; ","")&amp;IF(AND(ISNUMBER($D219),OR($D219&lt;0,$D219&gt;100)),"RH out of range; ",""))</f>
        <v/>
      </c>
      <c r="AN219" s="17">
        <f>IF($A219="","",IF(AND(ISNUMBER(T219),OR(T219&lt;-30,T219&gt;20)),"WL out of range; ","")&amp;IF(AND(ISNUMBER($E219),T219=""),"no TP/b; ","")&amp;IF(AND(ISNUMBER(U219),ISNUMBER(V219)),IF(V219&lt;U219,"After&lt;Before; ",""),"")&amp;IF(AND($F219="Yes",ISNUMBER($E219),W219=""),"irrigation readings missing; ","")&amp;IF(ISNUMBER(Z219),IF(AND(ABS(Z219)&gt;50,NOT(N($B219)&gt;0)),"WL jump &gt;5 cm; ",""),""))</f>
        <v/>
      </c>
      <c r="AO219" s="17">
        <f>IF($A219="","",IF(AND(ISNUMBER(AE219),OR(AE219&lt;-30,AE219&gt;20)),"WL out of range; ","")&amp;IF(AND(ISNUMBER($J219),AE219=""),"no TP/b; ","")&amp;IF(AND(ISNUMBER(AF219),ISNUMBER(AG219)),IF(AG219&lt;AF219,"After&lt;Before; ",""),"")&amp;IF(AND($K219="Yes",ISNUMBER($J219),AH219=""),"irrigation readings missing; ","")&amp;IF(ISNUMBER(AK219),IF(AND(ABS(AK219)&gt;50,NOT(N($B219)&gt;0)),"WL jump &gt;5 cm; ",""),"")&amp;IF(AND(ISNUMBER(PitanE),ISNUMBER(AB219),$A219&gt;PitanE+2,AB219&lt;PitanE),"re-measure TP/b after Pitan; ",""))</f>
        <v/>
      </c>
    </row>
    <row r="220">
      <c r="A220" s="14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0">
        <f>IF(OR($A220="",NOT(ISNUMBER(TransDate))),"",$A220-TransDate)</f>
        <v/>
      </c>
      <c r="Q220" s="16">
        <f>IF($A220="","",IF(_xlfn.MAXIFS('TP-b'!$B$2:$B$60,'TP-b'!$A$2:$A$60,"FP",'TP-b'!$E$2:$E$60,1,'TP-b'!$B$2:$B$60,"&lt;="&amp;$A220)&gt;0,_xlfn.MAXIFS('TP-b'!$B$2:$B$60,'TP-b'!$A$2:$A$60,"FP",'TP-b'!$E$2:$E$60,1,'TP-b'!$B$2:$B$60,"&lt;="&amp;$A220),IF(_xlfn.MINIFS('TP-b'!$B$2:$B$60,'TP-b'!$A$2:$A$60,"FP",'TP-b'!$E$2:$E$60,1)&gt;0,_xlfn.MINIFS('TP-b'!$B$2:$B$60,'TP-b'!$A$2:$A$60,"FP",'TP-b'!$E$2:$E$60,1),"")))</f>
        <v/>
      </c>
      <c r="R220" s="10">
        <f>IF(Q220="","",AVERAGEIFS('TP-b'!$C$2:$C$60,'TP-b'!$A$2:$A$60,"FP",'TP-b'!$B$2:$B$60,Q220,'TP-b'!$E$2:$E$60,1))</f>
        <v/>
      </c>
      <c r="S220" s="10">
        <f>IF(Q220="","",AVERAGEIFS('TP-b'!$D$2:$D$60,'TP-b'!$A$2:$A$60,"FP",'TP-b'!$B$2:$B$60,Q220,'TP-b'!$E$2:$E$60,1))</f>
        <v/>
      </c>
      <c r="T220" s="10">
        <f>IF(OR($A220="",NOT(ISNUMBER($E220)),R220=""),"",ROUND($E220-R220+S220,1))</f>
        <v/>
      </c>
      <c r="U220" s="10">
        <f>IF(AND($F220="Yes",ISNUMBER($G220),R220&lt;&gt;""),ROUND($G220-R220+S220,1),"")</f>
        <v/>
      </c>
      <c r="V220" s="10">
        <f>IF(AND($F220="Yes",ISNUMBER($H220),R220&lt;&gt;""),ROUND($H220-R220+S220,1),"")</f>
        <v/>
      </c>
      <c r="W220" s="10">
        <f>IF(AND(ISNUMBER($E220),ISNUMBER(U220),ISNUMBER(V220)),ROUND((V220-MAX(U220,0))*10,1),"")</f>
        <v/>
      </c>
      <c r="X220" s="10">
        <f>IF(T220="","",IF(AND($F220="Yes",ISNUMBER(V220)),V220,T220))</f>
        <v/>
      </c>
      <c r="Y220" s="10">
        <f>IF(T220="","",ROUND(SUMIFS($W$3:$W$252,$A$3:$A$252,"&lt;="&amp;$A220),1))</f>
        <v/>
      </c>
      <c r="Z220" s="10">
        <f>IF(OR(T220="",$A220=""),"",IF(ISNUMBER(IFERROR(INDEX($X$3:$X$252,MATCH($A220-1,$A$3:$A$252,0)),"")),ROUND((INDEX($X$3:$X$252,MATCH($A220-1,$A$3:$A$252,0))-T220)*10,1),""))</f>
        <v/>
      </c>
      <c r="AA220" s="10">
        <f>IF(ISNUMBER(T220),1,0)</f>
        <v/>
      </c>
      <c r="AB220" s="16">
        <f>IF($A220="","",IF(_xlfn.MAXIFS('TP-b'!$B$2:$B$60,'TP-b'!$A$2:$A$60,"3F4D+MD",'TP-b'!$E$2:$E$60,1,'TP-b'!$B$2:$B$60,"&lt;="&amp;$A220)&gt;0,_xlfn.MAXIFS('TP-b'!$B$2:$B$60,'TP-b'!$A$2:$A$60,"3F4D+MD",'TP-b'!$E$2:$E$60,1,'TP-b'!$B$2:$B$60,"&lt;="&amp;$A220),IF(_xlfn.MINIFS('TP-b'!$B$2:$B$60,'TP-b'!$A$2:$A$60,"3F4D+MD",'TP-b'!$E$2:$E$60,1)&gt;0,_xlfn.MINIFS('TP-b'!$B$2:$B$60,'TP-b'!$A$2:$A$60,"3F4D+MD",'TP-b'!$E$2:$E$60,1),"")))</f>
        <v/>
      </c>
      <c r="AC220" s="10">
        <f>IF(AB220="","",AVERAGEIFS('TP-b'!$C$2:$C$60,'TP-b'!$A$2:$A$60,"3F4D+MD",'TP-b'!$B$2:$B$60,AB220,'TP-b'!$E$2:$E$60,1))</f>
        <v/>
      </c>
      <c r="AD220" s="10">
        <f>IF(AB220="","",AVERAGEIFS('TP-b'!$D$2:$D$60,'TP-b'!$A$2:$A$60,"3F4D+MD",'TP-b'!$B$2:$B$60,AB220,'TP-b'!$E$2:$E$60,1))</f>
        <v/>
      </c>
      <c r="AE220" s="10">
        <f>IF(OR($A220="",NOT(ISNUMBER($J220)),AC220=""),"",ROUND($J220-AC220+AD220,1))</f>
        <v/>
      </c>
      <c r="AF220" s="10">
        <f>IF(AND($K220="Yes",ISNUMBER($L220),AC220&lt;&gt;""),ROUND($L220-AC220+AD220,1),"")</f>
        <v/>
      </c>
      <c r="AG220" s="10">
        <f>IF(AND($K220="Yes",ISNUMBER($M220),AC220&lt;&gt;""),ROUND($M220-AC220+AD220,1),"")</f>
        <v/>
      </c>
      <c r="AH220" s="10">
        <f>IF(AND(ISNUMBER($J220),ISNUMBER(AF220),ISNUMBER(AG220)),ROUND((AG220-MAX(AF220,0))*10,1),"")</f>
        <v/>
      </c>
      <c r="AI220" s="10">
        <f>IF(AE220="","",IF(AND($K220="Yes",ISNUMBER(AG220)),AG220,AE220))</f>
        <v/>
      </c>
      <c r="AJ220" s="10">
        <f>IF(AE220="","",ROUND(SUMIFS($AH$3:$AH$252,$A$3:$A$252,"&lt;="&amp;$A220),1))</f>
        <v/>
      </c>
      <c r="AK220" s="10">
        <f>IF(OR(AE220="",$A220=""),"",IF(ISNUMBER(IFERROR(INDEX($AI$3:$AI$252,MATCH($A220-1,$A$3:$A$252,0)),"")),ROUND((INDEX($AI$3:$AI$252,MATCH($A220-1,$A$3:$A$252,0))-AE220)*10,1),""))</f>
        <v/>
      </c>
      <c r="AL220" s="10">
        <f>IF(ISNUMBER(AE220),1,0)</f>
        <v/>
      </c>
      <c r="AM220" s="17">
        <f>IF($A220="","",IF(COUNTIF($A$3:$A$252,$A220)&gt;1,"same date twice; ","")&amp;IF(AND(ISNUMBER($B220),OR($B220&lt;0,$B220&gt;300)),"rain out of range; ","")&amp;IF(AND(ISNUMBER($C220),OR($C220&lt;0,$C220&gt;45)),"temp out of range; ","")&amp;IF(AND(ISNUMBER($D220),OR($D220&lt;0,$D220&gt;100)),"RH out of range; ",""))</f>
        <v/>
      </c>
      <c r="AN220" s="17">
        <f>IF($A220="","",IF(AND(ISNUMBER(T220),OR(T220&lt;-30,T220&gt;20)),"WL out of range; ","")&amp;IF(AND(ISNUMBER($E220),T220=""),"no TP/b; ","")&amp;IF(AND(ISNUMBER(U220),ISNUMBER(V220)),IF(V220&lt;U220,"After&lt;Before; ",""),"")&amp;IF(AND($F220="Yes",ISNUMBER($E220),W220=""),"irrigation readings missing; ","")&amp;IF(ISNUMBER(Z220),IF(AND(ABS(Z220)&gt;50,NOT(N($B220)&gt;0)),"WL jump &gt;5 cm; ",""),""))</f>
        <v/>
      </c>
      <c r="AO220" s="17">
        <f>IF($A220="","",IF(AND(ISNUMBER(AE220),OR(AE220&lt;-30,AE220&gt;20)),"WL out of range; ","")&amp;IF(AND(ISNUMBER($J220),AE220=""),"no TP/b; ","")&amp;IF(AND(ISNUMBER(AF220),ISNUMBER(AG220)),IF(AG220&lt;AF220,"After&lt;Before; ",""),"")&amp;IF(AND($K220="Yes",ISNUMBER($J220),AH220=""),"irrigation readings missing; ","")&amp;IF(ISNUMBER(AK220),IF(AND(ABS(AK220)&gt;50,NOT(N($B220)&gt;0)),"WL jump &gt;5 cm; ",""),"")&amp;IF(AND(ISNUMBER(PitanE),ISNUMBER(AB220),$A220&gt;PitanE+2,AB220&lt;PitanE),"re-measure TP/b after Pitan; ",""))</f>
        <v/>
      </c>
    </row>
    <row r="221">
      <c r="A221" s="14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0">
        <f>IF(OR($A221="",NOT(ISNUMBER(TransDate))),"",$A221-TransDate)</f>
        <v/>
      </c>
      <c r="Q221" s="16">
        <f>IF($A221="","",IF(_xlfn.MAXIFS('TP-b'!$B$2:$B$60,'TP-b'!$A$2:$A$60,"FP",'TP-b'!$E$2:$E$60,1,'TP-b'!$B$2:$B$60,"&lt;="&amp;$A221)&gt;0,_xlfn.MAXIFS('TP-b'!$B$2:$B$60,'TP-b'!$A$2:$A$60,"FP",'TP-b'!$E$2:$E$60,1,'TP-b'!$B$2:$B$60,"&lt;="&amp;$A221),IF(_xlfn.MINIFS('TP-b'!$B$2:$B$60,'TP-b'!$A$2:$A$60,"FP",'TP-b'!$E$2:$E$60,1)&gt;0,_xlfn.MINIFS('TP-b'!$B$2:$B$60,'TP-b'!$A$2:$A$60,"FP",'TP-b'!$E$2:$E$60,1),"")))</f>
        <v/>
      </c>
      <c r="R221" s="10">
        <f>IF(Q221="","",AVERAGEIFS('TP-b'!$C$2:$C$60,'TP-b'!$A$2:$A$60,"FP",'TP-b'!$B$2:$B$60,Q221,'TP-b'!$E$2:$E$60,1))</f>
        <v/>
      </c>
      <c r="S221" s="10">
        <f>IF(Q221="","",AVERAGEIFS('TP-b'!$D$2:$D$60,'TP-b'!$A$2:$A$60,"FP",'TP-b'!$B$2:$B$60,Q221,'TP-b'!$E$2:$E$60,1))</f>
        <v/>
      </c>
      <c r="T221" s="10">
        <f>IF(OR($A221="",NOT(ISNUMBER($E221)),R221=""),"",ROUND($E221-R221+S221,1))</f>
        <v/>
      </c>
      <c r="U221" s="10">
        <f>IF(AND($F221="Yes",ISNUMBER($G221),R221&lt;&gt;""),ROUND($G221-R221+S221,1),"")</f>
        <v/>
      </c>
      <c r="V221" s="10">
        <f>IF(AND($F221="Yes",ISNUMBER($H221),R221&lt;&gt;""),ROUND($H221-R221+S221,1),"")</f>
        <v/>
      </c>
      <c r="W221" s="10">
        <f>IF(AND(ISNUMBER($E221),ISNUMBER(U221),ISNUMBER(V221)),ROUND((V221-MAX(U221,0))*10,1),"")</f>
        <v/>
      </c>
      <c r="X221" s="10">
        <f>IF(T221="","",IF(AND($F221="Yes",ISNUMBER(V221)),V221,T221))</f>
        <v/>
      </c>
      <c r="Y221" s="10">
        <f>IF(T221="","",ROUND(SUMIFS($W$3:$W$252,$A$3:$A$252,"&lt;="&amp;$A221),1))</f>
        <v/>
      </c>
      <c r="Z221" s="10">
        <f>IF(OR(T221="",$A221=""),"",IF(ISNUMBER(IFERROR(INDEX($X$3:$X$252,MATCH($A221-1,$A$3:$A$252,0)),"")),ROUND((INDEX($X$3:$X$252,MATCH($A221-1,$A$3:$A$252,0))-T221)*10,1),""))</f>
        <v/>
      </c>
      <c r="AA221" s="10">
        <f>IF(ISNUMBER(T221),1,0)</f>
        <v/>
      </c>
      <c r="AB221" s="16">
        <f>IF($A221="","",IF(_xlfn.MAXIFS('TP-b'!$B$2:$B$60,'TP-b'!$A$2:$A$60,"3F4D+MD",'TP-b'!$E$2:$E$60,1,'TP-b'!$B$2:$B$60,"&lt;="&amp;$A221)&gt;0,_xlfn.MAXIFS('TP-b'!$B$2:$B$60,'TP-b'!$A$2:$A$60,"3F4D+MD",'TP-b'!$E$2:$E$60,1,'TP-b'!$B$2:$B$60,"&lt;="&amp;$A221),IF(_xlfn.MINIFS('TP-b'!$B$2:$B$60,'TP-b'!$A$2:$A$60,"3F4D+MD",'TP-b'!$E$2:$E$60,1)&gt;0,_xlfn.MINIFS('TP-b'!$B$2:$B$60,'TP-b'!$A$2:$A$60,"3F4D+MD",'TP-b'!$E$2:$E$60,1),"")))</f>
        <v/>
      </c>
      <c r="AC221" s="10">
        <f>IF(AB221="","",AVERAGEIFS('TP-b'!$C$2:$C$60,'TP-b'!$A$2:$A$60,"3F4D+MD",'TP-b'!$B$2:$B$60,AB221,'TP-b'!$E$2:$E$60,1))</f>
        <v/>
      </c>
      <c r="AD221" s="10">
        <f>IF(AB221="","",AVERAGEIFS('TP-b'!$D$2:$D$60,'TP-b'!$A$2:$A$60,"3F4D+MD",'TP-b'!$B$2:$B$60,AB221,'TP-b'!$E$2:$E$60,1))</f>
        <v/>
      </c>
      <c r="AE221" s="10">
        <f>IF(OR($A221="",NOT(ISNUMBER($J221)),AC221=""),"",ROUND($J221-AC221+AD221,1))</f>
        <v/>
      </c>
      <c r="AF221" s="10">
        <f>IF(AND($K221="Yes",ISNUMBER($L221),AC221&lt;&gt;""),ROUND($L221-AC221+AD221,1),"")</f>
        <v/>
      </c>
      <c r="AG221" s="10">
        <f>IF(AND($K221="Yes",ISNUMBER($M221),AC221&lt;&gt;""),ROUND($M221-AC221+AD221,1),"")</f>
        <v/>
      </c>
      <c r="AH221" s="10">
        <f>IF(AND(ISNUMBER($J221),ISNUMBER(AF221),ISNUMBER(AG221)),ROUND((AG221-MAX(AF221,0))*10,1),"")</f>
        <v/>
      </c>
      <c r="AI221" s="10">
        <f>IF(AE221="","",IF(AND($K221="Yes",ISNUMBER(AG221)),AG221,AE221))</f>
        <v/>
      </c>
      <c r="AJ221" s="10">
        <f>IF(AE221="","",ROUND(SUMIFS($AH$3:$AH$252,$A$3:$A$252,"&lt;="&amp;$A221),1))</f>
        <v/>
      </c>
      <c r="AK221" s="10">
        <f>IF(OR(AE221="",$A221=""),"",IF(ISNUMBER(IFERROR(INDEX($AI$3:$AI$252,MATCH($A221-1,$A$3:$A$252,0)),"")),ROUND((INDEX($AI$3:$AI$252,MATCH($A221-1,$A$3:$A$252,0))-AE221)*10,1),""))</f>
        <v/>
      </c>
      <c r="AL221" s="10">
        <f>IF(ISNUMBER(AE221),1,0)</f>
        <v/>
      </c>
      <c r="AM221" s="17">
        <f>IF($A221="","",IF(COUNTIF($A$3:$A$252,$A221)&gt;1,"same date twice; ","")&amp;IF(AND(ISNUMBER($B221),OR($B221&lt;0,$B221&gt;300)),"rain out of range; ","")&amp;IF(AND(ISNUMBER($C221),OR($C221&lt;0,$C221&gt;45)),"temp out of range; ","")&amp;IF(AND(ISNUMBER($D221),OR($D221&lt;0,$D221&gt;100)),"RH out of range; ",""))</f>
        <v/>
      </c>
      <c r="AN221" s="17">
        <f>IF($A221="","",IF(AND(ISNUMBER(T221),OR(T221&lt;-30,T221&gt;20)),"WL out of range; ","")&amp;IF(AND(ISNUMBER($E221),T221=""),"no TP/b; ","")&amp;IF(AND(ISNUMBER(U221),ISNUMBER(V221)),IF(V221&lt;U221,"After&lt;Before; ",""),"")&amp;IF(AND($F221="Yes",ISNUMBER($E221),W221=""),"irrigation readings missing; ","")&amp;IF(ISNUMBER(Z221),IF(AND(ABS(Z221)&gt;50,NOT(N($B221)&gt;0)),"WL jump &gt;5 cm; ",""),""))</f>
        <v/>
      </c>
      <c r="AO221" s="17">
        <f>IF($A221="","",IF(AND(ISNUMBER(AE221),OR(AE221&lt;-30,AE221&gt;20)),"WL out of range; ","")&amp;IF(AND(ISNUMBER($J221),AE221=""),"no TP/b; ","")&amp;IF(AND(ISNUMBER(AF221),ISNUMBER(AG221)),IF(AG221&lt;AF221,"After&lt;Before; ",""),"")&amp;IF(AND($K221="Yes",ISNUMBER($J221),AH221=""),"irrigation readings missing; ","")&amp;IF(ISNUMBER(AK221),IF(AND(ABS(AK221)&gt;50,NOT(N($B221)&gt;0)),"WL jump &gt;5 cm; ",""),"")&amp;IF(AND(ISNUMBER(PitanE),ISNUMBER(AB221),$A221&gt;PitanE+2,AB221&lt;PitanE),"re-measure TP/b after Pitan; ",""))</f>
        <v/>
      </c>
    </row>
    <row r="222">
      <c r="A222" s="14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0">
        <f>IF(OR($A222="",NOT(ISNUMBER(TransDate))),"",$A222-TransDate)</f>
        <v/>
      </c>
      <c r="Q222" s="16">
        <f>IF($A222="","",IF(_xlfn.MAXIFS('TP-b'!$B$2:$B$60,'TP-b'!$A$2:$A$60,"FP",'TP-b'!$E$2:$E$60,1,'TP-b'!$B$2:$B$60,"&lt;="&amp;$A222)&gt;0,_xlfn.MAXIFS('TP-b'!$B$2:$B$60,'TP-b'!$A$2:$A$60,"FP",'TP-b'!$E$2:$E$60,1,'TP-b'!$B$2:$B$60,"&lt;="&amp;$A222),IF(_xlfn.MINIFS('TP-b'!$B$2:$B$60,'TP-b'!$A$2:$A$60,"FP",'TP-b'!$E$2:$E$60,1)&gt;0,_xlfn.MINIFS('TP-b'!$B$2:$B$60,'TP-b'!$A$2:$A$60,"FP",'TP-b'!$E$2:$E$60,1),"")))</f>
        <v/>
      </c>
      <c r="R222" s="10">
        <f>IF(Q222="","",AVERAGEIFS('TP-b'!$C$2:$C$60,'TP-b'!$A$2:$A$60,"FP",'TP-b'!$B$2:$B$60,Q222,'TP-b'!$E$2:$E$60,1))</f>
        <v/>
      </c>
      <c r="S222" s="10">
        <f>IF(Q222="","",AVERAGEIFS('TP-b'!$D$2:$D$60,'TP-b'!$A$2:$A$60,"FP",'TP-b'!$B$2:$B$60,Q222,'TP-b'!$E$2:$E$60,1))</f>
        <v/>
      </c>
      <c r="T222" s="10">
        <f>IF(OR($A222="",NOT(ISNUMBER($E222)),R222=""),"",ROUND($E222-R222+S222,1))</f>
        <v/>
      </c>
      <c r="U222" s="10">
        <f>IF(AND($F222="Yes",ISNUMBER($G222),R222&lt;&gt;""),ROUND($G222-R222+S222,1),"")</f>
        <v/>
      </c>
      <c r="V222" s="10">
        <f>IF(AND($F222="Yes",ISNUMBER($H222),R222&lt;&gt;""),ROUND($H222-R222+S222,1),"")</f>
        <v/>
      </c>
      <c r="W222" s="10">
        <f>IF(AND(ISNUMBER($E222),ISNUMBER(U222),ISNUMBER(V222)),ROUND((V222-MAX(U222,0))*10,1),"")</f>
        <v/>
      </c>
      <c r="X222" s="10">
        <f>IF(T222="","",IF(AND($F222="Yes",ISNUMBER(V222)),V222,T222))</f>
        <v/>
      </c>
      <c r="Y222" s="10">
        <f>IF(T222="","",ROUND(SUMIFS($W$3:$W$252,$A$3:$A$252,"&lt;="&amp;$A222),1))</f>
        <v/>
      </c>
      <c r="Z222" s="10">
        <f>IF(OR(T222="",$A222=""),"",IF(ISNUMBER(IFERROR(INDEX($X$3:$X$252,MATCH($A222-1,$A$3:$A$252,0)),"")),ROUND((INDEX($X$3:$X$252,MATCH($A222-1,$A$3:$A$252,0))-T222)*10,1),""))</f>
        <v/>
      </c>
      <c r="AA222" s="10">
        <f>IF(ISNUMBER(T222),1,0)</f>
        <v/>
      </c>
      <c r="AB222" s="16">
        <f>IF($A222="","",IF(_xlfn.MAXIFS('TP-b'!$B$2:$B$60,'TP-b'!$A$2:$A$60,"3F4D+MD",'TP-b'!$E$2:$E$60,1,'TP-b'!$B$2:$B$60,"&lt;="&amp;$A222)&gt;0,_xlfn.MAXIFS('TP-b'!$B$2:$B$60,'TP-b'!$A$2:$A$60,"3F4D+MD",'TP-b'!$E$2:$E$60,1,'TP-b'!$B$2:$B$60,"&lt;="&amp;$A222),IF(_xlfn.MINIFS('TP-b'!$B$2:$B$60,'TP-b'!$A$2:$A$60,"3F4D+MD",'TP-b'!$E$2:$E$60,1)&gt;0,_xlfn.MINIFS('TP-b'!$B$2:$B$60,'TP-b'!$A$2:$A$60,"3F4D+MD",'TP-b'!$E$2:$E$60,1),"")))</f>
        <v/>
      </c>
      <c r="AC222" s="10">
        <f>IF(AB222="","",AVERAGEIFS('TP-b'!$C$2:$C$60,'TP-b'!$A$2:$A$60,"3F4D+MD",'TP-b'!$B$2:$B$60,AB222,'TP-b'!$E$2:$E$60,1))</f>
        <v/>
      </c>
      <c r="AD222" s="10">
        <f>IF(AB222="","",AVERAGEIFS('TP-b'!$D$2:$D$60,'TP-b'!$A$2:$A$60,"3F4D+MD",'TP-b'!$B$2:$B$60,AB222,'TP-b'!$E$2:$E$60,1))</f>
        <v/>
      </c>
      <c r="AE222" s="10">
        <f>IF(OR($A222="",NOT(ISNUMBER($J222)),AC222=""),"",ROUND($J222-AC222+AD222,1))</f>
        <v/>
      </c>
      <c r="AF222" s="10">
        <f>IF(AND($K222="Yes",ISNUMBER($L222),AC222&lt;&gt;""),ROUND($L222-AC222+AD222,1),"")</f>
        <v/>
      </c>
      <c r="AG222" s="10">
        <f>IF(AND($K222="Yes",ISNUMBER($M222),AC222&lt;&gt;""),ROUND($M222-AC222+AD222,1),"")</f>
        <v/>
      </c>
      <c r="AH222" s="10">
        <f>IF(AND(ISNUMBER($J222),ISNUMBER(AF222),ISNUMBER(AG222)),ROUND((AG222-MAX(AF222,0))*10,1),"")</f>
        <v/>
      </c>
      <c r="AI222" s="10">
        <f>IF(AE222="","",IF(AND($K222="Yes",ISNUMBER(AG222)),AG222,AE222))</f>
        <v/>
      </c>
      <c r="AJ222" s="10">
        <f>IF(AE222="","",ROUND(SUMIFS($AH$3:$AH$252,$A$3:$A$252,"&lt;="&amp;$A222),1))</f>
        <v/>
      </c>
      <c r="AK222" s="10">
        <f>IF(OR(AE222="",$A222=""),"",IF(ISNUMBER(IFERROR(INDEX($AI$3:$AI$252,MATCH($A222-1,$A$3:$A$252,0)),"")),ROUND((INDEX($AI$3:$AI$252,MATCH($A222-1,$A$3:$A$252,0))-AE222)*10,1),""))</f>
        <v/>
      </c>
      <c r="AL222" s="10">
        <f>IF(ISNUMBER(AE222),1,0)</f>
        <v/>
      </c>
      <c r="AM222" s="17">
        <f>IF($A222="","",IF(COUNTIF($A$3:$A$252,$A222)&gt;1,"same date twice; ","")&amp;IF(AND(ISNUMBER($B222),OR($B222&lt;0,$B222&gt;300)),"rain out of range; ","")&amp;IF(AND(ISNUMBER($C222),OR($C222&lt;0,$C222&gt;45)),"temp out of range; ","")&amp;IF(AND(ISNUMBER($D222),OR($D222&lt;0,$D222&gt;100)),"RH out of range; ",""))</f>
        <v/>
      </c>
      <c r="AN222" s="17">
        <f>IF($A222="","",IF(AND(ISNUMBER(T222),OR(T222&lt;-30,T222&gt;20)),"WL out of range; ","")&amp;IF(AND(ISNUMBER($E222),T222=""),"no TP/b; ","")&amp;IF(AND(ISNUMBER(U222),ISNUMBER(V222)),IF(V222&lt;U222,"After&lt;Before; ",""),"")&amp;IF(AND($F222="Yes",ISNUMBER($E222),W222=""),"irrigation readings missing; ","")&amp;IF(ISNUMBER(Z222),IF(AND(ABS(Z222)&gt;50,NOT(N($B222)&gt;0)),"WL jump &gt;5 cm; ",""),""))</f>
        <v/>
      </c>
      <c r="AO222" s="17">
        <f>IF($A222="","",IF(AND(ISNUMBER(AE222),OR(AE222&lt;-30,AE222&gt;20)),"WL out of range; ","")&amp;IF(AND(ISNUMBER($J222),AE222=""),"no TP/b; ","")&amp;IF(AND(ISNUMBER(AF222),ISNUMBER(AG222)),IF(AG222&lt;AF222,"After&lt;Before; ",""),"")&amp;IF(AND($K222="Yes",ISNUMBER($J222),AH222=""),"irrigation readings missing; ","")&amp;IF(ISNUMBER(AK222),IF(AND(ABS(AK222)&gt;50,NOT(N($B222)&gt;0)),"WL jump &gt;5 cm; ",""),"")&amp;IF(AND(ISNUMBER(PitanE),ISNUMBER(AB222),$A222&gt;PitanE+2,AB222&lt;PitanE),"re-measure TP/b after Pitan; ",""))</f>
        <v/>
      </c>
    </row>
    <row r="223">
      <c r="A223" s="14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0">
        <f>IF(OR($A223="",NOT(ISNUMBER(TransDate))),"",$A223-TransDate)</f>
        <v/>
      </c>
      <c r="Q223" s="16">
        <f>IF($A223="","",IF(_xlfn.MAXIFS('TP-b'!$B$2:$B$60,'TP-b'!$A$2:$A$60,"FP",'TP-b'!$E$2:$E$60,1,'TP-b'!$B$2:$B$60,"&lt;="&amp;$A223)&gt;0,_xlfn.MAXIFS('TP-b'!$B$2:$B$60,'TP-b'!$A$2:$A$60,"FP",'TP-b'!$E$2:$E$60,1,'TP-b'!$B$2:$B$60,"&lt;="&amp;$A223),IF(_xlfn.MINIFS('TP-b'!$B$2:$B$60,'TP-b'!$A$2:$A$60,"FP",'TP-b'!$E$2:$E$60,1)&gt;0,_xlfn.MINIFS('TP-b'!$B$2:$B$60,'TP-b'!$A$2:$A$60,"FP",'TP-b'!$E$2:$E$60,1),"")))</f>
        <v/>
      </c>
      <c r="R223" s="10">
        <f>IF(Q223="","",AVERAGEIFS('TP-b'!$C$2:$C$60,'TP-b'!$A$2:$A$60,"FP",'TP-b'!$B$2:$B$60,Q223,'TP-b'!$E$2:$E$60,1))</f>
        <v/>
      </c>
      <c r="S223" s="10">
        <f>IF(Q223="","",AVERAGEIFS('TP-b'!$D$2:$D$60,'TP-b'!$A$2:$A$60,"FP",'TP-b'!$B$2:$B$60,Q223,'TP-b'!$E$2:$E$60,1))</f>
        <v/>
      </c>
      <c r="T223" s="10">
        <f>IF(OR($A223="",NOT(ISNUMBER($E223)),R223=""),"",ROUND($E223-R223+S223,1))</f>
        <v/>
      </c>
      <c r="U223" s="10">
        <f>IF(AND($F223="Yes",ISNUMBER($G223),R223&lt;&gt;""),ROUND($G223-R223+S223,1),"")</f>
        <v/>
      </c>
      <c r="V223" s="10">
        <f>IF(AND($F223="Yes",ISNUMBER($H223),R223&lt;&gt;""),ROUND($H223-R223+S223,1),"")</f>
        <v/>
      </c>
      <c r="W223" s="10">
        <f>IF(AND(ISNUMBER($E223),ISNUMBER(U223),ISNUMBER(V223)),ROUND((V223-MAX(U223,0))*10,1),"")</f>
        <v/>
      </c>
      <c r="X223" s="10">
        <f>IF(T223="","",IF(AND($F223="Yes",ISNUMBER(V223)),V223,T223))</f>
        <v/>
      </c>
      <c r="Y223" s="10">
        <f>IF(T223="","",ROUND(SUMIFS($W$3:$W$252,$A$3:$A$252,"&lt;="&amp;$A223),1))</f>
        <v/>
      </c>
      <c r="Z223" s="10">
        <f>IF(OR(T223="",$A223=""),"",IF(ISNUMBER(IFERROR(INDEX($X$3:$X$252,MATCH($A223-1,$A$3:$A$252,0)),"")),ROUND((INDEX($X$3:$X$252,MATCH($A223-1,$A$3:$A$252,0))-T223)*10,1),""))</f>
        <v/>
      </c>
      <c r="AA223" s="10">
        <f>IF(ISNUMBER(T223),1,0)</f>
        <v/>
      </c>
      <c r="AB223" s="16">
        <f>IF($A223="","",IF(_xlfn.MAXIFS('TP-b'!$B$2:$B$60,'TP-b'!$A$2:$A$60,"3F4D+MD",'TP-b'!$E$2:$E$60,1,'TP-b'!$B$2:$B$60,"&lt;="&amp;$A223)&gt;0,_xlfn.MAXIFS('TP-b'!$B$2:$B$60,'TP-b'!$A$2:$A$60,"3F4D+MD",'TP-b'!$E$2:$E$60,1,'TP-b'!$B$2:$B$60,"&lt;="&amp;$A223),IF(_xlfn.MINIFS('TP-b'!$B$2:$B$60,'TP-b'!$A$2:$A$60,"3F4D+MD",'TP-b'!$E$2:$E$60,1)&gt;0,_xlfn.MINIFS('TP-b'!$B$2:$B$60,'TP-b'!$A$2:$A$60,"3F4D+MD",'TP-b'!$E$2:$E$60,1),"")))</f>
        <v/>
      </c>
      <c r="AC223" s="10">
        <f>IF(AB223="","",AVERAGEIFS('TP-b'!$C$2:$C$60,'TP-b'!$A$2:$A$60,"3F4D+MD",'TP-b'!$B$2:$B$60,AB223,'TP-b'!$E$2:$E$60,1))</f>
        <v/>
      </c>
      <c r="AD223" s="10">
        <f>IF(AB223="","",AVERAGEIFS('TP-b'!$D$2:$D$60,'TP-b'!$A$2:$A$60,"3F4D+MD",'TP-b'!$B$2:$B$60,AB223,'TP-b'!$E$2:$E$60,1))</f>
        <v/>
      </c>
      <c r="AE223" s="10">
        <f>IF(OR($A223="",NOT(ISNUMBER($J223)),AC223=""),"",ROUND($J223-AC223+AD223,1))</f>
        <v/>
      </c>
      <c r="AF223" s="10">
        <f>IF(AND($K223="Yes",ISNUMBER($L223),AC223&lt;&gt;""),ROUND($L223-AC223+AD223,1),"")</f>
        <v/>
      </c>
      <c r="AG223" s="10">
        <f>IF(AND($K223="Yes",ISNUMBER($M223),AC223&lt;&gt;""),ROUND($M223-AC223+AD223,1),"")</f>
        <v/>
      </c>
      <c r="AH223" s="10">
        <f>IF(AND(ISNUMBER($J223),ISNUMBER(AF223),ISNUMBER(AG223)),ROUND((AG223-MAX(AF223,0))*10,1),"")</f>
        <v/>
      </c>
      <c r="AI223" s="10">
        <f>IF(AE223="","",IF(AND($K223="Yes",ISNUMBER(AG223)),AG223,AE223))</f>
        <v/>
      </c>
      <c r="AJ223" s="10">
        <f>IF(AE223="","",ROUND(SUMIFS($AH$3:$AH$252,$A$3:$A$252,"&lt;="&amp;$A223),1))</f>
        <v/>
      </c>
      <c r="AK223" s="10">
        <f>IF(OR(AE223="",$A223=""),"",IF(ISNUMBER(IFERROR(INDEX($AI$3:$AI$252,MATCH($A223-1,$A$3:$A$252,0)),"")),ROUND((INDEX($AI$3:$AI$252,MATCH($A223-1,$A$3:$A$252,0))-AE223)*10,1),""))</f>
        <v/>
      </c>
      <c r="AL223" s="10">
        <f>IF(ISNUMBER(AE223),1,0)</f>
        <v/>
      </c>
      <c r="AM223" s="17">
        <f>IF($A223="","",IF(COUNTIF($A$3:$A$252,$A223)&gt;1,"same date twice; ","")&amp;IF(AND(ISNUMBER($B223),OR($B223&lt;0,$B223&gt;300)),"rain out of range; ","")&amp;IF(AND(ISNUMBER($C223),OR($C223&lt;0,$C223&gt;45)),"temp out of range; ","")&amp;IF(AND(ISNUMBER($D223),OR($D223&lt;0,$D223&gt;100)),"RH out of range; ",""))</f>
        <v/>
      </c>
      <c r="AN223" s="17">
        <f>IF($A223="","",IF(AND(ISNUMBER(T223),OR(T223&lt;-30,T223&gt;20)),"WL out of range; ","")&amp;IF(AND(ISNUMBER($E223),T223=""),"no TP/b; ","")&amp;IF(AND(ISNUMBER(U223),ISNUMBER(V223)),IF(V223&lt;U223,"After&lt;Before; ",""),"")&amp;IF(AND($F223="Yes",ISNUMBER($E223),W223=""),"irrigation readings missing; ","")&amp;IF(ISNUMBER(Z223),IF(AND(ABS(Z223)&gt;50,NOT(N($B223)&gt;0)),"WL jump &gt;5 cm; ",""),""))</f>
        <v/>
      </c>
      <c r="AO223" s="17">
        <f>IF($A223="","",IF(AND(ISNUMBER(AE223),OR(AE223&lt;-30,AE223&gt;20)),"WL out of range; ","")&amp;IF(AND(ISNUMBER($J223),AE223=""),"no TP/b; ","")&amp;IF(AND(ISNUMBER(AF223),ISNUMBER(AG223)),IF(AG223&lt;AF223,"After&lt;Before; ",""),"")&amp;IF(AND($K223="Yes",ISNUMBER($J223),AH223=""),"irrigation readings missing; ","")&amp;IF(ISNUMBER(AK223),IF(AND(ABS(AK223)&gt;50,NOT(N($B223)&gt;0)),"WL jump &gt;5 cm; ",""),"")&amp;IF(AND(ISNUMBER(PitanE),ISNUMBER(AB223),$A223&gt;PitanE+2,AB223&lt;PitanE),"re-measure TP/b after Pitan; ",""))</f>
        <v/>
      </c>
    </row>
    <row r="224">
      <c r="A224" s="14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0">
        <f>IF(OR($A224="",NOT(ISNUMBER(TransDate))),"",$A224-TransDate)</f>
        <v/>
      </c>
      <c r="Q224" s="16">
        <f>IF($A224="","",IF(_xlfn.MAXIFS('TP-b'!$B$2:$B$60,'TP-b'!$A$2:$A$60,"FP",'TP-b'!$E$2:$E$60,1,'TP-b'!$B$2:$B$60,"&lt;="&amp;$A224)&gt;0,_xlfn.MAXIFS('TP-b'!$B$2:$B$60,'TP-b'!$A$2:$A$60,"FP",'TP-b'!$E$2:$E$60,1,'TP-b'!$B$2:$B$60,"&lt;="&amp;$A224),IF(_xlfn.MINIFS('TP-b'!$B$2:$B$60,'TP-b'!$A$2:$A$60,"FP",'TP-b'!$E$2:$E$60,1)&gt;0,_xlfn.MINIFS('TP-b'!$B$2:$B$60,'TP-b'!$A$2:$A$60,"FP",'TP-b'!$E$2:$E$60,1),"")))</f>
        <v/>
      </c>
      <c r="R224" s="10">
        <f>IF(Q224="","",AVERAGEIFS('TP-b'!$C$2:$C$60,'TP-b'!$A$2:$A$60,"FP",'TP-b'!$B$2:$B$60,Q224,'TP-b'!$E$2:$E$60,1))</f>
        <v/>
      </c>
      <c r="S224" s="10">
        <f>IF(Q224="","",AVERAGEIFS('TP-b'!$D$2:$D$60,'TP-b'!$A$2:$A$60,"FP",'TP-b'!$B$2:$B$60,Q224,'TP-b'!$E$2:$E$60,1))</f>
        <v/>
      </c>
      <c r="T224" s="10">
        <f>IF(OR($A224="",NOT(ISNUMBER($E224)),R224=""),"",ROUND($E224-R224+S224,1))</f>
        <v/>
      </c>
      <c r="U224" s="10">
        <f>IF(AND($F224="Yes",ISNUMBER($G224),R224&lt;&gt;""),ROUND($G224-R224+S224,1),"")</f>
        <v/>
      </c>
      <c r="V224" s="10">
        <f>IF(AND($F224="Yes",ISNUMBER($H224),R224&lt;&gt;""),ROUND($H224-R224+S224,1),"")</f>
        <v/>
      </c>
      <c r="W224" s="10">
        <f>IF(AND(ISNUMBER($E224),ISNUMBER(U224),ISNUMBER(V224)),ROUND((V224-MAX(U224,0))*10,1),"")</f>
        <v/>
      </c>
      <c r="X224" s="10">
        <f>IF(T224="","",IF(AND($F224="Yes",ISNUMBER(V224)),V224,T224))</f>
        <v/>
      </c>
      <c r="Y224" s="10">
        <f>IF(T224="","",ROUND(SUMIFS($W$3:$W$252,$A$3:$A$252,"&lt;="&amp;$A224),1))</f>
        <v/>
      </c>
      <c r="Z224" s="10">
        <f>IF(OR(T224="",$A224=""),"",IF(ISNUMBER(IFERROR(INDEX($X$3:$X$252,MATCH($A224-1,$A$3:$A$252,0)),"")),ROUND((INDEX($X$3:$X$252,MATCH($A224-1,$A$3:$A$252,0))-T224)*10,1),""))</f>
        <v/>
      </c>
      <c r="AA224" s="10">
        <f>IF(ISNUMBER(T224),1,0)</f>
        <v/>
      </c>
      <c r="AB224" s="16">
        <f>IF($A224="","",IF(_xlfn.MAXIFS('TP-b'!$B$2:$B$60,'TP-b'!$A$2:$A$60,"3F4D+MD",'TP-b'!$E$2:$E$60,1,'TP-b'!$B$2:$B$60,"&lt;="&amp;$A224)&gt;0,_xlfn.MAXIFS('TP-b'!$B$2:$B$60,'TP-b'!$A$2:$A$60,"3F4D+MD",'TP-b'!$E$2:$E$60,1,'TP-b'!$B$2:$B$60,"&lt;="&amp;$A224),IF(_xlfn.MINIFS('TP-b'!$B$2:$B$60,'TP-b'!$A$2:$A$60,"3F4D+MD",'TP-b'!$E$2:$E$60,1)&gt;0,_xlfn.MINIFS('TP-b'!$B$2:$B$60,'TP-b'!$A$2:$A$60,"3F4D+MD",'TP-b'!$E$2:$E$60,1),"")))</f>
        <v/>
      </c>
      <c r="AC224" s="10">
        <f>IF(AB224="","",AVERAGEIFS('TP-b'!$C$2:$C$60,'TP-b'!$A$2:$A$60,"3F4D+MD",'TP-b'!$B$2:$B$60,AB224,'TP-b'!$E$2:$E$60,1))</f>
        <v/>
      </c>
      <c r="AD224" s="10">
        <f>IF(AB224="","",AVERAGEIFS('TP-b'!$D$2:$D$60,'TP-b'!$A$2:$A$60,"3F4D+MD",'TP-b'!$B$2:$B$60,AB224,'TP-b'!$E$2:$E$60,1))</f>
        <v/>
      </c>
      <c r="AE224" s="10">
        <f>IF(OR($A224="",NOT(ISNUMBER($J224)),AC224=""),"",ROUND($J224-AC224+AD224,1))</f>
        <v/>
      </c>
      <c r="AF224" s="10">
        <f>IF(AND($K224="Yes",ISNUMBER($L224),AC224&lt;&gt;""),ROUND($L224-AC224+AD224,1),"")</f>
        <v/>
      </c>
      <c r="AG224" s="10">
        <f>IF(AND($K224="Yes",ISNUMBER($M224),AC224&lt;&gt;""),ROUND($M224-AC224+AD224,1),"")</f>
        <v/>
      </c>
      <c r="AH224" s="10">
        <f>IF(AND(ISNUMBER($J224),ISNUMBER(AF224),ISNUMBER(AG224)),ROUND((AG224-MAX(AF224,0))*10,1),"")</f>
        <v/>
      </c>
      <c r="AI224" s="10">
        <f>IF(AE224="","",IF(AND($K224="Yes",ISNUMBER(AG224)),AG224,AE224))</f>
        <v/>
      </c>
      <c r="AJ224" s="10">
        <f>IF(AE224="","",ROUND(SUMIFS($AH$3:$AH$252,$A$3:$A$252,"&lt;="&amp;$A224),1))</f>
        <v/>
      </c>
      <c r="AK224" s="10">
        <f>IF(OR(AE224="",$A224=""),"",IF(ISNUMBER(IFERROR(INDEX($AI$3:$AI$252,MATCH($A224-1,$A$3:$A$252,0)),"")),ROUND((INDEX($AI$3:$AI$252,MATCH($A224-1,$A$3:$A$252,0))-AE224)*10,1),""))</f>
        <v/>
      </c>
      <c r="AL224" s="10">
        <f>IF(ISNUMBER(AE224),1,0)</f>
        <v/>
      </c>
      <c r="AM224" s="17">
        <f>IF($A224="","",IF(COUNTIF($A$3:$A$252,$A224)&gt;1,"same date twice; ","")&amp;IF(AND(ISNUMBER($B224),OR($B224&lt;0,$B224&gt;300)),"rain out of range; ","")&amp;IF(AND(ISNUMBER($C224),OR($C224&lt;0,$C224&gt;45)),"temp out of range; ","")&amp;IF(AND(ISNUMBER($D224),OR($D224&lt;0,$D224&gt;100)),"RH out of range; ",""))</f>
        <v/>
      </c>
      <c r="AN224" s="17">
        <f>IF($A224="","",IF(AND(ISNUMBER(T224),OR(T224&lt;-30,T224&gt;20)),"WL out of range; ","")&amp;IF(AND(ISNUMBER($E224),T224=""),"no TP/b; ","")&amp;IF(AND(ISNUMBER(U224),ISNUMBER(V224)),IF(V224&lt;U224,"After&lt;Before; ",""),"")&amp;IF(AND($F224="Yes",ISNUMBER($E224),W224=""),"irrigation readings missing; ","")&amp;IF(ISNUMBER(Z224),IF(AND(ABS(Z224)&gt;50,NOT(N($B224)&gt;0)),"WL jump &gt;5 cm; ",""),""))</f>
        <v/>
      </c>
      <c r="AO224" s="17">
        <f>IF($A224="","",IF(AND(ISNUMBER(AE224),OR(AE224&lt;-30,AE224&gt;20)),"WL out of range; ","")&amp;IF(AND(ISNUMBER($J224),AE224=""),"no TP/b; ","")&amp;IF(AND(ISNUMBER(AF224),ISNUMBER(AG224)),IF(AG224&lt;AF224,"After&lt;Before; ",""),"")&amp;IF(AND($K224="Yes",ISNUMBER($J224),AH224=""),"irrigation readings missing; ","")&amp;IF(ISNUMBER(AK224),IF(AND(ABS(AK224)&gt;50,NOT(N($B224)&gt;0)),"WL jump &gt;5 cm; ",""),"")&amp;IF(AND(ISNUMBER(PitanE),ISNUMBER(AB224),$A224&gt;PitanE+2,AB224&lt;PitanE),"re-measure TP/b after Pitan; ",""))</f>
        <v/>
      </c>
    </row>
    <row r="225">
      <c r="A225" s="14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0">
        <f>IF(OR($A225="",NOT(ISNUMBER(TransDate))),"",$A225-TransDate)</f>
        <v/>
      </c>
      <c r="Q225" s="16">
        <f>IF($A225="","",IF(_xlfn.MAXIFS('TP-b'!$B$2:$B$60,'TP-b'!$A$2:$A$60,"FP",'TP-b'!$E$2:$E$60,1,'TP-b'!$B$2:$B$60,"&lt;="&amp;$A225)&gt;0,_xlfn.MAXIFS('TP-b'!$B$2:$B$60,'TP-b'!$A$2:$A$60,"FP",'TP-b'!$E$2:$E$60,1,'TP-b'!$B$2:$B$60,"&lt;="&amp;$A225),IF(_xlfn.MINIFS('TP-b'!$B$2:$B$60,'TP-b'!$A$2:$A$60,"FP",'TP-b'!$E$2:$E$60,1)&gt;0,_xlfn.MINIFS('TP-b'!$B$2:$B$60,'TP-b'!$A$2:$A$60,"FP",'TP-b'!$E$2:$E$60,1),"")))</f>
        <v/>
      </c>
      <c r="R225" s="10">
        <f>IF(Q225="","",AVERAGEIFS('TP-b'!$C$2:$C$60,'TP-b'!$A$2:$A$60,"FP",'TP-b'!$B$2:$B$60,Q225,'TP-b'!$E$2:$E$60,1))</f>
        <v/>
      </c>
      <c r="S225" s="10">
        <f>IF(Q225="","",AVERAGEIFS('TP-b'!$D$2:$D$60,'TP-b'!$A$2:$A$60,"FP",'TP-b'!$B$2:$B$60,Q225,'TP-b'!$E$2:$E$60,1))</f>
        <v/>
      </c>
      <c r="T225" s="10">
        <f>IF(OR($A225="",NOT(ISNUMBER($E225)),R225=""),"",ROUND($E225-R225+S225,1))</f>
        <v/>
      </c>
      <c r="U225" s="10">
        <f>IF(AND($F225="Yes",ISNUMBER($G225),R225&lt;&gt;""),ROUND($G225-R225+S225,1),"")</f>
        <v/>
      </c>
      <c r="V225" s="10">
        <f>IF(AND($F225="Yes",ISNUMBER($H225),R225&lt;&gt;""),ROUND($H225-R225+S225,1),"")</f>
        <v/>
      </c>
      <c r="W225" s="10">
        <f>IF(AND(ISNUMBER($E225),ISNUMBER(U225),ISNUMBER(V225)),ROUND((V225-MAX(U225,0))*10,1),"")</f>
        <v/>
      </c>
      <c r="X225" s="10">
        <f>IF(T225="","",IF(AND($F225="Yes",ISNUMBER(V225)),V225,T225))</f>
        <v/>
      </c>
      <c r="Y225" s="10">
        <f>IF(T225="","",ROUND(SUMIFS($W$3:$W$252,$A$3:$A$252,"&lt;="&amp;$A225),1))</f>
        <v/>
      </c>
      <c r="Z225" s="10">
        <f>IF(OR(T225="",$A225=""),"",IF(ISNUMBER(IFERROR(INDEX($X$3:$X$252,MATCH($A225-1,$A$3:$A$252,0)),"")),ROUND((INDEX($X$3:$X$252,MATCH($A225-1,$A$3:$A$252,0))-T225)*10,1),""))</f>
        <v/>
      </c>
      <c r="AA225" s="10">
        <f>IF(ISNUMBER(T225),1,0)</f>
        <v/>
      </c>
      <c r="AB225" s="16">
        <f>IF($A225="","",IF(_xlfn.MAXIFS('TP-b'!$B$2:$B$60,'TP-b'!$A$2:$A$60,"3F4D+MD",'TP-b'!$E$2:$E$60,1,'TP-b'!$B$2:$B$60,"&lt;="&amp;$A225)&gt;0,_xlfn.MAXIFS('TP-b'!$B$2:$B$60,'TP-b'!$A$2:$A$60,"3F4D+MD",'TP-b'!$E$2:$E$60,1,'TP-b'!$B$2:$B$60,"&lt;="&amp;$A225),IF(_xlfn.MINIFS('TP-b'!$B$2:$B$60,'TP-b'!$A$2:$A$60,"3F4D+MD",'TP-b'!$E$2:$E$60,1)&gt;0,_xlfn.MINIFS('TP-b'!$B$2:$B$60,'TP-b'!$A$2:$A$60,"3F4D+MD",'TP-b'!$E$2:$E$60,1),"")))</f>
        <v/>
      </c>
      <c r="AC225" s="10">
        <f>IF(AB225="","",AVERAGEIFS('TP-b'!$C$2:$C$60,'TP-b'!$A$2:$A$60,"3F4D+MD",'TP-b'!$B$2:$B$60,AB225,'TP-b'!$E$2:$E$60,1))</f>
        <v/>
      </c>
      <c r="AD225" s="10">
        <f>IF(AB225="","",AVERAGEIFS('TP-b'!$D$2:$D$60,'TP-b'!$A$2:$A$60,"3F4D+MD",'TP-b'!$B$2:$B$60,AB225,'TP-b'!$E$2:$E$60,1))</f>
        <v/>
      </c>
      <c r="AE225" s="10">
        <f>IF(OR($A225="",NOT(ISNUMBER($J225)),AC225=""),"",ROUND($J225-AC225+AD225,1))</f>
        <v/>
      </c>
      <c r="AF225" s="10">
        <f>IF(AND($K225="Yes",ISNUMBER($L225),AC225&lt;&gt;""),ROUND($L225-AC225+AD225,1),"")</f>
        <v/>
      </c>
      <c r="AG225" s="10">
        <f>IF(AND($K225="Yes",ISNUMBER($M225),AC225&lt;&gt;""),ROUND($M225-AC225+AD225,1),"")</f>
        <v/>
      </c>
      <c r="AH225" s="10">
        <f>IF(AND(ISNUMBER($J225),ISNUMBER(AF225),ISNUMBER(AG225)),ROUND((AG225-MAX(AF225,0))*10,1),"")</f>
        <v/>
      </c>
      <c r="AI225" s="10">
        <f>IF(AE225="","",IF(AND($K225="Yes",ISNUMBER(AG225)),AG225,AE225))</f>
        <v/>
      </c>
      <c r="AJ225" s="10">
        <f>IF(AE225="","",ROUND(SUMIFS($AH$3:$AH$252,$A$3:$A$252,"&lt;="&amp;$A225),1))</f>
        <v/>
      </c>
      <c r="AK225" s="10">
        <f>IF(OR(AE225="",$A225=""),"",IF(ISNUMBER(IFERROR(INDEX($AI$3:$AI$252,MATCH($A225-1,$A$3:$A$252,0)),"")),ROUND((INDEX($AI$3:$AI$252,MATCH($A225-1,$A$3:$A$252,0))-AE225)*10,1),""))</f>
        <v/>
      </c>
      <c r="AL225" s="10">
        <f>IF(ISNUMBER(AE225),1,0)</f>
        <v/>
      </c>
      <c r="AM225" s="17">
        <f>IF($A225="","",IF(COUNTIF($A$3:$A$252,$A225)&gt;1,"same date twice; ","")&amp;IF(AND(ISNUMBER($B225),OR($B225&lt;0,$B225&gt;300)),"rain out of range; ","")&amp;IF(AND(ISNUMBER($C225),OR($C225&lt;0,$C225&gt;45)),"temp out of range; ","")&amp;IF(AND(ISNUMBER($D225),OR($D225&lt;0,$D225&gt;100)),"RH out of range; ",""))</f>
        <v/>
      </c>
      <c r="AN225" s="17">
        <f>IF($A225="","",IF(AND(ISNUMBER(T225),OR(T225&lt;-30,T225&gt;20)),"WL out of range; ","")&amp;IF(AND(ISNUMBER($E225),T225=""),"no TP/b; ","")&amp;IF(AND(ISNUMBER(U225),ISNUMBER(V225)),IF(V225&lt;U225,"After&lt;Before; ",""),"")&amp;IF(AND($F225="Yes",ISNUMBER($E225),W225=""),"irrigation readings missing; ","")&amp;IF(ISNUMBER(Z225),IF(AND(ABS(Z225)&gt;50,NOT(N($B225)&gt;0)),"WL jump &gt;5 cm; ",""),""))</f>
        <v/>
      </c>
      <c r="AO225" s="17">
        <f>IF($A225="","",IF(AND(ISNUMBER(AE225),OR(AE225&lt;-30,AE225&gt;20)),"WL out of range; ","")&amp;IF(AND(ISNUMBER($J225),AE225=""),"no TP/b; ","")&amp;IF(AND(ISNUMBER(AF225),ISNUMBER(AG225)),IF(AG225&lt;AF225,"After&lt;Before; ",""),"")&amp;IF(AND($K225="Yes",ISNUMBER($J225),AH225=""),"irrigation readings missing; ","")&amp;IF(ISNUMBER(AK225),IF(AND(ABS(AK225)&gt;50,NOT(N($B225)&gt;0)),"WL jump &gt;5 cm; ",""),"")&amp;IF(AND(ISNUMBER(PitanE),ISNUMBER(AB225),$A225&gt;PitanE+2,AB225&lt;PitanE),"re-measure TP/b after Pitan; ",""))</f>
        <v/>
      </c>
    </row>
    <row r="226">
      <c r="A226" s="14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0">
        <f>IF(OR($A226="",NOT(ISNUMBER(TransDate))),"",$A226-TransDate)</f>
        <v/>
      </c>
      <c r="Q226" s="16">
        <f>IF($A226="","",IF(_xlfn.MAXIFS('TP-b'!$B$2:$B$60,'TP-b'!$A$2:$A$60,"FP",'TP-b'!$E$2:$E$60,1,'TP-b'!$B$2:$B$60,"&lt;="&amp;$A226)&gt;0,_xlfn.MAXIFS('TP-b'!$B$2:$B$60,'TP-b'!$A$2:$A$60,"FP",'TP-b'!$E$2:$E$60,1,'TP-b'!$B$2:$B$60,"&lt;="&amp;$A226),IF(_xlfn.MINIFS('TP-b'!$B$2:$B$60,'TP-b'!$A$2:$A$60,"FP",'TP-b'!$E$2:$E$60,1)&gt;0,_xlfn.MINIFS('TP-b'!$B$2:$B$60,'TP-b'!$A$2:$A$60,"FP",'TP-b'!$E$2:$E$60,1),"")))</f>
        <v/>
      </c>
      <c r="R226" s="10">
        <f>IF(Q226="","",AVERAGEIFS('TP-b'!$C$2:$C$60,'TP-b'!$A$2:$A$60,"FP",'TP-b'!$B$2:$B$60,Q226,'TP-b'!$E$2:$E$60,1))</f>
        <v/>
      </c>
      <c r="S226" s="10">
        <f>IF(Q226="","",AVERAGEIFS('TP-b'!$D$2:$D$60,'TP-b'!$A$2:$A$60,"FP",'TP-b'!$B$2:$B$60,Q226,'TP-b'!$E$2:$E$60,1))</f>
        <v/>
      </c>
      <c r="T226" s="10">
        <f>IF(OR($A226="",NOT(ISNUMBER($E226)),R226=""),"",ROUND($E226-R226+S226,1))</f>
        <v/>
      </c>
      <c r="U226" s="10">
        <f>IF(AND($F226="Yes",ISNUMBER($G226),R226&lt;&gt;""),ROUND($G226-R226+S226,1),"")</f>
        <v/>
      </c>
      <c r="V226" s="10">
        <f>IF(AND($F226="Yes",ISNUMBER($H226),R226&lt;&gt;""),ROUND($H226-R226+S226,1),"")</f>
        <v/>
      </c>
      <c r="W226" s="10">
        <f>IF(AND(ISNUMBER($E226),ISNUMBER(U226),ISNUMBER(V226)),ROUND((V226-MAX(U226,0))*10,1),"")</f>
        <v/>
      </c>
      <c r="X226" s="10">
        <f>IF(T226="","",IF(AND($F226="Yes",ISNUMBER(V226)),V226,T226))</f>
        <v/>
      </c>
      <c r="Y226" s="10">
        <f>IF(T226="","",ROUND(SUMIFS($W$3:$W$252,$A$3:$A$252,"&lt;="&amp;$A226),1))</f>
        <v/>
      </c>
      <c r="Z226" s="10">
        <f>IF(OR(T226="",$A226=""),"",IF(ISNUMBER(IFERROR(INDEX($X$3:$X$252,MATCH($A226-1,$A$3:$A$252,0)),"")),ROUND((INDEX($X$3:$X$252,MATCH($A226-1,$A$3:$A$252,0))-T226)*10,1),""))</f>
        <v/>
      </c>
      <c r="AA226" s="10">
        <f>IF(ISNUMBER(T226),1,0)</f>
        <v/>
      </c>
      <c r="AB226" s="16">
        <f>IF($A226="","",IF(_xlfn.MAXIFS('TP-b'!$B$2:$B$60,'TP-b'!$A$2:$A$60,"3F4D+MD",'TP-b'!$E$2:$E$60,1,'TP-b'!$B$2:$B$60,"&lt;="&amp;$A226)&gt;0,_xlfn.MAXIFS('TP-b'!$B$2:$B$60,'TP-b'!$A$2:$A$60,"3F4D+MD",'TP-b'!$E$2:$E$60,1,'TP-b'!$B$2:$B$60,"&lt;="&amp;$A226),IF(_xlfn.MINIFS('TP-b'!$B$2:$B$60,'TP-b'!$A$2:$A$60,"3F4D+MD",'TP-b'!$E$2:$E$60,1)&gt;0,_xlfn.MINIFS('TP-b'!$B$2:$B$60,'TP-b'!$A$2:$A$60,"3F4D+MD",'TP-b'!$E$2:$E$60,1),"")))</f>
        <v/>
      </c>
      <c r="AC226" s="10">
        <f>IF(AB226="","",AVERAGEIFS('TP-b'!$C$2:$C$60,'TP-b'!$A$2:$A$60,"3F4D+MD",'TP-b'!$B$2:$B$60,AB226,'TP-b'!$E$2:$E$60,1))</f>
        <v/>
      </c>
      <c r="AD226" s="10">
        <f>IF(AB226="","",AVERAGEIFS('TP-b'!$D$2:$D$60,'TP-b'!$A$2:$A$60,"3F4D+MD",'TP-b'!$B$2:$B$60,AB226,'TP-b'!$E$2:$E$60,1))</f>
        <v/>
      </c>
      <c r="AE226" s="10">
        <f>IF(OR($A226="",NOT(ISNUMBER($J226)),AC226=""),"",ROUND($J226-AC226+AD226,1))</f>
        <v/>
      </c>
      <c r="AF226" s="10">
        <f>IF(AND($K226="Yes",ISNUMBER($L226),AC226&lt;&gt;""),ROUND($L226-AC226+AD226,1),"")</f>
        <v/>
      </c>
      <c r="AG226" s="10">
        <f>IF(AND($K226="Yes",ISNUMBER($M226),AC226&lt;&gt;""),ROUND($M226-AC226+AD226,1),"")</f>
        <v/>
      </c>
      <c r="AH226" s="10">
        <f>IF(AND(ISNUMBER($J226),ISNUMBER(AF226),ISNUMBER(AG226)),ROUND((AG226-MAX(AF226,0))*10,1),"")</f>
        <v/>
      </c>
      <c r="AI226" s="10">
        <f>IF(AE226="","",IF(AND($K226="Yes",ISNUMBER(AG226)),AG226,AE226))</f>
        <v/>
      </c>
      <c r="AJ226" s="10">
        <f>IF(AE226="","",ROUND(SUMIFS($AH$3:$AH$252,$A$3:$A$252,"&lt;="&amp;$A226),1))</f>
        <v/>
      </c>
      <c r="AK226" s="10">
        <f>IF(OR(AE226="",$A226=""),"",IF(ISNUMBER(IFERROR(INDEX($AI$3:$AI$252,MATCH($A226-1,$A$3:$A$252,0)),"")),ROUND((INDEX($AI$3:$AI$252,MATCH($A226-1,$A$3:$A$252,0))-AE226)*10,1),""))</f>
        <v/>
      </c>
      <c r="AL226" s="10">
        <f>IF(ISNUMBER(AE226),1,0)</f>
        <v/>
      </c>
      <c r="AM226" s="17">
        <f>IF($A226="","",IF(COUNTIF($A$3:$A$252,$A226)&gt;1,"same date twice; ","")&amp;IF(AND(ISNUMBER($B226),OR($B226&lt;0,$B226&gt;300)),"rain out of range; ","")&amp;IF(AND(ISNUMBER($C226),OR($C226&lt;0,$C226&gt;45)),"temp out of range; ","")&amp;IF(AND(ISNUMBER($D226),OR($D226&lt;0,$D226&gt;100)),"RH out of range; ",""))</f>
        <v/>
      </c>
      <c r="AN226" s="17">
        <f>IF($A226="","",IF(AND(ISNUMBER(T226),OR(T226&lt;-30,T226&gt;20)),"WL out of range; ","")&amp;IF(AND(ISNUMBER($E226),T226=""),"no TP/b; ","")&amp;IF(AND(ISNUMBER(U226),ISNUMBER(V226)),IF(V226&lt;U226,"After&lt;Before; ",""),"")&amp;IF(AND($F226="Yes",ISNUMBER($E226),W226=""),"irrigation readings missing; ","")&amp;IF(ISNUMBER(Z226),IF(AND(ABS(Z226)&gt;50,NOT(N($B226)&gt;0)),"WL jump &gt;5 cm; ",""),""))</f>
        <v/>
      </c>
      <c r="AO226" s="17">
        <f>IF($A226="","",IF(AND(ISNUMBER(AE226),OR(AE226&lt;-30,AE226&gt;20)),"WL out of range; ","")&amp;IF(AND(ISNUMBER($J226),AE226=""),"no TP/b; ","")&amp;IF(AND(ISNUMBER(AF226),ISNUMBER(AG226)),IF(AG226&lt;AF226,"After&lt;Before; ",""),"")&amp;IF(AND($K226="Yes",ISNUMBER($J226),AH226=""),"irrigation readings missing; ","")&amp;IF(ISNUMBER(AK226),IF(AND(ABS(AK226)&gt;50,NOT(N($B226)&gt;0)),"WL jump &gt;5 cm; ",""),"")&amp;IF(AND(ISNUMBER(PitanE),ISNUMBER(AB226),$A226&gt;PitanE+2,AB226&lt;PitanE),"re-measure TP/b after Pitan; ",""))</f>
        <v/>
      </c>
    </row>
    <row r="227">
      <c r="A227" s="14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0">
        <f>IF(OR($A227="",NOT(ISNUMBER(TransDate))),"",$A227-TransDate)</f>
        <v/>
      </c>
      <c r="Q227" s="16">
        <f>IF($A227="","",IF(_xlfn.MAXIFS('TP-b'!$B$2:$B$60,'TP-b'!$A$2:$A$60,"FP",'TP-b'!$E$2:$E$60,1,'TP-b'!$B$2:$B$60,"&lt;="&amp;$A227)&gt;0,_xlfn.MAXIFS('TP-b'!$B$2:$B$60,'TP-b'!$A$2:$A$60,"FP",'TP-b'!$E$2:$E$60,1,'TP-b'!$B$2:$B$60,"&lt;="&amp;$A227),IF(_xlfn.MINIFS('TP-b'!$B$2:$B$60,'TP-b'!$A$2:$A$60,"FP",'TP-b'!$E$2:$E$60,1)&gt;0,_xlfn.MINIFS('TP-b'!$B$2:$B$60,'TP-b'!$A$2:$A$60,"FP",'TP-b'!$E$2:$E$60,1),"")))</f>
        <v/>
      </c>
      <c r="R227" s="10">
        <f>IF(Q227="","",AVERAGEIFS('TP-b'!$C$2:$C$60,'TP-b'!$A$2:$A$60,"FP",'TP-b'!$B$2:$B$60,Q227,'TP-b'!$E$2:$E$60,1))</f>
        <v/>
      </c>
      <c r="S227" s="10">
        <f>IF(Q227="","",AVERAGEIFS('TP-b'!$D$2:$D$60,'TP-b'!$A$2:$A$60,"FP",'TP-b'!$B$2:$B$60,Q227,'TP-b'!$E$2:$E$60,1))</f>
        <v/>
      </c>
      <c r="T227" s="10">
        <f>IF(OR($A227="",NOT(ISNUMBER($E227)),R227=""),"",ROUND($E227-R227+S227,1))</f>
        <v/>
      </c>
      <c r="U227" s="10">
        <f>IF(AND($F227="Yes",ISNUMBER($G227),R227&lt;&gt;""),ROUND($G227-R227+S227,1),"")</f>
        <v/>
      </c>
      <c r="V227" s="10">
        <f>IF(AND($F227="Yes",ISNUMBER($H227),R227&lt;&gt;""),ROUND($H227-R227+S227,1),"")</f>
        <v/>
      </c>
      <c r="W227" s="10">
        <f>IF(AND(ISNUMBER($E227),ISNUMBER(U227),ISNUMBER(V227)),ROUND((V227-MAX(U227,0))*10,1),"")</f>
        <v/>
      </c>
      <c r="X227" s="10">
        <f>IF(T227="","",IF(AND($F227="Yes",ISNUMBER(V227)),V227,T227))</f>
        <v/>
      </c>
      <c r="Y227" s="10">
        <f>IF(T227="","",ROUND(SUMIFS($W$3:$W$252,$A$3:$A$252,"&lt;="&amp;$A227),1))</f>
        <v/>
      </c>
      <c r="Z227" s="10">
        <f>IF(OR(T227="",$A227=""),"",IF(ISNUMBER(IFERROR(INDEX($X$3:$X$252,MATCH($A227-1,$A$3:$A$252,0)),"")),ROUND((INDEX($X$3:$X$252,MATCH($A227-1,$A$3:$A$252,0))-T227)*10,1),""))</f>
        <v/>
      </c>
      <c r="AA227" s="10">
        <f>IF(ISNUMBER(T227),1,0)</f>
        <v/>
      </c>
      <c r="AB227" s="16">
        <f>IF($A227="","",IF(_xlfn.MAXIFS('TP-b'!$B$2:$B$60,'TP-b'!$A$2:$A$60,"3F4D+MD",'TP-b'!$E$2:$E$60,1,'TP-b'!$B$2:$B$60,"&lt;="&amp;$A227)&gt;0,_xlfn.MAXIFS('TP-b'!$B$2:$B$60,'TP-b'!$A$2:$A$60,"3F4D+MD",'TP-b'!$E$2:$E$60,1,'TP-b'!$B$2:$B$60,"&lt;="&amp;$A227),IF(_xlfn.MINIFS('TP-b'!$B$2:$B$60,'TP-b'!$A$2:$A$60,"3F4D+MD",'TP-b'!$E$2:$E$60,1)&gt;0,_xlfn.MINIFS('TP-b'!$B$2:$B$60,'TP-b'!$A$2:$A$60,"3F4D+MD",'TP-b'!$E$2:$E$60,1),"")))</f>
        <v/>
      </c>
      <c r="AC227" s="10">
        <f>IF(AB227="","",AVERAGEIFS('TP-b'!$C$2:$C$60,'TP-b'!$A$2:$A$60,"3F4D+MD",'TP-b'!$B$2:$B$60,AB227,'TP-b'!$E$2:$E$60,1))</f>
        <v/>
      </c>
      <c r="AD227" s="10">
        <f>IF(AB227="","",AVERAGEIFS('TP-b'!$D$2:$D$60,'TP-b'!$A$2:$A$60,"3F4D+MD",'TP-b'!$B$2:$B$60,AB227,'TP-b'!$E$2:$E$60,1))</f>
        <v/>
      </c>
      <c r="AE227" s="10">
        <f>IF(OR($A227="",NOT(ISNUMBER($J227)),AC227=""),"",ROUND($J227-AC227+AD227,1))</f>
        <v/>
      </c>
      <c r="AF227" s="10">
        <f>IF(AND($K227="Yes",ISNUMBER($L227),AC227&lt;&gt;""),ROUND($L227-AC227+AD227,1),"")</f>
        <v/>
      </c>
      <c r="AG227" s="10">
        <f>IF(AND($K227="Yes",ISNUMBER($M227),AC227&lt;&gt;""),ROUND($M227-AC227+AD227,1),"")</f>
        <v/>
      </c>
      <c r="AH227" s="10">
        <f>IF(AND(ISNUMBER($J227),ISNUMBER(AF227),ISNUMBER(AG227)),ROUND((AG227-MAX(AF227,0))*10,1),"")</f>
        <v/>
      </c>
      <c r="AI227" s="10">
        <f>IF(AE227="","",IF(AND($K227="Yes",ISNUMBER(AG227)),AG227,AE227))</f>
        <v/>
      </c>
      <c r="AJ227" s="10">
        <f>IF(AE227="","",ROUND(SUMIFS($AH$3:$AH$252,$A$3:$A$252,"&lt;="&amp;$A227),1))</f>
        <v/>
      </c>
      <c r="AK227" s="10">
        <f>IF(OR(AE227="",$A227=""),"",IF(ISNUMBER(IFERROR(INDEX($AI$3:$AI$252,MATCH($A227-1,$A$3:$A$252,0)),"")),ROUND((INDEX($AI$3:$AI$252,MATCH($A227-1,$A$3:$A$252,0))-AE227)*10,1),""))</f>
        <v/>
      </c>
      <c r="AL227" s="10">
        <f>IF(ISNUMBER(AE227),1,0)</f>
        <v/>
      </c>
      <c r="AM227" s="17">
        <f>IF($A227="","",IF(COUNTIF($A$3:$A$252,$A227)&gt;1,"same date twice; ","")&amp;IF(AND(ISNUMBER($B227),OR($B227&lt;0,$B227&gt;300)),"rain out of range; ","")&amp;IF(AND(ISNUMBER($C227),OR($C227&lt;0,$C227&gt;45)),"temp out of range; ","")&amp;IF(AND(ISNUMBER($D227),OR($D227&lt;0,$D227&gt;100)),"RH out of range; ",""))</f>
        <v/>
      </c>
      <c r="AN227" s="17">
        <f>IF($A227="","",IF(AND(ISNUMBER(T227),OR(T227&lt;-30,T227&gt;20)),"WL out of range; ","")&amp;IF(AND(ISNUMBER($E227),T227=""),"no TP/b; ","")&amp;IF(AND(ISNUMBER(U227),ISNUMBER(V227)),IF(V227&lt;U227,"After&lt;Before; ",""),"")&amp;IF(AND($F227="Yes",ISNUMBER($E227),W227=""),"irrigation readings missing; ","")&amp;IF(ISNUMBER(Z227),IF(AND(ABS(Z227)&gt;50,NOT(N($B227)&gt;0)),"WL jump &gt;5 cm; ",""),""))</f>
        <v/>
      </c>
      <c r="AO227" s="17">
        <f>IF($A227="","",IF(AND(ISNUMBER(AE227),OR(AE227&lt;-30,AE227&gt;20)),"WL out of range; ","")&amp;IF(AND(ISNUMBER($J227),AE227=""),"no TP/b; ","")&amp;IF(AND(ISNUMBER(AF227),ISNUMBER(AG227)),IF(AG227&lt;AF227,"After&lt;Before; ",""),"")&amp;IF(AND($K227="Yes",ISNUMBER($J227),AH227=""),"irrigation readings missing; ","")&amp;IF(ISNUMBER(AK227),IF(AND(ABS(AK227)&gt;50,NOT(N($B227)&gt;0)),"WL jump &gt;5 cm; ",""),"")&amp;IF(AND(ISNUMBER(PitanE),ISNUMBER(AB227),$A227&gt;PitanE+2,AB227&lt;PitanE),"re-measure TP/b after Pitan; ",""))</f>
        <v/>
      </c>
    </row>
    <row r="228">
      <c r="A228" s="14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0">
        <f>IF(OR($A228="",NOT(ISNUMBER(TransDate))),"",$A228-TransDate)</f>
        <v/>
      </c>
      <c r="Q228" s="16">
        <f>IF($A228="","",IF(_xlfn.MAXIFS('TP-b'!$B$2:$B$60,'TP-b'!$A$2:$A$60,"FP",'TP-b'!$E$2:$E$60,1,'TP-b'!$B$2:$B$60,"&lt;="&amp;$A228)&gt;0,_xlfn.MAXIFS('TP-b'!$B$2:$B$60,'TP-b'!$A$2:$A$60,"FP",'TP-b'!$E$2:$E$60,1,'TP-b'!$B$2:$B$60,"&lt;="&amp;$A228),IF(_xlfn.MINIFS('TP-b'!$B$2:$B$60,'TP-b'!$A$2:$A$60,"FP",'TP-b'!$E$2:$E$60,1)&gt;0,_xlfn.MINIFS('TP-b'!$B$2:$B$60,'TP-b'!$A$2:$A$60,"FP",'TP-b'!$E$2:$E$60,1),"")))</f>
        <v/>
      </c>
      <c r="R228" s="10">
        <f>IF(Q228="","",AVERAGEIFS('TP-b'!$C$2:$C$60,'TP-b'!$A$2:$A$60,"FP",'TP-b'!$B$2:$B$60,Q228,'TP-b'!$E$2:$E$60,1))</f>
        <v/>
      </c>
      <c r="S228" s="10">
        <f>IF(Q228="","",AVERAGEIFS('TP-b'!$D$2:$D$60,'TP-b'!$A$2:$A$60,"FP",'TP-b'!$B$2:$B$60,Q228,'TP-b'!$E$2:$E$60,1))</f>
        <v/>
      </c>
      <c r="T228" s="10">
        <f>IF(OR($A228="",NOT(ISNUMBER($E228)),R228=""),"",ROUND($E228-R228+S228,1))</f>
        <v/>
      </c>
      <c r="U228" s="10">
        <f>IF(AND($F228="Yes",ISNUMBER($G228),R228&lt;&gt;""),ROUND($G228-R228+S228,1),"")</f>
        <v/>
      </c>
      <c r="V228" s="10">
        <f>IF(AND($F228="Yes",ISNUMBER($H228),R228&lt;&gt;""),ROUND($H228-R228+S228,1),"")</f>
        <v/>
      </c>
      <c r="W228" s="10">
        <f>IF(AND(ISNUMBER($E228),ISNUMBER(U228),ISNUMBER(V228)),ROUND((V228-MAX(U228,0))*10,1),"")</f>
        <v/>
      </c>
      <c r="X228" s="10">
        <f>IF(T228="","",IF(AND($F228="Yes",ISNUMBER(V228)),V228,T228))</f>
        <v/>
      </c>
      <c r="Y228" s="10">
        <f>IF(T228="","",ROUND(SUMIFS($W$3:$W$252,$A$3:$A$252,"&lt;="&amp;$A228),1))</f>
        <v/>
      </c>
      <c r="Z228" s="10">
        <f>IF(OR(T228="",$A228=""),"",IF(ISNUMBER(IFERROR(INDEX($X$3:$X$252,MATCH($A228-1,$A$3:$A$252,0)),"")),ROUND((INDEX($X$3:$X$252,MATCH($A228-1,$A$3:$A$252,0))-T228)*10,1),""))</f>
        <v/>
      </c>
      <c r="AA228" s="10">
        <f>IF(ISNUMBER(T228),1,0)</f>
        <v/>
      </c>
      <c r="AB228" s="16">
        <f>IF($A228="","",IF(_xlfn.MAXIFS('TP-b'!$B$2:$B$60,'TP-b'!$A$2:$A$60,"3F4D+MD",'TP-b'!$E$2:$E$60,1,'TP-b'!$B$2:$B$60,"&lt;="&amp;$A228)&gt;0,_xlfn.MAXIFS('TP-b'!$B$2:$B$60,'TP-b'!$A$2:$A$60,"3F4D+MD",'TP-b'!$E$2:$E$60,1,'TP-b'!$B$2:$B$60,"&lt;="&amp;$A228),IF(_xlfn.MINIFS('TP-b'!$B$2:$B$60,'TP-b'!$A$2:$A$60,"3F4D+MD",'TP-b'!$E$2:$E$60,1)&gt;0,_xlfn.MINIFS('TP-b'!$B$2:$B$60,'TP-b'!$A$2:$A$60,"3F4D+MD",'TP-b'!$E$2:$E$60,1),"")))</f>
        <v/>
      </c>
      <c r="AC228" s="10">
        <f>IF(AB228="","",AVERAGEIFS('TP-b'!$C$2:$C$60,'TP-b'!$A$2:$A$60,"3F4D+MD",'TP-b'!$B$2:$B$60,AB228,'TP-b'!$E$2:$E$60,1))</f>
        <v/>
      </c>
      <c r="AD228" s="10">
        <f>IF(AB228="","",AVERAGEIFS('TP-b'!$D$2:$D$60,'TP-b'!$A$2:$A$60,"3F4D+MD",'TP-b'!$B$2:$B$60,AB228,'TP-b'!$E$2:$E$60,1))</f>
        <v/>
      </c>
      <c r="AE228" s="10">
        <f>IF(OR($A228="",NOT(ISNUMBER($J228)),AC228=""),"",ROUND($J228-AC228+AD228,1))</f>
        <v/>
      </c>
      <c r="AF228" s="10">
        <f>IF(AND($K228="Yes",ISNUMBER($L228),AC228&lt;&gt;""),ROUND($L228-AC228+AD228,1),"")</f>
        <v/>
      </c>
      <c r="AG228" s="10">
        <f>IF(AND($K228="Yes",ISNUMBER($M228),AC228&lt;&gt;""),ROUND($M228-AC228+AD228,1),"")</f>
        <v/>
      </c>
      <c r="AH228" s="10">
        <f>IF(AND(ISNUMBER($J228),ISNUMBER(AF228),ISNUMBER(AG228)),ROUND((AG228-MAX(AF228,0))*10,1),"")</f>
        <v/>
      </c>
      <c r="AI228" s="10">
        <f>IF(AE228="","",IF(AND($K228="Yes",ISNUMBER(AG228)),AG228,AE228))</f>
        <v/>
      </c>
      <c r="AJ228" s="10">
        <f>IF(AE228="","",ROUND(SUMIFS($AH$3:$AH$252,$A$3:$A$252,"&lt;="&amp;$A228),1))</f>
        <v/>
      </c>
      <c r="AK228" s="10">
        <f>IF(OR(AE228="",$A228=""),"",IF(ISNUMBER(IFERROR(INDEX($AI$3:$AI$252,MATCH($A228-1,$A$3:$A$252,0)),"")),ROUND((INDEX($AI$3:$AI$252,MATCH($A228-1,$A$3:$A$252,0))-AE228)*10,1),""))</f>
        <v/>
      </c>
      <c r="AL228" s="10">
        <f>IF(ISNUMBER(AE228),1,0)</f>
        <v/>
      </c>
      <c r="AM228" s="17">
        <f>IF($A228="","",IF(COUNTIF($A$3:$A$252,$A228)&gt;1,"same date twice; ","")&amp;IF(AND(ISNUMBER($B228),OR($B228&lt;0,$B228&gt;300)),"rain out of range; ","")&amp;IF(AND(ISNUMBER($C228),OR($C228&lt;0,$C228&gt;45)),"temp out of range; ","")&amp;IF(AND(ISNUMBER($D228),OR($D228&lt;0,$D228&gt;100)),"RH out of range; ",""))</f>
        <v/>
      </c>
      <c r="AN228" s="17">
        <f>IF($A228="","",IF(AND(ISNUMBER(T228),OR(T228&lt;-30,T228&gt;20)),"WL out of range; ","")&amp;IF(AND(ISNUMBER($E228),T228=""),"no TP/b; ","")&amp;IF(AND(ISNUMBER(U228),ISNUMBER(V228)),IF(V228&lt;U228,"After&lt;Before; ",""),"")&amp;IF(AND($F228="Yes",ISNUMBER($E228),W228=""),"irrigation readings missing; ","")&amp;IF(ISNUMBER(Z228),IF(AND(ABS(Z228)&gt;50,NOT(N($B228)&gt;0)),"WL jump &gt;5 cm; ",""),""))</f>
        <v/>
      </c>
      <c r="AO228" s="17">
        <f>IF($A228="","",IF(AND(ISNUMBER(AE228),OR(AE228&lt;-30,AE228&gt;20)),"WL out of range; ","")&amp;IF(AND(ISNUMBER($J228),AE228=""),"no TP/b; ","")&amp;IF(AND(ISNUMBER(AF228),ISNUMBER(AG228)),IF(AG228&lt;AF228,"After&lt;Before; ",""),"")&amp;IF(AND($K228="Yes",ISNUMBER($J228),AH228=""),"irrigation readings missing; ","")&amp;IF(ISNUMBER(AK228),IF(AND(ABS(AK228)&gt;50,NOT(N($B228)&gt;0)),"WL jump &gt;5 cm; ",""),"")&amp;IF(AND(ISNUMBER(PitanE),ISNUMBER(AB228),$A228&gt;PitanE+2,AB228&lt;PitanE),"re-measure TP/b after Pitan; ",""))</f>
        <v/>
      </c>
    </row>
    <row r="229">
      <c r="A229" s="14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0">
        <f>IF(OR($A229="",NOT(ISNUMBER(TransDate))),"",$A229-TransDate)</f>
        <v/>
      </c>
      <c r="Q229" s="16">
        <f>IF($A229="","",IF(_xlfn.MAXIFS('TP-b'!$B$2:$B$60,'TP-b'!$A$2:$A$60,"FP",'TP-b'!$E$2:$E$60,1,'TP-b'!$B$2:$B$60,"&lt;="&amp;$A229)&gt;0,_xlfn.MAXIFS('TP-b'!$B$2:$B$60,'TP-b'!$A$2:$A$60,"FP",'TP-b'!$E$2:$E$60,1,'TP-b'!$B$2:$B$60,"&lt;="&amp;$A229),IF(_xlfn.MINIFS('TP-b'!$B$2:$B$60,'TP-b'!$A$2:$A$60,"FP",'TP-b'!$E$2:$E$60,1)&gt;0,_xlfn.MINIFS('TP-b'!$B$2:$B$60,'TP-b'!$A$2:$A$60,"FP",'TP-b'!$E$2:$E$60,1),"")))</f>
        <v/>
      </c>
      <c r="R229" s="10">
        <f>IF(Q229="","",AVERAGEIFS('TP-b'!$C$2:$C$60,'TP-b'!$A$2:$A$60,"FP",'TP-b'!$B$2:$B$60,Q229,'TP-b'!$E$2:$E$60,1))</f>
        <v/>
      </c>
      <c r="S229" s="10">
        <f>IF(Q229="","",AVERAGEIFS('TP-b'!$D$2:$D$60,'TP-b'!$A$2:$A$60,"FP",'TP-b'!$B$2:$B$60,Q229,'TP-b'!$E$2:$E$60,1))</f>
        <v/>
      </c>
      <c r="T229" s="10">
        <f>IF(OR($A229="",NOT(ISNUMBER($E229)),R229=""),"",ROUND($E229-R229+S229,1))</f>
        <v/>
      </c>
      <c r="U229" s="10">
        <f>IF(AND($F229="Yes",ISNUMBER($G229),R229&lt;&gt;""),ROUND($G229-R229+S229,1),"")</f>
        <v/>
      </c>
      <c r="V229" s="10">
        <f>IF(AND($F229="Yes",ISNUMBER($H229),R229&lt;&gt;""),ROUND($H229-R229+S229,1),"")</f>
        <v/>
      </c>
      <c r="W229" s="10">
        <f>IF(AND(ISNUMBER($E229),ISNUMBER(U229),ISNUMBER(V229)),ROUND((V229-MAX(U229,0))*10,1),"")</f>
        <v/>
      </c>
      <c r="X229" s="10">
        <f>IF(T229="","",IF(AND($F229="Yes",ISNUMBER(V229)),V229,T229))</f>
        <v/>
      </c>
      <c r="Y229" s="10">
        <f>IF(T229="","",ROUND(SUMIFS($W$3:$W$252,$A$3:$A$252,"&lt;="&amp;$A229),1))</f>
        <v/>
      </c>
      <c r="Z229" s="10">
        <f>IF(OR(T229="",$A229=""),"",IF(ISNUMBER(IFERROR(INDEX($X$3:$X$252,MATCH($A229-1,$A$3:$A$252,0)),"")),ROUND((INDEX($X$3:$X$252,MATCH($A229-1,$A$3:$A$252,0))-T229)*10,1),""))</f>
        <v/>
      </c>
      <c r="AA229" s="10">
        <f>IF(ISNUMBER(T229),1,0)</f>
        <v/>
      </c>
      <c r="AB229" s="16">
        <f>IF($A229="","",IF(_xlfn.MAXIFS('TP-b'!$B$2:$B$60,'TP-b'!$A$2:$A$60,"3F4D+MD",'TP-b'!$E$2:$E$60,1,'TP-b'!$B$2:$B$60,"&lt;="&amp;$A229)&gt;0,_xlfn.MAXIFS('TP-b'!$B$2:$B$60,'TP-b'!$A$2:$A$60,"3F4D+MD",'TP-b'!$E$2:$E$60,1,'TP-b'!$B$2:$B$60,"&lt;="&amp;$A229),IF(_xlfn.MINIFS('TP-b'!$B$2:$B$60,'TP-b'!$A$2:$A$60,"3F4D+MD",'TP-b'!$E$2:$E$60,1)&gt;0,_xlfn.MINIFS('TP-b'!$B$2:$B$60,'TP-b'!$A$2:$A$60,"3F4D+MD",'TP-b'!$E$2:$E$60,1),"")))</f>
        <v/>
      </c>
      <c r="AC229" s="10">
        <f>IF(AB229="","",AVERAGEIFS('TP-b'!$C$2:$C$60,'TP-b'!$A$2:$A$60,"3F4D+MD",'TP-b'!$B$2:$B$60,AB229,'TP-b'!$E$2:$E$60,1))</f>
        <v/>
      </c>
      <c r="AD229" s="10">
        <f>IF(AB229="","",AVERAGEIFS('TP-b'!$D$2:$D$60,'TP-b'!$A$2:$A$60,"3F4D+MD",'TP-b'!$B$2:$B$60,AB229,'TP-b'!$E$2:$E$60,1))</f>
        <v/>
      </c>
      <c r="AE229" s="10">
        <f>IF(OR($A229="",NOT(ISNUMBER($J229)),AC229=""),"",ROUND($J229-AC229+AD229,1))</f>
        <v/>
      </c>
      <c r="AF229" s="10">
        <f>IF(AND($K229="Yes",ISNUMBER($L229),AC229&lt;&gt;""),ROUND($L229-AC229+AD229,1),"")</f>
        <v/>
      </c>
      <c r="AG229" s="10">
        <f>IF(AND($K229="Yes",ISNUMBER($M229),AC229&lt;&gt;""),ROUND($M229-AC229+AD229,1),"")</f>
        <v/>
      </c>
      <c r="AH229" s="10">
        <f>IF(AND(ISNUMBER($J229),ISNUMBER(AF229),ISNUMBER(AG229)),ROUND((AG229-MAX(AF229,0))*10,1),"")</f>
        <v/>
      </c>
      <c r="AI229" s="10">
        <f>IF(AE229="","",IF(AND($K229="Yes",ISNUMBER(AG229)),AG229,AE229))</f>
        <v/>
      </c>
      <c r="AJ229" s="10">
        <f>IF(AE229="","",ROUND(SUMIFS($AH$3:$AH$252,$A$3:$A$252,"&lt;="&amp;$A229),1))</f>
        <v/>
      </c>
      <c r="AK229" s="10">
        <f>IF(OR(AE229="",$A229=""),"",IF(ISNUMBER(IFERROR(INDEX($AI$3:$AI$252,MATCH($A229-1,$A$3:$A$252,0)),"")),ROUND((INDEX($AI$3:$AI$252,MATCH($A229-1,$A$3:$A$252,0))-AE229)*10,1),""))</f>
        <v/>
      </c>
      <c r="AL229" s="10">
        <f>IF(ISNUMBER(AE229),1,0)</f>
        <v/>
      </c>
      <c r="AM229" s="17">
        <f>IF($A229="","",IF(COUNTIF($A$3:$A$252,$A229)&gt;1,"same date twice; ","")&amp;IF(AND(ISNUMBER($B229),OR($B229&lt;0,$B229&gt;300)),"rain out of range; ","")&amp;IF(AND(ISNUMBER($C229),OR($C229&lt;0,$C229&gt;45)),"temp out of range; ","")&amp;IF(AND(ISNUMBER($D229),OR($D229&lt;0,$D229&gt;100)),"RH out of range; ",""))</f>
        <v/>
      </c>
      <c r="AN229" s="17">
        <f>IF($A229="","",IF(AND(ISNUMBER(T229),OR(T229&lt;-30,T229&gt;20)),"WL out of range; ","")&amp;IF(AND(ISNUMBER($E229),T229=""),"no TP/b; ","")&amp;IF(AND(ISNUMBER(U229),ISNUMBER(V229)),IF(V229&lt;U229,"After&lt;Before; ",""),"")&amp;IF(AND($F229="Yes",ISNUMBER($E229),W229=""),"irrigation readings missing; ","")&amp;IF(ISNUMBER(Z229),IF(AND(ABS(Z229)&gt;50,NOT(N($B229)&gt;0)),"WL jump &gt;5 cm; ",""),""))</f>
        <v/>
      </c>
      <c r="AO229" s="17">
        <f>IF($A229="","",IF(AND(ISNUMBER(AE229),OR(AE229&lt;-30,AE229&gt;20)),"WL out of range; ","")&amp;IF(AND(ISNUMBER($J229),AE229=""),"no TP/b; ","")&amp;IF(AND(ISNUMBER(AF229),ISNUMBER(AG229)),IF(AG229&lt;AF229,"After&lt;Before; ",""),"")&amp;IF(AND($K229="Yes",ISNUMBER($J229),AH229=""),"irrigation readings missing; ","")&amp;IF(ISNUMBER(AK229),IF(AND(ABS(AK229)&gt;50,NOT(N($B229)&gt;0)),"WL jump &gt;5 cm; ",""),"")&amp;IF(AND(ISNUMBER(PitanE),ISNUMBER(AB229),$A229&gt;PitanE+2,AB229&lt;PitanE),"re-measure TP/b after Pitan; ",""))</f>
        <v/>
      </c>
    </row>
    <row r="230">
      <c r="A230" s="14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0">
        <f>IF(OR($A230="",NOT(ISNUMBER(TransDate))),"",$A230-TransDate)</f>
        <v/>
      </c>
      <c r="Q230" s="16">
        <f>IF($A230="","",IF(_xlfn.MAXIFS('TP-b'!$B$2:$B$60,'TP-b'!$A$2:$A$60,"FP",'TP-b'!$E$2:$E$60,1,'TP-b'!$B$2:$B$60,"&lt;="&amp;$A230)&gt;0,_xlfn.MAXIFS('TP-b'!$B$2:$B$60,'TP-b'!$A$2:$A$60,"FP",'TP-b'!$E$2:$E$60,1,'TP-b'!$B$2:$B$60,"&lt;="&amp;$A230),IF(_xlfn.MINIFS('TP-b'!$B$2:$B$60,'TP-b'!$A$2:$A$60,"FP",'TP-b'!$E$2:$E$60,1)&gt;0,_xlfn.MINIFS('TP-b'!$B$2:$B$60,'TP-b'!$A$2:$A$60,"FP",'TP-b'!$E$2:$E$60,1),"")))</f>
        <v/>
      </c>
      <c r="R230" s="10">
        <f>IF(Q230="","",AVERAGEIFS('TP-b'!$C$2:$C$60,'TP-b'!$A$2:$A$60,"FP",'TP-b'!$B$2:$B$60,Q230,'TP-b'!$E$2:$E$60,1))</f>
        <v/>
      </c>
      <c r="S230" s="10">
        <f>IF(Q230="","",AVERAGEIFS('TP-b'!$D$2:$D$60,'TP-b'!$A$2:$A$60,"FP",'TP-b'!$B$2:$B$60,Q230,'TP-b'!$E$2:$E$60,1))</f>
        <v/>
      </c>
      <c r="T230" s="10">
        <f>IF(OR($A230="",NOT(ISNUMBER($E230)),R230=""),"",ROUND($E230-R230+S230,1))</f>
        <v/>
      </c>
      <c r="U230" s="10">
        <f>IF(AND($F230="Yes",ISNUMBER($G230),R230&lt;&gt;""),ROUND($G230-R230+S230,1),"")</f>
        <v/>
      </c>
      <c r="V230" s="10">
        <f>IF(AND($F230="Yes",ISNUMBER($H230),R230&lt;&gt;""),ROUND($H230-R230+S230,1),"")</f>
        <v/>
      </c>
      <c r="W230" s="10">
        <f>IF(AND(ISNUMBER($E230),ISNUMBER(U230),ISNUMBER(V230)),ROUND((V230-MAX(U230,0))*10,1),"")</f>
        <v/>
      </c>
      <c r="X230" s="10">
        <f>IF(T230="","",IF(AND($F230="Yes",ISNUMBER(V230)),V230,T230))</f>
        <v/>
      </c>
      <c r="Y230" s="10">
        <f>IF(T230="","",ROUND(SUMIFS($W$3:$W$252,$A$3:$A$252,"&lt;="&amp;$A230),1))</f>
        <v/>
      </c>
      <c r="Z230" s="10">
        <f>IF(OR(T230="",$A230=""),"",IF(ISNUMBER(IFERROR(INDEX($X$3:$X$252,MATCH($A230-1,$A$3:$A$252,0)),"")),ROUND((INDEX($X$3:$X$252,MATCH($A230-1,$A$3:$A$252,0))-T230)*10,1),""))</f>
        <v/>
      </c>
      <c r="AA230" s="10">
        <f>IF(ISNUMBER(T230),1,0)</f>
        <v/>
      </c>
      <c r="AB230" s="16">
        <f>IF($A230="","",IF(_xlfn.MAXIFS('TP-b'!$B$2:$B$60,'TP-b'!$A$2:$A$60,"3F4D+MD",'TP-b'!$E$2:$E$60,1,'TP-b'!$B$2:$B$60,"&lt;="&amp;$A230)&gt;0,_xlfn.MAXIFS('TP-b'!$B$2:$B$60,'TP-b'!$A$2:$A$60,"3F4D+MD",'TP-b'!$E$2:$E$60,1,'TP-b'!$B$2:$B$60,"&lt;="&amp;$A230),IF(_xlfn.MINIFS('TP-b'!$B$2:$B$60,'TP-b'!$A$2:$A$60,"3F4D+MD",'TP-b'!$E$2:$E$60,1)&gt;0,_xlfn.MINIFS('TP-b'!$B$2:$B$60,'TP-b'!$A$2:$A$60,"3F4D+MD",'TP-b'!$E$2:$E$60,1),"")))</f>
        <v/>
      </c>
      <c r="AC230" s="10">
        <f>IF(AB230="","",AVERAGEIFS('TP-b'!$C$2:$C$60,'TP-b'!$A$2:$A$60,"3F4D+MD",'TP-b'!$B$2:$B$60,AB230,'TP-b'!$E$2:$E$60,1))</f>
        <v/>
      </c>
      <c r="AD230" s="10">
        <f>IF(AB230="","",AVERAGEIFS('TP-b'!$D$2:$D$60,'TP-b'!$A$2:$A$60,"3F4D+MD",'TP-b'!$B$2:$B$60,AB230,'TP-b'!$E$2:$E$60,1))</f>
        <v/>
      </c>
      <c r="AE230" s="10">
        <f>IF(OR($A230="",NOT(ISNUMBER($J230)),AC230=""),"",ROUND($J230-AC230+AD230,1))</f>
        <v/>
      </c>
      <c r="AF230" s="10">
        <f>IF(AND($K230="Yes",ISNUMBER($L230),AC230&lt;&gt;""),ROUND($L230-AC230+AD230,1),"")</f>
        <v/>
      </c>
      <c r="AG230" s="10">
        <f>IF(AND($K230="Yes",ISNUMBER($M230),AC230&lt;&gt;""),ROUND($M230-AC230+AD230,1),"")</f>
        <v/>
      </c>
      <c r="AH230" s="10">
        <f>IF(AND(ISNUMBER($J230),ISNUMBER(AF230),ISNUMBER(AG230)),ROUND((AG230-MAX(AF230,0))*10,1),"")</f>
        <v/>
      </c>
      <c r="AI230" s="10">
        <f>IF(AE230="","",IF(AND($K230="Yes",ISNUMBER(AG230)),AG230,AE230))</f>
        <v/>
      </c>
      <c r="AJ230" s="10">
        <f>IF(AE230="","",ROUND(SUMIFS($AH$3:$AH$252,$A$3:$A$252,"&lt;="&amp;$A230),1))</f>
        <v/>
      </c>
      <c r="AK230" s="10">
        <f>IF(OR(AE230="",$A230=""),"",IF(ISNUMBER(IFERROR(INDEX($AI$3:$AI$252,MATCH($A230-1,$A$3:$A$252,0)),"")),ROUND((INDEX($AI$3:$AI$252,MATCH($A230-1,$A$3:$A$252,0))-AE230)*10,1),""))</f>
        <v/>
      </c>
      <c r="AL230" s="10">
        <f>IF(ISNUMBER(AE230),1,0)</f>
        <v/>
      </c>
      <c r="AM230" s="17">
        <f>IF($A230="","",IF(COUNTIF($A$3:$A$252,$A230)&gt;1,"same date twice; ","")&amp;IF(AND(ISNUMBER($B230),OR($B230&lt;0,$B230&gt;300)),"rain out of range; ","")&amp;IF(AND(ISNUMBER($C230),OR($C230&lt;0,$C230&gt;45)),"temp out of range; ","")&amp;IF(AND(ISNUMBER($D230),OR($D230&lt;0,$D230&gt;100)),"RH out of range; ",""))</f>
        <v/>
      </c>
      <c r="AN230" s="17">
        <f>IF($A230="","",IF(AND(ISNUMBER(T230),OR(T230&lt;-30,T230&gt;20)),"WL out of range; ","")&amp;IF(AND(ISNUMBER($E230),T230=""),"no TP/b; ","")&amp;IF(AND(ISNUMBER(U230),ISNUMBER(V230)),IF(V230&lt;U230,"After&lt;Before; ",""),"")&amp;IF(AND($F230="Yes",ISNUMBER($E230),W230=""),"irrigation readings missing; ","")&amp;IF(ISNUMBER(Z230),IF(AND(ABS(Z230)&gt;50,NOT(N($B230)&gt;0)),"WL jump &gt;5 cm; ",""),""))</f>
        <v/>
      </c>
      <c r="AO230" s="17">
        <f>IF($A230="","",IF(AND(ISNUMBER(AE230),OR(AE230&lt;-30,AE230&gt;20)),"WL out of range; ","")&amp;IF(AND(ISNUMBER($J230),AE230=""),"no TP/b; ","")&amp;IF(AND(ISNUMBER(AF230),ISNUMBER(AG230)),IF(AG230&lt;AF230,"After&lt;Before; ",""),"")&amp;IF(AND($K230="Yes",ISNUMBER($J230),AH230=""),"irrigation readings missing; ","")&amp;IF(ISNUMBER(AK230),IF(AND(ABS(AK230)&gt;50,NOT(N($B230)&gt;0)),"WL jump &gt;5 cm; ",""),"")&amp;IF(AND(ISNUMBER(PitanE),ISNUMBER(AB230),$A230&gt;PitanE+2,AB230&lt;PitanE),"re-measure TP/b after Pitan; ",""))</f>
        <v/>
      </c>
    </row>
    <row r="231">
      <c r="A231" s="14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0">
        <f>IF(OR($A231="",NOT(ISNUMBER(TransDate))),"",$A231-TransDate)</f>
        <v/>
      </c>
      <c r="Q231" s="16">
        <f>IF($A231="","",IF(_xlfn.MAXIFS('TP-b'!$B$2:$B$60,'TP-b'!$A$2:$A$60,"FP",'TP-b'!$E$2:$E$60,1,'TP-b'!$B$2:$B$60,"&lt;="&amp;$A231)&gt;0,_xlfn.MAXIFS('TP-b'!$B$2:$B$60,'TP-b'!$A$2:$A$60,"FP",'TP-b'!$E$2:$E$60,1,'TP-b'!$B$2:$B$60,"&lt;="&amp;$A231),IF(_xlfn.MINIFS('TP-b'!$B$2:$B$60,'TP-b'!$A$2:$A$60,"FP",'TP-b'!$E$2:$E$60,1)&gt;0,_xlfn.MINIFS('TP-b'!$B$2:$B$60,'TP-b'!$A$2:$A$60,"FP",'TP-b'!$E$2:$E$60,1),"")))</f>
        <v/>
      </c>
      <c r="R231" s="10">
        <f>IF(Q231="","",AVERAGEIFS('TP-b'!$C$2:$C$60,'TP-b'!$A$2:$A$60,"FP",'TP-b'!$B$2:$B$60,Q231,'TP-b'!$E$2:$E$60,1))</f>
        <v/>
      </c>
      <c r="S231" s="10">
        <f>IF(Q231="","",AVERAGEIFS('TP-b'!$D$2:$D$60,'TP-b'!$A$2:$A$60,"FP",'TP-b'!$B$2:$B$60,Q231,'TP-b'!$E$2:$E$60,1))</f>
        <v/>
      </c>
      <c r="T231" s="10">
        <f>IF(OR($A231="",NOT(ISNUMBER($E231)),R231=""),"",ROUND($E231-R231+S231,1))</f>
        <v/>
      </c>
      <c r="U231" s="10">
        <f>IF(AND($F231="Yes",ISNUMBER($G231),R231&lt;&gt;""),ROUND($G231-R231+S231,1),"")</f>
        <v/>
      </c>
      <c r="V231" s="10">
        <f>IF(AND($F231="Yes",ISNUMBER($H231),R231&lt;&gt;""),ROUND($H231-R231+S231,1),"")</f>
        <v/>
      </c>
      <c r="W231" s="10">
        <f>IF(AND(ISNUMBER($E231),ISNUMBER(U231),ISNUMBER(V231)),ROUND((V231-MAX(U231,0))*10,1),"")</f>
        <v/>
      </c>
      <c r="X231" s="10">
        <f>IF(T231="","",IF(AND($F231="Yes",ISNUMBER(V231)),V231,T231))</f>
        <v/>
      </c>
      <c r="Y231" s="10">
        <f>IF(T231="","",ROUND(SUMIFS($W$3:$W$252,$A$3:$A$252,"&lt;="&amp;$A231),1))</f>
        <v/>
      </c>
      <c r="Z231" s="10">
        <f>IF(OR(T231="",$A231=""),"",IF(ISNUMBER(IFERROR(INDEX($X$3:$X$252,MATCH($A231-1,$A$3:$A$252,0)),"")),ROUND((INDEX($X$3:$X$252,MATCH($A231-1,$A$3:$A$252,0))-T231)*10,1),""))</f>
        <v/>
      </c>
      <c r="AA231" s="10">
        <f>IF(ISNUMBER(T231),1,0)</f>
        <v/>
      </c>
      <c r="AB231" s="16">
        <f>IF($A231="","",IF(_xlfn.MAXIFS('TP-b'!$B$2:$B$60,'TP-b'!$A$2:$A$60,"3F4D+MD",'TP-b'!$E$2:$E$60,1,'TP-b'!$B$2:$B$60,"&lt;="&amp;$A231)&gt;0,_xlfn.MAXIFS('TP-b'!$B$2:$B$60,'TP-b'!$A$2:$A$60,"3F4D+MD",'TP-b'!$E$2:$E$60,1,'TP-b'!$B$2:$B$60,"&lt;="&amp;$A231),IF(_xlfn.MINIFS('TP-b'!$B$2:$B$60,'TP-b'!$A$2:$A$60,"3F4D+MD",'TP-b'!$E$2:$E$60,1)&gt;0,_xlfn.MINIFS('TP-b'!$B$2:$B$60,'TP-b'!$A$2:$A$60,"3F4D+MD",'TP-b'!$E$2:$E$60,1),"")))</f>
        <v/>
      </c>
      <c r="AC231" s="10">
        <f>IF(AB231="","",AVERAGEIFS('TP-b'!$C$2:$C$60,'TP-b'!$A$2:$A$60,"3F4D+MD",'TP-b'!$B$2:$B$60,AB231,'TP-b'!$E$2:$E$60,1))</f>
        <v/>
      </c>
      <c r="AD231" s="10">
        <f>IF(AB231="","",AVERAGEIFS('TP-b'!$D$2:$D$60,'TP-b'!$A$2:$A$60,"3F4D+MD",'TP-b'!$B$2:$B$60,AB231,'TP-b'!$E$2:$E$60,1))</f>
        <v/>
      </c>
      <c r="AE231" s="10">
        <f>IF(OR($A231="",NOT(ISNUMBER($J231)),AC231=""),"",ROUND($J231-AC231+AD231,1))</f>
        <v/>
      </c>
      <c r="AF231" s="10">
        <f>IF(AND($K231="Yes",ISNUMBER($L231),AC231&lt;&gt;""),ROUND($L231-AC231+AD231,1),"")</f>
        <v/>
      </c>
      <c r="AG231" s="10">
        <f>IF(AND($K231="Yes",ISNUMBER($M231),AC231&lt;&gt;""),ROUND($M231-AC231+AD231,1),"")</f>
        <v/>
      </c>
      <c r="AH231" s="10">
        <f>IF(AND(ISNUMBER($J231),ISNUMBER(AF231),ISNUMBER(AG231)),ROUND((AG231-MAX(AF231,0))*10,1),"")</f>
        <v/>
      </c>
      <c r="AI231" s="10">
        <f>IF(AE231="","",IF(AND($K231="Yes",ISNUMBER(AG231)),AG231,AE231))</f>
        <v/>
      </c>
      <c r="AJ231" s="10">
        <f>IF(AE231="","",ROUND(SUMIFS($AH$3:$AH$252,$A$3:$A$252,"&lt;="&amp;$A231),1))</f>
        <v/>
      </c>
      <c r="AK231" s="10">
        <f>IF(OR(AE231="",$A231=""),"",IF(ISNUMBER(IFERROR(INDEX($AI$3:$AI$252,MATCH($A231-1,$A$3:$A$252,0)),"")),ROUND((INDEX($AI$3:$AI$252,MATCH($A231-1,$A$3:$A$252,0))-AE231)*10,1),""))</f>
        <v/>
      </c>
      <c r="AL231" s="10">
        <f>IF(ISNUMBER(AE231),1,0)</f>
        <v/>
      </c>
      <c r="AM231" s="17">
        <f>IF($A231="","",IF(COUNTIF($A$3:$A$252,$A231)&gt;1,"same date twice; ","")&amp;IF(AND(ISNUMBER($B231),OR($B231&lt;0,$B231&gt;300)),"rain out of range; ","")&amp;IF(AND(ISNUMBER($C231),OR($C231&lt;0,$C231&gt;45)),"temp out of range; ","")&amp;IF(AND(ISNUMBER($D231),OR($D231&lt;0,$D231&gt;100)),"RH out of range; ",""))</f>
        <v/>
      </c>
      <c r="AN231" s="17">
        <f>IF($A231="","",IF(AND(ISNUMBER(T231),OR(T231&lt;-30,T231&gt;20)),"WL out of range; ","")&amp;IF(AND(ISNUMBER($E231),T231=""),"no TP/b; ","")&amp;IF(AND(ISNUMBER(U231),ISNUMBER(V231)),IF(V231&lt;U231,"After&lt;Before; ",""),"")&amp;IF(AND($F231="Yes",ISNUMBER($E231),W231=""),"irrigation readings missing; ","")&amp;IF(ISNUMBER(Z231),IF(AND(ABS(Z231)&gt;50,NOT(N($B231)&gt;0)),"WL jump &gt;5 cm; ",""),""))</f>
        <v/>
      </c>
      <c r="AO231" s="17">
        <f>IF($A231="","",IF(AND(ISNUMBER(AE231),OR(AE231&lt;-30,AE231&gt;20)),"WL out of range; ","")&amp;IF(AND(ISNUMBER($J231),AE231=""),"no TP/b; ","")&amp;IF(AND(ISNUMBER(AF231),ISNUMBER(AG231)),IF(AG231&lt;AF231,"After&lt;Before; ",""),"")&amp;IF(AND($K231="Yes",ISNUMBER($J231),AH231=""),"irrigation readings missing; ","")&amp;IF(ISNUMBER(AK231),IF(AND(ABS(AK231)&gt;50,NOT(N($B231)&gt;0)),"WL jump &gt;5 cm; ",""),"")&amp;IF(AND(ISNUMBER(PitanE),ISNUMBER(AB231),$A231&gt;PitanE+2,AB231&lt;PitanE),"re-measure TP/b after Pitan; ",""))</f>
        <v/>
      </c>
    </row>
    <row r="232">
      <c r="A232" s="14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0">
        <f>IF(OR($A232="",NOT(ISNUMBER(TransDate))),"",$A232-TransDate)</f>
        <v/>
      </c>
      <c r="Q232" s="16">
        <f>IF($A232="","",IF(_xlfn.MAXIFS('TP-b'!$B$2:$B$60,'TP-b'!$A$2:$A$60,"FP",'TP-b'!$E$2:$E$60,1,'TP-b'!$B$2:$B$60,"&lt;="&amp;$A232)&gt;0,_xlfn.MAXIFS('TP-b'!$B$2:$B$60,'TP-b'!$A$2:$A$60,"FP",'TP-b'!$E$2:$E$60,1,'TP-b'!$B$2:$B$60,"&lt;="&amp;$A232),IF(_xlfn.MINIFS('TP-b'!$B$2:$B$60,'TP-b'!$A$2:$A$60,"FP",'TP-b'!$E$2:$E$60,1)&gt;0,_xlfn.MINIFS('TP-b'!$B$2:$B$60,'TP-b'!$A$2:$A$60,"FP",'TP-b'!$E$2:$E$60,1),"")))</f>
        <v/>
      </c>
      <c r="R232" s="10">
        <f>IF(Q232="","",AVERAGEIFS('TP-b'!$C$2:$C$60,'TP-b'!$A$2:$A$60,"FP",'TP-b'!$B$2:$B$60,Q232,'TP-b'!$E$2:$E$60,1))</f>
        <v/>
      </c>
      <c r="S232" s="10">
        <f>IF(Q232="","",AVERAGEIFS('TP-b'!$D$2:$D$60,'TP-b'!$A$2:$A$60,"FP",'TP-b'!$B$2:$B$60,Q232,'TP-b'!$E$2:$E$60,1))</f>
        <v/>
      </c>
      <c r="T232" s="10">
        <f>IF(OR($A232="",NOT(ISNUMBER($E232)),R232=""),"",ROUND($E232-R232+S232,1))</f>
        <v/>
      </c>
      <c r="U232" s="10">
        <f>IF(AND($F232="Yes",ISNUMBER($G232),R232&lt;&gt;""),ROUND($G232-R232+S232,1),"")</f>
        <v/>
      </c>
      <c r="V232" s="10">
        <f>IF(AND($F232="Yes",ISNUMBER($H232),R232&lt;&gt;""),ROUND($H232-R232+S232,1),"")</f>
        <v/>
      </c>
      <c r="W232" s="10">
        <f>IF(AND(ISNUMBER($E232),ISNUMBER(U232),ISNUMBER(V232)),ROUND((V232-MAX(U232,0))*10,1),"")</f>
        <v/>
      </c>
      <c r="X232" s="10">
        <f>IF(T232="","",IF(AND($F232="Yes",ISNUMBER(V232)),V232,T232))</f>
        <v/>
      </c>
      <c r="Y232" s="10">
        <f>IF(T232="","",ROUND(SUMIFS($W$3:$W$252,$A$3:$A$252,"&lt;="&amp;$A232),1))</f>
        <v/>
      </c>
      <c r="Z232" s="10">
        <f>IF(OR(T232="",$A232=""),"",IF(ISNUMBER(IFERROR(INDEX($X$3:$X$252,MATCH($A232-1,$A$3:$A$252,0)),"")),ROUND((INDEX($X$3:$X$252,MATCH($A232-1,$A$3:$A$252,0))-T232)*10,1),""))</f>
        <v/>
      </c>
      <c r="AA232" s="10">
        <f>IF(ISNUMBER(T232),1,0)</f>
        <v/>
      </c>
      <c r="AB232" s="16">
        <f>IF($A232="","",IF(_xlfn.MAXIFS('TP-b'!$B$2:$B$60,'TP-b'!$A$2:$A$60,"3F4D+MD",'TP-b'!$E$2:$E$60,1,'TP-b'!$B$2:$B$60,"&lt;="&amp;$A232)&gt;0,_xlfn.MAXIFS('TP-b'!$B$2:$B$60,'TP-b'!$A$2:$A$60,"3F4D+MD",'TP-b'!$E$2:$E$60,1,'TP-b'!$B$2:$B$60,"&lt;="&amp;$A232),IF(_xlfn.MINIFS('TP-b'!$B$2:$B$60,'TP-b'!$A$2:$A$60,"3F4D+MD",'TP-b'!$E$2:$E$60,1)&gt;0,_xlfn.MINIFS('TP-b'!$B$2:$B$60,'TP-b'!$A$2:$A$60,"3F4D+MD",'TP-b'!$E$2:$E$60,1),"")))</f>
        <v/>
      </c>
      <c r="AC232" s="10">
        <f>IF(AB232="","",AVERAGEIFS('TP-b'!$C$2:$C$60,'TP-b'!$A$2:$A$60,"3F4D+MD",'TP-b'!$B$2:$B$60,AB232,'TP-b'!$E$2:$E$60,1))</f>
        <v/>
      </c>
      <c r="AD232" s="10">
        <f>IF(AB232="","",AVERAGEIFS('TP-b'!$D$2:$D$60,'TP-b'!$A$2:$A$60,"3F4D+MD",'TP-b'!$B$2:$B$60,AB232,'TP-b'!$E$2:$E$60,1))</f>
        <v/>
      </c>
      <c r="AE232" s="10">
        <f>IF(OR($A232="",NOT(ISNUMBER($J232)),AC232=""),"",ROUND($J232-AC232+AD232,1))</f>
        <v/>
      </c>
      <c r="AF232" s="10">
        <f>IF(AND($K232="Yes",ISNUMBER($L232),AC232&lt;&gt;""),ROUND($L232-AC232+AD232,1),"")</f>
        <v/>
      </c>
      <c r="AG232" s="10">
        <f>IF(AND($K232="Yes",ISNUMBER($M232),AC232&lt;&gt;""),ROUND($M232-AC232+AD232,1),"")</f>
        <v/>
      </c>
      <c r="AH232" s="10">
        <f>IF(AND(ISNUMBER($J232),ISNUMBER(AF232),ISNUMBER(AG232)),ROUND((AG232-MAX(AF232,0))*10,1),"")</f>
        <v/>
      </c>
      <c r="AI232" s="10">
        <f>IF(AE232="","",IF(AND($K232="Yes",ISNUMBER(AG232)),AG232,AE232))</f>
        <v/>
      </c>
      <c r="AJ232" s="10">
        <f>IF(AE232="","",ROUND(SUMIFS($AH$3:$AH$252,$A$3:$A$252,"&lt;="&amp;$A232),1))</f>
        <v/>
      </c>
      <c r="AK232" s="10">
        <f>IF(OR(AE232="",$A232=""),"",IF(ISNUMBER(IFERROR(INDEX($AI$3:$AI$252,MATCH($A232-1,$A$3:$A$252,0)),"")),ROUND((INDEX($AI$3:$AI$252,MATCH($A232-1,$A$3:$A$252,0))-AE232)*10,1),""))</f>
        <v/>
      </c>
      <c r="AL232" s="10">
        <f>IF(ISNUMBER(AE232),1,0)</f>
        <v/>
      </c>
      <c r="AM232" s="17">
        <f>IF($A232="","",IF(COUNTIF($A$3:$A$252,$A232)&gt;1,"same date twice; ","")&amp;IF(AND(ISNUMBER($B232),OR($B232&lt;0,$B232&gt;300)),"rain out of range; ","")&amp;IF(AND(ISNUMBER($C232),OR($C232&lt;0,$C232&gt;45)),"temp out of range; ","")&amp;IF(AND(ISNUMBER($D232),OR($D232&lt;0,$D232&gt;100)),"RH out of range; ",""))</f>
        <v/>
      </c>
      <c r="AN232" s="17">
        <f>IF($A232="","",IF(AND(ISNUMBER(T232),OR(T232&lt;-30,T232&gt;20)),"WL out of range; ","")&amp;IF(AND(ISNUMBER($E232),T232=""),"no TP/b; ","")&amp;IF(AND(ISNUMBER(U232),ISNUMBER(V232)),IF(V232&lt;U232,"After&lt;Before; ",""),"")&amp;IF(AND($F232="Yes",ISNUMBER($E232),W232=""),"irrigation readings missing; ","")&amp;IF(ISNUMBER(Z232),IF(AND(ABS(Z232)&gt;50,NOT(N($B232)&gt;0)),"WL jump &gt;5 cm; ",""),""))</f>
        <v/>
      </c>
      <c r="AO232" s="17">
        <f>IF($A232="","",IF(AND(ISNUMBER(AE232),OR(AE232&lt;-30,AE232&gt;20)),"WL out of range; ","")&amp;IF(AND(ISNUMBER($J232),AE232=""),"no TP/b; ","")&amp;IF(AND(ISNUMBER(AF232),ISNUMBER(AG232)),IF(AG232&lt;AF232,"After&lt;Before; ",""),"")&amp;IF(AND($K232="Yes",ISNUMBER($J232),AH232=""),"irrigation readings missing; ","")&amp;IF(ISNUMBER(AK232),IF(AND(ABS(AK232)&gt;50,NOT(N($B232)&gt;0)),"WL jump &gt;5 cm; ",""),"")&amp;IF(AND(ISNUMBER(PitanE),ISNUMBER(AB232),$A232&gt;PitanE+2,AB232&lt;PitanE),"re-measure TP/b after Pitan; ",""))</f>
        <v/>
      </c>
    </row>
    <row r="233">
      <c r="A233" s="14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0">
        <f>IF(OR($A233="",NOT(ISNUMBER(TransDate))),"",$A233-TransDate)</f>
        <v/>
      </c>
      <c r="Q233" s="16">
        <f>IF($A233="","",IF(_xlfn.MAXIFS('TP-b'!$B$2:$B$60,'TP-b'!$A$2:$A$60,"FP",'TP-b'!$E$2:$E$60,1,'TP-b'!$B$2:$B$60,"&lt;="&amp;$A233)&gt;0,_xlfn.MAXIFS('TP-b'!$B$2:$B$60,'TP-b'!$A$2:$A$60,"FP",'TP-b'!$E$2:$E$60,1,'TP-b'!$B$2:$B$60,"&lt;="&amp;$A233),IF(_xlfn.MINIFS('TP-b'!$B$2:$B$60,'TP-b'!$A$2:$A$60,"FP",'TP-b'!$E$2:$E$60,1)&gt;0,_xlfn.MINIFS('TP-b'!$B$2:$B$60,'TP-b'!$A$2:$A$60,"FP",'TP-b'!$E$2:$E$60,1),"")))</f>
        <v/>
      </c>
      <c r="R233" s="10">
        <f>IF(Q233="","",AVERAGEIFS('TP-b'!$C$2:$C$60,'TP-b'!$A$2:$A$60,"FP",'TP-b'!$B$2:$B$60,Q233,'TP-b'!$E$2:$E$60,1))</f>
        <v/>
      </c>
      <c r="S233" s="10">
        <f>IF(Q233="","",AVERAGEIFS('TP-b'!$D$2:$D$60,'TP-b'!$A$2:$A$60,"FP",'TP-b'!$B$2:$B$60,Q233,'TP-b'!$E$2:$E$60,1))</f>
        <v/>
      </c>
      <c r="T233" s="10">
        <f>IF(OR($A233="",NOT(ISNUMBER($E233)),R233=""),"",ROUND($E233-R233+S233,1))</f>
        <v/>
      </c>
      <c r="U233" s="10">
        <f>IF(AND($F233="Yes",ISNUMBER($G233),R233&lt;&gt;""),ROUND($G233-R233+S233,1),"")</f>
        <v/>
      </c>
      <c r="V233" s="10">
        <f>IF(AND($F233="Yes",ISNUMBER($H233),R233&lt;&gt;""),ROUND($H233-R233+S233,1),"")</f>
        <v/>
      </c>
      <c r="W233" s="10">
        <f>IF(AND(ISNUMBER($E233),ISNUMBER(U233),ISNUMBER(V233)),ROUND((V233-MAX(U233,0))*10,1),"")</f>
        <v/>
      </c>
      <c r="X233" s="10">
        <f>IF(T233="","",IF(AND($F233="Yes",ISNUMBER(V233)),V233,T233))</f>
        <v/>
      </c>
      <c r="Y233" s="10">
        <f>IF(T233="","",ROUND(SUMIFS($W$3:$W$252,$A$3:$A$252,"&lt;="&amp;$A233),1))</f>
        <v/>
      </c>
      <c r="Z233" s="10">
        <f>IF(OR(T233="",$A233=""),"",IF(ISNUMBER(IFERROR(INDEX($X$3:$X$252,MATCH($A233-1,$A$3:$A$252,0)),"")),ROUND((INDEX($X$3:$X$252,MATCH($A233-1,$A$3:$A$252,0))-T233)*10,1),""))</f>
        <v/>
      </c>
      <c r="AA233" s="10">
        <f>IF(ISNUMBER(T233),1,0)</f>
        <v/>
      </c>
      <c r="AB233" s="16">
        <f>IF($A233="","",IF(_xlfn.MAXIFS('TP-b'!$B$2:$B$60,'TP-b'!$A$2:$A$60,"3F4D+MD",'TP-b'!$E$2:$E$60,1,'TP-b'!$B$2:$B$60,"&lt;="&amp;$A233)&gt;0,_xlfn.MAXIFS('TP-b'!$B$2:$B$60,'TP-b'!$A$2:$A$60,"3F4D+MD",'TP-b'!$E$2:$E$60,1,'TP-b'!$B$2:$B$60,"&lt;="&amp;$A233),IF(_xlfn.MINIFS('TP-b'!$B$2:$B$60,'TP-b'!$A$2:$A$60,"3F4D+MD",'TP-b'!$E$2:$E$60,1)&gt;0,_xlfn.MINIFS('TP-b'!$B$2:$B$60,'TP-b'!$A$2:$A$60,"3F4D+MD",'TP-b'!$E$2:$E$60,1),"")))</f>
        <v/>
      </c>
      <c r="AC233" s="10">
        <f>IF(AB233="","",AVERAGEIFS('TP-b'!$C$2:$C$60,'TP-b'!$A$2:$A$60,"3F4D+MD",'TP-b'!$B$2:$B$60,AB233,'TP-b'!$E$2:$E$60,1))</f>
        <v/>
      </c>
      <c r="AD233" s="10">
        <f>IF(AB233="","",AVERAGEIFS('TP-b'!$D$2:$D$60,'TP-b'!$A$2:$A$60,"3F4D+MD",'TP-b'!$B$2:$B$60,AB233,'TP-b'!$E$2:$E$60,1))</f>
        <v/>
      </c>
      <c r="AE233" s="10">
        <f>IF(OR($A233="",NOT(ISNUMBER($J233)),AC233=""),"",ROUND($J233-AC233+AD233,1))</f>
        <v/>
      </c>
      <c r="AF233" s="10">
        <f>IF(AND($K233="Yes",ISNUMBER($L233),AC233&lt;&gt;""),ROUND($L233-AC233+AD233,1),"")</f>
        <v/>
      </c>
      <c r="AG233" s="10">
        <f>IF(AND($K233="Yes",ISNUMBER($M233),AC233&lt;&gt;""),ROUND($M233-AC233+AD233,1),"")</f>
        <v/>
      </c>
      <c r="AH233" s="10">
        <f>IF(AND(ISNUMBER($J233),ISNUMBER(AF233),ISNUMBER(AG233)),ROUND((AG233-MAX(AF233,0))*10,1),"")</f>
        <v/>
      </c>
      <c r="AI233" s="10">
        <f>IF(AE233="","",IF(AND($K233="Yes",ISNUMBER(AG233)),AG233,AE233))</f>
        <v/>
      </c>
      <c r="AJ233" s="10">
        <f>IF(AE233="","",ROUND(SUMIFS($AH$3:$AH$252,$A$3:$A$252,"&lt;="&amp;$A233),1))</f>
        <v/>
      </c>
      <c r="AK233" s="10">
        <f>IF(OR(AE233="",$A233=""),"",IF(ISNUMBER(IFERROR(INDEX($AI$3:$AI$252,MATCH($A233-1,$A$3:$A$252,0)),"")),ROUND((INDEX($AI$3:$AI$252,MATCH($A233-1,$A$3:$A$252,0))-AE233)*10,1),""))</f>
        <v/>
      </c>
      <c r="AL233" s="10">
        <f>IF(ISNUMBER(AE233),1,0)</f>
        <v/>
      </c>
      <c r="AM233" s="17">
        <f>IF($A233="","",IF(COUNTIF($A$3:$A$252,$A233)&gt;1,"same date twice; ","")&amp;IF(AND(ISNUMBER($B233),OR($B233&lt;0,$B233&gt;300)),"rain out of range; ","")&amp;IF(AND(ISNUMBER($C233),OR($C233&lt;0,$C233&gt;45)),"temp out of range; ","")&amp;IF(AND(ISNUMBER($D233),OR($D233&lt;0,$D233&gt;100)),"RH out of range; ",""))</f>
        <v/>
      </c>
      <c r="AN233" s="17">
        <f>IF($A233="","",IF(AND(ISNUMBER(T233),OR(T233&lt;-30,T233&gt;20)),"WL out of range; ","")&amp;IF(AND(ISNUMBER($E233),T233=""),"no TP/b; ","")&amp;IF(AND(ISNUMBER(U233),ISNUMBER(V233)),IF(V233&lt;U233,"After&lt;Before; ",""),"")&amp;IF(AND($F233="Yes",ISNUMBER($E233),W233=""),"irrigation readings missing; ","")&amp;IF(ISNUMBER(Z233),IF(AND(ABS(Z233)&gt;50,NOT(N($B233)&gt;0)),"WL jump &gt;5 cm; ",""),""))</f>
        <v/>
      </c>
      <c r="AO233" s="17">
        <f>IF($A233="","",IF(AND(ISNUMBER(AE233),OR(AE233&lt;-30,AE233&gt;20)),"WL out of range; ","")&amp;IF(AND(ISNUMBER($J233),AE233=""),"no TP/b; ","")&amp;IF(AND(ISNUMBER(AF233),ISNUMBER(AG233)),IF(AG233&lt;AF233,"After&lt;Before; ",""),"")&amp;IF(AND($K233="Yes",ISNUMBER($J233),AH233=""),"irrigation readings missing; ","")&amp;IF(ISNUMBER(AK233),IF(AND(ABS(AK233)&gt;50,NOT(N($B233)&gt;0)),"WL jump &gt;5 cm; ",""),"")&amp;IF(AND(ISNUMBER(PitanE),ISNUMBER(AB233),$A233&gt;PitanE+2,AB233&lt;PitanE),"re-measure TP/b after Pitan; ",""))</f>
        <v/>
      </c>
    </row>
    <row r="234">
      <c r="A234" s="14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0">
        <f>IF(OR($A234="",NOT(ISNUMBER(TransDate))),"",$A234-TransDate)</f>
        <v/>
      </c>
      <c r="Q234" s="16">
        <f>IF($A234="","",IF(_xlfn.MAXIFS('TP-b'!$B$2:$B$60,'TP-b'!$A$2:$A$60,"FP",'TP-b'!$E$2:$E$60,1,'TP-b'!$B$2:$B$60,"&lt;="&amp;$A234)&gt;0,_xlfn.MAXIFS('TP-b'!$B$2:$B$60,'TP-b'!$A$2:$A$60,"FP",'TP-b'!$E$2:$E$60,1,'TP-b'!$B$2:$B$60,"&lt;="&amp;$A234),IF(_xlfn.MINIFS('TP-b'!$B$2:$B$60,'TP-b'!$A$2:$A$60,"FP",'TP-b'!$E$2:$E$60,1)&gt;0,_xlfn.MINIFS('TP-b'!$B$2:$B$60,'TP-b'!$A$2:$A$60,"FP",'TP-b'!$E$2:$E$60,1),"")))</f>
        <v/>
      </c>
      <c r="R234" s="10">
        <f>IF(Q234="","",AVERAGEIFS('TP-b'!$C$2:$C$60,'TP-b'!$A$2:$A$60,"FP",'TP-b'!$B$2:$B$60,Q234,'TP-b'!$E$2:$E$60,1))</f>
        <v/>
      </c>
      <c r="S234" s="10">
        <f>IF(Q234="","",AVERAGEIFS('TP-b'!$D$2:$D$60,'TP-b'!$A$2:$A$60,"FP",'TP-b'!$B$2:$B$60,Q234,'TP-b'!$E$2:$E$60,1))</f>
        <v/>
      </c>
      <c r="T234" s="10">
        <f>IF(OR($A234="",NOT(ISNUMBER($E234)),R234=""),"",ROUND($E234-R234+S234,1))</f>
        <v/>
      </c>
      <c r="U234" s="10">
        <f>IF(AND($F234="Yes",ISNUMBER($G234),R234&lt;&gt;""),ROUND($G234-R234+S234,1),"")</f>
        <v/>
      </c>
      <c r="V234" s="10">
        <f>IF(AND($F234="Yes",ISNUMBER($H234),R234&lt;&gt;""),ROUND($H234-R234+S234,1),"")</f>
        <v/>
      </c>
      <c r="W234" s="10">
        <f>IF(AND(ISNUMBER($E234),ISNUMBER(U234),ISNUMBER(V234)),ROUND((V234-MAX(U234,0))*10,1),"")</f>
        <v/>
      </c>
      <c r="X234" s="10">
        <f>IF(T234="","",IF(AND($F234="Yes",ISNUMBER(V234)),V234,T234))</f>
        <v/>
      </c>
      <c r="Y234" s="10">
        <f>IF(T234="","",ROUND(SUMIFS($W$3:$W$252,$A$3:$A$252,"&lt;="&amp;$A234),1))</f>
        <v/>
      </c>
      <c r="Z234" s="10">
        <f>IF(OR(T234="",$A234=""),"",IF(ISNUMBER(IFERROR(INDEX($X$3:$X$252,MATCH($A234-1,$A$3:$A$252,0)),"")),ROUND((INDEX($X$3:$X$252,MATCH($A234-1,$A$3:$A$252,0))-T234)*10,1),""))</f>
        <v/>
      </c>
      <c r="AA234" s="10">
        <f>IF(ISNUMBER(T234),1,0)</f>
        <v/>
      </c>
      <c r="AB234" s="16">
        <f>IF($A234="","",IF(_xlfn.MAXIFS('TP-b'!$B$2:$B$60,'TP-b'!$A$2:$A$60,"3F4D+MD",'TP-b'!$E$2:$E$60,1,'TP-b'!$B$2:$B$60,"&lt;="&amp;$A234)&gt;0,_xlfn.MAXIFS('TP-b'!$B$2:$B$60,'TP-b'!$A$2:$A$60,"3F4D+MD",'TP-b'!$E$2:$E$60,1,'TP-b'!$B$2:$B$60,"&lt;="&amp;$A234),IF(_xlfn.MINIFS('TP-b'!$B$2:$B$60,'TP-b'!$A$2:$A$60,"3F4D+MD",'TP-b'!$E$2:$E$60,1)&gt;0,_xlfn.MINIFS('TP-b'!$B$2:$B$60,'TP-b'!$A$2:$A$60,"3F4D+MD",'TP-b'!$E$2:$E$60,1),"")))</f>
        <v/>
      </c>
      <c r="AC234" s="10">
        <f>IF(AB234="","",AVERAGEIFS('TP-b'!$C$2:$C$60,'TP-b'!$A$2:$A$60,"3F4D+MD",'TP-b'!$B$2:$B$60,AB234,'TP-b'!$E$2:$E$60,1))</f>
        <v/>
      </c>
      <c r="AD234" s="10">
        <f>IF(AB234="","",AVERAGEIFS('TP-b'!$D$2:$D$60,'TP-b'!$A$2:$A$60,"3F4D+MD",'TP-b'!$B$2:$B$60,AB234,'TP-b'!$E$2:$E$60,1))</f>
        <v/>
      </c>
      <c r="AE234" s="10">
        <f>IF(OR($A234="",NOT(ISNUMBER($J234)),AC234=""),"",ROUND($J234-AC234+AD234,1))</f>
        <v/>
      </c>
      <c r="AF234" s="10">
        <f>IF(AND($K234="Yes",ISNUMBER($L234),AC234&lt;&gt;""),ROUND($L234-AC234+AD234,1),"")</f>
        <v/>
      </c>
      <c r="AG234" s="10">
        <f>IF(AND($K234="Yes",ISNUMBER($M234),AC234&lt;&gt;""),ROUND($M234-AC234+AD234,1),"")</f>
        <v/>
      </c>
      <c r="AH234" s="10">
        <f>IF(AND(ISNUMBER($J234),ISNUMBER(AF234),ISNUMBER(AG234)),ROUND((AG234-MAX(AF234,0))*10,1),"")</f>
        <v/>
      </c>
      <c r="AI234" s="10">
        <f>IF(AE234="","",IF(AND($K234="Yes",ISNUMBER(AG234)),AG234,AE234))</f>
        <v/>
      </c>
      <c r="AJ234" s="10">
        <f>IF(AE234="","",ROUND(SUMIFS($AH$3:$AH$252,$A$3:$A$252,"&lt;="&amp;$A234),1))</f>
        <v/>
      </c>
      <c r="AK234" s="10">
        <f>IF(OR(AE234="",$A234=""),"",IF(ISNUMBER(IFERROR(INDEX($AI$3:$AI$252,MATCH($A234-1,$A$3:$A$252,0)),"")),ROUND((INDEX($AI$3:$AI$252,MATCH($A234-1,$A$3:$A$252,0))-AE234)*10,1),""))</f>
        <v/>
      </c>
      <c r="AL234" s="10">
        <f>IF(ISNUMBER(AE234),1,0)</f>
        <v/>
      </c>
      <c r="AM234" s="17">
        <f>IF($A234="","",IF(COUNTIF($A$3:$A$252,$A234)&gt;1,"same date twice; ","")&amp;IF(AND(ISNUMBER($B234),OR($B234&lt;0,$B234&gt;300)),"rain out of range; ","")&amp;IF(AND(ISNUMBER($C234),OR($C234&lt;0,$C234&gt;45)),"temp out of range; ","")&amp;IF(AND(ISNUMBER($D234),OR($D234&lt;0,$D234&gt;100)),"RH out of range; ",""))</f>
        <v/>
      </c>
      <c r="AN234" s="17">
        <f>IF($A234="","",IF(AND(ISNUMBER(T234),OR(T234&lt;-30,T234&gt;20)),"WL out of range; ","")&amp;IF(AND(ISNUMBER($E234),T234=""),"no TP/b; ","")&amp;IF(AND(ISNUMBER(U234),ISNUMBER(V234)),IF(V234&lt;U234,"After&lt;Before; ",""),"")&amp;IF(AND($F234="Yes",ISNUMBER($E234),W234=""),"irrigation readings missing; ","")&amp;IF(ISNUMBER(Z234),IF(AND(ABS(Z234)&gt;50,NOT(N($B234)&gt;0)),"WL jump &gt;5 cm; ",""),""))</f>
        <v/>
      </c>
      <c r="AO234" s="17">
        <f>IF($A234="","",IF(AND(ISNUMBER(AE234),OR(AE234&lt;-30,AE234&gt;20)),"WL out of range; ","")&amp;IF(AND(ISNUMBER($J234),AE234=""),"no TP/b; ","")&amp;IF(AND(ISNUMBER(AF234),ISNUMBER(AG234)),IF(AG234&lt;AF234,"After&lt;Before; ",""),"")&amp;IF(AND($K234="Yes",ISNUMBER($J234),AH234=""),"irrigation readings missing; ","")&amp;IF(ISNUMBER(AK234),IF(AND(ABS(AK234)&gt;50,NOT(N($B234)&gt;0)),"WL jump &gt;5 cm; ",""),"")&amp;IF(AND(ISNUMBER(PitanE),ISNUMBER(AB234),$A234&gt;PitanE+2,AB234&lt;PitanE),"re-measure TP/b after Pitan; ",""))</f>
        <v/>
      </c>
    </row>
    <row r="235">
      <c r="A235" s="14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0">
        <f>IF(OR($A235="",NOT(ISNUMBER(TransDate))),"",$A235-TransDate)</f>
        <v/>
      </c>
      <c r="Q235" s="16">
        <f>IF($A235="","",IF(_xlfn.MAXIFS('TP-b'!$B$2:$B$60,'TP-b'!$A$2:$A$60,"FP",'TP-b'!$E$2:$E$60,1,'TP-b'!$B$2:$B$60,"&lt;="&amp;$A235)&gt;0,_xlfn.MAXIFS('TP-b'!$B$2:$B$60,'TP-b'!$A$2:$A$60,"FP",'TP-b'!$E$2:$E$60,1,'TP-b'!$B$2:$B$60,"&lt;="&amp;$A235),IF(_xlfn.MINIFS('TP-b'!$B$2:$B$60,'TP-b'!$A$2:$A$60,"FP",'TP-b'!$E$2:$E$60,1)&gt;0,_xlfn.MINIFS('TP-b'!$B$2:$B$60,'TP-b'!$A$2:$A$60,"FP",'TP-b'!$E$2:$E$60,1),"")))</f>
        <v/>
      </c>
      <c r="R235" s="10">
        <f>IF(Q235="","",AVERAGEIFS('TP-b'!$C$2:$C$60,'TP-b'!$A$2:$A$60,"FP",'TP-b'!$B$2:$B$60,Q235,'TP-b'!$E$2:$E$60,1))</f>
        <v/>
      </c>
      <c r="S235" s="10">
        <f>IF(Q235="","",AVERAGEIFS('TP-b'!$D$2:$D$60,'TP-b'!$A$2:$A$60,"FP",'TP-b'!$B$2:$B$60,Q235,'TP-b'!$E$2:$E$60,1))</f>
        <v/>
      </c>
      <c r="T235" s="10">
        <f>IF(OR($A235="",NOT(ISNUMBER($E235)),R235=""),"",ROUND($E235-R235+S235,1))</f>
        <v/>
      </c>
      <c r="U235" s="10">
        <f>IF(AND($F235="Yes",ISNUMBER($G235),R235&lt;&gt;""),ROUND($G235-R235+S235,1),"")</f>
        <v/>
      </c>
      <c r="V235" s="10">
        <f>IF(AND($F235="Yes",ISNUMBER($H235),R235&lt;&gt;""),ROUND($H235-R235+S235,1),"")</f>
        <v/>
      </c>
      <c r="W235" s="10">
        <f>IF(AND(ISNUMBER($E235),ISNUMBER(U235),ISNUMBER(V235)),ROUND((V235-MAX(U235,0))*10,1),"")</f>
        <v/>
      </c>
      <c r="X235" s="10">
        <f>IF(T235="","",IF(AND($F235="Yes",ISNUMBER(V235)),V235,T235))</f>
        <v/>
      </c>
      <c r="Y235" s="10">
        <f>IF(T235="","",ROUND(SUMIFS($W$3:$W$252,$A$3:$A$252,"&lt;="&amp;$A235),1))</f>
        <v/>
      </c>
      <c r="Z235" s="10">
        <f>IF(OR(T235="",$A235=""),"",IF(ISNUMBER(IFERROR(INDEX($X$3:$X$252,MATCH($A235-1,$A$3:$A$252,0)),"")),ROUND((INDEX($X$3:$X$252,MATCH($A235-1,$A$3:$A$252,0))-T235)*10,1),""))</f>
        <v/>
      </c>
      <c r="AA235" s="10">
        <f>IF(ISNUMBER(T235),1,0)</f>
        <v/>
      </c>
      <c r="AB235" s="16">
        <f>IF($A235="","",IF(_xlfn.MAXIFS('TP-b'!$B$2:$B$60,'TP-b'!$A$2:$A$60,"3F4D+MD",'TP-b'!$E$2:$E$60,1,'TP-b'!$B$2:$B$60,"&lt;="&amp;$A235)&gt;0,_xlfn.MAXIFS('TP-b'!$B$2:$B$60,'TP-b'!$A$2:$A$60,"3F4D+MD",'TP-b'!$E$2:$E$60,1,'TP-b'!$B$2:$B$60,"&lt;="&amp;$A235),IF(_xlfn.MINIFS('TP-b'!$B$2:$B$60,'TP-b'!$A$2:$A$60,"3F4D+MD",'TP-b'!$E$2:$E$60,1)&gt;0,_xlfn.MINIFS('TP-b'!$B$2:$B$60,'TP-b'!$A$2:$A$60,"3F4D+MD",'TP-b'!$E$2:$E$60,1),"")))</f>
        <v/>
      </c>
      <c r="AC235" s="10">
        <f>IF(AB235="","",AVERAGEIFS('TP-b'!$C$2:$C$60,'TP-b'!$A$2:$A$60,"3F4D+MD",'TP-b'!$B$2:$B$60,AB235,'TP-b'!$E$2:$E$60,1))</f>
        <v/>
      </c>
      <c r="AD235" s="10">
        <f>IF(AB235="","",AVERAGEIFS('TP-b'!$D$2:$D$60,'TP-b'!$A$2:$A$60,"3F4D+MD",'TP-b'!$B$2:$B$60,AB235,'TP-b'!$E$2:$E$60,1))</f>
        <v/>
      </c>
      <c r="AE235" s="10">
        <f>IF(OR($A235="",NOT(ISNUMBER($J235)),AC235=""),"",ROUND($J235-AC235+AD235,1))</f>
        <v/>
      </c>
      <c r="AF235" s="10">
        <f>IF(AND($K235="Yes",ISNUMBER($L235),AC235&lt;&gt;""),ROUND($L235-AC235+AD235,1),"")</f>
        <v/>
      </c>
      <c r="AG235" s="10">
        <f>IF(AND($K235="Yes",ISNUMBER($M235),AC235&lt;&gt;""),ROUND($M235-AC235+AD235,1),"")</f>
        <v/>
      </c>
      <c r="AH235" s="10">
        <f>IF(AND(ISNUMBER($J235),ISNUMBER(AF235),ISNUMBER(AG235)),ROUND((AG235-MAX(AF235,0))*10,1),"")</f>
        <v/>
      </c>
      <c r="AI235" s="10">
        <f>IF(AE235="","",IF(AND($K235="Yes",ISNUMBER(AG235)),AG235,AE235))</f>
        <v/>
      </c>
      <c r="AJ235" s="10">
        <f>IF(AE235="","",ROUND(SUMIFS($AH$3:$AH$252,$A$3:$A$252,"&lt;="&amp;$A235),1))</f>
        <v/>
      </c>
      <c r="AK235" s="10">
        <f>IF(OR(AE235="",$A235=""),"",IF(ISNUMBER(IFERROR(INDEX($AI$3:$AI$252,MATCH($A235-1,$A$3:$A$252,0)),"")),ROUND((INDEX($AI$3:$AI$252,MATCH($A235-1,$A$3:$A$252,0))-AE235)*10,1),""))</f>
        <v/>
      </c>
      <c r="AL235" s="10">
        <f>IF(ISNUMBER(AE235),1,0)</f>
        <v/>
      </c>
      <c r="AM235" s="17">
        <f>IF($A235="","",IF(COUNTIF($A$3:$A$252,$A235)&gt;1,"same date twice; ","")&amp;IF(AND(ISNUMBER($B235),OR($B235&lt;0,$B235&gt;300)),"rain out of range; ","")&amp;IF(AND(ISNUMBER($C235),OR($C235&lt;0,$C235&gt;45)),"temp out of range; ","")&amp;IF(AND(ISNUMBER($D235),OR($D235&lt;0,$D235&gt;100)),"RH out of range; ",""))</f>
        <v/>
      </c>
      <c r="AN235" s="17">
        <f>IF($A235="","",IF(AND(ISNUMBER(T235),OR(T235&lt;-30,T235&gt;20)),"WL out of range; ","")&amp;IF(AND(ISNUMBER($E235),T235=""),"no TP/b; ","")&amp;IF(AND(ISNUMBER(U235),ISNUMBER(V235)),IF(V235&lt;U235,"After&lt;Before; ",""),"")&amp;IF(AND($F235="Yes",ISNUMBER($E235),W235=""),"irrigation readings missing; ","")&amp;IF(ISNUMBER(Z235),IF(AND(ABS(Z235)&gt;50,NOT(N($B235)&gt;0)),"WL jump &gt;5 cm; ",""),""))</f>
        <v/>
      </c>
      <c r="AO235" s="17">
        <f>IF($A235="","",IF(AND(ISNUMBER(AE235),OR(AE235&lt;-30,AE235&gt;20)),"WL out of range; ","")&amp;IF(AND(ISNUMBER($J235),AE235=""),"no TP/b; ","")&amp;IF(AND(ISNUMBER(AF235),ISNUMBER(AG235)),IF(AG235&lt;AF235,"After&lt;Before; ",""),"")&amp;IF(AND($K235="Yes",ISNUMBER($J235),AH235=""),"irrigation readings missing; ","")&amp;IF(ISNUMBER(AK235),IF(AND(ABS(AK235)&gt;50,NOT(N($B235)&gt;0)),"WL jump &gt;5 cm; ",""),"")&amp;IF(AND(ISNUMBER(PitanE),ISNUMBER(AB235),$A235&gt;PitanE+2,AB235&lt;PitanE),"re-measure TP/b after Pitan; ",""))</f>
        <v/>
      </c>
    </row>
    <row r="236">
      <c r="A236" s="14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0">
        <f>IF(OR($A236="",NOT(ISNUMBER(TransDate))),"",$A236-TransDate)</f>
        <v/>
      </c>
      <c r="Q236" s="16">
        <f>IF($A236="","",IF(_xlfn.MAXIFS('TP-b'!$B$2:$B$60,'TP-b'!$A$2:$A$60,"FP",'TP-b'!$E$2:$E$60,1,'TP-b'!$B$2:$B$60,"&lt;="&amp;$A236)&gt;0,_xlfn.MAXIFS('TP-b'!$B$2:$B$60,'TP-b'!$A$2:$A$60,"FP",'TP-b'!$E$2:$E$60,1,'TP-b'!$B$2:$B$60,"&lt;="&amp;$A236),IF(_xlfn.MINIFS('TP-b'!$B$2:$B$60,'TP-b'!$A$2:$A$60,"FP",'TP-b'!$E$2:$E$60,1)&gt;0,_xlfn.MINIFS('TP-b'!$B$2:$B$60,'TP-b'!$A$2:$A$60,"FP",'TP-b'!$E$2:$E$60,1),"")))</f>
        <v/>
      </c>
      <c r="R236" s="10">
        <f>IF(Q236="","",AVERAGEIFS('TP-b'!$C$2:$C$60,'TP-b'!$A$2:$A$60,"FP",'TP-b'!$B$2:$B$60,Q236,'TP-b'!$E$2:$E$60,1))</f>
        <v/>
      </c>
      <c r="S236" s="10">
        <f>IF(Q236="","",AVERAGEIFS('TP-b'!$D$2:$D$60,'TP-b'!$A$2:$A$60,"FP",'TP-b'!$B$2:$B$60,Q236,'TP-b'!$E$2:$E$60,1))</f>
        <v/>
      </c>
      <c r="T236" s="10">
        <f>IF(OR($A236="",NOT(ISNUMBER($E236)),R236=""),"",ROUND($E236-R236+S236,1))</f>
        <v/>
      </c>
      <c r="U236" s="10">
        <f>IF(AND($F236="Yes",ISNUMBER($G236),R236&lt;&gt;""),ROUND($G236-R236+S236,1),"")</f>
        <v/>
      </c>
      <c r="V236" s="10">
        <f>IF(AND($F236="Yes",ISNUMBER($H236),R236&lt;&gt;""),ROUND($H236-R236+S236,1),"")</f>
        <v/>
      </c>
      <c r="W236" s="10">
        <f>IF(AND(ISNUMBER($E236),ISNUMBER(U236),ISNUMBER(V236)),ROUND((V236-MAX(U236,0))*10,1),"")</f>
        <v/>
      </c>
      <c r="X236" s="10">
        <f>IF(T236="","",IF(AND($F236="Yes",ISNUMBER(V236)),V236,T236))</f>
        <v/>
      </c>
      <c r="Y236" s="10">
        <f>IF(T236="","",ROUND(SUMIFS($W$3:$W$252,$A$3:$A$252,"&lt;="&amp;$A236),1))</f>
        <v/>
      </c>
      <c r="Z236" s="10">
        <f>IF(OR(T236="",$A236=""),"",IF(ISNUMBER(IFERROR(INDEX($X$3:$X$252,MATCH($A236-1,$A$3:$A$252,0)),"")),ROUND((INDEX($X$3:$X$252,MATCH($A236-1,$A$3:$A$252,0))-T236)*10,1),""))</f>
        <v/>
      </c>
      <c r="AA236" s="10">
        <f>IF(ISNUMBER(T236),1,0)</f>
        <v/>
      </c>
      <c r="AB236" s="16">
        <f>IF($A236="","",IF(_xlfn.MAXIFS('TP-b'!$B$2:$B$60,'TP-b'!$A$2:$A$60,"3F4D+MD",'TP-b'!$E$2:$E$60,1,'TP-b'!$B$2:$B$60,"&lt;="&amp;$A236)&gt;0,_xlfn.MAXIFS('TP-b'!$B$2:$B$60,'TP-b'!$A$2:$A$60,"3F4D+MD",'TP-b'!$E$2:$E$60,1,'TP-b'!$B$2:$B$60,"&lt;="&amp;$A236),IF(_xlfn.MINIFS('TP-b'!$B$2:$B$60,'TP-b'!$A$2:$A$60,"3F4D+MD",'TP-b'!$E$2:$E$60,1)&gt;0,_xlfn.MINIFS('TP-b'!$B$2:$B$60,'TP-b'!$A$2:$A$60,"3F4D+MD",'TP-b'!$E$2:$E$60,1),"")))</f>
        <v/>
      </c>
      <c r="AC236" s="10">
        <f>IF(AB236="","",AVERAGEIFS('TP-b'!$C$2:$C$60,'TP-b'!$A$2:$A$60,"3F4D+MD",'TP-b'!$B$2:$B$60,AB236,'TP-b'!$E$2:$E$60,1))</f>
        <v/>
      </c>
      <c r="AD236" s="10">
        <f>IF(AB236="","",AVERAGEIFS('TP-b'!$D$2:$D$60,'TP-b'!$A$2:$A$60,"3F4D+MD",'TP-b'!$B$2:$B$60,AB236,'TP-b'!$E$2:$E$60,1))</f>
        <v/>
      </c>
      <c r="AE236" s="10">
        <f>IF(OR($A236="",NOT(ISNUMBER($J236)),AC236=""),"",ROUND($J236-AC236+AD236,1))</f>
        <v/>
      </c>
      <c r="AF236" s="10">
        <f>IF(AND($K236="Yes",ISNUMBER($L236),AC236&lt;&gt;""),ROUND($L236-AC236+AD236,1),"")</f>
        <v/>
      </c>
      <c r="AG236" s="10">
        <f>IF(AND($K236="Yes",ISNUMBER($M236),AC236&lt;&gt;""),ROUND($M236-AC236+AD236,1),"")</f>
        <v/>
      </c>
      <c r="AH236" s="10">
        <f>IF(AND(ISNUMBER($J236),ISNUMBER(AF236),ISNUMBER(AG236)),ROUND((AG236-MAX(AF236,0))*10,1),"")</f>
        <v/>
      </c>
      <c r="AI236" s="10">
        <f>IF(AE236="","",IF(AND($K236="Yes",ISNUMBER(AG236)),AG236,AE236))</f>
        <v/>
      </c>
      <c r="AJ236" s="10">
        <f>IF(AE236="","",ROUND(SUMIFS($AH$3:$AH$252,$A$3:$A$252,"&lt;="&amp;$A236),1))</f>
        <v/>
      </c>
      <c r="AK236" s="10">
        <f>IF(OR(AE236="",$A236=""),"",IF(ISNUMBER(IFERROR(INDEX($AI$3:$AI$252,MATCH($A236-1,$A$3:$A$252,0)),"")),ROUND((INDEX($AI$3:$AI$252,MATCH($A236-1,$A$3:$A$252,0))-AE236)*10,1),""))</f>
        <v/>
      </c>
      <c r="AL236" s="10">
        <f>IF(ISNUMBER(AE236),1,0)</f>
        <v/>
      </c>
      <c r="AM236" s="17">
        <f>IF($A236="","",IF(COUNTIF($A$3:$A$252,$A236)&gt;1,"same date twice; ","")&amp;IF(AND(ISNUMBER($B236),OR($B236&lt;0,$B236&gt;300)),"rain out of range; ","")&amp;IF(AND(ISNUMBER($C236),OR($C236&lt;0,$C236&gt;45)),"temp out of range; ","")&amp;IF(AND(ISNUMBER($D236),OR($D236&lt;0,$D236&gt;100)),"RH out of range; ",""))</f>
        <v/>
      </c>
      <c r="AN236" s="17">
        <f>IF($A236="","",IF(AND(ISNUMBER(T236),OR(T236&lt;-30,T236&gt;20)),"WL out of range; ","")&amp;IF(AND(ISNUMBER($E236),T236=""),"no TP/b; ","")&amp;IF(AND(ISNUMBER(U236),ISNUMBER(V236)),IF(V236&lt;U236,"After&lt;Before; ",""),"")&amp;IF(AND($F236="Yes",ISNUMBER($E236),W236=""),"irrigation readings missing; ","")&amp;IF(ISNUMBER(Z236),IF(AND(ABS(Z236)&gt;50,NOT(N($B236)&gt;0)),"WL jump &gt;5 cm; ",""),""))</f>
        <v/>
      </c>
      <c r="AO236" s="17">
        <f>IF($A236="","",IF(AND(ISNUMBER(AE236),OR(AE236&lt;-30,AE236&gt;20)),"WL out of range; ","")&amp;IF(AND(ISNUMBER($J236),AE236=""),"no TP/b; ","")&amp;IF(AND(ISNUMBER(AF236),ISNUMBER(AG236)),IF(AG236&lt;AF236,"After&lt;Before; ",""),"")&amp;IF(AND($K236="Yes",ISNUMBER($J236),AH236=""),"irrigation readings missing; ","")&amp;IF(ISNUMBER(AK236),IF(AND(ABS(AK236)&gt;50,NOT(N($B236)&gt;0)),"WL jump &gt;5 cm; ",""),"")&amp;IF(AND(ISNUMBER(PitanE),ISNUMBER(AB236),$A236&gt;PitanE+2,AB236&lt;PitanE),"re-measure TP/b after Pitan; ",""))</f>
        <v/>
      </c>
    </row>
    <row r="237">
      <c r="A237" s="14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0">
        <f>IF(OR($A237="",NOT(ISNUMBER(TransDate))),"",$A237-TransDate)</f>
        <v/>
      </c>
      <c r="Q237" s="16">
        <f>IF($A237="","",IF(_xlfn.MAXIFS('TP-b'!$B$2:$B$60,'TP-b'!$A$2:$A$60,"FP",'TP-b'!$E$2:$E$60,1,'TP-b'!$B$2:$B$60,"&lt;="&amp;$A237)&gt;0,_xlfn.MAXIFS('TP-b'!$B$2:$B$60,'TP-b'!$A$2:$A$60,"FP",'TP-b'!$E$2:$E$60,1,'TP-b'!$B$2:$B$60,"&lt;="&amp;$A237),IF(_xlfn.MINIFS('TP-b'!$B$2:$B$60,'TP-b'!$A$2:$A$60,"FP",'TP-b'!$E$2:$E$60,1)&gt;0,_xlfn.MINIFS('TP-b'!$B$2:$B$60,'TP-b'!$A$2:$A$60,"FP",'TP-b'!$E$2:$E$60,1),"")))</f>
        <v/>
      </c>
      <c r="R237" s="10">
        <f>IF(Q237="","",AVERAGEIFS('TP-b'!$C$2:$C$60,'TP-b'!$A$2:$A$60,"FP",'TP-b'!$B$2:$B$60,Q237,'TP-b'!$E$2:$E$60,1))</f>
        <v/>
      </c>
      <c r="S237" s="10">
        <f>IF(Q237="","",AVERAGEIFS('TP-b'!$D$2:$D$60,'TP-b'!$A$2:$A$60,"FP",'TP-b'!$B$2:$B$60,Q237,'TP-b'!$E$2:$E$60,1))</f>
        <v/>
      </c>
      <c r="T237" s="10">
        <f>IF(OR($A237="",NOT(ISNUMBER($E237)),R237=""),"",ROUND($E237-R237+S237,1))</f>
        <v/>
      </c>
      <c r="U237" s="10">
        <f>IF(AND($F237="Yes",ISNUMBER($G237),R237&lt;&gt;""),ROUND($G237-R237+S237,1),"")</f>
        <v/>
      </c>
      <c r="V237" s="10">
        <f>IF(AND($F237="Yes",ISNUMBER($H237),R237&lt;&gt;""),ROUND($H237-R237+S237,1),"")</f>
        <v/>
      </c>
      <c r="W237" s="10">
        <f>IF(AND(ISNUMBER($E237),ISNUMBER(U237),ISNUMBER(V237)),ROUND((V237-MAX(U237,0))*10,1),"")</f>
        <v/>
      </c>
      <c r="X237" s="10">
        <f>IF(T237="","",IF(AND($F237="Yes",ISNUMBER(V237)),V237,T237))</f>
        <v/>
      </c>
      <c r="Y237" s="10">
        <f>IF(T237="","",ROUND(SUMIFS($W$3:$W$252,$A$3:$A$252,"&lt;="&amp;$A237),1))</f>
        <v/>
      </c>
      <c r="Z237" s="10">
        <f>IF(OR(T237="",$A237=""),"",IF(ISNUMBER(IFERROR(INDEX($X$3:$X$252,MATCH($A237-1,$A$3:$A$252,0)),"")),ROUND((INDEX($X$3:$X$252,MATCH($A237-1,$A$3:$A$252,0))-T237)*10,1),""))</f>
        <v/>
      </c>
      <c r="AA237" s="10">
        <f>IF(ISNUMBER(T237),1,0)</f>
        <v/>
      </c>
      <c r="AB237" s="16">
        <f>IF($A237="","",IF(_xlfn.MAXIFS('TP-b'!$B$2:$B$60,'TP-b'!$A$2:$A$60,"3F4D+MD",'TP-b'!$E$2:$E$60,1,'TP-b'!$B$2:$B$60,"&lt;="&amp;$A237)&gt;0,_xlfn.MAXIFS('TP-b'!$B$2:$B$60,'TP-b'!$A$2:$A$60,"3F4D+MD",'TP-b'!$E$2:$E$60,1,'TP-b'!$B$2:$B$60,"&lt;="&amp;$A237),IF(_xlfn.MINIFS('TP-b'!$B$2:$B$60,'TP-b'!$A$2:$A$60,"3F4D+MD",'TP-b'!$E$2:$E$60,1)&gt;0,_xlfn.MINIFS('TP-b'!$B$2:$B$60,'TP-b'!$A$2:$A$60,"3F4D+MD",'TP-b'!$E$2:$E$60,1),"")))</f>
        <v/>
      </c>
      <c r="AC237" s="10">
        <f>IF(AB237="","",AVERAGEIFS('TP-b'!$C$2:$C$60,'TP-b'!$A$2:$A$60,"3F4D+MD",'TP-b'!$B$2:$B$60,AB237,'TP-b'!$E$2:$E$60,1))</f>
        <v/>
      </c>
      <c r="AD237" s="10">
        <f>IF(AB237="","",AVERAGEIFS('TP-b'!$D$2:$D$60,'TP-b'!$A$2:$A$60,"3F4D+MD",'TP-b'!$B$2:$B$60,AB237,'TP-b'!$E$2:$E$60,1))</f>
        <v/>
      </c>
      <c r="AE237" s="10">
        <f>IF(OR($A237="",NOT(ISNUMBER($J237)),AC237=""),"",ROUND($J237-AC237+AD237,1))</f>
        <v/>
      </c>
      <c r="AF237" s="10">
        <f>IF(AND($K237="Yes",ISNUMBER($L237),AC237&lt;&gt;""),ROUND($L237-AC237+AD237,1),"")</f>
        <v/>
      </c>
      <c r="AG237" s="10">
        <f>IF(AND($K237="Yes",ISNUMBER($M237),AC237&lt;&gt;""),ROUND($M237-AC237+AD237,1),"")</f>
        <v/>
      </c>
      <c r="AH237" s="10">
        <f>IF(AND(ISNUMBER($J237),ISNUMBER(AF237),ISNUMBER(AG237)),ROUND((AG237-MAX(AF237,0))*10,1),"")</f>
        <v/>
      </c>
      <c r="AI237" s="10">
        <f>IF(AE237="","",IF(AND($K237="Yes",ISNUMBER(AG237)),AG237,AE237))</f>
        <v/>
      </c>
      <c r="AJ237" s="10">
        <f>IF(AE237="","",ROUND(SUMIFS($AH$3:$AH$252,$A$3:$A$252,"&lt;="&amp;$A237),1))</f>
        <v/>
      </c>
      <c r="AK237" s="10">
        <f>IF(OR(AE237="",$A237=""),"",IF(ISNUMBER(IFERROR(INDEX($AI$3:$AI$252,MATCH($A237-1,$A$3:$A$252,0)),"")),ROUND((INDEX($AI$3:$AI$252,MATCH($A237-1,$A$3:$A$252,0))-AE237)*10,1),""))</f>
        <v/>
      </c>
      <c r="AL237" s="10">
        <f>IF(ISNUMBER(AE237),1,0)</f>
        <v/>
      </c>
      <c r="AM237" s="17">
        <f>IF($A237="","",IF(COUNTIF($A$3:$A$252,$A237)&gt;1,"same date twice; ","")&amp;IF(AND(ISNUMBER($B237),OR($B237&lt;0,$B237&gt;300)),"rain out of range; ","")&amp;IF(AND(ISNUMBER($C237),OR($C237&lt;0,$C237&gt;45)),"temp out of range; ","")&amp;IF(AND(ISNUMBER($D237),OR($D237&lt;0,$D237&gt;100)),"RH out of range; ",""))</f>
        <v/>
      </c>
      <c r="AN237" s="17">
        <f>IF($A237="","",IF(AND(ISNUMBER(T237),OR(T237&lt;-30,T237&gt;20)),"WL out of range; ","")&amp;IF(AND(ISNUMBER($E237),T237=""),"no TP/b; ","")&amp;IF(AND(ISNUMBER(U237),ISNUMBER(V237)),IF(V237&lt;U237,"After&lt;Before; ",""),"")&amp;IF(AND($F237="Yes",ISNUMBER($E237),W237=""),"irrigation readings missing; ","")&amp;IF(ISNUMBER(Z237),IF(AND(ABS(Z237)&gt;50,NOT(N($B237)&gt;0)),"WL jump &gt;5 cm; ",""),""))</f>
        <v/>
      </c>
      <c r="AO237" s="17">
        <f>IF($A237="","",IF(AND(ISNUMBER(AE237),OR(AE237&lt;-30,AE237&gt;20)),"WL out of range; ","")&amp;IF(AND(ISNUMBER($J237),AE237=""),"no TP/b; ","")&amp;IF(AND(ISNUMBER(AF237),ISNUMBER(AG237)),IF(AG237&lt;AF237,"After&lt;Before; ",""),"")&amp;IF(AND($K237="Yes",ISNUMBER($J237),AH237=""),"irrigation readings missing; ","")&amp;IF(ISNUMBER(AK237),IF(AND(ABS(AK237)&gt;50,NOT(N($B237)&gt;0)),"WL jump &gt;5 cm; ",""),"")&amp;IF(AND(ISNUMBER(PitanE),ISNUMBER(AB237),$A237&gt;PitanE+2,AB237&lt;PitanE),"re-measure TP/b after Pitan; ",""))</f>
        <v/>
      </c>
    </row>
    <row r="238">
      <c r="A238" s="14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0">
        <f>IF(OR($A238="",NOT(ISNUMBER(TransDate))),"",$A238-TransDate)</f>
        <v/>
      </c>
      <c r="Q238" s="16">
        <f>IF($A238="","",IF(_xlfn.MAXIFS('TP-b'!$B$2:$B$60,'TP-b'!$A$2:$A$60,"FP",'TP-b'!$E$2:$E$60,1,'TP-b'!$B$2:$B$60,"&lt;="&amp;$A238)&gt;0,_xlfn.MAXIFS('TP-b'!$B$2:$B$60,'TP-b'!$A$2:$A$60,"FP",'TP-b'!$E$2:$E$60,1,'TP-b'!$B$2:$B$60,"&lt;="&amp;$A238),IF(_xlfn.MINIFS('TP-b'!$B$2:$B$60,'TP-b'!$A$2:$A$60,"FP",'TP-b'!$E$2:$E$60,1)&gt;0,_xlfn.MINIFS('TP-b'!$B$2:$B$60,'TP-b'!$A$2:$A$60,"FP",'TP-b'!$E$2:$E$60,1),"")))</f>
        <v/>
      </c>
      <c r="R238" s="10">
        <f>IF(Q238="","",AVERAGEIFS('TP-b'!$C$2:$C$60,'TP-b'!$A$2:$A$60,"FP",'TP-b'!$B$2:$B$60,Q238,'TP-b'!$E$2:$E$60,1))</f>
        <v/>
      </c>
      <c r="S238" s="10">
        <f>IF(Q238="","",AVERAGEIFS('TP-b'!$D$2:$D$60,'TP-b'!$A$2:$A$60,"FP",'TP-b'!$B$2:$B$60,Q238,'TP-b'!$E$2:$E$60,1))</f>
        <v/>
      </c>
      <c r="T238" s="10">
        <f>IF(OR($A238="",NOT(ISNUMBER($E238)),R238=""),"",ROUND($E238-R238+S238,1))</f>
        <v/>
      </c>
      <c r="U238" s="10">
        <f>IF(AND($F238="Yes",ISNUMBER($G238),R238&lt;&gt;""),ROUND($G238-R238+S238,1),"")</f>
        <v/>
      </c>
      <c r="V238" s="10">
        <f>IF(AND($F238="Yes",ISNUMBER($H238),R238&lt;&gt;""),ROUND($H238-R238+S238,1),"")</f>
        <v/>
      </c>
      <c r="W238" s="10">
        <f>IF(AND(ISNUMBER($E238),ISNUMBER(U238),ISNUMBER(V238)),ROUND((V238-MAX(U238,0))*10,1),"")</f>
        <v/>
      </c>
      <c r="X238" s="10">
        <f>IF(T238="","",IF(AND($F238="Yes",ISNUMBER(V238)),V238,T238))</f>
        <v/>
      </c>
      <c r="Y238" s="10">
        <f>IF(T238="","",ROUND(SUMIFS($W$3:$W$252,$A$3:$A$252,"&lt;="&amp;$A238),1))</f>
        <v/>
      </c>
      <c r="Z238" s="10">
        <f>IF(OR(T238="",$A238=""),"",IF(ISNUMBER(IFERROR(INDEX($X$3:$X$252,MATCH($A238-1,$A$3:$A$252,0)),"")),ROUND((INDEX($X$3:$X$252,MATCH($A238-1,$A$3:$A$252,0))-T238)*10,1),""))</f>
        <v/>
      </c>
      <c r="AA238" s="10">
        <f>IF(ISNUMBER(T238),1,0)</f>
        <v/>
      </c>
      <c r="AB238" s="16">
        <f>IF($A238="","",IF(_xlfn.MAXIFS('TP-b'!$B$2:$B$60,'TP-b'!$A$2:$A$60,"3F4D+MD",'TP-b'!$E$2:$E$60,1,'TP-b'!$B$2:$B$60,"&lt;="&amp;$A238)&gt;0,_xlfn.MAXIFS('TP-b'!$B$2:$B$60,'TP-b'!$A$2:$A$60,"3F4D+MD",'TP-b'!$E$2:$E$60,1,'TP-b'!$B$2:$B$60,"&lt;="&amp;$A238),IF(_xlfn.MINIFS('TP-b'!$B$2:$B$60,'TP-b'!$A$2:$A$60,"3F4D+MD",'TP-b'!$E$2:$E$60,1)&gt;0,_xlfn.MINIFS('TP-b'!$B$2:$B$60,'TP-b'!$A$2:$A$60,"3F4D+MD",'TP-b'!$E$2:$E$60,1),"")))</f>
        <v/>
      </c>
      <c r="AC238" s="10">
        <f>IF(AB238="","",AVERAGEIFS('TP-b'!$C$2:$C$60,'TP-b'!$A$2:$A$60,"3F4D+MD",'TP-b'!$B$2:$B$60,AB238,'TP-b'!$E$2:$E$60,1))</f>
        <v/>
      </c>
      <c r="AD238" s="10">
        <f>IF(AB238="","",AVERAGEIFS('TP-b'!$D$2:$D$60,'TP-b'!$A$2:$A$60,"3F4D+MD",'TP-b'!$B$2:$B$60,AB238,'TP-b'!$E$2:$E$60,1))</f>
        <v/>
      </c>
      <c r="AE238" s="10">
        <f>IF(OR($A238="",NOT(ISNUMBER($J238)),AC238=""),"",ROUND($J238-AC238+AD238,1))</f>
        <v/>
      </c>
      <c r="AF238" s="10">
        <f>IF(AND($K238="Yes",ISNUMBER($L238),AC238&lt;&gt;""),ROUND($L238-AC238+AD238,1),"")</f>
        <v/>
      </c>
      <c r="AG238" s="10">
        <f>IF(AND($K238="Yes",ISNUMBER($M238),AC238&lt;&gt;""),ROUND($M238-AC238+AD238,1),"")</f>
        <v/>
      </c>
      <c r="AH238" s="10">
        <f>IF(AND(ISNUMBER($J238),ISNUMBER(AF238),ISNUMBER(AG238)),ROUND((AG238-MAX(AF238,0))*10,1),"")</f>
        <v/>
      </c>
      <c r="AI238" s="10">
        <f>IF(AE238="","",IF(AND($K238="Yes",ISNUMBER(AG238)),AG238,AE238))</f>
        <v/>
      </c>
      <c r="AJ238" s="10">
        <f>IF(AE238="","",ROUND(SUMIFS($AH$3:$AH$252,$A$3:$A$252,"&lt;="&amp;$A238),1))</f>
        <v/>
      </c>
      <c r="AK238" s="10">
        <f>IF(OR(AE238="",$A238=""),"",IF(ISNUMBER(IFERROR(INDEX($AI$3:$AI$252,MATCH($A238-1,$A$3:$A$252,0)),"")),ROUND((INDEX($AI$3:$AI$252,MATCH($A238-1,$A$3:$A$252,0))-AE238)*10,1),""))</f>
        <v/>
      </c>
      <c r="AL238" s="10">
        <f>IF(ISNUMBER(AE238),1,0)</f>
        <v/>
      </c>
      <c r="AM238" s="17">
        <f>IF($A238="","",IF(COUNTIF($A$3:$A$252,$A238)&gt;1,"same date twice; ","")&amp;IF(AND(ISNUMBER($B238),OR($B238&lt;0,$B238&gt;300)),"rain out of range; ","")&amp;IF(AND(ISNUMBER($C238),OR($C238&lt;0,$C238&gt;45)),"temp out of range; ","")&amp;IF(AND(ISNUMBER($D238),OR($D238&lt;0,$D238&gt;100)),"RH out of range; ",""))</f>
        <v/>
      </c>
      <c r="AN238" s="17">
        <f>IF($A238="","",IF(AND(ISNUMBER(T238),OR(T238&lt;-30,T238&gt;20)),"WL out of range; ","")&amp;IF(AND(ISNUMBER($E238),T238=""),"no TP/b; ","")&amp;IF(AND(ISNUMBER(U238),ISNUMBER(V238)),IF(V238&lt;U238,"After&lt;Before; ",""),"")&amp;IF(AND($F238="Yes",ISNUMBER($E238),W238=""),"irrigation readings missing; ","")&amp;IF(ISNUMBER(Z238),IF(AND(ABS(Z238)&gt;50,NOT(N($B238)&gt;0)),"WL jump &gt;5 cm; ",""),""))</f>
        <v/>
      </c>
      <c r="AO238" s="17">
        <f>IF($A238="","",IF(AND(ISNUMBER(AE238),OR(AE238&lt;-30,AE238&gt;20)),"WL out of range; ","")&amp;IF(AND(ISNUMBER($J238),AE238=""),"no TP/b; ","")&amp;IF(AND(ISNUMBER(AF238),ISNUMBER(AG238)),IF(AG238&lt;AF238,"After&lt;Before; ",""),"")&amp;IF(AND($K238="Yes",ISNUMBER($J238),AH238=""),"irrigation readings missing; ","")&amp;IF(ISNUMBER(AK238),IF(AND(ABS(AK238)&gt;50,NOT(N($B238)&gt;0)),"WL jump &gt;5 cm; ",""),"")&amp;IF(AND(ISNUMBER(PitanE),ISNUMBER(AB238),$A238&gt;PitanE+2,AB238&lt;PitanE),"re-measure TP/b after Pitan; ",""))</f>
        <v/>
      </c>
    </row>
    <row r="239">
      <c r="A239" s="14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0">
        <f>IF(OR($A239="",NOT(ISNUMBER(TransDate))),"",$A239-TransDate)</f>
        <v/>
      </c>
      <c r="Q239" s="16">
        <f>IF($A239="","",IF(_xlfn.MAXIFS('TP-b'!$B$2:$B$60,'TP-b'!$A$2:$A$60,"FP",'TP-b'!$E$2:$E$60,1,'TP-b'!$B$2:$B$60,"&lt;="&amp;$A239)&gt;0,_xlfn.MAXIFS('TP-b'!$B$2:$B$60,'TP-b'!$A$2:$A$60,"FP",'TP-b'!$E$2:$E$60,1,'TP-b'!$B$2:$B$60,"&lt;="&amp;$A239),IF(_xlfn.MINIFS('TP-b'!$B$2:$B$60,'TP-b'!$A$2:$A$60,"FP",'TP-b'!$E$2:$E$60,1)&gt;0,_xlfn.MINIFS('TP-b'!$B$2:$B$60,'TP-b'!$A$2:$A$60,"FP",'TP-b'!$E$2:$E$60,1),"")))</f>
        <v/>
      </c>
      <c r="R239" s="10">
        <f>IF(Q239="","",AVERAGEIFS('TP-b'!$C$2:$C$60,'TP-b'!$A$2:$A$60,"FP",'TP-b'!$B$2:$B$60,Q239,'TP-b'!$E$2:$E$60,1))</f>
        <v/>
      </c>
      <c r="S239" s="10">
        <f>IF(Q239="","",AVERAGEIFS('TP-b'!$D$2:$D$60,'TP-b'!$A$2:$A$60,"FP",'TP-b'!$B$2:$B$60,Q239,'TP-b'!$E$2:$E$60,1))</f>
        <v/>
      </c>
      <c r="T239" s="10">
        <f>IF(OR($A239="",NOT(ISNUMBER($E239)),R239=""),"",ROUND($E239-R239+S239,1))</f>
        <v/>
      </c>
      <c r="U239" s="10">
        <f>IF(AND($F239="Yes",ISNUMBER($G239),R239&lt;&gt;""),ROUND($G239-R239+S239,1),"")</f>
        <v/>
      </c>
      <c r="V239" s="10">
        <f>IF(AND($F239="Yes",ISNUMBER($H239),R239&lt;&gt;""),ROUND($H239-R239+S239,1),"")</f>
        <v/>
      </c>
      <c r="W239" s="10">
        <f>IF(AND(ISNUMBER($E239),ISNUMBER(U239),ISNUMBER(V239)),ROUND((V239-MAX(U239,0))*10,1),"")</f>
        <v/>
      </c>
      <c r="X239" s="10">
        <f>IF(T239="","",IF(AND($F239="Yes",ISNUMBER(V239)),V239,T239))</f>
        <v/>
      </c>
      <c r="Y239" s="10">
        <f>IF(T239="","",ROUND(SUMIFS($W$3:$W$252,$A$3:$A$252,"&lt;="&amp;$A239),1))</f>
        <v/>
      </c>
      <c r="Z239" s="10">
        <f>IF(OR(T239="",$A239=""),"",IF(ISNUMBER(IFERROR(INDEX($X$3:$X$252,MATCH($A239-1,$A$3:$A$252,0)),"")),ROUND((INDEX($X$3:$X$252,MATCH($A239-1,$A$3:$A$252,0))-T239)*10,1),""))</f>
        <v/>
      </c>
      <c r="AA239" s="10">
        <f>IF(ISNUMBER(T239),1,0)</f>
        <v/>
      </c>
      <c r="AB239" s="16">
        <f>IF($A239="","",IF(_xlfn.MAXIFS('TP-b'!$B$2:$B$60,'TP-b'!$A$2:$A$60,"3F4D+MD",'TP-b'!$E$2:$E$60,1,'TP-b'!$B$2:$B$60,"&lt;="&amp;$A239)&gt;0,_xlfn.MAXIFS('TP-b'!$B$2:$B$60,'TP-b'!$A$2:$A$60,"3F4D+MD",'TP-b'!$E$2:$E$60,1,'TP-b'!$B$2:$B$60,"&lt;="&amp;$A239),IF(_xlfn.MINIFS('TP-b'!$B$2:$B$60,'TP-b'!$A$2:$A$60,"3F4D+MD",'TP-b'!$E$2:$E$60,1)&gt;0,_xlfn.MINIFS('TP-b'!$B$2:$B$60,'TP-b'!$A$2:$A$60,"3F4D+MD",'TP-b'!$E$2:$E$60,1),"")))</f>
        <v/>
      </c>
      <c r="AC239" s="10">
        <f>IF(AB239="","",AVERAGEIFS('TP-b'!$C$2:$C$60,'TP-b'!$A$2:$A$60,"3F4D+MD",'TP-b'!$B$2:$B$60,AB239,'TP-b'!$E$2:$E$60,1))</f>
        <v/>
      </c>
      <c r="AD239" s="10">
        <f>IF(AB239="","",AVERAGEIFS('TP-b'!$D$2:$D$60,'TP-b'!$A$2:$A$60,"3F4D+MD",'TP-b'!$B$2:$B$60,AB239,'TP-b'!$E$2:$E$60,1))</f>
        <v/>
      </c>
      <c r="AE239" s="10">
        <f>IF(OR($A239="",NOT(ISNUMBER($J239)),AC239=""),"",ROUND($J239-AC239+AD239,1))</f>
        <v/>
      </c>
      <c r="AF239" s="10">
        <f>IF(AND($K239="Yes",ISNUMBER($L239),AC239&lt;&gt;""),ROUND($L239-AC239+AD239,1),"")</f>
        <v/>
      </c>
      <c r="AG239" s="10">
        <f>IF(AND($K239="Yes",ISNUMBER($M239),AC239&lt;&gt;""),ROUND($M239-AC239+AD239,1),"")</f>
        <v/>
      </c>
      <c r="AH239" s="10">
        <f>IF(AND(ISNUMBER($J239),ISNUMBER(AF239),ISNUMBER(AG239)),ROUND((AG239-MAX(AF239,0))*10,1),"")</f>
        <v/>
      </c>
      <c r="AI239" s="10">
        <f>IF(AE239="","",IF(AND($K239="Yes",ISNUMBER(AG239)),AG239,AE239))</f>
        <v/>
      </c>
      <c r="AJ239" s="10">
        <f>IF(AE239="","",ROUND(SUMIFS($AH$3:$AH$252,$A$3:$A$252,"&lt;="&amp;$A239),1))</f>
        <v/>
      </c>
      <c r="AK239" s="10">
        <f>IF(OR(AE239="",$A239=""),"",IF(ISNUMBER(IFERROR(INDEX($AI$3:$AI$252,MATCH($A239-1,$A$3:$A$252,0)),"")),ROUND((INDEX($AI$3:$AI$252,MATCH($A239-1,$A$3:$A$252,0))-AE239)*10,1),""))</f>
        <v/>
      </c>
      <c r="AL239" s="10">
        <f>IF(ISNUMBER(AE239),1,0)</f>
        <v/>
      </c>
      <c r="AM239" s="17">
        <f>IF($A239="","",IF(COUNTIF($A$3:$A$252,$A239)&gt;1,"same date twice; ","")&amp;IF(AND(ISNUMBER($B239),OR($B239&lt;0,$B239&gt;300)),"rain out of range; ","")&amp;IF(AND(ISNUMBER($C239),OR($C239&lt;0,$C239&gt;45)),"temp out of range; ","")&amp;IF(AND(ISNUMBER($D239),OR($D239&lt;0,$D239&gt;100)),"RH out of range; ",""))</f>
        <v/>
      </c>
      <c r="AN239" s="17">
        <f>IF($A239="","",IF(AND(ISNUMBER(T239),OR(T239&lt;-30,T239&gt;20)),"WL out of range; ","")&amp;IF(AND(ISNUMBER($E239),T239=""),"no TP/b; ","")&amp;IF(AND(ISNUMBER(U239),ISNUMBER(V239)),IF(V239&lt;U239,"After&lt;Before; ",""),"")&amp;IF(AND($F239="Yes",ISNUMBER($E239),W239=""),"irrigation readings missing; ","")&amp;IF(ISNUMBER(Z239),IF(AND(ABS(Z239)&gt;50,NOT(N($B239)&gt;0)),"WL jump &gt;5 cm; ",""),""))</f>
        <v/>
      </c>
      <c r="AO239" s="17">
        <f>IF($A239="","",IF(AND(ISNUMBER(AE239),OR(AE239&lt;-30,AE239&gt;20)),"WL out of range; ","")&amp;IF(AND(ISNUMBER($J239),AE239=""),"no TP/b; ","")&amp;IF(AND(ISNUMBER(AF239),ISNUMBER(AG239)),IF(AG239&lt;AF239,"After&lt;Before; ",""),"")&amp;IF(AND($K239="Yes",ISNUMBER($J239),AH239=""),"irrigation readings missing; ","")&amp;IF(ISNUMBER(AK239),IF(AND(ABS(AK239)&gt;50,NOT(N($B239)&gt;0)),"WL jump &gt;5 cm; ",""),"")&amp;IF(AND(ISNUMBER(PitanE),ISNUMBER(AB239),$A239&gt;PitanE+2,AB239&lt;PitanE),"re-measure TP/b after Pitan; ",""))</f>
        <v/>
      </c>
    </row>
    <row r="240">
      <c r="A240" s="14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0">
        <f>IF(OR($A240="",NOT(ISNUMBER(TransDate))),"",$A240-TransDate)</f>
        <v/>
      </c>
      <c r="Q240" s="16">
        <f>IF($A240="","",IF(_xlfn.MAXIFS('TP-b'!$B$2:$B$60,'TP-b'!$A$2:$A$60,"FP",'TP-b'!$E$2:$E$60,1,'TP-b'!$B$2:$B$60,"&lt;="&amp;$A240)&gt;0,_xlfn.MAXIFS('TP-b'!$B$2:$B$60,'TP-b'!$A$2:$A$60,"FP",'TP-b'!$E$2:$E$60,1,'TP-b'!$B$2:$B$60,"&lt;="&amp;$A240),IF(_xlfn.MINIFS('TP-b'!$B$2:$B$60,'TP-b'!$A$2:$A$60,"FP",'TP-b'!$E$2:$E$60,1)&gt;0,_xlfn.MINIFS('TP-b'!$B$2:$B$60,'TP-b'!$A$2:$A$60,"FP",'TP-b'!$E$2:$E$60,1),"")))</f>
        <v/>
      </c>
      <c r="R240" s="10">
        <f>IF(Q240="","",AVERAGEIFS('TP-b'!$C$2:$C$60,'TP-b'!$A$2:$A$60,"FP",'TP-b'!$B$2:$B$60,Q240,'TP-b'!$E$2:$E$60,1))</f>
        <v/>
      </c>
      <c r="S240" s="10">
        <f>IF(Q240="","",AVERAGEIFS('TP-b'!$D$2:$D$60,'TP-b'!$A$2:$A$60,"FP",'TP-b'!$B$2:$B$60,Q240,'TP-b'!$E$2:$E$60,1))</f>
        <v/>
      </c>
      <c r="T240" s="10">
        <f>IF(OR($A240="",NOT(ISNUMBER($E240)),R240=""),"",ROUND($E240-R240+S240,1))</f>
        <v/>
      </c>
      <c r="U240" s="10">
        <f>IF(AND($F240="Yes",ISNUMBER($G240),R240&lt;&gt;""),ROUND($G240-R240+S240,1),"")</f>
        <v/>
      </c>
      <c r="V240" s="10">
        <f>IF(AND($F240="Yes",ISNUMBER($H240),R240&lt;&gt;""),ROUND($H240-R240+S240,1),"")</f>
        <v/>
      </c>
      <c r="W240" s="10">
        <f>IF(AND(ISNUMBER($E240),ISNUMBER(U240),ISNUMBER(V240)),ROUND((V240-MAX(U240,0))*10,1),"")</f>
        <v/>
      </c>
      <c r="X240" s="10">
        <f>IF(T240="","",IF(AND($F240="Yes",ISNUMBER(V240)),V240,T240))</f>
        <v/>
      </c>
      <c r="Y240" s="10">
        <f>IF(T240="","",ROUND(SUMIFS($W$3:$W$252,$A$3:$A$252,"&lt;="&amp;$A240),1))</f>
        <v/>
      </c>
      <c r="Z240" s="10">
        <f>IF(OR(T240="",$A240=""),"",IF(ISNUMBER(IFERROR(INDEX($X$3:$X$252,MATCH($A240-1,$A$3:$A$252,0)),"")),ROUND((INDEX($X$3:$X$252,MATCH($A240-1,$A$3:$A$252,0))-T240)*10,1),""))</f>
        <v/>
      </c>
      <c r="AA240" s="10">
        <f>IF(ISNUMBER(T240),1,0)</f>
        <v/>
      </c>
      <c r="AB240" s="16">
        <f>IF($A240="","",IF(_xlfn.MAXIFS('TP-b'!$B$2:$B$60,'TP-b'!$A$2:$A$60,"3F4D+MD",'TP-b'!$E$2:$E$60,1,'TP-b'!$B$2:$B$60,"&lt;="&amp;$A240)&gt;0,_xlfn.MAXIFS('TP-b'!$B$2:$B$60,'TP-b'!$A$2:$A$60,"3F4D+MD",'TP-b'!$E$2:$E$60,1,'TP-b'!$B$2:$B$60,"&lt;="&amp;$A240),IF(_xlfn.MINIFS('TP-b'!$B$2:$B$60,'TP-b'!$A$2:$A$60,"3F4D+MD",'TP-b'!$E$2:$E$60,1)&gt;0,_xlfn.MINIFS('TP-b'!$B$2:$B$60,'TP-b'!$A$2:$A$60,"3F4D+MD",'TP-b'!$E$2:$E$60,1),"")))</f>
        <v/>
      </c>
      <c r="AC240" s="10">
        <f>IF(AB240="","",AVERAGEIFS('TP-b'!$C$2:$C$60,'TP-b'!$A$2:$A$60,"3F4D+MD",'TP-b'!$B$2:$B$60,AB240,'TP-b'!$E$2:$E$60,1))</f>
        <v/>
      </c>
      <c r="AD240" s="10">
        <f>IF(AB240="","",AVERAGEIFS('TP-b'!$D$2:$D$60,'TP-b'!$A$2:$A$60,"3F4D+MD",'TP-b'!$B$2:$B$60,AB240,'TP-b'!$E$2:$E$60,1))</f>
        <v/>
      </c>
      <c r="AE240" s="10">
        <f>IF(OR($A240="",NOT(ISNUMBER($J240)),AC240=""),"",ROUND($J240-AC240+AD240,1))</f>
        <v/>
      </c>
      <c r="AF240" s="10">
        <f>IF(AND($K240="Yes",ISNUMBER($L240),AC240&lt;&gt;""),ROUND($L240-AC240+AD240,1),"")</f>
        <v/>
      </c>
      <c r="AG240" s="10">
        <f>IF(AND($K240="Yes",ISNUMBER($M240),AC240&lt;&gt;""),ROUND($M240-AC240+AD240,1),"")</f>
        <v/>
      </c>
      <c r="AH240" s="10">
        <f>IF(AND(ISNUMBER($J240),ISNUMBER(AF240),ISNUMBER(AG240)),ROUND((AG240-MAX(AF240,0))*10,1),"")</f>
        <v/>
      </c>
      <c r="AI240" s="10">
        <f>IF(AE240="","",IF(AND($K240="Yes",ISNUMBER(AG240)),AG240,AE240))</f>
        <v/>
      </c>
      <c r="AJ240" s="10">
        <f>IF(AE240="","",ROUND(SUMIFS($AH$3:$AH$252,$A$3:$A$252,"&lt;="&amp;$A240),1))</f>
        <v/>
      </c>
      <c r="AK240" s="10">
        <f>IF(OR(AE240="",$A240=""),"",IF(ISNUMBER(IFERROR(INDEX($AI$3:$AI$252,MATCH($A240-1,$A$3:$A$252,0)),"")),ROUND((INDEX($AI$3:$AI$252,MATCH($A240-1,$A$3:$A$252,0))-AE240)*10,1),""))</f>
        <v/>
      </c>
      <c r="AL240" s="10">
        <f>IF(ISNUMBER(AE240),1,0)</f>
        <v/>
      </c>
      <c r="AM240" s="17">
        <f>IF($A240="","",IF(COUNTIF($A$3:$A$252,$A240)&gt;1,"same date twice; ","")&amp;IF(AND(ISNUMBER($B240),OR($B240&lt;0,$B240&gt;300)),"rain out of range; ","")&amp;IF(AND(ISNUMBER($C240),OR($C240&lt;0,$C240&gt;45)),"temp out of range; ","")&amp;IF(AND(ISNUMBER($D240),OR($D240&lt;0,$D240&gt;100)),"RH out of range; ",""))</f>
        <v/>
      </c>
      <c r="AN240" s="17">
        <f>IF($A240="","",IF(AND(ISNUMBER(T240),OR(T240&lt;-30,T240&gt;20)),"WL out of range; ","")&amp;IF(AND(ISNUMBER($E240),T240=""),"no TP/b; ","")&amp;IF(AND(ISNUMBER(U240),ISNUMBER(V240)),IF(V240&lt;U240,"After&lt;Before; ",""),"")&amp;IF(AND($F240="Yes",ISNUMBER($E240),W240=""),"irrigation readings missing; ","")&amp;IF(ISNUMBER(Z240),IF(AND(ABS(Z240)&gt;50,NOT(N($B240)&gt;0)),"WL jump &gt;5 cm; ",""),""))</f>
        <v/>
      </c>
      <c r="AO240" s="17">
        <f>IF($A240="","",IF(AND(ISNUMBER(AE240),OR(AE240&lt;-30,AE240&gt;20)),"WL out of range; ","")&amp;IF(AND(ISNUMBER($J240),AE240=""),"no TP/b; ","")&amp;IF(AND(ISNUMBER(AF240),ISNUMBER(AG240)),IF(AG240&lt;AF240,"After&lt;Before; ",""),"")&amp;IF(AND($K240="Yes",ISNUMBER($J240),AH240=""),"irrigation readings missing; ","")&amp;IF(ISNUMBER(AK240),IF(AND(ABS(AK240)&gt;50,NOT(N($B240)&gt;0)),"WL jump &gt;5 cm; ",""),"")&amp;IF(AND(ISNUMBER(PitanE),ISNUMBER(AB240),$A240&gt;PitanE+2,AB240&lt;PitanE),"re-measure TP/b after Pitan; ",""))</f>
        <v/>
      </c>
    </row>
    <row r="241">
      <c r="A241" s="14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0">
        <f>IF(OR($A241="",NOT(ISNUMBER(TransDate))),"",$A241-TransDate)</f>
        <v/>
      </c>
      <c r="Q241" s="16">
        <f>IF($A241="","",IF(_xlfn.MAXIFS('TP-b'!$B$2:$B$60,'TP-b'!$A$2:$A$60,"FP",'TP-b'!$E$2:$E$60,1,'TP-b'!$B$2:$B$60,"&lt;="&amp;$A241)&gt;0,_xlfn.MAXIFS('TP-b'!$B$2:$B$60,'TP-b'!$A$2:$A$60,"FP",'TP-b'!$E$2:$E$60,1,'TP-b'!$B$2:$B$60,"&lt;="&amp;$A241),IF(_xlfn.MINIFS('TP-b'!$B$2:$B$60,'TP-b'!$A$2:$A$60,"FP",'TP-b'!$E$2:$E$60,1)&gt;0,_xlfn.MINIFS('TP-b'!$B$2:$B$60,'TP-b'!$A$2:$A$60,"FP",'TP-b'!$E$2:$E$60,1),"")))</f>
        <v/>
      </c>
      <c r="R241" s="10">
        <f>IF(Q241="","",AVERAGEIFS('TP-b'!$C$2:$C$60,'TP-b'!$A$2:$A$60,"FP",'TP-b'!$B$2:$B$60,Q241,'TP-b'!$E$2:$E$60,1))</f>
        <v/>
      </c>
      <c r="S241" s="10">
        <f>IF(Q241="","",AVERAGEIFS('TP-b'!$D$2:$D$60,'TP-b'!$A$2:$A$60,"FP",'TP-b'!$B$2:$B$60,Q241,'TP-b'!$E$2:$E$60,1))</f>
        <v/>
      </c>
      <c r="T241" s="10">
        <f>IF(OR($A241="",NOT(ISNUMBER($E241)),R241=""),"",ROUND($E241-R241+S241,1))</f>
        <v/>
      </c>
      <c r="U241" s="10">
        <f>IF(AND($F241="Yes",ISNUMBER($G241),R241&lt;&gt;""),ROUND($G241-R241+S241,1),"")</f>
        <v/>
      </c>
      <c r="V241" s="10">
        <f>IF(AND($F241="Yes",ISNUMBER($H241),R241&lt;&gt;""),ROUND($H241-R241+S241,1),"")</f>
        <v/>
      </c>
      <c r="W241" s="10">
        <f>IF(AND(ISNUMBER($E241),ISNUMBER(U241),ISNUMBER(V241)),ROUND((V241-MAX(U241,0))*10,1),"")</f>
        <v/>
      </c>
      <c r="X241" s="10">
        <f>IF(T241="","",IF(AND($F241="Yes",ISNUMBER(V241)),V241,T241))</f>
        <v/>
      </c>
      <c r="Y241" s="10">
        <f>IF(T241="","",ROUND(SUMIFS($W$3:$W$252,$A$3:$A$252,"&lt;="&amp;$A241),1))</f>
        <v/>
      </c>
      <c r="Z241" s="10">
        <f>IF(OR(T241="",$A241=""),"",IF(ISNUMBER(IFERROR(INDEX($X$3:$X$252,MATCH($A241-1,$A$3:$A$252,0)),"")),ROUND((INDEX($X$3:$X$252,MATCH($A241-1,$A$3:$A$252,0))-T241)*10,1),""))</f>
        <v/>
      </c>
      <c r="AA241" s="10">
        <f>IF(ISNUMBER(T241),1,0)</f>
        <v/>
      </c>
      <c r="AB241" s="16">
        <f>IF($A241="","",IF(_xlfn.MAXIFS('TP-b'!$B$2:$B$60,'TP-b'!$A$2:$A$60,"3F4D+MD",'TP-b'!$E$2:$E$60,1,'TP-b'!$B$2:$B$60,"&lt;="&amp;$A241)&gt;0,_xlfn.MAXIFS('TP-b'!$B$2:$B$60,'TP-b'!$A$2:$A$60,"3F4D+MD",'TP-b'!$E$2:$E$60,1,'TP-b'!$B$2:$B$60,"&lt;="&amp;$A241),IF(_xlfn.MINIFS('TP-b'!$B$2:$B$60,'TP-b'!$A$2:$A$60,"3F4D+MD",'TP-b'!$E$2:$E$60,1)&gt;0,_xlfn.MINIFS('TP-b'!$B$2:$B$60,'TP-b'!$A$2:$A$60,"3F4D+MD",'TP-b'!$E$2:$E$60,1),"")))</f>
        <v/>
      </c>
      <c r="AC241" s="10">
        <f>IF(AB241="","",AVERAGEIFS('TP-b'!$C$2:$C$60,'TP-b'!$A$2:$A$60,"3F4D+MD",'TP-b'!$B$2:$B$60,AB241,'TP-b'!$E$2:$E$60,1))</f>
        <v/>
      </c>
      <c r="AD241" s="10">
        <f>IF(AB241="","",AVERAGEIFS('TP-b'!$D$2:$D$60,'TP-b'!$A$2:$A$60,"3F4D+MD",'TP-b'!$B$2:$B$60,AB241,'TP-b'!$E$2:$E$60,1))</f>
        <v/>
      </c>
      <c r="AE241" s="10">
        <f>IF(OR($A241="",NOT(ISNUMBER($J241)),AC241=""),"",ROUND($J241-AC241+AD241,1))</f>
        <v/>
      </c>
      <c r="AF241" s="10">
        <f>IF(AND($K241="Yes",ISNUMBER($L241),AC241&lt;&gt;""),ROUND($L241-AC241+AD241,1),"")</f>
        <v/>
      </c>
      <c r="AG241" s="10">
        <f>IF(AND($K241="Yes",ISNUMBER($M241),AC241&lt;&gt;""),ROUND($M241-AC241+AD241,1),"")</f>
        <v/>
      </c>
      <c r="AH241" s="10">
        <f>IF(AND(ISNUMBER($J241),ISNUMBER(AF241),ISNUMBER(AG241)),ROUND((AG241-MAX(AF241,0))*10,1),"")</f>
        <v/>
      </c>
      <c r="AI241" s="10">
        <f>IF(AE241="","",IF(AND($K241="Yes",ISNUMBER(AG241)),AG241,AE241))</f>
        <v/>
      </c>
      <c r="AJ241" s="10">
        <f>IF(AE241="","",ROUND(SUMIFS($AH$3:$AH$252,$A$3:$A$252,"&lt;="&amp;$A241),1))</f>
        <v/>
      </c>
      <c r="AK241" s="10">
        <f>IF(OR(AE241="",$A241=""),"",IF(ISNUMBER(IFERROR(INDEX($AI$3:$AI$252,MATCH($A241-1,$A$3:$A$252,0)),"")),ROUND((INDEX($AI$3:$AI$252,MATCH($A241-1,$A$3:$A$252,0))-AE241)*10,1),""))</f>
        <v/>
      </c>
      <c r="AL241" s="10">
        <f>IF(ISNUMBER(AE241),1,0)</f>
        <v/>
      </c>
      <c r="AM241" s="17">
        <f>IF($A241="","",IF(COUNTIF($A$3:$A$252,$A241)&gt;1,"same date twice; ","")&amp;IF(AND(ISNUMBER($B241),OR($B241&lt;0,$B241&gt;300)),"rain out of range; ","")&amp;IF(AND(ISNUMBER($C241),OR($C241&lt;0,$C241&gt;45)),"temp out of range; ","")&amp;IF(AND(ISNUMBER($D241),OR($D241&lt;0,$D241&gt;100)),"RH out of range; ",""))</f>
        <v/>
      </c>
      <c r="AN241" s="17">
        <f>IF($A241="","",IF(AND(ISNUMBER(T241),OR(T241&lt;-30,T241&gt;20)),"WL out of range; ","")&amp;IF(AND(ISNUMBER($E241),T241=""),"no TP/b; ","")&amp;IF(AND(ISNUMBER(U241),ISNUMBER(V241)),IF(V241&lt;U241,"After&lt;Before; ",""),"")&amp;IF(AND($F241="Yes",ISNUMBER($E241),W241=""),"irrigation readings missing; ","")&amp;IF(ISNUMBER(Z241),IF(AND(ABS(Z241)&gt;50,NOT(N($B241)&gt;0)),"WL jump &gt;5 cm; ",""),""))</f>
        <v/>
      </c>
      <c r="AO241" s="17">
        <f>IF($A241="","",IF(AND(ISNUMBER(AE241),OR(AE241&lt;-30,AE241&gt;20)),"WL out of range; ","")&amp;IF(AND(ISNUMBER($J241),AE241=""),"no TP/b; ","")&amp;IF(AND(ISNUMBER(AF241),ISNUMBER(AG241)),IF(AG241&lt;AF241,"After&lt;Before; ",""),"")&amp;IF(AND($K241="Yes",ISNUMBER($J241),AH241=""),"irrigation readings missing; ","")&amp;IF(ISNUMBER(AK241),IF(AND(ABS(AK241)&gt;50,NOT(N($B241)&gt;0)),"WL jump &gt;5 cm; ",""),"")&amp;IF(AND(ISNUMBER(PitanE),ISNUMBER(AB241),$A241&gt;PitanE+2,AB241&lt;PitanE),"re-measure TP/b after Pitan; ",""))</f>
        <v/>
      </c>
    </row>
    <row r="242">
      <c r="A242" s="14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0">
        <f>IF(OR($A242="",NOT(ISNUMBER(TransDate))),"",$A242-TransDate)</f>
        <v/>
      </c>
      <c r="Q242" s="16">
        <f>IF($A242="","",IF(_xlfn.MAXIFS('TP-b'!$B$2:$B$60,'TP-b'!$A$2:$A$60,"FP",'TP-b'!$E$2:$E$60,1,'TP-b'!$B$2:$B$60,"&lt;="&amp;$A242)&gt;0,_xlfn.MAXIFS('TP-b'!$B$2:$B$60,'TP-b'!$A$2:$A$60,"FP",'TP-b'!$E$2:$E$60,1,'TP-b'!$B$2:$B$60,"&lt;="&amp;$A242),IF(_xlfn.MINIFS('TP-b'!$B$2:$B$60,'TP-b'!$A$2:$A$60,"FP",'TP-b'!$E$2:$E$60,1)&gt;0,_xlfn.MINIFS('TP-b'!$B$2:$B$60,'TP-b'!$A$2:$A$60,"FP",'TP-b'!$E$2:$E$60,1),"")))</f>
        <v/>
      </c>
      <c r="R242" s="10">
        <f>IF(Q242="","",AVERAGEIFS('TP-b'!$C$2:$C$60,'TP-b'!$A$2:$A$60,"FP",'TP-b'!$B$2:$B$60,Q242,'TP-b'!$E$2:$E$60,1))</f>
        <v/>
      </c>
      <c r="S242" s="10">
        <f>IF(Q242="","",AVERAGEIFS('TP-b'!$D$2:$D$60,'TP-b'!$A$2:$A$60,"FP",'TP-b'!$B$2:$B$60,Q242,'TP-b'!$E$2:$E$60,1))</f>
        <v/>
      </c>
      <c r="T242" s="10">
        <f>IF(OR($A242="",NOT(ISNUMBER($E242)),R242=""),"",ROUND($E242-R242+S242,1))</f>
        <v/>
      </c>
      <c r="U242" s="10">
        <f>IF(AND($F242="Yes",ISNUMBER($G242),R242&lt;&gt;""),ROUND($G242-R242+S242,1),"")</f>
        <v/>
      </c>
      <c r="V242" s="10">
        <f>IF(AND($F242="Yes",ISNUMBER($H242),R242&lt;&gt;""),ROUND($H242-R242+S242,1),"")</f>
        <v/>
      </c>
      <c r="W242" s="10">
        <f>IF(AND(ISNUMBER($E242),ISNUMBER(U242),ISNUMBER(V242)),ROUND((V242-MAX(U242,0))*10,1),"")</f>
        <v/>
      </c>
      <c r="X242" s="10">
        <f>IF(T242="","",IF(AND($F242="Yes",ISNUMBER(V242)),V242,T242))</f>
        <v/>
      </c>
      <c r="Y242" s="10">
        <f>IF(T242="","",ROUND(SUMIFS($W$3:$W$252,$A$3:$A$252,"&lt;="&amp;$A242),1))</f>
        <v/>
      </c>
      <c r="Z242" s="10">
        <f>IF(OR(T242="",$A242=""),"",IF(ISNUMBER(IFERROR(INDEX($X$3:$X$252,MATCH($A242-1,$A$3:$A$252,0)),"")),ROUND((INDEX($X$3:$X$252,MATCH($A242-1,$A$3:$A$252,0))-T242)*10,1),""))</f>
        <v/>
      </c>
      <c r="AA242" s="10">
        <f>IF(ISNUMBER(T242),1,0)</f>
        <v/>
      </c>
      <c r="AB242" s="16">
        <f>IF($A242="","",IF(_xlfn.MAXIFS('TP-b'!$B$2:$B$60,'TP-b'!$A$2:$A$60,"3F4D+MD",'TP-b'!$E$2:$E$60,1,'TP-b'!$B$2:$B$60,"&lt;="&amp;$A242)&gt;0,_xlfn.MAXIFS('TP-b'!$B$2:$B$60,'TP-b'!$A$2:$A$60,"3F4D+MD",'TP-b'!$E$2:$E$60,1,'TP-b'!$B$2:$B$60,"&lt;="&amp;$A242),IF(_xlfn.MINIFS('TP-b'!$B$2:$B$60,'TP-b'!$A$2:$A$60,"3F4D+MD",'TP-b'!$E$2:$E$60,1)&gt;0,_xlfn.MINIFS('TP-b'!$B$2:$B$60,'TP-b'!$A$2:$A$60,"3F4D+MD",'TP-b'!$E$2:$E$60,1),"")))</f>
        <v/>
      </c>
      <c r="AC242" s="10">
        <f>IF(AB242="","",AVERAGEIFS('TP-b'!$C$2:$C$60,'TP-b'!$A$2:$A$60,"3F4D+MD",'TP-b'!$B$2:$B$60,AB242,'TP-b'!$E$2:$E$60,1))</f>
        <v/>
      </c>
      <c r="AD242" s="10">
        <f>IF(AB242="","",AVERAGEIFS('TP-b'!$D$2:$D$60,'TP-b'!$A$2:$A$60,"3F4D+MD",'TP-b'!$B$2:$B$60,AB242,'TP-b'!$E$2:$E$60,1))</f>
        <v/>
      </c>
      <c r="AE242" s="10">
        <f>IF(OR($A242="",NOT(ISNUMBER($J242)),AC242=""),"",ROUND($J242-AC242+AD242,1))</f>
        <v/>
      </c>
      <c r="AF242" s="10">
        <f>IF(AND($K242="Yes",ISNUMBER($L242),AC242&lt;&gt;""),ROUND($L242-AC242+AD242,1),"")</f>
        <v/>
      </c>
      <c r="AG242" s="10">
        <f>IF(AND($K242="Yes",ISNUMBER($M242),AC242&lt;&gt;""),ROUND($M242-AC242+AD242,1),"")</f>
        <v/>
      </c>
      <c r="AH242" s="10">
        <f>IF(AND(ISNUMBER($J242),ISNUMBER(AF242),ISNUMBER(AG242)),ROUND((AG242-MAX(AF242,0))*10,1),"")</f>
        <v/>
      </c>
      <c r="AI242" s="10">
        <f>IF(AE242="","",IF(AND($K242="Yes",ISNUMBER(AG242)),AG242,AE242))</f>
        <v/>
      </c>
      <c r="AJ242" s="10">
        <f>IF(AE242="","",ROUND(SUMIFS($AH$3:$AH$252,$A$3:$A$252,"&lt;="&amp;$A242),1))</f>
        <v/>
      </c>
      <c r="AK242" s="10">
        <f>IF(OR(AE242="",$A242=""),"",IF(ISNUMBER(IFERROR(INDEX($AI$3:$AI$252,MATCH($A242-1,$A$3:$A$252,0)),"")),ROUND((INDEX($AI$3:$AI$252,MATCH($A242-1,$A$3:$A$252,0))-AE242)*10,1),""))</f>
        <v/>
      </c>
      <c r="AL242" s="10">
        <f>IF(ISNUMBER(AE242),1,0)</f>
        <v/>
      </c>
      <c r="AM242" s="17">
        <f>IF($A242="","",IF(COUNTIF($A$3:$A$252,$A242)&gt;1,"same date twice; ","")&amp;IF(AND(ISNUMBER($B242),OR($B242&lt;0,$B242&gt;300)),"rain out of range; ","")&amp;IF(AND(ISNUMBER($C242),OR($C242&lt;0,$C242&gt;45)),"temp out of range; ","")&amp;IF(AND(ISNUMBER($D242),OR($D242&lt;0,$D242&gt;100)),"RH out of range; ",""))</f>
        <v/>
      </c>
      <c r="AN242" s="17">
        <f>IF($A242="","",IF(AND(ISNUMBER(T242),OR(T242&lt;-30,T242&gt;20)),"WL out of range; ","")&amp;IF(AND(ISNUMBER($E242),T242=""),"no TP/b; ","")&amp;IF(AND(ISNUMBER(U242),ISNUMBER(V242)),IF(V242&lt;U242,"After&lt;Before; ",""),"")&amp;IF(AND($F242="Yes",ISNUMBER($E242),W242=""),"irrigation readings missing; ","")&amp;IF(ISNUMBER(Z242),IF(AND(ABS(Z242)&gt;50,NOT(N($B242)&gt;0)),"WL jump &gt;5 cm; ",""),""))</f>
        <v/>
      </c>
      <c r="AO242" s="17">
        <f>IF($A242="","",IF(AND(ISNUMBER(AE242),OR(AE242&lt;-30,AE242&gt;20)),"WL out of range; ","")&amp;IF(AND(ISNUMBER($J242),AE242=""),"no TP/b; ","")&amp;IF(AND(ISNUMBER(AF242),ISNUMBER(AG242)),IF(AG242&lt;AF242,"After&lt;Before; ",""),"")&amp;IF(AND($K242="Yes",ISNUMBER($J242),AH242=""),"irrigation readings missing; ","")&amp;IF(ISNUMBER(AK242),IF(AND(ABS(AK242)&gt;50,NOT(N($B242)&gt;0)),"WL jump &gt;5 cm; ",""),"")&amp;IF(AND(ISNUMBER(PitanE),ISNUMBER(AB242),$A242&gt;PitanE+2,AB242&lt;PitanE),"re-measure TP/b after Pitan; ",""))</f>
        <v/>
      </c>
    </row>
    <row r="243">
      <c r="A243" s="14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0">
        <f>IF(OR($A243="",NOT(ISNUMBER(TransDate))),"",$A243-TransDate)</f>
        <v/>
      </c>
      <c r="Q243" s="16">
        <f>IF($A243="","",IF(_xlfn.MAXIFS('TP-b'!$B$2:$B$60,'TP-b'!$A$2:$A$60,"FP",'TP-b'!$E$2:$E$60,1,'TP-b'!$B$2:$B$60,"&lt;="&amp;$A243)&gt;0,_xlfn.MAXIFS('TP-b'!$B$2:$B$60,'TP-b'!$A$2:$A$60,"FP",'TP-b'!$E$2:$E$60,1,'TP-b'!$B$2:$B$60,"&lt;="&amp;$A243),IF(_xlfn.MINIFS('TP-b'!$B$2:$B$60,'TP-b'!$A$2:$A$60,"FP",'TP-b'!$E$2:$E$60,1)&gt;0,_xlfn.MINIFS('TP-b'!$B$2:$B$60,'TP-b'!$A$2:$A$60,"FP",'TP-b'!$E$2:$E$60,1),"")))</f>
        <v/>
      </c>
      <c r="R243" s="10">
        <f>IF(Q243="","",AVERAGEIFS('TP-b'!$C$2:$C$60,'TP-b'!$A$2:$A$60,"FP",'TP-b'!$B$2:$B$60,Q243,'TP-b'!$E$2:$E$60,1))</f>
        <v/>
      </c>
      <c r="S243" s="10">
        <f>IF(Q243="","",AVERAGEIFS('TP-b'!$D$2:$D$60,'TP-b'!$A$2:$A$60,"FP",'TP-b'!$B$2:$B$60,Q243,'TP-b'!$E$2:$E$60,1))</f>
        <v/>
      </c>
      <c r="T243" s="10">
        <f>IF(OR($A243="",NOT(ISNUMBER($E243)),R243=""),"",ROUND($E243-R243+S243,1))</f>
        <v/>
      </c>
      <c r="U243" s="10">
        <f>IF(AND($F243="Yes",ISNUMBER($G243),R243&lt;&gt;""),ROUND($G243-R243+S243,1),"")</f>
        <v/>
      </c>
      <c r="V243" s="10">
        <f>IF(AND($F243="Yes",ISNUMBER($H243),R243&lt;&gt;""),ROUND($H243-R243+S243,1),"")</f>
        <v/>
      </c>
      <c r="W243" s="10">
        <f>IF(AND(ISNUMBER($E243),ISNUMBER(U243),ISNUMBER(V243)),ROUND((V243-MAX(U243,0))*10,1),"")</f>
        <v/>
      </c>
      <c r="X243" s="10">
        <f>IF(T243="","",IF(AND($F243="Yes",ISNUMBER(V243)),V243,T243))</f>
        <v/>
      </c>
      <c r="Y243" s="10">
        <f>IF(T243="","",ROUND(SUMIFS($W$3:$W$252,$A$3:$A$252,"&lt;="&amp;$A243),1))</f>
        <v/>
      </c>
      <c r="Z243" s="10">
        <f>IF(OR(T243="",$A243=""),"",IF(ISNUMBER(IFERROR(INDEX($X$3:$X$252,MATCH($A243-1,$A$3:$A$252,0)),"")),ROUND((INDEX($X$3:$X$252,MATCH($A243-1,$A$3:$A$252,0))-T243)*10,1),""))</f>
        <v/>
      </c>
      <c r="AA243" s="10">
        <f>IF(ISNUMBER(T243),1,0)</f>
        <v/>
      </c>
      <c r="AB243" s="16">
        <f>IF($A243="","",IF(_xlfn.MAXIFS('TP-b'!$B$2:$B$60,'TP-b'!$A$2:$A$60,"3F4D+MD",'TP-b'!$E$2:$E$60,1,'TP-b'!$B$2:$B$60,"&lt;="&amp;$A243)&gt;0,_xlfn.MAXIFS('TP-b'!$B$2:$B$60,'TP-b'!$A$2:$A$60,"3F4D+MD",'TP-b'!$E$2:$E$60,1,'TP-b'!$B$2:$B$60,"&lt;="&amp;$A243),IF(_xlfn.MINIFS('TP-b'!$B$2:$B$60,'TP-b'!$A$2:$A$60,"3F4D+MD",'TP-b'!$E$2:$E$60,1)&gt;0,_xlfn.MINIFS('TP-b'!$B$2:$B$60,'TP-b'!$A$2:$A$60,"3F4D+MD",'TP-b'!$E$2:$E$60,1),"")))</f>
        <v/>
      </c>
      <c r="AC243" s="10">
        <f>IF(AB243="","",AVERAGEIFS('TP-b'!$C$2:$C$60,'TP-b'!$A$2:$A$60,"3F4D+MD",'TP-b'!$B$2:$B$60,AB243,'TP-b'!$E$2:$E$60,1))</f>
        <v/>
      </c>
      <c r="AD243" s="10">
        <f>IF(AB243="","",AVERAGEIFS('TP-b'!$D$2:$D$60,'TP-b'!$A$2:$A$60,"3F4D+MD",'TP-b'!$B$2:$B$60,AB243,'TP-b'!$E$2:$E$60,1))</f>
        <v/>
      </c>
      <c r="AE243" s="10">
        <f>IF(OR($A243="",NOT(ISNUMBER($J243)),AC243=""),"",ROUND($J243-AC243+AD243,1))</f>
        <v/>
      </c>
      <c r="AF243" s="10">
        <f>IF(AND($K243="Yes",ISNUMBER($L243),AC243&lt;&gt;""),ROUND($L243-AC243+AD243,1),"")</f>
        <v/>
      </c>
      <c r="AG243" s="10">
        <f>IF(AND($K243="Yes",ISNUMBER($M243),AC243&lt;&gt;""),ROUND($M243-AC243+AD243,1),"")</f>
        <v/>
      </c>
      <c r="AH243" s="10">
        <f>IF(AND(ISNUMBER($J243),ISNUMBER(AF243),ISNUMBER(AG243)),ROUND((AG243-MAX(AF243,0))*10,1),"")</f>
        <v/>
      </c>
      <c r="AI243" s="10">
        <f>IF(AE243="","",IF(AND($K243="Yes",ISNUMBER(AG243)),AG243,AE243))</f>
        <v/>
      </c>
      <c r="AJ243" s="10">
        <f>IF(AE243="","",ROUND(SUMIFS($AH$3:$AH$252,$A$3:$A$252,"&lt;="&amp;$A243),1))</f>
        <v/>
      </c>
      <c r="AK243" s="10">
        <f>IF(OR(AE243="",$A243=""),"",IF(ISNUMBER(IFERROR(INDEX($AI$3:$AI$252,MATCH($A243-1,$A$3:$A$252,0)),"")),ROUND((INDEX($AI$3:$AI$252,MATCH($A243-1,$A$3:$A$252,0))-AE243)*10,1),""))</f>
        <v/>
      </c>
      <c r="AL243" s="10">
        <f>IF(ISNUMBER(AE243),1,0)</f>
        <v/>
      </c>
      <c r="AM243" s="17">
        <f>IF($A243="","",IF(COUNTIF($A$3:$A$252,$A243)&gt;1,"same date twice; ","")&amp;IF(AND(ISNUMBER($B243),OR($B243&lt;0,$B243&gt;300)),"rain out of range; ","")&amp;IF(AND(ISNUMBER($C243),OR($C243&lt;0,$C243&gt;45)),"temp out of range; ","")&amp;IF(AND(ISNUMBER($D243),OR($D243&lt;0,$D243&gt;100)),"RH out of range; ",""))</f>
        <v/>
      </c>
      <c r="AN243" s="17">
        <f>IF($A243="","",IF(AND(ISNUMBER(T243),OR(T243&lt;-30,T243&gt;20)),"WL out of range; ","")&amp;IF(AND(ISNUMBER($E243),T243=""),"no TP/b; ","")&amp;IF(AND(ISNUMBER(U243),ISNUMBER(V243)),IF(V243&lt;U243,"After&lt;Before; ",""),"")&amp;IF(AND($F243="Yes",ISNUMBER($E243),W243=""),"irrigation readings missing; ","")&amp;IF(ISNUMBER(Z243),IF(AND(ABS(Z243)&gt;50,NOT(N($B243)&gt;0)),"WL jump &gt;5 cm; ",""),""))</f>
        <v/>
      </c>
      <c r="AO243" s="17">
        <f>IF($A243="","",IF(AND(ISNUMBER(AE243),OR(AE243&lt;-30,AE243&gt;20)),"WL out of range; ","")&amp;IF(AND(ISNUMBER($J243),AE243=""),"no TP/b; ","")&amp;IF(AND(ISNUMBER(AF243),ISNUMBER(AG243)),IF(AG243&lt;AF243,"After&lt;Before; ",""),"")&amp;IF(AND($K243="Yes",ISNUMBER($J243),AH243=""),"irrigation readings missing; ","")&amp;IF(ISNUMBER(AK243),IF(AND(ABS(AK243)&gt;50,NOT(N($B243)&gt;0)),"WL jump &gt;5 cm; ",""),"")&amp;IF(AND(ISNUMBER(PitanE),ISNUMBER(AB243),$A243&gt;PitanE+2,AB243&lt;PitanE),"re-measure TP/b after Pitan; ",""))</f>
        <v/>
      </c>
    </row>
    <row r="244">
      <c r="A244" s="14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0">
        <f>IF(OR($A244="",NOT(ISNUMBER(TransDate))),"",$A244-TransDate)</f>
        <v/>
      </c>
      <c r="Q244" s="16">
        <f>IF($A244="","",IF(_xlfn.MAXIFS('TP-b'!$B$2:$B$60,'TP-b'!$A$2:$A$60,"FP",'TP-b'!$E$2:$E$60,1,'TP-b'!$B$2:$B$60,"&lt;="&amp;$A244)&gt;0,_xlfn.MAXIFS('TP-b'!$B$2:$B$60,'TP-b'!$A$2:$A$60,"FP",'TP-b'!$E$2:$E$60,1,'TP-b'!$B$2:$B$60,"&lt;="&amp;$A244),IF(_xlfn.MINIFS('TP-b'!$B$2:$B$60,'TP-b'!$A$2:$A$60,"FP",'TP-b'!$E$2:$E$60,1)&gt;0,_xlfn.MINIFS('TP-b'!$B$2:$B$60,'TP-b'!$A$2:$A$60,"FP",'TP-b'!$E$2:$E$60,1),"")))</f>
        <v/>
      </c>
      <c r="R244" s="10">
        <f>IF(Q244="","",AVERAGEIFS('TP-b'!$C$2:$C$60,'TP-b'!$A$2:$A$60,"FP",'TP-b'!$B$2:$B$60,Q244,'TP-b'!$E$2:$E$60,1))</f>
        <v/>
      </c>
      <c r="S244" s="10">
        <f>IF(Q244="","",AVERAGEIFS('TP-b'!$D$2:$D$60,'TP-b'!$A$2:$A$60,"FP",'TP-b'!$B$2:$B$60,Q244,'TP-b'!$E$2:$E$60,1))</f>
        <v/>
      </c>
      <c r="T244" s="10">
        <f>IF(OR($A244="",NOT(ISNUMBER($E244)),R244=""),"",ROUND($E244-R244+S244,1))</f>
        <v/>
      </c>
      <c r="U244" s="10">
        <f>IF(AND($F244="Yes",ISNUMBER($G244),R244&lt;&gt;""),ROUND($G244-R244+S244,1),"")</f>
        <v/>
      </c>
      <c r="V244" s="10">
        <f>IF(AND($F244="Yes",ISNUMBER($H244),R244&lt;&gt;""),ROUND($H244-R244+S244,1),"")</f>
        <v/>
      </c>
      <c r="W244" s="10">
        <f>IF(AND(ISNUMBER($E244),ISNUMBER(U244),ISNUMBER(V244)),ROUND((V244-MAX(U244,0))*10,1),"")</f>
        <v/>
      </c>
      <c r="X244" s="10">
        <f>IF(T244="","",IF(AND($F244="Yes",ISNUMBER(V244)),V244,T244))</f>
        <v/>
      </c>
      <c r="Y244" s="10">
        <f>IF(T244="","",ROUND(SUMIFS($W$3:$W$252,$A$3:$A$252,"&lt;="&amp;$A244),1))</f>
        <v/>
      </c>
      <c r="Z244" s="10">
        <f>IF(OR(T244="",$A244=""),"",IF(ISNUMBER(IFERROR(INDEX($X$3:$X$252,MATCH($A244-1,$A$3:$A$252,0)),"")),ROUND((INDEX($X$3:$X$252,MATCH($A244-1,$A$3:$A$252,0))-T244)*10,1),""))</f>
        <v/>
      </c>
      <c r="AA244" s="10">
        <f>IF(ISNUMBER(T244),1,0)</f>
        <v/>
      </c>
      <c r="AB244" s="16">
        <f>IF($A244="","",IF(_xlfn.MAXIFS('TP-b'!$B$2:$B$60,'TP-b'!$A$2:$A$60,"3F4D+MD",'TP-b'!$E$2:$E$60,1,'TP-b'!$B$2:$B$60,"&lt;="&amp;$A244)&gt;0,_xlfn.MAXIFS('TP-b'!$B$2:$B$60,'TP-b'!$A$2:$A$60,"3F4D+MD",'TP-b'!$E$2:$E$60,1,'TP-b'!$B$2:$B$60,"&lt;="&amp;$A244),IF(_xlfn.MINIFS('TP-b'!$B$2:$B$60,'TP-b'!$A$2:$A$60,"3F4D+MD",'TP-b'!$E$2:$E$60,1)&gt;0,_xlfn.MINIFS('TP-b'!$B$2:$B$60,'TP-b'!$A$2:$A$60,"3F4D+MD",'TP-b'!$E$2:$E$60,1),"")))</f>
        <v/>
      </c>
      <c r="AC244" s="10">
        <f>IF(AB244="","",AVERAGEIFS('TP-b'!$C$2:$C$60,'TP-b'!$A$2:$A$60,"3F4D+MD",'TP-b'!$B$2:$B$60,AB244,'TP-b'!$E$2:$E$60,1))</f>
        <v/>
      </c>
      <c r="AD244" s="10">
        <f>IF(AB244="","",AVERAGEIFS('TP-b'!$D$2:$D$60,'TP-b'!$A$2:$A$60,"3F4D+MD",'TP-b'!$B$2:$B$60,AB244,'TP-b'!$E$2:$E$60,1))</f>
        <v/>
      </c>
      <c r="AE244" s="10">
        <f>IF(OR($A244="",NOT(ISNUMBER($J244)),AC244=""),"",ROUND($J244-AC244+AD244,1))</f>
        <v/>
      </c>
      <c r="AF244" s="10">
        <f>IF(AND($K244="Yes",ISNUMBER($L244),AC244&lt;&gt;""),ROUND($L244-AC244+AD244,1),"")</f>
        <v/>
      </c>
      <c r="AG244" s="10">
        <f>IF(AND($K244="Yes",ISNUMBER($M244),AC244&lt;&gt;""),ROUND($M244-AC244+AD244,1),"")</f>
        <v/>
      </c>
      <c r="AH244" s="10">
        <f>IF(AND(ISNUMBER($J244),ISNUMBER(AF244),ISNUMBER(AG244)),ROUND((AG244-MAX(AF244,0))*10,1),"")</f>
        <v/>
      </c>
      <c r="AI244" s="10">
        <f>IF(AE244="","",IF(AND($K244="Yes",ISNUMBER(AG244)),AG244,AE244))</f>
        <v/>
      </c>
      <c r="AJ244" s="10">
        <f>IF(AE244="","",ROUND(SUMIFS($AH$3:$AH$252,$A$3:$A$252,"&lt;="&amp;$A244),1))</f>
        <v/>
      </c>
      <c r="AK244" s="10">
        <f>IF(OR(AE244="",$A244=""),"",IF(ISNUMBER(IFERROR(INDEX($AI$3:$AI$252,MATCH($A244-1,$A$3:$A$252,0)),"")),ROUND((INDEX($AI$3:$AI$252,MATCH($A244-1,$A$3:$A$252,0))-AE244)*10,1),""))</f>
        <v/>
      </c>
      <c r="AL244" s="10">
        <f>IF(ISNUMBER(AE244),1,0)</f>
        <v/>
      </c>
      <c r="AM244" s="17">
        <f>IF($A244="","",IF(COUNTIF($A$3:$A$252,$A244)&gt;1,"same date twice; ","")&amp;IF(AND(ISNUMBER($B244),OR($B244&lt;0,$B244&gt;300)),"rain out of range; ","")&amp;IF(AND(ISNUMBER($C244),OR($C244&lt;0,$C244&gt;45)),"temp out of range; ","")&amp;IF(AND(ISNUMBER($D244),OR($D244&lt;0,$D244&gt;100)),"RH out of range; ",""))</f>
        <v/>
      </c>
      <c r="AN244" s="17">
        <f>IF($A244="","",IF(AND(ISNUMBER(T244),OR(T244&lt;-30,T244&gt;20)),"WL out of range; ","")&amp;IF(AND(ISNUMBER($E244),T244=""),"no TP/b; ","")&amp;IF(AND(ISNUMBER(U244),ISNUMBER(V244)),IF(V244&lt;U244,"After&lt;Before; ",""),"")&amp;IF(AND($F244="Yes",ISNUMBER($E244),W244=""),"irrigation readings missing; ","")&amp;IF(ISNUMBER(Z244),IF(AND(ABS(Z244)&gt;50,NOT(N($B244)&gt;0)),"WL jump &gt;5 cm; ",""),""))</f>
        <v/>
      </c>
      <c r="AO244" s="17">
        <f>IF($A244="","",IF(AND(ISNUMBER(AE244),OR(AE244&lt;-30,AE244&gt;20)),"WL out of range; ","")&amp;IF(AND(ISNUMBER($J244),AE244=""),"no TP/b; ","")&amp;IF(AND(ISNUMBER(AF244),ISNUMBER(AG244)),IF(AG244&lt;AF244,"After&lt;Before; ",""),"")&amp;IF(AND($K244="Yes",ISNUMBER($J244),AH244=""),"irrigation readings missing; ","")&amp;IF(ISNUMBER(AK244),IF(AND(ABS(AK244)&gt;50,NOT(N($B244)&gt;0)),"WL jump &gt;5 cm; ",""),"")&amp;IF(AND(ISNUMBER(PitanE),ISNUMBER(AB244),$A244&gt;PitanE+2,AB244&lt;PitanE),"re-measure TP/b after Pitan; ",""))</f>
        <v/>
      </c>
    </row>
    <row r="245">
      <c r="A245" s="14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0">
        <f>IF(OR($A245="",NOT(ISNUMBER(TransDate))),"",$A245-TransDate)</f>
        <v/>
      </c>
      <c r="Q245" s="16">
        <f>IF($A245="","",IF(_xlfn.MAXIFS('TP-b'!$B$2:$B$60,'TP-b'!$A$2:$A$60,"FP",'TP-b'!$E$2:$E$60,1,'TP-b'!$B$2:$B$60,"&lt;="&amp;$A245)&gt;0,_xlfn.MAXIFS('TP-b'!$B$2:$B$60,'TP-b'!$A$2:$A$60,"FP",'TP-b'!$E$2:$E$60,1,'TP-b'!$B$2:$B$60,"&lt;="&amp;$A245),IF(_xlfn.MINIFS('TP-b'!$B$2:$B$60,'TP-b'!$A$2:$A$60,"FP",'TP-b'!$E$2:$E$60,1)&gt;0,_xlfn.MINIFS('TP-b'!$B$2:$B$60,'TP-b'!$A$2:$A$60,"FP",'TP-b'!$E$2:$E$60,1),"")))</f>
        <v/>
      </c>
      <c r="R245" s="10">
        <f>IF(Q245="","",AVERAGEIFS('TP-b'!$C$2:$C$60,'TP-b'!$A$2:$A$60,"FP",'TP-b'!$B$2:$B$60,Q245,'TP-b'!$E$2:$E$60,1))</f>
        <v/>
      </c>
      <c r="S245" s="10">
        <f>IF(Q245="","",AVERAGEIFS('TP-b'!$D$2:$D$60,'TP-b'!$A$2:$A$60,"FP",'TP-b'!$B$2:$B$60,Q245,'TP-b'!$E$2:$E$60,1))</f>
        <v/>
      </c>
      <c r="T245" s="10">
        <f>IF(OR($A245="",NOT(ISNUMBER($E245)),R245=""),"",ROUND($E245-R245+S245,1))</f>
        <v/>
      </c>
      <c r="U245" s="10">
        <f>IF(AND($F245="Yes",ISNUMBER($G245),R245&lt;&gt;""),ROUND($G245-R245+S245,1),"")</f>
        <v/>
      </c>
      <c r="V245" s="10">
        <f>IF(AND($F245="Yes",ISNUMBER($H245),R245&lt;&gt;""),ROUND($H245-R245+S245,1),"")</f>
        <v/>
      </c>
      <c r="W245" s="10">
        <f>IF(AND(ISNUMBER($E245),ISNUMBER(U245),ISNUMBER(V245)),ROUND((V245-MAX(U245,0))*10,1),"")</f>
        <v/>
      </c>
      <c r="X245" s="10">
        <f>IF(T245="","",IF(AND($F245="Yes",ISNUMBER(V245)),V245,T245))</f>
        <v/>
      </c>
      <c r="Y245" s="10">
        <f>IF(T245="","",ROUND(SUMIFS($W$3:$W$252,$A$3:$A$252,"&lt;="&amp;$A245),1))</f>
        <v/>
      </c>
      <c r="Z245" s="10">
        <f>IF(OR(T245="",$A245=""),"",IF(ISNUMBER(IFERROR(INDEX($X$3:$X$252,MATCH($A245-1,$A$3:$A$252,0)),"")),ROUND((INDEX($X$3:$X$252,MATCH($A245-1,$A$3:$A$252,0))-T245)*10,1),""))</f>
        <v/>
      </c>
      <c r="AA245" s="10">
        <f>IF(ISNUMBER(T245),1,0)</f>
        <v/>
      </c>
      <c r="AB245" s="16">
        <f>IF($A245="","",IF(_xlfn.MAXIFS('TP-b'!$B$2:$B$60,'TP-b'!$A$2:$A$60,"3F4D+MD",'TP-b'!$E$2:$E$60,1,'TP-b'!$B$2:$B$60,"&lt;="&amp;$A245)&gt;0,_xlfn.MAXIFS('TP-b'!$B$2:$B$60,'TP-b'!$A$2:$A$60,"3F4D+MD",'TP-b'!$E$2:$E$60,1,'TP-b'!$B$2:$B$60,"&lt;="&amp;$A245),IF(_xlfn.MINIFS('TP-b'!$B$2:$B$60,'TP-b'!$A$2:$A$60,"3F4D+MD",'TP-b'!$E$2:$E$60,1)&gt;0,_xlfn.MINIFS('TP-b'!$B$2:$B$60,'TP-b'!$A$2:$A$60,"3F4D+MD",'TP-b'!$E$2:$E$60,1),"")))</f>
        <v/>
      </c>
      <c r="AC245" s="10">
        <f>IF(AB245="","",AVERAGEIFS('TP-b'!$C$2:$C$60,'TP-b'!$A$2:$A$60,"3F4D+MD",'TP-b'!$B$2:$B$60,AB245,'TP-b'!$E$2:$E$60,1))</f>
        <v/>
      </c>
      <c r="AD245" s="10">
        <f>IF(AB245="","",AVERAGEIFS('TP-b'!$D$2:$D$60,'TP-b'!$A$2:$A$60,"3F4D+MD",'TP-b'!$B$2:$B$60,AB245,'TP-b'!$E$2:$E$60,1))</f>
        <v/>
      </c>
      <c r="AE245" s="10">
        <f>IF(OR($A245="",NOT(ISNUMBER($J245)),AC245=""),"",ROUND($J245-AC245+AD245,1))</f>
        <v/>
      </c>
      <c r="AF245" s="10">
        <f>IF(AND($K245="Yes",ISNUMBER($L245),AC245&lt;&gt;""),ROUND($L245-AC245+AD245,1),"")</f>
        <v/>
      </c>
      <c r="AG245" s="10">
        <f>IF(AND($K245="Yes",ISNUMBER($M245),AC245&lt;&gt;""),ROUND($M245-AC245+AD245,1),"")</f>
        <v/>
      </c>
      <c r="AH245" s="10">
        <f>IF(AND(ISNUMBER($J245),ISNUMBER(AF245),ISNUMBER(AG245)),ROUND((AG245-MAX(AF245,0))*10,1),"")</f>
        <v/>
      </c>
      <c r="AI245" s="10">
        <f>IF(AE245="","",IF(AND($K245="Yes",ISNUMBER(AG245)),AG245,AE245))</f>
        <v/>
      </c>
      <c r="AJ245" s="10">
        <f>IF(AE245="","",ROUND(SUMIFS($AH$3:$AH$252,$A$3:$A$252,"&lt;="&amp;$A245),1))</f>
        <v/>
      </c>
      <c r="AK245" s="10">
        <f>IF(OR(AE245="",$A245=""),"",IF(ISNUMBER(IFERROR(INDEX($AI$3:$AI$252,MATCH($A245-1,$A$3:$A$252,0)),"")),ROUND((INDEX($AI$3:$AI$252,MATCH($A245-1,$A$3:$A$252,0))-AE245)*10,1),""))</f>
        <v/>
      </c>
      <c r="AL245" s="10">
        <f>IF(ISNUMBER(AE245),1,0)</f>
        <v/>
      </c>
      <c r="AM245" s="17">
        <f>IF($A245="","",IF(COUNTIF($A$3:$A$252,$A245)&gt;1,"same date twice; ","")&amp;IF(AND(ISNUMBER($B245),OR($B245&lt;0,$B245&gt;300)),"rain out of range; ","")&amp;IF(AND(ISNUMBER($C245),OR($C245&lt;0,$C245&gt;45)),"temp out of range; ","")&amp;IF(AND(ISNUMBER($D245),OR($D245&lt;0,$D245&gt;100)),"RH out of range; ",""))</f>
        <v/>
      </c>
      <c r="AN245" s="17">
        <f>IF($A245="","",IF(AND(ISNUMBER(T245),OR(T245&lt;-30,T245&gt;20)),"WL out of range; ","")&amp;IF(AND(ISNUMBER($E245),T245=""),"no TP/b; ","")&amp;IF(AND(ISNUMBER(U245),ISNUMBER(V245)),IF(V245&lt;U245,"After&lt;Before; ",""),"")&amp;IF(AND($F245="Yes",ISNUMBER($E245),W245=""),"irrigation readings missing; ","")&amp;IF(ISNUMBER(Z245),IF(AND(ABS(Z245)&gt;50,NOT(N($B245)&gt;0)),"WL jump &gt;5 cm; ",""),""))</f>
        <v/>
      </c>
      <c r="AO245" s="17">
        <f>IF($A245="","",IF(AND(ISNUMBER(AE245),OR(AE245&lt;-30,AE245&gt;20)),"WL out of range; ","")&amp;IF(AND(ISNUMBER($J245),AE245=""),"no TP/b; ","")&amp;IF(AND(ISNUMBER(AF245),ISNUMBER(AG245)),IF(AG245&lt;AF245,"After&lt;Before; ",""),"")&amp;IF(AND($K245="Yes",ISNUMBER($J245),AH245=""),"irrigation readings missing; ","")&amp;IF(ISNUMBER(AK245),IF(AND(ABS(AK245)&gt;50,NOT(N($B245)&gt;0)),"WL jump &gt;5 cm; ",""),"")&amp;IF(AND(ISNUMBER(PitanE),ISNUMBER(AB245),$A245&gt;PitanE+2,AB245&lt;PitanE),"re-measure TP/b after Pitan; ",""))</f>
        <v/>
      </c>
    </row>
    <row r="246">
      <c r="A246" s="14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0">
        <f>IF(OR($A246="",NOT(ISNUMBER(TransDate))),"",$A246-TransDate)</f>
        <v/>
      </c>
      <c r="Q246" s="16">
        <f>IF($A246="","",IF(_xlfn.MAXIFS('TP-b'!$B$2:$B$60,'TP-b'!$A$2:$A$60,"FP",'TP-b'!$E$2:$E$60,1,'TP-b'!$B$2:$B$60,"&lt;="&amp;$A246)&gt;0,_xlfn.MAXIFS('TP-b'!$B$2:$B$60,'TP-b'!$A$2:$A$60,"FP",'TP-b'!$E$2:$E$60,1,'TP-b'!$B$2:$B$60,"&lt;="&amp;$A246),IF(_xlfn.MINIFS('TP-b'!$B$2:$B$60,'TP-b'!$A$2:$A$60,"FP",'TP-b'!$E$2:$E$60,1)&gt;0,_xlfn.MINIFS('TP-b'!$B$2:$B$60,'TP-b'!$A$2:$A$60,"FP",'TP-b'!$E$2:$E$60,1),"")))</f>
        <v/>
      </c>
      <c r="R246" s="10">
        <f>IF(Q246="","",AVERAGEIFS('TP-b'!$C$2:$C$60,'TP-b'!$A$2:$A$60,"FP",'TP-b'!$B$2:$B$60,Q246,'TP-b'!$E$2:$E$60,1))</f>
        <v/>
      </c>
      <c r="S246" s="10">
        <f>IF(Q246="","",AVERAGEIFS('TP-b'!$D$2:$D$60,'TP-b'!$A$2:$A$60,"FP",'TP-b'!$B$2:$B$60,Q246,'TP-b'!$E$2:$E$60,1))</f>
        <v/>
      </c>
      <c r="T246" s="10">
        <f>IF(OR($A246="",NOT(ISNUMBER($E246)),R246=""),"",ROUND($E246-R246+S246,1))</f>
        <v/>
      </c>
      <c r="U246" s="10">
        <f>IF(AND($F246="Yes",ISNUMBER($G246),R246&lt;&gt;""),ROUND($G246-R246+S246,1),"")</f>
        <v/>
      </c>
      <c r="V246" s="10">
        <f>IF(AND($F246="Yes",ISNUMBER($H246),R246&lt;&gt;""),ROUND($H246-R246+S246,1),"")</f>
        <v/>
      </c>
      <c r="W246" s="10">
        <f>IF(AND(ISNUMBER($E246),ISNUMBER(U246),ISNUMBER(V246)),ROUND((V246-MAX(U246,0))*10,1),"")</f>
        <v/>
      </c>
      <c r="X246" s="10">
        <f>IF(T246="","",IF(AND($F246="Yes",ISNUMBER(V246)),V246,T246))</f>
        <v/>
      </c>
      <c r="Y246" s="10">
        <f>IF(T246="","",ROUND(SUMIFS($W$3:$W$252,$A$3:$A$252,"&lt;="&amp;$A246),1))</f>
        <v/>
      </c>
      <c r="Z246" s="10">
        <f>IF(OR(T246="",$A246=""),"",IF(ISNUMBER(IFERROR(INDEX($X$3:$X$252,MATCH($A246-1,$A$3:$A$252,0)),"")),ROUND((INDEX($X$3:$X$252,MATCH($A246-1,$A$3:$A$252,0))-T246)*10,1),""))</f>
        <v/>
      </c>
      <c r="AA246" s="10">
        <f>IF(ISNUMBER(T246),1,0)</f>
        <v/>
      </c>
      <c r="AB246" s="16">
        <f>IF($A246="","",IF(_xlfn.MAXIFS('TP-b'!$B$2:$B$60,'TP-b'!$A$2:$A$60,"3F4D+MD",'TP-b'!$E$2:$E$60,1,'TP-b'!$B$2:$B$60,"&lt;="&amp;$A246)&gt;0,_xlfn.MAXIFS('TP-b'!$B$2:$B$60,'TP-b'!$A$2:$A$60,"3F4D+MD",'TP-b'!$E$2:$E$60,1,'TP-b'!$B$2:$B$60,"&lt;="&amp;$A246),IF(_xlfn.MINIFS('TP-b'!$B$2:$B$60,'TP-b'!$A$2:$A$60,"3F4D+MD",'TP-b'!$E$2:$E$60,1)&gt;0,_xlfn.MINIFS('TP-b'!$B$2:$B$60,'TP-b'!$A$2:$A$60,"3F4D+MD",'TP-b'!$E$2:$E$60,1),"")))</f>
        <v/>
      </c>
      <c r="AC246" s="10">
        <f>IF(AB246="","",AVERAGEIFS('TP-b'!$C$2:$C$60,'TP-b'!$A$2:$A$60,"3F4D+MD",'TP-b'!$B$2:$B$60,AB246,'TP-b'!$E$2:$E$60,1))</f>
        <v/>
      </c>
      <c r="AD246" s="10">
        <f>IF(AB246="","",AVERAGEIFS('TP-b'!$D$2:$D$60,'TP-b'!$A$2:$A$60,"3F4D+MD",'TP-b'!$B$2:$B$60,AB246,'TP-b'!$E$2:$E$60,1))</f>
        <v/>
      </c>
      <c r="AE246" s="10">
        <f>IF(OR($A246="",NOT(ISNUMBER($J246)),AC246=""),"",ROUND($J246-AC246+AD246,1))</f>
        <v/>
      </c>
      <c r="AF246" s="10">
        <f>IF(AND($K246="Yes",ISNUMBER($L246),AC246&lt;&gt;""),ROUND($L246-AC246+AD246,1),"")</f>
        <v/>
      </c>
      <c r="AG246" s="10">
        <f>IF(AND($K246="Yes",ISNUMBER($M246),AC246&lt;&gt;""),ROUND($M246-AC246+AD246,1),"")</f>
        <v/>
      </c>
      <c r="AH246" s="10">
        <f>IF(AND(ISNUMBER($J246),ISNUMBER(AF246),ISNUMBER(AG246)),ROUND((AG246-MAX(AF246,0))*10,1),"")</f>
        <v/>
      </c>
      <c r="AI246" s="10">
        <f>IF(AE246="","",IF(AND($K246="Yes",ISNUMBER(AG246)),AG246,AE246))</f>
        <v/>
      </c>
      <c r="AJ246" s="10">
        <f>IF(AE246="","",ROUND(SUMIFS($AH$3:$AH$252,$A$3:$A$252,"&lt;="&amp;$A246),1))</f>
        <v/>
      </c>
      <c r="AK246" s="10">
        <f>IF(OR(AE246="",$A246=""),"",IF(ISNUMBER(IFERROR(INDEX($AI$3:$AI$252,MATCH($A246-1,$A$3:$A$252,0)),"")),ROUND((INDEX($AI$3:$AI$252,MATCH($A246-1,$A$3:$A$252,0))-AE246)*10,1),""))</f>
        <v/>
      </c>
      <c r="AL246" s="10">
        <f>IF(ISNUMBER(AE246),1,0)</f>
        <v/>
      </c>
      <c r="AM246" s="17">
        <f>IF($A246="","",IF(COUNTIF($A$3:$A$252,$A246)&gt;1,"same date twice; ","")&amp;IF(AND(ISNUMBER($B246),OR($B246&lt;0,$B246&gt;300)),"rain out of range; ","")&amp;IF(AND(ISNUMBER($C246),OR($C246&lt;0,$C246&gt;45)),"temp out of range; ","")&amp;IF(AND(ISNUMBER($D246),OR($D246&lt;0,$D246&gt;100)),"RH out of range; ",""))</f>
        <v/>
      </c>
      <c r="AN246" s="17">
        <f>IF($A246="","",IF(AND(ISNUMBER(T246),OR(T246&lt;-30,T246&gt;20)),"WL out of range; ","")&amp;IF(AND(ISNUMBER($E246),T246=""),"no TP/b; ","")&amp;IF(AND(ISNUMBER(U246),ISNUMBER(V246)),IF(V246&lt;U246,"After&lt;Before; ",""),"")&amp;IF(AND($F246="Yes",ISNUMBER($E246),W246=""),"irrigation readings missing; ","")&amp;IF(ISNUMBER(Z246),IF(AND(ABS(Z246)&gt;50,NOT(N($B246)&gt;0)),"WL jump &gt;5 cm; ",""),""))</f>
        <v/>
      </c>
      <c r="AO246" s="17">
        <f>IF($A246="","",IF(AND(ISNUMBER(AE246),OR(AE246&lt;-30,AE246&gt;20)),"WL out of range; ","")&amp;IF(AND(ISNUMBER($J246),AE246=""),"no TP/b; ","")&amp;IF(AND(ISNUMBER(AF246),ISNUMBER(AG246)),IF(AG246&lt;AF246,"After&lt;Before; ",""),"")&amp;IF(AND($K246="Yes",ISNUMBER($J246),AH246=""),"irrigation readings missing; ","")&amp;IF(ISNUMBER(AK246),IF(AND(ABS(AK246)&gt;50,NOT(N($B246)&gt;0)),"WL jump &gt;5 cm; ",""),"")&amp;IF(AND(ISNUMBER(PitanE),ISNUMBER(AB246),$A246&gt;PitanE+2,AB246&lt;PitanE),"re-measure TP/b after Pitan; ",""))</f>
        <v/>
      </c>
    </row>
    <row r="247">
      <c r="A247" s="14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0">
        <f>IF(OR($A247="",NOT(ISNUMBER(TransDate))),"",$A247-TransDate)</f>
        <v/>
      </c>
      <c r="Q247" s="16">
        <f>IF($A247="","",IF(_xlfn.MAXIFS('TP-b'!$B$2:$B$60,'TP-b'!$A$2:$A$60,"FP",'TP-b'!$E$2:$E$60,1,'TP-b'!$B$2:$B$60,"&lt;="&amp;$A247)&gt;0,_xlfn.MAXIFS('TP-b'!$B$2:$B$60,'TP-b'!$A$2:$A$60,"FP",'TP-b'!$E$2:$E$60,1,'TP-b'!$B$2:$B$60,"&lt;="&amp;$A247),IF(_xlfn.MINIFS('TP-b'!$B$2:$B$60,'TP-b'!$A$2:$A$60,"FP",'TP-b'!$E$2:$E$60,1)&gt;0,_xlfn.MINIFS('TP-b'!$B$2:$B$60,'TP-b'!$A$2:$A$60,"FP",'TP-b'!$E$2:$E$60,1),"")))</f>
        <v/>
      </c>
      <c r="R247" s="10">
        <f>IF(Q247="","",AVERAGEIFS('TP-b'!$C$2:$C$60,'TP-b'!$A$2:$A$60,"FP",'TP-b'!$B$2:$B$60,Q247,'TP-b'!$E$2:$E$60,1))</f>
        <v/>
      </c>
      <c r="S247" s="10">
        <f>IF(Q247="","",AVERAGEIFS('TP-b'!$D$2:$D$60,'TP-b'!$A$2:$A$60,"FP",'TP-b'!$B$2:$B$60,Q247,'TP-b'!$E$2:$E$60,1))</f>
        <v/>
      </c>
      <c r="T247" s="10">
        <f>IF(OR($A247="",NOT(ISNUMBER($E247)),R247=""),"",ROUND($E247-R247+S247,1))</f>
        <v/>
      </c>
      <c r="U247" s="10">
        <f>IF(AND($F247="Yes",ISNUMBER($G247),R247&lt;&gt;""),ROUND($G247-R247+S247,1),"")</f>
        <v/>
      </c>
      <c r="V247" s="10">
        <f>IF(AND($F247="Yes",ISNUMBER($H247),R247&lt;&gt;""),ROUND($H247-R247+S247,1),"")</f>
        <v/>
      </c>
      <c r="W247" s="10">
        <f>IF(AND(ISNUMBER($E247),ISNUMBER(U247),ISNUMBER(V247)),ROUND((V247-MAX(U247,0))*10,1),"")</f>
        <v/>
      </c>
      <c r="X247" s="10">
        <f>IF(T247="","",IF(AND($F247="Yes",ISNUMBER(V247)),V247,T247))</f>
        <v/>
      </c>
      <c r="Y247" s="10">
        <f>IF(T247="","",ROUND(SUMIFS($W$3:$W$252,$A$3:$A$252,"&lt;="&amp;$A247),1))</f>
        <v/>
      </c>
      <c r="Z247" s="10">
        <f>IF(OR(T247="",$A247=""),"",IF(ISNUMBER(IFERROR(INDEX($X$3:$X$252,MATCH($A247-1,$A$3:$A$252,0)),"")),ROUND((INDEX($X$3:$X$252,MATCH($A247-1,$A$3:$A$252,0))-T247)*10,1),""))</f>
        <v/>
      </c>
      <c r="AA247" s="10">
        <f>IF(ISNUMBER(T247),1,0)</f>
        <v/>
      </c>
      <c r="AB247" s="16">
        <f>IF($A247="","",IF(_xlfn.MAXIFS('TP-b'!$B$2:$B$60,'TP-b'!$A$2:$A$60,"3F4D+MD",'TP-b'!$E$2:$E$60,1,'TP-b'!$B$2:$B$60,"&lt;="&amp;$A247)&gt;0,_xlfn.MAXIFS('TP-b'!$B$2:$B$60,'TP-b'!$A$2:$A$60,"3F4D+MD",'TP-b'!$E$2:$E$60,1,'TP-b'!$B$2:$B$60,"&lt;="&amp;$A247),IF(_xlfn.MINIFS('TP-b'!$B$2:$B$60,'TP-b'!$A$2:$A$60,"3F4D+MD",'TP-b'!$E$2:$E$60,1)&gt;0,_xlfn.MINIFS('TP-b'!$B$2:$B$60,'TP-b'!$A$2:$A$60,"3F4D+MD",'TP-b'!$E$2:$E$60,1),"")))</f>
        <v/>
      </c>
      <c r="AC247" s="10">
        <f>IF(AB247="","",AVERAGEIFS('TP-b'!$C$2:$C$60,'TP-b'!$A$2:$A$60,"3F4D+MD",'TP-b'!$B$2:$B$60,AB247,'TP-b'!$E$2:$E$60,1))</f>
        <v/>
      </c>
      <c r="AD247" s="10">
        <f>IF(AB247="","",AVERAGEIFS('TP-b'!$D$2:$D$60,'TP-b'!$A$2:$A$60,"3F4D+MD",'TP-b'!$B$2:$B$60,AB247,'TP-b'!$E$2:$E$60,1))</f>
        <v/>
      </c>
      <c r="AE247" s="10">
        <f>IF(OR($A247="",NOT(ISNUMBER($J247)),AC247=""),"",ROUND($J247-AC247+AD247,1))</f>
        <v/>
      </c>
      <c r="AF247" s="10">
        <f>IF(AND($K247="Yes",ISNUMBER($L247),AC247&lt;&gt;""),ROUND($L247-AC247+AD247,1),"")</f>
        <v/>
      </c>
      <c r="AG247" s="10">
        <f>IF(AND($K247="Yes",ISNUMBER($M247),AC247&lt;&gt;""),ROUND($M247-AC247+AD247,1),"")</f>
        <v/>
      </c>
      <c r="AH247" s="10">
        <f>IF(AND(ISNUMBER($J247),ISNUMBER(AF247),ISNUMBER(AG247)),ROUND((AG247-MAX(AF247,0))*10,1),"")</f>
        <v/>
      </c>
      <c r="AI247" s="10">
        <f>IF(AE247="","",IF(AND($K247="Yes",ISNUMBER(AG247)),AG247,AE247))</f>
        <v/>
      </c>
      <c r="AJ247" s="10">
        <f>IF(AE247="","",ROUND(SUMIFS($AH$3:$AH$252,$A$3:$A$252,"&lt;="&amp;$A247),1))</f>
        <v/>
      </c>
      <c r="AK247" s="10">
        <f>IF(OR(AE247="",$A247=""),"",IF(ISNUMBER(IFERROR(INDEX($AI$3:$AI$252,MATCH($A247-1,$A$3:$A$252,0)),"")),ROUND((INDEX($AI$3:$AI$252,MATCH($A247-1,$A$3:$A$252,0))-AE247)*10,1),""))</f>
        <v/>
      </c>
      <c r="AL247" s="10">
        <f>IF(ISNUMBER(AE247),1,0)</f>
        <v/>
      </c>
      <c r="AM247" s="17">
        <f>IF($A247="","",IF(COUNTIF($A$3:$A$252,$A247)&gt;1,"same date twice; ","")&amp;IF(AND(ISNUMBER($B247),OR($B247&lt;0,$B247&gt;300)),"rain out of range; ","")&amp;IF(AND(ISNUMBER($C247),OR($C247&lt;0,$C247&gt;45)),"temp out of range; ","")&amp;IF(AND(ISNUMBER($D247),OR($D247&lt;0,$D247&gt;100)),"RH out of range; ",""))</f>
        <v/>
      </c>
      <c r="AN247" s="17">
        <f>IF($A247="","",IF(AND(ISNUMBER(T247),OR(T247&lt;-30,T247&gt;20)),"WL out of range; ","")&amp;IF(AND(ISNUMBER($E247),T247=""),"no TP/b; ","")&amp;IF(AND(ISNUMBER(U247),ISNUMBER(V247)),IF(V247&lt;U247,"After&lt;Before; ",""),"")&amp;IF(AND($F247="Yes",ISNUMBER($E247),W247=""),"irrigation readings missing; ","")&amp;IF(ISNUMBER(Z247),IF(AND(ABS(Z247)&gt;50,NOT(N($B247)&gt;0)),"WL jump &gt;5 cm; ",""),""))</f>
        <v/>
      </c>
      <c r="AO247" s="17">
        <f>IF($A247="","",IF(AND(ISNUMBER(AE247),OR(AE247&lt;-30,AE247&gt;20)),"WL out of range; ","")&amp;IF(AND(ISNUMBER($J247),AE247=""),"no TP/b; ","")&amp;IF(AND(ISNUMBER(AF247),ISNUMBER(AG247)),IF(AG247&lt;AF247,"After&lt;Before; ",""),"")&amp;IF(AND($K247="Yes",ISNUMBER($J247),AH247=""),"irrigation readings missing; ","")&amp;IF(ISNUMBER(AK247),IF(AND(ABS(AK247)&gt;50,NOT(N($B247)&gt;0)),"WL jump &gt;5 cm; ",""),"")&amp;IF(AND(ISNUMBER(PitanE),ISNUMBER(AB247),$A247&gt;PitanE+2,AB247&lt;PitanE),"re-measure TP/b after Pitan; ",""))</f>
        <v/>
      </c>
    </row>
    <row r="248">
      <c r="A248" s="14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0">
        <f>IF(OR($A248="",NOT(ISNUMBER(TransDate))),"",$A248-TransDate)</f>
        <v/>
      </c>
      <c r="Q248" s="16">
        <f>IF($A248="","",IF(_xlfn.MAXIFS('TP-b'!$B$2:$B$60,'TP-b'!$A$2:$A$60,"FP",'TP-b'!$E$2:$E$60,1,'TP-b'!$B$2:$B$60,"&lt;="&amp;$A248)&gt;0,_xlfn.MAXIFS('TP-b'!$B$2:$B$60,'TP-b'!$A$2:$A$60,"FP",'TP-b'!$E$2:$E$60,1,'TP-b'!$B$2:$B$60,"&lt;="&amp;$A248),IF(_xlfn.MINIFS('TP-b'!$B$2:$B$60,'TP-b'!$A$2:$A$60,"FP",'TP-b'!$E$2:$E$60,1)&gt;0,_xlfn.MINIFS('TP-b'!$B$2:$B$60,'TP-b'!$A$2:$A$60,"FP",'TP-b'!$E$2:$E$60,1),"")))</f>
        <v/>
      </c>
      <c r="R248" s="10">
        <f>IF(Q248="","",AVERAGEIFS('TP-b'!$C$2:$C$60,'TP-b'!$A$2:$A$60,"FP",'TP-b'!$B$2:$B$60,Q248,'TP-b'!$E$2:$E$60,1))</f>
        <v/>
      </c>
      <c r="S248" s="10">
        <f>IF(Q248="","",AVERAGEIFS('TP-b'!$D$2:$D$60,'TP-b'!$A$2:$A$60,"FP",'TP-b'!$B$2:$B$60,Q248,'TP-b'!$E$2:$E$60,1))</f>
        <v/>
      </c>
      <c r="T248" s="10">
        <f>IF(OR($A248="",NOT(ISNUMBER($E248)),R248=""),"",ROUND($E248-R248+S248,1))</f>
        <v/>
      </c>
      <c r="U248" s="10">
        <f>IF(AND($F248="Yes",ISNUMBER($G248),R248&lt;&gt;""),ROUND($G248-R248+S248,1),"")</f>
        <v/>
      </c>
      <c r="V248" s="10">
        <f>IF(AND($F248="Yes",ISNUMBER($H248),R248&lt;&gt;""),ROUND($H248-R248+S248,1),"")</f>
        <v/>
      </c>
      <c r="W248" s="10">
        <f>IF(AND(ISNUMBER($E248),ISNUMBER(U248),ISNUMBER(V248)),ROUND((V248-MAX(U248,0))*10,1),"")</f>
        <v/>
      </c>
      <c r="X248" s="10">
        <f>IF(T248="","",IF(AND($F248="Yes",ISNUMBER(V248)),V248,T248))</f>
        <v/>
      </c>
      <c r="Y248" s="10">
        <f>IF(T248="","",ROUND(SUMIFS($W$3:$W$252,$A$3:$A$252,"&lt;="&amp;$A248),1))</f>
        <v/>
      </c>
      <c r="Z248" s="10">
        <f>IF(OR(T248="",$A248=""),"",IF(ISNUMBER(IFERROR(INDEX($X$3:$X$252,MATCH($A248-1,$A$3:$A$252,0)),"")),ROUND((INDEX($X$3:$X$252,MATCH($A248-1,$A$3:$A$252,0))-T248)*10,1),""))</f>
        <v/>
      </c>
      <c r="AA248" s="10">
        <f>IF(ISNUMBER(T248),1,0)</f>
        <v/>
      </c>
      <c r="AB248" s="16">
        <f>IF($A248="","",IF(_xlfn.MAXIFS('TP-b'!$B$2:$B$60,'TP-b'!$A$2:$A$60,"3F4D+MD",'TP-b'!$E$2:$E$60,1,'TP-b'!$B$2:$B$60,"&lt;="&amp;$A248)&gt;0,_xlfn.MAXIFS('TP-b'!$B$2:$B$60,'TP-b'!$A$2:$A$60,"3F4D+MD",'TP-b'!$E$2:$E$60,1,'TP-b'!$B$2:$B$60,"&lt;="&amp;$A248),IF(_xlfn.MINIFS('TP-b'!$B$2:$B$60,'TP-b'!$A$2:$A$60,"3F4D+MD",'TP-b'!$E$2:$E$60,1)&gt;0,_xlfn.MINIFS('TP-b'!$B$2:$B$60,'TP-b'!$A$2:$A$60,"3F4D+MD",'TP-b'!$E$2:$E$60,1),"")))</f>
        <v/>
      </c>
      <c r="AC248" s="10">
        <f>IF(AB248="","",AVERAGEIFS('TP-b'!$C$2:$C$60,'TP-b'!$A$2:$A$60,"3F4D+MD",'TP-b'!$B$2:$B$60,AB248,'TP-b'!$E$2:$E$60,1))</f>
        <v/>
      </c>
      <c r="AD248" s="10">
        <f>IF(AB248="","",AVERAGEIFS('TP-b'!$D$2:$D$60,'TP-b'!$A$2:$A$60,"3F4D+MD",'TP-b'!$B$2:$B$60,AB248,'TP-b'!$E$2:$E$60,1))</f>
        <v/>
      </c>
      <c r="AE248" s="10">
        <f>IF(OR($A248="",NOT(ISNUMBER($J248)),AC248=""),"",ROUND($J248-AC248+AD248,1))</f>
        <v/>
      </c>
      <c r="AF248" s="10">
        <f>IF(AND($K248="Yes",ISNUMBER($L248),AC248&lt;&gt;""),ROUND($L248-AC248+AD248,1),"")</f>
        <v/>
      </c>
      <c r="AG248" s="10">
        <f>IF(AND($K248="Yes",ISNUMBER($M248),AC248&lt;&gt;""),ROUND($M248-AC248+AD248,1),"")</f>
        <v/>
      </c>
      <c r="AH248" s="10">
        <f>IF(AND(ISNUMBER($J248),ISNUMBER(AF248),ISNUMBER(AG248)),ROUND((AG248-MAX(AF248,0))*10,1),"")</f>
        <v/>
      </c>
      <c r="AI248" s="10">
        <f>IF(AE248="","",IF(AND($K248="Yes",ISNUMBER(AG248)),AG248,AE248))</f>
        <v/>
      </c>
      <c r="AJ248" s="10">
        <f>IF(AE248="","",ROUND(SUMIFS($AH$3:$AH$252,$A$3:$A$252,"&lt;="&amp;$A248),1))</f>
        <v/>
      </c>
      <c r="AK248" s="10">
        <f>IF(OR(AE248="",$A248=""),"",IF(ISNUMBER(IFERROR(INDEX($AI$3:$AI$252,MATCH($A248-1,$A$3:$A$252,0)),"")),ROUND((INDEX($AI$3:$AI$252,MATCH($A248-1,$A$3:$A$252,0))-AE248)*10,1),""))</f>
        <v/>
      </c>
      <c r="AL248" s="10">
        <f>IF(ISNUMBER(AE248),1,0)</f>
        <v/>
      </c>
      <c r="AM248" s="17">
        <f>IF($A248="","",IF(COUNTIF($A$3:$A$252,$A248)&gt;1,"same date twice; ","")&amp;IF(AND(ISNUMBER($B248),OR($B248&lt;0,$B248&gt;300)),"rain out of range; ","")&amp;IF(AND(ISNUMBER($C248),OR($C248&lt;0,$C248&gt;45)),"temp out of range; ","")&amp;IF(AND(ISNUMBER($D248),OR($D248&lt;0,$D248&gt;100)),"RH out of range; ",""))</f>
        <v/>
      </c>
      <c r="AN248" s="17">
        <f>IF($A248="","",IF(AND(ISNUMBER(T248),OR(T248&lt;-30,T248&gt;20)),"WL out of range; ","")&amp;IF(AND(ISNUMBER($E248),T248=""),"no TP/b; ","")&amp;IF(AND(ISNUMBER(U248),ISNUMBER(V248)),IF(V248&lt;U248,"After&lt;Before; ",""),"")&amp;IF(AND($F248="Yes",ISNUMBER($E248),W248=""),"irrigation readings missing; ","")&amp;IF(ISNUMBER(Z248),IF(AND(ABS(Z248)&gt;50,NOT(N($B248)&gt;0)),"WL jump &gt;5 cm; ",""),""))</f>
        <v/>
      </c>
      <c r="AO248" s="17">
        <f>IF($A248="","",IF(AND(ISNUMBER(AE248),OR(AE248&lt;-30,AE248&gt;20)),"WL out of range; ","")&amp;IF(AND(ISNUMBER($J248),AE248=""),"no TP/b; ","")&amp;IF(AND(ISNUMBER(AF248),ISNUMBER(AG248)),IF(AG248&lt;AF248,"After&lt;Before; ",""),"")&amp;IF(AND($K248="Yes",ISNUMBER($J248),AH248=""),"irrigation readings missing; ","")&amp;IF(ISNUMBER(AK248),IF(AND(ABS(AK248)&gt;50,NOT(N($B248)&gt;0)),"WL jump &gt;5 cm; ",""),"")&amp;IF(AND(ISNUMBER(PitanE),ISNUMBER(AB248),$A248&gt;PitanE+2,AB248&lt;PitanE),"re-measure TP/b after Pitan; ",""))</f>
        <v/>
      </c>
    </row>
    <row r="249">
      <c r="A249" s="14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0">
        <f>IF(OR($A249="",NOT(ISNUMBER(TransDate))),"",$A249-TransDate)</f>
        <v/>
      </c>
      <c r="Q249" s="16">
        <f>IF($A249="","",IF(_xlfn.MAXIFS('TP-b'!$B$2:$B$60,'TP-b'!$A$2:$A$60,"FP",'TP-b'!$E$2:$E$60,1,'TP-b'!$B$2:$B$60,"&lt;="&amp;$A249)&gt;0,_xlfn.MAXIFS('TP-b'!$B$2:$B$60,'TP-b'!$A$2:$A$60,"FP",'TP-b'!$E$2:$E$60,1,'TP-b'!$B$2:$B$60,"&lt;="&amp;$A249),IF(_xlfn.MINIFS('TP-b'!$B$2:$B$60,'TP-b'!$A$2:$A$60,"FP",'TP-b'!$E$2:$E$60,1)&gt;0,_xlfn.MINIFS('TP-b'!$B$2:$B$60,'TP-b'!$A$2:$A$60,"FP",'TP-b'!$E$2:$E$60,1),"")))</f>
        <v/>
      </c>
      <c r="R249" s="10">
        <f>IF(Q249="","",AVERAGEIFS('TP-b'!$C$2:$C$60,'TP-b'!$A$2:$A$60,"FP",'TP-b'!$B$2:$B$60,Q249,'TP-b'!$E$2:$E$60,1))</f>
        <v/>
      </c>
      <c r="S249" s="10">
        <f>IF(Q249="","",AVERAGEIFS('TP-b'!$D$2:$D$60,'TP-b'!$A$2:$A$60,"FP",'TP-b'!$B$2:$B$60,Q249,'TP-b'!$E$2:$E$60,1))</f>
        <v/>
      </c>
      <c r="T249" s="10">
        <f>IF(OR($A249="",NOT(ISNUMBER($E249)),R249=""),"",ROUND($E249-R249+S249,1))</f>
        <v/>
      </c>
      <c r="U249" s="10">
        <f>IF(AND($F249="Yes",ISNUMBER($G249),R249&lt;&gt;""),ROUND($G249-R249+S249,1),"")</f>
        <v/>
      </c>
      <c r="V249" s="10">
        <f>IF(AND($F249="Yes",ISNUMBER($H249),R249&lt;&gt;""),ROUND($H249-R249+S249,1),"")</f>
        <v/>
      </c>
      <c r="W249" s="10">
        <f>IF(AND(ISNUMBER($E249),ISNUMBER(U249),ISNUMBER(V249)),ROUND((V249-MAX(U249,0))*10,1),"")</f>
        <v/>
      </c>
      <c r="X249" s="10">
        <f>IF(T249="","",IF(AND($F249="Yes",ISNUMBER(V249)),V249,T249))</f>
        <v/>
      </c>
      <c r="Y249" s="10">
        <f>IF(T249="","",ROUND(SUMIFS($W$3:$W$252,$A$3:$A$252,"&lt;="&amp;$A249),1))</f>
        <v/>
      </c>
      <c r="Z249" s="10">
        <f>IF(OR(T249="",$A249=""),"",IF(ISNUMBER(IFERROR(INDEX($X$3:$X$252,MATCH($A249-1,$A$3:$A$252,0)),"")),ROUND((INDEX($X$3:$X$252,MATCH($A249-1,$A$3:$A$252,0))-T249)*10,1),""))</f>
        <v/>
      </c>
      <c r="AA249" s="10">
        <f>IF(ISNUMBER(T249),1,0)</f>
        <v/>
      </c>
      <c r="AB249" s="16">
        <f>IF($A249="","",IF(_xlfn.MAXIFS('TP-b'!$B$2:$B$60,'TP-b'!$A$2:$A$60,"3F4D+MD",'TP-b'!$E$2:$E$60,1,'TP-b'!$B$2:$B$60,"&lt;="&amp;$A249)&gt;0,_xlfn.MAXIFS('TP-b'!$B$2:$B$60,'TP-b'!$A$2:$A$60,"3F4D+MD",'TP-b'!$E$2:$E$60,1,'TP-b'!$B$2:$B$60,"&lt;="&amp;$A249),IF(_xlfn.MINIFS('TP-b'!$B$2:$B$60,'TP-b'!$A$2:$A$60,"3F4D+MD",'TP-b'!$E$2:$E$60,1)&gt;0,_xlfn.MINIFS('TP-b'!$B$2:$B$60,'TP-b'!$A$2:$A$60,"3F4D+MD",'TP-b'!$E$2:$E$60,1),"")))</f>
        <v/>
      </c>
      <c r="AC249" s="10">
        <f>IF(AB249="","",AVERAGEIFS('TP-b'!$C$2:$C$60,'TP-b'!$A$2:$A$60,"3F4D+MD",'TP-b'!$B$2:$B$60,AB249,'TP-b'!$E$2:$E$60,1))</f>
        <v/>
      </c>
      <c r="AD249" s="10">
        <f>IF(AB249="","",AVERAGEIFS('TP-b'!$D$2:$D$60,'TP-b'!$A$2:$A$60,"3F4D+MD",'TP-b'!$B$2:$B$60,AB249,'TP-b'!$E$2:$E$60,1))</f>
        <v/>
      </c>
      <c r="AE249" s="10">
        <f>IF(OR($A249="",NOT(ISNUMBER($J249)),AC249=""),"",ROUND($J249-AC249+AD249,1))</f>
        <v/>
      </c>
      <c r="AF249" s="10">
        <f>IF(AND($K249="Yes",ISNUMBER($L249),AC249&lt;&gt;""),ROUND($L249-AC249+AD249,1),"")</f>
        <v/>
      </c>
      <c r="AG249" s="10">
        <f>IF(AND($K249="Yes",ISNUMBER($M249),AC249&lt;&gt;""),ROUND($M249-AC249+AD249,1),"")</f>
        <v/>
      </c>
      <c r="AH249" s="10">
        <f>IF(AND(ISNUMBER($J249),ISNUMBER(AF249),ISNUMBER(AG249)),ROUND((AG249-MAX(AF249,0))*10,1),"")</f>
        <v/>
      </c>
      <c r="AI249" s="10">
        <f>IF(AE249="","",IF(AND($K249="Yes",ISNUMBER(AG249)),AG249,AE249))</f>
        <v/>
      </c>
      <c r="AJ249" s="10">
        <f>IF(AE249="","",ROUND(SUMIFS($AH$3:$AH$252,$A$3:$A$252,"&lt;="&amp;$A249),1))</f>
        <v/>
      </c>
      <c r="AK249" s="10">
        <f>IF(OR(AE249="",$A249=""),"",IF(ISNUMBER(IFERROR(INDEX($AI$3:$AI$252,MATCH($A249-1,$A$3:$A$252,0)),"")),ROUND((INDEX($AI$3:$AI$252,MATCH($A249-1,$A$3:$A$252,0))-AE249)*10,1),""))</f>
        <v/>
      </c>
      <c r="AL249" s="10">
        <f>IF(ISNUMBER(AE249),1,0)</f>
        <v/>
      </c>
      <c r="AM249" s="17">
        <f>IF($A249="","",IF(COUNTIF($A$3:$A$252,$A249)&gt;1,"same date twice; ","")&amp;IF(AND(ISNUMBER($B249),OR($B249&lt;0,$B249&gt;300)),"rain out of range; ","")&amp;IF(AND(ISNUMBER($C249),OR($C249&lt;0,$C249&gt;45)),"temp out of range; ","")&amp;IF(AND(ISNUMBER($D249),OR($D249&lt;0,$D249&gt;100)),"RH out of range; ",""))</f>
        <v/>
      </c>
      <c r="AN249" s="17">
        <f>IF($A249="","",IF(AND(ISNUMBER(T249),OR(T249&lt;-30,T249&gt;20)),"WL out of range; ","")&amp;IF(AND(ISNUMBER($E249),T249=""),"no TP/b; ","")&amp;IF(AND(ISNUMBER(U249),ISNUMBER(V249)),IF(V249&lt;U249,"After&lt;Before; ",""),"")&amp;IF(AND($F249="Yes",ISNUMBER($E249),W249=""),"irrigation readings missing; ","")&amp;IF(ISNUMBER(Z249),IF(AND(ABS(Z249)&gt;50,NOT(N($B249)&gt;0)),"WL jump &gt;5 cm; ",""),""))</f>
        <v/>
      </c>
      <c r="AO249" s="17">
        <f>IF($A249="","",IF(AND(ISNUMBER(AE249),OR(AE249&lt;-30,AE249&gt;20)),"WL out of range; ","")&amp;IF(AND(ISNUMBER($J249),AE249=""),"no TP/b; ","")&amp;IF(AND(ISNUMBER(AF249),ISNUMBER(AG249)),IF(AG249&lt;AF249,"After&lt;Before; ",""),"")&amp;IF(AND($K249="Yes",ISNUMBER($J249),AH249=""),"irrigation readings missing; ","")&amp;IF(ISNUMBER(AK249),IF(AND(ABS(AK249)&gt;50,NOT(N($B249)&gt;0)),"WL jump &gt;5 cm; ",""),"")&amp;IF(AND(ISNUMBER(PitanE),ISNUMBER(AB249),$A249&gt;PitanE+2,AB249&lt;PitanE),"re-measure TP/b after Pitan; ",""))</f>
        <v/>
      </c>
    </row>
    <row r="250">
      <c r="A250" s="14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0">
        <f>IF(OR($A250="",NOT(ISNUMBER(TransDate))),"",$A250-TransDate)</f>
        <v/>
      </c>
      <c r="Q250" s="16">
        <f>IF($A250="","",IF(_xlfn.MAXIFS('TP-b'!$B$2:$B$60,'TP-b'!$A$2:$A$60,"FP",'TP-b'!$E$2:$E$60,1,'TP-b'!$B$2:$B$60,"&lt;="&amp;$A250)&gt;0,_xlfn.MAXIFS('TP-b'!$B$2:$B$60,'TP-b'!$A$2:$A$60,"FP",'TP-b'!$E$2:$E$60,1,'TP-b'!$B$2:$B$60,"&lt;="&amp;$A250),IF(_xlfn.MINIFS('TP-b'!$B$2:$B$60,'TP-b'!$A$2:$A$60,"FP",'TP-b'!$E$2:$E$60,1)&gt;0,_xlfn.MINIFS('TP-b'!$B$2:$B$60,'TP-b'!$A$2:$A$60,"FP",'TP-b'!$E$2:$E$60,1),"")))</f>
        <v/>
      </c>
      <c r="R250" s="10">
        <f>IF(Q250="","",AVERAGEIFS('TP-b'!$C$2:$C$60,'TP-b'!$A$2:$A$60,"FP",'TP-b'!$B$2:$B$60,Q250,'TP-b'!$E$2:$E$60,1))</f>
        <v/>
      </c>
      <c r="S250" s="10">
        <f>IF(Q250="","",AVERAGEIFS('TP-b'!$D$2:$D$60,'TP-b'!$A$2:$A$60,"FP",'TP-b'!$B$2:$B$60,Q250,'TP-b'!$E$2:$E$60,1))</f>
        <v/>
      </c>
      <c r="T250" s="10">
        <f>IF(OR($A250="",NOT(ISNUMBER($E250)),R250=""),"",ROUND($E250-R250+S250,1))</f>
        <v/>
      </c>
      <c r="U250" s="10">
        <f>IF(AND($F250="Yes",ISNUMBER($G250),R250&lt;&gt;""),ROUND($G250-R250+S250,1),"")</f>
        <v/>
      </c>
      <c r="V250" s="10">
        <f>IF(AND($F250="Yes",ISNUMBER($H250),R250&lt;&gt;""),ROUND($H250-R250+S250,1),"")</f>
        <v/>
      </c>
      <c r="W250" s="10">
        <f>IF(AND(ISNUMBER($E250),ISNUMBER(U250),ISNUMBER(V250)),ROUND((V250-MAX(U250,0))*10,1),"")</f>
        <v/>
      </c>
      <c r="X250" s="10">
        <f>IF(T250="","",IF(AND($F250="Yes",ISNUMBER(V250)),V250,T250))</f>
        <v/>
      </c>
      <c r="Y250" s="10">
        <f>IF(T250="","",ROUND(SUMIFS($W$3:$W$252,$A$3:$A$252,"&lt;="&amp;$A250),1))</f>
        <v/>
      </c>
      <c r="Z250" s="10">
        <f>IF(OR(T250="",$A250=""),"",IF(ISNUMBER(IFERROR(INDEX($X$3:$X$252,MATCH($A250-1,$A$3:$A$252,0)),"")),ROUND((INDEX($X$3:$X$252,MATCH($A250-1,$A$3:$A$252,0))-T250)*10,1),""))</f>
        <v/>
      </c>
      <c r="AA250" s="10">
        <f>IF(ISNUMBER(T250),1,0)</f>
        <v/>
      </c>
      <c r="AB250" s="16">
        <f>IF($A250="","",IF(_xlfn.MAXIFS('TP-b'!$B$2:$B$60,'TP-b'!$A$2:$A$60,"3F4D+MD",'TP-b'!$E$2:$E$60,1,'TP-b'!$B$2:$B$60,"&lt;="&amp;$A250)&gt;0,_xlfn.MAXIFS('TP-b'!$B$2:$B$60,'TP-b'!$A$2:$A$60,"3F4D+MD",'TP-b'!$E$2:$E$60,1,'TP-b'!$B$2:$B$60,"&lt;="&amp;$A250),IF(_xlfn.MINIFS('TP-b'!$B$2:$B$60,'TP-b'!$A$2:$A$60,"3F4D+MD",'TP-b'!$E$2:$E$60,1)&gt;0,_xlfn.MINIFS('TP-b'!$B$2:$B$60,'TP-b'!$A$2:$A$60,"3F4D+MD",'TP-b'!$E$2:$E$60,1),"")))</f>
        <v/>
      </c>
      <c r="AC250" s="10">
        <f>IF(AB250="","",AVERAGEIFS('TP-b'!$C$2:$C$60,'TP-b'!$A$2:$A$60,"3F4D+MD",'TP-b'!$B$2:$B$60,AB250,'TP-b'!$E$2:$E$60,1))</f>
        <v/>
      </c>
      <c r="AD250" s="10">
        <f>IF(AB250="","",AVERAGEIFS('TP-b'!$D$2:$D$60,'TP-b'!$A$2:$A$60,"3F4D+MD",'TP-b'!$B$2:$B$60,AB250,'TP-b'!$E$2:$E$60,1))</f>
        <v/>
      </c>
      <c r="AE250" s="10">
        <f>IF(OR($A250="",NOT(ISNUMBER($J250)),AC250=""),"",ROUND($J250-AC250+AD250,1))</f>
        <v/>
      </c>
      <c r="AF250" s="10">
        <f>IF(AND($K250="Yes",ISNUMBER($L250),AC250&lt;&gt;""),ROUND($L250-AC250+AD250,1),"")</f>
        <v/>
      </c>
      <c r="AG250" s="10">
        <f>IF(AND($K250="Yes",ISNUMBER($M250),AC250&lt;&gt;""),ROUND($M250-AC250+AD250,1),"")</f>
        <v/>
      </c>
      <c r="AH250" s="10">
        <f>IF(AND(ISNUMBER($J250),ISNUMBER(AF250),ISNUMBER(AG250)),ROUND((AG250-MAX(AF250,0))*10,1),"")</f>
        <v/>
      </c>
      <c r="AI250" s="10">
        <f>IF(AE250="","",IF(AND($K250="Yes",ISNUMBER(AG250)),AG250,AE250))</f>
        <v/>
      </c>
      <c r="AJ250" s="10">
        <f>IF(AE250="","",ROUND(SUMIFS($AH$3:$AH$252,$A$3:$A$252,"&lt;="&amp;$A250),1))</f>
        <v/>
      </c>
      <c r="AK250" s="10">
        <f>IF(OR(AE250="",$A250=""),"",IF(ISNUMBER(IFERROR(INDEX($AI$3:$AI$252,MATCH($A250-1,$A$3:$A$252,0)),"")),ROUND((INDEX($AI$3:$AI$252,MATCH($A250-1,$A$3:$A$252,0))-AE250)*10,1),""))</f>
        <v/>
      </c>
      <c r="AL250" s="10">
        <f>IF(ISNUMBER(AE250),1,0)</f>
        <v/>
      </c>
      <c r="AM250" s="17">
        <f>IF($A250="","",IF(COUNTIF($A$3:$A$252,$A250)&gt;1,"same date twice; ","")&amp;IF(AND(ISNUMBER($B250),OR($B250&lt;0,$B250&gt;300)),"rain out of range; ","")&amp;IF(AND(ISNUMBER($C250),OR($C250&lt;0,$C250&gt;45)),"temp out of range; ","")&amp;IF(AND(ISNUMBER($D250),OR($D250&lt;0,$D250&gt;100)),"RH out of range; ",""))</f>
        <v/>
      </c>
      <c r="AN250" s="17">
        <f>IF($A250="","",IF(AND(ISNUMBER(T250),OR(T250&lt;-30,T250&gt;20)),"WL out of range; ","")&amp;IF(AND(ISNUMBER($E250),T250=""),"no TP/b; ","")&amp;IF(AND(ISNUMBER(U250),ISNUMBER(V250)),IF(V250&lt;U250,"After&lt;Before; ",""),"")&amp;IF(AND($F250="Yes",ISNUMBER($E250),W250=""),"irrigation readings missing; ","")&amp;IF(ISNUMBER(Z250),IF(AND(ABS(Z250)&gt;50,NOT(N($B250)&gt;0)),"WL jump &gt;5 cm; ",""),""))</f>
        <v/>
      </c>
      <c r="AO250" s="17">
        <f>IF($A250="","",IF(AND(ISNUMBER(AE250),OR(AE250&lt;-30,AE250&gt;20)),"WL out of range; ","")&amp;IF(AND(ISNUMBER($J250),AE250=""),"no TP/b; ","")&amp;IF(AND(ISNUMBER(AF250),ISNUMBER(AG250)),IF(AG250&lt;AF250,"After&lt;Before; ",""),"")&amp;IF(AND($K250="Yes",ISNUMBER($J250),AH250=""),"irrigation readings missing; ","")&amp;IF(ISNUMBER(AK250),IF(AND(ABS(AK250)&gt;50,NOT(N($B250)&gt;0)),"WL jump &gt;5 cm; ",""),"")&amp;IF(AND(ISNUMBER(PitanE),ISNUMBER(AB250),$A250&gt;PitanE+2,AB250&lt;PitanE),"re-measure TP/b after Pitan; ",""))</f>
        <v/>
      </c>
    </row>
    <row r="251">
      <c r="A251" s="14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0">
        <f>IF(OR($A251="",NOT(ISNUMBER(TransDate))),"",$A251-TransDate)</f>
        <v/>
      </c>
      <c r="Q251" s="16">
        <f>IF($A251="","",IF(_xlfn.MAXIFS('TP-b'!$B$2:$B$60,'TP-b'!$A$2:$A$60,"FP",'TP-b'!$E$2:$E$60,1,'TP-b'!$B$2:$B$60,"&lt;="&amp;$A251)&gt;0,_xlfn.MAXIFS('TP-b'!$B$2:$B$60,'TP-b'!$A$2:$A$60,"FP",'TP-b'!$E$2:$E$60,1,'TP-b'!$B$2:$B$60,"&lt;="&amp;$A251),IF(_xlfn.MINIFS('TP-b'!$B$2:$B$60,'TP-b'!$A$2:$A$60,"FP",'TP-b'!$E$2:$E$60,1)&gt;0,_xlfn.MINIFS('TP-b'!$B$2:$B$60,'TP-b'!$A$2:$A$60,"FP",'TP-b'!$E$2:$E$60,1),"")))</f>
        <v/>
      </c>
      <c r="R251" s="10">
        <f>IF(Q251="","",AVERAGEIFS('TP-b'!$C$2:$C$60,'TP-b'!$A$2:$A$60,"FP",'TP-b'!$B$2:$B$60,Q251,'TP-b'!$E$2:$E$60,1))</f>
        <v/>
      </c>
      <c r="S251" s="10">
        <f>IF(Q251="","",AVERAGEIFS('TP-b'!$D$2:$D$60,'TP-b'!$A$2:$A$60,"FP",'TP-b'!$B$2:$B$60,Q251,'TP-b'!$E$2:$E$60,1))</f>
        <v/>
      </c>
      <c r="T251" s="10">
        <f>IF(OR($A251="",NOT(ISNUMBER($E251)),R251=""),"",ROUND($E251-R251+S251,1))</f>
        <v/>
      </c>
      <c r="U251" s="10">
        <f>IF(AND($F251="Yes",ISNUMBER($G251),R251&lt;&gt;""),ROUND($G251-R251+S251,1),"")</f>
        <v/>
      </c>
      <c r="V251" s="10">
        <f>IF(AND($F251="Yes",ISNUMBER($H251),R251&lt;&gt;""),ROUND($H251-R251+S251,1),"")</f>
        <v/>
      </c>
      <c r="W251" s="10">
        <f>IF(AND(ISNUMBER($E251),ISNUMBER(U251),ISNUMBER(V251)),ROUND((V251-MAX(U251,0))*10,1),"")</f>
        <v/>
      </c>
      <c r="X251" s="10">
        <f>IF(T251="","",IF(AND($F251="Yes",ISNUMBER(V251)),V251,T251))</f>
        <v/>
      </c>
      <c r="Y251" s="10">
        <f>IF(T251="","",ROUND(SUMIFS($W$3:$W$252,$A$3:$A$252,"&lt;="&amp;$A251),1))</f>
        <v/>
      </c>
      <c r="Z251" s="10">
        <f>IF(OR(T251="",$A251=""),"",IF(ISNUMBER(IFERROR(INDEX($X$3:$X$252,MATCH($A251-1,$A$3:$A$252,0)),"")),ROUND((INDEX($X$3:$X$252,MATCH($A251-1,$A$3:$A$252,0))-T251)*10,1),""))</f>
        <v/>
      </c>
      <c r="AA251" s="10">
        <f>IF(ISNUMBER(T251),1,0)</f>
        <v/>
      </c>
      <c r="AB251" s="16">
        <f>IF($A251="","",IF(_xlfn.MAXIFS('TP-b'!$B$2:$B$60,'TP-b'!$A$2:$A$60,"3F4D+MD",'TP-b'!$E$2:$E$60,1,'TP-b'!$B$2:$B$60,"&lt;="&amp;$A251)&gt;0,_xlfn.MAXIFS('TP-b'!$B$2:$B$60,'TP-b'!$A$2:$A$60,"3F4D+MD",'TP-b'!$E$2:$E$60,1,'TP-b'!$B$2:$B$60,"&lt;="&amp;$A251),IF(_xlfn.MINIFS('TP-b'!$B$2:$B$60,'TP-b'!$A$2:$A$60,"3F4D+MD",'TP-b'!$E$2:$E$60,1)&gt;0,_xlfn.MINIFS('TP-b'!$B$2:$B$60,'TP-b'!$A$2:$A$60,"3F4D+MD",'TP-b'!$E$2:$E$60,1),"")))</f>
        <v/>
      </c>
      <c r="AC251" s="10">
        <f>IF(AB251="","",AVERAGEIFS('TP-b'!$C$2:$C$60,'TP-b'!$A$2:$A$60,"3F4D+MD",'TP-b'!$B$2:$B$60,AB251,'TP-b'!$E$2:$E$60,1))</f>
        <v/>
      </c>
      <c r="AD251" s="10">
        <f>IF(AB251="","",AVERAGEIFS('TP-b'!$D$2:$D$60,'TP-b'!$A$2:$A$60,"3F4D+MD",'TP-b'!$B$2:$B$60,AB251,'TP-b'!$E$2:$E$60,1))</f>
        <v/>
      </c>
      <c r="AE251" s="10">
        <f>IF(OR($A251="",NOT(ISNUMBER($J251)),AC251=""),"",ROUND($J251-AC251+AD251,1))</f>
        <v/>
      </c>
      <c r="AF251" s="10">
        <f>IF(AND($K251="Yes",ISNUMBER($L251),AC251&lt;&gt;""),ROUND($L251-AC251+AD251,1),"")</f>
        <v/>
      </c>
      <c r="AG251" s="10">
        <f>IF(AND($K251="Yes",ISNUMBER($M251),AC251&lt;&gt;""),ROUND($M251-AC251+AD251,1),"")</f>
        <v/>
      </c>
      <c r="AH251" s="10">
        <f>IF(AND(ISNUMBER($J251),ISNUMBER(AF251),ISNUMBER(AG251)),ROUND((AG251-MAX(AF251,0))*10,1),"")</f>
        <v/>
      </c>
      <c r="AI251" s="10">
        <f>IF(AE251="","",IF(AND($K251="Yes",ISNUMBER(AG251)),AG251,AE251))</f>
        <v/>
      </c>
      <c r="AJ251" s="10">
        <f>IF(AE251="","",ROUND(SUMIFS($AH$3:$AH$252,$A$3:$A$252,"&lt;="&amp;$A251),1))</f>
        <v/>
      </c>
      <c r="AK251" s="10">
        <f>IF(OR(AE251="",$A251=""),"",IF(ISNUMBER(IFERROR(INDEX($AI$3:$AI$252,MATCH($A251-1,$A$3:$A$252,0)),"")),ROUND((INDEX($AI$3:$AI$252,MATCH($A251-1,$A$3:$A$252,0))-AE251)*10,1),""))</f>
        <v/>
      </c>
      <c r="AL251" s="10">
        <f>IF(ISNUMBER(AE251),1,0)</f>
        <v/>
      </c>
      <c r="AM251" s="17">
        <f>IF($A251="","",IF(COUNTIF($A$3:$A$252,$A251)&gt;1,"same date twice; ","")&amp;IF(AND(ISNUMBER($B251),OR($B251&lt;0,$B251&gt;300)),"rain out of range; ","")&amp;IF(AND(ISNUMBER($C251),OR($C251&lt;0,$C251&gt;45)),"temp out of range; ","")&amp;IF(AND(ISNUMBER($D251),OR($D251&lt;0,$D251&gt;100)),"RH out of range; ",""))</f>
        <v/>
      </c>
      <c r="AN251" s="17">
        <f>IF($A251="","",IF(AND(ISNUMBER(T251),OR(T251&lt;-30,T251&gt;20)),"WL out of range; ","")&amp;IF(AND(ISNUMBER($E251),T251=""),"no TP/b; ","")&amp;IF(AND(ISNUMBER(U251),ISNUMBER(V251)),IF(V251&lt;U251,"After&lt;Before; ",""),"")&amp;IF(AND($F251="Yes",ISNUMBER($E251),W251=""),"irrigation readings missing; ","")&amp;IF(ISNUMBER(Z251),IF(AND(ABS(Z251)&gt;50,NOT(N($B251)&gt;0)),"WL jump &gt;5 cm; ",""),""))</f>
        <v/>
      </c>
      <c r="AO251" s="17">
        <f>IF($A251="","",IF(AND(ISNUMBER(AE251),OR(AE251&lt;-30,AE251&gt;20)),"WL out of range; ","")&amp;IF(AND(ISNUMBER($J251),AE251=""),"no TP/b; ","")&amp;IF(AND(ISNUMBER(AF251),ISNUMBER(AG251)),IF(AG251&lt;AF251,"After&lt;Before; ",""),"")&amp;IF(AND($K251="Yes",ISNUMBER($J251),AH251=""),"irrigation readings missing; ","")&amp;IF(ISNUMBER(AK251),IF(AND(ABS(AK251)&gt;50,NOT(N($B251)&gt;0)),"WL jump &gt;5 cm; ",""),"")&amp;IF(AND(ISNUMBER(PitanE),ISNUMBER(AB251),$A251&gt;PitanE+2,AB251&lt;PitanE),"re-measure TP/b after Pitan; ",""))</f>
        <v/>
      </c>
    </row>
    <row r="252">
      <c r="A252" s="14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0">
        <f>IF(OR($A252="",NOT(ISNUMBER(TransDate))),"",$A252-TransDate)</f>
        <v/>
      </c>
      <c r="Q252" s="16">
        <f>IF($A252="","",IF(_xlfn.MAXIFS('TP-b'!$B$2:$B$60,'TP-b'!$A$2:$A$60,"FP",'TP-b'!$E$2:$E$60,1,'TP-b'!$B$2:$B$60,"&lt;="&amp;$A252)&gt;0,_xlfn.MAXIFS('TP-b'!$B$2:$B$60,'TP-b'!$A$2:$A$60,"FP",'TP-b'!$E$2:$E$60,1,'TP-b'!$B$2:$B$60,"&lt;="&amp;$A252),IF(_xlfn.MINIFS('TP-b'!$B$2:$B$60,'TP-b'!$A$2:$A$60,"FP",'TP-b'!$E$2:$E$60,1)&gt;0,_xlfn.MINIFS('TP-b'!$B$2:$B$60,'TP-b'!$A$2:$A$60,"FP",'TP-b'!$E$2:$E$60,1),"")))</f>
        <v/>
      </c>
      <c r="R252" s="10">
        <f>IF(Q252="","",AVERAGEIFS('TP-b'!$C$2:$C$60,'TP-b'!$A$2:$A$60,"FP",'TP-b'!$B$2:$B$60,Q252,'TP-b'!$E$2:$E$60,1))</f>
        <v/>
      </c>
      <c r="S252" s="10">
        <f>IF(Q252="","",AVERAGEIFS('TP-b'!$D$2:$D$60,'TP-b'!$A$2:$A$60,"FP",'TP-b'!$B$2:$B$60,Q252,'TP-b'!$E$2:$E$60,1))</f>
        <v/>
      </c>
      <c r="T252" s="10">
        <f>IF(OR($A252="",NOT(ISNUMBER($E252)),R252=""),"",ROUND($E252-R252+S252,1))</f>
        <v/>
      </c>
      <c r="U252" s="10">
        <f>IF(AND($F252="Yes",ISNUMBER($G252),R252&lt;&gt;""),ROUND($G252-R252+S252,1),"")</f>
        <v/>
      </c>
      <c r="V252" s="10">
        <f>IF(AND($F252="Yes",ISNUMBER($H252),R252&lt;&gt;""),ROUND($H252-R252+S252,1),"")</f>
        <v/>
      </c>
      <c r="W252" s="10">
        <f>IF(AND(ISNUMBER($E252),ISNUMBER(U252),ISNUMBER(V252)),ROUND((V252-MAX(U252,0))*10,1),"")</f>
        <v/>
      </c>
      <c r="X252" s="10">
        <f>IF(T252="","",IF(AND($F252="Yes",ISNUMBER(V252)),V252,T252))</f>
        <v/>
      </c>
      <c r="Y252" s="10">
        <f>IF(T252="","",ROUND(SUMIFS($W$3:$W$252,$A$3:$A$252,"&lt;="&amp;$A252),1))</f>
        <v/>
      </c>
      <c r="Z252" s="10">
        <f>IF(OR(T252="",$A252=""),"",IF(ISNUMBER(IFERROR(INDEX($X$3:$X$252,MATCH($A252-1,$A$3:$A$252,0)),"")),ROUND((INDEX($X$3:$X$252,MATCH($A252-1,$A$3:$A$252,0))-T252)*10,1),""))</f>
        <v/>
      </c>
      <c r="AA252" s="10">
        <f>IF(ISNUMBER(T252),1,0)</f>
        <v/>
      </c>
      <c r="AB252" s="16">
        <f>IF($A252="","",IF(_xlfn.MAXIFS('TP-b'!$B$2:$B$60,'TP-b'!$A$2:$A$60,"3F4D+MD",'TP-b'!$E$2:$E$60,1,'TP-b'!$B$2:$B$60,"&lt;="&amp;$A252)&gt;0,_xlfn.MAXIFS('TP-b'!$B$2:$B$60,'TP-b'!$A$2:$A$60,"3F4D+MD",'TP-b'!$E$2:$E$60,1,'TP-b'!$B$2:$B$60,"&lt;="&amp;$A252),IF(_xlfn.MINIFS('TP-b'!$B$2:$B$60,'TP-b'!$A$2:$A$60,"3F4D+MD",'TP-b'!$E$2:$E$60,1)&gt;0,_xlfn.MINIFS('TP-b'!$B$2:$B$60,'TP-b'!$A$2:$A$60,"3F4D+MD",'TP-b'!$E$2:$E$60,1),"")))</f>
        <v/>
      </c>
      <c r="AC252" s="10">
        <f>IF(AB252="","",AVERAGEIFS('TP-b'!$C$2:$C$60,'TP-b'!$A$2:$A$60,"3F4D+MD",'TP-b'!$B$2:$B$60,AB252,'TP-b'!$E$2:$E$60,1))</f>
        <v/>
      </c>
      <c r="AD252" s="10">
        <f>IF(AB252="","",AVERAGEIFS('TP-b'!$D$2:$D$60,'TP-b'!$A$2:$A$60,"3F4D+MD",'TP-b'!$B$2:$B$60,AB252,'TP-b'!$E$2:$E$60,1))</f>
        <v/>
      </c>
      <c r="AE252" s="10">
        <f>IF(OR($A252="",NOT(ISNUMBER($J252)),AC252=""),"",ROUND($J252-AC252+AD252,1))</f>
        <v/>
      </c>
      <c r="AF252" s="10">
        <f>IF(AND($K252="Yes",ISNUMBER($L252),AC252&lt;&gt;""),ROUND($L252-AC252+AD252,1),"")</f>
        <v/>
      </c>
      <c r="AG252" s="10">
        <f>IF(AND($K252="Yes",ISNUMBER($M252),AC252&lt;&gt;""),ROUND($M252-AC252+AD252,1),"")</f>
        <v/>
      </c>
      <c r="AH252" s="10">
        <f>IF(AND(ISNUMBER($J252),ISNUMBER(AF252),ISNUMBER(AG252)),ROUND((AG252-MAX(AF252,0))*10,1),"")</f>
        <v/>
      </c>
      <c r="AI252" s="10">
        <f>IF(AE252="","",IF(AND($K252="Yes",ISNUMBER(AG252)),AG252,AE252))</f>
        <v/>
      </c>
      <c r="AJ252" s="10">
        <f>IF(AE252="","",ROUND(SUMIFS($AH$3:$AH$252,$A$3:$A$252,"&lt;="&amp;$A252),1))</f>
        <v/>
      </c>
      <c r="AK252" s="10">
        <f>IF(OR(AE252="",$A252=""),"",IF(ISNUMBER(IFERROR(INDEX($AI$3:$AI$252,MATCH($A252-1,$A$3:$A$252,0)),"")),ROUND((INDEX($AI$3:$AI$252,MATCH($A252-1,$A$3:$A$252,0))-AE252)*10,1),""))</f>
        <v/>
      </c>
      <c r="AL252" s="10">
        <f>IF(ISNUMBER(AE252),1,0)</f>
        <v/>
      </c>
      <c r="AM252" s="17">
        <f>IF($A252="","",IF(COUNTIF($A$3:$A$252,$A252)&gt;1,"same date twice; ","")&amp;IF(AND(ISNUMBER($B252),OR($B252&lt;0,$B252&gt;300)),"rain out of range; ","")&amp;IF(AND(ISNUMBER($C252),OR($C252&lt;0,$C252&gt;45)),"temp out of range; ","")&amp;IF(AND(ISNUMBER($D252),OR($D252&lt;0,$D252&gt;100)),"RH out of range; ",""))</f>
        <v/>
      </c>
      <c r="AN252" s="17">
        <f>IF($A252="","",IF(AND(ISNUMBER(T252),OR(T252&lt;-30,T252&gt;20)),"WL out of range; ","")&amp;IF(AND(ISNUMBER($E252),T252=""),"no TP/b; ","")&amp;IF(AND(ISNUMBER(U252),ISNUMBER(V252)),IF(V252&lt;U252,"After&lt;Before; ",""),"")&amp;IF(AND($F252="Yes",ISNUMBER($E252),W252=""),"irrigation readings missing; ","")&amp;IF(ISNUMBER(Z252),IF(AND(ABS(Z252)&gt;50,NOT(N($B252)&gt;0)),"WL jump &gt;5 cm; ",""),""))</f>
        <v/>
      </c>
      <c r="AO252" s="17">
        <f>IF($A252="","",IF(AND(ISNUMBER(AE252),OR(AE252&lt;-30,AE252&gt;20)),"WL out of range; ","")&amp;IF(AND(ISNUMBER($J252),AE252=""),"no TP/b; ","")&amp;IF(AND(ISNUMBER(AF252),ISNUMBER(AG252)),IF(AG252&lt;AF252,"After&lt;Before; ",""),"")&amp;IF(AND($K252="Yes",ISNUMBER($J252),AH252=""),"irrigation readings missing; ","")&amp;IF(ISNUMBER(AK252),IF(AND(ABS(AK252)&gt;50,NOT(N($B252)&gt;0)),"WL jump &gt;5 cm; ",""),"")&amp;IF(AND(ISNUMBER(PitanE),ISNUMBER(AB252),$A252&gt;PitanE+2,AB252&lt;PitanE),"re-measure TP/b after Pitan; ",""))</f>
        <v/>
      </c>
    </row>
  </sheetData>
  <mergeCells count="1">
    <mergeCell ref="A1:O1"/>
  </mergeCells>
  <conditionalFormatting sqref="E3:E252">
    <cfRule type="expression" priority="1" dxfId="3">
      <formula>AND($A3&lt;&gt;"",E3="")</formula>
    </cfRule>
  </conditionalFormatting>
  <conditionalFormatting sqref="J3:J252">
    <cfRule type="expression" priority="2" dxfId="3">
      <formula>AND($A3&lt;&gt;"",J3="")</formula>
    </cfRule>
  </conditionalFormatting>
  <conditionalFormatting sqref="G3:G252">
    <cfRule type="expression" priority="3" dxfId="3">
      <formula>AND($F3="Yes",G3="")</formula>
    </cfRule>
  </conditionalFormatting>
  <conditionalFormatting sqref="H3:H252">
    <cfRule type="expression" priority="4" dxfId="3">
      <formula>AND($F3="Yes",H3="")</formula>
    </cfRule>
  </conditionalFormatting>
  <conditionalFormatting sqref="L3:L252">
    <cfRule type="expression" priority="5" dxfId="3">
      <formula>AND($K3="Yes",L3="")</formula>
    </cfRule>
  </conditionalFormatting>
  <conditionalFormatting sqref="M3:M252">
    <cfRule type="expression" priority="6" dxfId="3">
      <formula>AND($K3="Yes",M3="")</formula>
    </cfRule>
  </conditionalFormatting>
  <conditionalFormatting sqref="T3:T252">
    <cfRule type="expression" priority="7" dxfId="4">
      <formula>AND(ISNUMBER(T3),T3&gt;0)</formula>
    </cfRule>
    <cfRule type="expression" priority="8" dxfId="5">
      <formula>AND(ISNUMBER(T3),T3&lt;0)</formula>
    </cfRule>
  </conditionalFormatting>
  <conditionalFormatting sqref="AE3:AE252">
    <cfRule type="expression" priority="9" dxfId="4">
      <formula>AND(ISNUMBER(AE3),AE3&gt;0)</formula>
    </cfRule>
    <cfRule type="expression" priority="10" dxfId="5">
      <formula>AND(ISNUMBER(AE3),AE3&lt;0)</formula>
    </cfRule>
  </conditionalFormatting>
  <dataValidations count="6">
    <dataValidation sqref="A3:A252" showDropDown="0" showInputMessage="0" showErrorMessage="1" allowBlank="0" errorTitle="Date" error="Enter a date (one row per day)." type="date" operator="greaterThan">
      <formula1>36526</formula1>
    </dataValidation>
    <dataValidation sqref="F3:F252 K3:K252" showDropDown="0" showInputMessage="0" showErrorMessage="0" allowBlank="1" type="list">
      <formula1>"No,Yes"</formula1>
    </dataValidation>
    <dataValidation sqref="B3:B252" showDropDown="0" showInputMessage="0" showErrorMessage="1" allowBlank="0" error="Value out of range (0-300)." type="decimal" errorStyle="warning" operator="between">
      <formula1>0</formula1>
      <formula2>300</formula2>
    </dataValidation>
    <dataValidation sqref="C3:C252" showDropDown="0" showInputMessage="0" showErrorMessage="1" allowBlank="0" error="Value out of range (0-45)." type="decimal" errorStyle="warning" operator="between">
      <formula1>0</formula1>
      <formula2>45</formula2>
    </dataValidation>
    <dataValidation sqref="D3:D252" showDropDown="0" showInputMessage="0" showErrorMessage="1" allowBlank="0" error="Value out of range (0-100)." type="decimal" errorStyle="warning" operator="between">
      <formula1>0</formula1>
      <formula2>100</formula2>
    </dataValidation>
    <dataValidation sqref="E3:E252 G3:G252 H3:H252 J3:J252 L3:L252 M3:M252" showDropDown="0" showInputMessage="0" showErrorMessage="1" allowBlank="0" error="Enter a number." type="decimal" operator="between">
      <formula1>-500</formula1>
      <formula2>2000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14" customWidth="1" min="4" max="4"/>
    <col width="14" customWidth="1" min="5" max="5"/>
  </cols>
  <sheetData>
    <row r="1">
      <c r="A1" s="18" t="inlineStr">
        <is>
          <t>Setup / সেটআপ</t>
        </is>
      </c>
    </row>
    <row r="3">
      <c r="A3" s="2" t="inlineStr">
        <is>
          <t>Site name * / সাইটের নাম</t>
        </is>
      </c>
      <c r="B3" s="15" t="n"/>
    </row>
    <row r="4">
      <c r="A4" s="2" t="inlineStr">
        <is>
          <t>Place (district / upazila) * / স্থান</t>
        </is>
      </c>
      <c r="B4" s="15" t="n"/>
    </row>
    <row r="5">
      <c r="A5" s="2" t="inlineStr">
        <is>
          <t>Latitude / অক্ষাংশ</t>
        </is>
      </c>
      <c r="B5" s="15" t="n"/>
    </row>
    <row r="6">
      <c r="A6" s="2" t="inlineStr">
        <is>
          <t>Longitude / দ্রাঘিমাংশ</t>
        </is>
      </c>
      <c r="B6" s="15" t="n"/>
    </row>
    <row r="7">
      <c r="A7" s="2" t="inlineStr">
        <is>
          <t>Variety / জাত</t>
        </is>
      </c>
      <c r="B7" s="15" t="n"/>
    </row>
    <row r="8">
      <c r="A8" s="2" t="inlineStr">
        <is>
          <t>Sowing date * / বপনের তারিখ</t>
        </is>
      </c>
      <c r="B8" s="14" t="n"/>
    </row>
    <row r="9">
      <c r="A9" s="2" t="inlineStr">
        <is>
          <t>Seedling age at transplanting (days) * / চারার বয়স</t>
        </is>
      </c>
      <c r="B9" s="15" t="n"/>
    </row>
    <row r="10">
      <c r="A10" s="2" t="inlineStr">
        <is>
          <t>Transplanting date (calculated) / রোপণের তারিখ</t>
        </is>
      </c>
      <c r="B10" s="8">
        <f>IF(AND(ISNUMBER(B8),ISNUMBER(B9)),B8+B9,"")</f>
        <v/>
      </c>
    </row>
    <row r="11">
      <c r="A11" s="2" t="inlineStr">
        <is>
          <t>Date for the scheduling app (sowing + age - 35)</t>
        </is>
      </c>
      <c r="B11" s="8">
        <f>IF(B10="","",B10-35)</f>
        <v/>
      </c>
    </row>
    <row r="13">
      <c r="A13" s="5" t="inlineStr">
        <is>
          <t>Plot / প্লট</t>
        </is>
      </c>
      <c r="B13" s="5" t="inlineStr">
        <is>
          <t>Plot ID</t>
        </is>
      </c>
      <c r="C13" s="5" t="inlineStr">
        <is>
          <t>Area (decimal)</t>
        </is>
      </c>
      <c r="D13" s="5" t="inlineStr">
        <is>
          <t>TP (cm) *</t>
        </is>
      </c>
      <c r="E13" s="5" t="inlineStr">
        <is>
          <t>b (cm) *</t>
        </is>
      </c>
    </row>
    <row r="14">
      <c r="A14" s="9" t="inlineStr">
        <is>
          <t>FP</t>
        </is>
      </c>
      <c r="B14" s="15" t="inlineStr">
        <is>
          <t>FP-1</t>
        </is>
      </c>
      <c r="C14" s="15" t="n"/>
      <c r="D14" s="15" t="n"/>
      <c r="E14" s="15" t="n"/>
    </row>
    <row r="15">
      <c r="A15" s="9" t="inlineStr">
        <is>
          <t>3F4D+MD</t>
        </is>
      </c>
      <c r="B15" s="15" t="inlineStr">
        <is>
          <t>MD-1</t>
        </is>
      </c>
      <c r="C15" s="15" t="n"/>
      <c r="D15" s="15" t="n"/>
      <c r="E15" s="15" t="n"/>
    </row>
    <row r="16">
      <c r="A16" s="2" t="inlineStr">
        <is>
          <t>Date TP and b were measured / TP ও b মাপার তারিখ</t>
        </is>
      </c>
      <c r="B16" s="19" t="n"/>
    </row>
    <row r="17">
      <c r="A17" s="20" t="inlineStr">
        <is>
          <t>Water level (cm) = m - TP + b. Negative = water below the soil surface.</t>
        </is>
      </c>
    </row>
    <row r="19">
      <c r="A19" s="9" t="inlineStr">
        <is>
          <t>Schedule settings (days) - change only if you changed them in the scheduling app</t>
        </is>
      </c>
    </row>
    <row r="20">
      <c r="A20" s="2" t="inlineStr">
        <is>
          <t>Days from sowing to transplanting (app)</t>
        </is>
      </c>
      <c r="B20" s="15" t="n">
        <v>35</v>
      </c>
    </row>
    <row r="21">
      <c r="A21" s="2" t="inlineStr">
        <is>
          <t>Pitan start: days after transplanting</t>
        </is>
      </c>
      <c r="B21" s="15" t="n">
        <v>30</v>
      </c>
    </row>
    <row r="22">
      <c r="A22" s="2" t="inlineStr">
        <is>
          <t>Pitan duration (days)</t>
        </is>
      </c>
      <c r="B22" s="15" t="n">
        <v>3</v>
      </c>
    </row>
    <row r="23">
      <c r="A23" s="2" t="inlineStr">
        <is>
          <t>MD start: days after sowing</t>
        </is>
      </c>
      <c r="B23" s="15" t="n">
        <v>66</v>
      </c>
    </row>
    <row r="24">
      <c r="A24" s="2" t="inlineStr">
        <is>
          <t>MD duration (days)</t>
        </is>
      </c>
      <c r="B24" s="15" t="n">
        <v>8</v>
      </c>
    </row>
    <row r="25">
      <c r="A25" s="2" t="inlineStr">
        <is>
          <t>PI check: days after MD start</t>
        </is>
      </c>
      <c r="B25" s="15" t="n">
        <v>6</v>
      </c>
    </row>
    <row r="26">
      <c r="A26" s="2" t="inlineStr">
        <is>
          <t>Heading: days after sowing</t>
        </is>
      </c>
      <c r="B26" s="15" t="n">
        <v>111</v>
      </c>
    </row>
    <row r="27">
      <c r="A27" s="2" t="inlineStr">
        <is>
          <t>Flooding before heading (days)</t>
        </is>
      </c>
      <c r="B27" s="15" t="n">
        <v>25</v>
      </c>
    </row>
    <row r="28">
      <c r="A28" s="2" t="inlineStr">
        <is>
          <t>3F4D start before heading (days)</t>
        </is>
      </c>
      <c r="B28" s="15" t="n">
        <v>21</v>
      </c>
    </row>
    <row r="29">
      <c r="A29" s="2" t="inlineStr">
        <is>
          <t>Harvest: days after heading</t>
        </is>
      </c>
      <c r="B29" s="15" t="n">
        <v>28</v>
      </c>
    </row>
    <row r="31">
      <c r="A31" s="21" t="inlineStr">
        <is>
          <t>3F4D manual: English https://doi.org/10.5281/zenodo.22932287  /  Bengali https://doi.org/10.5281/zenodo.23075395</t>
        </is>
      </c>
    </row>
  </sheetData>
  <conditionalFormatting sqref="B3">
    <cfRule type="expression" priority="1" dxfId="3">
      <formula>ISBLANK($B$3)</formula>
    </cfRule>
  </conditionalFormatting>
  <conditionalFormatting sqref="B4">
    <cfRule type="expression" priority="2" dxfId="3">
      <formula>ISBLANK($B$4)</formula>
    </cfRule>
  </conditionalFormatting>
  <conditionalFormatting sqref="B8">
    <cfRule type="expression" priority="3" dxfId="3">
      <formula>ISBLANK($B$8)</formula>
    </cfRule>
  </conditionalFormatting>
  <conditionalFormatting sqref="B9">
    <cfRule type="expression" priority="4" dxfId="3">
      <formula>ISBLANK($B$9)</formula>
    </cfRule>
  </conditionalFormatting>
  <conditionalFormatting sqref="D14:E15">
    <cfRule type="expression" priority="5" dxfId="3">
      <formula>ISBLANK(D14)</formula>
    </cfRule>
  </conditionalFormatting>
  <dataValidations count="2">
    <dataValidation sqref="B8 B16" showDropDown="0" showInputMessage="0" showErrorMessage="1" allowBlank="0" errorTitle="Date" error="Enter a date." type="date" operator="greaterThan">
      <formula1>36526</formula1>
    </dataValidation>
    <dataValidation sqref="B9 C14:E15" showDropDown="0" showInputMessage="0" showErrorMessage="1" allowBlank="0" error="Enter a number." type="decimal" operator="between">
      <formula1>0</formula1>
      <formula2>2000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0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9" customWidth="1" min="8" max="8"/>
    <col width="14" customWidth="1" min="9" max="9"/>
    <col hidden="1" width="6" customWidth="1" min="10" max="10"/>
  </cols>
  <sheetData>
    <row r="1">
      <c r="A1" s="18" t="inlineStr">
        <is>
          <t>3F4D+MD schedule / সময়সূচি</t>
        </is>
      </c>
    </row>
    <row r="2">
      <c r="A2" s="5" t="inlineStr">
        <is>
          <t>Event</t>
        </is>
      </c>
      <c r="B2" s="5" t="inlineStr">
        <is>
          <t>ঘটনা</t>
        </is>
      </c>
      <c r="C2" s="5" t="inlineStr">
        <is>
          <t>Planned (calculated)</t>
        </is>
      </c>
      <c r="D2" s="5" t="inlineStr">
        <is>
          <t>Override (optional)</t>
        </is>
      </c>
      <c r="E2" s="5" t="inlineStr">
        <is>
          <t>Plan used</t>
        </is>
      </c>
      <c r="F2" s="5" t="inlineStr">
        <is>
          <t>Actual date</t>
        </is>
      </c>
      <c r="G2" s="5" t="inlineStr">
        <is>
          <t>Status</t>
        </is>
      </c>
      <c r="H2" s="5" t="inlineStr">
        <is>
          <t>Delay (days)</t>
        </is>
      </c>
      <c r="I2" s="5" t="inlineStr">
        <is>
          <t>Date used</t>
        </is>
      </c>
      <c r="J2" s="5" t="inlineStr">
        <is>
          <t>next-helper</t>
        </is>
      </c>
    </row>
    <row r="3">
      <c r="A3" s="22" t="inlineStr">
        <is>
          <t>Pitan start</t>
        </is>
      </c>
      <c r="B3" s="23" t="inlineStr">
        <is>
          <t>পিটান শুরু</t>
        </is>
      </c>
      <c r="C3" s="8">
        <f>IF(Day0="","",Day0+P0+P1)</f>
        <v/>
      </c>
      <c r="D3" s="14" t="n"/>
      <c r="E3" s="8">
        <f>IF(D3&lt;&gt;"",D3,C3)</f>
        <v/>
      </c>
      <c r="F3" s="14" t="n"/>
      <c r="G3" s="7">
        <f>IF(E3="","no plan",IF(F3&lt;&gt;"",IF(F3-E3&gt;=2,"LATE","OK"),IF(TODAY()&gt;E3+2,"OVERDUE","upcoming")))</f>
        <v/>
      </c>
      <c r="H3" s="7">
        <f>IF(AND(E3&lt;&gt;"",F3&lt;&gt;""),F3-E3,"")</f>
        <v/>
      </c>
      <c r="I3" s="8">
        <f>IF(F3&lt;&gt;"",F3,E3)</f>
        <v/>
      </c>
      <c r="J3" s="7">
        <f>IF(AND(E3&lt;&gt;"",F3="",E3&gt;=TODAY()),E3+ROW()/1000,"")</f>
        <v/>
      </c>
    </row>
    <row r="4">
      <c r="A4" s="22" t="inlineStr">
        <is>
          <t>Pitan end</t>
        </is>
      </c>
      <c r="B4" s="23" t="inlineStr">
        <is>
          <t>পিটান শেষ</t>
        </is>
      </c>
      <c r="C4" s="8">
        <f>IF(Day0="","",Day0+P0+P1+P2)</f>
        <v/>
      </c>
      <c r="D4" s="14" t="n"/>
      <c r="E4" s="8">
        <f>IF(D4&lt;&gt;"",D4,C4)</f>
        <v/>
      </c>
      <c r="F4" s="14" t="n"/>
      <c r="G4" s="7">
        <f>IF(E4="","no plan",IF(F4&lt;&gt;"",IF(F4-E4&gt;=2,"LATE","OK"),IF(TODAY()&gt;E4+2,"OVERDUE","upcoming")))</f>
        <v/>
      </c>
      <c r="H4" s="7">
        <f>IF(AND(E4&lt;&gt;"",F4&lt;&gt;""),F4-E4,"")</f>
        <v/>
      </c>
      <c r="I4" s="8">
        <f>IF(F4&lt;&gt;"",F4,E4)</f>
        <v/>
      </c>
      <c r="J4" s="7">
        <f>IF(AND(E4&lt;&gt;"",F4="",E4&gt;=TODAY()),E4+ROW()/1000,"")</f>
        <v/>
      </c>
    </row>
    <row r="5">
      <c r="A5" s="22" t="inlineStr">
        <is>
          <t>MD start</t>
        </is>
      </c>
      <c r="B5" s="23" t="inlineStr">
        <is>
          <t>এমডি শুরু</t>
        </is>
      </c>
      <c r="C5" s="8">
        <f>IF(Day0="","",Day0+P3)</f>
        <v/>
      </c>
      <c r="D5" s="14" t="n"/>
      <c r="E5" s="8">
        <f>IF(D5&lt;&gt;"",D5,C5)</f>
        <v/>
      </c>
      <c r="F5" s="14" t="n"/>
      <c r="G5" s="7">
        <f>IF(E5="","no plan",IF(F5&lt;&gt;"",IF(F5-E5&gt;=2,"LATE","OK"),IF(TODAY()&gt;E5+2,"OVERDUE","upcoming")))</f>
        <v/>
      </c>
      <c r="H5" s="7">
        <f>IF(AND(E5&lt;&gt;"",F5&lt;&gt;""),F5-E5,"")</f>
        <v/>
      </c>
      <c r="I5" s="8">
        <f>IF(F5&lt;&gt;"",F5,E5)</f>
        <v/>
      </c>
      <c r="J5" s="7">
        <f>IF(AND(E5&lt;&gt;"",F5="",E5&gt;=TODAY()),E5+ROW()/1000,"")</f>
        <v/>
      </c>
    </row>
    <row r="6">
      <c r="A6" s="22" t="inlineStr">
        <is>
          <t>MD end</t>
        </is>
      </c>
      <c r="B6" s="23" t="inlineStr">
        <is>
          <t>এমডি শেষ</t>
        </is>
      </c>
      <c r="C6" s="8">
        <f>IF(Day0="","",Day0+P3+P4)</f>
        <v/>
      </c>
      <c r="D6" s="14" t="n"/>
      <c r="E6" s="8">
        <f>IF(D6&lt;&gt;"",D6,C6)</f>
        <v/>
      </c>
      <c r="F6" s="14" t="n"/>
      <c r="G6" s="7">
        <f>IF(E6="","no plan",IF(F6&lt;&gt;"",IF(F6-E6&gt;=2,"LATE","OK"),IF(TODAY()&gt;E6+2,"OVERDUE","upcoming")))</f>
        <v/>
      </c>
      <c r="H6" s="7">
        <f>IF(AND(E6&lt;&gt;"",F6&lt;&gt;""),F6-E6,"")</f>
        <v/>
      </c>
      <c r="I6" s="8">
        <f>IF(F6&lt;&gt;"",F6,E6)</f>
        <v/>
      </c>
      <c r="J6" s="7">
        <f>IF(AND(E6&lt;&gt;"",F6="",E6&gt;=TODAY()),E6+ROW()/1000,"")</f>
        <v/>
      </c>
    </row>
    <row r="7">
      <c r="A7" s="22" t="inlineStr">
        <is>
          <t>PI check</t>
        </is>
      </c>
      <c r="B7" s="23" t="inlineStr">
        <is>
          <t>পিআই পরীক্ষা</t>
        </is>
      </c>
      <c r="C7" s="8">
        <f>IF(Day0="","",Day0+P3+P5)</f>
        <v/>
      </c>
      <c r="D7" s="14" t="n"/>
      <c r="E7" s="8">
        <f>IF(D7&lt;&gt;"",D7,C7)</f>
        <v/>
      </c>
      <c r="F7" s="14" t="n"/>
      <c r="G7" s="7">
        <f>IF(E7="","no plan",IF(F7&lt;&gt;"",IF(F7-E7&gt;=2,"LATE","OK"),IF(TODAY()&gt;E7+2,"OVERDUE","upcoming")))</f>
        <v/>
      </c>
      <c r="H7" s="7">
        <f>IF(AND(E7&lt;&gt;"",F7&lt;&gt;""),F7-E7,"")</f>
        <v/>
      </c>
      <c r="I7" s="8">
        <f>IF(F7&lt;&gt;"",F7,E7)</f>
        <v/>
      </c>
      <c r="J7" s="7">
        <f>IF(AND(E7&lt;&gt;"",F7="",E7&gt;=TODAY()),E7+ROW()/1000,"")</f>
        <v/>
      </c>
    </row>
    <row r="8">
      <c r="A8" s="22" t="inlineStr">
        <is>
          <t>Flood start</t>
        </is>
      </c>
      <c r="B8" s="23" t="inlineStr">
        <is>
          <t>জমি প্লাবিত করা শুরু</t>
        </is>
      </c>
      <c r="C8" s="8">
        <f>IF(Day0="","",Day0+P6-P7)</f>
        <v/>
      </c>
      <c r="D8" s="14" t="n"/>
      <c r="E8" s="8">
        <f>IF(D8&lt;&gt;"",D8,C8)</f>
        <v/>
      </c>
      <c r="F8" s="14" t="n"/>
      <c r="G8" s="7">
        <f>IF(E8="","no plan",IF(F8&lt;&gt;"",IF(F8-E8&gt;=2,"LATE","OK"),IF(TODAY()&gt;E8+2,"OVERDUE","upcoming")))</f>
        <v/>
      </c>
      <c r="H8" s="7">
        <f>IF(AND(E8&lt;&gt;"",F8&lt;&gt;""),F8-E8,"")</f>
        <v/>
      </c>
      <c r="I8" s="8">
        <f>IF(F8&lt;&gt;"",F8,E8)</f>
        <v/>
      </c>
      <c r="J8" s="7">
        <f>IF(AND(E8&lt;&gt;"",F8="",E8&gt;=TODAY()),E8+ROW()/1000,"")</f>
        <v/>
      </c>
    </row>
    <row r="9">
      <c r="A9" s="22" t="inlineStr">
        <is>
          <t>Flood end</t>
        </is>
      </c>
      <c r="B9" s="23" t="inlineStr">
        <is>
          <t>জমি প্লাবিত করা শেষ</t>
        </is>
      </c>
      <c r="C9" s="8">
        <f>IF(Day0="","",Day0+P6-P8)</f>
        <v/>
      </c>
      <c r="D9" s="14" t="n"/>
      <c r="E9" s="8">
        <f>IF(D9&lt;&gt;"",D9,C9)</f>
        <v/>
      </c>
      <c r="F9" s="14" t="n"/>
      <c r="G9" s="7">
        <f>IF(E9="","no plan",IF(F9&lt;&gt;"",IF(F9-E9&gt;=2,"LATE","OK"),IF(TODAY()&gt;E9+2,"OVERDUE","upcoming")))</f>
        <v/>
      </c>
      <c r="H9" s="7">
        <f>IF(AND(E9&lt;&gt;"",F9&lt;&gt;""),F9-E9,"")</f>
        <v/>
      </c>
      <c r="I9" s="8">
        <f>IF(F9&lt;&gt;"",F9,E9)</f>
        <v/>
      </c>
      <c r="J9" s="7">
        <f>IF(AND(E9&lt;&gt;"",F9="",E9&gt;=TODAY()),E9+ROW()/1000,"")</f>
        <v/>
      </c>
    </row>
    <row r="10">
      <c r="A10" s="22" t="inlineStr">
        <is>
          <t>3F4D cycle 1</t>
        </is>
      </c>
      <c r="B10" s="23" t="inlineStr">
        <is>
          <t>৩এফ৪ডি চক্র 1</t>
        </is>
      </c>
      <c r="C10" s="8">
        <f>IF(Day0="","",Day0+P6-P8+0)</f>
        <v/>
      </c>
      <c r="D10" s="14" t="n"/>
      <c r="E10" s="8">
        <f>IF(D10&lt;&gt;"",D10,C10)</f>
        <v/>
      </c>
      <c r="F10" s="14" t="n"/>
      <c r="G10" s="7">
        <f>IF(E10="","no plan",IF(F10&lt;&gt;"",IF(F10-E10&gt;=2,"LATE","OK"),IF(TODAY()&gt;E10+2,"OVERDUE","upcoming")))</f>
        <v/>
      </c>
      <c r="H10" s="7">
        <f>IF(AND(E10&lt;&gt;"",F10&lt;&gt;""),F10-E10,"")</f>
        <v/>
      </c>
      <c r="I10" s="8">
        <f>IF(F10&lt;&gt;"",F10,E10)</f>
        <v/>
      </c>
      <c r="J10" s="7">
        <f>IF(AND(E10&lt;&gt;"",F10="",E10&gt;=TODAY()),E10+ROW()/1000,"")</f>
        <v/>
      </c>
    </row>
    <row r="11">
      <c r="A11" s="22" t="inlineStr">
        <is>
          <t>3F4D cycle 2</t>
        </is>
      </c>
      <c r="B11" s="23" t="inlineStr">
        <is>
          <t>৩এফ৪ডি চক্র 2</t>
        </is>
      </c>
      <c r="C11" s="8">
        <f>IF(Day0="","",Day0+P6-P8+7)</f>
        <v/>
      </c>
      <c r="D11" s="14" t="n"/>
      <c r="E11" s="8">
        <f>IF(D11&lt;&gt;"",D11,C11)</f>
        <v/>
      </c>
      <c r="F11" s="14" t="n"/>
      <c r="G11" s="7">
        <f>IF(E11="","no plan",IF(F11&lt;&gt;"",IF(F11-E11&gt;=2,"LATE","OK"),IF(TODAY()&gt;E11+2,"OVERDUE","upcoming")))</f>
        <v/>
      </c>
      <c r="H11" s="7">
        <f>IF(AND(E11&lt;&gt;"",F11&lt;&gt;""),F11-E11,"")</f>
        <v/>
      </c>
      <c r="I11" s="8">
        <f>IF(F11&lt;&gt;"",F11,E11)</f>
        <v/>
      </c>
      <c r="J11" s="7">
        <f>IF(AND(E11&lt;&gt;"",F11="",E11&gt;=TODAY()),E11+ROW()/1000,"")</f>
        <v/>
      </c>
    </row>
    <row r="12">
      <c r="A12" s="22" t="inlineStr">
        <is>
          <t>3F4D cycle 3</t>
        </is>
      </c>
      <c r="B12" s="23" t="inlineStr">
        <is>
          <t>৩এফ৪ডি চক্র 3</t>
        </is>
      </c>
      <c r="C12" s="8">
        <f>IF(Day0="","",Day0+P6-P8+14)</f>
        <v/>
      </c>
      <c r="D12" s="14" t="n"/>
      <c r="E12" s="8">
        <f>IF(D12&lt;&gt;"",D12,C12)</f>
        <v/>
      </c>
      <c r="F12" s="14" t="n"/>
      <c r="G12" s="7">
        <f>IF(E12="","no plan",IF(F12&lt;&gt;"",IF(F12-E12&gt;=2,"LATE","OK"),IF(TODAY()&gt;E12+2,"OVERDUE","upcoming")))</f>
        <v/>
      </c>
      <c r="H12" s="7">
        <f>IF(AND(E12&lt;&gt;"",F12&lt;&gt;""),F12-E12,"")</f>
        <v/>
      </c>
      <c r="I12" s="8">
        <f>IF(F12&lt;&gt;"",F12,E12)</f>
        <v/>
      </c>
      <c r="J12" s="7">
        <f>IF(AND(E12&lt;&gt;"",F12="",E12&gt;=TODAY()),E12+ROW()/1000,"")</f>
        <v/>
      </c>
    </row>
    <row r="13">
      <c r="A13" s="22" t="inlineStr">
        <is>
          <t>3F4D cycle 4</t>
        </is>
      </c>
      <c r="B13" s="23" t="inlineStr">
        <is>
          <t>৩এফ৪ডি চক্র 4</t>
        </is>
      </c>
      <c r="C13" s="8">
        <f>IF(Day0="","",Day0+P6-P8+21)</f>
        <v/>
      </c>
      <c r="D13" s="14" t="n"/>
      <c r="E13" s="8">
        <f>IF(D13&lt;&gt;"",D13,C13)</f>
        <v/>
      </c>
      <c r="F13" s="14" t="n"/>
      <c r="G13" s="7">
        <f>IF(E13="","no plan",IF(F13&lt;&gt;"",IF(F13-E13&gt;=2,"LATE","OK"),IF(TODAY()&gt;E13+2,"OVERDUE","upcoming")))</f>
        <v/>
      </c>
      <c r="H13" s="7">
        <f>IF(AND(E13&lt;&gt;"",F13&lt;&gt;""),F13-E13,"")</f>
        <v/>
      </c>
      <c r="I13" s="8">
        <f>IF(F13&lt;&gt;"",F13,E13)</f>
        <v/>
      </c>
      <c r="J13" s="7">
        <f>IF(AND(E13&lt;&gt;"",F13="",E13&gt;=TODAY()),E13+ROW()/1000,"")</f>
        <v/>
      </c>
    </row>
    <row r="14">
      <c r="A14" s="22" t="inlineStr">
        <is>
          <t>Heading</t>
        </is>
      </c>
      <c r="B14" s="23" t="inlineStr">
        <is>
          <t>শীষ বের হওয়া</t>
        </is>
      </c>
      <c r="C14" s="8">
        <f>IF(Day0="","",Day0+P6)</f>
        <v/>
      </c>
      <c r="D14" s="14" t="n"/>
      <c r="E14" s="8">
        <f>IF(D14&lt;&gt;"",D14,C14)</f>
        <v/>
      </c>
      <c r="F14" s="14" t="n"/>
      <c r="G14" s="7">
        <f>IF(E14="","no plan",IF(F14&lt;&gt;"",IF(F14-E14&gt;=2,"LATE","OK"),IF(TODAY()&gt;E14+2,"OVERDUE","upcoming")))</f>
        <v/>
      </c>
      <c r="H14" s="7">
        <f>IF(AND(E14&lt;&gt;"",F14&lt;&gt;""),F14-E14,"")</f>
        <v/>
      </c>
      <c r="I14" s="8">
        <f>IF(F14&lt;&gt;"",F14,E14)</f>
        <v/>
      </c>
      <c r="J14" s="7">
        <f>IF(AND(E14&lt;&gt;"",F14="",E14&gt;=TODAY()),E14+ROW()/1000,"")</f>
        <v/>
      </c>
    </row>
    <row r="15">
      <c r="A15" s="22" t="inlineStr">
        <is>
          <t>3F4D cycle 5</t>
        </is>
      </c>
      <c r="B15" s="23" t="inlineStr">
        <is>
          <t>৩এফ৪ডি চক্র 5</t>
        </is>
      </c>
      <c r="C15" s="8">
        <f>IF(Day0="","",Day0+P6-P8+28)</f>
        <v/>
      </c>
      <c r="D15" s="14" t="n"/>
      <c r="E15" s="8">
        <f>IF(D15&lt;&gt;"",D15,C15)</f>
        <v/>
      </c>
      <c r="F15" s="14" t="n"/>
      <c r="G15" s="7">
        <f>IF(E15="","no plan",IF(F15&lt;&gt;"",IF(F15-E15&gt;=2,"LATE","OK"),IF(TODAY()&gt;E15+2,"OVERDUE","upcoming")))</f>
        <v/>
      </c>
      <c r="H15" s="7">
        <f>IF(AND(E15&lt;&gt;"",F15&lt;&gt;""),F15-E15,"")</f>
        <v/>
      </c>
      <c r="I15" s="8">
        <f>IF(F15&lt;&gt;"",F15,E15)</f>
        <v/>
      </c>
      <c r="J15" s="7">
        <f>IF(AND(E15&lt;&gt;"",F15="",E15&gt;=TODAY()),E15+ROW()/1000,"")</f>
        <v/>
      </c>
    </row>
    <row r="16">
      <c r="A16" s="22" t="inlineStr">
        <is>
          <t>3F4D cycle 6</t>
        </is>
      </c>
      <c r="B16" s="23" t="inlineStr">
        <is>
          <t>৩এফ৪ডি চক্র 6</t>
        </is>
      </c>
      <c r="C16" s="8">
        <f>IF(Day0="","",Day0+P6-P8+35)</f>
        <v/>
      </c>
      <c r="D16" s="14" t="n"/>
      <c r="E16" s="8">
        <f>IF(D16&lt;&gt;"",D16,C16)</f>
        <v/>
      </c>
      <c r="F16" s="14" t="n"/>
      <c r="G16" s="7">
        <f>IF(E16="","no plan",IF(F16&lt;&gt;"",IF(F16-E16&gt;=2,"LATE","OK"),IF(TODAY()&gt;E16+2,"OVERDUE","upcoming")))</f>
        <v/>
      </c>
      <c r="H16" s="7">
        <f>IF(AND(E16&lt;&gt;"",F16&lt;&gt;""),F16-E16,"")</f>
        <v/>
      </c>
      <c r="I16" s="8">
        <f>IF(F16&lt;&gt;"",F16,E16)</f>
        <v/>
      </c>
      <c r="J16" s="7">
        <f>IF(AND(E16&lt;&gt;"",F16="",E16&gt;=TODAY()),E16+ROW()/1000,"")</f>
        <v/>
      </c>
    </row>
    <row r="17">
      <c r="A17" s="22" t="inlineStr">
        <is>
          <t>3F4D end</t>
        </is>
      </c>
      <c r="B17" s="23" t="inlineStr">
        <is>
          <t>৩এফ৪ডি শেষ</t>
        </is>
      </c>
      <c r="C17" s="8">
        <f>IF(Day0="","",Day0+P6-P8+42)</f>
        <v/>
      </c>
      <c r="D17" s="14" t="n"/>
      <c r="E17" s="8">
        <f>IF(D17&lt;&gt;"",D17,C17)</f>
        <v/>
      </c>
      <c r="F17" s="14" t="n"/>
      <c r="G17" s="7">
        <f>IF(E17="","no plan",IF(F17&lt;&gt;"",IF(F17-E17&gt;=2,"LATE","OK"),IF(TODAY()&gt;E17+2,"OVERDUE","upcoming")))</f>
        <v/>
      </c>
      <c r="H17" s="7">
        <f>IF(AND(E17&lt;&gt;"",F17&lt;&gt;""),F17-E17,"")</f>
        <v/>
      </c>
      <c r="I17" s="8">
        <f>IF(F17&lt;&gt;"",F17,E17)</f>
        <v/>
      </c>
      <c r="J17" s="7">
        <f>IF(AND(E17&lt;&gt;"",F17="",E17&gt;=TODAY()),E17+ROW()/1000,"")</f>
        <v/>
      </c>
    </row>
    <row r="18">
      <c r="A18" s="22" t="inlineStr">
        <is>
          <t>Last irrigation</t>
        </is>
      </c>
      <c r="B18" s="23" t="inlineStr">
        <is>
          <t>শেষ সেচ</t>
        </is>
      </c>
      <c r="C18" s="8">
        <f>IF(Day0="","",Day0+P6-P8+43)</f>
        <v/>
      </c>
      <c r="D18" s="14" t="n"/>
      <c r="E18" s="8">
        <f>IF(D18&lt;&gt;"",D18,C18)</f>
        <v/>
      </c>
      <c r="F18" s="14" t="n"/>
      <c r="G18" s="7">
        <f>IF(E18="","no plan",IF(F18&lt;&gt;"",IF(F18-E18&gt;=2,"LATE","OK"),IF(TODAY()&gt;E18+2,"OVERDUE","upcoming")))</f>
        <v/>
      </c>
      <c r="H18" s="7">
        <f>IF(AND(E18&lt;&gt;"",F18&lt;&gt;""),F18-E18,"")</f>
        <v/>
      </c>
      <c r="I18" s="8">
        <f>IF(F18&lt;&gt;"",F18,E18)</f>
        <v/>
      </c>
      <c r="J18" s="7">
        <f>IF(AND(E18&lt;&gt;"",F18="",E18&gt;=TODAY()),E18+ROW()/1000,"")</f>
        <v/>
      </c>
    </row>
    <row r="19">
      <c r="A19" s="22" t="inlineStr">
        <is>
          <t>Harvest</t>
        </is>
      </c>
      <c r="B19" s="23" t="inlineStr">
        <is>
          <t>ধান কাটা</t>
        </is>
      </c>
      <c r="C19" s="8">
        <f>IF(Day0="","",Day0+P6+P9)</f>
        <v/>
      </c>
      <c r="D19" s="14" t="n"/>
      <c r="E19" s="8">
        <f>IF(D19&lt;&gt;"",D19,C19)</f>
        <v/>
      </c>
      <c r="F19" s="14" t="n"/>
      <c r="G19" s="7">
        <f>IF(E19="","no plan",IF(F19&lt;&gt;"",IF(F19-E19&gt;=2,"LATE","OK"),IF(TODAY()&gt;E19+2,"OVERDUE","upcoming")))</f>
        <v/>
      </c>
      <c r="H19" s="7">
        <f>IF(AND(E19&lt;&gt;"",F19&lt;&gt;""),F19-E19,"")</f>
        <v/>
      </c>
      <c r="I19" s="8">
        <f>IF(F19&lt;&gt;"",F19,E19)</f>
        <v/>
      </c>
      <c r="J19" s="7">
        <f>IF(AND(E19&lt;&gt;"",F19="",E19&gt;=TODAY()),E19+ROW()/1000,"")</f>
        <v/>
      </c>
    </row>
    <row r="21">
      <c r="A21" s="24" t="inlineStr">
        <is>
          <t>Enter the actual date in "Actual date" when an event happens. "Override" replaces the planned date if your plan is different.</t>
        </is>
      </c>
    </row>
  </sheetData>
  <conditionalFormatting sqref="G3:G19">
    <cfRule type="expression" priority="1" dxfId="2">
      <formula>OR(G3="LATE",G3="OVERDUE")</formula>
    </cfRule>
    <cfRule type="expression" priority="2" dxfId="1">
      <formula>G3="OK"</formula>
    </cfRule>
  </conditionalFormatting>
  <dataValidations count="1">
    <dataValidation sqref="D3:D19 F3:F19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hidden="1" width="5" customWidth="1" min="5" max="5"/>
    <col width="30" customWidth="1" min="6" max="6"/>
  </cols>
  <sheetData>
    <row r="1">
      <c r="A1" s="5" t="inlineStr">
        <is>
          <t>Plot / প্লট</t>
        </is>
      </c>
      <c r="B1" s="5" t="inlineStr">
        <is>
          <t>Date / তারিখ</t>
        </is>
      </c>
      <c r="C1" s="5" t="inlineStr">
        <is>
          <t>TP (cm)</t>
        </is>
      </c>
      <c r="D1" s="5" t="inlineStr">
        <is>
          <t>b (cm)</t>
        </is>
      </c>
      <c r="E1" s="5" t="inlineStr">
        <is>
          <t>ok</t>
        </is>
      </c>
      <c r="F1" s="5" t="inlineStr">
        <is>
          <t>Note / মন্তব্য</t>
        </is>
      </c>
    </row>
    <row r="2">
      <c r="A2" s="7" t="inlineStr">
        <is>
          <t>FP</t>
        </is>
      </c>
      <c r="B2" s="8">
        <f>IF(ISNUMBER(TPDate),TPDate,IF(ISNUMBER(TransDate),TransDate,DATE(1900,1,1)))</f>
        <v/>
      </c>
      <c r="C2" s="7">
        <f>IF(ISNUMBER(FP_TP),FP_TP,"")</f>
        <v/>
      </c>
      <c r="D2" s="7">
        <f>IF(ISNUMBER(FP_b),FP_b,"")</f>
        <v/>
      </c>
      <c r="E2" s="7">
        <f>IF(AND(OR(A2="FP",A2="3F4D+MD"),ISNUMBER(B2),ISNUMBER(C2),ISNUMBER(D2)),1,0)</f>
        <v/>
      </c>
      <c r="F2" s="7" t="inlineStr">
        <is>
          <t>initial value (from Setup)</t>
        </is>
      </c>
    </row>
    <row r="3">
      <c r="A3" s="7" t="inlineStr">
        <is>
          <t>3F4D+MD</t>
        </is>
      </c>
      <c r="B3" s="8">
        <f>IF(ISNUMBER(TPDate),TPDate,IF(ISNUMBER(TransDate),TransDate,DATE(1900,1,1)))</f>
        <v/>
      </c>
      <c r="C3" s="7">
        <f>IF(ISNUMBER(MD_TP),MD_TP,"")</f>
        <v/>
      </c>
      <c r="D3" s="7">
        <f>IF(ISNUMBER(MD_b),MD_b,"")</f>
        <v/>
      </c>
      <c r="E3" s="7">
        <f>IF(AND(OR(A3="FP",A3="3F4D+MD"),ISNUMBER(B3),ISNUMBER(C3),ISNUMBER(D3)),1,0)</f>
        <v/>
      </c>
      <c r="F3" s="7" t="inlineStr">
        <is>
          <t>initial value (from Setup)</t>
        </is>
      </c>
    </row>
    <row r="4">
      <c r="A4" s="15" t="n"/>
      <c r="B4" s="14" t="n"/>
      <c r="C4" s="15" t="n"/>
      <c r="D4" s="15" t="n"/>
      <c r="E4" s="10">
        <f>IF(AND(OR(A4="FP",A4="3F4D+MD"),ISNUMBER(B4),ISNUMBER(C4),ISNUMBER(D4)),1,0)</f>
        <v/>
      </c>
      <c r="F4" s="15" t="n"/>
    </row>
    <row r="5">
      <c r="A5" s="15" t="n"/>
      <c r="B5" s="14" t="n"/>
      <c r="C5" s="15" t="n"/>
      <c r="D5" s="15" t="n"/>
      <c r="E5" s="10">
        <f>IF(AND(OR(A5="FP",A5="3F4D+MD"),ISNUMBER(B5),ISNUMBER(C5),ISNUMBER(D5)),1,0)</f>
        <v/>
      </c>
      <c r="F5" s="15" t="n"/>
    </row>
    <row r="6">
      <c r="A6" s="15" t="n"/>
      <c r="B6" s="14" t="n"/>
      <c r="C6" s="15" t="n"/>
      <c r="D6" s="15" t="n"/>
      <c r="E6" s="10">
        <f>IF(AND(OR(A6="FP",A6="3F4D+MD"),ISNUMBER(B6),ISNUMBER(C6),ISNUMBER(D6)),1,0)</f>
        <v/>
      </c>
      <c r="F6" s="15" t="n"/>
    </row>
    <row r="7">
      <c r="A7" s="15" t="n"/>
      <c r="B7" s="14" t="n"/>
      <c r="C7" s="15" t="n"/>
      <c r="D7" s="15" t="n"/>
      <c r="E7" s="10">
        <f>IF(AND(OR(A7="FP",A7="3F4D+MD"),ISNUMBER(B7),ISNUMBER(C7),ISNUMBER(D7)),1,0)</f>
        <v/>
      </c>
      <c r="F7" s="15" t="n"/>
    </row>
    <row r="8">
      <c r="A8" s="15" t="n"/>
      <c r="B8" s="14" t="n"/>
      <c r="C8" s="15" t="n"/>
      <c r="D8" s="15" t="n"/>
      <c r="E8" s="10">
        <f>IF(AND(OR(A8="FP",A8="3F4D+MD"),ISNUMBER(B8),ISNUMBER(C8),ISNUMBER(D8)),1,0)</f>
        <v/>
      </c>
      <c r="F8" s="15" t="n"/>
    </row>
    <row r="9">
      <c r="A9" s="15" t="n"/>
      <c r="B9" s="14" t="n"/>
      <c r="C9" s="15" t="n"/>
      <c r="D9" s="15" t="n"/>
      <c r="E9" s="10">
        <f>IF(AND(OR(A9="FP",A9="3F4D+MD"),ISNUMBER(B9),ISNUMBER(C9),ISNUMBER(D9)),1,0)</f>
        <v/>
      </c>
      <c r="F9" s="15" t="n"/>
    </row>
    <row r="10">
      <c r="A10" s="15" t="n"/>
      <c r="B10" s="14" t="n"/>
      <c r="C10" s="15" t="n"/>
      <c r="D10" s="15" t="n"/>
      <c r="E10" s="10">
        <f>IF(AND(OR(A10="FP",A10="3F4D+MD"),ISNUMBER(B10),ISNUMBER(C10),ISNUMBER(D10)),1,0)</f>
        <v/>
      </c>
      <c r="F10" s="15" t="n"/>
    </row>
    <row r="11">
      <c r="A11" s="15" t="n"/>
      <c r="B11" s="14" t="n"/>
      <c r="C11" s="15" t="n"/>
      <c r="D11" s="15" t="n"/>
      <c r="E11" s="10">
        <f>IF(AND(OR(A11="FP",A11="3F4D+MD"),ISNUMBER(B11),ISNUMBER(C11),ISNUMBER(D11)),1,0)</f>
        <v/>
      </c>
      <c r="F11" s="15" t="n"/>
    </row>
    <row r="12">
      <c r="A12" s="15" t="n"/>
      <c r="B12" s="14" t="n"/>
      <c r="C12" s="15" t="n"/>
      <c r="D12" s="15" t="n"/>
      <c r="E12" s="10">
        <f>IF(AND(OR(A12="FP",A12="3F4D+MD"),ISNUMBER(B12),ISNUMBER(C12),ISNUMBER(D12)),1,0)</f>
        <v/>
      </c>
      <c r="F12" s="15" t="n"/>
    </row>
    <row r="13">
      <c r="A13" s="15" t="n"/>
      <c r="B13" s="14" t="n"/>
      <c r="C13" s="15" t="n"/>
      <c r="D13" s="15" t="n"/>
      <c r="E13" s="10">
        <f>IF(AND(OR(A13="FP",A13="3F4D+MD"),ISNUMBER(B13),ISNUMBER(C13),ISNUMBER(D13)),1,0)</f>
        <v/>
      </c>
      <c r="F13" s="15" t="n"/>
    </row>
    <row r="14">
      <c r="A14" s="15" t="n"/>
      <c r="B14" s="14" t="n"/>
      <c r="C14" s="15" t="n"/>
      <c r="D14" s="15" t="n"/>
      <c r="E14" s="10">
        <f>IF(AND(OR(A14="FP",A14="3F4D+MD"),ISNUMBER(B14),ISNUMBER(C14),ISNUMBER(D14)),1,0)</f>
        <v/>
      </c>
      <c r="F14" s="15" t="n"/>
    </row>
    <row r="15">
      <c r="A15" s="15" t="n"/>
      <c r="B15" s="14" t="n"/>
      <c r="C15" s="15" t="n"/>
      <c r="D15" s="15" t="n"/>
      <c r="E15" s="10">
        <f>IF(AND(OR(A15="FP",A15="3F4D+MD"),ISNUMBER(B15),ISNUMBER(C15),ISNUMBER(D15)),1,0)</f>
        <v/>
      </c>
      <c r="F15" s="15" t="n"/>
    </row>
    <row r="16">
      <c r="A16" s="15" t="n"/>
      <c r="B16" s="14" t="n"/>
      <c r="C16" s="15" t="n"/>
      <c r="D16" s="15" t="n"/>
      <c r="E16" s="10">
        <f>IF(AND(OR(A16="FP",A16="3F4D+MD"),ISNUMBER(B16),ISNUMBER(C16),ISNUMBER(D16)),1,0)</f>
        <v/>
      </c>
      <c r="F16" s="15" t="n"/>
    </row>
    <row r="17">
      <c r="A17" s="15" t="n"/>
      <c r="B17" s="14" t="n"/>
      <c r="C17" s="15" t="n"/>
      <c r="D17" s="15" t="n"/>
      <c r="E17" s="10">
        <f>IF(AND(OR(A17="FP",A17="3F4D+MD"),ISNUMBER(B17),ISNUMBER(C17),ISNUMBER(D17)),1,0)</f>
        <v/>
      </c>
      <c r="F17" s="15" t="n"/>
    </row>
    <row r="18">
      <c r="A18" s="15" t="n"/>
      <c r="B18" s="14" t="n"/>
      <c r="C18" s="15" t="n"/>
      <c r="D18" s="15" t="n"/>
      <c r="E18" s="10">
        <f>IF(AND(OR(A18="FP",A18="3F4D+MD"),ISNUMBER(B18),ISNUMBER(C18),ISNUMBER(D18)),1,0)</f>
        <v/>
      </c>
      <c r="F18" s="15" t="n"/>
    </row>
    <row r="19">
      <c r="A19" s="15" t="n"/>
      <c r="B19" s="14" t="n"/>
      <c r="C19" s="15" t="n"/>
      <c r="D19" s="15" t="n"/>
      <c r="E19" s="10">
        <f>IF(AND(OR(A19="FP",A19="3F4D+MD"),ISNUMBER(B19),ISNUMBER(C19),ISNUMBER(D19)),1,0)</f>
        <v/>
      </c>
      <c r="F19" s="15" t="n"/>
    </row>
    <row r="20">
      <c r="A20" s="15" t="n"/>
      <c r="B20" s="14" t="n"/>
      <c r="C20" s="15" t="n"/>
      <c r="D20" s="15" t="n"/>
      <c r="E20" s="10">
        <f>IF(AND(OR(A20="FP",A20="3F4D+MD"),ISNUMBER(B20),ISNUMBER(C20),ISNUMBER(D20)),1,0)</f>
        <v/>
      </c>
      <c r="F20" s="15" t="n"/>
    </row>
    <row r="21">
      <c r="A21" s="15" t="n"/>
      <c r="B21" s="14" t="n"/>
      <c r="C21" s="15" t="n"/>
      <c r="D21" s="15" t="n"/>
      <c r="E21" s="10">
        <f>IF(AND(OR(A21="FP",A21="3F4D+MD"),ISNUMBER(B21),ISNUMBER(C21),ISNUMBER(D21)),1,0)</f>
        <v/>
      </c>
      <c r="F21" s="15" t="n"/>
    </row>
    <row r="22">
      <c r="A22" s="15" t="n"/>
      <c r="B22" s="14" t="n"/>
      <c r="C22" s="15" t="n"/>
      <c r="D22" s="15" t="n"/>
      <c r="E22" s="10">
        <f>IF(AND(OR(A22="FP",A22="3F4D+MD"),ISNUMBER(B22),ISNUMBER(C22),ISNUMBER(D22)),1,0)</f>
        <v/>
      </c>
      <c r="F22" s="15" t="n"/>
    </row>
    <row r="23">
      <c r="A23" s="15" t="n"/>
      <c r="B23" s="14" t="n"/>
      <c r="C23" s="15" t="n"/>
      <c r="D23" s="15" t="n"/>
      <c r="E23" s="10">
        <f>IF(AND(OR(A23="FP",A23="3F4D+MD"),ISNUMBER(B23),ISNUMBER(C23),ISNUMBER(D23)),1,0)</f>
        <v/>
      </c>
      <c r="F23" s="15" t="n"/>
    </row>
    <row r="24">
      <c r="A24" s="15" t="n"/>
      <c r="B24" s="14" t="n"/>
      <c r="C24" s="15" t="n"/>
      <c r="D24" s="15" t="n"/>
      <c r="E24" s="10">
        <f>IF(AND(OR(A24="FP",A24="3F4D+MD"),ISNUMBER(B24),ISNUMBER(C24),ISNUMBER(D24)),1,0)</f>
        <v/>
      </c>
      <c r="F24" s="15" t="n"/>
    </row>
    <row r="25">
      <c r="A25" s="15" t="n"/>
      <c r="B25" s="14" t="n"/>
      <c r="C25" s="15" t="n"/>
      <c r="D25" s="15" t="n"/>
      <c r="E25" s="10">
        <f>IF(AND(OR(A25="FP",A25="3F4D+MD"),ISNUMBER(B25),ISNUMBER(C25),ISNUMBER(D25)),1,0)</f>
        <v/>
      </c>
      <c r="F25" s="15" t="n"/>
    </row>
    <row r="26">
      <c r="A26" s="15" t="n"/>
      <c r="B26" s="14" t="n"/>
      <c r="C26" s="15" t="n"/>
      <c r="D26" s="15" t="n"/>
      <c r="E26" s="10">
        <f>IF(AND(OR(A26="FP",A26="3F4D+MD"),ISNUMBER(B26),ISNUMBER(C26),ISNUMBER(D26)),1,0)</f>
        <v/>
      </c>
      <c r="F26" s="15" t="n"/>
    </row>
    <row r="27">
      <c r="A27" s="15" t="n"/>
      <c r="B27" s="14" t="n"/>
      <c r="C27" s="15" t="n"/>
      <c r="D27" s="15" t="n"/>
      <c r="E27" s="10">
        <f>IF(AND(OR(A27="FP",A27="3F4D+MD"),ISNUMBER(B27),ISNUMBER(C27),ISNUMBER(D27)),1,0)</f>
        <v/>
      </c>
      <c r="F27" s="15" t="n"/>
    </row>
    <row r="28">
      <c r="A28" s="15" t="n"/>
      <c r="B28" s="14" t="n"/>
      <c r="C28" s="15" t="n"/>
      <c r="D28" s="15" t="n"/>
      <c r="E28" s="10">
        <f>IF(AND(OR(A28="FP",A28="3F4D+MD"),ISNUMBER(B28),ISNUMBER(C28),ISNUMBER(D28)),1,0)</f>
        <v/>
      </c>
      <c r="F28" s="15" t="n"/>
    </row>
    <row r="29">
      <c r="A29" s="15" t="n"/>
      <c r="B29" s="14" t="n"/>
      <c r="C29" s="15" t="n"/>
      <c r="D29" s="15" t="n"/>
      <c r="E29" s="10">
        <f>IF(AND(OR(A29="FP",A29="3F4D+MD"),ISNUMBER(B29),ISNUMBER(C29),ISNUMBER(D29)),1,0)</f>
        <v/>
      </c>
      <c r="F29" s="15" t="n"/>
    </row>
    <row r="30">
      <c r="A30" s="15" t="n"/>
      <c r="B30" s="14" t="n"/>
      <c r="C30" s="15" t="n"/>
      <c r="D30" s="15" t="n"/>
      <c r="E30" s="10">
        <f>IF(AND(OR(A30="FP",A30="3F4D+MD"),ISNUMBER(B30),ISNUMBER(C30),ISNUMBER(D30)),1,0)</f>
        <v/>
      </c>
      <c r="F30" s="15" t="n"/>
    </row>
    <row r="31">
      <c r="A31" s="15" t="n"/>
      <c r="B31" s="14" t="n"/>
      <c r="C31" s="15" t="n"/>
      <c r="D31" s="15" t="n"/>
      <c r="E31" s="10">
        <f>IF(AND(OR(A31="FP",A31="3F4D+MD"),ISNUMBER(B31),ISNUMBER(C31),ISNUMBER(D31)),1,0)</f>
        <v/>
      </c>
      <c r="F31" s="15" t="n"/>
    </row>
    <row r="32">
      <c r="A32" s="15" t="n"/>
      <c r="B32" s="14" t="n"/>
      <c r="C32" s="15" t="n"/>
      <c r="D32" s="15" t="n"/>
      <c r="E32" s="10">
        <f>IF(AND(OR(A32="FP",A32="3F4D+MD"),ISNUMBER(B32),ISNUMBER(C32),ISNUMBER(D32)),1,0)</f>
        <v/>
      </c>
      <c r="F32" s="15" t="n"/>
    </row>
    <row r="33">
      <c r="A33" s="15" t="n"/>
      <c r="B33" s="14" t="n"/>
      <c r="C33" s="15" t="n"/>
      <c r="D33" s="15" t="n"/>
      <c r="E33" s="10">
        <f>IF(AND(OR(A33="FP",A33="3F4D+MD"),ISNUMBER(B33),ISNUMBER(C33),ISNUMBER(D33)),1,0)</f>
        <v/>
      </c>
      <c r="F33" s="15" t="n"/>
    </row>
    <row r="34">
      <c r="A34" s="15" t="n"/>
      <c r="B34" s="14" t="n"/>
      <c r="C34" s="15" t="n"/>
      <c r="D34" s="15" t="n"/>
      <c r="E34" s="10">
        <f>IF(AND(OR(A34="FP",A34="3F4D+MD"),ISNUMBER(B34),ISNUMBER(C34),ISNUMBER(D34)),1,0)</f>
        <v/>
      </c>
      <c r="F34" s="15" t="n"/>
    </row>
    <row r="35">
      <c r="A35" s="15" t="n"/>
      <c r="B35" s="14" t="n"/>
      <c r="C35" s="15" t="n"/>
      <c r="D35" s="15" t="n"/>
      <c r="E35" s="10">
        <f>IF(AND(OR(A35="FP",A35="3F4D+MD"),ISNUMBER(B35),ISNUMBER(C35),ISNUMBER(D35)),1,0)</f>
        <v/>
      </c>
      <c r="F35" s="15" t="n"/>
    </row>
    <row r="36">
      <c r="A36" s="15" t="n"/>
      <c r="B36" s="14" t="n"/>
      <c r="C36" s="15" t="n"/>
      <c r="D36" s="15" t="n"/>
      <c r="E36" s="10">
        <f>IF(AND(OR(A36="FP",A36="3F4D+MD"),ISNUMBER(B36),ISNUMBER(C36),ISNUMBER(D36)),1,0)</f>
        <v/>
      </c>
      <c r="F36" s="15" t="n"/>
    </row>
    <row r="37">
      <c r="A37" s="15" t="n"/>
      <c r="B37" s="14" t="n"/>
      <c r="C37" s="15" t="n"/>
      <c r="D37" s="15" t="n"/>
      <c r="E37" s="10">
        <f>IF(AND(OR(A37="FP",A37="3F4D+MD"),ISNUMBER(B37),ISNUMBER(C37),ISNUMBER(D37)),1,0)</f>
        <v/>
      </c>
      <c r="F37" s="15" t="n"/>
    </row>
    <row r="38">
      <c r="A38" s="15" t="n"/>
      <c r="B38" s="14" t="n"/>
      <c r="C38" s="15" t="n"/>
      <c r="D38" s="15" t="n"/>
      <c r="E38" s="10">
        <f>IF(AND(OR(A38="FP",A38="3F4D+MD"),ISNUMBER(B38),ISNUMBER(C38),ISNUMBER(D38)),1,0)</f>
        <v/>
      </c>
      <c r="F38" s="15" t="n"/>
    </row>
    <row r="39">
      <c r="A39" s="15" t="n"/>
      <c r="B39" s="14" t="n"/>
      <c r="C39" s="15" t="n"/>
      <c r="D39" s="15" t="n"/>
      <c r="E39" s="10">
        <f>IF(AND(OR(A39="FP",A39="3F4D+MD"),ISNUMBER(B39),ISNUMBER(C39),ISNUMBER(D39)),1,0)</f>
        <v/>
      </c>
      <c r="F39" s="15" t="n"/>
    </row>
    <row r="40">
      <c r="A40" s="15" t="n"/>
      <c r="B40" s="14" t="n"/>
      <c r="C40" s="15" t="n"/>
      <c r="D40" s="15" t="n"/>
      <c r="E40" s="10">
        <f>IF(AND(OR(A40="FP",A40="3F4D+MD"),ISNUMBER(B40),ISNUMBER(C40),ISNUMBER(D40)),1,0)</f>
        <v/>
      </c>
      <c r="F40" s="15" t="n"/>
    </row>
    <row r="41">
      <c r="A41" s="15" t="n"/>
      <c r="B41" s="14" t="n"/>
      <c r="C41" s="15" t="n"/>
      <c r="D41" s="15" t="n"/>
      <c r="E41" s="10">
        <f>IF(AND(OR(A41="FP",A41="3F4D+MD"),ISNUMBER(B41),ISNUMBER(C41),ISNUMBER(D41)),1,0)</f>
        <v/>
      </c>
      <c r="F41" s="15" t="n"/>
    </row>
    <row r="42">
      <c r="A42" s="15" t="n"/>
      <c r="B42" s="14" t="n"/>
      <c r="C42" s="15" t="n"/>
      <c r="D42" s="15" t="n"/>
      <c r="E42" s="10">
        <f>IF(AND(OR(A42="FP",A42="3F4D+MD"),ISNUMBER(B42),ISNUMBER(C42),ISNUMBER(D42)),1,0)</f>
        <v/>
      </c>
      <c r="F42" s="15" t="n"/>
    </row>
    <row r="43">
      <c r="A43" s="15" t="n"/>
      <c r="B43" s="14" t="n"/>
      <c r="C43" s="15" t="n"/>
      <c r="D43" s="15" t="n"/>
      <c r="E43" s="10">
        <f>IF(AND(OR(A43="FP",A43="3F4D+MD"),ISNUMBER(B43),ISNUMBER(C43),ISNUMBER(D43)),1,0)</f>
        <v/>
      </c>
      <c r="F43" s="15" t="n"/>
    </row>
    <row r="44">
      <c r="A44" s="15" t="n"/>
      <c r="B44" s="14" t="n"/>
      <c r="C44" s="15" t="n"/>
      <c r="D44" s="15" t="n"/>
      <c r="E44" s="10">
        <f>IF(AND(OR(A44="FP",A44="3F4D+MD"),ISNUMBER(B44),ISNUMBER(C44),ISNUMBER(D44)),1,0)</f>
        <v/>
      </c>
      <c r="F44" s="15" t="n"/>
    </row>
    <row r="45">
      <c r="A45" s="15" t="n"/>
      <c r="B45" s="14" t="n"/>
      <c r="C45" s="15" t="n"/>
      <c r="D45" s="15" t="n"/>
      <c r="E45" s="10">
        <f>IF(AND(OR(A45="FP",A45="3F4D+MD"),ISNUMBER(B45),ISNUMBER(C45),ISNUMBER(D45)),1,0)</f>
        <v/>
      </c>
      <c r="F45" s="15" t="n"/>
    </row>
    <row r="46">
      <c r="A46" s="15" t="n"/>
      <c r="B46" s="14" t="n"/>
      <c r="C46" s="15" t="n"/>
      <c r="D46" s="15" t="n"/>
      <c r="E46" s="10">
        <f>IF(AND(OR(A46="FP",A46="3F4D+MD"),ISNUMBER(B46),ISNUMBER(C46),ISNUMBER(D46)),1,0)</f>
        <v/>
      </c>
      <c r="F46" s="15" t="n"/>
    </row>
    <row r="47">
      <c r="A47" s="15" t="n"/>
      <c r="B47" s="14" t="n"/>
      <c r="C47" s="15" t="n"/>
      <c r="D47" s="15" t="n"/>
      <c r="E47" s="10">
        <f>IF(AND(OR(A47="FP",A47="3F4D+MD"),ISNUMBER(B47),ISNUMBER(C47),ISNUMBER(D47)),1,0)</f>
        <v/>
      </c>
      <c r="F47" s="15" t="n"/>
    </row>
    <row r="48">
      <c r="A48" s="15" t="n"/>
      <c r="B48" s="14" t="n"/>
      <c r="C48" s="15" t="n"/>
      <c r="D48" s="15" t="n"/>
      <c r="E48" s="10">
        <f>IF(AND(OR(A48="FP",A48="3F4D+MD"),ISNUMBER(B48),ISNUMBER(C48),ISNUMBER(D48)),1,0)</f>
        <v/>
      </c>
      <c r="F48" s="15" t="n"/>
    </row>
    <row r="49">
      <c r="A49" s="15" t="n"/>
      <c r="B49" s="14" t="n"/>
      <c r="C49" s="15" t="n"/>
      <c r="D49" s="15" t="n"/>
      <c r="E49" s="10">
        <f>IF(AND(OR(A49="FP",A49="3F4D+MD"),ISNUMBER(B49),ISNUMBER(C49),ISNUMBER(D49)),1,0)</f>
        <v/>
      </c>
      <c r="F49" s="15" t="n"/>
    </row>
    <row r="50">
      <c r="A50" s="15" t="n"/>
      <c r="B50" s="14" t="n"/>
      <c r="C50" s="15" t="n"/>
      <c r="D50" s="15" t="n"/>
      <c r="E50" s="10">
        <f>IF(AND(OR(A50="FP",A50="3F4D+MD"),ISNUMBER(B50),ISNUMBER(C50),ISNUMBER(D50)),1,0)</f>
        <v/>
      </c>
      <c r="F50" s="15" t="n"/>
    </row>
    <row r="51">
      <c r="A51" s="15" t="n"/>
      <c r="B51" s="14" t="n"/>
      <c r="C51" s="15" t="n"/>
      <c r="D51" s="15" t="n"/>
      <c r="E51" s="10">
        <f>IF(AND(OR(A51="FP",A51="3F4D+MD"),ISNUMBER(B51),ISNUMBER(C51),ISNUMBER(D51)),1,0)</f>
        <v/>
      </c>
      <c r="F51" s="15" t="n"/>
    </row>
    <row r="52">
      <c r="A52" s="15" t="n"/>
      <c r="B52" s="14" t="n"/>
      <c r="C52" s="15" t="n"/>
      <c r="D52" s="15" t="n"/>
      <c r="E52" s="10">
        <f>IF(AND(OR(A52="FP",A52="3F4D+MD"),ISNUMBER(B52),ISNUMBER(C52),ISNUMBER(D52)),1,0)</f>
        <v/>
      </c>
      <c r="F52" s="15" t="n"/>
    </row>
    <row r="53">
      <c r="A53" s="15" t="n"/>
      <c r="B53" s="14" t="n"/>
      <c r="C53" s="15" t="n"/>
      <c r="D53" s="15" t="n"/>
      <c r="E53" s="10">
        <f>IF(AND(OR(A53="FP",A53="3F4D+MD"),ISNUMBER(B53),ISNUMBER(C53),ISNUMBER(D53)),1,0)</f>
        <v/>
      </c>
      <c r="F53" s="15" t="n"/>
    </row>
    <row r="54">
      <c r="A54" s="15" t="n"/>
      <c r="B54" s="14" t="n"/>
      <c r="C54" s="15" t="n"/>
      <c r="D54" s="15" t="n"/>
      <c r="E54" s="10">
        <f>IF(AND(OR(A54="FP",A54="3F4D+MD"),ISNUMBER(B54),ISNUMBER(C54),ISNUMBER(D54)),1,0)</f>
        <v/>
      </c>
      <c r="F54" s="15" t="n"/>
    </row>
    <row r="55">
      <c r="A55" s="15" t="n"/>
      <c r="B55" s="14" t="n"/>
      <c r="C55" s="15" t="n"/>
      <c r="D55" s="15" t="n"/>
      <c r="E55" s="10">
        <f>IF(AND(OR(A55="FP",A55="3F4D+MD"),ISNUMBER(B55),ISNUMBER(C55),ISNUMBER(D55)),1,0)</f>
        <v/>
      </c>
      <c r="F55" s="15" t="n"/>
    </row>
    <row r="56">
      <c r="A56" s="15" t="n"/>
      <c r="B56" s="14" t="n"/>
      <c r="C56" s="15" t="n"/>
      <c r="D56" s="15" t="n"/>
      <c r="E56" s="10">
        <f>IF(AND(OR(A56="FP",A56="3F4D+MD"),ISNUMBER(B56),ISNUMBER(C56),ISNUMBER(D56)),1,0)</f>
        <v/>
      </c>
      <c r="F56" s="15" t="n"/>
    </row>
    <row r="57">
      <c r="A57" s="15" t="n"/>
      <c r="B57" s="14" t="n"/>
      <c r="C57" s="15" t="n"/>
      <c r="D57" s="15" t="n"/>
      <c r="E57" s="10">
        <f>IF(AND(OR(A57="FP",A57="3F4D+MD"),ISNUMBER(B57),ISNUMBER(C57),ISNUMBER(D57)),1,0)</f>
        <v/>
      </c>
      <c r="F57" s="15" t="n"/>
    </row>
    <row r="58">
      <c r="A58" s="15" t="n"/>
      <c r="B58" s="14" t="n"/>
      <c r="C58" s="15" t="n"/>
      <c r="D58" s="15" t="n"/>
      <c r="E58" s="10">
        <f>IF(AND(OR(A58="FP",A58="3F4D+MD"),ISNUMBER(B58),ISNUMBER(C58),ISNUMBER(D58)),1,0)</f>
        <v/>
      </c>
      <c r="F58" s="15" t="n"/>
    </row>
    <row r="59">
      <c r="A59" s="15" t="n"/>
      <c r="B59" s="14" t="n"/>
      <c r="C59" s="15" t="n"/>
      <c r="D59" s="15" t="n"/>
      <c r="E59" s="10">
        <f>IF(AND(OR(A59="FP",A59="3F4D+MD"),ISNUMBER(B59),ISNUMBER(C59),ISNUMBER(D59)),1,0)</f>
        <v/>
      </c>
      <c r="F59" s="15" t="n"/>
    </row>
    <row r="60">
      <c r="A60" s="15" t="n"/>
      <c r="B60" s="14" t="n"/>
      <c r="C60" s="15" t="n"/>
      <c r="D60" s="15" t="n"/>
      <c r="E60" s="10">
        <f>IF(AND(OR(A60="FP",A60="3F4D+MD"),ISNUMBER(B60),ISNUMBER(C60),ISNUMBER(D60)),1,0)</f>
        <v/>
      </c>
      <c r="F60" s="15" t="n"/>
    </row>
  </sheetData>
  <dataValidations count="2">
    <dataValidation sqref="A4:A60" showDropDown="0" showInputMessage="0" showErrorMessage="0" allowBlank="1" type="list">
      <formula1>"FP,3F4D+MD"</formula1>
    </dataValidation>
    <dataValidation sqref="B4:B60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24" customWidth="1" min="12" max="12"/>
    <col width="7" customWidth="1" min="13" max="13"/>
  </cols>
  <sheetData>
    <row r="1">
      <c r="A1" s="5" t="inlineStr">
        <is>
          <t>Date / তারিখ</t>
        </is>
      </c>
      <c r="B1" s="5" t="inlineStr">
        <is>
          <t>Plot / প্লট</t>
        </is>
      </c>
      <c r="C1" s="5" t="inlineStr">
        <is>
          <t>Urea (kg)</t>
        </is>
      </c>
      <c r="D1" s="5" t="inlineStr">
        <is>
          <t>TSP (kg)</t>
        </is>
      </c>
      <c r="E1" s="5" t="inlineStr">
        <is>
          <t>DAP (kg)</t>
        </is>
      </c>
      <c r="F1" s="5" t="inlineStr">
        <is>
          <t>Gypsum (kg)</t>
        </is>
      </c>
      <c r="G1" s="5" t="inlineStr">
        <is>
          <t>MOP (kg)</t>
        </is>
      </c>
      <c r="H1" s="5" t="inlineStr">
        <is>
          <t>Boron (kg)</t>
        </is>
      </c>
      <c r="I1" s="5" t="inlineStr">
        <is>
          <t>Zinc (kg)</t>
        </is>
      </c>
      <c r="J1" s="5" t="inlineStr">
        <is>
          <t>Magnesium (kg)</t>
        </is>
      </c>
      <c r="K1" s="5" t="inlineStr">
        <is>
          <t>Thiovit (kg)</t>
        </is>
      </c>
      <c r="L1" s="5" t="inlineStr">
        <is>
          <t>Note / মন্তব্য</t>
        </is>
      </c>
      <c r="M1" s="5" t="inlineStr">
        <is>
          <t>DAT</t>
        </is>
      </c>
    </row>
    <row r="2">
      <c r="A2" s="14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0">
        <f>IF(OR(A2="",NOT(ISNUMBER(TransDate))),"",A2-TransDate)</f>
        <v/>
      </c>
    </row>
    <row r="3">
      <c r="A3" s="14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0">
        <f>IF(OR(A3="",NOT(ISNUMBER(TransDate))),"",A3-TransDate)</f>
        <v/>
      </c>
    </row>
    <row r="4">
      <c r="A4" s="14" t="n"/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0">
        <f>IF(OR(A4="",NOT(ISNUMBER(TransDate))),"",A4-TransDate)</f>
        <v/>
      </c>
    </row>
    <row r="5">
      <c r="A5" s="14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0">
        <f>IF(OR(A5="",NOT(ISNUMBER(TransDate))),"",A5-TransDate)</f>
        <v/>
      </c>
    </row>
    <row r="6">
      <c r="A6" s="14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0">
        <f>IF(OR(A6="",NOT(ISNUMBER(TransDate))),"",A6-TransDate)</f>
        <v/>
      </c>
    </row>
    <row r="7">
      <c r="A7" s="14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0">
        <f>IF(OR(A7="",NOT(ISNUMBER(TransDate))),"",A7-TransDate)</f>
        <v/>
      </c>
    </row>
    <row r="8">
      <c r="A8" s="14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0">
        <f>IF(OR(A8="",NOT(ISNUMBER(TransDate))),"",A8-TransDate)</f>
        <v/>
      </c>
    </row>
    <row r="9">
      <c r="A9" s="14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0">
        <f>IF(OR(A9="",NOT(ISNUMBER(TransDate))),"",A9-TransDate)</f>
        <v/>
      </c>
    </row>
    <row r="10">
      <c r="A10" s="14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0">
        <f>IF(OR(A10="",NOT(ISNUMBER(TransDate))),"",A10-TransDate)</f>
        <v/>
      </c>
    </row>
    <row r="11">
      <c r="A11" s="14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0">
        <f>IF(OR(A11="",NOT(ISNUMBER(TransDate))),"",A11-TransDate)</f>
        <v/>
      </c>
    </row>
    <row r="12">
      <c r="A12" s="14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0">
        <f>IF(OR(A12="",NOT(ISNUMBER(TransDate))),"",A12-TransDate)</f>
        <v/>
      </c>
    </row>
    <row r="13">
      <c r="A13" s="14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0">
        <f>IF(OR(A13="",NOT(ISNUMBER(TransDate))),"",A13-TransDate)</f>
        <v/>
      </c>
    </row>
    <row r="14">
      <c r="A14" s="14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0">
        <f>IF(OR(A14="",NOT(ISNUMBER(TransDate))),"",A14-TransDate)</f>
        <v/>
      </c>
    </row>
    <row r="15">
      <c r="A15" s="14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0">
        <f>IF(OR(A15="",NOT(ISNUMBER(TransDate))),"",A15-TransDate)</f>
        <v/>
      </c>
    </row>
    <row r="16">
      <c r="A16" s="14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0">
        <f>IF(OR(A16="",NOT(ISNUMBER(TransDate))),"",A16-TransDate)</f>
        <v/>
      </c>
    </row>
    <row r="17">
      <c r="A17" s="14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0">
        <f>IF(OR(A17="",NOT(ISNUMBER(TransDate))),"",A17-TransDate)</f>
        <v/>
      </c>
    </row>
    <row r="18">
      <c r="A18" s="14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0">
        <f>IF(OR(A18="",NOT(ISNUMBER(TransDate))),"",A18-TransDate)</f>
        <v/>
      </c>
    </row>
    <row r="19">
      <c r="A19" s="14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0">
        <f>IF(OR(A19="",NOT(ISNUMBER(TransDate))),"",A19-TransDate)</f>
        <v/>
      </c>
    </row>
    <row r="20">
      <c r="A20" s="14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0">
        <f>IF(OR(A20="",NOT(ISNUMBER(TransDate))),"",A20-TransDate)</f>
        <v/>
      </c>
    </row>
    <row r="21">
      <c r="A21" s="14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0">
        <f>IF(OR(A21="",NOT(ISNUMBER(TransDate))),"",A21-TransDate)</f>
        <v/>
      </c>
    </row>
    <row r="22">
      <c r="A22" s="14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0">
        <f>IF(OR(A22="",NOT(ISNUMBER(TransDate))),"",A22-TransDate)</f>
        <v/>
      </c>
    </row>
    <row r="23">
      <c r="A23" s="14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0">
        <f>IF(OR(A23="",NOT(ISNUMBER(TransDate))),"",A23-TransDate)</f>
        <v/>
      </c>
    </row>
    <row r="24">
      <c r="A24" s="14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0">
        <f>IF(OR(A24="",NOT(ISNUMBER(TransDate))),"",A24-TransDate)</f>
        <v/>
      </c>
    </row>
    <row r="25">
      <c r="A25" s="14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0">
        <f>IF(OR(A25="",NOT(ISNUMBER(TransDate))),"",A25-TransDate)</f>
        <v/>
      </c>
    </row>
    <row r="26">
      <c r="A26" s="14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0">
        <f>IF(OR(A26="",NOT(ISNUMBER(TransDate))),"",A26-TransDate)</f>
        <v/>
      </c>
    </row>
    <row r="27">
      <c r="A27" s="14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0">
        <f>IF(OR(A27="",NOT(ISNUMBER(TransDate))),"",A27-TransDate)</f>
        <v/>
      </c>
    </row>
    <row r="28">
      <c r="A28" s="14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0">
        <f>IF(OR(A28="",NOT(ISNUMBER(TransDate))),"",A28-TransDate)</f>
        <v/>
      </c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0">
        <f>IF(OR(A29="",NOT(ISNUMBER(TransDate))),"",A29-TransDate)</f>
        <v/>
      </c>
    </row>
    <row r="30">
      <c r="A30" s="14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0">
        <f>IF(OR(A30="",NOT(ISNUMBER(TransDate))),"",A30-TransDate)</f>
        <v/>
      </c>
    </row>
    <row r="31">
      <c r="A31" s="14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0">
        <f>IF(OR(A31="",NOT(ISNUMBER(TransDate))),"",A31-TransDate)</f>
        <v/>
      </c>
    </row>
    <row r="32">
      <c r="A32" s="14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0">
        <f>IF(OR(A32="",NOT(ISNUMBER(TransDate))),"",A32-TransDate)</f>
        <v/>
      </c>
    </row>
    <row r="33">
      <c r="A33" s="14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0">
        <f>IF(OR(A33="",NOT(ISNUMBER(TransDate))),"",A33-TransDate)</f>
        <v/>
      </c>
    </row>
    <row r="34">
      <c r="A34" s="14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0">
        <f>IF(OR(A34="",NOT(ISNUMBER(TransDate))),"",A34-TransDate)</f>
        <v/>
      </c>
    </row>
    <row r="35">
      <c r="A35" s="14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0">
        <f>IF(OR(A35="",NOT(ISNUMBER(TransDate))),"",A35-TransDate)</f>
        <v/>
      </c>
    </row>
    <row r="36">
      <c r="A36" s="14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0">
        <f>IF(OR(A36="",NOT(ISNUMBER(TransDate))),"",A36-TransDate)</f>
        <v/>
      </c>
    </row>
    <row r="37">
      <c r="A37" s="14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0">
        <f>IF(OR(A37="",NOT(ISNUMBER(TransDate))),"",A37-TransDate)</f>
        <v/>
      </c>
    </row>
    <row r="38">
      <c r="A38" s="14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0">
        <f>IF(OR(A38="",NOT(ISNUMBER(TransDate))),"",A38-TransDate)</f>
        <v/>
      </c>
    </row>
    <row r="39">
      <c r="A39" s="14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0">
        <f>IF(OR(A39="",NOT(ISNUMBER(TransDate))),"",A39-TransDate)</f>
        <v/>
      </c>
    </row>
    <row r="40">
      <c r="A40" s="14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0">
        <f>IF(OR(A40="",NOT(ISNUMBER(TransDate))),"",A40-TransDate)</f>
        <v/>
      </c>
    </row>
    <row r="41">
      <c r="A41" s="14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0">
        <f>IF(OR(A41="",NOT(ISNUMBER(TransDate))),"",A41-TransDate)</f>
        <v/>
      </c>
    </row>
    <row r="42">
      <c r="A42" s="14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0">
        <f>IF(OR(A42="",NOT(ISNUMBER(TransDate))),"",A42-TransDate)</f>
        <v/>
      </c>
    </row>
    <row r="43">
      <c r="A43" s="14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0">
        <f>IF(OR(A43="",NOT(ISNUMBER(TransDate))),"",A43-TransDate)</f>
        <v/>
      </c>
    </row>
    <row r="44">
      <c r="A44" s="14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0">
        <f>IF(OR(A44="",NOT(ISNUMBER(TransDate))),"",A44-TransDate)</f>
        <v/>
      </c>
    </row>
    <row r="45">
      <c r="A45" s="14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0">
        <f>IF(OR(A45="",NOT(ISNUMBER(TransDate))),"",A45-TransDate)</f>
        <v/>
      </c>
    </row>
    <row r="46">
      <c r="A46" s="14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0">
        <f>IF(OR(A46="",NOT(ISNUMBER(TransDate))),"",A46-TransDate)</f>
        <v/>
      </c>
    </row>
    <row r="47">
      <c r="A47" s="14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0">
        <f>IF(OR(A47="",NOT(ISNUMBER(TransDate))),"",A47-TransDate)</f>
        <v/>
      </c>
    </row>
    <row r="48">
      <c r="A48" s="14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0">
        <f>IF(OR(A48="",NOT(ISNUMBER(TransDate))),"",A48-TransDate)</f>
        <v/>
      </c>
    </row>
    <row r="49">
      <c r="A49" s="14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0">
        <f>IF(OR(A49="",NOT(ISNUMBER(TransDate))),"",A49-TransDate)</f>
        <v/>
      </c>
    </row>
    <row r="50">
      <c r="A50" s="14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0">
        <f>IF(OR(A50="",NOT(ISNUMBER(TransDate))),"",A50-TransDate)</f>
        <v/>
      </c>
    </row>
    <row r="51">
      <c r="A51" s="14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0">
        <f>IF(OR(A51="",NOT(ISNUMBER(TransDate))),"",A51-TransDate)</f>
        <v/>
      </c>
    </row>
    <row r="52">
      <c r="A52" s="14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0">
        <f>IF(OR(A52="",NOT(ISNUMBER(TransDate))),"",A52-TransDate)</f>
        <v/>
      </c>
    </row>
    <row r="53">
      <c r="A53" s="14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0">
        <f>IF(OR(A53="",NOT(ISNUMBER(TransDate))),"",A53-TransDate)</f>
        <v/>
      </c>
    </row>
    <row r="54">
      <c r="A54" s="14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0">
        <f>IF(OR(A54="",NOT(ISNUMBER(TransDate))),"",A54-TransDate)</f>
        <v/>
      </c>
    </row>
    <row r="55">
      <c r="A55" s="14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0">
        <f>IF(OR(A55="",NOT(ISNUMBER(TransDate))),"",A55-TransDate)</f>
        <v/>
      </c>
    </row>
    <row r="56">
      <c r="A56" s="14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0">
        <f>IF(OR(A56="",NOT(ISNUMBER(TransDate))),"",A56-TransDate)</f>
        <v/>
      </c>
    </row>
    <row r="57">
      <c r="A57" s="14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0">
        <f>IF(OR(A57="",NOT(ISNUMBER(TransDate))),"",A57-TransDate)</f>
        <v/>
      </c>
    </row>
    <row r="58">
      <c r="A58" s="14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0">
        <f>IF(OR(A58="",NOT(ISNUMBER(TransDate))),"",A58-TransDate)</f>
        <v/>
      </c>
    </row>
    <row r="59">
      <c r="A59" s="14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0">
        <f>IF(OR(A59="",NOT(ISNUMBER(TransDate))),"",A59-TransDate)</f>
        <v/>
      </c>
    </row>
    <row r="60">
      <c r="A60" s="14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0">
        <f>IF(OR(A60="",NOT(ISNUMBER(TransDate))),"",A60-TransDate)</f>
        <v/>
      </c>
    </row>
    <row r="61">
      <c r="A61" s="14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0">
        <f>IF(OR(A61="",NOT(ISNUMBER(TransDate))),"",A61-TransDate)</f>
        <v/>
      </c>
    </row>
    <row r="62">
      <c r="A62" s="14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0">
        <f>IF(OR(A62="",NOT(ISNUMBER(TransDate))),"",A62-TransDate)</f>
        <v/>
      </c>
    </row>
    <row r="63">
      <c r="A63" s="14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0">
        <f>IF(OR(A63="",NOT(ISNUMBER(TransDate))),"",A63-TransDate)</f>
        <v/>
      </c>
    </row>
    <row r="64">
      <c r="A64" s="14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0">
        <f>IF(OR(A64="",NOT(ISNUMBER(TransDate))),"",A64-TransDate)</f>
        <v/>
      </c>
    </row>
    <row r="65">
      <c r="A65" s="14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0">
        <f>IF(OR(A65="",NOT(ISNUMBER(TransDate))),"",A65-TransDate)</f>
        <v/>
      </c>
    </row>
    <row r="66">
      <c r="A66" s="14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0">
        <f>IF(OR(A66="",NOT(ISNUMBER(TransDate))),"",A66-TransDate)</f>
        <v/>
      </c>
    </row>
    <row r="67">
      <c r="A67" s="14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0">
        <f>IF(OR(A67="",NOT(ISNUMBER(TransDate))),"",A67-TransDate)</f>
        <v/>
      </c>
    </row>
    <row r="68">
      <c r="A68" s="14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0">
        <f>IF(OR(A68="",NOT(ISNUMBER(TransDate))),"",A68-TransDate)</f>
        <v/>
      </c>
    </row>
    <row r="69">
      <c r="A69" s="14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0">
        <f>IF(OR(A69="",NOT(ISNUMBER(TransDate))),"",A69-TransDate)</f>
        <v/>
      </c>
    </row>
    <row r="70">
      <c r="A70" s="14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0">
        <f>IF(OR(A70="",NOT(ISNUMBER(TransDate))),"",A70-TransDate)</f>
        <v/>
      </c>
    </row>
    <row r="71">
      <c r="A71" s="14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0">
        <f>IF(OR(A71="",NOT(ISNUMBER(TransDate))),"",A71-TransDate)</f>
        <v/>
      </c>
    </row>
    <row r="72">
      <c r="A72" s="14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0">
        <f>IF(OR(A72="",NOT(ISNUMBER(TransDate))),"",A72-TransDate)</f>
        <v/>
      </c>
    </row>
    <row r="73">
      <c r="A73" s="14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0">
        <f>IF(OR(A73="",NOT(ISNUMBER(TransDate))),"",A73-TransDate)</f>
        <v/>
      </c>
    </row>
    <row r="74">
      <c r="A74" s="14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0">
        <f>IF(OR(A74="",NOT(ISNUMBER(TransDate))),"",A74-TransDate)</f>
        <v/>
      </c>
    </row>
    <row r="75">
      <c r="A75" s="14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0">
        <f>IF(OR(A75="",NOT(ISNUMBER(TransDate))),"",A75-TransDate)</f>
        <v/>
      </c>
    </row>
    <row r="76">
      <c r="A76" s="14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0">
        <f>IF(OR(A76="",NOT(ISNUMBER(TransDate))),"",A76-TransDate)</f>
        <v/>
      </c>
    </row>
    <row r="77">
      <c r="A77" s="14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0">
        <f>IF(OR(A77="",NOT(ISNUMBER(TransDate))),"",A77-TransDate)</f>
        <v/>
      </c>
    </row>
    <row r="78">
      <c r="A78" s="14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0">
        <f>IF(OR(A78="",NOT(ISNUMBER(TransDate))),"",A78-TransDate)</f>
        <v/>
      </c>
    </row>
    <row r="79">
      <c r="A79" s="14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0">
        <f>IF(OR(A79="",NOT(ISNUMBER(TransDate))),"",A79-TransDate)</f>
        <v/>
      </c>
    </row>
    <row r="80">
      <c r="A80" s="14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0">
        <f>IF(OR(A80="",NOT(ISNUMBER(TransDate))),"",A80-TransDate)</f>
        <v/>
      </c>
    </row>
    <row r="81">
      <c r="A81" s="14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0">
        <f>IF(OR(A81="",NOT(ISNUMBER(TransDate))),"",A81-TransDate)</f>
        <v/>
      </c>
    </row>
    <row r="82">
      <c r="A82" s="14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0">
        <f>IF(OR(A82="",NOT(ISNUMBER(TransDate))),"",A82-TransDate)</f>
        <v/>
      </c>
    </row>
    <row r="83">
      <c r="A83" s="14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0">
        <f>IF(OR(A83="",NOT(ISNUMBER(TransDate))),"",A83-TransDate)</f>
        <v/>
      </c>
    </row>
    <row r="84">
      <c r="A84" s="14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0">
        <f>IF(OR(A84="",NOT(ISNUMBER(TransDate))),"",A84-TransDate)</f>
        <v/>
      </c>
    </row>
    <row r="85">
      <c r="A85" s="14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0">
        <f>IF(OR(A85="",NOT(ISNUMBER(TransDate))),"",A85-TransDate)</f>
        <v/>
      </c>
    </row>
    <row r="86">
      <c r="A86" s="14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0">
        <f>IF(OR(A86="",NOT(ISNUMBER(TransDate))),"",A86-TransDate)</f>
        <v/>
      </c>
    </row>
    <row r="87">
      <c r="A87" s="14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0">
        <f>IF(OR(A87="",NOT(ISNUMBER(TransDate))),"",A87-TransDate)</f>
        <v/>
      </c>
    </row>
    <row r="88">
      <c r="A88" s="14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0">
        <f>IF(OR(A88="",NOT(ISNUMBER(TransDate))),"",A88-TransDate)</f>
        <v/>
      </c>
    </row>
    <row r="89">
      <c r="A89" s="14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0">
        <f>IF(OR(A89="",NOT(ISNUMBER(TransDate))),"",A89-TransDate)</f>
        <v/>
      </c>
    </row>
    <row r="90">
      <c r="A90" s="14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0">
        <f>IF(OR(A90="",NOT(ISNUMBER(TransDate))),"",A90-TransDate)</f>
        <v/>
      </c>
    </row>
    <row r="91">
      <c r="A91" s="14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0">
        <f>IF(OR(A91="",NOT(ISNUMBER(TransDate))),"",A91-TransDate)</f>
        <v/>
      </c>
    </row>
    <row r="92">
      <c r="A92" s="14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0">
        <f>IF(OR(A92="",NOT(ISNUMBER(TransDate))),"",A92-TransDate)</f>
        <v/>
      </c>
    </row>
    <row r="93">
      <c r="A93" s="14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0">
        <f>IF(OR(A93="",NOT(ISNUMBER(TransDate))),"",A93-TransDate)</f>
        <v/>
      </c>
    </row>
    <row r="94">
      <c r="A94" s="14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0">
        <f>IF(OR(A94="",NOT(ISNUMBER(TransDate))),"",A94-TransDate)</f>
        <v/>
      </c>
    </row>
    <row r="95">
      <c r="A95" s="14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0">
        <f>IF(OR(A95="",NOT(ISNUMBER(TransDate))),"",A95-TransDate)</f>
        <v/>
      </c>
    </row>
    <row r="96">
      <c r="A96" s="14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0">
        <f>IF(OR(A96="",NOT(ISNUMBER(TransDate))),"",A96-TransDate)</f>
        <v/>
      </c>
    </row>
    <row r="97">
      <c r="A97" s="14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0">
        <f>IF(OR(A97="",NOT(ISNUMBER(TransDate))),"",A97-TransDate)</f>
        <v/>
      </c>
    </row>
    <row r="98">
      <c r="A98" s="14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0">
        <f>IF(OR(A98="",NOT(ISNUMBER(TransDate))),"",A98-TransDate)</f>
        <v/>
      </c>
    </row>
    <row r="99">
      <c r="A99" s="14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0">
        <f>IF(OR(A99="",NOT(ISNUMBER(TransDate))),"",A99-TransDate)</f>
        <v/>
      </c>
    </row>
    <row r="100">
      <c r="A100" s="14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0">
        <f>IF(OR(A100="",NOT(ISNUMBER(TransDate))),"",A100-TransDate)</f>
        <v/>
      </c>
    </row>
    <row r="101">
      <c r="A101" s="14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0">
        <f>IF(OR(A101="",NOT(ISNUMBER(TransDate))),"",A101-TransDate)</f>
        <v/>
      </c>
    </row>
    <row r="102">
      <c r="A102" s="14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0">
        <f>IF(OR(A102="",NOT(ISNUMBER(TransDate))),"",A102-TransDate)</f>
        <v/>
      </c>
    </row>
    <row r="103">
      <c r="A103" s="14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0">
        <f>IF(OR(A103="",NOT(ISNUMBER(TransDate))),"",A103-TransDate)</f>
        <v/>
      </c>
    </row>
    <row r="104">
      <c r="A104" s="14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0">
        <f>IF(OR(A104="",NOT(ISNUMBER(TransDate))),"",A104-TransDate)</f>
        <v/>
      </c>
    </row>
    <row r="105">
      <c r="A105" s="14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0">
        <f>IF(OR(A105="",NOT(ISNUMBER(TransDate))),"",A105-TransDate)</f>
        <v/>
      </c>
    </row>
    <row r="106">
      <c r="A106" s="14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0">
        <f>IF(OR(A106="",NOT(ISNUMBER(TransDate))),"",A106-TransDate)</f>
        <v/>
      </c>
    </row>
    <row r="107">
      <c r="A107" s="14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0">
        <f>IF(OR(A107="",NOT(ISNUMBER(TransDate))),"",A107-TransDate)</f>
        <v/>
      </c>
    </row>
    <row r="108">
      <c r="A108" s="14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0">
        <f>IF(OR(A108="",NOT(ISNUMBER(TransDate))),"",A108-TransDate)</f>
        <v/>
      </c>
    </row>
    <row r="109">
      <c r="A109" s="14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0">
        <f>IF(OR(A109="",NOT(ISNUMBER(TransDate))),"",A109-TransDate)</f>
        <v/>
      </c>
    </row>
    <row r="110">
      <c r="A110" s="14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0">
        <f>IF(OR(A110="",NOT(ISNUMBER(TransDate))),"",A110-TransDate)</f>
        <v/>
      </c>
    </row>
    <row r="111">
      <c r="A111" s="14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0">
        <f>IF(OR(A111="",NOT(ISNUMBER(TransDate))),"",A111-TransDate)</f>
        <v/>
      </c>
    </row>
    <row r="112">
      <c r="A112" s="14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0">
        <f>IF(OR(A112="",NOT(ISNUMBER(TransDate))),"",A112-TransDate)</f>
        <v/>
      </c>
    </row>
    <row r="113">
      <c r="A113" s="14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0">
        <f>IF(OR(A113="",NOT(ISNUMBER(TransDate))),"",A113-TransDate)</f>
        <v/>
      </c>
    </row>
    <row r="114">
      <c r="A114" s="14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0">
        <f>IF(OR(A114="",NOT(ISNUMBER(TransDate))),"",A114-TransDate)</f>
        <v/>
      </c>
    </row>
    <row r="115">
      <c r="A115" s="14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0">
        <f>IF(OR(A115="",NOT(ISNUMBER(TransDate))),"",A115-TransDate)</f>
        <v/>
      </c>
    </row>
    <row r="116">
      <c r="A116" s="14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0">
        <f>IF(OR(A116="",NOT(ISNUMBER(TransDate))),"",A116-TransDate)</f>
        <v/>
      </c>
    </row>
    <row r="117">
      <c r="A117" s="14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0">
        <f>IF(OR(A117="",NOT(ISNUMBER(TransDate))),"",A117-TransDate)</f>
        <v/>
      </c>
    </row>
    <row r="118">
      <c r="A118" s="14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0">
        <f>IF(OR(A118="",NOT(ISNUMBER(TransDate))),"",A118-TransDate)</f>
        <v/>
      </c>
    </row>
    <row r="119">
      <c r="A119" s="14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0">
        <f>IF(OR(A119="",NOT(ISNUMBER(TransDate))),"",A119-TransDate)</f>
        <v/>
      </c>
    </row>
    <row r="120">
      <c r="A120" s="14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0">
        <f>IF(OR(A120="",NOT(ISNUMBER(TransDate))),"",A120-TransDate)</f>
        <v/>
      </c>
    </row>
  </sheetData>
  <conditionalFormatting sqref="B2:B120">
    <cfRule type="expression" priority="1" dxfId="3">
      <formula>AND($A2&lt;&gt;"",$B2="")</formula>
    </cfRule>
  </conditionalFormatting>
  <dataValidations count="2">
    <dataValidation sqref="B2:B120" showDropDown="0" showInputMessage="0" showErrorMessage="0" allowBlank="1" type="list">
      <formula1>"FP,3F4D+MD,Both"</formula1>
    </dataValidation>
    <dataValidation sqref="A2:A120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22" customWidth="1" min="4" max="4"/>
    <col width="20" customWidth="1" min="5" max="5"/>
    <col width="24" customWidth="1" min="6" max="6"/>
    <col width="7" customWidth="1" min="7" max="7"/>
  </cols>
  <sheetData>
    <row r="1">
      <c r="A1" s="5" t="inlineStr">
        <is>
          <t>Date / তারিখ</t>
        </is>
      </c>
      <c r="B1" s="5" t="inlineStr">
        <is>
          <t>Plot / প্লট</t>
        </is>
      </c>
      <c r="C1" s="5" t="inlineStr">
        <is>
          <t>Type / ধরন</t>
        </is>
      </c>
      <c r="D1" s="5" t="inlineStr">
        <is>
          <t>Chemical name * / রাসায়নিক</t>
        </is>
      </c>
      <c r="E1" s="5" t="inlineStr">
        <is>
          <t>Purpose / উদ্দেশ্য</t>
        </is>
      </c>
      <c r="F1" s="5" t="inlineStr">
        <is>
          <t>Note / মন্তব্য</t>
        </is>
      </c>
      <c r="G1" s="5" t="inlineStr">
        <is>
          <t>DAT</t>
        </is>
      </c>
    </row>
    <row r="2">
      <c r="A2" s="14" t="n"/>
      <c r="B2" s="15" t="n"/>
      <c r="C2" s="15" t="n"/>
      <c r="D2" s="15" t="n"/>
      <c r="E2" s="15" t="n"/>
      <c r="F2" s="15" t="n"/>
      <c r="G2" s="10">
        <f>IF(OR(A2="",NOT(ISNUMBER(TransDate))),"",A2-TransDate)</f>
        <v/>
      </c>
    </row>
    <row r="3">
      <c r="A3" s="14" t="n"/>
      <c r="B3" s="15" t="n"/>
      <c r="C3" s="15" t="n"/>
      <c r="D3" s="15" t="n"/>
      <c r="E3" s="15" t="n"/>
      <c r="F3" s="15" t="n"/>
      <c r="G3" s="10">
        <f>IF(OR(A3="",NOT(ISNUMBER(TransDate))),"",A3-TransDate)</f>
        <v/>
      </c>
    </row>
    <row r="4">
      <c r="A4" s="14" t="n"/>
      <c r="B4" s="15" t="n"/>
      <c r="C4" s="15" t="n"/>
      <c r="D4" s="15" t="n"/>
      <c r="E4" s="15" t="n"/>
      <c r="F4" s="15" t="n"/>
      <c r="G4" s="10">
        <f>IF(OR(A4="",NOT(ISNUMBER(TransDate))),"",A4-TransDate)</f>
        <v/>
      </c>
    </row>
    <row r="5">
      <c r="A5" s="14" t="n"/>
      <c r="B5" s="15" t="n"/>
      <c r="C5" s="15" t="n"/>
      <c r="D5" s="15" t="n"/>
      <c r="E5" s="15" t="n"/>
      <c r="F5" s="15" t="n"/>
      <c r="G5" s="10">
        <f>IF(OR(A5="",NOT(ISNUMBER(TransDate))),"",A5-TransDate)</f>
        <v/>
      </c>
    </row>
    <row r="6">
      <c r="A6" s="14" t="n"/>
      <c r="B6" s="15" t="n"/>
      <c r="C6" s="15" t="n"/>
      <c r="D6" s="15" t="n"/>
      <c r="E6" s="15" t="n"/>
      <c r="F6" s="15" t="n"/>
      <c r="G6" s="10">
        <f>IF(OR(A6="",NOT(ISNUMBER(TransDate))),"",A6-TransDate)</f>
        <v/>
      </c>
    </row>
    <row r="7">
      <c r="A7" s="14" t="n"/>
      <c r="B7" s="15" t="n"/>
      <c r="C7" s="15" t="n"/>
      <c r="D7" s="15" t="n"/>
      <c r="E7" s="15" t="n"/>
      <c r="F7" s="15" t="n"/>
      <c r="G7" s="10">
        <f>IF(OR(A7="",NOT(ISNUMBER(TransDate))),"",A7-TransDate)</f>
        <v/>
      </c>
    </row>
    <row r="8">
      <c r="A8" s="14" t="n"/>
      <c r="B8" s="15" t="n"/>
      <c r="C8" s="15" t="n"/>
      <c r="D8" s="15" t="n"/>
      <c r="E8" s="15" t="n"/>
      <c r="F8" s="15" t="n"/>
      <c r="G8" s="10">
        <f>IF(OR(A8="",NOT(ISNUMBER(TransDate))),"",A8-TransDate)</f>
        <v/>
      </c>
    </row>
    <row r="9">
      <c r="A9" s="14" t="n"/>
      <c r="B9" s="15" t="n"/>
      <c r="C9" s="15" t="n"/>
      <c r="D9" s="15" t="n"/>
      <c r="E9" s="15" t="n"/>
      <c r="F9" s="15" t="n"/>
      <c r="G9" s="10">
        <f>IF(OR(A9="",NOT(ISNUMBER(TransDate))),"",A9-TransDate)</f>
        <v/>
      </c>
    </row>
    <row r="10">
      <c r="A10" s="14" t="n"/>
      <c r="B10" s="15" t="n"/>
      <c r="C10" s="15" t="n"/>
      <c r="D10" s="15" t="n"/>
      <c r="E10" s="15" t="n"/>
      <c r="F10" s="15" t="n"/>
      <c r="G10" s="10">
        <f>IF(OR(A10="",NOT(ISNUMBER(TransDate))),"",A10-TransDate)</f>
        <v/>
      </c>
    </row>
    <row r="11">
      <c r="A11" s="14" t="n"/>
      <c r="B11" s="15" t="n"/>
      <c r="C11" s="15" t="n"/>
      <c r="D11" s="15" t="n"/>
      <c r="E11" s="15" t="n"/>
      <c r="F11" s="15" t="n"/>
      <c r="G11" s="10">
        <f>IF(OR(A11="",NOT(ISNUMBER(TransDate))),"",A11-TransDate)</f>
        <v/>
      </c>
    </row>
    <row r="12">
      <c r="A12" s="14" t="n"/>
      <c r="B12" s="15" t="n"/>
      <c r="C12" s="15" t="n"/>
      <c r="D12" s="15" t="n"/>
      <c r="E12" s="15" t="n"/>
      <c r="F12" s="15" t="n"/>
      <c r="G12" s="10">
        <f>IF(OR(A12="",NOT(ISNUMBER(TransDate))),"",A12-TransDate)</f>
        <v/>
      </c>
    </row>
    <row r="13">
      <c r="A13" s="14" t="n"/>
      <c r="B13" s="15" t="n"/>
      <c r="C13" s="15" t="n"/>
      <c r="D13" s="15" t="n"/>
      <c r="E13" s="15" t="n"/>
      <c r="F13" s="15" t="n"/>
      <c r="G13" s="10">
        <f>IF(OR(A13="",NOT(ISNUMBER(TransDate))),"",A13-TransDate)</f>
        <v/>
      </c>
    </row>
    <row r="14">
      <c r="A14" s="14" t="n"/>
      <c r="B14" s="15" t="n"/>
      <c r="C14" s="15" t="n"/>
      <c r="D14" s="15" t="n"/>
      <c r="E14" s="15" t="n"/>
      <c r="F14" s="15" t="n"/>
      <c r="G14" s="10">
        <f>IF(OR(A14="",NOT(ISNUMBER(TransDate))),"",A14-TransDate)</f>
        <v/>
      </c>
    </row>
    <row r="15">
      <c r="A15" s="14" t="n"/>
      <c r="B15" s="15" t="n"/>
      <c r="C15" s="15" t="n"/>
      <c r="D15" s="15" t="n"/>
      <c r="E15" s="15" t="n"/>
      <c r="F15" s="15" t="n"/>
      <c r="G15" s="10">
        <f>IF(OR(A15="",NOT(ISNUMBER(TransDate))),"",A15-TransDate)</f>
        <v/>
      </c>
    </row>
    <row r="16">
      <c r="A16" s="14" t="n"/>
      <c r="B16" s="15" t="n"/>
      <c r="C16" s="15" t="n"/>
      <c r="D16" s="15" t="n"/>
      <c r="E16" s="15" t="n"/>
      <c r="F16" s="15" t="n"/>
      <c r="G16" s="10">
        <f>IF(OR(A16="",NOT(ISNUMBER(TransDate))),"",A16-TransDate)</f>
        <v/>
      </c>
    </row>
    <row r="17">
      <c r="A17" s="14" t="n"/>
      <c r="B17" s="15" t="n"/>
      <c r="C17" s="15" t="n"/>
      <c r="D17" s="15" t="n"/>
      <c r="E17" s="15" t="n"/>
      <c r="F17" s="15" t="n"/>
      <c r="G17" s="10">
        <f>IF(OR(A17="",NOT(ISNUMBER(TransDate))),"",A17-TransDate)</f>
        <v/>
      </c>
    </row>
    <row r="18">
      <c r="A18" s="14" t="n"/>
      <c r="B18" s="15" t="n"/>
      <c r="C18" s="15" t="n"/>
      <c r="D18" s="15" t="n"/>
      <c r="E18" s="15" t="n"/>
      <c r="F18" s="15" t="n"/>
      <c r="G18" s="10">
        <f>IF(OR(A18="",NOT(ISNUMBER(TransDate))),"",A18-TransDate)</f>
        <v/>
      </c>
    </row>
    <row r="19">
      <c r="A19" s="14" t="n"/>
      <c r="B19" s="15" t="n"/>
      <c r="C19" s="15" t="n"/>
      <c r="D19" s="15" t="n"/>
      <c r="E19" s="15" t="n"/>
      <c r="F19" s="15" t="n"/>
      <c r="G19" s="10">
        <f>IF(OR(A19="",NOT(ISNUMBER(TransDate))),"",A19-TransDate)</f>
        <v/>
      </c>
    </row>
    <row r="20">
      <c r="A20" s="14" t="n"/>
      <c r="B20" s="15" t="n"/>
      <c r="C20" s="15" t="n"/>
      <c r="D20" s="15" t="n"/>
      <c r="E20" s="15" t="n"/>
      <c r="F20" s="15" t="n"/>
      <c r="G20" s="10">
        <f>IF(OR(A20="",NOT(ISNUMBER(TransDate))),"",A20-TransDate)</f>
        <v/>
      </c>
    </row>
    <row r="21">
      <c r="A21" s="14" t="n"/>
      <c r="B21" s="15" t="n"/>
      <c r="C21" s="15" t="n"/>
      <c r="D21" s="15" t="n"/>
      <c r="E21" s="15" t="n"/>
      <c r="F21" s="15" t="n"/>
      <c r="G21" s="10">
        <f>IF(OR(A21="",NOT(ISNUMBER(TransDate))),"",A21-TransDate)</f>
        <v/>
      </c>
    </row>
    <row r="22">
      <c r="A22" s="14" t="n"/>
      <c r="B22" s="15" t="n"/>
      <c r="C22" s="15" t="n"/>
      <c r="D22" s="15" t="n"/>
      <c r="E22" s="15" t="n"/>
      <c r="F22" s="15" t="n"/>
      <c r="G22" s="10">
        <f>IF(OR(A22="",NOT(ISNUMBER(TransDate))),"",A22-TransDate)</f>
        <v/>
      </c>
    </row>
    <row r="23">
      <c r="A23" s="14" t="n"/>
      <c r="B23" s="15" t="n"/>
      <c r="C23" s="15" t="n"/>
      <c r="D23" s="15" t="n"/>
      <c r="E23" s="15" t="n"/>
      <c r="F23" s="15" t="n"/>
      <c r="G23" s="10">
        <f>IF(OR(A23="",NOT(ISNUMBER(TransDate))),"",A23-TransDate)</f>
        <v/>
      </c>
    </row>
    <row r="24">
      <c r="A24" s="14" t="n"/>
      <c r="B24" s="15" t="n"/>
      <c r="C24" s="15" t="n"/>
      <c r="D24" s="15" t="n"/>
      <c r="E24" s="15" t="n"/>
      <c r="F24" s="15" t="n"/>
      <c r="G24" s="10">
        <f>IF(OR(A24="",NOT(ISNUMBER(TransDate))),"",A24-TransDate)</f>
        <v/>
      </c>
    </row>
    <row r="25">
      <c r="A25" s="14" t="n"/>
      <c r="B25" s="15" t="n"/>
      <c r="C25" s="15" t="n"/>
      <c r="D25" s="15" t="n"/>
      <c r="E25" s="15" t="n"/>
      <c r="F25" s="15" t="n"/>
      <c r="G25" s="10">
        <f>IF(OR(A25="",NOT(ISNUMBER(TransDate))),"",A25-TransDate)</f>
        <v/>
      </c>
    </row>
    <row r="26">
      <c r="A26" s="14" t="n"/>
      <c r="B26" s="15" t="n"/>
      <c r="C26" s="15" t="n"/>
      <c r="D26" s="15" t="n"/>
      <c r="E26" s="15" t="n"/>
      <c r="F26" s="15" t="n"/>
      <c r="G26" s="10">
        <f>IF(OR(A26="",NOT(ISNUMBER(TransDate))),"",A26-TransDate)</f>
        <v/>
      </c>
    </row>
    <row r="27">
      <c r="A27" s="14" t="n"/>
      <c r="B27" s="15" t="n"/>
      <c r="C27" s="15" t="n"/>
      <c r="D27" s="15" t="n"/>
      <c r="E27" s="15" t="n"/>
      <c r="F27" s="15" t="n"/>
      <c r="G27" s="10">
        <f>IF(OR(A27="",NOT(ISNUMBER(TransDate))),"",A27-TransDate)</f>
        <v/>
      </c>
    </row>
    <row r="28">
      <c r="A28" s="14" t="n"/>
      <c r="B28" s="15" t="n"/>
      <c r="C28" s="15" t="n"/>
      <c r="D28" s="15" t="n"/>
      <c r="E28" s="15" t="n"/>
      <c r="F28" s="15" t="n"/>
      <c r="G28" s="10">
        <f>IF(OR(A28="",NOT(ISNUMBER(TransDate))),"",A28-TransDate)</f>
        <v/>
      </c>
    </row>
    <row r="29">
      <c r="A29" s="14" t="n"/>
      <c r="B29" s="15" t="n"/>
      <c r="C29" s="15" t="n"/>
      <c r="D29" s="15" t="n"/>
      <c r="E29" s="15" t="n"/>
      <c r="F29" s="15" t="n"/>
      <c r="G29" s="10">
        <f>IF(OR(A29="",NOT(ISNUMBER(TransDate))),"",A29-TransDate)</f>
        <v/>
      </c>
    </row>
    <row r="30">
      <c r="A30" s="14" t="n"/>
      <c r="B30" s="15" t="n"/>
      <c r="C30" s="15" t="n"/>
      <c r="D30" s="15" t="n"/>
      <c r="E30" s="15" t="n"/>
      <c r="F30" s="15" t="n"/>
      <c r="G30" s="10">
        <f>IF(OR(A30="",NOT(ISNUMBER(TransDate))),"",A30-TransDate)</f>
        <v/>
      </c>
    </row>
    <row r="31">
      <c r="A31" s="14" t="n"/>
      <c r="B31" s="15" t="n"/>
      <c r="C31" s="15" t="n"/>
      <c r="D31" s="15" t="n"/>
      <c r="E31" s="15" t="n"/>
      <c r="F31" s="15" t="n"/>
      <c r="G31" s="10">
        <f>IF(OR(A31="",NOT(ISNUMBER(TransDate))),"",A31-TransDate)</f>
        <v/>
      </c>
    </row>
    <row r="32">
      <c r="A32" s="14" t="n"/>
      <c r="B32" s="15" t="n"/>
      <c r="C32" s="15" t="n"/>
      <c r="D32" s="15" t="n"/>
      <c r="E32" s="15" t="n"/>
      <c r="F32" s="15" t="n"/>
      <c r="G32" s="10">
        <f>IF(OR(A32="",NOT(ISNUMBER(TransDate))),"",A32-TransDate)</f>
        <v/>
      </c>
    </row>
    <row r="33">
      <c r="A33" s="14" t="n"/>
      <c r="B33" s="15" t="n"/>
      <c r="C33" s="15" t="n"/>
      <c r="D33" s="15" t="n"/>
      <c r="E33" s="15" t="n"/>
      <c r="F33" s="15" t="n"/>
      <c r="G33" s="10">
        <f>IF(OR(A33="",NOT(ISNUMBER(TransDate))),"",A33-TransDate)</f>
        <v/>
      </c>
    </row>
    <row r="34">
      <c r="A34" s="14" t="n"/>
      <c r="B34" s="15" t="n"/>
      <c r="C34" s="15" t="n"/>
      <c r="D34" s="15" t="n"/>
      <c r="E34" s="15" t="n"/>
      <c r="F34" s="15" t="n"/>
      <c r="G34" s="10">
        <f>IF(OR(A34="",NOT(ISNUMBER(TransDate))),"",A34-TransDate)</f>
        <v/>
      </c>
    </row>
    <row r="35">
      <c r="A35" s="14" t="n"/>
      <c r="B35" s="15" t="n"/>
      <c r="C35" s="15" t="n"/>
      <c r="D35" s="15" t="n"/>
      <c r="E35" s="15" t="n"/>
      <c r="F35" s="15" t="n"/>
      <c r="G35" s="10">
        <f>IF(OR(A35="",NOT(ISNUMBER(TransDate))),"",A35-TransDate)</f>
        <v/>
      </c>
    </row>
    <row r="36">
      <c r="A36" s="14" t="n"/>
      <c r="B36" s="15" t="n"/>
      <c r="C36" s="15" t="n"/>
      <c r="D36" s="15" t="n"/>
      <c r="E36" s="15" t="n"/>
      <c r="F36" s="15" t="n"/>
      <c r="G36" s="10">
        <f>IF(OR(A36="",NOT(ISNUMBER(TransDate))),"",A36-TransDate)</f>
        <v/>
      </c>
    </row>
    <row r="37">
      <c r="A37" s="14" t="n"/>
      <c r="B37" s="15" t="n"/>
      <c r="C37" s="15" t="n"/>
      <c r="D37" s="15" t="n"/>
      <c r="E37" s="15" t="n"/>
      <c r="F37" s="15" t="n"/>
      <c r="G37" s="10">
        <f>IF(OR(A37="",NOT(ISNUMBER(TransDate))),"",A37-TransDate)</f>
        <v/>
      </c>
    </row>
    <row r="38">
      <c r="A38" s="14" t="n"/>
      <c r="B38" s="15" t="n"/>
      <c r="C38" s="15" t="n"/>
      <c r="D38" s="15" t="n"/>
      <c r="E38" s="15" t="n"/>
      <c r="F38" s="15" t="n"/>
      <c r="G38" s="10">
        <f>IF(OR(A38="",NOT(ISNUMBER(TransDate))),"",A38-TransDate)</f>
        <v/>
      </c>
    </row>
    <row r="39">
      <c r="A39" s="14" t="n"/>
      <c r="B39" s="15" t="n"/>
      <c r="C39" s="15" t="n"/>
      <c r="D39" s="15" t="n"/>
      <c r="E39" s="15" t="n"/>
      <c r="F39" s="15" t="n"/>
      <c r="G39" s="10">
        <f>IF(OR(A39="",NOT(ISNUMBER(TransDate))),"",A39-TransDate)</f>
        <v/>
      </c>
    </row>
    <row r="40">
      <c r="A40" s="14" t="n"/>
      <c r="B40" s="15" t="n"/>
      <c r="C40" s="15" t="n"/>
      <c r="D40" s="15" t="n"/>
      <c r="E40" s="15" t="n"/>
      <c r="F40" s="15" t="n"/>
      <c r="G40" s="10">
        <f>IF(OR(A40="",NOT(ISNUMBER(TransDate))),"",A40-TransDate)</f>
        <v/>
      </c>
    </row>
    <row r="41">
      <c r="A41" s="14" t="n"/>
      <c r="B41" s="15" t="n"/>
      <c r="C41" s="15" t="n"/>
      <c r="D41" s="15" t="n"/>
      <c r="E41" s="15" t="n"/>
      <c r="F41" s="15" t="n"/>
      <c r="G41" s="10">
        <f>IF(OR(A41="",NOT(ISNUMBER(TransDate))),"",A41-TransDate)</f>
        <v/>
      </c>
    </row>
    <row r="42">
      <c r="A42" s="14" t="n"/>
      <c r="B42" s="15" t="n"/>
      <c r="C42" s="15" t="n"/>
      <c r="D42" s="15" t="n"/>
      <c r="E42" s="15" t="n"/>
      <c r="F42" s="15" t="n"/>
      <c r="G42" s="10">
        <f>IF(OR(A42="",NOT(ISNUMBER(TransDate))),"",A42-TransDate)</f>
        <v/>
      </c>
    </row>
    <row r="43">
      <c r="A43" s="14" t="n"/>
      <c r="B43" s="15" t="n"/>
      <c r="C43" s="15" t="n"/>
      <c r="D43" s="15" t="n"/>
      <c r="E43" s="15" t="n"/>
      <c r="F43" s="15" t="n"/>
      <c r="G43" s="10">
        <f>IF(OR(A43="",NOT(ISNUMBER(TransDate))),"",A43-TransDate)</f>
        <v/>
      </c>
    </row>
    <row r="44">
      <c r="A44" s="14" t="n"/>
      <c r="B44" s="15" t="n"/>
      <c r="C44" s="15" t="n"/>
      <c r="D44" s="15" t="n"/>
      <c r="E44" s="15" t="n"/>
      <c r="F44" s="15" t="n"/>
      <c r="G44" s="10">
        <f>IF(OR(A44="",NOT(ISNUMBER(TransDate))),"",A44-TransDate)</f>
        <v/>
      </c>
    </row>
    <row r="45">
      <c r="A45" s="14" t="n"/>
      <c r="B45" s="15" t="n"/>
      <c r="C45" s="15" t="n"/>
      <c r="D45" s="15" t="n"/>
      <c r="E45" s="15" t="n"/>
      <c r="F45" s="15" t="n"/>
      <c r="G45" s="10">
        <f>IF(OR(A45="",NOT(ISNUMBER(TransDate))),"",A45-TransDate)</f>
        <v/>
      </c>
    </row>
    <row r="46">
      <c r="A46" s="14" t="n"/>
      <c r="B46" s="15" t="n"/>
      <c r="C46" s="15" t="n"/>
      <c r="D46" s="15" t="n"/>
      <c r="E46" s="15" t="n"/>
      <c r="F46" s="15" t="n"/>
      <c r="G46" s="10">
        <f>IF(OR(A46="",NOT(ISNUMBER(TransDate))),"",A46-TransDate)</f>
        <v/>
      </c>
    </row>
    <row r="47">
      <c r="A47" s="14" t="n"/>
      <c r="B47" s="15" t="n"/>
      <c r="C47" s="15" t="n"/>
      <c r="D47" s="15" t="n"/>
      <c r="E47" s="15" t="n"/>
      <c r="F47" s="15" t="n"/>
      <c r="G47" s="10">
        <f>IF(OR(A47="",NOT(ISNUMBER(TransDate))),"",A47-TransDate)</f>
        <v/>
      </c>
    </row>
    <row r="48">
      <c r="A48" s="14" t="n"/>
      <c r="B48" s="15" t="n"/>
      <c r="C48" s="15" t="n"/>
      <c r="D48" s="15" t="n"/>
      <c r="E48" s="15" t="n"/>
      <c r="F48" s="15" t="n"/>
      <c r="G48" s="10">
        <f>IF(OR(A48="",NOT(ISNUMBER(TransDate))),"",A48-TransDate)</f>
        <v/>
      </c>
    </row>
    <row r="49">
      <c r="A49" s="14" t="n"/>
      <c r="B49" s="15" t="n"/>
      <c r="C49" s="15" t="n"/>
      <c r="D49" s="15" t="n"/>
      <c r="E49" s="15" t="n"/>
      <c r="F49" s="15" t="n"/>
      <c r="G49" s="10">
        <f>IF(OR(A49="",NOT(ISNUMBER(TransDate))),"",A49-TransDate)</f>
        <v/>
      </c>
    </row>
    <row r="50">
      <c r="A50" s="14" t="n"/>
      <c r="B50" s="15" t="n"/>
      <c r="C50" s="15" t="n"/>
      <c r="D50" s="15" t="n"/>
      <c r="E50" s="15" t="n"/>
      <c r="F50" s="15" t="n"/>
      <c r="G50" s="10">
        <f>IF(OR(A50="",NOT(ISNUMBER(TransDate))),"",A50-TransDate)</f>
        <v/>
      </c>
    </row>
    <row r="51">
      <c r="A51" s="14" t="n"/>
      <c r="B51" s="15" t="n"/>
      <c r="C51" s="15" t="n"/>
      <c r="D51" s="15" t="n"/>
      <c r="E51" s="15" t="n"/>
      <c r="F51" s="15" t="n"/>
      <c r="G51" s="10">
        <f>IF(OR(A51="",NOT(ISNUMBER(TransDate))),"",A51-TransDate)</f>
        <v/>
      </c>
    </row>
    <row r="52">
      <c r="A52" s="14" t="n"/>
      <c r="B52" s="15" t="n"/>
      <c r="C52" s="15" t="n"/>
      <c r="D52" s="15" t="n"/>
      <c r="E52" s="15" t="n"/>
      <c r="F52" s="15" t="n"/>
      <c r="G52" s="10">
        <f>IF(OR(A52="",NOT(ISNUMBER(TransDate))),"",A52-TransDate)</f>
        <v/>
      </c>
    </row>
    <row r="53">
      <c r="A53" s="14" t="n"/>
      <c r="B53" s="15" t="n"/>
      <c r="C53" s="15" t="n"/>
      <c r="D53" s="15" t="n"/>
      <c r="E53" s="15" t="n"/>
      <c r="F53" s="15" t="n"/>
      <c r="G53" s="10">
        <f>IF(OR(A53="",NOT(ISNUMBER(TransDate))),"",A53-TransDate)</f>
        <v/>
      </c>
    </row>
    <row r="54">
      <c r="A54" s="14" t="n"/>
      <c r="B54" s="15" t="n"/>
      <c r="C54" s="15" t="n"/>
      <c r="D54" s="15" t="n"/>
      <c r="E54" s="15" t="n"/>
      <c r="F54" s="15" t="n"/>
      <c r="G54" s="10">
        <f>IF(OR(A54="",NOT(ISNUMBER(TransDate))),"",A54-TransDate)</f>
        <v/>
      </c>
    </row>
    <row r="55">
      <c r="A55" s="14" t="n"/>
      <c r="B55" s="15" t="n"/>
      <c r="C55" s="15" t="n"/>
      <c r="D55" s="15" t="n"/>
      <c r="E55" s="15" t="n"/>
      <c r="F55" s="15" t="n"/>
      <c r="G55" s="10">
        <f>IF(OR(A55="",NOT(ISNUMBER(TransDate))),"",A55-TransDate)</f>
        <v/>
      </c>
    </row>
    <row r="56">
      <c r="A56" s="14" t="n"/>
      <c r="B56" s="15" t="n"/>
      <c r="C56" s="15" t="n"/>
      <c r="D56" s="15" t="n"/>
      <c r="E56" s="15" t="n"/>
      <c r="F56" s="15" t="n"/>
      <c r="G56" s="10">
        <f>IF(OR(A56="",NOT(ISNUMBER(TransDate))),"",A56-TransDate)</f>
        <v/>
      </c>
    </row>
    <row r="57">
      <c r="A57" s="14" t="n"/>
      <c r="B57" s="15" t="n"/>
      <c r="C57" s="15" t="n"/>
      <c r="D57" s="15" t="n"/>
      <c r="E57" s="15" t="n"/>
      <c r="F57" s="15" t="n"/>
      <c r="G57" s="10">
        <f>IF(OR(A57="",NOT(ISNUMBER(TransDate))),"",A57-TransDate)</f>
        <v/>
      </c>
    </row>
    <row r="58">
      <c r="A58" s="14" t="n"/>
      <c r="B58" s="15" t="n"/>
      <c r="C58" s="15" t="n"/>
      <c r="D58" s="15" t="n"/>
      <c r="E58" s="15" t="n"/>
      <c r="F58" s="15" t="n"/>
      <c r="G58" s="10">
        <f>IF(OR(A58="",NOT(ISNUMBER(TransDate))),"",A58-TransDate)</f>
        <v/>
      </c>
    </row>
    <row r="59">
      <c r="A59" s="14" t="n"/>
      <c r="B59" s="15" t="n"/>
      <c r="C59" s="15" t="n"/>
      <c r="D59" s="15" t="n"/>
      <c r="E59" s="15" t="n"/>
      <c r="F59" s="15" t="n"/>
      <c r="G59" s="10">
        <f>IF(OR(A59="",NOT(ISNUMBER(TransDate))),"",A59-TransDate)</f>
        <v/>
      </c>
    </row>
    <row r="60">
      <c r="A60" s="14" t="n"/>
      <c r="B60" s="15" t="n"/>
      <c r="C60" s="15" t="n"/>
      <c r="D60" s="15" t="n"/>
      <c r="E60" s="15" t="n"/>
      <c r="F60" s="15" t="n"/>
      <c r="G60" s="10">
        <f>IF(OR(A60="",NOT(ISNUMBER(TransDate))),"",A60-TransDate)</f>
        <v/>
      </c>
    </row>
    <row r="61">
      <c r="A61" s="14" t="n"/>
      <c r="B61" s="15" t="n"/>
      <c r="C61" s="15" t="n"/>
      <c r="D61" s="15" t="n"/>
      <c r="E61" s="15" t="n"/>
      <c r="F61" s="15" t="n"/>
      <c r="G61" s="10">
        <f>IF(OR(A61="",NOT(ISNUMBER(TransDate))),"",A61-TransDate)</f>
        <v/>
      </c>
    </row>
    <row r="62">
      <c r="A62" s="14" t="n"/>
      <c r="B62" s="15" t="n"/>
      <c r="C62" s="15" t="n"/>
      <c r="D62" s="15" t="n"/>
      <c r="E62" s="15" t="n"/>
      <c r="F62" s="15" t="n"/>
      <c r="G62" s="10">
        <f>IF(OR(A62="",NOT(ISNUMBER(TransDate))),"",A62-TransDate)</f>
        <v/>
      </c>
    </row>
    <row r="63">
      <c r="A63" s="14" t="n"/>
      <c r="B63" s="15" t="n"/>
      <c r="C63" s="15" t="n"/>
      <c r="D63" s="15" t="n"/>
      <c r="E63" s="15" t="n"/>
      <c r="F63" s="15" t="n"/>
      <c r="G63" s="10">
        <f>IF(OR(A63="",NOT(ISNUMBER(TransDate))),"",A63-TransDate)</f>
        <v/>
      </c>
    </row>
    <row r="64">
      <c r="A64" s="14" t="n"/>
      <c r="B64" s="15" t="n"/>
      <c r="C64" s="15" t="n"/>
      <c r="D64" s="15" t="n"/>
      <c r="E64" s="15" t="n"/>
      <c r="F64" s="15" t="n"/>
      <c r="G64" s="10">
        <f>IF(OR(A64="",NOT(ISNUMBER(TransDate))),"",A64-TransDate)</f>
        <v/>
      </c>
    </row>
    <row r="65">
      <c r="A65" s="14" t="n"/>
      <c r="B65" s="15" t="n"/>
      <c r="C65" s="15" t="n"/>
      <c r="D65" s="15" t="n"/>
      <c r="E65" s="15" t="n"/>
      <c r="F65" s="15" t="n"/>
      <c r="G65" s="10">
        <f>IF(OR(A65="",NOT(ISNUMBER(TransDate))),"",A65-TransDate)</f>
        <v/>
      </c>
    </row>
    <row r="66">
      <c r="A66" s="14" t="n"/>
      <c r="B66" s="15" t="n"/>
      <c r="C66" s="15" t="n"/>
      <c r="D66" s="15" t="n"/>
      <c r="E66" s="15" t="n"/>
      <c r="F66" s="15" t="n"/>
      <c r="G66" s="10">
        <f>IF(OR(A66="",NOT(ISNUMBER(TransDate))),"",A66-TransDate)</f>
        <v/>
      </c>
    </row>
    <row r="67">
      <c r="A67" s="14" t="n"/>
      <c r="B67" s="15" t="n"/>
      <c r="C67" s="15" t="n"/>
      <c r="D67" s="15" t="n"/>
      <c r="E67" s="15" t="n"/>
      <c r="F67" s="15" t="n"/>
      <c r="G67" s="10">
        <f>IF(OR(A67="",NOT(ISNUMBER(TransDate))),"",A67-TransDate)</f>
        <v/>
      </c>
    </row>
    <row r="68">
      <c r="A68" s="14" t="n"/>
      <c r="B68" s="15" t="n"/>
      <c r="C68" s="15" t="n"/>
      <c r="D68" s="15" t="n"/>
      <c r="E68" s="15" t="n"/>
      <c r="F68" s="15" t="n"/>
      <c r="G68" s="10">
        <f>IF(OR(A68="",NOT(ISNUMBER(TransDate))),"",A68-TransDate)</f>
        <v/>
      </c>
    </row>
    <row r="69">
      <c r="A69" s="14" t="n"/>
      <c r="B69" s="15" t="n"/>
      <c r="C69" s="15" t="n"/>
      <c r="D69" s="15" t="n"/>
      <c r="E69" s="15" t="n"/>
      <c r="F69" s="15" t="n"/>
      <c r="G69" s="10">
        <f>IF(OR(A69="",NOT(ISNUMBER(TransDate))),"",A69-TransDate)</f>
        <v/>
      </c>
    </row>
    <row r="70">
      <c r="A70" s="14" t="n"/>
      <c r="B70" s="15" t="n"/>
      <c r="C70" s="15" t="n"/>
      <c r="D70" s="15" t="n"/>
      <c r="E70" s="15" t="n"/>
      <c r="F70" s="15" t="n"/>
      <c r="G70" s="10">
        <f>IF(OR(A70="",NOT(ISNUMBER(TransDate))),"",A70-TransDate)</f>
        <v/>
      </c>
    </row>
    <row r="71">
      <c r="A71" s="14" t="n"/>
      <c r="B71" s="15" t="n"/>
      <c r="C71" s="15" t="n"/>
      <c r="D71" s="15" t="n"/>
      <c r="E71" s="15" t="n"/>
      <c r="F71" s="15" t="n"/>
      <c r="G71" s="10">
        <f>IF(OR(A71="",NOT(ISNUMBER(TransDate))),"",A71-TransDate)</f>
        <v/>
      </c>
    </row>
    <row r="72">
      <c r="A72" s="14" t="n"/>
      <c r="B72" s="15" t="n"/>
      <c r="C72" s="15" t="n"/>
      <c r="D72" s="15" t="n"/>
      <c r="E72" s="15" t="n"/>
      <c r="F72" s="15" t="n"/>
      <c r="G72" s="10">
        <f>IF(OR(A72="",NOT(ISNUMBER(TransDate))),"",A72-TransDate)</f>
        <v/>
      </c>
    </row>
    <row r="73">
      <c r="A73" s="14" t="n"/>
      <c r="B73" s="15" t="n"/>
      <c r="C73" s="15" t="n"/>
      <c r="D73" s="15" t="n"/>
      <c r="E73" s="15" t="n"/>
      <c r="F73" s="15" t="n"/>
      <c r="G73" s="10">
        <f>IF(OR(A73="",NOT(ISNUMBER(TransDate))),"",A73-TransDate)</f>
        <v/>
      </c>
    </row>
    <row r="74">
      <c r="A74" s="14" t="n"/>
      <c r="B74" s="15" t="n"/>
      <c r="C74" s="15" t="n"/>
      <c r="D74" s="15" t="n"/>
      <c r="E74" s="15" t="n"/>
      <c r="F74" s="15" t="n"/>
      <c r="G74" s="10">
        <f>IF(OR(A74="",NOT(ISNUMBER(TransDate))),"",A74-TransDate)</f>
        <v/>
      </c>
    </row>
    <row r="75">
      <c r="A75" s="14" t="n"/>
      <c r="B75" s="15" t="n"/>
      <c r="C75" s="15" t="n"/>
      <c r="D75" s="15" t="n"/>
      <c r="E75" s="15" t="n"/>
      <c r="F75" s="15" t="n"/>
      <c r="G75" s="10">
        <f>IF(OR(A75="",NOT(ISNUMBER(TransDate))),"",A75-TransDate)</f>
        <v/>
      </c>
    </row>
    <row r="76">
      <c r="A76" s="14" t="n"/>
      <c r="B76" s="15" t="n"/>
      <c r="C76" s="15" t="n"/>
      <c r="D76" s="15" t="n"/>
      <c r="E76" s="15" t="n"/>
      <c r="F76" s="15" t="n"/>
      <c r="G76" s="10">
        <f>IF(OR(A76="",NOT(ISNUMBER(TransDate))),"",A76-TransDate)</f>
        <v/>
      </c>
    </row>
    <row r="77">
      <c r="A77" s="14" t="n"/>
      <c r="B77" s="15" t="n"/>
      <c r="C77" s="15" t="n"/>
      <c r="D77" s="15" t="n"/>
      <c r="E77" s="15" t="n"/>
      <c r="F77" s="15" t="n"/>
      <c r="G77" s="10">
        <f>IF(OR(A77="",NOT(ISNUMBER(TransDate))),"",A77-TransDate)</f>
        <v/>
      </c>
    </row>
    <row r="78">
      <c r="A78" s="14" t="n"/>
      <c r="B78" s="15" t="n"/>
      <c r="C78" s="15" t="n"/>
      <c r="D78" s="15" t="n"/>
      <c r="E78" s="15" t="n"/>
      <c r="F78" s="15" t="n"/>
      <c r="G78" s="10">
        <f>IF(OR(A78="",NOT(ISNUMBER(TransDate))),"",A78-TransDate)</f>
        <v/>
      </c>
    </row>
    <row r="79">
      <c r="A79" s="14" t="n"/>
      <c r="B79" s="15" t="n"/>
      <c r="C79" s="15" t="n"/>
      <c r="D79" s="15" t="n"/>
      <c r="E79" s="15" t="n"/>
      <c r="F79" s="15" t="n"/>
      <c r="G79" s="10">
        <f>IF(OR(A79="",NOT(ISNUMBER(TransDate))),"",A79-TransDate)</f>
        <v/>
      </c>
    </row>
    <row r="80">
      <c r="A80" s="14" t="n"/>
      <c r="B80" s="15" t="n"/>
      <c r="C80" s="15" t="n"/>
      <c r="D80" s="15" t="n"/>
      <c r="E80" s="15" t="n"/>
      <c r="F80" s="15" t="n"/>
      <c r="G80" s="10">
        <f>IF(OR(A80="",NOT(ISNUMBER(TransDate))),"",A80-TransDate)</f>
        <v/>
      </c>
    </row>
    <row r="81">
      <c r="A81" s="14" t="n"/>
      <c r="B81" s="15" t="n"/>
      <c r="C81" s="15" t="n"/>
      <c r="D81" s="15" t="n"/>
      <c r="E81" s="15" t="n"/>
      <c r="F81" s="15" t="n"/>
      <c r="G81" s="10">
        <f>IF(OR(A81="",NOT(ISNUMBER(TransDate))),"",A81-TransDate)</f>
        <v/>
      </c>
    </row>
    <row r="82">
      <c r="A82" s="14" t="n"/>
      <c r="B82" s="15" t="n"/>
      <c r="C82" s="15" t="n"/>
      <c r="D82" s="15" t="n"/>
      <c r="E82" s="15" t="n"/>
      <c r="F82" s="15" t="n"/>
      <c r="G82" s="10">
        <f>IF(OR(A82="",NOT(ISNUMBER(TransDate))),"",A82-TransDate)</f>
        <v/>
      </c>
    </row>
    <row r="83">
      <c r="A83" s="14" t="n"/>
      <c r="B83" s="15" t="n"/>
      <c r="C83" s="15" t="n"/>
      <c r="D83" s="15" t="n"/>
      <c r="E83" s="15" t="n"/>
      <c r="F83" s="15" t="n"/>
      <c r="G83" s="10">
        <f>IF(OR(A83="",NOT(ISNUMBER(TransDate))),"",A83-TransDate)</f>
        <v/>
      </c>
    </row>
    <row r="84">
      <c r="A84" s="14" t="n"/>
      <c r="B84" s="15" t="n"/>
      <c r="C84" s="15" t="n"/>
      <c r="D84" s="15" t="n"/>
      <c r="E84" s="15" t="n"/>
      <c r="F84" s="15" t="n"/>
      <c r="G84" s="10">
        <f>IF(OR(A84="",NOT(ISNUMBER(TransDate))),"",A84-TransDate)</f>
        <v/>
      </c>
    </row>
    <row r="85">
      <c r="A85" s="14" t="n"/>
      <c r="B85" s="15" t="n"/>
      <c r="C85" s="15" t="n"/>
      <c r="D85" s="15" t="n"/>
      <c r="E85" s="15" t="n"/>
      <c r="F85" s="15" t="n"/>
      <c r="G85" s="10">
        <f>IF(OR(A85="",NOT(ISNUMBER(TransDate))),"",A85-TransDate)</f>
        <v/>
      </c>
    </row>
    <row r="86">
      <c r="A86" s="14" t="n"/>
      <c r="B86" s="15" t="n"/>
      <c r="C86" s="15" t="n"/>
      <c r="D86" s="15" t="n"/>
      <c r="E86" s="15" t="n"/>
      <c r="F86" s="15" t="n"/>
      <c r="G86" s="10">
        <f>IF(OR(A86="",NOT(ISNUMBER(TransDate))),"",A86-TransDate)</f>
        <v/>
      </c>
    </row>
    <row r="87">
      <c r="A87" s="14" t="n"/>
      <c r="B87" s="15" t="n"/>
      <c r="C87" s="15" t="n"/>
      <c r="D87" s="15" t="n"/>
      <c r="E87" s="15" t="n"/>
      <c r="F87" s="15" t="n"/>
      <c r="G87" s="10">
        <f>IF(OR(A87="",NOT(ISNUMBER(TransDate))),"",A87-TransDate)</f>
        <v/>
      </c>
    </row>
    <row r="88">
      <c r="A88" s="14" t="n"/>
      <c r="B88" s="15" t="n"/>
      <c r="C88" s="15" t="n"/>
      <c r="D88" s="15" t="n"/>
      <c r="E88" s="15" t="n"/>
      <c r="F88" s="15" t="n"/>
      <c r="G88" s="10">
        <f>IF(OR(A88="",NOT(ISNUMBER(TransDate))),"",A88-TransDate)</f>
        <v/>
      </c>
    </row>
    <row r="89">
      <c r="A89" s="14" t="n"/>
      <c r="B89" s="15" t="n"/>
      <c r="C89" s="15" t="n"/>
      <c r="D89" s="15" t="n"/>
      <c r="E89" s="15" t="n"/>
      <c r="F89" s="15" t="n"/>
      <c r="G89" s="10">
        <f>IF(OR(A89="",NOT(ISNUMBER(TransDate))),"",A89-TransDate)</f>
        <v/>
      </c>
    </row>
    <row r="90">
      <c r="A90" s="14" t="n"/>
      <c r="B90" s="15" t="n"/>
      <c r="C90" s="15" t="n"/>
      <c r="D90" s="15" t="n"/>
      <c r="E90" s="15" t="n"/>
      <c r="F90" s="15" t="n"/>
      <c r="G90" s="10">
        <f>IF(OR(A90="",NOT(ISNUMBER(TransDate))),"",A90-TransDate)</f>
        <v/>
      </c>
    </row>
    <row r="91">
      <c r="A91" s="14" t="n"/>
      <c r="B91" s="15" t="n"/>
      <c r="C91" s="15" t="n"/>
      <c r="D91" s="15" t="n"/>
      <c r="E91" s="15" t="n"/>
      <c r="F91" s="15" t="n"/>
      <c r="G91" s="10">
        <f>IF(OR(A91="",NOT(ISNUMBER(TransDate))),"",A91-TransDate)</f>
        <v/>
      </c>
    </row>
    <row r="92">
      <c r="A92" s="14" t="n"/>
      <c r="B92" s="15" t="n"/>
      <c r="C92" s="15" t="n"/>
      <c r="D92" s="15" t="n"/>
      <c r="E92" s="15" t="n"/>
      <c r="F92" s="15" t="n"/>
      <c r="G92" s="10">
        <f>IF(OR(A92="",NOT(ISNUMBER(TransDate))),"",A92-TransDate)</f>
        <v/>
      </c>
    </row>
    <row r="93">
      <c r="A93" s="14" t="n"/>
      <c r="B93" s="15" t="n"/>
      <c r="C93" s="15" t="n"/>
      <c r="D93" s="15" t="n"/>
      <c r="E93" s="15" t="n"/>
      <c r="F93" s="15" t="n"/>
      <c r="G93" s="10">
        <f>IF(OR(A93="",NOT(ISNUMBER(TransDate))),"",A93-TransDate)</f>
        <v/>
      </c>
    </row>
    <row r="94">
      <c r="A94" s="14" t="n"/>
      <c r="B94" s="15" t="n"/>
      <c r="C94" s="15" t="n"/>
      <c r="D94" s="15" t="n"/>
      <c r="E94" s="15" t="n"/>
      <c r="F94" s="15" t="n"/>
      <c r="G94" s="10">
        <f>IF(OR(A94="",NOT(ISNUMBER(TransDate))),"",A94-TransDate)</f>
        <v/>
      </c>
    </row>
    <row r="95">
      <c r="A95" s="14" t="n"/>
      <c r="B95" s="15" t="n"/>
      <c r="C95" s="15" t="n"/>
      <c r="D95" s="15" t="n"/>
      <c r="E95" s="15" t="n"/>
      <c r="F95" s="15" t="n"/>
      <c r="G95" s="10">
        <f>IF(OR(A95="",NOT(ISNUMBER(TransDate))),"",A95-TransDate)</f>
        <v/>
      </c>
    </row>
    <row r="96">
      <c r="A96" s="14" t="n"/>
      <c r="B96" s="15" t="n"/>
      <c r="C96" s="15" t="n"/>
      <c r="D96" s="15" t="n"/>
      <c r="E96" s="15" t="n"/>
      <c r="F96" s="15" t="n"/>
      <c r="G96" s="10">
        <f>IF(OR(A96="",NOT(ISNUMBER(TransDate))),"",A96-TransDate)</f>
        <v/>
      </c>
    </row>
    <row r="97">
      <c r="A97" s="14" t="n"/>
      <c r="B97" s="15" t="n"/>
      <c r="C97" s="15" t="n"/>
      <c r="D97" s="15" t="n"/>
      <c r="E97" s="15" t="n"/>
      <c r="F97" s="15" t="n"/>
      <c r="G97" s="10">
        <f>IF(OR(A97="",NOT(ISNUMBER(TransDate))),"",A97-TransDate)</f>
        <v/>
      </c>
    </row>
    <row r="98">
      <c r="A98" s="14" t="n"/>
      <c r="B98" s="15" t="n"/>
      <c r="C98" s="15" t="n"/>
      <c r="D98" s="15" t="n"/>
      <c r="E98" s="15" t="n"/>
      <c r="F98" s="15" t="n"/>
      <c r="G98" s="10">
        <f>IF(OR(A98="",NOT(ISNUMBER(TransDate))),"",A98-TransDate)</f>
        <v/>
      </c>
    </row>
    <row r="99">
      <c r="A99" s="14" t="n"/>
      <c r="B99" s="15" t="n"/>
      <c r="C99" s="15" t="n"/>
      <c r="D99" s="15" t="n"/>
      <c r="E99" s="15" t="n"/>
      <c r="F99" s="15" t="n"/>
      <c r="G99" s="10">
        <f>IF(OR(A99="",NOT(ISNUMBER(TransDate))),"",A99-TransDate)</f>
        <v/>
      </c>
    </row>
    <row r="100">
      <c r="A100" s="14" t="n"/>
      <c r="B100" s="15" t="n"/>
      <c r="C100" s="15" t="n"/>
      <c r="D100" s="15" t="n"/>
      <c r="E100" s="15" t="n"/>
      <c r="F100" s="15" t="n"/>
      <c r="G100" s="10">
        <f>IF(OR(A100="",NOT(ISNUMBER(TransDate))),"",A100-TransDate)</f>
        <v/>
      </c>
    </row>
    <row r="101">
      <c r="A101" s="14" t="n"/>
      <c r="B101" s="15" t="n"/>
      <c r="C101" s="15" t="n"/>
      <c r="D101" s="15" t="n"/>
      <c r="E101" s="15" t="n"/>
      <c r="F101" s="15" t="n"/>
      <c r="G101" s="10">
        <f>IF(OR(A101="",NOT(ISNUMBER(TransDate))),"",A101-TransDate)</f>
        <v/>
      </c>
    </row>
    <row r="102">
      <c r="A102" s="14" t="n"/>
      <c r="B102" s="15" t="n"/>
      <c r="C102" s="15" t="n"/>
      <c r="D102" s="15" t="n"/>
      <c r="E102" s="15" t="n"/>
      <c r="F102" s="15" t="n"/>
      <c r="G102" s="10">
        <f>IF(OR(A102="",NOT(ISNUMBER(TransDate))),"",A102-TransDate)</f>
        <v/>
      </c>
    </row>
    <row r="103">
      <c r="A103" s="14" t="n"/>
      <c r="B103" s="15" t="n"/>
      <c r="C103" s="15" t="n"/>
      <c r="D103" s="15" t="n"/>
      <c r="E103" s="15" t="n"/>
      <c r="F103" s="15" t="n"/>
      <c r="G103" s="10">
        <f>IF(OR(A103="",NOT(ISNUMBER(TransDate))),"",A103-TransDate)</f>
        <v/>
      </c>
    </row>
    <row r="104">
      <c r="A104" s="14" t="n"/>
      <c r="B104" s="15" t="n"/>
      <c r="C104" s="15" t="n"/>
      <c r="D104" s="15" t="n"/>
      <c r="E104" s="15" t="n"/>
      <c r="F104" s="15" t="n"/>
      <c r="G104" s="10">
        <f>IF(OR(A104="",NOT(ISNUMBER(TransDate))),"",A104-TransDate)</f>
        <v/>
      </c>
    </row>
    <row r="105">
      <c r="A105" s="14" t="n"/>
      <c r="B105" s="15" t="n"/>
      <c r="C105" s="15" t="n"/>
      <c r="D105" s="15" t="n"/>
      <c r="E105" s="15" t="n"/>
      <c r="F105" s="15" t="n"/>
      <c r="G105" s="10">
        <f>IF(OR(A105="",NOT(ISNUMBER(TransDate))),"",A105-TransDate)</f>
        <v/>
      </c>
    </row>
    <row r="106">
      <c r="A106" s="14" t="n"/>
      <c r="B106" s="15" t="n"/>
      <c r="C106" s="15" t="n"/>
      <c r="D106" s="15" t="n"/>
      <c r="E106" s="15" t="n"/>
      <c r="F106" s="15" t="n"/>
      <c r="G106" s="10">
        <f>IF(OR(A106="",NOT(ISNUMBER(TransDate))),"",A106-TransDate)</f>
        <v/>
      </c>
    </row>
    <row r="107">
      <c r="A107" s="14" t="n"/>
      <c r="B107" s="15" t="n"/>
      <c r="C107" s="15" t="n"/>
      <c r="D107" s="15" t="n"/>
      <c r="E107" s="15" t="n"/>
      <c r="F107" s="15" t="n"/>
      <c r="G107" s="10">
        <f>IF(OR(A107="",NOT(ISNUMBER(TransDate))),"",A107-TransDate)</f>
        <v/>
      </c>
    </row>
    <row r="108">
      <c r="A108" s="14" t="n"/>
      <c r="B108" s="15" t="n"/>
      <c r="C108" s="15" t="n"/>
      <c r="D108" s="15" t="n"/>
      <c r="E108" s="15" t="n"/>
      <c r="F108" s="15" t="n"/>
      <c r="G108" s="10">
        <f>IF(OR(A108="",NOT(ISNUMBER(TransDate))),"",A108-TransDate)</f>
        <v/>
      </c>
    </row>
    <row r="109">
      <c r="A109" s="14" t="n"/>
      <c r="B109" s="15" t="n"/>
      <c r="C109" s="15" t="n"/>
      <c r="D109" s="15" t="n"/>
      <c r="E109" s="15" t="n"/>
      <c r="F109" s="15" t="n"/>
      <c r="G109" s="10">
        <f>IF(OR(A109="",NOT(ISNUMBER(TransDate))),"",A109-TransDate)</f>
        <v/>
      </c>
    </row>
    <row r="110">
      <c r="A110" s="14" t="n"/>
      <c r="B110" s="15" t="n"/>
      <c r="C110" s="15" t="n"/>
      <c r="D110" s="15" t="n"/>
      <c r="E110" s="15" t="n"/>
      <c r="F110" s="15" t="n"/>
      <c r="G110" s="10">
        <f>IF(OR(A110="",NOT(ISNUMBER(TransDate))),"",A110-TransDate)</f>
        <v/>
      </c>
    </row>
    <row r="111">
      <c r="A111" s="14" t="n"/>
      <c r="B111" s="15" t="n"/>
      <c r="C111" s="15" t="n"/>
      <c r="D111" s="15" t="n"/>
      <c r="E111" s="15" t="n"/>
      <c r="F111" s="15" t="n"/>
      <c r="G111" s="10">
        <f>IF(OR(A111="",NOT(ISNUMBER(TransDate))),"",A111-TransDate)</f>
        <v/>
      </c>
    </row>
    <row r="112">
      <c r="A112" s="14" t="n"/>
      <c r="B112" s="15" t="n"/>
      <c r="C112" s="15" t="n"/>
      <c r="D112" s="15" t="n"/>
      <c r="E112" s="15" t="n"/>
      <c r="F112" s="15" t="n"/>
      <c r="G112" s="10">
        <f>IF(OR(A112="",NOT(ISNUMBER(TransDate))),"",A112-TransDate)</f>
        <v/>
      </c>
    </row>
    <row r="113">
      <c r="A113" s="14" t="n"/>
      <c r="B113" s="15" t="n"/>
      <c r="C113" s="15" t="n"/>
      <c r="D113" s="15" t="n"/>
      <c r="E113" s="15" t="n"/>
      <c r="F113" s="15" t="n"/>
      <c r="G113" s="10">
        <f>IF(OR(A113="",NOT(ISNUMBER(TransDate))),"",A113-TransDate)</f>
        <v/>
      </c>
    </row>
    <row r="114">
      <c r="A114" s="14" t="n"/>
      <c r="B114" s="15" t="n"/>
      <c r="C114" s="15" t="n"/>
      <c r="D114" s="15" t="n"/>
      <c r="E114" s="15" t="n"/>
      <c r="F114" s="15" t="n"/>
      <c r="G114" s="10">
        <f>IF(OR(A114="",NOT(ISNUMBER(TransDate))),"",A114-TransDate)</f>
        <v/>
      </c>
    </row>
    <row r="115">
      <c r="A115" s="14" t="n"/>
      <c r="B115" s="15" t="n"/>
      <c r="C115" s="15" t="n"/>
      <c r="D115" s="15" t="n"/>
      <c r="E115" s="15" t="n"/>
      <c r="F115" s="15" t="n"/>
      <c r="G115" s="10">
        <f>IF(OR(A115="",NOT(ISNUMBER(TransDate))),"",A115-TransDate)</f>
        <v/>
      </c>
    </row>
    <row r="116">
      <c r="A116" s="14" t="n"/>
      <c r="B116" s="15" t="n"/>
      <c r="C116" s="15" t="n"/>
      <c r="D116" s="15" t="n"/>
      <c r="E116" s="15" t="n"/>
      <c r="F116" s="15" t="n"/>
      <c r="G116" s="10">
        <f>IF(OR(A116="",NOT(ISNUMBER(TransDate))),"",A116-TransDate)</f>
        <v/>
      </c>
    </row>
    <row r="117">
      <c r="A117" s="14" t="n"/>
      <c r="B117" s="15" t="n"/>
      <c r="C117" s="15" t="n"/>
      <c r="D117" s="15" t="n"/>
      <c r="E117" s="15" t="n"/>
      <c r="F117" s="15" t="n"/>
      <c r="G117" s="10">
        <f>IF(OR(A117="",NOT(ISNUMBER(TransDate))),"",A117-TransDate)</f>
        <v/>
      </c>
    </row>
    <row r="118">
      <c r="A118" s="14" t="n"/>
      <c r="B118" s="15" t="n"/>
      <c r="C118" s="15" t="n"/>
      <c r="D118" s="15" t="n"/>
      <c r="E118" s="15" t="n"/>
      <c r="F118" s="15" t="n"/>
      <c r="G118" s="10">
        <f>IF(OR(A118="",NOT(ISNUMBER(TransDate))),"",A118-TransDate)</f>
        <v/>
      </c>
    </row>
    <row r="119">
      <c r="A119" s="14" t="n"/>
      <c r="B119" s="15" t="n"/>
      <c r="C119" s="15" t="n"/>
      <c r="D119" s="15" t="n"/>
      <c r="E119" s="15" t="n"/>
      <c r="F119" s="15" t="n"/>
      <c r="G119" s="10">
        <f>IF(OR(A119="",NOT(ISNUMBER(TransDate))),"",A119-TransDate)</f>
        <v/>
      </c>
    </row>
    <row r="120">
      <c r="A120" s="14" t="n"/>
      <c r="B120" s="15" t="n"/>
      <c r="C120" s="15" t="n"/>
      <c r="D120" s="15" t="n"/>
      <c r="E120" s="15" t="n"/>
      <c r="F120" s="15" t="n"/>
      <c r="G120" s="10">
        <f>IF(OR(A120="",NOT(ISNUMBER(TransDate))),"",A120-TransDate)</f>
        <v/>
      </c>
    </row>
  </sheetData>
  <conditionalFormatting sqref="B2:B120">
    <cfRule type="expression" priority="1" dxfId="3">
      <formula>AND($A2&lt;&gt;"",B2="")</formula>
    </cfRule>
  </conditionalFormatting>
  <conditionalFormatting sqref="C2:C120">
    <cfRule type="expression" priority="2" dxfId="3">
      <formula>AND($A2&lt;&gt;"",C2="")</formula>
    </cfRule>
  </conditionalFormatting>
  <conditionalFormatting sqref="D2:D120">
    <cfRule type="expression" priority="3" dxfId="3">
      <formula>AND($A2&lt;&gt;"",D2="")</formula>
    </cfRule>
  </conditionalFormatting>
  <dataValidations count="2">
    <dataValidation sqref="B2:B120" showDropDown="0" showInputMessage="0" showErrorMessage="0" allowBlank="1" type="list">
      <formula1>"FP,3F4D+MD,Both"</formula1>
    </dataValidation>
    <dataValidation sqref="C2:C120" showDropDown="0" showInputMessage="0" showErrorMessage="0" allowBlank="1" type="list">
      <formula1>"Insecticide,Fungicide,Herbicide,Other"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16" customWidth="1" min="8" max="8"/>
    <col width="7" customWidth="1" min="9" max="9"/>
    <col width="9" customWidth="1" min="10" max="10"/>
    <col width="9" customWidth="1" min="11" max="11"/>
  </cols>
  <sheetData>
    <row r="1">
      <c r="A1" s="5" t="inlineStr">
        <is>
          <t>Date / তারিখ</t>
        </is>
      </c>
      <c r="B1" s="5" t="inlineStr">
        <is>
          <t>Plot / প্লট</t>
        </is>
      </c>
      <c r="C1" s="5" t="inlineStr">
        <is>
          <t>Hill 1</t>
        </is>
      </c>
      <c r="D1" s="5" t="inlineStr">
        <is>
          <t>Hill 2</t>
        </is>
      </c>
      <c r="E1" s="5" t="inlineStr">
        <is>
          <t>Hill 3</t>
        </is>
      </c>
      <c r="F1" s="5" t="inlineStr">
        <is>
          <t>Hill 4</t>
        </is>
      </c>
      <c r="G1" s="5" t="inlineStr">
        <is>
          <t>Hill 5</t>
        </is>
      </c>
      <c r="H1" s="5" t="inlineStr">
        <is>
          <t>Tillers per hill (mean of 2nd-4th largest)</t>
        </is>
      </c>
      <c r="I1" s="5" t="inlineStr">
        <is>
          <t>DAT</t>
        </is>
      </c>
      <c r="J1" s="5" t="inlineStr">
        <is>
          <t>FP (graph)</t>
        </is>
      </c>
      <c r="K1" s="5" t="inlineStr">
        <is>
          <t>3F4D+MD (graph)</t>
        </is>
      </c>
    </row>
    <row r="2">
      <c r="A2" s="14" t="n"/>
      <c r="B2" s="15" t="n"/>
      <c r="C2" s="15" t="n"/>
      <c r="D2" s="15" t="n"/>
      <c r="E2" s="15" t="n"/>
      <c r="F2" s="15" t="n"/>
      <c r="G2" s="15" t="n"/>
      <c r="H2" s="10">
        <f>IF(COUNT(C2:G2)=5,ROUND((LARGE(C2:G2,2)+LARGE(C2:G2,3)+LARGE(C2:G2,4))/3,1),"")</f>
        <v/>
      </c>
      <c r="I2" s="10">
        <f>IF(OR(A2="",NOT(ISNUMBER(TransDate))),"",A2-TransDate)</f>
        <v/>
      </c>
      <c r="J2" s="10">
        <f>IF(AND(B2="FP",ISNUMBER(H2)),H2,"")</f>
        <v/>
      </c>
      <c r="K2" s="10">
        <f>IF(AND(B2="3F4D+MD",ISNUMBER(H2)),H2,"")</f>
        <v/>
      </c>
    </row>
    <row r="3">
      <c r="A3" s="14" t="n"/>
      <c r="B3" s="15" t="n"/>
      <c r="C3" s="15" t="n"/>
      <c r="D3" s="15" t="n"/>
      <c r="E3" s="15" t="n"/>
      <c r="F3" s="15" t="n"/>
      <c r="G3" s="15" t="n"/>
      <c r="H3" s="10">
        <f>IF(COUNT(C3:G3)=5,ROUND((LARGE(C3:G3,2)+LARGE(C3:G3,3)+LARGE(C3:G3,4))/3,1),"")</f>
        <v/>
      </c>
      <c r="I3" s="10">
        <f>IF(OR(A3="",NOT(ISNUMBER(TransDate))),"",A3-TransDate)</f>
        <v/>
      </c>
      <c r="J3" s="10">
        <f>IF(AND(B3="FP",ISNUMBER(H3)),H3,"")</f>
        <v/>
      </c>
      <c r="K3" s="10">
        <f>IF(AND(B3="3F4D+MD",ISNUMBER(H3)),H3,"")</f>
        <v/>
      </c>
    </row>
    <row r="4">
      <c r="A4" s="14" t="n"/>
      <c r="B4" s="15" t="n"/>
      <c r="C4" s="15" t="n"/>
      <c r="D4" s="15" t="n"/>
      <c r="E4" s="15" t="n"/>
      <c r="F4" s="15" t="n"/>
      <c r="G4" s="15" t="n"/>
      <c r="H4" s="10">
        <f>IF(COUNT(C4:G4)=5,ROUND((LARGE(C4:G4,2)+LARGE(C4:G4,3)+LARGE(C4:G4,4))/3,1),"")</f>
        <v/>
      </c>
      <c r="I4" s="10">
        <f>IF(OR(A4="",NOT(ISNUMBER(TransDate))),"",A4-TransDate)</f>
        <v/>
      </c>
      <c r="J4" s="10">
        <f>IF(AND(B4="FP",ISNUMBER(H4)),H4,"")</f>
        <v/>
      </c>
      <c r="K4" s="10">
        <f>IF(AND(B4="3F4D+MD",ISNUMBER(H4)),H4,"")</f>
        <v/>
      </c>
    </row>
    <row r="5">
      <c r="A5" s="14" t="n"/>
      <c r="B5" s="15" t="n"/>
      <c r="C5" s="15" t="n"/>
      <c r="D5" s="15" t="n"/>
      <c r="E5" s="15" t="n"/>
      <c r="F5" s="15" t="n"/>
      <c r="G5" s="15" t="n"/>
      <c r="H5" s="10">
        <f>IF(COUNT(C5:G5)=5,ROUND((LARGE(C5:G5,2)+LARGE(C5:G5,3)+LARGE(C5:G5,4))/3,1),"")</f>
        <v/>
      </c>
      <c r="I5" s="10">
        <f>IF(OR(A5="",NOT(ISNUMBER(TransDate))),"",A5-TransDate)</f>
        <v/>
      </c>
      <c r="J5" s="10">
        <f>IF(AND(B5="FP",ISNUMBER(H5)),H5,"")</f>
        <v/>
      </c>
      <c r="K5" s="10">
        <f>IF(AND(B5="3F4D+MD",ISNUMBER(H5)),H5,"")</f>
        <v/>
      </c>
    </row>
    <row r="6">
      <c r="A6" s="14" t="n"/>
      <c r="B6" s="15" t="n"/>
      <c r="C6" s="15" t="n"/>
      <c r="D6" s="15" t="n"/>
      <c r="E6" s="15" t="n"/>
      <c r="F6" s="15" t="n"/>
      <c r="G6" s="15" t="n"/>
      <c r="H6" s="10">
        <f>IF(COUNT(C6:G6)=5,ROUND((LARGE(C6:G6,2)+LARGE(C6:G6,3)+LARGE(C6:G6,4))/3,1),"")</f>
        <v/>
      </c>
      <c r="I6" s="10">
        <f>IF(OR(A6="",NOT(ISNUMBER(TransDate))),"",A6-TransDate)</f>
        <v/>
      </c>
      <c r="J6" s="10">
        <f>IF(AND(B6="FP",ISNUMBER(H6)),H6,"")</f>
        <v/>
      </c>
      <c r="K6" s="10">
        <f>IF(AND(B6="3F4D+MD",ISNUMBER(H6)),H6,"")</f>
        <v/>
      </c>
    </row>
    <row r="7">
      <c r="A7" s="14" t="n"/>
      <c r="B7" s="15" t="n"/>
      <c r="C7" s="15" t="n"/>
      <c r="D7" s="15" t="n"/>
      <c r="E7" s="15" t="n"/>
      <c r="F7" s="15" t="n"/>
      <c r="G7" s="15" t="n"/>
      <c r="H7" s="10">
        <f>IF(COUNT(C7:G7)=5,ROUND((LARGE(C7:G7,2)+LARGE(C7:G7,3)+LARGE(C7:G7,4))/3,1),"")</f>
        <v/>
      </c>
      <c r="I7" s="10">
        <f>IF(OR(A7="",NOT(ISNUMBER(TransDate))),"",A7-TransDate)</f>
        <v/>
      </c>
      <c r="J7" s="10">
        <f>IF(AND(B7="FP",ISNUMBER(H7)),H7,"")</f>
        <v/>
      </c>
      <c r="K7" s="10">
        <f>IF(AND(B7="3F4D+MD",ISNUMBER(H7)),H7,"")</f>
        <v/>
      </c>
    </row>
    <row r="8">
      <c r="A8" s="14" t="n"/>
      <c r="B8" s="15" t="n"/>
      <c r="C8" s="15" t="n"/>
      <c r="D8" s="15" t="n"/>
      <c r="E8" s="15" t="n"/>
      <c r="F8" s="15" t="n"/>
      <c r="G8" s="15" t="n"/>
      <c r="H8" s="10">
        <f>IF(COUNT(C8:G8)=5,ROUND((LARGE(C8:G8,2)+LARGE(C8:G8,3)+LARGE(C8:G8,4))/3,1),"")</f>
        <v/>
      </c>
      <c r="I8" s="10">
        <f>IF(OR(A8="",NOT(ISNUMBER(TransDate))),"",A8-TransDate)</f>
        <v/>
      </c>
      <c r="J8" s="10">
        <f>IF(AND(B8="FP",ISNUMBER(H8)),H8,"")</f>
        <v/>
      </c>
      <c r="K8" s="10">
        <f>IF(AND(B8="3F4D+MD",ISNUMBER(H8)),H8,"")</f>
        <v/>
      </c>
    </row>
    <row r="9">
      <c r="A9" s="14" t="n"/>
      <c r="B9" s="15" t="n"/>
      <c r="C9" s="15" t="n"/>
      <c r="D9" s="15" t="n"/>
      <c r="E9" s="15" t="n"/>
      <c r="F9" s="15" t="n"/>
      <c r="G9" s="15" t="n"/>
      <c r="H9" s="10">
        <f>IF(COUNT(C9:G9)=5,ROUND((LARGE(C9:G9,2)+LARGE(C9:G9,3)+LARGE(C9:G9,4))/3,1),"")</f>
        <v/>
      </c>
      <c r="I9" s="10">
        <f>IF(OR(A9="",NOT(ISNUMBER(TransDate))),"",A9-TransDate)</f>
        <v/>
      </c>
      <c r="J9" s="10">
        <f>IF(AND(B9="FP",ISNUMBER(H9)),H9,"")</f>
        <v/>
      </c>
      <c r="K9" s="10">
        <f>IF(AND(B9="3F4D+MD",ISNUMBER(H9)),H9,"")</f>
        <v/>
      </c>
    </row>
    <row r="10">
      <c r="A10" s="14" t="n"/>
      <c r="B10" s="15" t="n"/>
      <c r="C10" s="15" t="n"/>
      <c r="D10" s="15" t="n"/>
      <c r="E10" s="15" t="n"/>
      <c r="F10" s="15" t="n"/>
      <c r="G10" s="15" t="n"/>
      <c r="H10" s="10">
        <f>IF(COUNT(C10:G10)=5,ROUND((LARGE(C10:G10,2)+LARGE(C10:G10,3)+LARGE(C10:G10,4))/3,1),"")</f>
        <v/>
      </c>
      <c r="I10" s="10">
        <f>IF(OR(A10="",NOT(ISNUMBER(TransDate))),"",A10-TransDate)</f>
        <v/>
      </c>
      <c r="J10" s="10">
        <f>IF(AND(B10="FP",ISNUMBER(H10)),H10,"")</f>
        <v/>
      </c>
      <c r="K10" s="10">
        <f>IF(AND(B10="3F4D+MD",ISNUMBER(H10)),H10,"")</f>
        <v/>
      </c>
    </row>
    <row r="11">
      <c r="A11" s="14" t="n"/>
      <c r="B11" s="15" t="n"/>
      <c r="C11" s="15" t="n"/>
      <c r="D11" s="15" t="n"/>
      <c r="E11" s="15" t="n"/>
      <c r="F11" s="15" t="n"/>
      <c r="G11" s="15" t="n"/>
      <c r="H11" s="10">
        <f>IF(COUNT(C11:G11)=5,ROUND((LARGE(C11:G11,2)+LARGE(C11:G11,3)+LARGE(C11:G11,4))/3,1),"")</f>
        <v/>
      </c>
      <c r="I11" s="10">
        <f>IF(OR(A11="",NOT(ISNUMBER(TransDate))),"",A11-TransDate)</f>
        <v/>
      </c>
      <c r="J11" s="10">
        <f>IF(AND(B11="FP",ISNUMBER(H11)),H11,"")</f>
        <v/>
      </c>
      <c r="K11" s="10">
        <f>IF(AND(B11="3F4D+MD",ISNUMBER(H11)),H11,"")</f>
        <v/>
      </c>
    </row>
    <row r="12">
      <c r="A12" s="14" t="n"/>
      <c r="B12" s="15" t="n"/>
      <c r="C12" s="15" t="n"/>
      <c r="D12" s="15" t="n"/>
      <c r="E12" s="15" t="n"/>
      <c r="F12" s="15" t="n"/>
      <c r="G12" s="15" t="n"/>
      <c r="H12" s="10">
        <f>IF(COUNT(C12:G12)=5,ROUND((LARGE(C12:G12,2)+LARGE(C12:G12,3)+LARGE(C12:G12,4))/3,1),"")</f>
        <v/>
      </c>
      <c r="I12" s="10">
        <f>IF(OR(A12="",NOT(ISNUMBER(TransDate))),"",A12-TransDate)</f>
        <v/>
      </c>
      <c r="J12" s="10">
        <f>IF(AND(B12="FP",ISNUMBER(H12)),H12,"")</f>
        <v/>
      </c>
      <c r="K12" s="10">
        <f>IF(AND(B12="3F4D+MD",ISNUMBER(H12)),H12,"")</f>
        <v/>
      </c>
    </row>
    <row r="13">
      <c r="A13" s="14" t="n"/>
      <c r="B13" s="15" t="n"/>
      <c r="C13" s="15" t="n"/>
      <c r="D13" s="15" t="n"/>
      <c r="E13" s="15" t="n"/>
      <c r="F13" s="15" t="n"/>
      <c r="G13" s="15" t="n"/>
      <c r="H13" s="10">
        <f>IF(COUNT(C13:G13)=5,ROUND((LARGE(C13:G13,2)+LARGE(C13:G13,3)+LARGE(C13:G13,4))/3,1),"")</f>
        <v/>
      </c>
      <c r="I13" s="10">
        <f>IF(OR(A13="",NOT(ISNUMBER(TransDate))),"",A13-TransDate)</f>
        <v/>
      </c>
      <c r="J13" s="10">
        <f>IF(AND(B13="FP",ISNUMBER(H13)),H13,"")</f>
        <v/>
      </c>
      <c r="K13" s="10">
        <f>IF(AND(B13="3F4D+MD",ISNUMBER(H13)),H13,"")</f>
        <v/>
      </c>
    </row>
    <row r="14">
      <c r="A14" s="14" t="n"/>
      <c r="B14" s="15" t="n"/>
      <c r="C14" s="15" t="n"/>
      <c r="D14" s="15" t="n"/>
      <c r="E14" s="15" t="n"/>
      <c r="F14" s="15" t="n"/>
      <c r="G14" s="15" t="n"/>
      <c r="H14" s="10">
        <f>IF(COUNT(C14:G14)=5,ROUND((LARGE(C14:G14,2)+LARGE(C14:G14,3)+LARGE(C14:G14,4))/3,1),"")</f>
        <v/>
      </c>
      <c r="I14" s="10">
        <f>IF(OR(A14="",NOT(ISNUMBER(TransDate))),"",A14-TransDate)</f>
        <v/>
      </c>
      <c r="J14" s="10">
        <f>IF(AND(B14="FP",ISNUMBER(H14)),H14,"")</f>
        <v/>
      </c>
      <c r="K14" s="10">
        <f>IF(AND(B14="3F4D+MD",ISNUMBER(H14)),H14,"")</f>
        <v/>
      </c>
    </row>
    <row r="15">
      <c r="A15" s="14" t="n"/>
      <c r="B15" s="15" t="n"/>
      <c r="C15" s="15" t="n"/>
      <c r="D15" s="15" t="n"/>
      <c r="E15" s="15" t="n"/>
      <c r="F15" s="15" t="n"/>
      <c r="G15" s="15" t="n"/>
      <c r="H15" s="10">
        <f>IF(COUNT(C15:G15)=5,ROUND((LARGE(C15:G15,2)+LARGE(C15:G15,3)+LARGE(C15:G15,4))/3,1),"")</f>
        <v/>
      </c>
      <c r="I15" s="10">
        <f>IF(OR(A15="",NOT(ISNUMBER(TransDate))),"",A15-TransDate)</f>
        <v/>
      </c>
      <c r="J15" s="10">
        <f>IF(AND(B15="FP",ISNUMBER(H15)),H15,"")</f>
        <v/>
      </c>
      <c r="K15" s="10">
        <f>IF(AND(B15="3F4D+MD",ISNUMBER(H15)),H15,"")</f>
        <v/>
      </c>
    </row>
    <row r="16">
      <c r="A16" s="14" t="n"/>
      <c r="B16" s="15" t="n"/>
      <c r="C16" s="15" t="n"/>
      <c r="D16" s="15" t="n"/>
      <c r="E16" s="15" t="n"/>
      <c r="F16" s="15" t="n"/>
      <c r="G16" s="15" t="n"/>
      <c r="H16" s="10">
        <f>IF(COUNT(C16:G16)=5,ROUND((LARGE(C16:G16,2)+LARGE(C16:G16,3)+LARGE(C16:G16,4))/3,1),"")</f>
        <v/>
      </c>
      <c r="I16" s="10">
        <f>IF(OR(A16="",NOT(ISNUMBER(TransDate))),"",A16-TransDate)</f>
        <v/>
      </c>
      <c r="J16" s="10">
        <f>IF(AND(B16="FP",ISNUMBER(H16)),H16,"")</f>
        <v/>
      </c>
      <c r="K16" s="10">
        <f>IF(AND(B16="3F4D+MD",ISNUMBER(H16)),H16,"")</f>
        <v/>
      </c>
    </row>
    <row r="17">
      <c r="A17" s="14" t="n"/>
      <c r="B17" s="15" t="n"/>
      <c r="C17" s="15" t="n"/>
      <c r="D17" s="15" t="n"/>
      <c r="E17" s="15" t="n"/>
      <c r="F17" s="15" t="n"/>
      <c r="G17" s="15" t="n"/>
      <c r="H17" s="10">
        <f>IF(COUNT(C17:G17)=5,ROUND((LARGE(C17:G17,2)+LARGE(C17:G17,3)+LARGE(C17:G17,4))/3,1),"")</f>
        <v/>
      </c>
      <c r="I17" s="10">
        <f>IF(OR(A17="",NOT(ISNUMBER(TransDate))),"",A17-TransDate)</f>
        <v/>
      </c>
      <c r="J17" s="10">
        <f>IF(AND(B17="FP",ISNUMBER(H17)),H17,"")</f>
        <v/>
      </c>
      <c r="K17" s="10">
        <f>IF(AND(B17="3F4D+MD",ISNUMBER(H17)),H17,"")</f>
        <v/>
      </c>
    </row>
    <row r="18">
      <c r="A18" s="14" t="n"/>
      <c r="B18" s="15" t="n"/>
      <c r="C18" s="15" t="n"/>
      <c r="D18" s="15" t="n"/>
      <c r="E18" s="15" t="n"/>
      <c r="F18" s="15" t="n"/>
      <c r="G18" s="15" t="n"/>
      <c r="H18" s="10">
        <f>IF(COUNT(C18:G18)=5,ROUND((LARGE(C18:G18,2)+LARGE(C18:G18,3)+LARGE(C18:G18,4))/3,1),"")</f>
        <v/>
      </c>
      <c r="I18" s="10">
        <f>IF(OR(A18="",NOT(ISNUMBER(TransDate))),"",A18-TransDate)</f>
        <v/>
      </c>
      <c r="J18" s="10">
        <f>IF(AND(B18="FP",ISNUMBER(H18)),H18,"")</f>
        <v/>
      </c>
      <c r="K18" s="10">
        <f>IF(AND(B18="3F4D+MD",ISNUMBER(H18)),H18,"")</f>
        <v/>
      </c>
    </row>
    <row r="19">
      <c r="A19" s="14" t="n"/>
      <c r="B19" s="15" t="n"/>
      <c r="C19" s="15" t="n"/>
      <c r="D19" s="15" t="n"/>
      <c r="E19" s="15" t="n"/>
      <c r="F19" s="15" t="n"/>
      <c r="G19" s="15" t="n"/>
      <c r="H19" s="10">
        <f>IF(COUNT(C19:G19)=5,ROUND((LARGE(C19:G19,2)+LARGE(C19:G19,3)+LARGE(C19:G19,4))/3,1),"")</f>
        <v/>
      </c>
      <c r="I19" s="10">
        <f>IF(OR(A19="",NOT(ISNUMBER(TransDate))),"",A19-TransDate)</f>
        <v/>
      </c>
      <c r="J19" s="10">
        <f>IF(AND(B19="FP",ISNUMBER(H19)),H19,"")</f>
        <v/>
      </c>
      <c r="K19" s="10">
        <f>IF(AND(B19="3F4D+MD",ISNUMBER(H19)),H19,"")</f>
        <v/>
      </c>
    </row>
    <row r="20">
      <c r="A20" s="14" t="n"/>
      <c r="B20" s="15" t="n"/>
      <c r="C20" s="15" t="n"/>
      <c r="D20" s="15" t="n"/>
      <c r="E20" s="15" t="n"/>
      <c r="F20" s="15" t="n"/>
      <c r="G20" s="15" t="n"/>
      <c r="H20" s="10">
        <f>IF(COUNT(C20:G20)=5,ROUND((LARGE(C20:G20,2)+LARGE(C20:G20,3)+LARGE(C20:G20,4))/3,1),"")</f>
        <v/>
      </c>
      <c r="I20" s="10">
        <f>IF(OR(A20="",NOT(ISNUMBER(TransDate))),"",A20-TransDate)</f>
        <v/>
      </c>
      <c r="J20" s="10">
        <f>IF(AND(B20="FP",ISNUMBER(H20)),H20,"")</f>
        <v/>
      </c>
      <c r="K20" s="10">
        <f>IF(AND(B20="3F4D+MD",ISNUMBER(H20)),H20,"")</f>
        <v/>
      </c>
    </row>
    <row r="21">
      <c r="A21" s="14" t="n"/>
      <c r="B21" s="15" t="n"/>
      <c r="C21" s="15" t="n"/>
      <c r="D21" s="15" t="n"/>
      <c r="E21" s="15" t="n"/>
      <c r="F21" s="15" t="n"/>
      <c r="G21" s="15" t="n"/>
      <c r="H21" s="10">
        <f>IF(COUNT(C21:G21)=5,ROUND((LARGE(C21:G21,2)+LARGE(C21:G21,3)+LARGE(C21:G21,4))/3,1),"")</f>
        <v/>
      </c>
      <c r="I21" s="10">
        <f>IF(OR(A21="",NOT(ISNUMBER(TransDate))),"",A21-TransDate)</f>
        <v/>
      </c>
      <c r="J21" s="10">
        <f>IF(AND(B21="FP",ISNUMBER(H21)),H21,"")</f>
        <v/>
      </c>
      <c r="K21" s="10">
        <f>IF(AND(B21="3F4D+MD",ISNUMBER(H21)),H21,"")</f>
        <v/>
      </c>
    </row>
    <row r="22">
      <c r="A22" s="14" t="n"/>
      <c r="B22" s="15" t="n"/>
      <c r="C22" s="15" t="n"/>
      <c r="D22" s="15" t="n"/>
      <c r="E22" s="15" t="n"/>
      <c r="F22" s="15" t="n"/>
      <c r="G22" s="15" t="n"/>
      <c r="H22" s="10">
        <f>IF(COUNT(C22:G22)=5,ROUND((LARGE(C22:G22,2)+LARGE(C22:G22,3)+LARGE(C22:G22,4))/3,1),"")</f>
        <v/>
      </c>
      <c r="I22" s="10">
        <f>IF(OR(A22="",NOT(ISNUMBER(TransDate))),"",A22-TransDate)</f>
        <v/>
      </c>
      <c r="J22" s="10">
        <f>IF(AND(B22="FP",ISNUMBER(H22)),H22,"")</f>
        <v/>
      </c>
      <c r="K22" s="10">
        <f>IF(AND(B22="3F4D+MD",ISNUMBER(H22)),H22,"")</f>
        <v/>
      </c>
    </row>
    <row r="23">
      <c r="A23" s="14" t="n"/>
      <c r="B23" s="15" t="n"/>
      <c r="C23" s="15" t="n"/>
      <c r="D23" s="15" t="n"/>
      <c r="E23" s="15" t="n"/>
      <c r="F23" s="15" t="n"/>
      <c r="G23" s="15" t="n"/>
      <c r="H23" s="10">
        <f>IF(COUNT(C23:G23)=5,ROUND((LARGE(C23:G23,2)+LARGE(C23:G23,3)+LARGE(C23:G23,4))/3,1),"")</f>
        <v/>
      </c>
      <c r="I23" s="10">
        <f>IF(OR(A23="",NOT(ISNUMBER(TransDate))),"",A23-TransDate)</f>
        <v/>
      </c>
      <c r="J23" s="10">
        <f>IF(AND(B23="FP",ISNUMBER(H23)),H23,"")</f>
        <v/>
      </c>
      <c r="K23" s="10">
        <f>IF(AND(B23="3F4D+MD",ISNUMBER(H23)),H23,"")</f>
        <v/>
      </c>
    </row>
    <row r="24">
      <c r="A24" s="14" t="n"/>
      <c r="B24" s="15" t="n"/>
      <c r="C24" s="15" t="n"/>
      <c r="D24" s="15" t="n"/>
      <c r="E24" s="15" t="n"/>
      <c r="F24" s="15" t="n"/>
      <c r="G24" s="15" t="n"/>
      <c r="H24" s="10">
        <f>IF(COUNT(C24:G24)=5,ROUND((LARGE(C24:G24,2)+LARGE(C24:G24,3)+LARGE(C24:G24,4))/3,1),"")</f>
        <v/>
      </c>
      <c r="I24" s="10">
        <f>IF(OR(A24="",NOT(ISNUMBER(TransDate))),"",A24-TransDate)</f>
        <v/>
      </c>
      <c r="J24" s="10">
        <f>IF(AND(B24="FP",ISNUMBER(H24)),H24,"")</f>
        <v/>
      </c>
      <c r="K24" s="10">
        <f>IF(AND(B24="3F4D+MD",ISNUMBER(H24)),H24,"")</f>
        <v/>
      </c>
    </row>
    <row r="25">
      <c r="A25" s="14" t="n"/>
      <c r="B25" s="15" t="n"/>
      <c r="C25" s="15" t="n"/>
      <c r="D25" s="15" t="n"/>
      <c r="E25" s="15" t="n"/>
      <c r="F25" s="15" t="n"/>
      <c r="G25" s="15" t="n"/>
      <c r="H25" s="10">
        <f>IF(COUNT(C25:G25)=5,ROUND((LARGE(C25:G25,2)+LARGE(C25:G25,3)+LARGE(C25:G25,4))/3,1),"")</f>
        <v/>
      </c>
      <c r="I25" s="10">
        <f>IF(OR(A25="",NOT(ISNUMBER(TransDate))),"",A25-TransDate)</f>
        <v/>
      </c>
      <c r="J25" s="10">
        <f>IF(AND(B25="FP",ISNUMBER(H25)),H25,"")</f>
        <v/>
      </c>
      <c r="K25" s="10">
        <f>IF(AND(B25="3F4D+MD",ISNUMBER(H25)),H25,"")</f>
        <v/>
      </c>
    </row>
    <row r="26">
      <c r="A26" s="14" t="n"/>
      <c r="B26" s="15" t="n"/>
      <c r="C26" s="15" t="n"/>
      <c r="D26" s="15" t="n"/>
      <c r="E26" s="15" t="n"/>
      <c r="F26" s="15" t="n"/>
      <c r="G26" s="15" t="n"/>
      <c r="H26" s="10">
        <f>IF(COUNT(C26:G26)=5,ROUND((LARGE(C26:G26,2)+LARGE(C26:G26,3)+LARGE(C26:G26,4))/3,1),"")</f>
        <v/>
      </c>
      <c r="I26" s="10">
        <f>IF(OR(A26="",NOT(ISNUMBER(TransDate))),"",A26-TransDate)</f>
        <v/>
      </c>
      <c r="J26" s="10">
        <f>IF(AND(B26="FP",ISNUMBER(H26)),H26,"")</f>
        <v/>
      </c>
      <c r="K26" s="10">
        <f>IF(AND(B26="3F4D+MD",ISNUMBER(H26)),H26,"")</f>
        <v/>
      </c>
    </row>
    <row r="27">
      <c r="A27" s="14" t="n"/>
      <c r="B27" s="15" t="n"/>
      <c r="C27" s="15" t="n"/>
      <c r="D27" s="15" t="n"/>
      <c r="E27" s="15" t="n"/>
      <c r="F27" s="15" t="n"/>
      <c r="G27" s="15" t="n"/>
      <c r="H27" s="10">
        <f>IF(COUNT(C27:G27)=5,ROUND((LARGE(C27:G27,2)+LARGE(C27:G27,3)+LARGE(C27:G27,4))/3,1),"")</f>
        <v/>
      </c>
      <c r="I27" s="10">
        <f>IF(OR(A27="",NOT(ISNUMBER(TransDate))),"",A27-TransDate)</f>
        <v/>
      </c>
      <c r="J27" s="10">
        <f>IF(AND(B27="FP",ISNUMBER(H27)),H27,"")</f>
        <v/>
      </c>
      <c r="K27" s="10">
        <f>IF(AND(B27="3F4D+MD",ISNUMBER(H27)),H27,"")</f>
        <v/>
      </c>
    </row>
    <row r="28">
      <c r="A28" s="14" t="n"/>
      <c r="B28" s="15" t="n"/>
      <c r="C28" s="15" t="n"/>
      <c r="D28" s="15" t="n"/>
      <c r="E28" s="15" t="n"/>
      <c r="F28" s="15" t="n"/>
      <c r="G28" s="15" t="n"/>
      <c r="H28" s="10">
        <f>IF(COUNT(C28:G28)=5,ROUND((LARGE(C28:G28,2)+LARGE(C28:G28,3)+LARGE(C28:G28,4))/3,1),"")</f>
        <v/>
      </c>
      <c r="I28" s="10">
        <f>IF(OR(A28="",NOT(ISNUMBER(TransDate))),"",A28-TransDate)</f>
        <v/>
      </c>
      <c r="J28" s="10">
        <f>IF(AND(B28="FP",ISNUMBER(H28)),H28,"")</f>
        <v/>
      </c>
      <c r="K28" s="10">
        <f>IF(AND(B28="3F4D+MD",ISNUMBER(H28)),H28,"")</f>
        <v/>
      </c>
    </row>
    <row r="29">
      <c r="A29" s="14" t="n"/>
      <c r="B29" s="15" t="n"/>
      <c r="C29" s="15" t="n"/>
      <c r="D29" s="15" t="n"/>
      <c r="E29" s="15" t="n"/>
      <c r="F29" s="15" t="n"/>
      <c r="G29" s="15" t="n"/>
      <c r="H29" s="10">
        <f>IF(COUNT(C29:G29)=5,ROUND((LARGE(C29:G29,2)+LARGE(C29:G29,3)+LARGE(C29:G29,4))/3,1),"")</f>
        <v/>
      </c>
      <c r="I29" s="10">
        <f>IF(OR(A29="",NOT(ISNUMBER(TransDate))),"",A29-TransDate)</f>
        <v/>
      </c>
      <c r="J29" s="10">
        <f>IF(AND(B29="FP",ISNUMBER(H29)),H29,"")</f>
        <v/>
      </c>
      <c r="K29" s="10">
        <f>IF(AND(B29="3F4D+MD",ISNUMBER(H29)),H29,"")</f>
        <v/>
      </c>
    </row>
    <row r="30">
      <c r="A30" s="14" t="n"/>
      <c r="B30" s="15" t="n"/>
      <c r="C30" s="15" t="n"/>
      <c r="D30" s="15" t="n"/>
      <c r="E30" s="15" t="n"/>
      <c r="F30" s="15" t="n"/>
      <c r="G30" s="15" t="n"/>
      <c r="H30" s="10">
        <f>IF(COUNT(C30:G30)=5,ROUND((LARGE(C30:G30,2)+LARGE(C30:G30,3)+LARGE(C30:G30,4))/3,1),"")</f>
        <v/>
      </c>
      <c r="I30" s="10">
        <f>IF(OR(A30="",NOT(ISNUMBER(TransDate))),"",A30-TransDate)</f>
        <v/>
      </c>
      <c r="J30" s="10">
        <f>IF(AND(B30="FP",ISNUMBER(H30)),H30,"")</f>
        <v/>
      </c>
      <c r="K30" s="10">
        <f>IF(AND(B30="3F4D+MD",ISNUMBER(H30)),H30,"")</f>
        <v/>
      </c>
    </row>
    <row r="31">
      <c r="A31" s="14" t="n"/>
      <c r="B31" s="15" t="n"/>
      <c r="C31" s="15" t="n"/>
      <c r="D31" s="15" t="n"/>
      <c r="E31" s="15" t="n"/>
      <c r="F31" s="15" t="n"/>
      <c r="G31" s="15" t="n"/>
      <c r="H31" s="10">
        <f>IF(COUNT(C31:G31)=5,ROUND((LARGE(C31:G31,2)+LARGE(C31:G31,3)+LARGE(C31:G31,4))/3,1),"")</f>
        <v/>
      </c>
      <c r="I31" s="10">
        <f>IF(OR(A31="",NOT(ISNUMBER(TransDate))),"",A31-TransDate)</f>
        <v/>
      </c>
      <c r="J31" s="10">
        <f>IF(AND(B31="FP",ISNUMBER(H31)),H31,"")</f>
        <v/>
      </c>
      <c r="K31" s="10">
        <f>IF(AND(B31="3F4D+MD",ISNUMBER(H31)),H31,"")</f>
        <v/>
      </c>
    </row>
    <row r="32">
      <c r="A32" s="14" t="n"/>
      <c r="B32" s="15" t="n"/>
      <c r="C32" s="15" t="n"/>
      <c r="D32" s="15" t="n"/>
      <c r="E32" s="15" t="n"/>
      <c r="F32" s="15" t="n"/>
      <c r="G32" s="15" t="n"/>
      <c r="H32" s="10">
        <f>IF(COUNT(C32:G32)=5,ROUND((LARGE(C32:G32,2)+LARGE(C32:G32,3)+LARGE(C32:G32,4))/3,1),"")</f>
        <v/>
      </c>
      <c r="I32" s="10">
        <f>IF(OR(A32="",NOT(ISNUMBER(TransDate))),"",A32-TransDate)</f>
        <v/>
      </c>
      <c r="J32" s="10">
        <f>IF(AND(B32="FP",ISNUMBER(H32)),H32,"")</f>
        <v/>
      </c>
      <c r="K32" s="10">
        <f>IF(AND(B32="3F4D+MD",ISNUMBER(H32)),H32,"")</f>
        <v/>
      </c>
    </row>
    <row r="33">
      <c r="A33" s="14" t="n"/>
      <c r="B33" s="15" t="n"/>
      <c r="C33" s="15" t="n"/>
      <c r="D33" s="15" t="n"/>
      <c r="E33" s="15" t="n"/>
      <c r="F33" s="15" t="n"/>
      <c r="G33" s="15" t="n"/>
      <c r="H33" s="10">
        <f>IF(COUNT(C33:G33)=5,ROUND((LARGE(C33:G33,2)+LARGE(C33:G33,3)+LARGE(C33:G33,4))/3,1),"")</f>
        <v/>
      </c>
      <c r="I33" s="10">
        <f>IF(OR(A33="",NOT(ISNUMBER(TransDate))),"",A33-TransDate)</f>
        <v/>
      </c>
      <c r="J33" s="10">
        <f>IF(AND(B33="FP",ISNUMBER(H33)),H33,"")</f>
        <v/>
      </c>
      <c r="K33" s="10">
        <f>IF(AND(B33="3F4D+MD",ISNUMBER(H33)),H33,"")</f>
        <v/>
      </c>
    </row>
    <row r="34">
      <c r="A34" s="14" t="n"/>
      <c r="B34" s="15" t="n"/>
      <c r="C34" s="15" t="n"/>
      <c r="D34" s="15" t="n"/>
      <c r="E34" s="15" t="n"/>
      <c r="F34" s="15" t="n"/>
      <c r="G34" s="15" t="n"/>
      <c r="H34" s="10">
        <f>IF(COUNT(C34:G34)=5,ROUND((LARGE(C34:G34,2)+LARGE(C34:G34,3)+LARGE(C34:G34,4))/3,1),"")</f>
        <v/>
      </c>
      <c r="I34" s="10">
        <f>IF(OR(A34="",NOT(ISNUMBER(TransDate))),"",A34-TransDate)</f>
        <v/>
      </c>
      <c r="J34" s="10">
        <f>IF(AND(B34="FP",ISNUMBER(H34)),H34,"")</f>
        <v/>
      </c>
      <c r="K34" s="10">
        <f>IF(AND(B34="3F4D+MD",ISNUMBER(H34)),H34,"")</f>
        <v/>
      </c>
    </row>
    <row r="35">
      <c r="A35" s="14" t="n"/>
      <c r="B35" s="15" t="n"/>
      <c r="C35" s="15" t="n"/>
      <c r="D35" s="15" t="n"/>
      <c r="E35" s="15" t="n"/>
      <c r="F35" s="15" t="n"/>
      <c r="G35" s="15" t="n"/>
      <c r="H35" s="10">
        <f>IF(COUNT(C35:G35)=5,ROUND((LARGE(C35:G35,2)+LARGE(C35:G35,3)+LARGE(C35:G35,4))/3,1),"")</f>
        <v/>
      </c>
      <c r="I35" s="10">
        <f>IF(OR(A35="",NOT(ISNUMBER(TransDate))),"",A35-TransDate)</f>
        <v/>
      </c>
      <c r="J35" s="10">
        <f>IF(AND(B35="FP",ISNUMBER(H35)),H35,"")</f>
        <v/>
      </c>
      <c r="K35" s="10">
        <f>IF(AND(B35="3F4D+MD",ISNUMBER(H35)),H35,"")</f>
        <v/>
      </c>
    </row>
    <row r="36">
      <c r="A36" s="14" t="n"/>
      <c r="B36" s="15" t="n"/>
      <c r="C36" s="15" t="n"/>
      <c r="D36" s="15" t="n"/>
      <c r="E36" s="15" t="n"/>
      <c r="F36" s="15" t="n"/>
      <c r="G36" s="15" t="n"/>
      <c r="H36" s="10">
        <f>IF(COUNT(C36:G36)=5,ROUND((LARGE(C36:G36,2)+LARGE(C36:G36,3)+LARGE(C36:G36,4))/3,1),"")</f>
        <v/>
      </c>
      <c r="I36" s="10">
        <f>IF(OR(A36="",NOT(ISNUMBER(TransDate))),"",A36-TransDate)</f>
        <v/>
      </c>
      <c r="J36" s="10">
        <f>IF(AND(B36="FP",ISNUMBER(H36)),H36,"")</f>
        <v/>
      </c>
      <c r="K36" s="10">
        <f>IF(AND(B36="3F4D+MD",ISNUMBER(H36)),H36,"")</f>
        <v/>
      </c>
    </row>
    <row r="37">
      <c r="A37" s="14" t="n"/>
      <c r="B37" s="15" t="n"/>
      <c r="C37" s="15" t="n"/>
      <c r="D37" s="15" t="n"/>
      <c r="E37" s="15" t="n"/>
      <c r="F37" s="15" t="n"/>
      <c r="G37" s="15" t="n"/>
      <c r="H37" s="10">
        <f>IF(COUNT(C37:G37)=5,ROUND((LARGE(C37:G37,2)+LARGE(C37:G37,3)+LARGE(C37:G37,4))/3,1),"")</f>
        <v/>
      </c>
      <c r="I37" s="10">
        <f>IF(OR(A37="",NOT(ISNUMBER(TransDate))),"",A37-TransDate)</f>
        <v/>
      </c>
      <c r="J37" s="10">
        <f>IF(AND(B37="FP",ISNUMBER(H37)),H37,"")</f>
        <v/>
      </c>
      <c r="K37" s="10">
        <f>IF(AND(B37="3F4D+MD",ISNUMBER(H37)),H37,"")</f>
        <v/>
      </c>
    </row>
    <row r="38">
      <c r="A38" s="14" t="n"/>
      <c r="B38" s="15" t="n"/>
      <c r="C38" s="15" t="n"/>
      <c r="D38" s="15" t="n"/>
      <c r="E38" s="15" t="n"/>
      <c r="F38" s="15" t="n"/>
      <c r="G38" s="15" t="n"/>
      <c r="H38" s="10">
        <f>IF(COUNT(C38:G38)=5,ROUND((LARGE(C38:G38,2)+LARGE(C38:G38,3)+LARGE(C38:G38,4))/3,1),"")</f>
        <v/>
      </c>
      <c r="I38" s="10">
        <f>IF(OR(A38="",NOT(ISNUMBER(TransDate))),"",A38-TransDate)</f>
        <v/>
      </c>
      <c r="J38" s="10">
        <f>IF(AND(B38="FP",ISNUMBER(H38)),H38,"")</f>
        <v/>
      </c>
      <c r="K38" s="10">
        <f>IF(AND(B38="3F4D+MD",ISNUMBER(H38)),H38,"")</f>
        <v/>
      </c>
    </row>
    <row r="39">
      <c r="A39" s="14" t="n"/>
      <c r="B39" s="15" t="n"/>
      <c r="C39" s="15" t="n"/>
      <c r="D39" s="15" t="n"/>
      <c r="E39" s="15" t="n"/>
      <c r="F39" s="15" t="n"/>
      <c r="G39" s="15" t="n"/>
      <c r="H39" s="10">
        <f>IF(COUNT(C39:G39)=5,ROUND((LARGE(C39:G39,2)+LARGE(C39:G39,3)+LARGE(C39:G39,4))/3,1),"")</f>
        <v/>
      </c>
      <c r="I39" s="10">
        <f>IF(OR(A39="",NOT(ISNUMBER(TransDate))),"",A39-TransDate)</f>
        <v/>
      </c>
      <c r="J39" s="10">
        <f>IF(AND(B39="FP",ISNUMBER(H39)),H39,"")</f>
        <v/>
      </c>
      <c r="K39" s="10">
        <f>IF(AND(B39="3F4D+MD",ISNUMBER(H39)),H39,"")</f>
        <v/>
      </c>
    </row>
    <row r="40">
      <c r="A40" s="14" t="n"/>
      <c r="B40" s="15" t="n"/>
      <c r="C40" s="15" t="n"/>
      <c r="D40" s="15" t="n"/>
      <c r="E40" s="15" t="n"/>
      <c r="F40" s="15" t="n"/>
      <c r="G40" s="15" t="n"/>
      <c r="H40" s="10">
        <f>IF(COUNT(C40:G40)=5,ROUND((LARGE(C40:G40,2)+LARGE(C40:G40,3)+LARGE(C40:G40,4))/3,1),"")</f>
        <v/>
      </c>
      <c r="I40" s="10">
        <f>IF(OR(A40="",NOT(ISNUMBER(TransDate))),"",A40-TransDate)</f>
        <v/>
      </c>
      <c r="J40" s="10">
        <f>IF(AND(B40="FP",ISNUMBER(H40)),H40,"")</f>
        <v/>
      </c>
      <c r="K40" s="10">
        <f>IF(AND(B40="3F4D+MD",ISNUMBER(H40)),H40,"")</f>
        <v/>
      </c>
    </row>
    <row r="41">
      <c r="A41" s="14" t="n"/>
      <c r="B41" s="15" t="n"/>
      <c r="C41" s="15" t="n"/>
      <c r="D41" s="15" t="n"/>
      <c r="E41" s="15" t="n"/>
      <c r="F41" s="15" t="n"/>
      <c r="G41" s="15" t="n"/>
      <c r="H41" s="10">
        <f>IF(COUNT(C41:G41)=5,ROUND((LARGE(C41:G41,2)+LARGE(C41:G41,3)+LARGE(C41:G41,4))/3,1),"")</f>
        <v/>
      </c>
      <c r="I41" s="10">
        <f>IF(OR(A41="",NOT(ISNUMBER(TransDate))),"",A41-TransDate)</f>
        <v/>
      </c>
      <c r="J41" s="10">
        <f>IF(AND(B41="FP",ISNUMBER(H41)),H41,"")</f>
        <v/>
      </c>
      <c r="K41" s="10">
        <f>IF(AND(B41="3F4D+MD",ISNUMBER(H41)),H41,"")</f>
        <v/>
      </c>
    </row>
    <row r="42">
      <c r="A42" s="14" t="n"/>
      <c r="B42" s="15" t="n"/>
      <c r="C42" s="15" t="n"/>
      <c r="D42" s="15" t="n"/>
      <c r="E42" s="15" t="n"/>
      <c r="F42" s="15" t="n"/>
      <c r="G42" s="15" t="n"/>
      <c r="H42" s="10">
        <f>IF(COUNT(C42:G42)=5,ROUND((LARGE(C42:G42,2)+LARGE(C42:G42,3)+LARGE(C42:G42,4))/3,1),"")</f>
        <v/>
      </c>
      <c r="I42" s="10">
        <f>IF(OR(A42="",NOT(ISNUMBER(TransDate))),"",A42-TransDate)</f>
        <v/>
      </c>
      <c r="J42" s="10">
        <f>IF(AND(B42="FP",ISNUMBER(H42)),H42,"")</f>
        <v/>
      </c>
      <c r="K42" s="10">
        <f>IF(AND(B42="3F4D+MD",ISNUMBER(H42)),H42,"")</f>
        <v/>
      </c>
    </row>
    <row r="43">
      <c r="A43" s="14" t="n"/>
      <c r="B43" s="15" t="n"/>
      <c r="C43" s="15" t="n"/>
      <c r="D43" s="15" t="n"/>
      <c r="E43" s="15" t="n"/>
      <c r="F43" s="15" t="n"/>
      <c r="G43" s="15" t="n"/>
      <c r="H43" s="10">
        <f>IF(COUNT(C43:G43)=5,ROUND((LARGE(C43:G43,2)+LARGE(C43:G43,3)+LARGE(C43:G43,4))/3,1),"")</f>
        <v/>
      </c>
      <c r="I43" s="10">
        <f>IF(OR(A43="",NOT(ISNUMBER(TransDate))),"",A43-TransDate)</f>
        <v/>
      </c>
      <c r="J43" s="10">
        <f>IF(AND(B43="FP",ISNUMBER(H43)),H43,"")</f>
        <v/>
      </c>
      <c r="K43" s="10">
        <f>IF(AND(B43="3F4D+MD",ISNUMBER(H43)),H43,"")</f>
        <v/>
      </c>
    </row>
    <row r="44">
      <c r="A44" s="14" t="n"/>
      <c r="B44" s="15" t="n"/>
      <c r="C44" s="15" t="n"/>
      <c r="D44" s="15" t="n"/>
      <c r="E44" s="15" t="n"/>
      <c r="F44" s="15" t="n"/>
      <c r="G44" s="15" t="n"/>
      <c r="H44" s="10">
        <f>IF(COUNT(C44:G44)=5,ROUND((LARGE(C44:G44,2)+LARGE(C44:G44,3)+LARGE(C44:G44,4))/3,1),"")</f>
        <v/>
      </c>
      <c r="I44" s="10">
        <f>IF(OR(A44="",NOT(ISNUMBER(TransDate))),"",A44-TransDate)</f>
        <v/>
      </c>
      <c r="J44" s="10">
        <f>IF(AND(B44="FP",ISNUMBER(H44)),H44,"")</f>
        <v/>
      </c>
      <c r="K44" s="10">
        <f>IF(AND(B44="3F4D+MD",ISNUMBER(H44)),H44,"")</f>
        <v/>
      </c>
    </row>
    <row r="45">
      <c r="A45" s="14" t="n"/>
      <c r="B45" s="15" t="n"/>
      <c r="C45" s="15" t="n"/>
      <c r="D45" s="15" t="n"/>
      <c r="E45" s="15" t="n"/>
      <c r="F45" s="15" t="n"/>
      <c r="G45" s="15" t="n"/>
      <c r="H45" s="10">
        <f>IF(COUNT(C45:G45)=5,ROUND((LARGE(C45:G45,2)+LARGE(C45:G45,3)+LARGE(C45:G45,4))/3,1),"")</f>
        <v/>
      </c>
      <c r="I45" s="10">
        <f>IF(OR(A45="",NOT(ISNUMBER(TransDate))),"",A45-TransDate)</f>
        <v/>
      </c>
      <c r="J45" s="10">
        <f>IF(AND(B45="FP",ISNUMBER(H45)),H45,"")</f>
        <v/>
      </c>
      <c r="K45" s="10">
        <f>IF(AND(B45="3F4D+MD",ISNUMBER(H45)),H45,"")</f>
        <v/>
      </c>
    </row>
    <row r="46">
      <c r="A46" s="14" t="n"/>
      <c r="B46" s="15" t="n"/>
      <c r="C46" s="15" t="n"/>
      <c r="D46" s="15" t="n"/>
      <c r="E46" s="15" t="n"/>
      <c r="F46" s="15" t="n"/>
      <c r="G46" s="15" t="n"/>
      <c r="H46" s="10">
        <f>IF(COUNT(C46:G46)=5,ROUND((LARGE(C46:G46,2)+LARGE(C46:G46,3)+LARGE(C46:G46,4))/3,1),"")</f>
        <v/>
      </c>
      <c r="I46" s="10">
        <f>IF(OR(A46="",NOT(ISNUMBER(TransDate))),"",A46-TransDate)</f>
        <v/>
      </c>
      <c r="J46" s="10">
        <f>IF(AND(B46="FP",ISNUMBER(H46)),H46,"")</f>
        <v/>
      </c>
      <c r="K46" s="10">
        <f>IF(AND(B46="3F4D+MD",ISNUMBER(H46)),H46,"")</f>
        <v/>
      </c>
    </row>
    <row r="47">
      <c r="A47" s="14" t="n"/>
      <c r="B47" s="15" t="n"/>
      <c r="C47" s="15" t="n"/>
      <c r="D47" s="15" t="n"/>
      <c r="E47" s="15" t="n"/>
      <c r="F47" s="15" t="n"/>
      <c r="G47" s="15" t="n"/>
      <c r="H47" s="10">
        <f>IF(COUNT(C47:G47)=5,ROUND((LARGE(C47:G47,2)+LARGE(C47:G47,3)+LARGE(C47:G47,4))/3,1),"")</f>
        <v/>
      </c>
      <c r="I47" s="10">
        <f>IF(OR(A47="",NOT(ISNUMBER(TransDate))),"",A47-TransDate)</f>
        <v/>
      </c>
      <c r="J47" s="10">
        <f>IF(AND(B47="FP",ISNUMBER(H47)),H47,"")</f>
        <v/>
      </c>
      <c r="K47" s="10">
        <f>IF(AND(B47="3F4D+MD",ISNUMBER(H47)),H47,"")</f>
        <v/>
      </c>
    </row>
    <row r="48">
      <c r="A48" s="14" t="n"/>
      <c r="B48" s="15" t="n"/>
      <c r="C48" s="15" t="n"/>
      <c r="D48" s="15" t="n"/>
      <c r="E48" s="15" t="n"/>
      <c r="F48" s="15" t="n"/>
      <c r="G48" s="15" t="n"/>
      <c r="H48" s="10">
        <f>IF(COUNT(C48:G48)=5,ROUND((LARGE(C48:G48,2)+LARGE(C48:G48,3)+LARGE(C48:G48,4))/3,1),"")</f>
        <v/>
      </c>
      <c r="I48" s="10">
        <f>IF(OR(A48="",NOT(ISNUMBER(TransDate))),"",A48-TransDate)</f>
        <v/>
      </c>
      <c r="J48" s="10">
        <f>IF(AND(B48="FP",ISNUMBER(H48)),H48,"")</f>
        <v/>
      </c>
      <c r="K48" s="10">
        <f>IF(AND(B48="3F4D+MD",ISNUMBER(H48)),H48,"")</f>
        <v/>
      </c>
    </row>
    <row r="49">
      <c r="A49" s="14" t="n"/>
      <c r="B49" s="15" t="n"/>
      <c r="C49" s="15" t="n"/>
      <c r="D49" s="15" t="n"/>
      <c r="E49" s="15" t="n"/>
      <c r="F49" s="15" t="n"/>
      <c r="G49" s="15" t="n"/>
      <c r="H49" s="10">
        <f>IF(COUNT(C49:G49)=5,ROUND((LARGE(C49:G49,2)+LARGE(C49:G49,3)+LARGE(C49:G49,4))/3,1),"")</f>
        <v/>
      </c>
      <c r="I49" s="10">
        <f>IF(OR(A49="",NOT(ISNUMBER(TransDate))),"",A49-TransDate)</f>
        <v/>
      </c>
      <c r="J49" s="10">
        <f>IF(AND(B49="FP",ISNUMBER(H49)),H49,"")</f>
        <v/>
      </c>
      <c r="K49" s="10">
        <f>IF(AND(B49="3F4D+MD",ISNUMBER(H49)),H49,"")</f>
        <v/>
      </c>
    </row>
    <row r="50">
      <c r="A50" s="14" t="n"/>
      <c r="B50" s="15" t="n"/>
      <c r="C50" s="15" t="n"/>
      <c r="D50" s="15" t="n"/>
      <c r="E50" s="15" t="n"/>
      <c r="F50" s="15" t="n"/>
      <c r="G50" s="15" t="n"/>
      <c r="H50" s="10">
        <f>IF(COUNT(C50:G50)=5,ROUND((LARGE(C50:G50,2)+LARGE(C50:G50,3)+LARGE(C50:G50,4))/3,1),"")</f>
        <v/>
      </c>
      <c r="I50" s="10">
        <f>IF(OR(A50="",NOT(ISNUMBER(TransDate))),"",A50-TransDate)</f>
        <v/>
      </c>
      <c r="J50" s="10">
        <f>IF(AND(B50="FP",ISNUMBER(H50)),H50,"")</f>
        <v/>
      </c>
      <c r="K50" s="10">
        <f>IF(AND(B50="3F4D+MD",ISNUMBER(H50)),H50,"")</f>
        <v/>
      </c>
    </row>
    <row r="51">
      <c r="A51" s="14" t="n"/>
      <c r="B51" s="15" t="n"/>
      <c r="C51" s="15" t="n"/>
      <c r="D51" s="15" t="n"/>
      <c r="E51" s="15" t="n"/>
      <c r="F51" s="15" t="n"/>
      <c r="G51" s="15" t="n"/>
      <c r="H51" s="10">
        <f>IF(COUNT(C51:G51)=5,ROUND((LARGE(C51:G51,2)+LARGE(C51:G51,3)+LARGE(C51:G51,4))/3,1),"")</f>
        <v/>
      </c>
      <c r="I51" s="10">
        <f>IF(OR(A51="",NOT(ISNUMBER(TransDate))),"",A51-TransDate)</f>
        <v/>
      </c>
      <c r="J51" s="10">
        <f>IF(AND(B51="FP",ISNUMBER(H51)),H51,"")</f>
        <v/>
      </c>
      <c r="K51" s="10">
        <f>IF(AND(B51="3F4D+MD",ISNUMBER(H51)),H51,"")</f>
        <v/>
      </c>
    </row>
    <row r="52">
      <c r="A52" s="14" t="n"/>
      <c r="B52" s="15" t="n"/>
      <c r="C52" s="15" t="n"/>
      <c r="D52" s="15" t="n"/>
      <c r="E52" s="15" t="n"/>
      <c r="F52" s="15" t="n"/>
      <c r="G52" s="15" t="n"/>
      <c r="H52" s="10">
        <f>IF(COUNT(C52:G52)=5,ROUND((LARGE(C52:G52,2)+LARGE(C52:G52,3)+LARGE(C52:G52,4))/3,1),"")</f>
        <v/>
      </c>
      <c r="I52" s="10">
        <f>IF(OR(A52="",NOT(ISNUMBER(TransDate))),"",A52-TransDate)</f>
        <v/>
      </c>
      <c r="J52" s="10">
        <f>IF(AND(B52="FP",ISNUMBER(H52)),H52,"")</f>
        <v/>
      </c>
      <c r="K52" s="10">
        <f>IF(AND(B52="3F4D+MD",ISNUMBER(H52)),H52,"")</f>
        <v/>
      </c>
    </row>
    <row r="53">
      <c r="A53" s="14" t="n"/>
      <c r="B53" s="15" t="n"/>
      <c r="C53" s="15" t="n"/>
      <c r="D53" s="15" t="n"/>
      <c r="E53" s="15" t="n"/>
      <c r="F53" s="15" t="n"/>
      <c r="G53" s="15" t="n"/>
      <c r="H53" s="10">
        <f>IF(COUNT(C53:G53)=5,ROUND((LARGE(C53:G53,2)+LARGE(C53:G53,3)+LARGE(C53:G53,4))/3,1),"")</f>
        <v/>
      </c>
      <c r="I53" s="10">
        <f>IF(OR(A53="",NOT(ISNUMBER(TransDate))),"",A53-TransDate)</f>
        <v/>
      </c>
      <c r="J53" s="10">
        <f>IF(AND(B53="FP",ISNUMBER(H53)),H53,"")</f>
        <v/>
      </c>
      <c r="K53" s="10">
        <f>IF(AND(B53="3F4D+MD",ISNUMBER(H53)),H53,"")</f>
        <v/>
      </c>
    </row>
    <row r="54">
      <c r="A54" s="14" t="n"/>
      <c r="B54" s="15" t="n"/>
      <c r="C54" s="15" t="n"/>
      <c r="D54" s="15" t="n"/>
      <c r="E54" s="15" t="n"/>
      <c r="F54" s="15" t="n"/>
      <c r="G54" s="15" t="n"/>
      <c r="H54" s="10">
        <f>IF(COUNT(C54:G54)=5,ROUND((LARGE(C54:G54,2)+LARGE(C54:G54,3)+LARGE(C54:G54,4))/3,1),"")</f>
        <v/>
      </c>
      <c r="I54" s="10">
        <f>IF(OR(A54="",NOT(ISNUMBER(TransDate))),"",A54-TransDate)</f>
        <v/>
      </c>
      <c r="J54" s="10">
        <f>IF(AND(B54="FP",ISNUMBER(H54)),H54,"")</f>
        <v/>
      </c>
      <c r="K54" s="10">
        <f>IF(AND(B54="3F4D+MD",ISNUMBER(H54)),H54,"")</f>
        <v/>
      </c>
    </row>
    <row r="55">
      <c r="A55" s="14" t="n"/>
      <c r="B55" s="15" t="n"/>
      <c r="C55" s="15" t="n"/>
      <c r="D55" s="15" t="n"/>
      <c r="E55" s="15" t="n"/>
      <c r="F55" s="15" t="n"/>
      <c r="G55" s="15" t="n"/>
      <c r="H55" s="10">
        <f>IF(COUNT(C55:G55)=5,ROUND((LARGE(C55:G55,2)+LARGE(C55:G55,3)+LARGE(C55:G55,4))/3,1),"")</f>
        <v/>
      </c>
      <c r="I55" s="10">
        <f>IF(OR(A55="",NOT(ISNUMBER(TransDate))),"",A55-TransDate)</f>
        <v/>
      </c>
      <c r="J55" s="10">
        <f>IF(AND(B55="FP",ISNUMBER(H55)),H55,"")</f>
        <v/>
      </c>
      <c r="K55" s="10">
        <f>IF(AND(B55="3F4D+MD",ISNUMBER(H55)),H55,"")</f>
        <v/>
      </c>
    </row>
    <row r="56">
      <c r="A56" s="14" t="n"/>
      <c r="B56" s="15" t="n"/>
      <c r="C56" s="15" t="n"/>
      <c r="D56" s="15" t="n"/>
      <c r="E56" s="15" t="n"/>
      <c r="F56" s="15" t="n"/>
      <c r="G56" s="15" t="n"/>
      <c r="H56" s="10">
        <f>IF(COUNT(C56:G56)=5,ROUND((LARGE(C56:G56,2)+LARGE(C56:G56,3)+LARGE(C56:G56,4))/3,1),"")</f>
        <v/>
      </c>
      <c r="I56" s="10">
        <f>IF(OR(A56="",NOT(ISNUMBER(TransDate))),"",A56-TransDate)</f>
        <v/>
      </c>
      <c r="J56" s="10">
        <f>IF(AND(B56="FP",ISNUMBER(H56)),H56,"")</f>
        <v/>
      </c>
      <c r="K56" s="10">
        <f>IF(AND(B56="3F4D+MD",ISNUMBER(H56)),H56,"")</f>
        <v/>
      </c>
    </row>
    <row r="57">
      <c r="A57" s="14" t="n"/>
      <c r="B57" s="15" t="n"/>
      <c r="C57" s="15" t="n"/>
      <c r="D57" s="15" t="n"/>
      <c r="E57" s="15" t="n"/>
      <c r="F57" s="15" t="n"/>
      <c r="G57" s="15" t="n"/>
      <c r="H57" s="10">
        <f>IF(COUNT(C57:G57)=5,ROUND((LARGE(C57:G57,2)+LARGE(C57:G57,3)+LARGE(C57:G57,4))/3,1),"")</f>
        <v/>
      </c>
      <c r="I57" s="10">
        <f>IF(OR(A57="",NOT(ISNUMBER(TransDate))),"",A57-TransDate)</f>
        <v/>
      </c>
      <c r="J57" s="10">
        <f>IF(AND(B57="FP",ISNUMBER(H57)),H57,"")</f>
        <v/>
      </c>
      <c r="K57" s="10">
        <f>IF(AND(B57="3F4D+MD",ISNUMBER(H57)),H57,"")</f>
        <v/>
      </c>
    </row>
    <row r="58">
      <c r="A58" s="14" t="n"/>
      <c r="B58" s="15" t="n"/>
      <c r="C58" s="15" t="n"/>
      <c r="D58" s="15" t="n"/>
      <c r="E58" s="15" t="n"/>
      <c r="F58" s="15" t="n"/>
      <c r="G58" s="15" t="n"/>
      <c r="H58" s="10">
        <f>IF(COUNT(C58:G58)=5,ROUND((LARGE(C58:G58,2)+LARGE(C58:G58,3)+LARGE(C58:G58,4))/3,1),"")</f>
        <v/>
      </c>
      <c r="I58" s="10">
        <f>IF(OR(A58="",NOT(ISNUMBER(TransDate))),"",A58-TransDate)</f>
        <v/>
      </c>
      <c r="J58" s="10">
        <f>IF(AND(B58="FP",ISNUMBER(H58)),H58,"")</f>
        <v/>
      </c>
      <c r="K58" s="10">
        <f>IF(AND(B58="3F4D+MD",ISNUMBER(H58)),H58,"")</f>
        <v/>
      </c>
    </row>
    <row r="59">
      <c r="A59" s="14" t="n"/>
      <c r="B59" s="15" t="n"/>
      <c r="C59" s="15" t="n"/>
      <c r="D59" s="15" t="n"/>
      <c r="E59" s="15" t="n"/>
      <c r="F59" s="15" t="n"/>
      <c r="G59" s="15" t="n"/>
      <c r="H59" s="10">
        <f>IF(COUNT(C59:G59)=5,ROUND((LARGE(C59:G59,2)+LARGE(C59:G59,3)+LARGE(C59:G59,4))/3,1),"")</f>
        <v/>
      </c>
      <c r="I59" s="10">
        <f>IF(OR(A59="",NOT(ISNUMBER(TransDate))),"",A59-TransDate)</f>
        <v/>
      </c>
      <c r="J59" s="10">
        <f>IF(AND(B59="FP",ISNUMBER(H59)),H59,"")</f>
        <v/>
      </c>
      <c r="K59" s="10">
        <f>IF(AND(B59="3F4D+MD",ISNUMBER(H59)),H59,"")</f>
        <v/>
      </c>
    </row>
    <row r="60">
      <c r="A60" s="14" t="n"/>
      <c r="B60" s="15" t="n"/>
      <c r="C60" s="15" t="n"/>
      <c r="D60" s="15" t="n"/>
      <c r="E60" s="15" t="n"/>
      <c r="F60" s="15" t="n"/>
      <c r="G60" s="15" t="n"/>
      <c r="H60" s="10">
        <f>IF(COUNT(C60:G60)=5,ROUND((LARGE(C60:G60,2)+LARGE(C60:G60,3)+LARGE(C60:G60,4))/3,1),"")</f>
        <v/>
      </c>
      <c r="I60" s="10">
        <f>IF(OR(A60="",NOT(ISNUMBER(TransDate))),"",A60-TransDate)</f>
        <v/>
      </c>
      <c r="J60" s="10">
        <f>IF(AND(B60="FP",ISNUMBER(H60)),H60,"")</f>
        <v/>
      </c>
      <c r="K60" s="10">
        <f>IF(AND(B60="3F4D+MD",ISNUMBER(H60)),H60,"")</f>
        <v/>
      </c>
    </row>
    <row r="61">
      <c r="A61" s="14" t="n"/>
      <c r="B61" s="15" t="n"/>
      <c r="C61" s="15" t="n"/>
      <c r="D61" s="15" t="n"/>
      <c r="E61" s="15" t="n"/>
      <c r="F61" s="15" t="n"/>
      <c r="G61" s="15" t="n"/>
      <c r="H61" s="10">
        <f>IF(COUNT(C61:G61)=5,ROUND((LARGE(C61:G61,2)+LARGE(C61:G61,3)+LARGE(C61:G61,4))/3,1),"")</f>
        <v/>
      </c>
      <c r="I61" s="10">
        <f>IF(OR(A61="",NOT(ISNUMBER(TransDate))),"",A61-TransDate)</f>
        <v/>
      </c>
      <c r="J61" s="10">
        <f>IF(AND(B61="FP",ISNUMBER(H61)),H61,"")</f>
        <v/>
      </c>
      <c r="K61" s="10">
        <f>IF(AND(B61="3F4D+MD",ISNUMBER(H61)),H61,"")</f>
        <v/>
      </c>
    </row>
    <row r="62">
      <c r="A62" s="14" t="n"/>
      <c r="B62" s="15" t="n"/>
      <c r="C62" s="15" t="n"/>
      <c r="D62" s="15" t="n"/>
      <c r="E62" s="15" t="n"/>
      <c r="F62" s="15" t="n"/>
      <c r="G62" s="15" t="n"/>
      <c r="H62" s="10">
        <f>IF(COUNT(C62:G62)=5,ROUND((LARGE(C62:G62,2)+LARGE(C62:G62,3)+LARGE(C62:G62,4))/3,1),"")</f>
        <v/>
      </c>
      <c r="I62" s="10">
        <f>IF(OR(A62="",NOT(ISNUMBER(TransDate))),"",A62-TransDate)</f>
        <v/>
      </c>
      <c r="J62" s="10">
        <f>IF(AND(B62="FP",ISNUMBER(H62)),H62,"")</f>
        <v/>
      </c>
      <c r="K62" s="10">
        <f>IF(AND(B62="3F4D+MD",ISNUMBER(H62)),H62,"")</f>
        <v/>
      </c>
    </row>
    <row r="63">
      <c r="A63" s="14" t="n"/>
      <c r="B63" s="15" t="n"/>
      <c r="C63" s="15" t="n"/>
      <c r="D63" s="15" t="n"/>
      <c r="E63" s="15" t="n"/>
      <c r="F63" s="15" t="n"/>
      <c r="G63" s="15" t="n"/>
      <c r="H63" s="10">
        <f>IF(COUNT(C63:G63)=5,ROUND((LARGE(C63:G63,2)+LARGE(C63:G63,3)+LARGE(C63:G63,4))/3,1),"")</f>
        <v/>
      </c>
      <c r="I63" s="10">
        <f>IF(OR(A63="",NOT(ISNUMBER(TransDate))),"",A63-TransDate)</f>
        <v/>
      </c>
      <c r="J63" s="10">
        <f>IF(AND(B63="FP",ISNUMBER(H63)),H63,"")</f>
        <v/>
      </c>
      <c r="K63" s="10">
        <f>IF(AND(B63="3F4D+MD",ISNUMBER(H63)),H63,"")</f>
        <v/>
      </c>
    </row>
    <row r="64">
      <c r="A64" s="14" t="n"/>
      <c r="B64" s="15" t="n"/>
      <c r="C64" s="15" t="n"/>
      <c r="D64" s="15" t="n"/>
      <c r="E64" s="15" t="n"/>
      <c r="F64" s="15" t="n"/>
      <c r="G64" s="15" t="n"/>
      <c r="H64" s="10">
        <f>IF(COUNT(C64:G64)=5,ROUND((LARGE(C64:G64,2)+LARGE(C64:G64,3)+LARGE(C64:G64,4))/3,1),"")</f>
        <v/>
      </c>
      <c r="I64" s="10">
        <f>IF(OR(A64="",NOT(ISNUMBER(TransDate))),"",A64-TransDate)</f>
        <v/>
      </c>
      <c r="J64" s="10">
        <f>IF(AND(B64="FP",ISNUMBER(H64)),H64,"")</f>
        <v/>
      </c>
      <c r="K64" s="10">
        <f>IF(AND(B64="3F4D+MD",ISNUMBER(H64)),H64,"")</f>
        <v/>
      </c>
    </row>
    <row r="65">
      <c r="A65" s="14" t="n"/>
      <c r="B65" s="15" t="n"/>
      <c r="C65" s="15" t="n"/>
      <c r="D65" s="15" t="n"/>
      <c r="E65" s="15" t="n"/>
      <c r="F65" s="15" t="n"/>
      <c r="G65" s="15" t="n"/>
      <c r="H65" s="10">
        <f>IF(COUNT(C65:G65)=5,ROUND((LARGE(C65:G65,2)+LARGE(C65:G65,3)+LARGE(C65:G65,4))/3,1),"")</f>
        <v/>
      </c>
      <c r="I65" s="10">
        <f>IF(OR(A65="",NOT(ISNUMBER(TransDate))),"",A65-TransDate)</f>
        <v/>
      </c>
      <c r="J65" s="10">
        <f>IF(AND(B65="FP",ISNUMBER(H65)),H65,"")</f>
        <v/>
      </c>
      <c r="K65" s="10">
        <f>IF(AND(B65="3F4D+MD",ISNUMBER(H65)),H65,"")</f>
        <v/>
      </c>
    </row>
    <row r="66">
      <c r="A66" s="14" t="n"/>
      <c r="B66" s="15" t="n"/>
      <c r="C66" s="15" t="n"/>
      <c r="D66" s="15" t="n"/>
      <c r="E66" s="15" t="n"/>
      <c r="F66" s="15" t="n"/>
      <c r="G66" s="15" t="n"/>
      <c r="H66" s="10">
        <f>IF(COUNT(C66:G66)=5,ROUND((LARGE(C66:G66,2)+LARGE(C66:G66,3)+LARGE(C66:G66,4))/3,1),"")</f>
        <v/>
      </c>
      <c r="I66" s="10">
        <f>IF(OR(A66="",NOT(ISNUMBER(TransDate))),"",A66-TransDate)</f>
        <v/>
      </c>
      <c r="J66" s="10">
        <f>IF(AND(B66="FP",ISNUMBER(H66)),H66,"")</f>
        <v/>
      </c>
      <c r="K66" s="10">
        <f>IF(AND(B66="3F4D+MD",ISNUMBER(H66)),H66,"")</f>
        <v/>
      </c>
    </row>
    <row r="67">
      <c r="A67" s="14" t="n"/>
      <c r="B67" s="15" t="n"/>
      <c r="C67" s="15" t="n"/>
      <c r="D67" s="15" t="n"/>
      <c r="E67" s="15" t="n"/>
      <c r="F67" s="15" t="n"/>
      <c r="G67" s="15" t="n"/>
      <c r="H67" s="10">
        <f>IF(COUNT(C67:G67)=5,ROUND((LARGE(C67:G67,2)+LARGE(C67:G67,3)+LARGE(C67:G67,4))/3,1),"")</f>
        <v/>
      </c>
      <c r="I67" s="10">
        <f>IF(OR(A67="",NOT(ISNUMBER(TransDate))),"",A67-TransDate)</f>
        <v/>
      </c>
      <c r="J67" s="10">
        <f>IF(AND(B67="FP",ISNUMBER(H67)),H67,"")</f>
        <v/>
      </c>
      <c r="K67" s="10">
        <f>IF(AND(B67="3F4D+MD",ISNUMBER(H67)),H67,"")</f>
        <v/>
      </c>
    </row>
    <row r="68">
      <c r="A68" s="14" t="n"/>
      <c r="B68" s="15" t="n"/>
      <c r="C68" s="15" t="n"/>
      <c r="D68" s="15" t="n"/>
      <c r="E68" s="15" t="n"/>
      <c r="F68" s="15" t="n"/>
      <c r="G68" s="15" t="n"/>
      <c r="H68" s="10">
        <f>IF(COUNT(C68:G68)=5,ROUND((LARGE(C68:G68,2)+LARGE(C68:G68,3)+LARGE(C68:G68,4))/3,1),"")</f>
        <v/>
      </c>
      <c r="I68" s="10">
        <f>IF(OR(A68="",NOT(ISNUMBER(TransDate))),"",A68-TransDate)</f>
        <v/>
      </c>
      <c r="J68" s="10">
        <f>IF(AND(B68="FP",ISNUMBER(H68)),H68,"")</f>
        <v/>
      </c>
      <c r="K68" s="10">
        <f>IF(AND(B68="3F4D+MD",ISNUMBER(H68)),H68,"")</f>
        <v/>
      </c>
    </row>
    <row r="69">
      <c r="A69" s="14" t="n"/>
      <c r="B69" s="15" t="n"/>
      <c r="C69" s="15" t="n"/>
      <c r="D69" s="15" t="n"/>
      <c r="E69" s="15" t="n"/>
      <c r="F69" s="15" t="n"/>
      <c r="G69" s="15" t="n"/>
      <c r="H69" s="10">
        <f>IF(COUNT(C69:G69)=5,ROUND((LARGE(C69:G69,2)+LARGE(C69:G69,3)+LARGE(C69:G69,4))/3,1),"")</f>
        <v/>
      </c>
      <c r="I69" s="10">
        <f>IF(OR(A69="",NOT(ISNUMBER(TransDate))),"",A69-TransDate)</f>
        <v/>
      </c>
      <c r="J69" s="10">
        <f>IF(AND(B69="FP",ISNUMBER(H69)),H69,"")</f>
        <v/>
      </c>
      <c r="K69" s="10">
        <f>IF(AND(B69="3F4D+MD",ISNUMBER(H69)),H69,"")</f>
        <v/>
      </c>
    </row>
    <row r="70">
      <c r="A70" s="14" t="n"/>
      <c r="B70" s="15" t="n"/>
      <c r="C70" s="15" t="n"/>
      <c r="D70" s="15" t="n"/>
      <c r="E70" s="15" t="n"/>
      <c r="F70" s="15" t="n"/>
      <c r="G70" s="15" t="n"/>
      <c r="H70" s="10">
        <f>IF(COUNT(C70:G70)=5,ROUND((LARGE(C70:G70,2)+LARGE(C70:G70,3)+LARGE(C70:G70,4))/3,1),"")</f>
        <v/>
      </c>
      <c r="I70" s="10">
        <f>IF(OR(A70="",NOT(ISNUMBER(TransDate))),"",A70-TransDate)</f>
        <v/>
      </c>
      <c r="J70" s="10">
        <f>IF(AND(B70="FP",ISNUMBER(H70)),H70,"")</f>
        <v/>
      </c>
      <c r="K70" s="10">
        <f>IF(AND(B70="3F4D+MD",ISNUMBER(H70)),H70,"")</f>
        <v/>
      </c>
    </row>
    <row r="71">
      <c r="A71" s="14" t="n"/>
      <c r="B71" s="15" t="n"/>
      <c r="C71" s="15" t="n"/>
      <c r="D71" s="15" t="n"/>
      <c r="E71" s="15" t="n"/>
      <c r="F71" s="15" t="n"/>
      <c r="G71" s="15" t="n"/>
      <c r="H71" s="10">
        <f>IF(COUNT(C71:G71)=5,ROUND((LARGE(C71:G71,2)+LARGE(C71:G71,3)+LARGE(C71:G71,4))/3,1),"")</f>
        <v/>
      </c>
      <c r="I71" s="10">
        <f>IF(OR(A71="",NOT(ISNUMBER(TransDate))),"",A71-TransDate)</f>
        <v/>
      </c>
      <c r="J71" s="10">
        <f>IF(AND(B71="FP",ISNUMBER(H71)),H71,"")</f>
        <v/>
      </c>
      <c r="K71" s="10">
        <f>IF(AND(B71="3F4D+MD",ISNUMBER(H71)),H71,"")</f>
        <v/>
      </c>
    </row>
    <row r="72">
      <c r="A72" s="14" t="n"/>
      <c r="B72" s="15" t="n"/>
      <c r="C72" s="15" t="n"/>
      <c r="D72" s="15" t="n"/>
      <c r="E72" s="15" t="n"/>
      <c r="F72" s="15" t="n"/>
      <c r="G72" s="15" t="n"/>
      <c r="H72" s="10">
        <f>IF(COUNT(C72:G72)=5,ROUND((LARGE(C72:G72,2)+LARGE(C72:G72,3)+LARGE(C72:G72,4))/3,1),"")</f>
        <v/>
      </c>
      <c r="I72" s="10">
        <f>IF(OR(A72="",NOT(ISNUMBER(TransDate))),"",A72-TransDate)</f>
        <v/>
      </c>
      <c r="J72" s="10">
        <f>IF(AND(B72="FP",ISNUMBER(H72)),H72,"")</f>
        <v/>
      </c>
      <c r="K72" s="10">
        <f>IF(AND(B72="3F4D+MD",ISNUMBER(H72)),H72,"")</f>
        <v/>
      </c>
    </row>
    <row r="73">
      <c r="A73" s="14" t="n"/>
      <c r="B73" s="15" t="n"/>
      <c r="C73" s="15" t="n"/>
      <c r="D73" s="15" t="n"/>
      <c r="E73" s="15" t="n"/>
      <c r="F73" s="15" t="n"/>
      <c r="G73" s="15" t="n"/>
      <c r="H73" s="10">
        <f>IF(COUNT(C73:G73)=5,ROUND((LARGE(C73:G73,2)+LARGE(C73:G73,3)+LARGE(C73:G73,4))/3,1),"")</f>
        <v/>
      </c>
      <c r="I73" s="10">
        <f>IF(OR(A73="",NOT(ISNUMBER(TransDate))),"",A73-TransDate)</f>
        <v/>
      </c>
      <c r="J73" s="10">
        <f>IF(AND(B73="FP",ISNUMBER(H73)),H73,"")</f>
        <v/>
      </c>
      <c r="K73" s="10">
        <f>IF(AND(B73="3F4D+MD",ISNUMBER(H73)),H73,"")</f>
        <v/>
      </c>
    </row>
    <row r="74">
      <c r="A74" s="14" t="n"/>
      <c r="B74" s="15" t="n"/>
      <c r="C74" s="15" t="n"/>
      <c r="D74" s="15" t="n"/>
      <c r="E74" s="15" t="n"/>
      <c r="F74" s="15" t="n"/>
      <c r="G74" s="15" t="n"/>
      <c r="H74" s="10">
        <f>IF(COUNT(C74:G74)=5,ROUND((LARGE(C74:G74,2)+LARGE(C74:G74,3)+LARGE(C74:G74,4))/3,1),"")</f>
        <v/>
      </c>
      <c r="I74" s="10">
        <f>IF(OR(A74="",NOT(ISNUMBER(TransDate))),"",A74-TransDate)</f>
        <v/>
      </c>
      <c r="J74" s="10">
        <f>IF(AND(B74="FP",ISNUMBER(H74)),H74,"")</f>
        <v/>
      </c>
      <c r="K74" s="10">
        <f>IF(AND(B74="3F4D+MD",ISNUMBER(H74)),H74,"")</f>
        <v/>
      </c>
    </row>
    <row r="75">
      <c r="A75" s="14" t="n"/>
      <c r="B75" s="15" t="n"/>
      <c r="C75" s="15" t="n"/>
      <c r="D75" s="15" t="n"/>
      <c r="E75" s="15" t="n"/>
      <c r="F75" s="15" t="n"/>
      <c r="G75" s="15" t="n"/>
      <c r="H75" s="10">
        <f>IF(COUNT(C75:G75)=5,ROUND((LARGE(C75:G75,2)+LARGE(C75:G75,3)+LARGE(C75:G75,4))/3,1),"")</f>
        <v/>
      </c>
      <c r="I75" s="10">
        <f>IF(OR(A75="",NOT(ISNUMBER(TransDate))),"",A75-TransDate)</f>
        <v/>
      </c>
      <c r="J75" s="10">
        <f>IF(AND(B75="FP",ISNUMBER(H75)),H75,"")</f>
        <v/>
      </c>
      <c r="K75" s="10">
        <f>IF(AND(B75="3F4D+MD",ISNUMBER(H75)),H75,"")</f>
        <v/>
      </c>
    </row>
    <row r="76">
      <c r="A76" s="14" t="n"/>
      <c r="B76" s="15" t="n"/>
      <c r="C76" s="15" t="n"/>
      <c r="D76" s="15" t="n"/>
      <c r="E76" s="15" t="n"/>
      <c r="F76" s="15" t="n"/>
      <c r="G76" s="15" t="n"/>
      <c r="H76" s="10">
        <f>IF(COUNT(C76:G76)=5,ROUND((LARGE(C76:G76,2)+LARGE(C76:G76,3)+LARGE(C76:G76,4))/3,1),"")</f>
        <v/>
      </c>
      <c r="I76" s="10">
        <f>IF(OR(A76="",NOT(ISNUMBER(TransDate))),"",A76-TransDate)</f>
        <v/>
      </c>
      <c r="J76" s="10">
        <f>IF(AND(B76="FP",ISNUMBER(H76)),H76,"")</f>
        <v/>
      </c>
      <c r="K76" s="10">
        <f>IF(AND(B76="3F4D+MD",ISNUMBER(H76)),H76,"")</f>
        <v/>
      </c>
    </row>
    <row r="77">
      <c r="A77" s="14" t="n"/>
      <c r="B77" s="15" t="n"/>
      <c r="C77" s="15" t="n"/>
      <c r="D77" s="15" t="n"/>
      <c r="E77" s="15" t="n"/>
      <c r="F77" s="15" t="n"/>
      <c r="G77" s="15" t="n"/>
      <c r="H77" s="10">
        <f>IF(COUNT(C77:G77)=5,ROUND((LARGE(C77:G77,2)+LARGE(C77:G77,3)+LARGE(C77:G77,4))/3,1),"")</f>
        <v/>
      </c>
      <c r="I77" s="10">
        <f>IF(OR(A77="",NOT(ISNUMBER(TransDate))),"",A77-TransDate)</f>
        <v/>
      </c>
      <c r="J77" s="10">
        <f>IF(AND(B77="FP",ISNUMBER(H77)),H77,"")</f>
        <v/>
      </c>
      <c r="K77" s="10">
        <f>IF(AND(B77="3F4D+MD",ISNUMBER(H77)),H77,"")</f>
        <v/>
      </c>
    </row>
    <row r="78">
      <c r="A78" s="14" t="n"/>
      <c r="B78" s="15" t="n"/>
      <c r="C78" s="15" t="n"/>
      <c r="D78" s="15" t="n"/>
      <c r="E78" s="15" t="n"/>
      <c r="F78" s="15" t="n"/>
      <c r="G78" s="15" t="n"/>
      <c r="H78" s="10">
        <f>IF(COUNT(C78:G78)=5,ROUND((LARGE(C78:G78,2)+LARGE(C78:G78,3)+LARGE(C78:G78,4))/3,1),"")</f>
        <v/>
      </c>
      <c r="I78" s="10">
        <f>IF(OR(A78="",NOT(ISNUMBER(TransDate))),"",A78-TransDate)</f>
        <v/>
      </c>
      <c r="J78" s="10">
        <f>IF(AND(B78="FP",ISNUMBER(H78)),H78,"")</f>
        <v/>
      </c>
      <c r="K78" s="10">
        <f>IF(AND(B78="3F4D+MD",ISNUMBER(H78)),H78,"")</f>
        <v/>
      </c>
    </row>
    <row r="79">
      <c r="A79" s="14" t="n"/>
      <c r="B79" s="15" t="n"/>
      <c r="C79" s="15" t="n"/>
      <c r="D79" s="15" t="n"/>
      <c r="E79" s="15" t="n"/>
      <c r="F79" s="15" t="n"/>
      <c r="G79" s="15" t="n"/>
      <c r="H79" s="10">
        <f>IF(COUNT(C79:G79)=5,ROUND((LARGE(C79:G79,2)+LARGE(C79:G79,3)+LARGE(C79:G79,4))/3,1),"")</f>
        <v/>
      </c>
      <c r="I79" s="10">
        <f>IF(OR(A79="",NOT(ISNUMBER(TransDate))),"",A79-TransDate)</f>
        <v/>
      </c>
      <c r="J79" s="10">
        <f>IF(AND(B79="FP",ISNUMBER(H79)),H79,"")</f>
        <v/>
      </c>
      <c r="K79" s="10">
        <f>IF(AND(B79="3F4D+MD",ISNUMBER(H79)),H79,"")</f>
        <v/>
      </c>
    </row>
    <row r="80">
      <c r="A80" s="14" t="n"/>
      <c r="B80" s="15" t="n"/>
      <c r="C80" s="15" t="n"/>
      <c r="D80" s="15" t="n"/>
      <c r="E80" s="15" t="n"/>
      <c r="F80" s="15" t="n"/>
      <c r="G80" s="15" t="n"/>
      <c r="H80" s="10">
        <f>IF(COUNT(C80:G80)=5,ROUND((LARGE(C80:G80,2)+LARGE(C80:G80,3)+LARGE(C80:G80,4))/3,1),"")</f>
        <v/>
      </c>
      <c r="I80" s="10">
        <f>IF(OR(A80="",NOT(ISNUMBER(TransDate))),"",A80-TransDate)</f>
        <v/>
      </c>
      <c r="J80" s="10">
        <f>IF(AND(B80="FP",ISNUMBER(H80)),H80,"")</f>
        <v/>
      </c>
      <c r="K80" s="10">
        <f>IF(AND(B80="3F4D+MD",ISNUMBER(H80)),H80,"")</f>
        <v/>
      </c>
    </row>
    <row r="81">
      <c r="A81" s="14" t="n"/>
      <c r="B81" s="15" t="n"/>
      <c r="C81" s="15" t="n"/>
      <c r="D81" s="15" t="n"/>
      <c r="E81" s="15" t="n"/>
      <c r="F81" s="15" t="n"/>
      <c r="G81" s="15" t="n"/>
      <c r="H81" s="10">
        <f>IF(COUNT(C81:G81)=5,ROUND((LARGE(C81:G81,2)+LARGE(C81:G81,3)+LARGE(C81:G81,4))/3,1),"")</f>
        <v/>
      </c>
      <c r="I81" s="10">
        <f>IF(OR(A81="",NOT(ISNUMBER(TransDate))),"",A81-TransDate)</f>
        <v/>
      </c>
      <c r="J81" s="10">
        <f>IF(AND(B81="FP",ISNUMBER(H81)),H81,"")</f>
        <v/>
      </c>
      <c r="K81" s="10">
        <f>IF(AND(B81="3F4D+MD",ISNUMBER(H81)),H81,"")</f>
        <v/>
      </c>
    </row>
    <row r="82">
      <c r="A82" s="14" t="n"/>
      <c r="B82" s="15" t="n"/>
      <c r="C82" s="15" t="n"/>
      <c r="D82" s="15" t="n"/>
      <c r="E82" s="15" t="n"/>
      <c r="F82" s="15" t="n"/>
      <c r="G82" s="15" t="n"/>
      <c r="H82" s="10">
        <f>IF(COUNT(C82:G82)=5,ROUND((LARGE(C82:G82,2)+LARGE(C82:G82,3)+LARGE(C82:G82,4))/3,1),"")</f>
        <v/>
      </c>
      <c r="I82" s="10">
        <f>IF(OR(A82="",NOT(ISNUMBER(TransDate))),"",A82-TransDate)</f>
        <v/>
      </c>
      <c r="J82" s="10">
        <f>IF(AND(B82="FP",ISNUMBER(H82)),H82,"")</f>
        <v/>
      </c>
      <c r="K82" s="10">
        <f>IF(AND(B82="3F4D+MD",ISNUMBER(H82)),H82,"")</f>
        <v/>
      </c>
    </row>
    <row r="83">
      <c r="A83" s="14" t="n"/>
      <c r="B83" s="15" t="n"/>
      <c r="C83" s="15" t="n"/>
      <c r="D83" s="15" t="n"/>
      <c r="E83" s="15" t="n"/>
      <c r="F83" s="15" t="n"/>
      <c r="G83" s="15" t="n"/>
      <c r="H83" s="10">
        <f>IF(COUNT(C83:G83)=5,ROUND((LARGE(C83:G83,2)+LARGE(C83:G83,3)+LARGE(C83:G83,4))/3,1),"")</f>
        <v/>
      </c>
      <c r="I83" s="10">
        <f>IF(OR(A83="",NOT(ISNUMBER(TransDate))),"",A83-TransDate)</f>
        <v/>
      </c>
      <c r="J83" s="10">
        <f>IF(AND(B83="FP",ISNUMBER(H83)),H83,"")</f>
        <v/>
      </c>
      <c r="K83" s="10">
        <f>IF(AND(B83="3F4D+MD",ISNUMBER(H83)),H83,"")</f>
        <v/>
      </c>
    </row>
    <row r="84">
      <c r="A84" s="14" t="n"/>
      <c r="B84" s="15" t="n"/>
      <c r="C84" s="15" t="n"/>
      <c r="D84" s="15" t="n"/>
      <c r="E84" s="15" t="n"/>
      <c r="F84" s="15" t="n"/>
      <c r="G84" s="15" t="n"/>
      <c r="H84" s="10">
        <f>IF(COUNT(C84:G84)=5,ROUND((LARGE(C84:G84,2)+LARGE(C84:G84,3)+LARGE(C84:G84,4))/3,1),"")</f>
        <v/>
      </c>
      <c r="I84" s="10">
        <f>IF(OR(A84="",NOT(ISNUMBER(TransDate))),"",A84-TransDate)</f>
        <v/>
      </c>
      <c r="J84" s="10">
        <f>IF(AND(B84="FP",ISNUMBER(H84)),H84,"")</f>
        <v/>
      </c>
      <c r="K84" s="10">
        <f>IF(AND(B84="3F4D+MD",ISNUMBER(H84)),H84,"")</f>
        <v/>
      </c>
    </row>
    <row r="85">
      <c r="A85" s="14" t="n"/>
      <c r="B85" s="15" t="n"/>
      <c r="C85" s="15" t="n"/>
      <c r="D85" s="15" t="n"/>
      <c r="E85" s="15" t="n"/>
      <c r="F85" s="15" t="n"/>
      <c r="G85" s="15" t="n"/>
      <c r="H85" s="10">
        <f>IF(COUNT(C85:G85)=5,ROUND((LARGE(C85:G85,2)+LARGE(C85:G85,3)+LARGE(C85:G85,4))/3,1),"")</f>
        <v/>
      </c>
      <c r="I85" s="10">
        <f>IF(OR(A85="",NOT(ISNUMBER(TransDate))),"",A85-TransDate)</f>
        <v/>
      </c>
      <c r="J85" s="10">
        <f>IF(AND(B85="FP",ISNUMBER(H85)),H85,"")</f>
        <v/>
      </c>
      <c r="K85" s="10">
        <f>IF(AND(B85="3F4D+MD",ISNUMBER(H85)),H85,"")</f>
        <v/>
      </c>
    </row>
    <row r="86">
      <c r="A86" s="14" t="n"/>
      <c r="B86" s="15" t="n"/>
      <c r="C86" s="15" t="n"/>
      <c r="D86" s="15" t="n"/>
      <c r="E86" s="15" t="n"/>
      <c r="F86" s="15" t="n"/>
      <c r="G86" s="15" t="n"/>
      <c r="H86" s="10">
        <f>IF(COUNT(C86:G86)=5,ROUND((LARGE(C86:G86,2)+LARGE(C86:G86,3)+LARGE(C86:G86,4))/3,1),"")</f>
        <v/>
      </c>
      <c r="I86" s="10">
        <f>IF(OR(A86="",NOT(ISNUMBER(TransDate))),"",A86-TransDate)</f>
        <v/>
      </c>
      <c r="J86" s="10">
        <f>IF(AND(B86="FP",ISNUMBER(H86)),H86,"")</f>
        <v/>
      </c>
      <c r="K86" s="10">
        <f>IF(AND(B86="3F4D+MD",ISNUMBER(H86)),H86,"")</f>
        <v/>
      </c>
    </row>
    <row r="87">
      <c r="A87" s="14" t="n"/>
      <c r="B87" s="15" t="n"/>
      <c r="C87" s="15" t="n"/>
      <c r="D87" s="15" t="n"/>
      <c r="E87" s="15" t="n"/>
      <c r="F87" s="15" t="n"/>
      <c r="G87" s="15" t="n"/>
      <c r="H87" s="10">
        <f>IF(COUNT(C87:G87)=5,ROUND((LARGE(C87:G87,2)+LARGE(C87:G87,3)+LARGE(C87:G87,4))/3,1),"")</f>
        <v/>
      </c>
      <c r="I87" s="10">
        <f>IF(OR(A87="",NOT(ISNUMBER(TransDate))),"",A87-TransDate)</f>
        <v/>
      </c>
      <c r="J87" s="10">
        <f>IF(AND(B87="FP",ISNUMBER(H87)),H87,"")</f>
        <v/>
      </c>
      <c r="K87" s="10">
        <f>IF(AND(B87="3F4D+MD",ISNUMBER(H87)),H87,"")</f>
        <v/>
      </c>
    </row>
    <row r="88">
      <c r="A88" s="14" t="n"/>
      <c r="B88" s="15" t="n"/>
      <c r="C88" s="15" t="n"/>
      <c r="D88" s="15" t="n"/>
      <c r="E88" s="15" t="n"/>
      <c r="F88" s="15" t="n"/>
      <c r="G88" s="15" t="n"/>
      <c r="H88" s="10">
        <f>IF(COUNT(C88:G88)=5,ROUND((LARGE(C88:G88,2)+LARGE(C88:G88,3)+LARGE(C88:G88,4))/3,1),"")</f>
        <v/>
      </c>
      <c r="I88" s="10">
        <f>IF(OR(A88="",NOT(ISNUMBER(TransDate))),"",A88-TransDate)</f>
        <v/>
      </c>
      <c r="J88" s="10">
        <f>IF(AND(B88="FP",ISNUMBER(H88)),H88,"")</f>
        <v/>
      </c>
      <c r="K88" s="10">
        <f>IF(AND(B88="3F4D+MD",ISNUMBER(H88)),H88,"")</f>
        <v/>
      </c>
    </row>
    <row r="89">
      <c r="A89" s="14" t="n"/>
      <c r="B89" s="15" t="n"/>
      <c r="C89" s="15" t="n"/>
      <c r="D89" s="15" t="n"/>
      <c r="E89" s="15" t="n"/>
      <c r="F89" s="15" t="n"/>
      <c r="G89" s="15" t="n"/>
      <c r="H89" s="10">
        <f>IF(COUNT(C89:G89)=5,ROUND((LARGE(C89:G89,2)+LARGE(C89:G89,3)+LARGE(C89:G89,4))/3,1),"")</f>
        <v/>
      </c>
      <c r="I89" s="10">
        <f>IF(OR(A89="",NOT(ISNUMBER(TransDate))),"",A89-TransDate)</f>
        <v/>
      </c>
      <c r="J89" s="10">
        <f>IF(AND(B89="FP",ISNUMBER(H89)),H89,"")</f>
        <v/>
      </c>
      <c r="K89" s="10">
        <f>IF(AND(B89="3F4D+MD",ISNUMBER(H89)),H89,"")</f>
        <v/>
      </c>
    </row>
    <row r="90">
      <c r="A90" s="14" t="n"/>
      <c r="B90" s="15" t="n"/>
      <c r="C90" s="15" t="n"/>
      <c r="D90" s="15" t="n"/>
      <c r="E90" s="15" t="n"/>
      <c r="F90" s="15" t="n"/>
      <c r="G90" s="15" t="n"/>
      <c r="H90" s="10">
        <f>IF(COUNT(C90:G90)=5,ROUND((LARGE(C90:G90,2)+LARGE(C90:G90,3)+LARGE(C90:G90,4))/3,1),"")</f>
        <v/>
      </c>
      <c r="I90" s="10">
        <f>IF(OR(A90="",NOT(ISNUMBER(TransDate))),"",A90-TransDate)</f>
        <v/>
      </c>
      <c r="J90" s="10">
        <f>IF(AND(B90="FP",ISNUMBER(H90)),H90,"")</f>
        <v/>
      </c>
      <c r="K90" s="10">
        <f>IF(AND(B90="3F4D+MD",ISNUMBER(H90)),H90,"")</f>
        <v/>
      </c>
    </row>
    <row r="91">
      <c r="A91" s="14" t="n"/>
      <c r="B91" s="15" t="n"/>
      <c r="C91" s="15" t="n"/>
      <c r="D91" s="15" t="n"/>
      <c r="E91" s="15" t="n"/>
      <c r="F91" s="15" t="n"/>
      <c r="G91" s="15" t="n"/>
      <c r="H91" s="10">
        <f>IF(COUNT(C91:G91)=5,ROUND((LARGE(C91:G91,2)+LARGE(C91:G91,3)+LARGE(C91:G91,4))/3,1),"")</f>
        <v/>
      </c>
      <c r="I91" s="10">
        <f>IF(OR(A91="",NOT(ISNUMBER(TransDate))),"",A91-TransDate)</f>
        <v/>
      </c>
      <c r="J91" s="10">
        <f>IF(AND(B91="FP",ISNUMBER(H91)),H91,"")</f>
        <v/>
      </c>
      <c r="K91" s="10">
        <f>IF(AND(B91="3F4D+MD",ISNUMBER(H91)),H91,"")</f>
        <v/>
      </c>
    </row>
    <row r="92">
      <c r="A92" s="14" t="n"/>
      <c r="B92" s="15" t="n"/>
      <c r="C92" s="15" t="n"/>
      <c r="D92" s="15" t="n"/>
      <c r="E92" s="15" t="n"/>
      <c r="F92" s="15" t="n"/>
      <c r="G92" s="15" t="n"/>
      <c r="H92" s="10">
        <f>IF(COUNT(C92:G92)=5,ROUND((LARGE(C92:G92,2)+LARGE(C92:G92,3)+LARGE(C92:G92,4))/3,1),"")</f>
        <v/>
      </c>
      <c r="I92" s="10">
        <f>IF(OR(A92="",NOT(ISNUMBER(TransDate))),"",A92-TransDate)</f>
        <v/>
      </c>
      <c r="J92" s="10">
        <f>IF(AND(B92="FP",ISNUMBER(H92)),H92,"")</f>
        <v/>
      </c>
      <c r="K92" s="10">
        <f>IF(AND(B92="3F4D+MD",ISNUMBER(H92)),H92,"")</f>
        <v/>
      </c>
    </row>
    <row r="93">
      <c r="A93" s="14" t="n"/>
      <c r="B93" s="15" t="n"/>
      <c r="C93" s="15" t="n"/>
      <c r="D93" s="15" t="n"/>
      <c r="E93" s="15" t="n"/>
      <c r="F93" s="15" t="n"/>
      <c r="G93" s="15" t="n"/>
      <c r="H93" s="10">
        <f>IF(COUNT(C93:G93)=5,ROUND((LARGE(C93:G93,2)+LARGE(C93:G93,3)+LARGE(C93:G93,4))/3,1),"")</f>
        <v/>
      </c>
      <c r="I93" s="10">
        <f>IF(OR(A93="",NOT(ISNUMBER(TransDate))),"",A93-TransDate)</f>
        <v/>
      </c>
      <c r="J93" s="10">
        <f>IF(AND(B93="FP",ISNUMBER(H93)),H93,"")</f>
        <v/>
      </c>
      <c r="K93" s="10">
        <f>IF(AND(B93="3F4D+MD",ISNUMBER(H93)),H93,"")</f>
        <v/>
      </c>
    </row>
    <row r="94">
      <c r="A94" s="14" t="n"/>
      <c r="B94" s="15" t="n"/>
      <c r="C94" s="15" t="n"/>
      <c r="D94" s="15" t="n"/>
      <c r="E94" s="15" t="n"/>
      <c r="F94" s="15" t="n"/>
      <c r="G94" s="15" t="n"/>
      <c r="H94" s="10">
        <f>IF(COUNT(C94:G94)=5,ROUND((LARGE(C94:G94,2)+LARGE(C94:G94,3)+LARGE(C94:G94,4))/3,1),"")</f>
        <v/>
      </c>
      <c r="I94" s="10">
        <f>IF(OR(A94="",NOT(ISNUMBER(TransDate))),"",A94-TransDate)</f>
        <v/>
      </c>
      <c r="J94" s="10">
        <f>IF(AND(B94="FP",ISNUMBER(H94)),H94,"")</f>
        <v/>
      </c>
      <c r="K94" s="10">
        <f>IF(AND(B94="3F4D+MD",ISNUMBER(H94)),H94,"")</f>
        <v/>
      </c>
    </row>
    <row r="95">
      <c r="A95" s="14" t="n"/>
      <c r="B95" s="15" t="n"/>
      <c r="C95" s="15" t="n"/>
      <c r="D95" s="15" t="n"/>
      <c r="E95" s="15" t="n"/>
      <c r="F95" s="15" t="n"/>
      <c r="G95" s="15" t="n"/>
      <c r="H95" s="10">
        <f>IF(COUNT(C95:G95)=5,ROUND((LARGE(C95:G95,2)+LARGE(C95:G95,3)+LARGE(C95:G95,4))/3,1),"")</f>
        <v/>
      </c>
      <c r="I95" s="10">
        <f>IF(OR(A95="",NOT(ISNUMBER(TransDate))),"",A95-TransDate)</f>
        <v/>
      </c>
      <c r="J95" s="10">
        <f>IF(AND(B95="FP",ISNUMBER(H95)),H95,"")</f>
        <v/>
      </c>
      <c r="K95" s="10">
        <f>IF(AND(B95="3F4D+MD",ISNUMBER(H95)),H95,"")</f>
        <v/>
      </c>
    </row>
    <row r="96">
      <c r="A96" s="14" t="n"/>
      <c r="B96" s="15" t="n"/>
      <c r="C96" s="15" t="n"/>
      <c r="D96" s="15" t="n"/>
      <c r="E96" s="15" t="n"/>
      <c r="F96" s="15" t="n"/>
      <c r="G96" s="15" t="n"/>
      <c r="H96" s="10">
        <f>IF(COUNT(C96:G96)=5,ROUND((LARGE(C96:G96,2)+LARGE(C96:G96,3)+LARGE(C96:G96,4))/3,1),"")</f>
        <v/>
      </c>
      <c r="I96" s="10">
        <f>IF(OR(A96="",NOT(ISNUMBER(TransDate))),"",A96-TransDate)</f>
        <v/>
      </c>
      <c r="J96" s="10">
        <f>IF(AND(B96="FP",ISNUMBER(H96)),H96,"")</f>
        <v/>
      </c>
      <c r="K96" s="10">
        <f>IF(AND(B96="3F4D+MD",ISNUMBER(H96)),H96,"")</f>
        <v/>
      </c>
    </row>
    <row r="97">
      <c r="A97" s="14" t="n"/>
      <c r="B97" s="15" t="n"/>
      <c r="C97" s="15" t="n"/>
      <c r="D97" s="15" t="n"/>
      <c r="E97" s="15" t="n"/>
      <c r="F97" s="15" t="n"/>
      <c r="G97" s="15" t="n"/>
      <c r="H97" s="10">
        <f>IF(COUNT(C97:G97)=5,ROUND((LARGE(C97:G97,2)+LARGE(C97:G97,3)+LARGE(C97:G97,4))/3,1),"")</f>
        <v/>
      </c>
      <c r="I97" s="10">
        <f>IF(OR(A97="",NOT(ISNUMBER(TransDate))),"",A97-TransDate)</f>
        <v/>
      </c>
      <c r="J97" s="10">
        <f>IF(AND(B97="FP",ISNUMBER(H97)),H97,"")</f>
        <v/>
      </c>
      <c r="K97" s="10">
        <f>IF(AND(B97="3F4D+MD",ISNUMBER(H97)),H97,"")</f>
        <v/>
      </c>
    </row>
    <row r="98">
      <c r="A98" s="14" t="n"/>
      <c r="B98" s="15" t="n"/>
      <c r="C98" s="15" t="n"/>
      <c r="D98" s="15" t="n"/>
      <c r="E98" s="15" t="n"/>
      <c r="F98" s="15" t="n"/>
      <c r="G98" s="15" t="n"/>
      <c r="H98" s="10">
        <f>IF(COUNT(C98:G98)=5,ROUND((LARGE(C98:G98,2)+LARGE(C98:G98,3)+LARGE(C98:G98,4))/3,1),"")</f>
        <v/>
      </c>
      <c r="I98" s="10">
        <f>IF(OR(A98="",NOT(ISNUMBER(TransDate))),"",A98-TransDate)</f>
        <v/>
      </c>
      <c r="J98" s="10">
        <f>IF(AND(B98="FP",ISNUMBER(H98)),H98,"")</f>
        <v/>
      </c>
      <c r="K98" s="10">
        <f>IF(AND(B98="3F4D+MD",ISNUMBER(H98)),H98,"")</f>
        <v/>
      </c>
    </row>
    <row r="99">
      <c r="A99" s="14" t="n"/>
      <c r="B99" s="15" t="n"/>
      <c r="C99" s="15" t="n"/>
      <c r="D99" s="15" t="n"/>
      <c r="E99" s="15" t="n"/>
      <c r="F99" s="15" t="n"/>
      <c r="G99" s="15" t="n"/>
      <c r="H99" s="10">
        <f>IF(COUNT(C99:G99)=5,ROUND((LARGE(C99:G99,2)+LARGE(C99:G99,3)+LARGE(C99:G99,4))/3,1),"")</f>
        <v/>
      </c>
      <c r="I99" s="10">
        <f>IF(OR(A99="",NOT(ISNUMBER(TransDate))),"",A99-TransDate)</f>
        <v/>
      </c>
      <c r="J99" s="10">
        <f>IF(AND(B99="FP",ISNUMBER(H99)),H99,"")</f>
        <v/>
      </c>
      <c r="K99" s="10">
        <f>IF(AND(B99="3F4D+MD",ISNUMBER(H99)),H99,"")</f>
        <v/>
      </c>
    </row>
    <row r="100">
      <c r="A100" s="14" t="n"/>
      <c r="B100" s="15" t="n"/>
      <c r="C100" s="15" t="n"/>
      <c r="D100" s="15" t="n"/>
      <c r="E100" s="15" t="n"/>
      <c r="F100" s="15" t="n"/>
      <c r="G100" s="15" t="n"/>
      <c r="H100" s="10">
        <f>IF(COUNT(C100:G100)=5,ROUND((LARGE(C100:G100,2)+LARGE(C100:G100,3)+LARGE(C100:G100,4))/3,1),"")</f>
        <v/>
      </c>
      <c r="I100" s="10">
        <f>IF(OR(A100="",NOT(ISNUMBER(TransDate))),"",A100-TransDate)</f>
        <v/>
      </c>
      <c r="J100" s="10">
        <f>IF(AND(B100="FP",ISNUMBER(H100)),H100,"")</f>
        <v/>
      </c>
      <c r="K100" s="10">
        <f>IF(AND(B100="3F4D+MD",ISNUMBER(H100)),H100,"")</f>
        <v/>
      </c>
    </row>
    <row r="101">
      <c r="A101" s="14" t="n"/>
      <c r="B101" s="15" t="n"/>
      <c r="C101" s="15" t="n"/>
      <c r="D101" s="15" t="n"/>
      <c r="E101" s="15" t="n"/>
      <c r="F101" s="15" t="n"/>
      <c r="G101" s="15" t="n"/>
      <c r="H101" s="10">
        <f>IF(COUNT(C101:G101)=5,ROUND((LARGE(C101:G101,2)+LARGE(C101:G101,3)+LARGE(C101:G101,4))/3,1),"")</f>
        <v/>
      </c>
      <c r="I101" s="10">
        <f>IF(OR(A101="",NOT(ISNUMBER(TransDate))),"",A101-TransDate)</f>
        <v/>
      </c>
      <c r="J101" s="10">
        <f>IF(AND(B101="FP",ISNUMBER(H101)),H101,"")</f>
        <v/>
      </c>
      <c r="K101" s="10">
        <f>IF(AND(B101="3F4D+MD",ISNUMBER(H101)),H101,"")</f>
        <v/>
      </c>
    </row>
    <row r="102">
      <c r="A102" s="14" t="n"/>
      <c r="B102" s="15" t="n"/>
      <c r="C102" s="15" t="n"/>
      <c r="D102" s="15" t="n"/>
      <c r="E102" s="15" t="n"/>
      <c r="F102" s="15" t="n"/>
      <c r="G102" s="15" t="n"/>
      <c r="H102" s="10">
        <f>IF(COUNT(C102:G102)=5,ROUND((LARGE(C102:G102,2)+LARGE(C102:G102,3)+LARGE(C102:G102,4))/3,1),"")</f>
        <v/>
      </c>
      <c r="I102" s="10">
        <f>IF(OR(A102="",NOT(ISNUMBER(TransDate))),"",A102-TransDate)</f>
        <v/>
      </c>
      <c r="J102" s="10">
        <f>IF(AND(B102="FP",ISNUMBER(H102)),H102,"")</f>
        <v/>
      </c>
      <c r="K102" s="10">
        <f>IF(AND(B102="3F4D+MD",ISNUMBER(H102)),H102,"")</f>
        <v/>
      </c>
    </row>
    <row r="103">
      <c r="A103" s="14" t="n"/>
      <c r="B103" s="15" t="n"/>
      <c r="C103" s="15" t="n"/>
      <c r="D103" s="15" t="n"/>
      <c r="E103" s="15" t="n"/>
      <c r="F103" s="15" t="n"/>
      <c r="G103" s="15" t="n"/>
      <c r="H103" s="10">
        <f>IF(COUNT(C103:G103)=5,ROUND((LARGE(C103:G103,2)+LARGE(C103:G103,3)+LARGE(C103:G103,4))/3,1),"")</f>
        <v/>
      </c>
      <c r="I103" s="10">
        <f>IF(OR(A103="",NOT(ISNUMBER(TransDate))),"",A103-TransDate)</f>
        <v/>
      </c>
      <c r="J103" s="10">
        <f>IF(AND(B103="FP",ISNUMBER(H103)),H103,"")</f>
        <v/>
      </c>
      <c r="K103" s="10">
        <f>IF(AND(B103="3F4D+MD",ISNUMBER(H103)),H103,"")</f>
        <v/>
      </c>
    </row>
    <row r="104">
      <c r="A104" s="14" t="n"/>
      <c r="B104" s="15" t="n"/>
      <c r="C104" s="15" t="n"/>
      <c r="D104" s="15" t="n"/>
      <c r="E104" s="15" t="n"/>
      <c r="F104" s="15" t="n"/>
      <c r="G104" s="15" t="n"/>
      <c r="H104" s="10">
        <f>IF(COUNT(C104:G104)=5,ROUND((LARGE(C104:G104,2)+LARGE(C104:G104,3)+LARGE(C104:G104,4))/3,1),"")</f>
        <v/>
      </c>
      <c r="I104" s="10">
        <f>IF(OR(A104="",NOT(ISNUMBER(TransDate))),"",A104-TransDate)</f>
        <v/>
      </c>
      <c r="J104" s="10">
        <f>IF(AND(B104="FP",ISNUMBER(H104)),H104,"")</f>
        <v/>
      </c>
      <c r="K104" s="10">
        <f>IF(AND(B104="3F4D+MD",ISNUMBER(H104)),H104,"")</f>
        <v/>
      </c>
    </row>
    <row r="105">
      <c r="A105" s="14" t="n"/>
      <c r="B105" s="15" t="n"/>
      <c r="C105" s="15" t="n"/>
      <c r="D105" s="15" t="n"/>
      <c r="E105" s="15" t="n"/>
      <c r="F105" s="15" t="n"/>
      <c r="G105" s="15" t="n"/>
      <c r="H105" s="10">
        <f>IF(COUNT(C105:G105)=5,ROUND((LARGE(C105:G105,2)+LARGE(C105:G105,3)+LARGE(C105:G105,4))/3,1),"")</f>
        <v/>
      </c>
      <c r="I105" s="10">
        <f>IF(OR(A105="",NOT(ISNUMBER(TransDate))),"",A105-TransDate)</f>
        <v/>
      </c>
      <c r="J105" s="10">
        <f>IF(AND(B105="FP",ISNUMBER(H105)),H105,"")</f>
        <v/>
      </c>
      <c r="K105" s="10">
        <f>IF(AND(B105="3F4D+MD",ISNUMBER(H105)),H105,"")</f>
        <v/>
      </c>
    </row>
    <row r="106">
      <c r="A106" s="14" t="n"/>
      <c r="B106" s="15" t="n"/>
      <c r="C106" s="15" t="n"/>
      <c r="D106" s="15" t="n"/>
      <c r="E106" s="15" t="n"/>
      <c r="F106" s="15" t="n"/>
      <c r="G106" s="15" t="n"/>
      <c r="H106" s="10">
        <f>IF(COUNT(C106:G106)=5,ROUND((LARGE(C106:G106,2)+LARGE(C106:G106,3)+LARGE(C106:G106,4))/3,1),"")</f>
        <v/>
      </c>
      <c r="I106" s="10">
        <f>IF(OR(A106="",NOT(ISNUMBER(TransDate))),"",A106-TransDate)</f>
        <v/>
      </c>
      <c r="J106" s="10">
        <f>IF(AND(B106="FP",ISNUMBER(H106)),H106,"")</f>
        <v/>
      </c>
      <c r="K106" s="10">
        <f>IF(AND(B106="3F4D+MD",ISNUMBER(H106)),H106,"")</f>
        <v/>
      </c>
    </row>
    <row r="107">
      <c r="A107" s="14" t="n"/>
      <c r="B107" s="15" t="n"/>
      <c r="C107" s="15" t="n"/>
      <c r="D107" s="15" t="n"/>
      <c r="E107" s="15" t="n"/>
      <c r="F107" s="15" t="n"/>
      <c r="G107" s="15" t="n"/>
      <c r="H107" s="10">
        <f>IF(COUNT(C107:G107)=5,ROUND((LARGE(C107:G107,2)+LARGE(C107:G107,3)+LARGE(C107:G107,4))/3,1),"")</f>
        <v/>
      </c>
      <c r="I107" s="10">
        <f>IF(OR(A107="",NOT(ISNUMBER(TransDate))),"",A107-TransDate)</f>
        <v/>
      </c>
      <c r="J107" s="10">
        <f>IF(AND(B107="FP",ISNUMBER(H107)),H107,"")</f>
        <v/>
      </c>
      <c r="K107" s="10">
        <f>IF(AND(B107="3F4D+MD",ISNUMBER(H107)),H107,"")</f>
        <v/>
      </c>
    </row>
    <row r="108">
      <c r="A108" s="14" t="n"/>
      <c r="B108" s="15" t="n"/>
      <c r="C108" s="15" t="n"/>
      <c r="D108" s="15" t="n"/>
      <c r="E108" s="15" t="n"/>
      <c r="F108" s="15" t="n"/>
      <c r="G108" s="15" t="n"/>
      <c r="H108" s="10">
        <f>IF(COUNT(C108:G108)=5,ROUND((LARGE(C108:G108,2)+LARGE(C108:G108,3)+LARGE(C108:G108,4))/3,1),"")</f>
        <v/>
      </c>
      <c r="I108" s="10">
        <f>IF(OR(A108="",NOT(ISNUMBER(TransDate))),"",A108-TransDate)</f>
        <v/>
      </c>
      <c r="J108" s="10">
        <f>IF(AND(B108="FP",ISNUMBER(H108)),H108,"")</f>
        <v/>
      </c>
      <c r="K108" s="10">
        <f>IF(AND(B108="3F4D+MD",ISNUMBER(H108)),H108,"")</f>
        <v/>
      </c>
    </row>
    <row r="109">
      <c r="A109" s="14" t="n"/>
      <c r="B109" s="15" t="n"/>
      <c r="C109" s="15" t="n"/>
      <c r="D109" s="15" t="n"/>
      <c r="E109" s="15" t="n"/>
      <c r="F109" s="15" t="n"/>
      <c r="G109" s="15" t="n"/>
      <c r="H109" s="10">
        <f>IF(COUNT(C109:G109)=5,ROUND((LARGE(C109:G109,2)+LARGE(C109:G109,3)+LARGE(C109:G109,4))/3,1),"")</f>
        <v/>
      </c>
      <c r="I109" s="10">
        <f>IF(OR(A109="",NOT(ISNUMBER(TransDate))),"",A109-TransDate)</f>
        <v/>
      </c>
      <c r="J109" s="10">
        <f>IF(AND(B109="FP",ISNUMBER(H109)),H109,"")</f>
        <v/>
      </c>
      <c r="K109" s="10">
        <f>IF(AND(B109="3F4D+MD",ISNUMBER(H109)),H109,"")</f>
        <v/>
      </c>
    </row>
    <row r="110">
      <c r="A110" s="14" t="n"/>
      <c r="B110" s="15" t="n"/>
      <c r="C110" s="15" t="n"/>
      <c r="D110" s="15" t="n"/>
      <c r="E110" s="15" t="n"/>
      <c r="F110" s="15" t="n"/>
      <c r="G110" s="15" t="n"/>
      <c r="H110" s="10">
        <f>IF(COUNT(C110:G110)=5,ROUND((LARGE(C110:G110,2)+LARGE(C110:G110,3)+LARGE(C110:G110,4))/3,1),"")</f>
        <v/>
      </c>
      <c r="I110" s="10">
        <f>IF(OR(A110="",NOT(ISNUMBER(TransDate))),"",A110-TransDate)</f>
        <v/>
      </c>
      <c r="J110" s="10">
        <f>IF(AND(B110="FP",ISNUMBER(H110)),H110,"")</f>
        <v/>
      </c>
      <c r="K110" s="10">
        <f>IF(AND(B110="3F4D+MD",ISNUMBER(H110)),H110,"")</f>
        <v/>
      </c>
    </row>
    <row r="111">
      <c r="A111" s="14" t="n"/>
      <c r="B111" s="15" t="n"/>
      <c r="C111" s="15" t="n"/>
      <c r="D111" s="15" t="n"/>
      <c r="E111" s="15" t="n"/>
      <c r="F111" s="15" t="n"/>
      <c r="G111" s="15" t="n"/>
      <c r="H111" s="10">
        <f>IF(COUNT(C111:G111)=5,ROUND((LARGE(C111:G111,2)+LARGE(C111:G111,3)+LARGE(C111:G111,4))/3,1),"")</f>
        <v/>
      </c>
      <c r="I111" s="10">
        <f>IF(OR(A111="",NOT(ISNUMBER(TransDate))),"",A111-TransDate)</f>
        <v/>
      </c>
      <c r="J111" s="10">
        <f>IF(AND(B111="FP",ISNUMBER(H111)),H111,"")</f>
        <v/>
      </c>
      <c r="K111" s="10">
        <f>IF(AND(B111="3F4D+MD",ISNUMBER(H111)),H111,"")</f>
        <v/>
      </c>
    </row>
    <row r="112">
      <c r="A112" s="14" t="n"/>
      <c r="B112" s="15" t="n"/>
      <c r="C112" s="15" t="n"/>
      <c r="D112" s="15" t="n"/>
      <c r="E112" s="15" t="n"/>
      <c r="F112" s="15" t="n"/>
      <c r="G112" s="15" t="n"/>
      <c r="H112" s="10">
        <f>IF(COUNT(C112:G112)=5,ROUND((LARGE(C112:G112,2)+LARGE(C112:G112,3)+LARGE(C112:G112,4))/3,1),"")</f>
        <v/>
      </c>
      <c r="I112" s="10">
        <f>IF(OR(A112="",NOT(ISNUMBER(TransDate))),"",A112-TransDate)</f>
        <v/>
      </c>
      <c r="J112" s="10">
        <f>IF(AND(B112="FP",ISNUMBER(H112)),H112,"")</f>
        <v/>
      </c>
      <c r="K112" s="10">
        <f>IF(AND(B112="3F4D+MD",ISNUMBER(H112)),H112,"")</f>
        <v/>
      </c>
    </row>
    <row r="113">
      <c r="A113" s="14" t="n"/>
      <c r="B113" s="15" t="n"/>
      <c r="C113" s="15" t="n"/>
      <c r="D113" s="15" t="n"/>
      <c r="E113" s="15" t="n"/>
      <c r="F113" s="15" t="n"/>
      <c r="G113" s="15" t="n"/>
      <c r="H113" s="10">
        <f>IF(COUNT(C113:G113)=5,ROUND((LARGE(C113:G113,2)+LARGE(C113:G113,3)+LARGE(C113:G113,4))/3,1),"")</f>
        <v/>
      </c>
      <c r="I113" s="10">
        <f>IF(OR(A113="",NOT(ISNUMBER(TransDate))),"",A113-TransDate)</f>
        <v/>
      </c>
      <c r="J113" s="10">
        <f>IF(AND(B113="FP",ISNUMBER(H113)),H113,"")</f>
        <v/>
      </c>
      <c r="K113" s="10">
        <f>IF(AND(B113="3F4D+MD",ISNUMBER(H113)),H113,"")</f>
        <v/>
      </c>
    </row>
    <row r="114">
      <c r="A114" s="14" t="n"/>
      <c r="B114" s="15" t="n"/>
      <c r="C114" s="15" t="n"/>
      <c r="D114" s="15" t="n"/>
      <c r="E114" s="15" t="n"/>
      <c r="F114" s="15" t="n"/>
      <c r="G114" s="15" t="n"/>
      <c r="H114" s="10">
        <f>IF(COUNT(C114:G114)=5,ROUND((LARGE(C114:G114,2)+LARGE(C114:G114,3)+LARGE(C114:G114,4))/3,1),"")</f>
        <v/>
      </c>
      <c r="I114" s="10">
        <f>IF(OR(A114="",NOT(ISNUMBER(TransDate))),"",A114-TransDate)</f>
        <v/>
      </c>
      <c r="J114" s="10">
        <f>IF(AND(B114="FP",ISNUMBER(H114)),H114,"")</f>
        <v/>
      </c>
      <c r="K114" s="10">
        <f>IF(AND(B114="3F4D+MD",ISNUMBER(H114)),H114,"")</f>
        <v/>
      </c>
    </row>
    <row r="115">
      <c r="A115" s="14" t="n"/>
      <c r="B115" s="15" t="n"/>
      <c r="C115" s="15" t="n"/>
      <c r="D115" s="15" t="n"/>
      <c r="E115" s="15" t="n"/>
      <c r="F115" s="15" t="n"/>
      <c r="G115" s="15" t="n"/>
      <c r="H115" s="10">
        <f>IF(COUNT(C115:G115)=5,ROUND((LARGE(C115:G115,2)+LARGE(C115:G115,3)+LARGE(C115:G115,4))/3,1),"")</f>
        <v/>
      </c>
      <c r="I115" s="10">
        <f>IF(OR(A115="",NOT(ISNUMBER(TransDate))),"",A115-TransDate)</f>
        <v/>
      </c>
      <c r="J115" s="10">
        <f>IF(AND(B115="FP",ISNUMBER(H115)),H115,"")</f>
        <v/>
      </c>
      <c r="K115" s="10">
        <f>IF(AND(B115="3F4D+MD",ISNUMBER(H115)),H115,"")</f>
        <v/>
      </c>
    </row>
    <row r="116">
      <c r="A116" s="14" t="n"/>
      <c r="B116" s="15" t="n"/>
      <c r="C116" s="15" t="n"/>
      <c r="D116" s="15" t="n"/>
      <c r="E116" s="15" t="n"/>
      <c r="F116" s="15" t="n"/>
      <c r="G116" s="15" t="n"/>
      <c r="H116" s="10">
        <f>IF(COUNT(C116:G116)=5,ROUND((LARGE(C116:G116,2)+LARGE(C116:G116,3)+LARGE(C116:G116,4))/3,1),"")</f>
        <v/>
      </c>
      <c r="I116" s="10">
        <f>IF(OR(A116="",NOT(ISNUMBER(TransDate))),"",A116-TransDate)</f>
        <v/>
      </c>
      <c r="J116" s="10">
        <f>IF(AND(B116="FP",ISNUMBER(H116)),H116,"")</f>
        <v/>
      </c>
      <c r="K116" s="10">
        <f>IF(AND(B116="3F4D+MD",ISNUMBER(H116)),H116,"")</f>
        <v/>
      </c>
    </row>
    <row r="117">
      <c r="A117" s="14" t="n"/>
      <c r="B117" s="15" t="n"/>
      <c r="C117" s="15" t="n"/>
      <c r="D117" s="15" t="n"/>
      <c r="E117" s="15" t="n"/>
      <c r="F117" s="15" t="n"/>
      <c r="G117" s="15" t="n"/>
      <c r="H117" s="10">
        <f>IF(COUNT(C117:G117)=5,ROUND((LARGE(C117:G117,2)+LARGE(C117:G117,3)+LARGE(C117:G117,4))/3,1),"")</f>
        <v/>
      </c>
      <c r="I117" s="10">
        <f>IF(OR(A117="",NOT(ISNUMBER(TransDate))),"",A117-TransDate)</f>
        <v/>
      </c>
      <c r="J117" s="10">
        <f>IF(AND(B117="FP",ISNUMBER(H117)),H117,"")</f>
        <v/>
      </c>
      <c r="K117" s="10">
        <f>IF(AND(B117="3F4D+MD",ISNUMBER(H117)),H117,"")</f>
        <v/>
      </c>
    </row>
    <row r="118">
      <c r="A118" s="14" t="n"/>
      <c r="B118" s="15" t="n"/>
      <c r="C118" s="15" t="n"/>
      <c r="D118" s="15" t="n"/>
      <c r="E118" s="15" t="n"/>
      <c r="F118" s="15" t="n"/>
      <c r="G118" s="15" t="n"/>
      <c r="H118" s="10">
        <f>IF(COUNT(C118:G118)=5,ROUND((LARGE(C118:G118,2)+LARGE(C118:G118,3)+LARGE(C118:G118,4))/3,1),"")</f>
        <v/>
      </c>
      <c r="I118" s="10">
        <f>IF(OR(A118="",NOT(ISNUMBER(TransDate))),"",A118-TransDate)</f>
        <v/>
      </c>
      <c r="J118" s="10">
        <f>IF(AND(B118="FP",ISNUMBER(H118)),H118,"")</f>
        <v/>
      </c>
      <c r="K118" s="10">
        <f>IF(AND(B118="3F4D+MD",ISNUMBER(H118)),H118,"")</f>
        <v/>
      </c>
    </row>
    <row r="119">
      <c r="A119" s="14" t="n"/>
      <c r="B119" s="15" t="n"/>
      <c r="C119" s="15" t="n"/>
      <c r="D119" s="15" t="n"/>
      <c r="E119" s="15" t="n"/>
      <c r="F119" s="15" t="n"/>
      <c r="G119" s="15" t="n"/>
      <c r="H119" s="10">
        <f>IF(COUNT(C119:G119)=5,ROUND((LARGE(C119:G119,2)+LARGE(C119:G119,3)+LARGE(C119:G119,4))/3,1),"")</f>
        <v/>
      </c>
      <c r="I119" s="10">
        <f>IF(OR(A119="",NOT(ISNUMBER(TransDate))),"",A119-TransDate)</f>
        <v/>
      </c>
      <c r="J119" s="10">
        <f>IF(AND(B119="FP",ISNUMBER(H119)),H119,"")</f>
        <v/>
      </c>
      <c r="K119" s="10">
        <f>IF(AND(B119="3F4D+MD",ISNUMBER(H119)),H119,"")</f>
        <v/>
      </c>
    </row>
    <row r="120">
      <c r="A120" s="14" t="n"/>
      <c r="B120" s="15" t="n"/>
      <c r="C120" s="15" t="n"/>
      <c r="D120" s="15" t="n"/>
      <c r="E120" s="15" t="n"/>
      <c r="F120" s="15" t="n"/>
      <c r="G120" s="15" t="n"/>
      <c r="H120" s="10">
        <f>IF(COUNT(C120:G120)=5,ROUND((LARGE(C120:G120,2)+LARGE(C120:G120,3)+LARGE(C120:G120,4))/3,1),"")</f>
        <v/>
      </c>
      <c r="I120" s="10">
        <f>IF(OR(A120="",NOT(ISNUMBER(TransDate))),"",A120-TransDate)</f>
        <v/>
      </c>
      <c r="J120" s="10">
        <f>IF(AND(B120="FP",ISNUMBER(H120)),H120,"")</f>
        <v/>
      </c>
      <c r="K120" s="10">
        <f>IF(AND(B120="3F4D+MD",ISNUMBER(H120)),H120,"")</f>
        <v/>
      </c>
    </row>
  </sheetData>
  <conditionalFormatting sqref="B2:G120">
    <cfRule type="expression" priority="1" dxfId="3">
      <formula>AND($A2&lt;&gt;"",B2="")</formula>
    </cfRule>
  </conditionalFormatting>
  <dataValidations count="2">
    <dataValidation sqref="B2:B120" showDropDown="0" showInputMessage="0" showErrorMessage="0" allowBlank="1" type="list">
      <formula1>"FP,3F4D+MD"</formula1>
    </dataValidation>
    <dataValidation sqref="C2:G120" showDropDown="0" showInputMessage="0" showErrorMessage="1" allowBlank="0" error="Whole number 0-200." type="whole" operator="between">
      <formula1>0</formula1>
      <formula2>200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00" workbookViewId="0">
      <selection activeCell="A1" sqref="A1"/>
    </sheetView>
  </sheetViews>
  <sheetFormatPr baseColWidth="8" defaultRowHeight="15"/>
  <sheetData>
    <row r="1">
      <c r="A1" s="25" t="inlineStr">
        <is>
          <t>Graphs / গ্রাফ  (MD, Pitan and 3F4D periods are drawn as lines at the top of the water-level graph)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9"/>
  <sheetViews>
    <sheetView zoomScale="10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3F4D Water Monitor - sheet version / শিট সংস্করণ</t>
        </is>
      </c>
    </row>
    <row r="2">
      <c r="A2" s="27" t="inlineStr">
        <is>
          <t>Water-level record of the FP plot and the 3F4D+MD plot. Enter data directly in this Google Sheet. Calculations, checks, schedule and graphs are automatic.</t>
        </is>
      </c>
    </row>
    <row r="3">
      <c r="A3" s="27" t="inlineStr">
        <is>
          <t>FP প্লট ও 3F4D+MD প্লটের পানির স্তরের রেকর্ড। সরাসরি এই গুগল শিটে তথ্য দিন। হিসাব, পরীক্ষা, সময়সূচি ও গ্রাফ স্বয়ংক্রিয়।</t>
        </is>
      </c>
    </row>
    <row r="4">
      <c r="A4" s="27" t="inlineStr"/>
    </row>
    <row r="5">
      <c r="A5" s="28" t="inlineStr">
        <is>
          <t>Colours / রং</t>
        </is>
      </c>
    </row>
    <row r="6">
      <c r="A6" s="29" t="inlineStr">
        <is>
          <t>Yellow cells = enter data here.  Grey cells = calculated, do not edit.  Red cell = a required item is missing.</t>
        </is>
      </c>
    </row>
    <row r="7">
      <c r="A7" s="27" t="inlineStr">
        <is>
          <t>হলুদ ঘর = এখানে তথ্য দিন। ধূসর ঘর = হিসাব, পরিবর্তন করবেন না। লাল ঘর = প্রয়োজনীয় তথ্য নেই।</t>
        </is>
      </c>
    </row>
    <row r="8">
      <c r="A8" s="27" t="inlineStr"/>
    </row>
    <row r="9">
      <c r="A9" s="28" t="inlineStr">
        <is>
          <t>Tabs / ট্যাব</t>
        </is>
      </c>
    </row>
    <row r="10">
      <c r="A10" s="27" t="inlineStr">
        <is>
          <t>Today - what to do today, latest water level, next events of the schedule, totals.</t>
        </is>
      </c>
    </row>
    <row r="11">
      <c r="A11" s="27" t="inlineStr">
        <is>
          <t>Setup - site name, place, sowing date, seedling age, TP and b of both plots (enter first). Settings of the schedule (days).</t>
        </is>
      </c>
    </row>
    <row r="12">
      <c r="A12" s="27" t="inlineStr">
        <is>
          <t>Schedule - planned dates of Pitan, MD, flooding, 3F4D cycles, heading, harvest. Enter the actual date when an event happens.</t>
        </is>
      </c>
    </row>
    <row r="13">
      <c r="A13" s="27" t="inlineStr">
        <is>
          <t>Daily - one row per day: tape reading m of FP and 3F4D+MD, irrigation (Yes + readings before and after), rain, temperature, humidity.</t>
        </is>
      </c>
    </row>
    <row r="14">
      <c r="A14" s="27" t="inlineStr">
        <is>
          <t>TP-b - re-measured TP and b (after Pitan and MD the soil shrinks). Water levels from that date use the new values.</t>
        </is>
      </c>
    </row>
    <row r="15">
      <c r="A15" s="27" t="inlineStr">
        <is>
          <t>Fertilizer, Pesticide, Tillers - field records. Tillers: count 5 hills; the value used is the mean of the 2nd, 3rd and 4th largest.</t>
        </is>
      </c>
    </row>
    <row r="16">
      <c r="A16" s="27" t="inlineStr">
        <is>
          <t>Graphs - water level with MD / Pitan / 3F4D periods, rain, cumulative irrigation, daily decrease, tillers.</t>
        </is>
      </c>
    </row>
    <row r="17">
      <c r="A17" s="27" t="inlineStr">
        <is>
          <t>ChartData - helper table for the graphs (do not edit).</t>
        </is>
      </c>
    </row>
    <row r="18">
      <c r="A18" s="27" t="inlineStr"/>
    </row>
    <row r="19">
      <c r="A19" s="28" t="inlineStr">
        <is>
          <t>For the administrator (once per site) / প্রশাসকের জন্য</t>
        </is>
      </c>
    </row>
    <row r="20">
      <c r="A20" s="27" t="inlineStr">
        <is>
          <t>1. Upload this file to Google Drive, open it and choose File &gt; Save as Google Sheets.</t>
        </is>
      </c>
    </row>
    <row r="21">
      <c r="A21" s="27" t="inlineStr">
        <is>
          <t>2. Share &gt; "Anyone with the link" or add the e-mails of the users as Editor.</t>
        </is>
      </c>
    </row>
    <row r="22">
      <c r="A22" s="27" t="inlineStr">
        <is>
          <t>3. Each site uses its own copy. To give a copy to another site: File &gt; Make a copy, or share a link that ends in /copy.</t>
        </is>
      </c>
    </row>
    <row r="23">
      <c r="A23" s="27" t="inlineStr">
        <is>
          <t>4. To compare sites, share the sheet with the coordinator as Viewer.</t>
        </is>
      </c>
    </row>
    <row r="24">
      <c r="A24" s="27" t="inlineStr"/>
    </row>
    <row r="25">
      <c r="A25" s="28" t="inlineStr">
        <is>
          <t>Rules / নিয়ম</t>
        </is>
      </c>
    </row>
    <row r="26">
      <c r="A26" s="27" t="inlineStr">
        <is>
          <t>One row per date in Daily (the same date twice is marked in Check). Do not insert or delete columns. Keep the tab names.</t>
        </is>
      </c>
    </row>
    <row r="27">
      <c r="A27" s="27" t="inlineStr">
        <is>
          <t>Water level (cm) = m - TP + b. m = tape reading at the water surface, TP = tape reading at the top of the pipe, b = height of the pipe top above the ground. Negative = water below the soil surface.</t>
        </is>
      </c>
    </row>
    <row r="28">
      <c r="A28" s="27" t="inlineStr">
        <is>
          <t>Irrigation (mm) = (water level after - max(water level before, 0)) x 10. Daily decrease (mm) = (water level at the end of the previous day - water level today) x 10.</t>
        </is>
      </c>
    </row>
    <row r="29">
      <c r="A29" s="27" t="inlineStr">
        <is>
          <t>Schedule rules follow the 3F4D+MD scheduling app (Professional mode). 3F4D manuals: English https://doi.org/10.5281/zenodo.22932287 , Bengali https://doi.org/10.5281/zenodo.23075395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1"/>
  <sheetViews>
    <sheetView zoomScale="10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5" t="inlineStr">
        <is>
          <t>k</t>
        </is>
      </c>
      <c r="B1" s="5" t="inlineStr">
        <is>
          <t>Date</t>
        </is>
      </c>
      <c r="C1" s="5" t="inlineStr">
        <is>
          <t>FP water level</t>
        </is>
      </c>
      <c r="D1" s="5" t="inlineStr">
        <is>
          <t>3F4D+MD water level</t>
        </is>
      </c>
      <c r="E1" s="5" t="inlineStr">
        <is>
          <t>Rain</t>
        </is>
      </c>
      <c r="F1" s="5" t="inlineStr">
        <is>
          <t>FP cumulative</t>
        </is>
      </c>
      <c r="G1" s="5" t="inlineStr">
        <is>
          <t>3F4D+MD cumulative</t>
        </is>
      </c>
      <c r="H1" s="5" t="inlineStr">
        <is>
          <t>FP decrease</t>
        </is>
      </c>
      <c r="I1" s="5" t="inlineStr">
        <is>
          <t>3F4D+MD decrease</t>
        </is>
      </c>
      <c r="J1" s="5" t="inlineStr">
        <is>
          <t>MD period</t>
        </is>
      </c>
      <c r="K1" s="5" t="inlineStr">
        <is>
          <t>Pitan period</t>
        </is>
      </c>
      <c r="L1" s="5" t="inlineStr">
        <is>
          <t>3F4D period</t>
        </is>
      </c>
    </row>
    <row r="2">
      <c r="A2" t="n">
        <v>1</v>
      </c>
      <c r="B2" s="30">
        <f>IFERROR(SMALL(Daily!$A$3:$A$252,A2),"")</f>
        <v/>
      </c>
      <c r="C2">
        <f>IF($B2="","",IF(ISNUMBER(IFERROR(INDEX(Daily!$T$3:$T$252,MATCH($B2,Daily!$A$3:$A$252,0)),"")),IFERROR(INDEX(Daily!$T$3:$T$252,MATCH($B2,Daily!$A$3:$A$252,0)),""),""))</f>
        <v/>
      </c>
      <c r="D2">
        <f>IF($B2="","",IF(ISNUMBER(IFERROR(INDEX(Daily!$AE$3:$AE$252,MATCH($B2,Daily!$A$3:$A$252,0)),"")),IFERROR(INDEX(Daily!$AE$3:$AE$252,MATCH($B2,Daily!$A$3:$A$252,0)),""),""))</f>
        <v/>
      </c>
      <c r="E2">
        <f>IF($B2="","",IF(ISNUMBER(IFERROR(INDEX(Daily!$B$3:$B$252,MATCH($B2,Daily!$A$3:$A$252,0)),"")),IFERROR(INDEX(Daily!$B$3:$B$252,MATCH($B2,Daily!$A$3:$A$252,0)),""),0))</f>
        <v/>
      </c>
      <c r="F2">
        <f>IF($B2="","",IF(ISNUMBER(IFERROR(INDEX(Daily!$Y$3:$Y$252,MATCH($B2,Daily!$A$3:$A$252,0)),"")),IFERROR(INDEX(Daily!$Y$3:$Y$252,MATCH($B2,Daily!$A$3:$A$252,0)),""),""))</f>
        <v/>
      </c>
      <c r="G2">
        <f>IF($B2="","",IF(ISNUMBER(IFERROR(INDEX(Daily!$AJ$3:$AJ$252,MATCH($B2,Daily!$A$3:$A$252,0)),"")),IFERROR(INDEX(Daily!$AJ$3:$AJ$252,MATCH($B2,Daily!$A$3:$A$252,0)),""),""))</f>
        <v/>
      </c>
      <c r="H2">
        <f>IF($B2="","",IF(ISNUMBER(IFERROR(INDEX(Daily!$Z$3:$Z$252,MATCH($B2,Daily!$A$3:$A$252,0)),"")),IFERROR(INDEX(Daily!$Z$3:$Z$252,MATCH($B2,Daily!$A$3:$A$252,0)),""),""))</f>
        <v/>
      </c>
      <c r="I2">
        <f>IF($B2="","",IF(ISNUMBER(IFERROR(INDEX(Daily!$AK$3:$AK$252,MATCH($B2,Daily!$A$3:$A$252,0)),"")),IFERROR(INDEX(Daily!$AK$3:$AK$252,MATCH($B2,Daily!$A$3:$A$252,0)),""),""))</f>
        <v/>
      </c>
      <c r="J2">
        <f>IF($B2="","",IF(AND(ISNUMBER(MDS),ISNUMBER(MDE)),IF(AND($B2&gt;=MDS,$B2&lt;=MDE),24,""),""))</f>
        <v/>
      </c>
      <c r="K2">
        <f>IF($B2="","",IF(AND(ISNUMBER(PitanS),ISNUMBER(PitanE)),IF(AND($B2&gt;=PitanS,$B2&lt;=PitanE),26,""),""))</f>
        <v/>
      </c>
      <c r="L2">
        <f>IF($B2="","",IF(AND(ISNUMBER(C1S),ISNUMBER(C3E)),IF(AND($B2&gt;=C1S,$B2&lt;=C3E),22,""),""))</f>
        <v/>
      </c>
    </row>
    <row r="3">
      <c r="A3" t="n">
        <v>2</v>
      </c>
      <c r="B3" s="30">
        <f>IFERROR(SMALL(Daily!$A$3:$A$252,A3),"")</f>
        <v/>
      </c>
      <c r="C3">
        <f>IF($B3="","",IF(ISNUMBER(IFERROR(INDEX(Daily!$T$3:$T$252,MATCH($B3,Daily!$A$3:$A$252,0)),"")),IFERROR(INDEX(Daily!$T$3:$T$252,MATCH($B3,Daily!$A$3:$A$252,0)),""),""))</f>
        <v/>
      </c>
      <c r="D3">
        <f>IF($B3="","",IF(ISNUMBER(IFERROR(INDEX(Daily!$AE$3:$AE$252,MATCH($B3,Daily!$A$3:$A$252,0)),"")),IFERROR(INDEX(Daily!$AE$3:$AE$252,MATCH($B3,Daily!$A$3:$A$252,0)),""),""))</f>
        <v/>
      </c>
      <c r="E3">
        <f>IF($B3="","",IF(ISNUMBER(IFERROR(INDEX(Daily!$B$3:$B$252,MATCH($B3,Daily!$A$3:$A$252,0)),"")),IFERROR(INDEX(Daily!$B$3:$B$252,MATCH($B3,Daily!$A$3:$A$252,0)),""),0))</f>
        <v/>
      </c>
      <c r="F3">
        <f>IF($B3="","",IF(ISNUMBER(IFERROR(INDEX(Daily!$Y$3:$Y$252,MATCH($B3,Daily!$A$3:$A$252,0)),"")),IFERROR(INDEX(Daily!$Y$3:$Y$252,MATCH($B3,Daily!$A$3:$A$252,0)),""),""))</f>
        <v/>
      </c>
      <c r="G3">
        <f>IF($B3="","",IF(ISNUMBER(IFERROR(INDEX(Daily!$AJ$3:$AJ$252,MATCH($B3,Daily!$A$3:$A$252,0)),"")),IFERROR(INDEX(Daily!$AJ$3:$AJ$252,MATCH($B3,Daily!$A$3:$A$252,0)),""),""))</f>
        <v/>
      </c>
      <c r="H3">
        <f>IF($B3="","",IF(ISNUMBER(IFERROR(INDEX(Daily!$Z$3:$Z$252,MATCH($B3,Daily!$A$3:$A$252,0)),"")),IFERROR(INDEX(Daily!$Z$3:$Z$252,MATCH($B3,Daily!$A$3:$A$252,0)),""),""))</f>
        <v/>
      </c>
      <c r="I3">
        <f>IF($B3="","",IF(ISNUMBER(IFERROR(INDEX(Daily!$AK$3:$AK$252,MATCH($B3,Daily!$A$3:$A$252,0)),"")),IFERROR(INDEX(Daily!$AK$3:$AK$252,MATCH($B3,Daily!$A$3:$A$252,0)),""),""))</f>
        <v/>
      </c>
      <c r="J3">
        <f>IF($B3="","",IF(AND(ISNUMBER(MDS),ISNUMBER(MDE)),IF(AND($B3&gt;=MDS,$B3&lt;=MDE),24,""),""))</f>
        <v/>
      </c>
      <c r="K3">
        <f>IF($B3="","",IF(AND(ISNUMBER(PitanS),ISNUMBER(PitanE)),IF(AND($B3&gt;=PitanS,$B3&lt;=PitanE),26,""),""))</f>
        <v/>
      </c>
      <c r="L3">
        <f>IF($B3="","",IF(AND(ISNUMBER(C1S),ISNUMBER(C3E)),IF(AND($B3&gt;=C1S,$B3&lt;=C3E),22,""),""))</f>
        <v/>
      </c>
    </row>
    <row r="4">
      <c r="A4" t="n">
        <v>3</v>
      </c>
      <c r="B4" s="30">
        <f>IFERROR(SMALL(Daily!$A$3:$A$252,A4),"")</f>
        <v/>
      </c>
      <c r="C4">
        <f>IF($B4="","",IF(ISNUMBER(IFERROR(INDEX(Daily!$T$3:$T$252,MATCH($B4,Daily!$A$3:$A$252,0)),"")),IFERROR(INDEX(Daily!$T$3:$T$252,MATCH($B4,Daily!$A$3:$A$252,0)),""),""))</f>
        <v/>
      </c>
      <c r="D4">
        <f>IF($B4="","",IF(ISNUMBER(IFERROR(INDEX(Daily!$AE$3:$AE$252,MATCH($B4,Daily!$A$3:$A$252,0)),"")),IFERROR(INDEX(Daily!$AE$3:$AE$252,MATCH($B4,Daily!$A$3:$A$252,0)),""),""))</f>
        <v/>
      </c>
      <c r="E4">
        <f>IF($B4="","",IF(ISNUMBER(IFERROR(INDEX(Daily!$B$3:$B$252,MATCH($B4,Daily!$A$3:$A$252,0)),"")),IFERROR(INDEX(Daily!$B$3:$B$252,MATCH($B4,Daily!$A$3:$A$252,0)),""),0))</f>
        <v/>
      </c>
      <c r="F4">
        <f>IF($B4="","",IF(ISNUMBER(IFERROR(INDEX(Daily!$Y$3:$Y$252,MATCH($B4,Daily!$A$3:$A$252,0)),"")),IFERROR(INDEX(Daily!$Y$3:$Y$252,MATCH($B4,Daily!$A$3:$A$252,0)),""),""))</f>
        <v/>
      </c>
      <c r="G4">
        <f>IF($B4="","",IF(ISNUMBER(IFERROR(INDEX(Daily!$AJ$3:$AJ$252,MATCH($B4,Daily!$A$3:$A$252,0)),"")),IFERROR(INDEX(Daily!$AJ$3:$AJ$252,MATCH($B4,Daily!$A$3:$A$252,0)),""),""))</f>
        <v/>
      </c>
      <c r="H4">
        <f>IF($B4="","",IF(ISNUMBER(IFERROR(INDEX(Daily!$Z$3:$Z$252,MATCH($B4,Daily!$A$3:$A$252,0)),"")),IFERROR(INDEX(Daily!$Z$3:$Z$252,MATCH($B4,Daily!$A$3:$A$252,0)),""),""))</f>
        <v/>
      </c>
      <c r="I4">
        <f>IF($B4="","",IF(ISNUMBER(IFERROR(INDEX(Daily!$AK$3:$AK$252,MATCH($B4,Daily!$A$3:$A$252,0)),"")),IFERROR(INDEX(Daily!$AK$3:$AK$252,MATCH($B4,Daily!$A$3:$A$252,0)),""),""))</f>
        <v/>
      </c>
      <c r="J4">
        <f>IF($B4="","",IF(AND(ISNUMBER(MDS),ISNUMBER(MDE)),IF(AND($B4&gt;=MDS,$B4&lt;=MDE),24,""),""))</f>
        <v/>
      </c>
      <c r="K4">
        <f>IF($B4="","",IF(AND(ISNUMBER(PitanS),ISNUMBER(PitanE)),IF(AND($B4&gt;=PitanS,$B4&lt;=PitanE),26,""),""))</f>
        <v/>
      </c>
      <c r="L4">
        <f>IF($B4="","",IF(AND(ISNUMBER(C1S),ISNUMBER(C3E)),IF(AND($B4&gt;=C1S,$B4&lt;=C3E),22,""),""))</f>
        <v/>
      </c>
    </row>
    <row r="5">
      <c r="A5" t="n">
        <v>4</v>
      </c>
      <c r="B5" s="30">
        <f>IFERROR(SMALL(Daily!$A$3:$A$252,A5),"")</f>
        <v/>
      </c>
      <c r="C5">
        <f>IF($B5="","",IF(ISNUMBER(IFERROR(INDEX(Daily!$T$3:$T$252,MATCH($B5,Daily!$A$3:$A$252,0)),"")),IFERROR(INDEX(Daily!$T$3:$T$252,MATCH($B5,Daily!$A$3:$A$252,0)),""),""))</f>
        <v/>
      </c>
      <c r="D5">
        <f>IF($B5="","",IF(ISNUMBER(IFERROR(INDEX(Daily!$AE$3:$AE$252,MATCH($B5,Daily!$A$3:$A$252,0)),"")),IFERROR(INDEX(Daily!$AE$3:$AE$252,MATCH($B5,Daily!$A$3:$A$252,0)),""),""))</f>
        <v/>
      </c>
      <c r="E5">
        <f>IF($B5="","",IF(ISNUMBER(IFERROR(INDEX(Daily!$B$3:$B$252,MATCH($B5,Daily!$A$3:$A$252,0)),"")),IFERROR(INDEX(Daily!$B$3:$B$252,MATCH($B5,Daily!$A$3:$A$252,0)),""),0))</f>
        <v/>
      </c>
      <c r="F5">
        <f>IF($B5="","",IF(ISNUMBER(IFERROR(INDEX(Daily!$Y$3:$Y$252,MATCH($B5,Daily!$A$3:$A$252,0)),"")),IFERROR(INDEX(Daily!$Y$3:$Y$252,MATCH($B5,Daily!$A$3:$A$252,0)),""),""))</f>
        <v/>
      </c>
      <c r="G5">
        <f>IF($B5="","",IF(ISNUMBER(IFERROR(INDEX(Daily!$AJ$3:$AJ$252,MATCH($B5,Daily!$A$3:$A$252,0)),"")),IFERROR(INDEX(Daily!$AJ$3:$AJ$252,MATCH($B5,Daily!$A$3:$A$252,0)),""),""))</f>
        <v/>
      </c>
      <c r="H5">
        <f>IF($B5="","",IF(ISNUMBER(IFERROR(INDEX(Daily!$Z$3:$Z$252,MATCH($B5,Daily!$A$3:$A$252,0)),"")),IFERROR(INDEX(Daily!$Z$3:$Z$252,MATCH($B5,Daily!$A$3:$A$252,0)),""),""))</f>
        <v/>
      </c>
      <c r="I5">
        <f>IF($B5="","",IF(ISNUMBER(IFERROR(INDEX(Daily!$AK$3:$AK$252,MATCH($B5,Daily!$A$3:$A$252,0)),"")),IFERROR(INDEX(Daily!$AK$3:$AK$252,MATCH($B5,Daily!$A$3:$A$252,0)),""),""))</f>
        <v/>
      </c>
      <c r="J5">
        <f>IF($B5="","",IF(AND(ISNUMBER(MDS),ISNUMBER(MDE)),IF(AND($B5&gt;=MDS,$B5&lt;=MDE),24,""),""))</f>
        <v/>
      </c>
      <c r="K5">
        <f>IF($B5="","",IF(AND(ISNUMBER(PitanS),ISNUMBER(PitanE)),IF(AND($B5&gt;=PitanS,$B5&lt;=PitanE),26,""),""))</f>
        <v/>
      </c>
      <c r="L5">
        <f>IF($B5="","",IF(AND(ISNUMBER(C1S),ISNUMBER(C3E)),IF(AND($B5&gt;=C1S,$B5&lt;=C3E),22,""),""))</f>
        <v/>
      </c>
    </row>
    <row r="6">
      <c r="A6" t="n">
        <v>5</v>
      </c>
      <c r="B6" s="30">
        <f>IFERROR(SMALL(Daily!$A$3:$A$252,A6),"")</f>
        <v/>
      </c>
      <c r="C6">
        <f>IF($B6="","",IF(ISNUMBER(IFERROR(INDEX(Daily!$T$3:$T$252,MATCH($B6,Daily!$A$3:$A$252,0)),"")),IFERROR(INDEX(Daily!$T$3:$T$252,MATCH($B6,Daily!$A$3:$A$252,0)),""),""))</f>
        <v/>
      </c>
      <c r="D6">
        <f>IF($B6="","",IF(ISNUMBER(IFERROR(INDEX(Daily!$AE$3:$AE$252,MATCH($B6,Daily!$A$3:$A$252,0)),"")),IFERROR(INDEX(Daily!$AE$3:$AE$252,MATCH($B6,Daily!$A$3:$A$252,0)),""),""))</f>
        <v/>
      </c>
      <c r="E6">
        <f>IF($B6="","",IF(ISNUMBER(IFERROR(INDEX(Daily!$B$3:$B$252,MATCH($B6,Daily!$A$3:$A$252,0)),"")),IFERROR(INDEX(Daily!$B$3:$B$252,MATCH($B6,Daily!$A$3:$A$252,0)),""),0))</f>
        <v/>
      </c>
      <c r="F6">
        <f>IF($B6="","",IF(ISNUMBER(IFERROR(INDEX(Daily!$Y$3:$Y$252,MATCH($B6,Daily!$A$3:$A$252,0)),"")),IFERROR(INDEX(Daily!$Y$3:$Y$252,MATCH($B6,Daily!$A$3:$A$252,0)),""),""))</f>
        <v/>
      </c>
      <c r="G6">
        <f>IF($B6="","",IF(ISNUMBER(IFERROR(INDEX(Daily!$AJ$3:$AJ$252,MATCH($B6,Daily!$A$3:$A$252,0)),"")),IFERROR(INDEX(Daily!$AJ$3:$AJ$252,MATCH($B6,Daily!$A$3:$A$252,0)),""),""))</f>
        <v/>
      </c>
      <c r="H6">
        <f>IF($B6="","",IF(ISNUMBER(IFERROR(INDEX(Daily!$Z$3:$Z$252,MATCH($B6,Daily!$A$3:$A$252,0)),"")),IFERROR(INDEX(Daily!$Z$3:$Z$252,MATCH($B6,Daily!$A$3:$A$252,0)),""),""))</f>
        <v/>
      </c>
      <c r="I6">
        <f>IF($B6="","",IF(ISNUMBER(IFERROR(INDEX(Daily!$AK$3:$AK$252,MATCH($B6,Daily!$A$3:$A$252,0)),"")),IFERROR(INDEX(Daily!$AK$3:$AK$252,MATCH($B6,Daily!$A$3:$A$252,0)),""),""))</f>
        <v/>
      </c>
      <c r="J6">
        <f>IF($B6="","",IF(AND(ISNUMBER(MDS),ISNUMBER(MDE)),IF(AND($B6&gt;=MDS,$B6&lt;=MDE),24,""),""))</f>
        <v/>
      </c>
      <c r="K6">
        <f>IF($B6="","",IF(AND(ISNUMBER(PitanS),ISNUMBER(PitanE)),IF(AND($B6&gt;=PitanS,$B6&lt;=PitanE),26,""),""))</f>
        <v/>
      </c>
      <c r="L6">
        <f>IF($B6="","",IF(AND(ISNUMBER(C1S),ISNUMBER(C3E)),IF(AND($B6&gt;=C1S,$B6&lt;=C3E),22,""),""))</f>
        <v/>
      </c>
    </row>
    <row r="7">
      <c r="A7" t="n">
        <v>6</v>
      </c>
      <c r="B7" s="30">
        <f>IFERROR(SMALL(Daily!$A$3:$A$252,A7),"")</f>
        <v/>
      </c>
      <c r="C7">
        <f>IF($B7="","",IF(ISNUMBER(IFERROR(INDEX(Daily!$T$3:$T$252,MATCH($B7,Daily!$A$3:$A$252,0)),"")),IFERROR(INDEX(Daily!$T$3:$T$252,MATCH($B7,Daily!$A$3:$A$252,0)),""),""))</f>
        <v/>
      </c>
      <c r="D7">
        <f>IF($B7="","",IF(ISNUMBER(IFERROR(INDEX(Daily!$AE$3:$AE$252,MATCH($B7,Daily!$A$3:$A$252,0)),"")),IFERROR(INDEX(Daily!$AE$3:$AE$252,MATCH($B7,Daily!$A$3:$A$252,0)),""),""))</f>
        <v/>
      </c>
      <c r="E7">
        <f>IF($B7="","",IF(ISNUMBER(IFERROR(INDEX(Daily!$B$3:$B$252,MATCH($B7,Daily!$A$3:$A$252,0)),"")),IFERROR(INDEX(Daily!$B$3:$B$252,MATCH($B7,Daily!$A$3:$A$252,0)),""),0))</f>
        <v/>
      </c>
      <c r="F7">
        <f>IF($B7="","",IF(ISNUMBER(IFERROR(INDEX(Daily!$Y$3:$Y$252,MATCH($B7,Daily!$A$3:$A$252,0)),"")),IFERROR(INDEX(Daily!$Y$3:$Y$252,MATCH($B7,Daily!$A$3:$A$252,0)),""),""))</f>
        <v/>
      </c>
      <c r="G7">
        <f>IF($B7="","",IF(ISNUMBER(IFERROR(INDEX(Daily!$AJ$3:$AJ$252,MATCH($B7,Daily!$A$3:$A$252,0)),"")),IFERROR(INDEX(Daily!$AJ$3:$AJ$252,MATCH($B7,Daily!$A$3:$A$252,0)),""),""))</f>
        <v/>
      </c>
      <c r="H7">
        <f>IF($B7="","",IF(ISNUMBER(IFERROR(INDEX(Daily!$Z$3:$Z$252,MATCH($B7,Daily!$A$3:$A$252,0)),"")),IFERROR(INDEX(Daily!$Z$3:$Z$252,MATCH($B7,Daily!$A$3:$A$252,0)),""),""))</f>
        <v/>
      </c>
      <c r="I7">
        <f>IF($B7="","",IF(ISNUMBER(IFERROR(INDEX(Daily!$AK$3:$AK$252,MATCH($B7,Daily!$A$3:$A$252,0)),"")),IFERROR(INDEX(Daily!$AK$3:$AK$252,MATCH($B7,Daily!$A$3:$A$252,0)),""),""))</f>
        <v/>
      </c>
      <c r="J7">
        <f>IF($B7="","",IF(AND(ISNUMBER(MDS),ISNUMBER(MDE)),IF(AND($B7&gt;=MDS,$B7&lt;=MDE),24,""),""))</f>
        <v/>
      </c>
      <c r="K7">
        <f>IF($B7="","",IF(AND(ISNUMBER(PitanS),ISNUMBER(PitanE)),IF(AND($B7&gt;=PitanS,$B7&lt;=PitanE),26,""),""))</f>
        <v/>
      </c>
      <c r="L7">
        <f>IF($B7="","",IF(AND(ISNUMBER(C1S),ISNUMBER(C3E)),IF(AND($B7&gt;=C1S,$B7&lt;=C3E),22,""),""))</f>
        <v/>
      </c>
    </row>
    <row r="8">
      <c r="A8" t="n">
        <v>7</v>
      </c>
      <c r="B8" s="30">
        <f>IFERROR(SMALL(Daily!$A$3:$A$252,A8),"")</f>
        <v/>
      </c>
      <c r="C8">
        <f>IF($B8="","",IF(ISNUMBER(IFERROR(INDEX(Daily!$T$3:$T$252,MATCH($B8,Daily!$A$3:$A$252,0)),"")),IFERROR(INDEX(Daily!$T$3:$T$252,MATCH($B8,Daily!$A$3:$A$252,0)),""),""))</f>
        <v/>
      </c>
      <c r="D8">
        <f>IF($B8="","",IF(ISNUMBER(IFERROR(INDEX(Daily!$AE$3:$AE$252,MATCH($B8,Daily!$A$3:$A$252,0)),"")),IFERROR(INDEX(Daily!$AE$3:$AE$252,MATCH($B8,Daily!$A$3:$A$252,0)),""),""))</f>
        <v/>
      </c>
      <c r="E8">
        <f>IF($B8="","",IF(ISNUMBER(IFERROR(INDEX(Daily!$B$3:$B$252,MATCH($B8,Daily!$A$3:$A$252,0)),"")),IFERROR(INDEX(Daily!$B$3:$B$252,MATCH($B8,Daily!$A$3:$A$252,0)),""),0))</f>
        <v/>
      </c>
      <c r="F8">
        <f>IF($B8="","",IF(ISNUMBER(IFERROR(INDEX(Daily!$Y$3:$Y$252,MATCH($B8,Daily!$A$3:$A$252,0)),"")),IFERROR(INDEX(Daily!$Y$3:$Y$252,MATCH($B8,Daily!$A$3:$A$252,0)),""),""))</f>
        <v/>
      </c>
      <c r="G8">
        <f>IF($B8="","",IF(ISNUMBER(IFERROR(INDEX(Daily!$AJ$3:$AJ$252,MATCH($B8,Daily!$A$3:$A$252,0)),"")),IFERROR(INDEX(Daily!$AJ$3:$AJ$252,MATCH($B8,Daily!$A$3:$A$252,0)),""),""))</f>
        <v/>
      </c>
      <c r="H8">
        <f>IF($B8="","",IF(ISNUMBER(IFERROR(INDEX(Daily!$Z$3:$Z$252,MATCH($B8,Daily!$A$3:$A$252,0)),"")),IFERROR(INDEX(Daily!$Z$3:$Z$252,MATCH($B8,Daily!$A$3:$A$252,0)),""),""))</f>
        <v/>
      </c>
      <c r="I8">
        <f>IF($B8="","",IF(ISNUMBER(IFERROR(INDEX(Daily!$AK$3:$AK$252,MATCH($B8,Daily!$A$3:$A$252,0)),"")),IFERROR(INDEX(Daily!$AK$3:$AK$252,MATCH($B8,Daily!$A$3:$A$252,0)),""),""))</f>
        <v/>
      </c>
      <c r="J8">
        <f>IF($B8="","",IF(AND(ISNUMBER(MDS),ISNUMBER(MDE)),IF(AND($B8&gt;=MDS,$B8&lt;=MDE),24,""),""))</f>
        <v/>
      </c>
      <c r="K8">
        <f>IF($B8="","",IF(AND(ISNUMBER(PitanS),ISNUMBER(PitanE)),IF(AND($B8&gt;=PitanS,$B8&lt;=PitanE),26,""),""))</f>
        <v/>
      </c>
      <c r="L8">
        <f>IF($B8="","",IF(AND(ISNUMBER(C1S),ISNUMBER(C3E)),IF(AND($B8&gt;=C1S,$B8&lt;=C3E),22,""),""))</f>
        <v/>
      </c>
    </row>
    <row r="9">
      <c r="A9" t="n">
        <v>8</v>
      </c>
      <c r="B9" s="30">
        <f>IFERROR(SMALL(Daily!$A$3:$A$252,A9),"")</f>
        <v/>
      </c>
      <c r="C9">
        <f>IF($B9="","",IF(ISNUMBER(IFERROR(INDEX(Daily!$T$3:$T$252,MATCH($B9,Daily!$A$3:$A$252,0)),"")),IFERROR(INDEX(Daily!$T$3:$T$252,MATCH($B9,Daily!$A$3:$A$252,0)),""),""))</f>
        <v/>
      </c>
      <c r="D9">
        <f>IF($B9="","",IF(ISNUMBER(IFERROR(INDEX(Daily!$AE$3:$AE$252,MATCH($B9,Daily!$A$3:$A$252,0)),"")),IFERROR(INDEX(Daily!$AE$3:$AE$252,MATCH($B9,Daily!$A$3:$A$252,0)),""),""))</f>
        <v/>
      </c>
      <c r="E9">
        <f>IF($B9="","",IF(ISNUMBER(IFERROR(INDEX(Daily!$B$3:$B$252,MATCH($B9,Daily!$A$3:$A$252,0)),"")),IFERROR(INDEX(Daily!$B$3:$B$252,MATCH($B9,Daily!$A$3:$A$252,0)),""),0))</f>
        <v/>
      </c>
      <c r="F9">
        <f>IF($B9="","",IF(ISNUMBER(IFERROR(INDEX(Daily!$Y$3:$Y$252,MATCH($B9,Daily!$A$3:$A$252,0)),"")),IFERROR(INDEX(Daily!$Y$3:$Y$252,MATCH($B9,Daily!$A$3:$A$252,0)),""),""))</f>
        <v/>
      </c>
      <c r="G9">
        <f>IF($B9="","",IF(ISNUMBER(IFERROR(INDEX(Daily!$AJ$3:$AJ$252,MATCH($B9,Daily!$A$3:$A$252,0)),"")),IFERROR(INDEX(Daily!$AJ$3:$AJ$252,MATCH($B9,Daily!$A$3:$A$252,0)),""),""))</f>
        <v/>
      </c>
      <c r="H9">
        <f>IF($B9="","",IF(ISNUMBER(IFERROR(INDEX(Daily!$Z$3:$Z$252,MATCH($B9,Daily!$A$3:$A$252,0)),"")),IFERROR(INDEX(Daily!$Z$3:$Z$252,MATCH($B9,Daily!$A$3:$A$252,0)),""),""))</f>
        <v/>
      </c>
      <c r="I9">
        <f>IF($B9="","",IF(ISNUMBER(IFERROR(INDEX(Daily!$AK$3:$AK$252,MATCH($B9,Daily!$A$3:$A$252,0)),"")),IFERROR(INDEX(Daily!$AK$3:$AK$252,MATCH($B9,Daily!$A$3:$A$252,0)),""),""))</f>
        <v/>
      </c>
      <c r="J9">
        <f>IF($B9="","",IF(AND(ISNUMBER(MDS),ISNUMBER(MDE)),IF(AND($B9&gt;=MDS,$B9&lt;=MDE),24,""),""))</f>
        <v/>
      </c>
      <c r="K9">
        <f>IF($B9="","",IF(AND(ISNUMBER(PitanS),ISNUMBER(PitanE)),IF(AND($B9&gt;=PitanS,$B9&lt;=PitanE),26,""),""))</f>
        <v/>
      </c>
      <c r="L9">
        <f>IF($B9="","",IF(AND(ISNUMBER(C1S),ISNUMBER(C3E)),IF(AND($B9&gt;=C1S,$B9&lt;=C3E),22,""),""))</f>
        <v/>
      </c>
    </row>
    <row r="10">
      <c r="A10" t="n">
        <v>9</v>
      </c>
      <c r="B10" s="30">
        <f>IFERROR(SMALL(Daily!$A$3:$A$252,A10),"")</f>
        <v/>
      </c>
      <c r="C10">
        <f>IF($B10="","",IF(ISNUMBER(IFERROR(INDEX(Daily!$T$3:$T$252,MATCH($B10,Daily!$A$3:$A$252,0)),"")),IFERROR(INDEX(Daily!$T$3:$T$252,MATCH($B10,Daily!$A$3:$A$252,0)),""),""))</f>
        <v/>
      </c>
      <c r="D10">
        <f>IF($B10="","",IF(ISNUMBER(IFERROR(INDEX(Daily!$AE$3:$AE$252,MATCH($B10,Daily!$A$3:$A$252,0)),"")),IFERROR(INDEX(Daily!$AE$3:$AE$252,MATCH($B10,Daily!$A$3:$A$252,0)),""),""))</f>
        <v/>
      </c>
      <c r="E10">
        <f>IF($B10="","",IF(ISNUMBER(IFERROR(INDEX(Daily!$B$3:$B$252,MATCH($B10,Daily!$A$3:$A$252,0)),"")),IFERROR(INDEX(Daily!$B$3:$B$252,MATCH($B10,Daily!$A$3:$A$252,0)),""),0))</f>
        <v/>
      </c>
      <c r="F10">
        <f>IF($B10="","",IF(ISNUMBER(IFERROR(INDEX(Daily!$Y$3:$Y$252,MATCH($B10,Daily!$A$3:$A$252,0)),"")),IFERROR(INDEX(Daily!$Y$3:$Y$252,MATCH($B10,Daily!$A$3:$A$252,0)),""),""))</f>
        <v/>
      </c>
      <c r="G10">
        <f>IF($B10="","",IF(ISNUMBER(IFERROR(INDEX(Daily!$AJ$3:$AJ$252,MATCH($B10,Daily!$A$3:$A$252,0)),"")),IFERROR(INDEX(Daily!$AJ$3:$AJ$252,MATCH($B10,Daily!$A$3:$A$252,0)),""),""))</f>
        <v/>
      </c>
      <c r="H10">
        <f>IF($B10="","",IF(ISNUMBER(IFERROR(INDEX(Daily!$Z$3:$Z$252,MATCH($B10,Daily!$A$3:$A$252,0)),"")),IFERROR(INDEX(Daily!$Z$3:$Z$252,MATCH($B10,Daily!$A$3:$A$252,0)),""),""))</f>
        <v/>
      </c>
      <c r="I10">
        <f>IF($B10="","",IF(ISNUMBER(IFERROR(INDEX(Daily!$AK$3:$AK$252,MATCH($B10,Daily!$A$3:$A$252,0)),"")),IFERROR(INDEX(Daily!$AK$3:$AK$252,MATCH($B10,Daily!$A$3:$A$252,0)),""),""))</f>
        <v/>
      </c>
      <c r="J10">
        <f>IF($B10="","",IF(AND(ISNUMBER(MDS),ISNUMBER(MDE)),IF(AND($B10&gt;=MDS,$B10&lt;=MDE),24,""),""))</f>
        <v/>
      </c>
      <c r="K10">
        <f>IF($B10="","",IF(AND(ISNUMBER(PitanS),ISNUMBER(PitanE)),IF(AND($B10&gt;=PitanS,$B10&lt;=PitanE),26,""),""))</f>
        <v/>
      </c>
      <c r="L10">
        <f>IF($B10="","",IF(AND(ISNUMBER(C1S),ISNUMBER(C3E)),IF(AND($B10&gt;=C1S,$B10&lt;=C3E),22,""),""))</f>
        <v/>
      </c>
    </row>
    <row r="11">
      <c r="A11" t="n">
        <v>10</v>
      </c>
      <c r="B11" s="30">
        <f>IFERROR(SMALL(Daily!$A$3:$A$252,A11),"")</f>
        <v/>
      </c>
      <c r="C11">
        <f>IF($B11="","",IF(ISNUMBER(IFERROR(INDEX(Daily!$T$3:$T$252,MATCH($B11,Daily!$A$3:$A$252,0)),"")),IFERROR(INDEX(Daily!$T$3:$T$252,MATCH($B11,Daily!$A$3:$A$252,0)),""),""))</f>
        <v/>
      </c>
      <c r="D11">
        <f>IF($B11="","",IF(ISNUMBER(IFERROR(INDEX(Daily!$AE$3:$AE$252,MATCH($B11,Daily!$A$3:$A$252,0)),"")),IFERROR(INDEX(Daily!$AE$3:$AE$252,MATCH($B11,Daily!$A$3:$A$252,0)),""),""))</f>
        <v/>
      </c>
      <c r="E11">
        <f>IF($B11="","",IF(ISNUMBER(IFERROR(INDEX(Daily!$B$3:$B$252,MATCH($B11,Daily!$A$3:$A$252,0)),"")),IFERROR(INDEX(Daily!$B$3:$B$252,MATCH($B11,Daily!$A$3:$A$252,0)),""),0))</f>
        <v/>
      </c>
      <c r="F11">
        <f>IF($B11="","",IF(ISNUMBER(IFERROR(INDEX(Daily!$Y$3:$Y$252,MATCH($B11,Daily!$A$3:$A$252,0)),"")),IFERROR(INDEX(Daily!$Y$3:$Y$252,MATCH($B11,Daily!$A$3:$A$252,0)),""),""))</f>
        <v/>
      </c>
      <c r="G11">
        <f>IF($B11="","",IF(ISNUMBER(IFERROR(INDEX(Daily!$AJ$3:$AJ$252,MATCH($B11,Daily!$A$3:$A$252,0)),"")),IFERROR(INDEX(Daily!$AJ$3:$AJ$252,MATCH($B11,Daily!$A$3:$A$252,0)),""),""))</f>
        <v/>
      </c>
      <c r="H11">
        <f>IF($B11="","",IF(ISNUMBER(IFERROR(INDEX(Daily!$Z$3:$Z$252,MATCH($B11,Daily!$A$3:$A$252,0)),"")),IFERROR(INDEX(Daily!$Z$3:$Z$252,MATCH($B11,Daily!$A$3:$A$252,0)),""),""))</f>
        <v/>
      </c>
      <c r="I11">
        <f>IF($B11="","",IF(ISNUMBER(IFERROR(INDEX(Daily!$AK$3:$AK$252,MATCH($B11,Daily!$A$3:$A$252,0)),"")),IFERROR(INDEX(Daily!$AK$3:$AK$252,MATCH($B11,Daily!$A$3:$A$252,0)),""),""))</f>
        <v/>
      </c>
      <c r="J11">
        <f>IF($B11="","",IF(AND(ISNUMBER(MDS),ISNUMBER(MDE)),IF(AND($B11&gt;=MDS,$B11&lt;=MDE),24,""),""))</f>
        <v/>
      </c>
      <c r="K11">
        <f>IF($B11="","",IF(AND(ISNUMBER(PitanS),ISNUMBER(PitanE)),IF(AND($B11&gt;=PitanS,$B11&lt;=PitanE),26,""),""))</f>
        <v/>
      </c>
      <c r="L11">
        <f>IF($B11="","",IF(AND(ISNUMBER(C1S),ISNUMBER(C3E)),IF(AND($B11&gt;=C1S,$B11&lt;=C3E),22,""),""))</f>
        <v/>
      </c>
    </row>
    <row r="12">
      <c r="A12" t="n">
        <v>11</v>
      </c>
      <c r="B12" s="30">
        <f>IFERROR(SMALL(Daily!$A$3:$A$252,A12),"")</f>
        <v/>
      </c>
      <c r="C12">
        <f>IF($B12="","",IF(ISNUMBER(IFERROR(INDEX(Daily!$T$3:$T$252,MATCH($B12,Daily!$A$3:$A$252,0)),"")),IFERROR(INDEX(Daily!$T$3:$T$252,MATCH($B12,Daily!$A$3:$A$252,0)),""),""))</f>
        <v/>
      </c>
      <c r="D12">
        <f>IF($B12="","",IF(ISNUMBER(IFERROR(INDEX(Daily!$AE$3:$AE$252,MATCH($B12,Daily!$A$3:$A$252,0)),"")),IFERROR(INDEX(Daily!$AE$3:$AE$252,MATCH($B12,Daily!$A$3:$A$252,0)),""),""))</f>
        <v/>
      </c>
      <c r="E12">
        <f>IF($B12="","",IF(ISNUMBER(IFERROR(INDEX(Daily!$B$3:$B$252,MATCH($B12,Daily!$A$3:$A$252,0)),"")),IFERROR(INDEX(Daily!$B$3:$B$252,MATCH($B12,Daily!$A$3:$A$252,0)),""),0))</f>
        <v/>
      </c>
      <c r="F12">
        <f>IF($B12="","",IF(ISNUMBER(IFERROR(INDEX(Daily!$Y$3:$Y$252,MATCH($B12,Daily!$A$3:$A$252,0)),"")),IFERROR(INDEX(Daily!$Y$3:$Y$252,MATCH($B12,Daily!$A$3:$A$252,0)),""),""))</f>
        <v/>
      </c>
      <c r="G12">
        <f>IF($B12="","",IF(ISNUMBER(IFERROR(INDEX(Daily!$AJ$3:$AJ$252,MATCH($B12,Daily!$A$3:$A$252,0)),"")),IFERROR(INDEX(Daily!$AJ$3:$AJ$252,MATCH($B12,Daily!$A$3:$A$252,0)),""),""))</f>
        <v/>
      </c>
      <c r="H12">
        <f>IF($B12="","",IF(ISNUMBER(IFERROR(INDEX(Daily!$Z$3:$Z$252,MATCH($B12,Daily!$A$3:$A$252,0)),"")),IFERROR(INDEX(Daily!$Z$3:$Z$252,MATCH($B12,Daily!$A$3:$A$252,0)),""),""))</f>
        <v/>
      </c>
      <c r="I12">
        <f>IF($B12="","",IF(ISNUMBER(IFERROR(INDEX(Daily!$AK$3:$AK$252,MATCH($B12,Daily!$A$3:$A$252,0)),"")),IFERROR(INDEX(Daily!$AK$3:$AK$252,MATCH($B12,Daily!$A$3:$A$252,0)),""),""))</f>
        <v/>
      </c>
      <c r="J12">
        <f>IF($B12="","",IF(AND(ISNUMBER(MDS),ISNUMBER(MDE)),IF(AND($B12&gt;=MDS,$B12&lt;=MDE),24,""),""))</f>
        <v/>
      </c>
      <c r="K12">
        <f>IF($B12="","",IF(AND(ISNUMBER(PitanS),ISNUMBER(PitanE)),IF(AND($B12&gt;=PitanS,$B12&lt;=PitanE),26,""),""))</f>
        <v/>
      </c>
      <c r="L12">
        <f>IF($B12="","",IF(AND(ISNUMBER(C1S),ISNUMBER(C3E)),IF(AND($B12&gt;=C1S,$B12&lt;=C3E),22,""),""))</f>
        <v/>
      </c>
    </row>
    <row r="13">
      <c r="A13" t="n">
        <v>12</v>
      </c>
      <c r="B13" s="30">
        <f>IFERROR(SMALL(Daily!$A$3:$A$252,A13),"")</f>
        <v/>
      </c>
      <c r="C13">
        <f>IF($B13="","",IF(ISNUMBER(IFERROR(INDEX(Daily!$T$3:$T$252,MATCH($B13,Daily!$A$3:$A$252,0)),"")),IFERROR(INDEX(Daily!$T$3:$T$252,MATCH($B13,Daily!$A$3:$A$252,0)),""),""))</f>
        <v/>
      </c>
      <c r="D13">
        <f>IF($B13="","",IF(ISNUMBER(IFERROR(INDEX(Daily!$AE$3:$AE$252,MATCH($B13,Daily!$A$3:$A$252,0)),"")),IFERROR(INDEX(Daily!$AE$3:$AE$252,MATCH($B13,Daily!$A$3:$A$252,0)),""),""))</f>
        <v/>
      </c>
      <c r="E13">
        <f>IF($B13="","",IF(ISNUMBER(IFERROR(INDEX(Daily!$B$3:$B$252,MATCH($B13,Daily!$A$3:$A$252,0)),"")),IFERROR(INDEX(Daily!$B$3:$B$252,MATCH($B13,Daily!$A$3:$A$252,0)),""),0))</f>
        <v/>
      </c>
      <c r="F13">
        <f>IF($B13="","",IF(ISNUMBER(IFERROR(INDEX(Daily!$Y$3:$Y$252,MATCH($B13,Daily!$A$3:$A$252,0)),"")),IFERROR(INDEX(Daily!$Y$3:$Y$252,MATCH($B13,Daily!$A$3:$A$252,0)),""),""))</f>
        <v/>
      </c>
      <c r="G13">
        <f>IF($B13="","",IF(ISNUMBER(IFERROR(INDEX(Daily!$AJ$3:$AJ$252,MATCH($B13,Daily!$A$3:$A$252,0)),"")),IFERROR(INDEX(Daily!$AJ$3:$AJ$252,MATCH($B13,Daily!$A$3:$A$252,0)),""),""))</f>
        <v/>
      </c>
      <c r="H13">
        <f>IF($B13="","",IF(ISNUMBER(IFERROR(INDEX(Daily!$Z$3:$Z$252,MATCH($B13,Daily!$A$3:$A$252,0)),"")),IFERROR(INDEX(Daily!$Z$3:$Z$252,MATCH($B13,Daily!$A$3:$A$252,0)),""),""))</f>
        <v/>
      </c>
      <c r="I13">
        <f>IF($B13="","",IF(ISNUMBER(IFERROR(INDEX(Daily!$AK$3:$AK$252,MATCH($B13,Daily!$A$3:$A$252,0)),"")),IFERROR(INDEX(Daily!$AK$3:$AK$252,MATCH($B13,Daily!$A$3:$A$252,0)),""),""))</f>
        <v/>
      </c>
      <c r="J13">
        <f>IF($B13="","",IF(AND(ISNUMBER(MDS),ISNUMBER(MDE)),IF(AND($B13&gt;=MDS,$B13&lt;=MDE),24,""),""))</f>
        <v/>
      </c>
      <c r="K13">
        <f>IF($B13="","",IF(AND(ISNUMBER(PitanS),ISNUMBER(PitanE)),IF(AND($B13&gt;=PitanS,$B13&lt;=PitanE),26,""),""))</f>
        <v/>
      </c>
      <c r="L13">
        <f>IF($B13="","",IF(AND(ISNUMBER(C1S),ISNUMBER(C3E)),IF(AND($B13&gt;=C1S,$B13&lt;=C3E),22,""),""))</f>
        <v/>
      </c>
    </row>
    <row r="14">
      <c r="A14" t="n">
        <v>13</v>
      </c>
      <c r="B14" s="30">
        <f>IFERROR(SMALL(Daily!$A$3:$A$252,A14),"")</f>
        <v/>
      </c>
      <c r="C14">
        <f>IF($B14="","",IF(ISNUMBER(IFERROR(INDEX(Daily!$T$3:$T$252,MATCH($B14,Daily!$A$3:$A$252,0)),"")),IFERROR(INDEX(Daily!$T$3:$T$252,MATCH($B14,Daily!$A$3:$A$252,0)),""),""))</f>
        <v/>
      </c>
      <c r="D14">
        <f>IF($B14="","",IF(ISNUMBER(IFERROR(INDEX(Daily!$AE$3:$AE$252,MATCH($B14,Daily!$A$3:$A$252,0)),"")),IFERROR(INDEX(Daily!$AE$3:$AE$252,MATCH($B14,Daily!$A$3:$A$252,0)),""),""))</f>
        <v/>
      </c>
      <c r="E14">
        <f>IF($B14="","",IF(ISNUMBER(IFERROR(INDEX(Daily!$B$3:$B$252,MATCH($B14,Daily!$A$3:$A$252,0)),"")),IFERROR(INDEX(Daily!$B$3:$B$252,MATCH($B14,Daily!$A$3:$A$252,0)),""),0))</f>
        <v/>
      </c>
      <c r="F14">
        <f>IF($B14="","",IF(ISNUMBER(IFERROR(INDEX(Daily!$Y$3:$Y$252,MATCH($B14,Daily!$A$3:$A$252,0)),"")),IFERROR(INDEX(Daily!$Y$3:$Y$252,MATCH($B14,Daily!$A$3:$A$252,0)),""),""))</f>
        <v/>
      </c>
      <c r="G14">
        <f>IF($B14="","",IF(ISNUMBER(IFERROR(INDEX(Daily!$AJ$3:$AJ$252,MATCH($B14,Daily!$A$3:$A$252,0)),"")),IFERROR(INDEX(Daily!$AJ$3:$AJ$252,MATCH($B14,Daily!$A$3:$A$252,0)),""),""))</f>
        <v/>
      </c>
      <c r="H14">
        <f>IF($B14="","",IF(ISNUMBER(IFERROR(INDEX(Daily!$Z$3:$Z$252,MATCH($B14,Daily!$A$3:$A$252,0)),"")),IFERROR(INDEX(Daily!$Z$3:$Z$252,MATCH($B14,Daily!$A$3:$A$252,0)),""),""))</f>
        <v/>
      </c>
      <c r="I14">
        <f>IF($B14="","",IF(ISNUMBER(IFERROR(INDEX(Daily!$AK$3:$AK$252,MATCH($B14,Daily!$A$3:$A$252,0)),"")),IFERROR(INDEX(Daily!$AK$3:$AK$252,MATCH($B14,Daily!$A$3:$A$252,0)),""),""))</f>
        <v/>
      </c>
      <c r="J14">
        <f>IF($B14="","",IF(AND(ISNUMBER(MDS),ISNUMBER(MDE)),IF(AND($B14&gt;=MDS,$B14&lt;=MDE),24,""),""))</f>
        <v/>
      </c>
      <c r="K14">
        <f>IF($B14="","",IF(AND(ISNUMBER(PitanS),ISNUMBER(PitanE)),IF(AND($B14&gt;=PitanS,$B14&lt;=PitanE),26,""),""))</f>
        <v/>
      </c>
      <c r="L14">
        <f>IF($B14="","",IF(AND(ISNUMBER(C1S),ISNUMBER(C3E)),IF(AND($B14&gt;=C1S,$B14&lt;=C3E),22,""),""))</f>
        <v/>
      </c>
    </row>
    <row r="15">
      <c r="A15" t="n">
        <v>14</v>
      </c>
      <c r="B15" s="30">
        <f>IFERROR(SMALL(Daily!$A$3:$A$252,A15),"")</f>
        <v/>
      </c>
      <c r="C15">
        <f>IF($B15="","",IF(ISNUMBER(IFERROR(INDEX(Daily!$T$3:$T$252,MATCH($B15,Daily!$A$3:$A$252,0)),"")),IFERROR(INDEX(Daily!$T$3:$T$252,MATCH($B15,Daily!$A$3:$A$252,0)),""),""))</f>
        <v/>
      </c>
      <c r="D15">
        <f>IF($B15="","",IF(ISNUMBER(IFERROR(INDEX(Daily!$AE$3:$AE$252,MATCH($B15,Daily!$A$3:$A$252,0)),"")),IFERROR(INDEX(Daily!$AE$3:$AE$252,MATCH($B15,Daily!$A$3:$A$252,0)),""),""))</f>
        <v/>
      </c>
      <c r="E15">
        <f>IF($B15="","",IF(ISNUMBER(IFERROR(INDEX(Daily!$B$3:$B$252,MATCH($B15,Daily!$A$3:$A$252,0)),"")),IFERROR(INDEX(Daily!$B$3:$B$252,MATCH($B15,Daily!$A$3:$A$252,0)),""),0))</f>
        <v/>
      </c>
      <c r="F15">
        <f>IF($B15="","",IF(ISNUMBER(IFERROR(INDEX(Daily!$Y$3:$Y$252,MATCH($B15,Daily!$A$3:$A$252,0)),"")),IFERROR(INDEX(Daily!$Y$3:$Y$252,MATCH($B15,Daily!$A$3:$A$252,0)),""),""))</f>
        <v/>
      </c>
      <c r="G15">
        <f>IF($B15="","",IF(ISNUMBER(IFERROR(INDEX(Daily!$AJ$3:$AJ$252,MATCH($B15,Daily!$A$3:$A$252,0)),"")),IFERROR(INDEX(Daily!$AJ$3:$AJ$252,MATCH($B15,Daily!$A$3:$A$252,0)),""),""))</f>
        <v/>
      </c>
      <c r="H15">
        <f>IF($B15="","",IF(ISNUMBER(IFERROR(INDEX(Daily!$Z$3:$Z$252,MATCH($B15,Daily!$A$3:$A$252,0)),"")),IFERROR(INDEX(Daily!$Z$3:$Z$252,MATCH($B15,Daily!$A$3:$A$252,0)),""),""))</f>
        <v/>
      </c>
      <c r="I15">
        <f>IF($B15="","",IF(ISNUMBER(IFERROR(INDEX(Daily!$AK$3:$AK$252,MATCH($B15,Daily!$A$3:$A$252,0)),"")),IFERROR(INDEX(Daily!$AK$3:$AK$252,MATCH($B15,Daily!$A$3:$A$252,0)),""),""))</f>
        <v/>
      </c>
      <c r="J15">
        <f>IF($B15="","",IF(AND(ISNUMBER(MDS),ISNUMBER(MDE)),IF(AND($B15&gt;=MDS,$B15&lt;=MDE),24,""),""))</f>
        <v/>
      </c>
      <c r="K15">
        <f>IF($B15="","",IF(AND(ISNUMBER(PitanS),ISNUMBER(PitanE)),IF(AND($B15&gt;=PitanS,$B15&lt;=PitanE),26,""),""))</f>
        <v/>
      </c>
      <c r="L15">
        <f>IF($B15="","",IF(AND(ISNUMBER(C1S),ISNUMBER(C3E)),IF(AND($B15&gt;=C1S,$B15&lt;=C3E),22,""),""))</f>
        <v/>
      </c>
    </row>
    <row r="16">
      <c r="A16" t="n">
        <v>15</v>
      </c>
      <c r="B16" s="30">
        <f>IFERROR(SMALL(Daily!$A$3:$A$252,A16),"")</f>
        <v/>
      </c>
      <c r="C16">
        <f>IF($B16="","",IF(ISNUMBER(IFERROR(INDEX(Daily!$T$3:$T$252,MATCH($B16,Daily!$A$3:$A$252,0)),"")),IFERROR(INDEX(Daily!$T$3:$T$252,MATCH($B16,Daily!$A$3:$A$252,0)),""),""))</f>
        <v/>
      </c>
      <c r="D16">
        <f>IF($B16="","",IF(ISNUMBER(IFERROR(INDEX(Daily!$AE$3:$AE$252,MATCH($B16,Daily!$A$3:$A$252,0)),"")),IFERROR(INDEX(Daily!$AE$3:$AE$252,MATCH($B16,Daily!$A$3:$A$252,0)),""),""))</f>
        <v/>
      </c>
      <c r="E16">
        <f>IF($B16="","",IF(ISNUMBER(IFERROR(INDEX(Daily!$B$3:$B$252,MATCH($B16,Daily!$A$3:$A$252,0)),"")),IFERROR(INDEX(Daily!$B$3:$B$252,MATCH($B16,Daily!$A$3:$A$252,0)),""),0))</f>
        <v/>
      </c>
      <c r="F16">
        <f>IF($B16="","",IF(ISNUMBER(IFERROR(INDEX(Daily!$Y$3:$Y$252,MATCH($B16,Daily!$A$3:$A$252,0)),"")),IFERROR(INDEX(Daily!$Y$3:$Y$252,MATCH($B16,Daily!$A$3:$A$252,0)),""),""))</f>
        <v/>
      </c>
      <c r="G16">
        <f>IF($B16="","",IF(ISNUMBER(IFERROR(INDEX(Daily!$AJ$3:$AJ$252,MATCH($B16,Daily!$A$3:$A$252,0)),"")),IFERROR(INDEX(Daily!$AJ$3:$AJ$252,MATCH($B16,Daily!$A$3:$A$252,0)),""),""))</f>
        <v/>
      </c>
      <c r="H16">
        <f>IF($B16="","",IF(ISNUMBER(IFERROR(INDEX(Daily!$Z$3:$Z$252,MATCH($B16,Daily!$A$3:$A$252,0)),"")),IFERROR(INDEX(Daily!$Z$3:$Z$252,MATCH($B16,Daily!$A$3:$A$252,0)),""),""))</f>
        <v/>
      </c>
      <c r="I16">
        <f>IF($B16="","",IF(ISNUMBER(IFERROR(INDEX(Daily!$AK$3:$AK$252,MATCH($B16,Daily!$A$3:$A$252,0)),"")),IFERROR(INDEX(Daily!$AK$3:$AK$252,MATCH($B16,Daily!$A$3:$A$252,0)),""),""))</f>
        <v/>
      </c>
      <c r="J16">
        <f>IF($B16="","",IF(AND(ISNUMBER(MDS),ISNUMBER(MDE)),IF(AND($B16&gt;=MDS,$B16&lt;=MDE),24,""),""))</f>
        <v/>
      </c>
      <c r="K16">
        <f>IF($B16="","",IF(AND(ISNUMBER(PitanS),ISNUMBER(PitanE)),IF(AND($B16&gt;=PitanS,$B16&lt;=PitanE),26,""),""))</f>
        <v/>
      </c>
      <c r="L16">
        <f>IF($B16="","",IF(AND(ISNUMBER(C1S),ISNUMBER(C3E)),IF(AND($B16&gt;=C1S,$B16&lt;=C3E),22,""),""))</f>
        <v/>
      </c>
    </row>
    <row r="17">
      <c r="A17" t="n">
        <v>16</v>
      </c>
      <c r="B17" s="30">
        <f>IFERROR(SMALL(Daily!$A$3:$A$252,A17),"")</f>
        <v/>
      </c>
      <c r="C17">
        <f>IF($B17="","",IF(ISNUMBER(IFERROR(INDEX(Daily!$T$3:$T$252,MATCH($B17,Daily!$A$3:$A$252,0)),"")),IFERROR(INDEX(Daily!$T$3:$T$252,MATCH($B17,Daily!$A$3:$A$252,0)),""),""))</f>
        <v/>
      </c>
      <c r="D17">
        <f>IF($B17="","",IF(ISNUMBER(IFERROR(INDEX(Daily!$AE$3:$AE$252,MATCH($B17,Daily!$A$3:$A$252,0)),"")),IFERROR(INDEX(Daily!$AE$3:$AE$252,MATCH($B17,Daily!$A$3:$A$252,0)),""),""))</f>
        <v/>
      </c>
      <c r="E17">
        <f>IF($B17="","",IF(ISNUMBER(IFERROR(INDEX(Daily!$B$3:$B$252,MATCH($B17,Daily!$A$3:$A$252,0)),"")),IFERROR(INDEX(Daily!$B$3:$B$252,MATCH($B17,Daily!$A$3:$A$252,0)),""),0))</f>
        <v/>
      </c>
      <c r="F17">
        <f>IF($B17="","",IF(ISNUMBER(IFERROR(INDEX(Daily!$Y$3:$Y$252,MATCH($B17,Daily!$A$3:$A$252,0)),"")),IFERROR(INDEX(Daily!$Y$3:$Y$252,MATCH($B17,Daily!$A$3:$A$252,0)),""),""))</f>
        <v/>
      </c>
      <c r="G17">
        <f>IF($B17="","",IF(ISNUMBER(IFERROR(INDEX(Daily!$AJ$3:$AJ$252,MATCH($B17,Daily!$A$3:$A$252,0)),"")),IFERROR(INDEX(Daily!$AJ$3:$AJ$252,MATCH($B17,Daily!$A$3:$A$252,0)),""),""))</f>
        <v/>
      </c>
      <c r="H17">
        <f>IF($B17="","",IF(ISNUMBER(IFERROR(INDEX(Daily!$Z$3:$Z$252,MATCH($B17,Daily!$A$3:$A$252,0)),"")),IFERROR(INDEX(Daily!$Z$3:$Z$252,MATCH($B17,Daily!$A$3:$A$252,0)),""),""))</f>
        <v/>
      </c>
      <c r="I17">
        <f>IF($B17="","",IF(ISNUMBER(IFERROR(INDEX(Daily!$AK$3:$AK$252,MATCH($B17,Daily!$A$3:$A$252,0)),"")),IFERROR(INDEX(Daily!$AK$3:$AK$252,MATCH($B17,Daily!$A$3:$A$252,0)),""),""))</f>
        <v/>
      </c>
      <c r="J17">
        <f>IF($B17="","",IF(AND(ISNUMBER(MDS),ISNUMBER(MDE)),IF(AND($B17&gt;=MDS,$B17&lt;=MDE),24,""),""))</f>
        <v/>
      </c>
      <c r="K17">
        <f>IF($B17="","",IF(AND(ISNUMBER(PitanS),ISNUMBER(PitanE)),IF(AND($B17&gt;=PitanS,$B17&lt;=PitanE),26,""),""))</f>
        <v/>
      </c>
      <c r="L17">
        <f>IF($B17="","",IF(AND(ISNUMBER(C1S),ISNUMBER(C3E)),IF(AND($B17&gt;=C1S,$B17&lt;=C3E),22,""),""))</f>
        <v/>
      </c>
    </row>
    <row r="18">
      <c r="A18" t="n">
        <v>17</v>
      </c>
      <c r="B18" s="30">
        <f>IFERROR(SMALL(Daily!$A$3:$A$252,A18),"")</f>
        <v/>
      </c>
      <c r="C18">
        <f>IF($B18="","",IF(ISNUMBER(IFERROR(INDEX(Daily!$T$3:$T$252,MATCH($B18,Daily!$A$3:$A$252,0)),"")),IFERROR(INDEX(Daily!$T$3:$T$252,MATCH($B18,Daily!$A$3:$A$252,0)),""),""))</f>
        <v/>
      </c>
      <c r="D18">
        <f>IF($B18="","",IF(ISNUMBER(IFERROR(INDEX(Daily!$AE$3:$AE$252,MATCH($B18,Daily!$A$3:$A$252,0)),"")),IFERROR(INDEX(Daily!$AE$3:$AE$252,MATCH($B18,Daily!$A$3:$A$252,0)),""),""))</f>
        <v/>
      </c>
      <c r="E18">
        <f>IF($B18="","",IF(ISNUMBER(IFERROR(INDEX(Daily!$B$3:$B$252,MATCH($B18,Daily!$A$3:$A$252,0)),"")),IFERROR(INDEX(Daily!$B$3:$B$252,MATCH($B18,Daily!$A$3:$A$252,0)),""),0))</f>
        <v/>
      </c>
      <c r="F18">
        <f>IF($B18="","",IF(ISNUMBER(IFERROR(INDEX(Daily!$Y$3:$Y$252,MATCH($B18,Daily!$A$3:$A$252,0)),"")),IFERROR(INDEX(Daily!$Y$3:$Y$252,MATCH($B18,Daily!$A$3:$A$252,0)),""),""))</f>
        <v/>
      </c>
      <c r="G18">
        <f>IF($B18="","",IF(ISNUMBER(IFERROR(INDEX(Daily!$AJ$3:$AJ$252,MATCH($B18,Daily!$A$3:$A$252,0)),"")),IFERROR(INDEX(Daily!$AJ$3:$AJ$252,MATCH($B18,Daily!$A$3:$A$252,0)),""),""))</f>
        <v/>
      </c>
      <c r="H18">
        <f>IF($B18="","",IF(ISNUMBER(IFERROR(INDEX(Daily!$Z$3:$Z$252,MATCH($B18,Daily!$A$3:$A$252,0)),"")),IFERROR(INDEX(Daily!$Z$3:$Z$252,MATCH($B18,Daily!$A$3:$A$252,0)),""),""))</f>
        <v/>
      </c>
      <c r="I18">
        <f>IF($B18="","",IF(ISNUMBER(IFERROR(INDEX(Daily!$AK$3:$AK$252,MATCH($B18,Daily!$A$3:$A$252,0)),"")),IFERROR(INDEX(Daily!$AK$3:$AK$252,MATCH($B18,Daily!$A$3:$A$252,0)),""),""))</f>
        <v/>
      </c>
      <c r="J18">
        <f>IF($B18="","",IF(AND(ISNUMBER(MDS),ISNUMBER(MDE)),IF(AND($B18&gt;=MDS,$B18&lt;=MDE),24,""),""))</f>
        <v/>
      </c>
      <c r="K18">
        <f>IF($B18="","",IF(AND(ISNUMBER(PitanS),ISNUMBER(PitanE)),IF(AND($B18&gt;=PitanS,$B18&lt;=PitanE),26,""),""))</f>
        <v/>
      </c>
      <c r="L18">
        <f>IF($B18="","",IF(AND(ISNUMBER(C1S),ISNUMBER(C3E)),IF(AND($B18&gt;=C1S,$B18&lt;=C3E),22,""),""))</f>
        <v/>
      </c>
    </row>
    <row r="19">
      <c r="A19" t="n">
        <v>18</v>
      </c>
      <c r="B19" s="30">
        <f>IFERROR(SMALL(Daily!$A$3:$A$252,A19),"")</f>
        <v/>
      </c>
      <c r="C19">
        <f>IF($B19="","",IF(ISNUMBER(IFERROR(INDEX(Daily!$T$3:$T$252,MATCH($B19,Daily!$A$3:$A$252,0)),"")),IFERROR(INDEX(Daily!$T$3:$T$252,MATCH($B19,Daily!$A$3:$A$252,0)),""),""))</f>
        <v/>
      </c>
      <c r="D19">
        <f>IF($B19="","",IF(ISNUMBER(IFERROR(INDEX(Daily!$AE$3:$AE$252,MATCH($B19,Daily!$A$3:$A$252,0)),"")),IFERROR(INDEX(Daily!$AE$3:$AE$252,MATCH($B19,Daily!$A$3:$A$252,0)),""),""))</f>
        <v/>
      </c>
      <c r="E19">
        <f>IF($B19="","",IF(ISNUMBER(IFERROR(INDEX(Daily!$B$3:$B$252,MATCH($B19,Daily!$A$3:$A$252,0)),"")),IFERROR(INDEX(Daily!$B$3:$B$252,MATCH($B19,Daily!$A$3:$A$252,0)),""),0))</f>
        <v/>
      </c>
      <c r="F19">
        <f>IF($B19="","",IF(ISNUMBER(IFERROR(INDEX(Daily!$Y$3:$Y$252,MATCH($B19,Daily!$A$3:$A$252,0)),"")),IFERROR(INDEX(Daily!$Y$3:$Y$252,MATCH($B19,Daily!$A$3:$A$252,0)),""),""))</f>
        <v/>
      </c>
      <c r="G19">
        <f>IF($B19="","",IF(ISNUMBER(IFERROR(INDEX(Daily!$AJ$3:$AJ$252,MATCH($B19,Daily!$A$3:$A$252,0)),"")),IFERROR(INDEX(Daily!$AJ$3:$AJ$252,MATCH($B19,Daily!$A$3:$A$252,0)),""),""))</f>
        <v/>
      </c>
      <c r="H19">
        <f>IF($B19="","",IF(ISNUMBER(IFERROR(INDEX(Daily!$Z$3:$Z$252,MATCH($B19,Daily!$A$3:$A$252,0)),"")),IFERROR(INDEX(Daily!$Z$3:$Z$252,MATCH($B19,Daily!$A$3:$A$252,0)),""),""))</f>
        <v/>
      </c>
      <c r="I19">
        <f>IF($B19="","",IF(ISNUMBER(IFERROR(INDEX(Daily!$AK$3:$AK$252,MATCH($B19,Daily!$A$3:$A$252,0)),"")),IFERROR(INDEX(Daily!$AK$3:$AK$252,MATCH($B19,Daily!$A$3:$A$252,0)),""),""))</f>
        <v/>
      </c>
      <c r="J19">
        <f>IF($B19="","",IF(AND(ISNUMBER(MDS),ISNUMBER(MDE)),IF(AND($B19&gt;=MDS,$B19&lt;=MDE),24,""),""))</f>
        <v/>
      </c>
      <c r="K19">
        <f>IF($B19="","",IF(AND(ISNUMBER(PitanS),ISNUMBER(PitanE)),IF(AND($B19&gt;=PitanS,$B19&lt;=PitanE),26,""),""))</f>
        <v/>
      </c>
      <c r="L19">
        <f>IF($B19="","",IF(AND(ISNUMBER(C1S),ISNUMBER(C3E)),IF(AND($B19&gt;=C1S,$B19&lt;=C3E),22,""),""))</f>
        <v/>
      </c>
    </row>
    <row r="20">
      <c r="A20" t="n">
        <v>19</v>
      </c>
      <c r="B20" s="30">
        <f>IFERROR(SMALL(Daily!$A$3:$A$252,A20),"")</f>
        <v/>
      </c>
      <c r="C20">
        <f>IF($B20="","",IF(ISNUMBER(IFERROR(INDEX(Daily!$T$3:$T$252,MATCH($B20,Daily!$A$3:$A$252,0)),"")),IFERROR(INDEX(Daily!$T$3:$T$252,MATCH($B20,Daily!$A$3:$A$252,0)),""),""))</f>
        <v/>
      </c>
      <c r="D20">
        <f>IF($B20="","",IF(ISNUMBER(IFERROR(INDEX(Daily!$AE$3:$AE$252,MATCH($B20,Daily!$A$3:$A$252,0)),"")),IFERROR(INDEX(Daily!$AE$3:$AE$252,MATCH($B20,Daily!$A$3:$A$252,0)),""),""))</f>
        <v/>
      </c>
      <c r="E20">
        <f>IF($B20="","",IF(ISNUMBER(IFERROR(INDEX(Daily!$B$3:$B$252,MATCH($B20,Daily!$A$3:$A$252,0)),"")),IFERROR(INDEX(Daily!$B$3:$B$252,MATCH($B20,Daily!$A$3:$A$252,0)),""),0))</f>
        <v/>
      </c>
      <c r="F20">
        <f>IF($B20="","",IF(ISNUMBER(IFERROR(INDEX(Daily!$Y$3:$Y$252,MATCH($B20,Daily!$A$3:$A$252,0)),"")),IFERROR(INDEX(Daily!$Y$3:$Y$252,MATCH($B20,Daily!$A$3:$A$252,0)),""),""))</f>
        <v/>
      </c>
      <c r="G20">
        <f>IF($B20="","",IF(ISNUMBER(IFERROR(INDEX(Daily!$AJ$3:$AJ$252,MATCH($B20,Daily!$A$3:$A$252,0)),"")),IFERROR(INDEX(Daily!$AJ$3:$AJ$252,MATCH($B20,Daily!$A$3:$A$252,0)),""),""))</f>
        <v/>
      </c>
      <c r="H20">
        <f>IF($B20="","",IF(ISNUMBER(IFERROR(INDEX(Daily!$Z$3:$Z$252,MATCH($B20,Daily!$A$3:$A$252,0)),"")),IFERROR(INDEX(Daily!$Z$3:$Z$252,MATCH($B20,Daily!$A$3:$A$252,0)),""),""))</f>
        <v/>
      </c>
      <c r="I20">
        <f>IF($B20="","",IF(ISNUMBER(IFERROR(INDEX(Daily!$AK$3:$AK$252,MATCH($B20,Daily!$A$3:$A$252,0)),"")),IFERROR(INDEX(Daily!$AK$3:$AK$252,MATCH($B20,Daily!$A$3:$A$252,0)),""),""))</f>
        <v/>
      </c>
      <c r="J20">
        <f>IF($B20="","",IF(AND(ISNUMBER(MDS),ISNUMBER(MDE)),IF(AND($B20&gt;=MDS,$B20&lt;=MDE),24,""),""))</f>
        <v/>
      </c>
      <c r="K20">
        <f>IF($B20="","",IF(AND(ISNUMBER(PitanS),ISNUMBER(PitanE)),IF(AND($B20&gt;=PitanS,$B20&lt;=PitanE),26,""),""))</f>
        <v/>
      </c>
      <c r="L20">
        <f>IF($B20="","",IF(AND(ISNUMBER(C1S),ISNUMBER(C3E)),IF(AND($B20&gt;=C1S,$B20&lt;=C3E),22,""),""))</f>
        <v/>
      </c>
    </row>
    <row r="21">
      <c r="A21" t="n">
        <v>20</v>
      </c>
      <c r="B21" s="30">
        <f>IFERROR(SMALL(Daily!$A$3:$A$252,A21),"")</f>
        <v/>
      </c>
      <c r="C21">
        <f>IF($B21="","",IF(ISNUMBER(IFERROR(INDEX(Daily!$T$3:$T$252,MATCH($B21,Daily!$A$3:$A$252,0)),"")),IFERROR(INDEX(Daily!$T$3:$T$252,MATCH($B21,Daily!$A$3:$A$252,0)),""),""))</f>
        <v/>
      </c>
      <c r="D21">
        <f>IF($B21="","",IF(ISNUMBER(IFERROR(INDEX(Daily!$AE$3:$AE$252,MATCH($B21,Daily!$A$3:$A$252,0)),"")),IFERROR(INDEX(Daily!$AE$3:$AE$252,MATCH($B21,Daily!$A$3:$A$252,0)),""),""))</f>
        <v/>
      </c>
      <c r="E21">
        <f>IF($B21="","",IF(ISNUMBER(IFERROR(INDEX(Daily!$B$3:$B$252,MATCH($B21,Daily!$A$3:$A$252,0)),"")),IFERROR(INDEX(Daily!$B$3:$B$252,MATCH($B21,Daily!$A$3:$A$252,0)),""),0))</f>
        <v/>
      </c>
      <c r="F21">
        <f>IF($B21="","",IF(ISNUMBER(IFERROR(INDEX(Daily!$Y$3:$Y$252,MATCH($B21,Daily!$A$3:$A$252,0)),"")),IFERROR(INDEX(Daily!$Y$3:$Y$252,MATCH($B21,Daily!$A$3:$A$252,0)),""),""))</f>
        <v/>
      </c>
      <c r="G21">
        <f>IF($B21="","",IF(ISNUMBER(IFERROR(INDEX(Daily!$AJ$3:$AJ$252,MATCH($B21,Daily!$A$3:$A$252,0)),"")),IFERROR(INDEX(Daily!$AJ$3:$AJ$252,MATCH($B21,Daily!$A$3:$A$252,0)),""),""))</f>
        <v/>
      </c>
      <c r="H21">
        <f>IF($B21="","",IF(ISNUMBER(IFERROR(INDEX(Daily!$Z$3:$Z$252,MATCH($B21,Daily!$A$3:$A$252,0)),"")),IFERROR(INDEX(Daily!$Z$3:$Z$252,MATCH($B21,Daily!$A$3:$A$252,0)),""),""))</f>
        <v/>
      </c>
      <c r="I21">
        <f>IF($B21="","",IF(ISNUMBER(IFERROR(INDEX(Daily!$AK$3:$AK$252,MATCH($B21,Daily!$A$3:$A$252,0)),"")),IFERROR(INDEX(Daily!$AK$3:$AK$252,MATCH($B21,Daily!$A$3:$A$252,0)),""),""))</f>
        <v/>
      </c>
      <c r="J21">
        <f>IF($B21="","",IF(AND(ISNUMBER(MDS),ISNUMBER(MDE)),IF(AND($B21&gt;=MDS,$B21&lt;=MDE),24,""),""))</f>
        <v/>
      </c>
      <c r="K21">
        <f>IF($B21="","",IF(AND(ISNUMBER(PitanS),ISNUMBER(PitanE)),IF(AND($B21&gt;=PitanS,$B21&lt;=PitanE),26,""),""))</f>
        <v/>
      </c>
      <c r="L21">
        <f>IF($B21="","",IF(AND(ISNUMBER(C1S),ISNUMBER(C3E)),IF(AND($B21&gt;=C1S,$B21&lt;=C3E),22,""),""))</f>
        <v/>
      </c>
    </row>
    <row r="22">
      <c r="A22" t="n">
        <v>21</v>
      </c>
      <c r="B22" s="30">
        <f>IFERROR(SMALL(Daily!$A$3:$A$252,A22),"")</f>
        <v/>
      </c>
      <c r="C22">
        <f>IF($B22="","",IF(ISNUMBER(IFERROR(INDEX(Daily!$T$3:$T$252,MATCH($B22,Daily!$A$3:$A$252,0)),"")),IFERROR(INDEX(Daily!$T$3:$T$252,MATCH($B22,Daily!$A$3:$A$252,0)),""),""))</f>
        <v/>
      </c>
      <c r="D22">
        <f>IF($B22="","",IF(ISNUMBER(IFERROR(INDEX(Daily!$AE$3:$AE$252,MATCH($B22,Daily!$A$3:$A$252,0)),"")),IFERROR(INDEX(Daily!$AE$3:$AE$252,MATCH($B22,Daily!$A$3:$A$252,0)),""),""))</f>
        <v/>
      </c>
      <c r="E22">
        <f>IF($B22="","",IF(ISNUMBER(IFERROR(INDEX(Daily!$B$3:$B$252,MATCH($B22,Daily!$A$3:$A$252,0)),"")),IFERROR(INDEX(Daily!$B$3:$B$252,MATCH($B22,Daily!$A$3:$A$252,0)),""),0))</f>
        <v/>
      </c>
      <c r="F22">
        <f>IF($B22="","",IF(ISNUMBER(IFERROR(INDEX(Daily!$Y$3:$Y$252,MATCH($B22,Daily!$A$3:$A$252,0)),"")),IFERROR(INDEX(Daily!$Y$3:$Y$252,MATCH($B22,Daily!$A$3:$A$252,0)),""),""))</f>
        <v/>
      </c>
      <c r="G22">
        <f>IF($B22="","",IF(ISNUMBER(IFERROR(INDEX(Daily!$AJ$3:$AJ$252,MATCH($B22,Daily!$A$3:$A$252,0)),"")),IFERROR(INDEX(Daily!$AJ$3:$AJ$252,MATCH($B22,Daily!$A$3:$A$252,0)),""),""))</f>
        <v/>
      </c>
      <c r="H22">
        <f>IF($B22="","",IF(ISNUMBER(IFERROR(INDEX(Daily!$Z$3:$Z$252,MATCH($B22,Daily!$A$3:$A$252,0)),"")),IFERROR(INDEX(Daily!$Z$3:$Z$252,MATCH($B22,Daily!$A$3:$A$252,0)),""),""))</f>
        <v/>
      </c>
      <c r="I22">
        <f>IF($B22="","",IF(ISNUMBER(IFERROR(INDEX(Daily!$AK$3:$AK$252,MATCH($B22,Daily!$A$3:$A$252,0)),"")),IFERROR(INDEX(Daily!$AK$3:$AK$252,MATCH($B22,Daily!$A$3:$A$252,0)),""),""))</f>
        <v/>
      </c>
      <c r="J22">
        <f>IF($B22="","",IF(AND(ISNUMBER(MDS),ISNUMBER(MDE)),IF(AND($B22&gt;=MDS,$B22&lt;=MDE),24,""),""))</f>
        <v/>
      </c>
      <c r="K22">
        <f>IF($B22="","",IF(AND(ISNUMBER(PitanS),ISNUMBER(PitanE)),IF(AND($B22&gt;=PitanS,$B22&lt;=PitanE),26,""),""))</f>
        <v/>
      </c>
      <c r="L22">
        <f>IF($B22="","",IF(AND(ISNUMBER(C1S),ISNUMBER(C3E)),IF(AND($B22&gt;=C1S,$B22&lt;=C3E),22,""),""))</f>
        <v/>
      </c>
    </row>
    <row r="23">
      <c r="A23" t="n">
        <v>22</v>
      </c>
      <c r="B23" s="30">
        <f>IFERROR(SMALL(Daily!$A$3:$A$252,A23),"")</f>
        <v/>
      </c>
      <c r="C23">
        <f>IF($B23="","",IF(ISNUMBER(IFERROR(INDEX(Daily!$T$3:$T$252,MATCH($B23,Daily!$A$3:$A$252,0)),"")),IFERROR(INDEX(Daily!$T$3:$T$252,MATCH($B23,Daily!$A$3:$A$252,0)),""),""))</f>
        <v/>
      </c>
      <c r="D23">
        <f>IF($B23="","",IF(ISNUMBER(IFERROR(INDEX(Daily!$AE$3:$AE$252,MATCH($B23,Daily!$A$3:$A$252,0)),"")),IFERROR(INDEX(Daily!$AE$3:$AE$252,MATCH($B23,Daily!$A$3:$A$252,0)),""),""))</f>
        <v/>
      </c>
      <c r="E23">
        <f>IF($B23="","",IF(ISNUMBER(IFERROR(INDEX(Daily!$B$3:$B$252,MATCH($B23,Daily!$A$3:$A$252,0)),"")),IFERROR(INDEX(Daily!$B$3:$B$252,MATCH($B23,Daily!$A$3:$A$252,0)),""),0))</f>
        <v/>
      </c>
      <c r="F23">
        <f>IF($B23="","",IF(ISNUMBER(IFERROR(INDEX(Daily!$Y$3:$Y$252,MATCH($B23,Daily!$A$3:$A$252,0)),"")),IFERROR(INDEX(Daily!$Y$3:$Y$252,MATCH($B23,Daily!$A$3:$A$252,0)),""),""))</f>
        <v/>
      </c>
      <c r="G23">
        <f>IF($B23="","",IF(ISNUMBER(IFERROR(INDEX(Daily!$AJ$3:$AJ$252,MATCH($B23,Daily!$A$3:$A$252,0)),"")),IFERROR(INDEX(Daily!$AJ$3:$AJ$252,MATCH($B23,Daily!$A$3:$A$252,0)),""),""))</f>
        <v/>
      </c>
      <c r="H23">
        <f>IF($B23="","",IF(ISNUMBER(IFERROR(INDEX(Daily!$Z$3:$Z$252,MATCH($B23,Daily!$A$3:$A$252,0)),"")),IFERROR(INDEX(Daily!$Z$3:$Z$252,MATCH($B23,Daily!$A$3:$A$252,0)),""),""))</f>
        <v/>
      </c>
      <c r="I23">
        <f>IF($B23="","",IF(ISNUMBER(IFERROR(INDEX(Daily!$AK$3:$AK$252,MATCH($B23,Daily!$A$3:$A$252,0)),"")),IFERROR(INDEX(Daily!$AK$3:$AK$252,MATCH($B23,Daily!$A$3:$A$252,0)),""),""))</f>
        <v/>
      </c>
      <c r="J23">
        <f>IF($B23="","",IF(AND(ISNUMBER(MDS),ISNUMBER(MDE)),IF(AND($B23&gt;=MDS,$B23&lt;=MDE),24,""),""))</f>
        <v/>
      </c>
      <c r="K23">
        <f>IF($B23="","",IF(AND(ISNUMBER(PitanS),ISNUMBER(PitanE)),IF(AND($B23&gt;=PitanS,$B23&lt;=PitanE),26,""),""))</f>
        <v/>
      </c>
      <c r="L23">
        <f>IF($B23="","",IF(AND(ISNUMBER(C1S),ISNUMBER(C3E)),IF(AND($B23&gt;=C1S,$B23&lt;=C3E),22,""),""))</f>
        <v/>
      </c>
    </row>
    <row r="24">
      <c r="A24" t="n">
        <v>23</v>
      </c>
      <c r="B24" s="30">
        <f>IFERROR(SMALL(Daily!$A$3:$A$252,A24),"")</f>
        <v/>
      </c>
      <c r="C24">
        <f>IF($B24="","",IF(ISNUMBER(IFERROR(INDEX(Daily!$T$3:$T$252,MATCH($B24,Daily!$A$3:$A$252,0)),"")),IFERROR(INDEX(Daily!$T$3:$T$252,MATCH($B24,Daily!$A$3:$A$252,0)),""),""))</f>
        <v/>
      </c>
      <c r="D24">
        <f>IF($B24="","",IF(ISNUMBER(IFERROR(INDEX(Daily!$AE$3:$AE$252,MATCH($B24,Daily!$A$3:$A$252,0)),"")),IFERROR(INDEX(Daily!$AE$3:$AE$252,MATCH($B24,Daily!$A$3:$A$252,0)),""),""))</f>
        <v/>
      </c>
      <c r="E24">
        <f>IF($B24="","",IF(ISNUMBER(IFERROR(INDEX(Daily!$B$3:$B$252,MATCH($B24,Daily!$A$3:$A$252,0)),"")),IFERROR(INDEX(Daily!$B$3:$B$252,MATCH($B24,Daily!$A$3:$A$252,0)),""),0))</f>
        <v/>
      </c>
      <c r="F24">
        <f>IF($B24="","",IF(ISNUMBER(IFERROR(INDEX(Daily!$Y$3:$Y$252,MATCH($B24,Daily!$A$3:$A$252,0)),"")),IFERROR(INDEX(Daily!$Y$3:$Y$252,MATCH($B24,Daily!$A$3:$A$252,0)),""),""))</f>
        <v/>
      </c>
      <c r="G24">
        <f>IF($B24="","",IF(ISNUMBER(IFERROR(INDEX(Daily!$AJ$3:$AJ$252,MATCH($B24,Daily!$A$3:$A$252,0)),"")),IFERROR(INDEX(Daily!$AJ$3:$AJ$252,MATCH($B24,Daily!$A$3:$A$252,0)),""),""))</f>
        <v/>
      </c>
      <c r="H24">
        <f>IF($B24="","",IF(ISNUMBER(IFERROR(INDEX(Daily!$Z$3:$Z$252,MATCH($B24,Daily!$A$3:$A$252,0)),"")),IFERROR(INDEX(Daily!$Z$3:$Z$252,MATCH($B24,Daily!$A$3:$A$252,0)),""),""))</f>
        <v/>
      </c>
      <c r="I24">
        <f>IF($B24="","",IF(ISNUMBER(IFERROR(INDEX(Daily!$AK$3:$AK$252,MATCH($B24,Daily!$A$3:$A$252,0)),"")),IFERROR(INDEX(Daily!$AK$3:$AK$252,MATCH($B24,Daily!$A$3:$A$252,0)),""),""))</f>
        <v/>
      </c>
      <c r="J24">
        <f>IF($B24="","",IF(AND(ISNUMBER(MDS),ISNUMBER(MDE)),IF(AND($B24&gt;=MDS,$B24&lt;=MDE),24,""),""))</f>
        <v/>
      </c>
      <c r="K24">
        <f>IF($B24="","",IF(AND(ISNUMBER(PitanS),ISNUMBER(PitanE)),IF(AND($B24&gt;=PitanS,$B24&lt;=PitanE),26,""),""))</f>
        <v/>
      </c>
      <c r="L24">
        <f>IF($B24="","",IF(AND(ISNUMBER(C1S),ISNUMBER(C3E)),IF(AND($B24&gt;=C1S,$B24&lt;=C3E),22,""),""))</f>
        <v/>
      </c>
    </row>
    <row r="25">
      <c r="A25" t="n">
        <v>24</v>
      </c>
      <c r="B25" s="30">
        <f>IFERROR(SMALL(Daily!$A$3:$A$252,A25),"")</f>
        <v/>
      </c>
      <c r="C25">
        <f>IF($B25="","",IF(ISNUMBER(IFERROR(INDEX(Daily!$T$3:$T$252,MATCH($B25,Daily!$A$3:$A$252,0)),"")),IFERROR(INDEX(Daily!$T$3:$T$252,MATCH($B25,Daily!$A$3:$A$252,0)),""),""))</f>
        <v/>
      </c>
      <c r="D25">
        <f>IF($B25="","",IF(ISNUMBER(IFERROR(INDEX(Daily!$AE$3:$AE$252,MATCH($B25,Daily!$A$3:$A$252,0)),"")),IFERROR(INDEX(Daily!$AE$3:$AE$252,MATCH($B25,Daily!$A$3:$A$252,0)),""),""))</f>
        <v/>
      </c>
      <c r="E25">
        <f>IF($B25="","",IF(ISNUMBER(IFERROR(INDEX(Daily!$B$3:$B$252,MATCH($B25,Daily!$A$3:$A$252,0)),"")),IFERROR(INDEX(Daily!$B$3:$B$252,MATCH($B25,Daily!$A$3:$A$252,0)),""),0))</f>
        <v/>
      </c>
      <c r="F25">
        <f>IF($B25="","",IF(ISNUMBER(IFERROR(INDEX(Daily!$Y$3:$Y$252,MATCH($B25,Daily!$A$3:$A$252,0)),"")),IFERROR(INDEX(Daily!$Y$3:$Y$252,MATCH($B25,Daily!$A$3:$A$252,0)),""),""))</f>
        <v/>
      </c>
      <c r="G25">
        <f>IF($B25="","",IF(ISNUMBER(IFERROR(INDEX(Daily!$AJ$3:$AJ$252,MATCH($B25,Daily!$A$3:$A$252,0)),"")),IFERROR(INDEX(Daily!$AJ$3:$AJ$252,MATCH($B25,Daily!$A$3:$A$252,0)),""),""))</f>
        <v/>
      </c>
      <c r="H25">
        <f>IF($B25="","",IF(ISNUMBER(IFERROR(INDEX(Daily!$Z$3:$Z$252,MATCH($B25,Daily!$A$3:$A$252,0)),"")),IFERROR(INDEX(Daily!$Z$3:$Z$252,MATCH($B25,Daily!$A$3:$A$252,0)),""),""))</f>
        <v/>
      </c>
      <c r="I25">
        <f>IF($B25="","",IF(ISNUMBER(IFERROR(INDEX(Daily!$AK$3:$AK$252,MATCH($B25,Daily!$A$3:$A$252,0)),"")),IFERROR(INDEX(Daily!$AK$3:$AK$252,MATCH($B25,Daily!$A$3:$A$252,0)),""),""))</f>
        <v/>
      </c>
      <c r="J25">
        <f>IF($B25="","",IF(AND(ISNUMBER(MDS),ISNUMBER(MDE)),IF(AND($B25&gt;=MDS,$B25&lt;=MDE),24,""),""))</f>
        <v/>
      </c>
      <c r="K25">
        <f>IF($B25="","",IF(AND(ISNUMBER(PitanS),ISNUMBER(PitanE)),IF(AND($B25&gt;=PitanS,$B25&lt;=PitanE),26,""),""))</f>
        <v/>
      </c>
      <c r="L25">
        <f>IF($B25="","",IF(AND(ISNUMBER(C1S),ISNUMBER(C3E)),IF(AND($B25&gt;=C1S,$B25&lt;=C3E),22,""),""))</f>
        <v/>
      </c>
    </row>
    <row r="26">
      <c r="A26" t="n">
        <v>25</v>
      </c>
      <c r="B26" s="30">
        <f>IFERROR(SMALL(Daily!$A$3:$A$252,A26),"")</f>
        <v/>
      </c>
      <c r="C26">
        <f>IF($B26="","",IF(ISNUMBER(IFERROR(INDEX(Daily!$T$3:$T$252,MATCH($B26,Daily!$A$3:$A$252,0)),"")),IFERROR(INDEX(Daily!$T$3:$T$252,MATCH($B26,Daily!$A$3:$A$252,0)),""),""))</f>
        <v/>
      </c>
      <c r="D26">
        <f>IF($B26="","",IF(ISNUMBER(IFERROR(INDEX(Daily!$AE$3:$AE$252,MATCH($B26,Daily!$A$3:$A$252,0)),"")),IFERROR(INDEX(Daily!$AE$3:$AE$252,MATCH($B26,Daily!$A$3:$A$252,0)),""),""))</f>
        <v/>
      </c>
      <c r="E26">
        <f>IF($B26="","",IF(ISNUMBER(IFERROR(INDEX(Daily!$B$3:$B$252,MATCH($B26,Daily!$A$3:$A$252,0)),"")),IFERROR(INDEX(Daily!$B$3:$B$252,MATCH($B26,Daily!$A$3:$A$252,0)),""),0))</f>
        <v/>
      </c>
      <c r="F26">
        <f>IF($B26="","",IF(ISNUMBER(IFERROR(INDEX(Daily!$Y$3:$Y$252,MATCH($B26,Daily!$A$3:$A$252,0)),"")),IFERROR(INDEX(Daily!$Y$3:$Y$252,MATCH($B26,Daily!$A$3:$A$252,0)),""),""))</f>
        <v/>
      </c>
      <c r="G26">
        <f>IF($B26="","",IF(ISNUMBER(IFERROR(INDEX(Daily!$AJ$3:$AJ$252,MATCH($B26,Daily!$A$3:$A$252,0)),"")),IFERROR(INDEX(Daily!$AJ$3:$AJ$252,MATCH($B26,Daily!$A$3:$A$252,0)),""),""))</f>
        <v/>
      </c>
      <c r="H26">
        <f>IF($B26="","",IF(ISNUMBER(IFERROR(INDEX(Daily!$Z$3:$Z$252,MATCH($B26,Daily!$A$3:$A$252,0)),"")),IFERROR(INDEX(Daily!$Z$3:$Z$252,MATCH($B26,Daily!$A$3:$A$252,0)),""),""))</f>
        <v/>
      </c>
      <c r="I26">
        <f>IF($B26="","",IF(ISNUMBER(IFERROR(INDEX(Daily!$AK$3:$AK$252,MATCH($B26,Daily!$A$3:$A$252,0)),"")),IFERROR(INDEX(Daily!$AK$3:$AK$252,MATCH($B26,Daily!$A$3:$A$252,0)),""),""))</f>
        <v/>
      </c>
      <c r="J26">
        <f>IF($B26="","",IF(AND(ISNUMBER(MDS),ISNUMBER(MDE)),IF(AND($B26&gt;=MDS,$B26&lt;=MDE),24,""),""))</f>
        <v/>
      </c>
      <c r="K26">
        <f>IF($B26="","",IF(AND(ISNUMBER(PitanS),ISNUMBER(PitanE)),IF(AND($B26&gt;=PitanS,$B26&lt;=PitanE),26,""),""))</f>
        <v/>
      </c>
      <c r="L26">
        <f>IF($B26="","",IF(AND(ISNUMBER(C1S),ISNUMBER(C3E)),IF(AND($B26&gt;=C1S,$B26&lt;=C3E),22,""),""))</f>
        <v/>
      </c>
    </row>
    <row r="27">
      <c r="A27" t="n">
        <v>26</v>
      </c>
      <c r="B27" s="30">
        <f>IFERROR(SMALL(Daily!$A$3:$A$252,A27),"")</f>
        <v/>
      </c>
      <c r="C27">
        <f>IF($B27="","",IF(ISNUMBER(IFERROR(INDEX(Daily!$T$3:$T$252,MATCH($B27,Daily!$A$3:$A$252,0)),"")),IFERROR(INDEX(Daily!$T$3:$T$252,MATCH($B27,Daily!$A$3:$A$252,0)),""),""))</f>
        <v/>
      </c>
      <c r="D27">
        <f>IF($B27="","",IF(ISNUMBER(IFERROR(INDEX(Daily!$AE$3:$AE$252,MATCH($B27,Daily!$A$3:$A$252,0)),"")),IFERROR(INDEX(Daily!$AE$3:$AE$252,MATCH($B27,Daily!$A$3:$A$252,0)),""),""))</f>
        <v/>
      </c>
      <c r="E27">
        <f>IF($B27="","",IF(ISNUMBER(IFERROR(INDEX(Daily!$B$3:$B$252,MATCH($B27,Daily!$A$3:$A$252,0)),"")),IFERROR(INDEX(Daily!$B$3:$B$252,MATCH($B27,Daily!$A$3:$A$252,0)),""),0))</f>
        <v/>
      </c>
      <c r="F27">
        <f>IF($B27="","",IF(ISNUMBER(IFERROR(INDEX(Daily!$Y$3:$Y$252,MATCH($B27,Daily!$A$3:$A$252,0)),"")),IFERROR(INDEX(Daily!$Y$3:$Y$252,MATCH($B27,Daily!$A$3:$A$252,0)),""),""))</f>
        <v/>
      </c>
      <c r="G27">
        <f>IF($B27="","",IF(ISNUMBER(IFERROR(INDEX(Daily!$AJ$3:$AJ$252,MATCH($B27,Daily!$A$3:$A$252,0)),"")),IFERROR(INDEX(Daily!$AJ$3:$AJ$252,MATCH($B27,Daily!$A$3:$A$252,0)),""),""))</f>
        <v/>
      </c>
      <c r="H27">
        <f>IF($B27="","",IF(ISNUMBER(IFERROR(INDEX(Daily!$Z$3:$Z$252,MATCH($B27,Daily!$A$3:$A$252,0)),"")),IFERROR(INDEX(Daily!$Z$3:$Z$252,MATCH($B27,Daily!$A$3:$A$252,0)),""),""))</f>
        <v/>
      </c>
      <c r="I27">
        <f>IF($B27="","",IF(ISNUMBER(IFERROR(INDEX(Daily!$AK$3:$AK$252,MATCH($B27,Daily!$A$3:$A$252,0)),"")),IFERROR(INDEX(Daily!$AK$3:$AK$252,MATCH($B27,Daily!$A$3:$A$252,0)),""),""))</f>
        <v/>
      </c>
      <c r="J27">
        <f>IF($B27="","",IF(AND(ISNUMBER(MDS),ISNUMBER(MDE)),IF(AND($B27&gt;=MDS,$B27&lt;=MDE),24,""),""))</f>
        <v/>
      </c>
      <c r="K27">
        <f>IF($B27="","",IF(AND(ISNUMBER(PitanS),ISNUMBER(PitanE)),IF(AND($B27&gt;=PitanS,$B27&lt;=PitanE),26,""),""))</f>
        <v/>
      </c>
      <c r="L27">
        <f>IF($B27="","",IF(AND(ISNUMBER(C1S),ISNUMBER(C3E)),IF(AND($B27&gt;=C1S,$B27&lt;=C3E),22,""),""))</f>
        <v/>
      </c>
    </row>
    <row r="28">
      <c r="A28" t="n">
        <v>27</v>
      </c>
      <c r="B28" s="30">
        <f>IFERROR(SMALL(Daily!$A$3:$A$252,A28),"")</f>
        <v/>
      </c>
      <c r="C28">
        <f>IF($B28="","",IF(ISNUMBER(IFERROR(INDEX(Daily!$T$3:$T$252,MATCH($B28,Daily!$A$3:$A$252,0)),"")),IFERROR(INDEX(Daily!$T$3:$T$252,MATCH($B28,Daily!$A$3:$A$252,0)),""),""))</f>
        <v/>
      </c>
      <c r="D28">
        <f>IF($B28="","",IF(ISNUMBER(IFERROR(INDEX(Daily!$AE$3:$AE$252,MATCH($B28,Daily!$A$3:$A$252,0)),"")),IFERROR(INDEX(Daily!$AE$3:$AE$252,MATCH($B28,Daily!$A$3:$A$252,0)),""),""))</f>
        <v/>
      </c>
      <c r="E28">
        <f>IF($B28="","",IF(ISNUMBER(IFERROR(INDEX(Daily!$B$3:$B$252,MATCH($B28,Daily!$A$3:$A$252,0)),"")),IFERROR(INDEX(Daily!$B$3:$B$252,MATCH($B28,Daily!$A$3:$A$252,0)),""),0))</f>
        <v/>
      </c>
      <c r="F28">
        <f>IF($B28="","",IF(ISNUMBER(IFERROR(INDEX(Daily!$Y$3:$Y$252,MATCH($B28,Daily!$A$3:$A$252,0)),"")),IFERROR(INDEX(Daily!$Y$3:$Y$252,MATCH($B28,Daily!$A$3:$A$252,0)),""),""))</f>
        <v/>
      </c>
      <c r="G28">
        <f>IF($B28="","",IF(ISNUMBER(IFERROR(INDEX(Daily!$AJ$3:$AJ$252,MATCH($B28,Daily!$A$3:$A$252,0)),"")),IFERROR(INDEX(Daily!$AJ$3:$AJ$252,MATCH($B28,Daily!$A$3:$A$252,0)),""),""))</f>
        <v/>
      </c>
      <c r="H28">
        <f>IF($B28="","",IF(ISNUMBER(IFERROR(INDEX(Daily!$Z$3:$Z$252,MATCH($B28,Daily!$A$3:$A$252,0)),"")),IFERROR(INDEX(Daily!$Z$3:$Z$252,MATCH($B28,Daily!$A$3:$A$252,0)),""),""))</f>
        <v/>
      </c>
      <c r="I28">
        <f>IF($B28="","",IF(ISNUMBER(IFERROR(INDEX(Daily!$AK$3:$AK$252,MATCH($B28,Daily!$A$3:$A$252,0)),"")),IFERROR(INDEX(Daily!$AK$3:$AK$252,MATCH($B28,Daily!$A$3:$A$252,0)),""),""))</f>
        <v/>
      </c>
      <c r="J28">
        <f>IF($B28="","",IF(AND(ISNUMBER(MDS),ISNUMBER(MDE)),IF(AND($B28&gt;=MDS,$B28&lt;=MDE),24,""),""))</f>
        <v/>
      </c>
      <c r="K28">
        <f>IF($B28="","",IF(AND(ISNUMBER(PitanS),ISNUMBER(PitanE)),IF(AND($B28&gt;=PitanS,$B28&lt;=PitanE),26,""),""))</f>
        <v/>
      </c>
      <c r="L28">
        <f>IF($B28="","",IF(AND(ISNUMBER(C1S),ISNUMBER(C3E)),IF(AND($B28&gt;=C1S,$B28&lt;=C3E),22,""),""))</f>
        <v/>
      </c>
    </row>
    <row r="29">
      <c r="A29" t="n">
        <v>28</v>
      </c>
      <c r="B29" s="30">
        <f>IFERROR(SMALL(Daily!$A$3:$A$252,A29),"")</f>
        <v/>
      </c>
      <c r="C29">
        <f>IF($B29="","",IF(ISNUMBER(IFERROR(INDEX(Daily!$T$3:$T$252,MATCH($B29,Daily!$A$3:$A$252,0)),"")),IFERROR(INDEX(Daily!$T$3:$T$252,MATCH($B29,Daily!$A$3:$A$252,0)),""),""))</f>
        <v/>
      </c>
      <c r="D29">
        <f>IF($B29="","",IF(ISNUMBER(IFERROR(INDEX(Daily!$AE$3:$AE$252,MATCH($B29,Daily!$A$3:$A$252,0)),"")),IFERROR(INDEX(Daily!$AE$3:$AE$252,MATCH($B29,Daily!$A$3:$A$252,0)),""),""))</f>
        <v/>
      </c>
      <c r="E29">
        <f>IF($B29="","",IF(ISNUMBER(IFERROR(INDEX(Daily!$B$3:$B$252,MATCH($B29,Daily!$A$3:$A$252,0)),"")),IFERROR(INDEX(Daily!$B$3:$B$252,MATCH($B29,Daily!$A$3:$A$252,0)),""),0))</f>
        <v/>
      </c>
      <c r="F29">
        <f>IF($B29="","",IF(ISNUMBER(IFERROR(INDEX(Daily!$Y$3:$Y$252,MATCH($B29,Daily!$A$3:$A$252,0)),"")),IFERROR(INDEX(Daily!$Y$3:$Y$252,MATCH($B29,Daily!$A$3:$A$252,0)),""),""))</f>
        <v/>
      </c>
      <c r="G29">
        <f>IF($B29="","",IF(ISNUMBER(IFERROR(INDEX(Daily!$AJ$3:$AJ$252,MATCH($B29,Daily!$A$3:$A$252,0)),"")),IFERROR(INDEX(Daily!$AJ$3:$AJ$252,MATCH($B29,Daily!$A$3:$A$252,0)),""),""))</f>
        <v/>
      </c>
      <c r="H29">
        <f>IF($B29="","",IF(ISNUMBER(IFERROR(INDEX(Daily!$Z$3:$Z$252,MATCH($B29,Daily!$A$3:$A$252,0)),"")),IFERROR(INDEX(Daily!$Z$3:$Z$252,MATCH($B29,Daily!$A$3:$A$252,0)),""),""))</f>
        <v/>
      </c>
      <c r="I29">
        <f>IF($B29="","",IF(ISNUMBER(IFERROR(INDEX(Daily!$AK$3:$AK$252,MATCH($B29,Daily!$A$3:$A$252,0)),"")),IFERROR(INDEX(Daily!$AK$3:$AK$252,MATCH($B29,Daily!$A$3:$A$252,0)),""),""))</f>
        <v/>
      </c>
      <c r="J29">
        <f>IF($B29="","",IF(AND(ISNUMBER(MDS),ISNUMBER(MDE)),IF(AND($B29&gt;=MDS,$B29&lt;=MDE),24,""),""))</f>
        <v/>
      </c>
      <c r="K29">
        <f>IF($B29="","",IF(AND(ISNUMBER(PitanS),ISNUMBER(PitanE)),IF(AND($B29&gt;=PitanS,$B29&lt;=PitanE),26,""),""))</f>
        <v/>
      </c>
      <c r="L29">
        <f>IF($B29="","",IF(AND(ISNUMBER(C1S),ISNUMBER(C3E)),IF(AND($B29&gt;=C1S,$B29&lt;=C3E),22,""),""))</f>
        <v/>
      </c>
    </row>
    <row r="30">
      <c r="A30" t="n">
        <v>29</v>
      </c>
      <c r="B30" s="30">
        <f>IFERROR(SMALL(Daily!$A$3:$A$252,A30),"")</f>
        <v/>
      </c>
      <c r="C30">
        <f>IF($B30="","",IF(ISNUMBER(IFERROR(INDEX(Daily!$T$3:$T$252,MATCH($B30,Daily!$A$3:$A$252,0)),"")),IFERROR(INDEX(Daily!$T$3:$T$252,MATCH($B30,Daily!$A$3:$A$252,0)),""),""))</f>
        <v/>
      </c>
      <c r="D30">
        <f>IF($B30="","",IF(ISNUMBER(IFERROR(INDEX(Daily!$AE$3:$AE$252,MATCH($B30,Daily!$A$3:$A$252,0)),"")),IFERROR(INDEX(Daily!$AE$3:$AE$252,MATCH($B30,Daily!$A$3:$A$252,0)),""),""))</f>
        <v/>
      </c>
      <c r="E30">
        <f>IF($B30="","",IF(ISNUMBER(IFERROR(INDEX(Daily!$B$3:$B$252,MATCH($B30,Daily!$A$3:$A$252,0)),"")),IFERROR(INDEX(Daily!$B$3:$B$252,MATCH($B30,Daily!$A$3:$A$252,0)),""),0))</f>
        <v/>
      </c>
      <c r="F30">
        <f>IF($B30="","",IF(ISNUMBER(IFERROR(INDEX(Daily!$Y$3:$Y$252,MATCH($B30,Daily!$A$3:$A$252,0)),"")),IFERROR(INDEX(Daily!$Y$3:$Y$252,MATCH($B30,Daily!$A$3:$A$252,0)),""),""))</f>
        <v/>
      </c>
      <c r="G30">
        <f>IF($B30="","",IF(ISNUMBER(IFERROR(INDEX(Daily!$AJ$3:$AJ$252,MATCH($B30,Daily!$A$3:$A$252,0)),"")),IFERROR(INDEX(Daily!$AJ$3:$AJ$252,MATCH($B30,Daily!$A$3:$A$252,0)),""),""))</f>
        <v/>
      </c>
      <c r="H30">
        <f>IF($B30="","",IF(ISNUMBER(IFERROR(INDEX(Daily!$Z$3:$Z$252,MATCH($B30,Daily!$A$3:$A$252,0)),"")),IFERROR(INDEX(Daily!$Z$3:$Z$252,MATCH($B30,Daily!$A$3:$A$252,0)),""),""))</f>
        <v/>
      </c>
      <c r="I30">
        <f>IF($B30="","",IF(ISNUMBER(IFERROR(INDEX(Daily!$AK$3:$AK$252,MATCH($B30,Daily!$A$3:$A$252,0)),"")),IFERROR(INDEX(Daily!$AK$3:$AK$252,MATCH($B30,Daily!$A$3:$A$252,0)),""),""))</f>
        <v/>
      </c>
      <c r="J30">
        <f>IF($B30="","",IF(AND(ISNUMBER(MDS),ISNUMBER(MDE)),IF(AND($B30&gt;=MDS,$B30&lt;=MDE),24,""),""))</f>
        <v/>
      </c>
      <c r="K30">
        <f>IF($B30="","",IF(AND(ISNUMBER(PitanS),ISNUMBER(PitanE)),IF(AND($B30&gt;=PitanS,$B30&lt;=PitanE),26,""),""))</f>
        <v/>
      </c>
      <c r="L30">
        <f>IF($B30="","",IF(AND(ISNUMBER(C1S),ISNUMBER(C3E)),IF(AND($B30&gt;=C1S,$B30&lt;=C3E),22,""),""))</f>
        <v/>
      </c>
    </row>
    <row r="31">
      <c r="A31" t="n">
        <v>30</v>
      </c>
      <c r="B31" s="30">
        <f>IFERROR(SMALL(Daily!$A$3:$A$252,A31),"")</f>
        <v/>
      </c>
      <c r="C31">
        <f>IF($B31="","",IF(ISNUMBER(IFERROR(INDEX(Daily!$T$3:$T$252,MATCH($B31,Daily!$A$3:$A$252,0)),"")),IFERROR(INDEX(Daily!$T$3:$T$252,MATCH($B31,Daily!$A$3:$A$252,0)),""),""))</f>
        <v/>
      </c>
      <c r="D31">
        <f>IF($B31="","",IF(ISNUMBER(IFERROR(INDEX(Daily!$AE$3:$AE$252,MATCH($B31,Daily!$A$3:$A$252,0)),"")),IFERROR(INDEX(Daily!$AE$3:$AE$252,MATCH($B31,Daily!$A$3:$A$252,0)),""),""))</f>
        <v/>
      </c>
      <c r="E31">
        <f>IF($B31="","",IF(ISNUMBER(IFERROR(INDEX(Daily!$B$3:$B$252,MATCH($B31,Daily!$A$3:$A$252,0)),"")),IFERROR(INDEX(Daily!$B$3:$B$252,MATCH($B31,Daily!$A$3:$A$252,0)),""),0))</f>
        <v/>
      </c>
      <c r="F31">
        <f>IF($B31="","",IF(ISNUMBER(IFERROR(INDEX(Daily!$Y$3:$Y$252,MATCH($B31,Daily!$A$3:$A$252,0)),"")),IFERROR(INDEX(Daily!$Y$3:$Y$252,MATCH($B31,Daily!$A$3:$A$252,0)),""),""))</f>
        <v/>
      </c>
      <c r="G31">
        <f>IF($B31="","",IF(ISNUMBER(IFERROR(INDEX(Daily!$AJ$3:$AJ$252,MATCH($B31,Daily!$A$3:$A$252,0)),"")),IFERROR(INDEX(Daily!$AJ$3:$AJ$252,MATCH($B31,Daily!$A$3:$A$252,0)),""),""))</f>
        <v/>
      </c>
      <c r="H31">
        <f>IF($B31="","",IF(ISNUMBER(IFERROR(INDEX(Daily!$Z$3:$Z$252,MATCH($B31,Daily!$A$3:$A$252,0)),"")),IFERROR(INDEX(Daily!$Z$3:$Z$252,MATCH($B31,Daily!$A$3:$A$252,0)),""),""))</f>
        <v/>
      </c>
      <c r="I31">
        <f>IF($B31="","",IF(ISNUMBER(IFERROR(INDEX(Daily!$AK$3:$AK$252,MATCH($B31,Daily!$A$3:$A$252,0)),"")),IFERROR(INDEX(Daily!$AK$3:$AK$252,MATCH($B31,Daily!$A$3:$A$252,0)),""),""))</f>
        <v/>
      </c>
      <c r="J31">
        <f>IF($B31="","",IF(AND(ISNUMBER(MDS),ISNUMBER(MDE)),IF(AND($B31&gt;=MDS,$B31&lt;=MDE),24,""),""))</f>
        <v/>
      </c>
      <c r="K31">
        <f>IF($B31="","",IF(AND(ISNUMBER(PitanS),ISNUMBER(PitanE)),IF(AND($B31&gt;=PitanS,$B31&lt;=PitanE),26,""),""))</f>
        <v/>
      </c>
      <c r="L31">
        <f>IF($B31="","",IF(AND(ISNUMBER(C1S),ISNUMBER(C3E)),IF(AND($B31&gt;=C1S,$B31&lt;=C3E),22,""),""))</f>
        <v/>
      </c>
    </row>
    <row r="32">
      <c r="A32" t="n">
        <v>31</v>
      </c>
      <c r="B32" s="30">
        <f>IFERROR(SMALL(Daily!$A$3:$A$252,A32),"")</f>
        <v/>
      </c>
      <c r="C32">
        <f>IF($B32="","",IF(ISNUMBER(IFERROR(INDEX(Daily!$T$3:$T$252,MATCH($B32,Daily!$A$3:$A$252,0)),"")),IFERROR(INDEX(Daily!$T$3:$T$252,MATCH($B32,Daily!$A$3:$A$252,0)),""),""))</f>
        <v/>
      </c>
      <c r="D32">
        <f>IF($B32="","",IF(ISNUMBER(IFERROR(INDEX(Daily!$AE$3:$AE$252,MATCH($B32,Daily!$A$3:$A$252,0)),"")),IFERROR(INDEX(Daily!$AE$3:$AE$252,MATCH($B32,Daily!$A$3:$A$252,0)),""),""))</f>
        <v/>
      </c>
      <c r="E32">
        <f>IF($B32="","",IF(ISNUMBER(IFERROR(INDEX(Daily!$B$3:$B$252,MATCH($B32,Daily!$A$3:$A$252,0)),"")),IFERROR(INDEX(Daily!$B$3:$B$252,MATCH($B32,Daily!$A$3:$A$252,0)),""),0))</f>
        <v/>
      </c>
      <c r="F32">
        <f>IF($B32="","",IF(ISNUMBER(IFERROR(INDEX(Daily!$Y$3:$Y$252,MATCH($B32,Daily!$A$3:$A$252,0)),"")),IFERROR(INDEX(Daily!$Y$3:$Y$252,MATCH($B32,Daily!$A$3:$A$252,0)),""),""))</f>
        <v/>
      </c>
      <c r="G32">
        <f>IF($B32="","",IF(ISNUMBER(IFERROR(INDEX(Daily!$AJ$3:$AJ$252,MATCH($B32,Daily!$A$3:$A$252,0)),"")),IFERROR(INDEX(Daily!$AJ$3:$AJ$252,MATCH($B32,Daily!$A$3:$A$252,0)),""),""))</f>
        <v/>
      </c>
      <c r="H32">
        <f>IF($B32="","",IF(ISNUMBER(IFERROR(INDEX(Daily!$Z$3:$Z$252,MATCH($B32,Daily!$A$3:$A$252,0)),"")),IFERROR(INDEX(Daily!$Z$3:$Z$252,MATCH($B32,Daily!$A$3:$A$252,0)),""),""))</f>
        <v/>
      </c>
      <c r="I32">
        <f>IF($B32="","",IF(ISNUMBER(IFERROR(INDEX(Daily!$AK$3:$AK$252,MATCH($B32,Daily!$A$3:$A$252,0)),"")),IFERROR(INDEX(Daily!$AK$3:$AK$252,MATCH($B32,Daily!$A$3:$A$252,0)),""),""))</f>
        <v/>
      </c>
      <c r="J32">
        <f>IF($B32="","",IF(AND(ISNUMBER(MDS),ISNUMBER(MDE)),IF(AND($B32&gt;=MDS,$B32&lt;=MDE),24,""),""))</f>
        <v/>
      </c>
      <c r="K32">
        <f>IF($B32="","",IF(AND(ISNUMBER(PitanS),ISNUMBER(PitanE)),IF(AND($B32&gt;=PitanS,$B32&lt;=PitanE),26,""),""))</f>
        <v/>
      </c>
      <c r="L32">
        <f>IF($B32="","",IF(AND(ISNUMBER(C1S),ISNUMBER(C3E)),IF(AND($B32&gt;=C1S,$B32&lt;=C3E),22,""),""))</f>
        <v/>
      </c>
    </row>
    <row r="33">
      <c r="A33" t="n">
        <v>32</v>
      </c>
      <c r="B33" s="30">
        <f>IFERROR(SMALL(Daily!$A$3:$A$252,A33),"")</f>
        <v/>
      </c>
      <c r="C33">
        <f>IF($B33="","",IF(ISNUMBER(IFERROR(INDEX(Daily!$T$3:$T$252,MATCH($B33,Daily!$A$3:$A$252,0)),"")),IFERROR(INDEX(Daily!$T$3:$T$252,MATCH($B33,Daily!$A$3:$A$252,0)),""),""))</f>
        <v/>
      </c>
      <c r="D33">
        <f>IF($B33="","",IF(ISNUMBER(IFERROR(INDEX(Daily!$AE$3:$AE$252,MATCH($B33,Daily!$A$3:$A$252,0)),"")),IFERROR(INDEX(Daily!$AE$3:$AE$252,MATCH($B33,Daily!$A$3:$A$252,0)),""),""))</f>
        <v/>
      </c>
      <c r="E33">
        <f>IF($B33="","",IF(ISNUMBER(IFERROR(INDEX(Daily!$B$3:$B$252,MATCH($B33,Daily!$A$3:$A$252,0)),"")),IFERROR(INDEX(Daily!$B$3:$B$252,MATCH($B33,Daily!$A$3:$A$252,0)),""),0))</f>
        <v/>
      </c>
      <c r="F33">
        <f>IF($B33="","",IF(ISNUMBER(IFERROR(INDEX(Daily!$Y$3:$Y$252,MATCH($B33,Daily!$A$3:$A$252,0)),"")),IFERROR(INDEX(Daily!$Y$3:$Y$252,MATCH($B33,Daily!$A$3:$A$252,0)),""),""))</f>
        <v/>
      </c>
      <c r="G33">
        <f>IF($B33="","",IF(ISNUMBER(IFERROR(INDEX(Daily!$AJ$3:$AJ$252,MATCH($B33,Daily!$A$3:$A$252,0)),"")),IFERROR(INDEX(Daily!$AJ$3:$AJ$252,MATCH($B33,Daily!$A$3:$A$252,0)),""),""))</f>
        <v/>
      </c>
      <c r="H33">
        <f>IF($B33="","",IF(ISNUMBER(IFERROR(INDEX(Daily!$Z$3:$Z$252,MATCH($B33,Daily!$A$3:$A$252,0)),"")),IFERROR(INDEX(Daily!$Z$3:$Z$252,MATCH($B33,Daily!$A$3:$A$252,0)),""),""))</f>
        <v/>
      </c>
      <c r="I33">
        <f>IF($B33="","",IF(ISNUMBER(IFERROR(INDEX(Daily!$AK$3:$AK$252,MATCH($B33,Daily!$A$3:$A$252,0)),"")),IFERROR(INDEX(Daily!$AK$3:$AK$252,MATCH($B33,Daily!$A$3:$A$252,0)),""),""))</f>
        <v/>
      </c>
      <c r="J33">
        <f>IF($B33="","",IF(AND(ISNUMBER(MDS),ISNUMBER(MDE)),IF(AND($B33&gt;=MDS,$B33&lt;=MDE),24,""),""))</f>
        <v/>
      </c>
      <c r="K33">
        <f>IF($B33="","",IF(AND(ISNUMBER(PitanS),ISNUMBER(PitanE)),IF(AND($B33&gt;=PitanS,$B33&lt;=PitanE),26,""),""))</f>
        <v/>
      </c>
      <c r="L33">
        <f>IF($B33="","",IF(AND(ISNUMBER(C1S),ISNUMBER(C3E)),IF(AND($B33&gt;=C1S,$B33&lt;=C3E),22,""),""))</f>
        <v/>
      </c>
    </row>
    <row r="34">
      <c r="A34" t="n">
        <v>33</v>
      </c>
      <c r="B34" s="30">
        <f>IFERROR(SMALL(Daily!$A$3:$A$252,A34),"")</f>
        <v/>
      </c>
      <c r="C34">
        <f>IF($B34="","",IF(ISNUMBER(IFERROR(INDEX(Daily!$T$3:$T$252,MATCH($B34,Daily!$A$3:$A$252,0)),"")),IFERROR(INDEX(Daily!$T$3:$T$252,MATCH($B34,Daily!$A$3:$A$252,0)),""),""))</f>
        <v/>
      </c>
      <c r="D34">
        <f>IF($B34="","",IF(ISNUMBER(IFERROR(INDEX(Daily!$AE$3:$AE$252,MATCH($B34,Daily!$A$3:$A$252,0)),"")),IFERROR(INDEX(Daily!$AE$3:$AE$252,MATCH($B34,Daily!$A$3:$A$252,0)),""),""))</f>
        <v/>
      </c>
      <c r="E34">
        <f>IF($B34="","",IF(ISNUMBER(IFERROR(INDEX(Daily!$B$3:$B$252,MATCH($B34,Daily!$A$3:$A$252,0)),"")),IFERROR(INDEX(Daily!$B$3:$B$252,MATCH($B34,Daily!$A$3:$A$252,0)),""),0))</f>
        <v/>
      </c>
      <c r="F34">
        <f>IF($B34="","",IF(ISNUMBER(IFERROR(INDEX(Daily!$Y$3:$Y$252,MATCH($B34,Daily!$A$3:$A$252,0)),"")),IFERROR(INDEX(Daily!$Y$3:$Y$252,MATCH($B34,Daily!$A$3:$A$252,0)),""),""))</f>
        <v/>
      </c>
      <c r="G34">
        <f>IF($B34="","",IF(ISNUMBER(IFERROR(INDEX(Daily!$AJ$3:$AJ$252,MATCH($B34,Daily!$A$3:$A$252,0)),"")),IFERROR(INDEX(Daily!$AJ$3:$AJ$252,MATCH($B34,Daily!$A$3:$A$252,0)),""),""))</f>
        <v/>
      </c>
      <c r="H34">
        <f>IF($B34="","",IF(ISNUMBER(IFERROR(INDEX(Daily!$Z$3:$Z$252,MATCH($B34,Daily!$A$3:$A$252,0)),"")),IFERROR(INDEX(Daily!$Z$3:$Z$252,MATCH($B34,Daily!$A$3:$A$252,0)),""),""))</f>
        <v/>
      </c>
      <c r="I34">
        <f>IF($B34="","",IF(ISNUMBER(IFERROR(INDEX(Daily!$AK$3:$AK$252,MATCH($B34,Daily!$A$3:$A$252,0)),"")),IFERROR(INDEX(Daily!$AK$3:$AK$252,MATCH($B34,Daily!$A$3:$A$252,0)),""),""))</f>
        <v/>
      </c>
      <c r="J34">
        <f>IF($B34="","",IF(AND(ISNUMBER(MDS),ISNUMBER(MDE)),IF(AND($B34&gt;=MDS,$B34&lt;=MDE),24,""),""))</f>
        <v/>
      </c>
      <c r="K34">
        <f>IF($B34="","",IF(AND(ISNUMBER(PitanS),ISNUMBER(PitanE)),IF(AND($B34&gt;=PitanS,$B34&lt;=PitanE),26,""),""))</f>
        <v/>
      </c>
      <c r="L34">
        <f>IF($B34="","",IF(AND(ISNUMBER(C1S),ISNUMBER(C3E)),IF(AND($B34&gt;=C1S,$B34&lt;=C3E),22,""),""))</f>
        <v/>
      </c>
    </row>
    <row r="35">
      <c r="A35" t="n">
        <v>34</v>
      </c>
      <c r="B35" s="30">
        <f>IFERROR(SMALL(Daily!$A$3:$A$252,A35),"")</f>
        <v/>
      </c>
      <c r="C35">
        <f>IF($B35="","",IF(ISNUMBER(IFERROR(INDEX(Daily!$T$3:$T$252,MATCH($B35,Daily!$A$3:$A$252,0)),"")),IFERROR(INDEX(Daily!$T$3:$T$252,MATCH($B35,Daily!$A$3:$A$252,0)),""),""))</f>
        <v/>
      </c>
      <c r="D35">
        <f>IF($B35="","",IF(ISNUMBER(IFERROR(INDEX(Daily!$AE$3:$AE$252,MATCH($B35,Daily!$A$3:$A$252,0)),"")),IFERROR(INDEX(Daily!$AE$3:$AE$252,MATCH($B35,Daily!$A$3:$A$252,0)),""),""))</f>
        <v/>
      </c>
      <c r="E35">
        <f>IF($B35="","",IF(ISNUMBER(IFERROR(INDEX(Daily!$B$3:$B$252,MATCH($B35,Daily!$A$3:$A$252,0)),"")),IFERROR(INDEX(Daily!$B$3:$B$252,MATCH($B35,Daily!$A$3:$A$252,0)),""),0))</f>
        <v/>
      </c>
      <c r="F35">
        <f>IF($B35="","",IF(ISNUMBER(IFERROR(INDEX(Daily!$Y$3:$Y$252,MATCH($B35,Daily!$A$3:$A$252,0)),"")),IFERROR(INDEX(Daily!$Y$3:$Y$252,MATCH($B35,Daily!$A$3:$A$252,0)),""),""))</f>
        <v/>
      </c>
      <c r="G35">
        <f>IF($B35="","",IF(ISNUMBER(IFERROR(INDEX(Daily!$AJ$3:$AJ$252,MATCH($B35,Daily!$A$3:$A$252,0)),"")),IFERROR(INDEX(Daily!$AJ$3:$AJ$252,MATCH($B35,Daily!$A$3:$A$252,0)),""),""))</f>
        <v/>
      </c>
      <c r="H35">
        <f>IF($B35="","",IF(ISNUMBER(IFERROR(INDEX(Daily!$Z$3:$Z$252,MATCH($B35,Daily!$A$3:$A$252,0)),"")),IFERROR(INDEX(Daily!$Z$3:$Z$252,MATCH($B35,Daily!$A$3:$A$252,0)),""),""))</f>
        <v/>
      </c>
      <c r="I35">
        <f>IF($B35="","",IF(ISNUMBER(IFERROR(INDEX(Daily!$AK$3:$AK$252,MATCH($B35,Daily!$A$3:$A$252,0)),"")),IFERROR(INDEX(Daily!$AK$3:$AK$252,MATCH($B35,Daily!$A$3:$A$252,0)),""),""))</f>
        <v/>
      </c>
      <c r="J35">
        <f>IF($B35="","",IF(AND(ISNUMBER(MDS),ISNUMBER(MDE)),IF(AND($B35&gt;=MDS,$B35&lt;=MDE),24,""),""))</f>
        <v/>
      </c>
      <c r="K35">
        <f>IF($B35="","",IF(AND(ISNUMBER(PitanS),ISNUMBER(PitanE)),IF(AND($B35&gt;=PitanS,$B35&lt;=PitanE),26,""),""))</f>
        <v/>
      </c>
      <c r="L35">
        <f>IF($B35="","",IF(AND(ISNUMBER(C1S),ISNUMBER(C3E)),IF(AND($B35&gt;=C1S,$B35&lt;=C3E),22,""),""))</f>
        <v/>
      </c>
    </row>
    <row r="36">
      <c r="A36" t="n">
        <v>35</v>
      </c>
      <c r="B36" s="30">
        <f>IFERROR(SMALL(Daily!$A$3:$A$252,A36),"")</f>
        <v/>
      </c>
      <c r="C36">
        <f>IF($B36="","",IF(ISNUMBER(IFERROR(INDEX(Daily!$T$3:$T$252,MATCH($B36,Daily!$A$3:$A$252,0)),"")),IFERROR(INDEX(Daily!$T$3:$T$252,MATCH($B36,Daily!$A$3:$A$252,0)),""),""))</f>
        <v/>
      </c>
      <c r="D36">
        <f>IF($B36="","",IF(ISNUMBER(IFERROR(INDEX(Daily!$AE$3:$AE$252,MATCH($B36,Daily!$A$3:$A$252,0)),"")),IFERROR(INDEX(Daily!$AE$3:$AE$252,MATCH($B36,Daily!$A$3:$A$252,0)),""),""))</f>
        <v/>
      </c>
      <c r="E36">
        <f>IF($B36="","",IF(ISNUMBER(IFERROR(INDEX(Daily!$B$3:$B$252,MATCH($B36,Daily!$A$3:$A$252,0)),"")),IFERROR(INDEX(Daily!$B$3:$B$252,MATCH($B36,Daily!$A$3:$A$252,0)),""),0))</f>
        <v/>
      </c>
      <c r="F36">
        <f>IF($B36="","",IF(ISNUMBER(IFERROR(INDEX(Daily!$Y$3:$Y$252,MATCH($B36,Daily!$A$3:$A$252,0)),"")),IFERROR(INDEX(Daily!$Y$3:$Y$252,MATCH($B36,Daily!$A$3:$A$252,0)),""),""))</f>
        <v/>
      </c>
      <c r="G36">
        <f>IF($B36="","",IF(ISNUMBER(IFERROR(INDEX(Daily!$AJ$3:$AJ$252,MATCH($B36,Daily!$A$3:$A$252,0)),"")),IFERROR(INDEX(Daily!$AJ$3:$AJ$252,MATCH($B36,Daily!$A$3:$A$252,0)),""),""))</f>
        <v/>
      </c>
      <c r="H36">
        <f>IF($B36="","",IF(ISNUMBER(IFERROR(INDEX(Daily!$Z$3:$Z$252,MATCH($B36,Daily!$A$3:$A$252,0)),"")),IFERROR(INDEX(Daily!$Z$3:$Z$252,MATCH($B36,Daily!$A$3:$A$252,0)),""),""))</f>
        <v/>
      </c>
      <c r="I36">
        <f>IF($B36="","",IF(ISNUMBER(IFERROR(INDEX(Daily!$AK$3:$AK$252,MATCH($B36,Daily!$A$3:$A$252,0)),"")),IFERROR(INDEX(Daily!$AK$3:$AK$252,MATCH($B36,Daily!$A$3:$A$252,0)),""),""))</f>
        <v/>
      </c>
      <c r="J36">
        <f>IF($B36="","",IF(AND(ISNUMBER(MDS),ISNUMBER(MDE)),IF(AND($B36&gt;=MDS,$B36&lt;=MDE),24,""),""))</f>
        <v/>
      </c>
      <c r="K36">
        <f>IF($B36="","",IF(AND(ISNUMBER(PitanS),ISNUMBER(PitanE)),IF(AND($B36&gt;=PitanS,$B36&lt;=PitanE),26,""),""))</f>
        <v/>
      </c>
      <c r="L36">
        <f>IF($B36="","",IF(AND(ISNUMBER(C1S),ISNUMBER(C3E)),IF(AND($B36&gt;=C1S,$B36&lt;=C3E),22,""),""))</f>
        <v/>
      </c>
    </row>
    <row r="37">
      <c r="A37" t="n">
        <v>36</v>
      </c>
      <c r="B37" s="30">
        <f>IFERROR(SMALL(Daily!$A$3:$A$252,A37),"")</f>
        <v/>
      </c>
      <c r="C37">
        <f>IF($B37="","",IF(ISNUMBER(IFERROR(INDEX(Daily!$T$3:$T$252,MATCH($B37,Daily!$A$3:$A$252,0)),"")),IFERROR(INDEX(Daily!$T$3:$T$252,MATCH($B37,Daily!$A$3:$A$252,0)),""),""))</f>
        <v/>
      </c>
      <c r="D37">
        <f>IF($B37="","",IF(ISNUMBER(IFERROR(INDEX(Daily!$AE$3:$AE$252,MATCH($B37,Daily!$A$3:$A$252,0)),"")),IFERROR(INDEX(Daily!$AE$3:$AE$252,MATCH($B37,Daily!$A$3:$A$252,0)),""),""))</f>
        <v/>
      </c>
      <c r="E37">
        <f>IF($B37="","",IF(ISNUMBER(IFERROR(INDEX(Daily!$B$3:$B$252,MATCH($B37,Daily!$A$3:$A$252,0)),"")),IFERROR(INDEX(Daily!$B$3:$B$252,MATCH($B37,Daily!$A$3:$A$252,0)),""),0))</f>
        <v/>
      </c>
      <c r="F37">
        <f>IF($B37="","",IF(ISNUMBER(IFERROR(INDEX(Daily!$Y$3:$Y$252,MATCH($B37,Daily!$A$3:$A$252,0)),"")),IFERROR(INDEX(Daily!$Y$3:$Y$252,MATCH($B37,Daily!$A$3:$A$252,0)),""),""))</f>
        <v/>
      </c>
      <c r="G37">
        <f>IF($B37="","",IF(ISNUMBER(IFERROR(INDEX(Daily!$AJ$3:$AJ$252,MATCH($B37,Daily!$A$3:$A$252,0)),"")),IFERROR(INDEX(Daily!$AJ$3:$AJ$252,MATCH($B37,Daily!$A$3:$A$252,0)),""),""))</f>
        <v/>
      </c>
      <c r="H37">
        <f>IF($B37="","",IF(ISNUMBER(IFERROR(INDEX(Daily!$Z$3:$Z$252,MATCH($B37,Daily!$A$3:$A$252,0)),"")),IFERROR(INDEX(Daily!$Z$3:$Z$252,MATCH($B37,Daily!$A$3:$A$252,0)),""),""))</f>
        <v/>
      </c>
      <c r="I37">
        <f>IF($B37="","",IF(ISNUMBER(IFERROR(INDEX(Daily!$AK$3:$AK$252,MATCH($B37,Daily!$A$3:$A$252,0)),"")),IFERROR(INDEX(Daily!$AK$3:$AK$252,MATCH($B37,Daily!$A$3:$A$252,0)),""),""))</f>
        <v/>
      </c>
      <c r="J37">
        <f>IF($B37="","",IF(AND(ISNUMBER(MDS),ISNUMBER(MDE)),IF(AND($B37&gt;=MDS,$B37&lt;=MDE),24,""),""))</f>
        <v/>
      </c>
      <c r="K37">
        <f>IF($B37="","",IF(AND(ISNUMBER(PitanS),ISNUMBER(PitanE)),IF(AND($B37&gt;=PitanS,$B37&lt;=PitanE),26,""),""))</f>
        <v/>
      </c>
      <c r="L37">
        <f>IF($B37="","",IF(AND(ISNUMBER(C1S),ISNUMBER(C3E)),IF(AND($B37&gt;=C1S,$B37&lt;=C3E),22,""),""))</f>
        <v/>
      </c>
    </row>
    <row r="38">
      <c r="A38" t="n">
        <v>37</v>
      </c>
      <c r="B38" s="30">
        <f>IFERROR(SMALL(Daily!$A$3:$A$252,A38),"")</f>
        <v/>
      </c>
      <c r="C38">
        <f>IF($B38="","",IF(ISNUMBER(IFERROR(INDEX(Daily!$T$3:$T$252,MATCH($B38,Daily!$A$3:$A$252,0)),"")),IFERROR(INDEX(Daily!$T$3:$T$252,MATCH($B38,Daily!$A$3:$A$252,0)),""),""))</f>
        <v/>
      </c>
      <c r="D38">
        <f>IF($B38="","",IF(ISNUMBER(IFERROR(INDEX(Daily!$AE$3:$AE$252,MATCH($B38,Daily!$A$3:$A$252,0)),"")),IFERROR(INDEX(Daily!$AE$3:$AE$252,MATCH($B38,Daily!$A$3:$A$252,0)),""),""))</f>
        <v/>
      </c>
      <c r="E38">
        <f>IF($B38="","",IF(ISNUMBER(IFERROR(INDEX(Daily!$B$3:$B$252,MATCH($B38,Daily!$A$3:$A$252,0)),"")),IFERROR(INDEX(Daily!$B$3:$B$252,MATCH($B38,Daily!$A$3:$A$252,0)),""),0))</f>
        <v/>
      </c>
      <c r="F38">
        <f>IF($B38="","",IF(ISNUMBER(IFERROR(INDEX(Daily!$Y$3:$Y$252,MATCH($B38,Daily!$A$3:$A$252,0)),"")),IFERROR(INDEX(Daily!$Y$3:$Y$252,MATCH($B38,Daily!$A$3:$A$252,0)),""),""))</f>
        <v/>
      </c>
      <c r="G38">
        <f>IF($B38="","",IF(ISNUMBER(IFERROR(INDEX(Daily!$AJ$3:$AJ$252,MATCH($B38,Daily!$A$3:$A$252,0)),"")),IFERROR(INDEX(Daily!$AJ$3:$AJ$252,MATCH($B38,Daily!$A$3:$A$252,0)),""),""))</f>
        <v/>
      </c>
      <c r="H38">
        <f>IF($B38="","",IF(ISNUMBER(IFERROR(INDEX(Daily!$Z$3:$Z$252,MATCH($B38,Daily!$A$3:$A$252,0)),"")),IFERROR(INDEX(Daily!$Z$3:$Z$252,MATCH($B38,Daily!$A$3:$A$252,0)),""),""))</f>
        <v/>
      </c>
      <c r="I38">
        <f>IF($B38="","",IF(ISNUMBER(IFERROR(INDEX(Daily!$AK$3:$AK$252,MATCH($B38,Daily!$A$3:$A$252,0)),"")),IFERROR(INDEX(Daily!$AK$3:$AK$252,MATCH($B38,Daily!$A$3:$A$252,0)),""),""))</f>
        <v/>
      </c>
      <c r="J38">
        <f>IF($B38="","",IF(AND(ISNUMBER(MDS),ISNUMBER(MDE)),IF(AND($B38&gt;=MDS,$B38&lt;=MDE),24,""),""))</f>
        <v/>
      </c>
      <c r="K38">
        <f>IF($B38="","",IF(AND(ISNUMBER(PitanS),ISNUMBER(PitanE)),IF(AND($B38&gt;=PitanS,$B38&lt;=PitanE),26,""),""))</f>
        <v/>
      </c>
      <c r="L38">
        <f>IF($B38="","",IF(AND(ISNUMBER(C1S),ISNUMBER(C3E)),IF(AND($B38&gt;=C1S,$B38&lt;=C3E),22,""),""))</f>
        <v/>
      </c>
    </row>
    <row r="39">
      <c r="A39" t="n">
        <v>38</v>
      </c>
      <c r="B39" s="30">
        <f>IFERROR(SMALL(Daily!$A$3:$A$252,A39),"")</f>
        <v/>
      </c>
      <c r="C39">
        <f>IF($B39="","",IF(ISNUMBER(IFERROR(INDEX(Daily!$T$3:$T$252,MATCH($B39,Daily!$A$3:$A$252,0)),"")),IFERROR(INDEX(Daily!$T$3:$T$252,MATCH($B39,Daily!$A$3:$A$252,0)),""),""))</f>
        <v/>
      </c>
      <c r="D39">
        <f>IF($B39="","",IF(ISNUMBER(IFERROR(INDEX(Daily!$AE$3:$AE$252,MATCH($B39,Daily!$A$3:$A$252,0)),"")),IFERROR(INDEX(Daily!$AE$3:$AE$252,MATCH($B39,Daily!$A$3:$A$252,0)),""),""))</f>
        <v/>
      </c>
      <c r="E39">
        <f>IF($B39="","",IF(ISNUMBER(IFERROR(INDEX(Daily!$B$3:$B$252,MATCH($B39,Daily!$A$3:$A$252,0)),"")),IFERROR(INDEX(Daily!$B$3:$B$252,MATCH($B39,Daily!$A$3:$A$252,0)),""),0))</f>
        <v/>
      </c>
      <c r="F39">
        <f>IF($B39="","",IF(ISNUMBER(IFERROR(INDEX(Daily!$Y$3:$Y$252,MATCH($B39,Daily!$A$3:$A$252,0)),"")),IFERROR(INDEX(Daily!$Y$3:$Y$252,MATCH($B39,Daily!$A$3:$A$252,0)),""),""))</f>
        <v/>
      </c>
      <c r="G39">
        <f>IF($B39="","",IF(ISNUMBER(IFERROR(INDEX(Daily!$AJ$3:$AJ$252,MATCH($B39,Daily!$A$3:$A$252,0)),"")),IFERROR(INDEX(Daily!$AJ$3:$AJ$252,MATCH($B39,Daily!$A$3:$A$252,0)),""),""))</f>
        <v/>
      </c>
      <c r="H39">
        <f>IF($B39="","",IF(ISNUMBER(IFERROR(INDEX(Daily!$Z$3:$Z$252,MATCH($B39,Daily!$A$3:$A$252,0)),"")),IFERROR(INDEX(Daily!$Z$3:$Z$252,MATCH($B39,Daily!$A$3:$A$252,0)),""),""))</f>
        <v/>
      </c>
      <c r="I39">
        <f>IF($B39="","",IF(ISNUMBER(IFERROR(INDEX(Daily!$AK$3:$AK$252,MATCH($B39,Daily!$A$3:$A$252,0)),"")),IFERROR(INDEX(Daily!$AK$3:$AK$252,MATCH($B39,Daily!$A$3:$A$252,0)),""),""))</f>
        <v/>
      </c>
      <c r="J39">
        <f>IF($B39="","",IF(AND(ISNUMBER(MDS),ISNUMBER(MDE)),IF(AND($B39&gt;=MDS,$B39&lt;=MDE),24,""),""))</f>
        <v/>
      </c>
      <c r="K39">
        <f>IF($B39="","",IF(AND(ISNUMBER(PitanS),ISNUMBER(PitanE)),IF(AND($B39&gt;=PitanS,$B39&lt;=PitanE),26,""),""))</f>
        <v/>
      </c>
      <c r="L39">
        <f>IF($B39="","",IF(AND(ISNUMBER(C1S),ISNUMBER(C3E)),IF(AND($B39&gt;=C1S,$B39&lt;=C3E),22,""),""))</f>
        <v/>
      </c>
    </row>
    <row r="40">
      <c r="A40" t="n">
        <v>39</v>
      </c>
      <c r="B40" s="30">
        <f>IFERROR(SMALL(Daily!$A$3:$A$252,A40),"")</f>
        <v/>
      </c>
      <c r="C40">
        <f>IF($B40="","",IF(ISNUMBER(IFERROR(INDEX(Daily!$T$3:$T$252,MATCH($B40,Daily!$A$3:$A$252,0)),"")),IFERROR(INDEX(Daily!$T$3:$T$252,MATCH($B40,Daily!$A$3:$A$252,0)),""),""))</f>
        <v/>
      </c>
      <c r="D40">
        <f>IF($B40="","",IF(ISNUMBER(IFERROR(INDEX(Daily!$AE$3:$AE$252,MATCH($B40,Daily!$A$3:$A$252,0)),"")),IFERROR(INDEX(Daily!$AE$3:$AE$252,MATCH($B40,Daily!$A$3:$A$252,0)),""),""))</f>
        <v/>
      </c>
      <c r="E40">
        <f>IF($B40="","",IF(ISNUMBER(IFERROR(INDEX(Daily!$B$3:$B$252,MATCH($B40,Daily!$A$3:$A$252,0)),"")),IFERROR(INDEX(Daily!$B$3:$B$252,MATCH($B40,Daily!$A$3:$A$252,0)),""),0))</f>
        <v/>
      </c>
      <c r="F40">
        <f>IF($B40="","",IF(ISNUMBER(IFERROR(INDEX(Daily!$Y$3:$Y$252,MATCH($B40,Daily!$A$3:$A$252,0)),"")),IFERROR(INDEX(Daily!$Y$3:$Y$252,MATCH($B40,Daily!$A$3:$A$252,0)),""),""))</f>
        <v/>
      </c>
      <c r="G40">
        <f>IF($B40="","",IF(ISNUMBER(IFERROR(INDEX(Daily!$AJ$3:$AJ$252,MATCH($B40,Daily!$A$3:$A$252,0)),"")),IFERROR(INDEX(Daily!$AJ$3:$AJ$252,MATCH($B40,Daily!$A$3:$A$252,0)),""),""))</f>
        <v/>
      </c>
      <c r="H40">
        <f>IF($B40="","",IF(ISNUMBER(IFERROR(INDEX(Daily!$Z$3:$Z$252,MATCH($B40,Daily!$A$3:$A$252,0)),"")),IFERROR(INDEX(Daily!$Z$3:$Z$252,MATCH($B40,Daily!$A$3:$A$252,0)),""),""))</f>
        <v/>
      </c>
      <c r="I40">
        <f>IF($B40="","",IF(ISNUMBER(IFERROR(INDEX(Daily!$AK$3:$AK$252,MATCH($B40,Daily!$A$3:$A$252,0)),"")),IFERROR(INDEX(Daily!$AK$3:$AK$252,MATCH($B40,Daily!$A$3:$A$252,0)),""),""))</f>
        <v/>
      </c>
      <c r="J40">
        <f>IF($B40="","",IF(AND(ISNUMBER(MDS),ISNUMBER(MDE)),IF(AND($B40&gt;=MDS,$B40&lt;=MDE),24,""),""))</f>
        <v/>
      </c>
      <c r="K40">
        <f>IF($B40="","",IF(AND(ISNUMBER(PitanS),ISNUMBER(PitanE)),IF(AND($B40&gt;=PitanS,$B40&lt;=PitanE),26,""),""))</f>
        <v/>
      </c>
      <c r="L40">
        <f>IF($B40="","",IF(AND(ISNUMBER(C1S),ISNUMBER(C3E)),IF(AND($B40&gt;=C1S,$B40&lt;=C3E),22,""),""))</f>
        <v/>
      </c>
    </row>
    <row r="41">
      <c r="A41" t="n">
        <v>40</v>
      </c>
      <c r="B41" s="30">
        <f>IFERROR(SMALL(Daily!$A$3:$A$252,A41),"")</f>
        <v/>
      </c>
      <c r="C41">
        <f>IF($B41="","",IF(ISNUMBER(IFERROR(INDEX(Daily!$T$3:$T$252,MATCH($B41,Daily!$A$3:$A$252,0)),"")),IFERROR(INDEX(Daily!$T$3:$T$252,MATCH($B41,Daily!$A$3:$A$252,0)),""),""))</f>
        <v/>
      </c>
      <c r="D41">
        <f>IF($B41="","",IF(ISNUMBER(IFERROR(INDEX(Daily!$AE$3:$AE$252,MATCH($B41,Daily!$A$3:$A$252,0)),"")),IFERROR(INDEX(Daily!$AE$3:$AE$252,MATCH($B41,Daily!$A$3:$A$252,0)),""),""))</f>
        <v/>
      </c>
      <c r="E41">
        <f>IF($B41="","",IF(ISNUMBER(IFERROR(INDEX(Daily!$B$3:$B$252,MATCH($B41,Daily!$A$3:$A$252,0)),"")),IFERROR(INDEX(Daily!$B$3:$B$252,MATCH($B41,Daily!$A$3:$A$252,0)),""),0))</f>
        <v/>
      </c>
      <c r="F41">
        <f>IF($B41="","",IF(ISNUMBER(IFERROR(INDEX(Daily!$Y$3:$Y$252,MATCH($B41,Daily!$A$3:$A$252,0)),"")),IFERROR(INDEX(Daily!$Y$3:$Y$252,MATCH($B41,Daily!$A$3:$A$252,0)),""),""))</f>
        <v/>
      </c>
      <c r="G41">
        <f>IF($B41="","",IF(ISNUMBER(IFERROR(INDEX(Daily!$AJ$3:$AJ$252,MATCH($B41,Daily!$A$3:$A$252,0)),"")),IFERROR(INDEX(Daily!$AJ$3:$AJ$252,MATCH($B41,Daily!$A$3:$A$252,0)),""),""))</f>
        <v/>
      </c>
      <c r="H41">
        <f>IF($B41="","",IF(ISNUMBER(IFERROR(INDEX(Daily!$Z$3:$Z$252,MATCH($B41,Daily!$A$3:$A$252,0)),"")),IFERROR(INDEX(Daily!$Z$3:$Z$252,MATCH($B41,Daily!$A$3:$A$252,0)),""),""))</f>
        <v/>
      </c>
      <c r="I41">
        <f>IF($B41="","",IF(ISNUMBER(IFERROR(INDEX(Daily!$AK$3:$AK$252,MATCH($B41,Daily!$A$3:$A$252,0)),"")),IFERROR(INDEX(Daily!$AK$3:$AK$252,MATCH($B41,Daily!$A$3:$A$252,0)),""),""))</f>
        <v/>
      </c>
      <c r="J41">
        <f>IF($B41="","",IF(AND(ISNUMBER(MDS),ISNUMBER(MDE)),IF(AND($B41&gt;=MDS,$B41&lt;=MDE),24,""),""))</f>
        <v/>
      </c>
      <c r="K41">
        <f>IF($B41="","",IF(AND(ISNUMBER(PitanS),ISNUMBER(PitanE)),IF(AND($B41&gt;=PitanS,$B41&lt;=PitanE),26,""),""))</f>
        <v/>
      </c>
      <c r="L41">
        <f>IF($B41="","",IF(AND(ISNUMBER(C1S),ISNUMBER(C3E)),IF(AND($B41&gt;=C1S,$B41&lt;=C3E),22,""),""))</f>
        <v/>
      </c>
    </row>
    <row r="42">
      <c r="A42" t="n">
        <v>41</v>
      </c>
      <c r="B42" s="30">
        <f>IFERROR(SMALL(Daily!$A$3:$A$252,A42),"")</f>
        <v/>
      </c>
      <c r="C42">
        <f>IF($B42="","",IF(ISNUMBER(IFERROR(INDEX(Daily!$T$3:$T$252,MATCH($B42,Daily!$A$3:$A$252,0)),"")),IFERROR(INDEX(Daily!$T$3:$T$252,MATCH($B42,Daily!$A$3:$A$252,0)),""),""))</f>
        <v/>
      </c>
      <c r="D42">
        <f>IF($B42="","",IF(ISNUMBER(IFERROR(INDEX(Daily!$AE$3:$AE$252,MATCH($B42,Daily!$A$3:$A$252,0)),"")),IFERROR(INDEX(Daily!$AE$3:$AE$252,MATCH($B42,Daily!$A$3:$A$252,0)),""),""))</f>
        <v/>
      </c>
      <c r="E42">
        <f>IF($B42="","",IF(ISNUMBER(IFERROR(INDEX(Daily!$B$3:$B$252,MATCH($B42,Daily!$A$3:$A$252,0)),"")),IFERROR(INDEX(Daily!$B$3:$B$252,MATCH($B42,Daily!$A$3:$A$252,0)),""),0))</f>
        <v/>
      </c>
      <c r="F42">
        <f>IF($B42="","",IF(ISNUMBER(IFERROR(INDEX(Daily!$Y$3:$Y$252,MATCH($B42,Daily!$A$3:$A$252,0)),"")),IFERROR(INDEX(Daily!$Y$3:$Y$252,MATCH($B42,Daily!$A$3:$A$252,0)),""),""))</f>
        <v/>
      </c>
      <c r="G42">
        <f>IF($B42="","",IF(ISNUMBER(IFERROR(INDEX(Daily!$AJ$3:$AJ$252,MATCH($B42,Daily!$A$3:$A$252,0)),"")),IFERROR(INDEX(Daily!$AJ$3:$AJ$252,MATCH($B42,Daily!$A$3:$A$252,0)),""),""))</f>
        <v/>
      </c>
      <c r="H42">
        <f>IF($B42="","",IF(ISNUMBER(IFERROR(INDEX(Daily!$Z$3:$Z$252,MATCH($B42,Daily!$A$3:$A$252,0)),"")),IFERROR(INDEX(Daily!$Z$3:$Z$252,MATCH($B42,Daily!$A$3:$A$252,0)),""),""))</f>
        <v/>
      </c>
      <c r="I42">
        <f>IF($B42="","",IF(ISNUMBER(IFERROR(INDEX(Daily!$AK$3:$AK$252,MATCH($B42,Daily!$A$3:$A$252,0)),"")),IFERROR(INDEX(Daily!$AK$3:$AK$252,MATCH($B42,Daily!$A$3:$A$252,0)),""),""))</f>
        <v/>
      </c>
      <c r="J42">
        <f>IF($B42="","",IF(AND(ISNUMBER(MDS),ISNUMBER(MDE)),IF(AND($B42&gt;=MDS,$B42&lt;=MDE),24,""),""))</f>
        <v/>
      </c>
      <c r="K42">
        <f>IF($B42="","",IF(AND(ISNUMBER(PitanS),ISNUMBER(PitanE)),IF(AND($B42&gt;=PitanS,$B42&lt;=PitanE),26,""),""))</f>
        <v/>
      </c>
      <c r="L42">
        <f>IF($B42="","",IF(AND(ISNUMBER(C1S),ISNUMBER(C3E)),IF(AND($B42&gt;=C1S,$B42&lt;=C3E),22,""),""))</f>
        <v/>
      </c>
    </row>
    <row r="43">
      <c r="A43" t="n">
        <v>42</v>
      </c>
      <c r="B43" s="30">
        <f>IFERROR(SMALL(Daily!$A$3:$A$252,A43),"")</f>
        <v/>
      </c>
      <c r="C43">
        <f>IF($B43="","",IF(ISNUMBER(IFERROR(INDEX(Daily!$T$3:$T$252,MATCH($B43,Daily!$A$3:$A$252,0)),"")),IFERROR(INDEX(Daily!$T$3:$T$252,MATCH($B43,Daily!$A$3:$A$252,0)),""),""))</f>
        <v/>
      </c>
      <c r="D43">
        <f>IF($B43="","",IF(ISNUMBER(IFERROR(INDEX(Daily!$AE$3:$AE$252,MATCH($B43,Daily!$A$3:$A$252,0)),"")),IFERROR(INDEX(Daily!$AE$3:$AE$252,MATCH($B43,Daily!$A$3:$A$252,0)),""),""))</f>
        <v/>
      </c>
      <c r="E43">
        <f>IF($B43="","",IF(ISNUMBER(IFERROR(INDEX(Daily!$B$3:$B$252,MATCH($B43,Daily!$A$3:$A$252,0)),"")),IFERROR(INDEX(Daily!$B$3:$B$252,MATCH($B43,Daily!$A$3:$A$252,0)),""),0))</f>
        <v/>
      </c>
      <c r="F43">
        <f>IF($B43="","",IF(ISNUMBER(IFERROR(INDEX(Daily!$Y$3:$Y$252,MATCH($B43,Daily!$A$3:$A$252,0)),"")),IFERROR(INDEX(Daily!$Y$3:$Y$252,MATCH($B43,Daily!$A$3:$A$252,0)),""),""))</f>
        <v/>
      </c>
      <c r="G43">
        <f>IF($B43="","",IF(ISNUMBER(IFERROR(INDEX(Daily!$AJ$3:$AJ$252,MATCH($B43,Daily!$A$3:$A$252,0)),"")),IFERROR(INDEX(Daily!$AJ$3:$AJ$252,MATCH($B43,Daily!$A$3:$A$252,0)),""),""))</f>
        <v/>
      </c>
      <c r="H43">
        <f>IF($B43="","",IF(ISNUMBER(IFERROR(INDEX(Daily!$Z$3:$Z$252,MATCH($B43,Daily!$A$3:$A$252,0)),"")),IFERROR(INDEX(Daily!$Z$3:$Z$252,MATCH($B43,Daily!$A$3:$A$252,0)),""),""))</f>
        <v/>
      </c>
      <c r="I43">
        <f>IF($B43="","",IF(ISNUMBER(IFERROR(INDEX(Daily!$AK$3:$AK$252,MATCH($B43,Daily!$A$3:$A$252,0)),"")),IFERROR(INDEX(Daily!$AK$3:$AK$252,MATCH($B43,Daily!$A$3:$A$252,0)),""),""))</f>
        <v/>
      </c>
      <c r="J43">
        <f>IF($B43="","",IF(AND(ISNUMBER(MDS),ISNUMBER(MDE)),IF(AND($B43&gt;=MDS,$B43&lt;=MDE),24,""),""))</f>
        <v/>
      </c>
      <c r="K43">
        <f>IF($B43="","",IF(AND(ISNUMBER(PitanS),ISNUMBER(PitanE)),IF(AND($B43&gt;=PitanS,$B43&lt;=PitanE),26,""),""))</f>
        <v/>
      </c>
      <c r="L43">
        <f>IF($B43="","",IF(AND(ISNUMBER(C1S),ISNUMBER(C3E)),IF(AND($B43&gt;=C1S,$B43&lt;=C3E),22,""),""))</f>
        <v/>
      </c>
    </row>
    <row r="44">
      <c r="A44" t="n">
        <v>43</v>
      </c>
      <c r="B44" s="30">
        <f>IFERROR(SMALL(Daily!$A$3:$A$252,A44),"")</f>
        <v/>
      </c>
      <c r="C44">
        <f>IF($B44="","",IF(ISNUMBER(IFERROR(INDEX(Daily!$T$3:$T$252,MATCH($B44,Daily!$A$3:$A$252,0)),"")),IFERROR(INDEX(Daily!$T$3:$T$252,MATCH($B44,Daily!$A$3:$A$252,0)),""),""))</f>
        <v/>
      </c>
      <c r="D44">
        <f>IF($B44="","",IF(ISNUMBER(IFERROR(INDEX(Daily!$AE$3:$AE$252,MATCH($B44,Daily!$A$3:$A$252,0)),"")),IFERROR(INDEX(Daily!$AE$3:$AE$252,MATCH($B44,Daily!$A$3:$A$252,0)),""),""))</f>
        <v/>
      </c>
      <c r="E44">
        <f>IF($B44="","",IF(ISNUMBER(IFERROR(INDEX(Daily!$B$3:$B$252,MATCH($B44,Daily!$A$3:$A$252,0)),"")),IFERROR(INDEX(Daily!$B$3:$B$252,MATCH($B44,Daily!$A$3:$A$252,0)),""),0))</f>
        <v/>
      </c>
      <c r="F44">
        <f>IF($B44="","",IF(ISNUMBER(IFERROR(INDEX(Daily!$Y$3:$Y$252,MATCH($B44,Daily!$A$3:$A$252,0)),"")),IFERROR(INDEX(Daily!$Y$3:$Y$252,MATCH($B44,Daily!$A$3:$A$252,0)),""),""))</f>
        <v/>
      </c>
      <c r="G44">
        <f>IF($B44="","",IF(ISNUMBER(IFERROR(INDEX(Daily!$AJ$3:$AJ$252,MATCH($B44,Daily!$A$3:$A$252,0)),"")),IFERROR(INDEX(Daily!$AJ$3:$AJ$252,MATCH($B44,Daily!$A$3:$A$252,0)),""),""))</f>
        <v/>
      </c>
      <c r="H44">
        <f>IF($B44="","",IF(ISNUMBER(IFERROR(INDEX(Daily!$Z$3:$Z$252,MATCH($B44,Daily!$A$3:$A$252,0)),"")),IFERROR(INDEX(Daily!$Z$3:$Z$252,MATCH($B44,Daily!$A$3:$A$252,0)),""),""))</f>
        <v/>
      </c>
      <c r="I44">
        <f>IF($B44="","",IF(ISNUMBER(IFERROR(INDEX(Daily!$AK$3:$AK$252,MATCH($B44,Daily!$A$3:$A$252,0)),"")),IFERROR(INDEX(Daily!$AK$3:$AK$252,MATCH($B44,Daily!$A$3:$A$252,0)),""),""))</f>
        <v/>
      </c>
      <c r="J44">
        <f>IF($B44="","",IF(AND(ISNUMBER(MDS),ISNUMBER(MDE)),IF(AND($B44&gt;=MDS,$B44&lt;=MDE),24,""),""))</f>
        <v/>
      </c>
      <c r="K44">
        <f>IF($B44="","",IF(AND(ISNUMBER(PitanS),ISNUMBER(PitanE)),IF(AND($B44&gt;=PitanS,$B44&lt;=PitanE),26,""),""))</f>
        <v/>
      </c>
      <c r="L44">
        <f>IF($B44="","",IF(AND(ISNUMBER(C1S),ISNUMBER(C3E)),IF(AND($B44&gt;=C1S,$B44&lt;=C3E),22,""),""))</f>
        <v/>
      </c>
    </row>
    <row r="45">
      <c r="A45" t="n">
        <v>44</v>
      </c>
      <c r="B45" s="30">
        <f>IFERROR(SMALL(Daily!$A$3:$A$252,A45),"")</f>
        <v/>
      </c>
      <c r="C45">
        <f>IF($B45="","",IF(ISNUMBER(IFERROR(INDEX(Daily!$T$3:$T$252,MATCH($B45,Daily!$A$3:$A$252,0)),"")),IFERROR(INDEX(Daily!$T$3:$T$252,MATCH($B45,Daily!$A$3:$A$252,0)),""),""))</f>
        <v/>
      </c>
      <c r="D45">
        <f>IF($B45="","",IF(ISNUMBER(IFERROR(INDEX(Daily!$AE$3:$AE$252,MATCH($B45,Daily!$A$3:$A$252,0)),"")),IFERROR(INDEX(Daily!$AE$3:$AE$252,MATCH($B45,Daily!$A$3:$A$252,0)),""),""))</f>
        <v/>
      </c>
      <c r="E45">
        <f>IF($B45="","",IF(ISNUMBER(IFERROR(INDEX(Daily!$B$3:$B$252,MATCH($B45,Daily!$A$3:$A$252,0)),"")),IFERROR(INDEX(Daily!$B$3:$B$252,MATCH($B45,Daily!$A$3:$A$252,0)),""),0))</f>
        <v/>
      </c>
      <c r="F45">
        <f>IF($B45="","",IF(ISNUMBER(IFERROR(INDEX(Daily!$Y$3:$Y$252,MATCH($B45,Daily!$A$3:$A$252,0)),"")),IFERROR(INDEX(Daily!$Y$3:$Y$252,MATCH($B45,Daily!$A$3:$A$252,0)),""),""))</f>
        <v/>
      </c>
      <c r="G45">
        <f>IF($B45="","",IF(ISNUMBER(IFERROR(INDEX(Daily!$AJ$3:$AJ$252,MATCH($B45,Daily!$A$3:$A$252,0)),"")),IFERROR(INDEX(Daily!$AJ$3:$AJ$252,MATCH($B45,Daily!$A$3:$A$252,0)),""),""))</f>
        <v/>
      </c>
      <c r="H45">
        <f>IF($B45="","",IF(ISNUMBER(IFERROR(INDEX(Daily!$Z$3:$Z$252,MATCH($B45,Daily!$A$3:$A$252,0)),"")),IFERROR(INDEX(Daily!$Z$3:$Z$252,MATCH($B45,Daily!$A$3:$A$252,0)),""),""))</f>
        <v/>
      </c>
      <c r="I45">
        <f>IF($B45="","",IF(ISNUMBER(IFERROR(INDEX(Daily!$AK$3:$AK$252,MATCH($B45,Daily!$A$3:$A$252,0)),"")),IFERROR(INDEX(Daily!$AK$3:$AK$252,MATCH($B45,Daily!$A$3:$A$252,0)),""),""))</f>
        <v/>
      </c>
      <c r="J45">
        <f>IF($B45="","",IF(AND(ISNUMBER(MDS),ISNUMBER(MDE)),IF(AND($B45&gt;=MDS,$B45&lt;=MDE),24,""),""))</f>
        <v/>
      </c>
      <c r="K45">
        <f>IF($B45="","",IF(AND(ISNUMBER(PitanS),ISNUMBER(PitanE)),IF(AND($B45&gt;=PitanS,$B45&lt;=PitanE),26,""),""))</f>
        <v/>
      </c>
      <c r="L45">
        <f>IF($B45="","",IF(AND(ISNUMBER(C1S),ISNUMBER(C3E)),IF(AND($B45&gt;=C1S,$B45&lt;=C3E),22,""),""))</f>
        <v/>
      </c>
    </row>
    <row r="46">
      <c r="A46" t="n">
        <v>45</v>
      </c>
      <c r="B46" s="30">
        <f>IFERROR(SMALL(Daily!$A$3:$A$252,A46),"")</f>
        <v/>
      </c>
      <c r="C46">
        <f>IF($B46="","",IF(ISNUMBER(IFERROR(INDEX(Daily!$T$3:$T$252,MATCH($B46,Daily!$A$3:$A$252,0)),"")),IFERROR(INDEX(Daily!$T$3:$T$252,MATCH($B46,Daily!$A$3:$A$252,0)),""),""))</f>
        <v/>
      </c>
      <c r="D46">
        <f>IF($B46="","",IF(ISNUMBER(IFERROR(INDEX(Daily!$AE$3:$AE$252,MATCH($B46,Daily!$A$3:$A$252,0)),"")),IFERROR(INDEX(Daily!$AE$3:$AE$252,MATCH($B46,Daily!$A$3:$A$252,0)),""),""))</f>
        <v/>
      </c>
      <c r="E46">
        <f>IF($B46="","",IF(ISNUMBER(IFERROR(INDEX(Daily!$B$3:$B$252,MATCH($B46,Daily!$A$3:$A$252,0)),"")),IFERROR(INDEX(Daily!$B$3:$B$252,MATCH($B46,Daily!$A$3:$A$252,0)),""),0))</f>
        <v/>
      </c>
      <c r="F46">
        <f>IF($B46="","",IF(ISNUMBER(IFERROR(INDEX(Daily!$Y$3:$Y$252,MATCH($B46,Daily!$A$3:$A$252,0)),"")),IFERROR(INDEX(Daily!$Y$3:$Y$252,MATCH($B46,Daily!$A$3:$A$252,0)),""),""))</f>
        <v/>
      </c>
      <c r="G46">
        <f>IF($B46="","",IF(ISNUMBER(IFERROR(INDEX(Daily!$AJ$3:$AJ$252,MATCH($B46,Daily!$A$3:$A$252,0)),"")),IFERROR(INDEX(Daily!$AJ$3:$AJ$252,MATCH($B46,Daily!$A$3:$A$252,0)),""),""))</f>
        <v/>
      </c>
      <c r="H46">
        <f>IF($B46="","",IF(ISNUMBER(IFERROR(INDEX(Daily!$Z$3:$Z$252,MATCH($B46,Daily!$A$3:$A$252,0)),"")),IFERROR(INDEX(Daily!$Z$3:$Z$252,MATCH($B46,Daily!$A$3:$A$252,0)),""),""))</f>
        <v/>
      </c>
      <c r="I46">
        <f>IF($B46="","",IF(ISNUMBER(IFERROR(INDEX(Daily!$AK$3:$AK$252,MATCH($B46,Daily!$A$3:$A$252,0)),"")),IFERROR(INDEX(Daily!$AK$3:$AK$252,MATCH($B46,Daily!$A$3:$A$252,0)),""),""))</f>
        <v/>
      </c>
      <c r="J46">
        <f>IF($B46="","",IF(AND(ISNUMBER(MDS),ISNUMBER(MDE)),IF(AND($B46&gt;=MDS,$B46&lt;=MDE),24,""),""))</f>
        <v/>
      </c>
      <c r="K46">
        <f>IF($B46="","",IF(AND(ISNUMBER(PitanS),ISNUMBER(PitanE)),IF(AND($B46&gt;=PitanS,$B46&lt;=PitanE),26,""),""))</f>
        <v/>
      </c>
      <c r="L46">
        <f>IF($B46="","",IF(AND(ISNUMBER(C1S),ISNUMBER(C3E)),IF(AND($B46&gt;=C1S,$B46&lt;=C3E),22,""),""))</f>
        <v/>
      </c>
    </row>
    <row r="47">
      <c r="A47" t="n">
        <v>46</v>
      </c>
      <c r="B47" s="30">
        <f>IFERROR(SMALL(Daily!$A$3:$A$252,A47),"")</f>
        <v/>
      </c>
      <c r="C47">
        <f>IF($B47="","",IF(ISNUMBER(IFERROR(INDEX(Daily!$T$3:$T$252,MATCH($B47,Daily!$A$3:$A$252,0)),"")),IFERROR(INDEX(Daily!$T$3:$T$252,MATCH($B47,Daily!$A$3:$A$252,0)),""),""))</f>
        <v/>
      </c>
      <c r="D47">
        <f>IF($B47="","",IF(ISNUMBER(IFERROR(INDEX(Daily!$AE$3:$AE$252,MATCH($B47,Daily!$A$3:$A$252,0)),"")),IFERROR(INDEX(Daily!$AE$3:$AE$252,MATCH($B47,Daily!$A$3:$A$252,0)),""),""))</f>
        <v/>
      </c>
      <c r="E47">
        <f>IF($B47="","",IF(ISNUMBER(IFERROR(INDEX(Daily!$B$3:$B$252,MATCH($B47,Daily!$A$3:$A$252,0)),"")),IFERROR(INDEX(Daily!$B$3:$B$252,MATCH($B47,Daily!$A$3:$A$252,0)),""),0))</f>
        <v/>
      </c>
      <c r="F47">
        <f>IF($B47="","",IF(ISNUMBER(IFERROR(INDEX(Daily!$Y$3:$Y$252,MATCH($B47,Daily!$A$3:$A$252,0)),"")),IFERROR(INDEX(Daily!$Y$3:$Y$252,MATCH($B47,Daily!$A$3:$A$252,0)),""),""))</f>
        <v/>
      </c>
      <c r="G47">
        <f>IF($B47="","",IF(ISNUMBER(IFERROR(INDEX(Daily!$AJ$3:$AJ$252,MATCH($B47,Daily!$A$3:$A$252,0)),"")),IFERROR(INDEX(Daily!$AJ$3:$AJ$252,MATCH($B47,Daily!$A$3:$A$252,0)),""),""))</f>
        <v/>
      </c>
      <c r="H47">
        <f>IF($B47="","",IF(ISNUMBER(IFERROR(INDEX(Daily!$Z$3:$Z$252,MATCH($B47,Daily!$A$3:$A$252,0)),"")),IFERROR(INDEX(Daily!$Z$3:$Z$252,MATCH($B47,Daily!$A$3:$A$252,0)),""),""))</f>
        <v/>
      </c>
      <c r="I47">
        <f>IF($B47="","",IF(ISNUMBER(IFERROR(INDEX(Daily!$AK$3:$AK$252,MATCH($B47,Daily!$A$3:$A$252,0)),"")),IFERROR(INDEX(Daily!$AK$3:$AK$252,MATCH($B47,Daily!$A$3:$A$252,0)),""),""))</f>
        <v/>
      </c>
      <c r="J47">
        <f>IF($B47="","",IF(AND(ISNUMBER(MDS),ISNUMBER(MDE)),IF(AND($B47&gt;=MDS,$B47&lt;=MDE),24,""),""))</f>
        <v/>
      </c>
      <c r="K47">
        <f>IF($B47="","",IF(AND(ISNUMBER(PitanS),ISNUMBER(PitanE)),IF(AND($B47&gt;=PitanS,$B47&lt;=PitanE),26,""),""))</f>
        <v/>
      </c>
      <c r="L47">
        <f>IF($B47="","",IF(AND(ISNUMBER(C1S),ISNUMBER(C3E)),IF(AND($B47&gt;=C1S,$B47&lt;=C3E),22,""),""))</f>
        <v/>
      </c>
    </row>
    <row r="48">
      <c r="A48" t="n">
        <v>47</v>
      </c>
      <c r="B48" s="30">
        <f>IFERROR(SMALL(Daily!$A$3:$A$252,A48),"")</f>
        <v/>
      </c>
      <c r="C48">
        <f>IF($B48="","",IF(ISNUMBER(IFERROR(INDEX(Daily!$T$3:$T$252,MATCH($B48,Daily!$A$3:$A$252,0)),"")),IFERROR(INDEX(Daily!$T$3:$T$252,MATCH($B48,Daily!$A$3:$A$252,0)),""),""))</f>
        <v/>
      </c>
      <c r="D48">
        <f>IF($B48="","",IF(ISNUMBER(IFERROR(INDEX(Daily!$AE$3:$AE$252,MATCH($B48,Daily!$A$3:$A$252,0)),"")),IFERROR(INDEX(Daily!$AE$3:$AE$252,MATCH($B48,Daily!$A$3:$A$252,0)),""),""))</f>
        <v/>
      </c>
      <c r="E48">
        <f>IF($B48="","",IF(ISNUMBER(IFERROR(INDEX(Daily!$B$3:$B$252,MATCH($B48,Daily!$A$3:$A$252,0)),"")),IFERROR(INDEX(Daily!$B$3:$B$252,MATCH($B48,Daily!$A$3:$A$252,0)),""),0))</f>
        <v/>
      </c>
      <c r="F48">
        <f>IF($B48="","",IF(ISNUMBER(IFERROR(INDEX(Daily!$Y$3:$Y$252,MATCH($B48,Daily!$A$3:$A$252,0)),"")),IFERROR(INDEX(Daily!$Y$3:$Y$252,MATCH($B48,Daily!$A$3:$A$252,0)),""),""))</f>
        <v/>
      </c>
      <c r="G48">
        <f>IF($B48="","",IF(ISNUMBER(IFERROR(INDEX(Daily!$AJ$3:$AJ$252,MATCH($B48,Daily!$A$3:$A$252,0)),"")),IFERROR(INDEX(Daily!$AJ$3:$AJ$252,MATCH($B48,Daily!$A$3:$A$252,0)),""),""))</f>
        <v/>
      </c>
      <c r="H48">
        <f>IF($B48="","",IF(ISNUMBER(IFERROR(INDEX(Daily!$Z$3:$Z$252,MATCH($B48,Daily!$A$3:$A$252,0)),"")),IFERROR(INDEX(Daily!$Z$3:$Z$252,MATCH($B48,Daily!$A$3:$A$252,0)),""),""))</f>
        <v/>
      </c>
      <c r="I48">
        <f>IF($B48="","",IF(ISNUMBER(IFERROR(INDEX(Daily!$AK$3:$AK$252,MATCH($B48,Daily!$A$3:$A$252,0)),"")),IFERROR(INDEX(Daily!$AK$3:$AK$252,MATCH($B48,Daily!$A$3:$A$252,0)),""),""))</f>
        <v/>
      </c>
      <c r="J48">
        <f>IF($B48="","",IF(AND(ISNUMBER(MDS),ISNUMBER(MDE)),IF(AND($B48&gt;=MDS,$B48&lt;=MDE),24,""),""))</f>
        <v/>
      </c>
      <c r="K48">
        <f>IF($B48="","",IF(AND(ISNUMBER(PitanS),ISNUMBER(PitanE)),IF(AND($B48&gt;=PitanS,$B48&lt;=PitanE),26,""),""))</f>
        <v/>
      </c>
      <c r="L48">
        <f>IF($B48="","",IF(AND(ISNUMBER(C1S),ISNUMBER(C3E)),IF(AND($B48&gt;=C1S,$B48&lt;=C3E),22,""),""))</f>
        <v/>
      </c>
    </row>
    <row r="49">
      <c r="A49" t="n">
        <v>48</v>
      </c>
      <c r="B49" s="30">
        <f>IFERROR(SMALL(Daily!$A$3:$A$252,A49),"")</f>
        <v/>
      </c>
      <c r="C49">
        <f>IF($B49="","",IF(ISNUMBER(IFERROR(INDEX(Daily!$T$3:$T$252,MATCH($B49,Daily!$A$3:$A$252,0)),"")),IFERROR(INDEX(Daily!$T$3:$T$252,MATCH($B49,Daily!$A$3:$A$252,0)),""),""))</f>
        <v/>
      </c>
      <c r="D49">
        <f>IF($B49="","",IF(ISNUMBER(IFERROR(INDEX(Daily!$AE$3:$AE$252,MATCH($B49,Daily!$A$3:$A$252,0)),"")),IFERROR(INDEX(Daily!$AE$3:$AE$252,MATCH($B49,Daily!$A$3:$A$252,0)),""),""))</f>
        <v/>
      </c>
      <c r="E49">
        <f>IF($B49="","",IF(ISNUMBER(IFERROR(INDEX(Daily!$B$3:$B$252,MATCH($B49,Daily!$A$3:$A$252,0)),"")),IFERROR(INDEX(Daily!$B$3:$B$252,MATCH($B49,Daily!$A$3:$A$252,0)),""),0))</f>
        <v/>
      </c>
      <c r="F49">
        <f>IF($B49="","",IF(ISNUMBER(IFERROR(INDEX(Daily!$Y$3:$Y$252,MATCH($B49,Daily!$A$3:$A$252,0)),"")),IFERROR(INDEX(Daily!$Y$3:$Y$252,MATCH($B49,Daily!$A$3:$A$252,0)),""),""))</f>
        <v/>
      </c>
      <c r="G49">
        <f>IF($B49="","",IF(ISNUMBER(IFERROR(INDEX(Daily!$AJ$3:$AJ$252,MATCH($B49,Daily!$A$3:$A$252,0)),"")),IFERROR(INDEX(Daily!$AJ$3:$AJ$252,MATCH($B49,Daily!$A$3:$A$252,0)),""),""))</f>
        <v/>
      </c>
      <c r="H49">
        <f>IF($B49="","",IF(ISNUMBER(IFERROR(INDEX(Daily!$Z$3:$Z$252,MATCH($B49,Daily!$A$3:$A$252,0)),"")),IFERROR(INDEX(Daily!$Z$3:$Z$252,MATCH($B49,Daily!$A$3:$A$252,0)),""),""))</f>
        <v/>
      </c>
      <c r="I49">
        <f>IF($B49="","",IF(ISNUMBER(IFERROR(INDEX(Daily!$AK$3:$AK$252,MATCH($B49,Daily!$A$3:$A$252,0)),"")),IFERROR(INDEX(Daily!$AK$3:$AK$252,MATCH($B49,Daily!$A$3:$A$252,0)),""),""))</f>
        <v/>
      </c>
      <c r="J49">
        <f>IF($B49="","",IF(AND(ISNUMBER(MDS),ISNUMBER(MDE)),IF(AND($B49&gt;=MDS,$B49&lt;=MDE),24,""),""))</f>
        <v/>
      </c>
      <c r="K49">
        <f>IF($B49="","",IF(AND(ISNUMBER(PitanS),ISNUMBER(PitanE)),IF(AND($B49&gt;=PitanS,$B49&lt;=PitanE),26,""),""))</f>
        <v/>
      </c>
      <c r="L49">
        <f>IF($B49="","",IF(AND(ISNUMBER(C1S),ISNUMBER(C3E)),IF(AND($B49&gt;=C1S,$B49&lt;=C3E),22,""),""))</f>
        <v/>
      </c>
    </row>
    <row r="50">
      <c r="A50" t="n">
        <v>49</v>
      </c>
      <c r="B50" s="30">
        <f>IFERROR(SMALL(Daily!$A$3:$A$252,A50),"")</f>
        <v/>
      </c>
      <c r="C50">
        <f>IF($B50="","",IF(ISNUMBER(IFERROR(INDEX(Daily!$T$3:$T$252,MATCH($B50,Daily!$A$3:$A$252,0)),"")),IFERROR(INDEX(Daily!$T$3:$T$252,MATCH($B50,Daily!$A$3:$A$252,0)),""),""))</f>
        <v/>
      </c>
      <c r="D50">
        <f>IF($B50="","",IF(ISNUMBER(IFERROR(INDEX(Daily!$AE$3:$AE$252,MATCH($B50,Daily!$A$3:$A$252,0)),"")),IFERROR(INDEX(Daily!$AE$3:$AE$252,MATCH($B50,Daily!$A$3:$A$252,0)),""),""))</f>
        <v/>
      </c>
      <c r="E50">
        <f>IF($B50="","",IF(ISNUMBER(IFERROR(INDEX(Daily!$B$3:$B$252,MATCH($B50,Daily!$A$3:$A$252,0)),"")),IFERROR(INDEX(Daily!$B$3:$B$252,MATCH($B50,Daily!$A$3:$A$252,0)),""),0))</f>
        <v/>
      </c>
      <c r="F50">
        <f>IF($B50="","",IF(ISNUMBER(IFERROR(INDEX(Daily!$Y$3:$Y$252,MATCH($B50,Daily!$A$3:$A$252,0)),"")),IFERROR(INDEX(Daily!$Y$3:$Y$252,MATCH($B50,Daily!$A$3:$A$252,0)),""),""))</f>
        <v/>
      </c>
      <c r="G50">
        <f>IF($B50="","",IF(ISNUMBER(IFERROR(INDEX(Daily!$AJ$3:$AJ$252,MATCH($B50,Daily!$A$3:$A$252,0)),"")),IFERROR(INDEX(Daily!$AJ$3:$AJ$252,MATCH($B50,Daily!$A$3:$A$252,0)),""),""))</f>
        <v/>
      </c>
      <c r="H50">
        <f>IF($B50="","",IF(ISNUMBER(IFERROR(INDEX(Daily!$Z$3:$Z$252,MATCH($B50,Daily!$A$3:$A$252,0)),"")),IFERROR(INDEX(Daily!$Z$3:$Z$252,MATCH($B50,Daily!$A$3:$A$252,0)),""),""))</f>
        <v/>
      </c>
      <c r="I50">
        <f>IF($B50="","",IF(ISNUMBER(IFERROR(INDEX(Daily!$AK$3:$AK$252,MATCH($B50,Daily!$A$3:$A$252,0)),"")),IFERROR(INDEX(Daily!$AK$3:$AK$252,MATCH($B50,Daily!$A$3:$A$252,0)),""),""))</f>
        <v/>
      </c>
      <c r="J50">
        <f>IF($B50="","",IF(AND(ISNUMBER(MDS),ISNUMBER(MDE)),IF(AND($B50&gt;=MDS,$B50&lt;=MDE),24,""),""))</f>
        <v/>
      </c>
      <c r="K50">
        <f>IF($B50="","",IF(AND(ISNUMBER(PitanS),ISNUMBER(PitanE)),IF(AND($B50&gt;=PitanS,$B50&lt;=PitanE),26,""),""))</f>
        <v/>
      </c>
      <c r="L50">
        <f>IF($B50="","",IF(AND(ISNUMBER(C1S),ISNUMBER(C3E)),IF(AND($B50&gt;=C1S,$B50&lt;=C3E),22,""),""))</f>
        <v/>
      </c>
    </row>
    <row r="51">
      <c r="A51" t="n">
        <v>50</v>
      </c>
      <c r="B51" s="30">
        <f>IFERROR(SMALL(Daily!$A$3:$A$252,A51),"")</f>
        <v/>
      </c>
      <c r="C51">
        <f>IF($B51="","",IF(ISNUMBER(IFERROR(INDEX(Daily!$T$3:$T$252,MATCH($B51,Daily!$A$3:$A$252,0)),"")),IFERROR(INDEX(Daily!$T$3:$T$252,MATCH($B51,Daily!$A$3:$A$252,0)),""),""))</f>
        <v/>
      </c>
      <c r="D51">
        <f>IF($B51="","",IF(ISNUMBER(IFERROR(INDEX(Daily!$AE$3:$AE$252,MATCH($B51,Daily!$A$3:$A$252,0)),"")),IFERROR(INDEX(Daily!$AE$3:$AE$252,MATCH($B51,Daily!$A$3:$A$252,0)),""),""))</f>
        <v/>
      </c>
      <c r="E51">
        <f>IF($B51="","",IF(ISNUMBER(IFERROR(INDEX(Daily!$B$3:$B$252,MATCH($B51,Daily!$A$3:$A$252,0)),"")),IFERROR(INDEX(Daily!$B$3:$B$252,MATCH($B51,Daily!$A$3:$A$252,0)),""),0))</f>
        <v/>
      </c>
      <c r="F51">
        <f>IF($B51="","",IF(ISNUMBER(IFERROR(INDEX(Daily!$Y$3:$Y$252,MATCH($B51,Daily!$A$3:$A$252,0)),"")),IFERROR(INDEX(Daily!$Y$3:$Y$252,MATCH($B51,Daily!$A$3:$A$252,0)),""),""))</f>
        <v/>
      </c>
      <c r="G51">
        <f>IF($B51="","",IF(ISNUMBER(IFERROR(INDEX(Daily!$AJ$3:$AJ$252,MATCH($B51,Daily!$A$3:$A$252,0)),"")),IFERROR(INDEX(Daily!$AJ$3:$AJ$252,MATCH($B51,Daily!$A$3:$A$252,0)),""),""))</f>
        <v/>
      </c>
      <c r="H51">
        <f>IF($B51="","",IF(ISNUMBER(IFERROR(INDEX(Daily!$Z$3:$Z$252,MATCH($B51,Daily!$A$3:$A$252,0)),"")),IFERROR(INDEX(Daily!$Z$3:$Z$252,MATCH($B51,Daily!$A$3:$A$252,0)),""),""))</f>
        <v/>
      </c>
      <c r="I51">
        <f>IF($B51="","",IF(ISNUMBER(IFERROR(INDEX(Daily!$AK$3:$AK$252,MATCH($B51,Daily!$A$3:$A$252,0)),"")),IFERROR(INDEX(Daily!$AK$3:$AK$252,MATCH($B51,Daily!$A$3:$A$252,0)),""),""))</f>
        <v/>
      </c>
      <c r="J51">
        <f>IF($B51="","",IF(AND(ISNUMBER(MDS),ISNUMBER(MDE)),IF(AND($B51&gt;=MDS,$B51&lt;=MDE),24,""),""))</f>
        <v/>
      </c>
      <c r="K51">
        <f>IF($B51="","",IF(AND(ISNUMBER(PitanS),ISNUMBER(PitanE)),IF(AND($B51&gt;=PitanS,$B51&lt;=PitanE),26,""),""))</f>
        <v/>
      </c>
      <c r="L51">
        <f>IF($B51="","",IF(AND(ISNUMBER(C1S),ISNUMBER(C3E)),IF(AND($B51&gt;=C1S,$B51&lt;=C3E),22,""),""))</f>
        <v/>
      </c>
    </row>
    <row r="52">
      <c r="A52" t="n">
        <v>51</v>
      </c>
      <c r="B52" s="30">
        <f>IFERROR(SMALL(Daily!$A$3:$A$252,A52),"")</f>
        <v/>
      </c>
      <c r="C52">
        <f>IF($B52="","",IF(ISNUMBER(IFERROR(INDEX(Daily!$T$3:$T$252,MATCH($B52,Daily!$A$3:$A$252,0)),"")),IFERROR(INDEX(Daily!$T$3:$T$252,MATCH($B52,Daily!$A$3:$A$252,0)),""),""))</f>
        <v/>
      </c>
      <c r="D52">
        <f>IF($B52="","",IF(ISNUMBER(IFERROR(INDEX(Daily!$AE$3:$AE$252,MATCH($B52,Daily!$A$3:$A$252,0)),"")),IFERROR(INDEX(Daily!$AE$3:$AE$252,MATCH($B52,Daily!$A$3:$A$252,0)),""),""))</f>
        <v/>
      </c>
      <c r="E52">
        <f>IF($B52="","",IF(ISNUMBER(IFERROR(INDEX(Daily!$B$3:$B$252,MATCH($B52,Daily!$A$3:$A$252,0)),"")),IFERROR(INDEX(Daily!$B$3:$B$252,MATCH($B52,Daily!$A$3:$A$252,0)),""),0))</f>
        <v/>
      </c>
      <c r="F52">
        <f>IF($B52="","",IF(ISNUMBER(IFERROR(INDEX(Daily!$Y$3:$Y$252,MATCH($B52,Daily!$A$3:$A$252,0)),"")),IFERROR(INDEX(Daily!$Y$3:$Y$252,MATCH($B52,Daily!$A$3:$A$252,0)),""),""))</f>
        <v/>
      </c>
      <c r="G52">
        <f>IF($B52="","",IF(ISNUMBER(IFERROR(INDEX(Daily!$AJ$3:$AJ$252,MATCH($B52,Daily!$A$3:$A$252,0)),"")),IFERROR(INDEX(Daily!$AJ$3:$AJ$252,MATCH($B52,Daily!$A$3:$A$252,0)),""),""))</f>
        <v/>
      </c>
      <c r="H52">
        <f>IF($B52="","",IF(ISNUMBER(IFERROR(INDEX(Daily!$Z$3:$Z$252,MATCH($B52,Daily!$A$3:$A$252,0)),"")),IFERROR(INDEX(Daily!$Z$3:$Z$252,MATCH($B52,Daily!$A$3:$A$252,0)),""),""))</f>
        <v/>
      </c>
      <c r="I52">
        <f>IF($B52="","",IF(ISNUMBER(IFERROR(INDEX(Daily!$AK$3:$AK$252,MATCH($B52,Daily!$A$3:$A$252,0)),"")),IFERROR(INDEX(Daily!$AK$3:$AK$252,MATCH($B52,Daily!$A$3:$A$252,0)),""),""))</f>
        <v/>
      </c>
      <c r="J52">
        <f>IF($B52="","",IF(AND(ISNUMBER(MDS),ISNUMBER(MDE)),IF(AND($B52&gt;=MDS,$B52&lt;=MDE),24,""),""))</f>
        <v/>
      </c>
      <c r="K52">
        <f>IF($B52="","",IF(AND(ISNUMBER(PitanS),ISNUMBER(PitanE)),IF(AND($B52&gt;=PitanS,$B52&lt;=PitanE),26,""),""))</f>
        <v/>
      </c>
      <c r="L52">
        <f>IF($B52="","",IF(AND(ISNUMBER(C1S),ISNUMBER(C3E)),IF(AND($B52&gt;=C1S,$B52&lt;=C3E),22,""),""))</f>
        <v/>
      </c>
    </row>
    <row r="53">
      <c r="A53" t="n">
        <v>52</v>
      </c>
      <c r="B53" s="30">
        <f>IFERROR(SMALL(Daily!$A$3:$A$252,A53),"")</f>
        <v/>
      </c>
      <c r="C53">
        <f>IF($B53="","",IF(ISNUMBER(IFERROR(INDEX(Daily!$T$3:$T$252,MATCH($B53,Daily!$A$3:$A$252,0)),"")),IFERROR(INDEX(Daily!$T$3:$T$252,MATCH($B53,Daily!$A$3:$A$252,0)),""),""))</f>
        <v/>
      </c>
      <c r="D53">
        <f>IF($B53="","",IF(ISNUMBER(IFERROR(INDEX(Daily!$AE$3:$AE$252,MATCH($B53,Daily!$A$3:$A$252,0)),"")),IFERROR(INDEX(Daily!$AE$3:$AE$252,MATCH($B53,Daily!$A$3:$A$252,0)),""),""))</f>
        <v/>
      </c>
      <c r="E53">
        <f>IF($B53="","",IF(ISNUMBER(IFERROR(INDEX(Daily!$B$3:$B$252,MATCH($B53,Daily!$A$3:$A$252,0)),"")),IFERROR(INDEX(Daily!$B$3:$B$252,MATCH($B53,Daily!$A$3:$A$252,0)),""),0))</f>
        <v/>
      </c>
      <c r="F53">
        <f>IF($B53="","",IF(ISNUMBER(IFERROR(INDEX(Daily!$Y$3:$Y$252,MATCH($B53,Daily!$A$3:$A$252,0)),"")),IFERROR(INDEX(Daily!$Y$3:$Y$252,MATCH($B53,Daily!$A$3:$A$252,0)),""),""))</f>
        <v/>
      </c>
      <c r="G53">
        <f>IF($B53="","",IF(ISNUMBER(IFERROR(INDEX(Daily!$AJ$3:$AJ$252,MATCH($B53,Daily!$A$3:$A$252,0)),"")),IFERROR(INDEX(Daily!$AJ$3:$AJ$252,MATCH($B53,Daily!$A$3:$A$252,0)),""),""))</f>
        <v/>
      </c>
      <c r="H53">
        <f>IF($B53="","",IF(ISNUMBER(IFERROR(INDEX(Daily!$Z$3:$Z$252,MATCH($B53,Daily!$A$3:$A$252,0)),"")),IFERROR(INDEX(Daily!$Z$3:$Z$252,MATCH($B53,Daily!$A$3:$A$252,0)),""),""))</f>
        <v/>
      </c>
      <c r="I53">
        <f>IF($B53="","",IF(ISNUMBER(IFERROR(INDEX(Daily!$AK$3:$AK$252,MATCH($B53,Daily!$A$3:$A$252,0)),"")),IFERROR(INDEX(Daily!$AK$3:$AK$252,MATCH($B53,Daily!$A$3:$A$252,0)),""),""))</f>
        <v/>
      </c>
      <c r="J53">
        <f>IF($B53="","",IF(AND(ISNUMBER(MDS),ISNUMBER(MDE)),IF(AND($B53&gt;=MDS,$B53&lt;=MDE),24,""),""))</f>
        <v/>
      </c>
      <c r="K53">
        <f>IF($B53="","",IF(AND(ISNUMBER(PitanS),ISNUMBER(PitanE)),IF(AND($B53&gt;=PitanS,$B53&lt;=PitanE),26,""),""))</f>
        <v/>
      </c>
      <c r="L53">
        <f>IF($B53="","",IF(AND(ISNUMBER(C1S),ISNUMBER(C3E)),IF(AND($B53&gt;=C1S,$B53&lt;=C3E),22,""),""))</f>
        <v/>
      </c>
    </row>
    <row r="54">
      <c r="A54" t="n">
        <v>53</v>
      </c>
      <c r="B54" s="30">
        <f>IFERROR(SMALL(Daily!$A$3:$A$252,A54),"")</f>
        <v/>
      </c>
      <c r="C54">
        <f>IF($B54="","",IF(ISNUMBER(IFERROR(INDEX(Daily!$T$3:$T$252,MATCH($B54,Daily!$A$3:$A$252,0)),"")),IFERROR(INDEX(Daily!$T$3:$T$252,MATCH($B54,Daily!$A$3:$A$252,0)),""),""))</f>
        <v/>
      </c>
      <c r="D54">
        <f>IF($B54="","",IF(ISNUMBER(IFERROR(INDEX(Daily!$AE$3:$AE$252,MATCH($B54,Daily!$A$3:$A$252,0)),"")),IFERROR(INDEX(Daily!$AE$3:$AE$252,MATCH($B54,Daily!$A$3:$A$252,0)),""),""))</f>
        <v/>
      </c>
      <c r="E54">
        <f>IF($B54="","",IF(ISNUMBER(IFERROR(INDEX(Daily!$B$3:$B$252,MATCH($B54,Daily!$A$3:$A$252,0)),"")),IFERROR(INDEX(Daily!$B$3:$B$252,MATCH($B54,Daily!$A$3:$A$252,0)),""),0))</f>
        <v/>
      </c>
      <c r="F54">
        <f>IF($B54="","",IF(ISNUMBER(IFERROR(INDEX(Daily!$Y$3:$Y$252,MATCH($B54,Daily!$A$3:$A$252,0)),"")),IFERROR(INDEX(Daily!$Y$3:$Y$252,MATCH($B54,Daily!$A$3:$A$252,0)),""),""))</f>
        <v/>
      </c>
      <c r="G54">
        <f>IF($B54="","",IF(ISNUMBER(IFERROR(INDEX(Daily!$AJ$3:$AJ$252,MATCH($B54,Daily!$A$3:$A$252,0)),"")),IFERROR(INDEX(Daily!$AJ$3:$AJ$252,MATCH($B54,Daily!$A$3:$A$252,0)),""),""))</f>
        <v/>
      </c>
      <c r="H54">
        <f>IF($B54="","",IF(ISNUMBER(IFERROR(INDEX(Daily!$Z$3:$Z$252,MATCH($B54,Daily!$A$3:$A$252,0)),"")),IFERROR(INDEX(Daily!$Z$3:$Z$252,MATCH($B54,Daily!$A$3:$A$252,0)),""),""))</f>
        <v/>
      </c>
      <c r="I54">
        <f>IF($B54="","",IF(ISNUMBER(IFERROR(INDEX(Daily!$AK$3:$AK$252,MATCH($B54,Daily!$A$3:$A$252,0)),"")),IFERROR(INDEX(Daily!$AK$3:$AK$252,MATCH($B54,Daily!$A$3:$A$252,0)),""),""))</f>
        <v/>
      </c>
      <c r="J54">
        <f>IF($B54="","",IF(AND(ISNUMBER(MDS),ISNUMBER(MDE)),IF(AND($B54&gt;=MDS,$B54&lt;=MDE),24,""),""))</f>
        <v/>
      </c>
      <c r="K54">
        <f>IF($B54="","",IF(AND(ISNUMBER(PitanS),ISNUMBER(PitanE)),IF(AND($B54&gt;=PitanS,$B54&lt;=PitanE),26,""),""))</f>
        <v/>
      </c>
      <c r="L54">
        <f>IF($B54="","",IF(AND(ISNUMBER(C1S),ISNUMBER(C3E)),IF(AND($B54&gt;=C1S,$B54&lt;=C3E),22,""),""))</f>
        <v/>
      </c>
    </row>
    <row r="55">
      <c r="A55" t="n">
        <v>54</v>
      </c>
      <c r="B55" s="30">
        <f>IFERROR(SMALL(Daily!$A$3:$A$252,A55),"")</f>
        <v/>
      </c>
      <c r="C55">
        <f>IF($B55="","",IF(ISNUMBER(IFERROR(INDEX(Daily!$T$3:$T$252,MATCH($B55,Daily!$A$3:$A$252,0)),"")),IFERROR(INDEX(Daily!$T$3:$T$252,MATCH($B55,Daily!$A$3:$A$252,0)),""),""))</f>
        <v/>
      </c>
      <c r="D55">
        <f>IF($B55="","",IF(ISNUMBER(IFERROR(INDEX(Daily!$AE$3:$AE$252,MATCH($B55,Daily!$A$3:$A$252,0)),"")),IFERROR(INDEX(Daily!$AE$3:$AE$252,MATCH($B55,Daily!$A$3:$A$252,0)),""),""))</f>
        <v/>
      </c>
      <c r="E55">
        <f>IF($B55="","",IF(ISNUMBER(IFERROR(INDEX(Daily!$B$3:$B$252,MATCH($B55,Daily!$A$3:$A$252,0)),"")),IFERROR(INDEX(Daily!$B$3:$B$252,MATCH($B55,Daily!$A$3:$A$252,0)),""),0))</f>
        <v/>
      </c>
      <c r="F55">
        <f>IF($B55="","",IF(ISNUMBER(IFERROR(INDEX(Daily!$Y$3:$Y$252,MATCH($B55,Daily!$A$3:$A$252,0)),"")),IFERROR(INDEX(Daily!$Y$3:$Y$252,MATCH($B55,Daily!$A$3:$A$252,0)),""),""))</f>
        <v/>
      </c>
      <c r="G55">
        <f>IF($B55="","",IF(ISNUMBER(IFERROR(INDEX(Daily!$AJ$3:$AJ$252,MATCH($B55,Daily!$A$3:$A$252,0)),"")),IFERROR(INDEX(Daily!$AJ$3:$AJ$252,MATCH($B55,Daily!$A$3:$A$252,0)),""),""))</f>
        <v/>
      </c>
      <c r="H55">
        <f>IF($B55="","",IF(ISNUMBER(IFERROR(INDEX(Daily!$Z$3:$Z$252,MATCH($B55,Daily!$A$3:$A$252,0)),"")),IFERROR(INDEX(Daily!$Z$3:$Z$252,MATCH($B55,Daily!$A$3:$A$252,0)),""),""))</f>
        <v/>
      </c>
      <c r="I55">
        <f>IF($B55="","",IF(ISNUMBER(IFERROR(INDEX(Daily!$AK$3:$AK$252,MATCH($B55,Daily!$A$3:$A$252,0)),"")),IFERROR(INDEX(Daily!$AK$3:$AK$252,MATCH($B55,Daily!$A$3:$A$252,0)),""),""))</f>
        <v/>
      </c>
      <c r="J55">
        <f>IF($B55="","",IF(AND(ISNUMBER(MDS),ISNUMBER(MDE)),IF(AND($B55&gt;=MDS,$B55&lt;=MDE),24,""),""))</f>
        <v/>
      </c>
      <c r="K55">
        <f>IF($B55="","",IF(AND(ISNUMBER(PitanS),ISNUMBER(PitanE)),IF(AND($B55&gt;=PitanS,$B55&lt;=PitanE),26,""),""))</f>
        <v/>
      </c>
      <c r="L55">
        <f>IF($B55="","",IF(AND(ISNUMBER(C1S),ISNUMBER(C3E)),IF(AND($B55&gt;=C1S,$B55&lt;=C3E),22,""),""))</f>
        <v/>
      </c>
    </row>
    <row r="56">
      <c r="A56" t="n">
        <v>55</v>
      </c>
      <c r="B56" s="30">
        <f>IFERROR(SMALL(Daily!$A$3:$A$252,A56),"")</f>
        <v/>
      </c>
      <c r="C56">
        <f>IF($B56="","",IF(ISNUMBER(IFERROR(INDEX(Daily!$T$3:$T$252,MATCH($B56,Daily!$A$3:$A$252,0)),"")),IFERROR(INDEX(Daily!$T$3:$T$252,MATCH($B56,Daily!$A$3:$A$252,0)),""),""))</f>
        <v/>
      </c>
      <c r="D56">
        <f>IF($B56="","",IF(ISNUMBER(IFERROR(INDEX(Daily!$AE$3:$AE$252,MATCH($B56,Daily!$A$3:$A$252,0)),"")),IFERROR(INDEX(Daily!$AE$3:$AE$252,MATCH($B56,Daily!$A$3:$A$252,0)),""),""))</f>
        <v/>
      </c>
      <c r="E56">
        <f>IF($B56="","",IF(ISNUMBER(IFERROR(INDEX(Daily!$B$3:$B$252,MATCH($B56,Daily!$A$3:$A$252,0)),"")),IFERROR(INDEX(Daily!$B$3:$B$252,MATCH($B56,Daily!$A$3:$A$252,0)),""),0))</f>
        <v/>
      </c>
      <c r="F56">
        <f>IF($B56="","",IF(ISNUMBER(IFERROR(INDEX(Daily!$Y$3:$Y$252,MATCH($B56,Daily!$A$3:$A$252,0)),"")),IFERROR(INDEX(Daily!$Y$3:$Y$252,MATCH($B56,Daily!$A$3:$A$252,0)),""),""))</f>
        <v/>
      </c>
      <c r="G56">
        <f>IF($B56="","",IF(ISNUMBER(IFERROR(INDEX(Daily!$AJ$3:$AJ$252,MATCH($B56,Daily!$A$3:$A$252,0)),"")),IFERROR(INDEX(Daily!$AJ$3:$AJ$252,MATCH($B56,Daily!$A$3:$A$252,0)),""),""))</f>
        <v/>
      </c>
      <c r="H56">
        <f>IF($B56="","",IF(ISNUMBER(IFERROR(INDEX(Daily!$Z$3:$Z$252,MATCH($B56,Daily!$A$3:$A$252,0)),"")),IFERROR(INDEX(Daily!$Z$3:$Z$252,MATCH($B56,Daily!$A$3:$A$252,0)),""),""))</f>
        <v/>
      </c>
      <c r="I56">
        <f>IF($B56="","",IF(ISNUMBER(IFERROR(INDEX(Daily!$AK$3:$AK$252,MATCH($B56,Daily!$A$3:$A$252,0)),"")),IFERROR(INDEX(Daily!$AK$3:$AK$252,MATCH($B56,Daily!$A$3:$A$252,0)),""),""))</f>
        <v/>
      </c>
      <c r="J56">
        <f>IF($B56="","",IF(AND(ISNUMBER(MDS),ISNUMBER(MDE)),IF(AND($B56&gt;=MDS,$B56&lt;=MDE),24,""),""))</f>
        <v/>
      </c>
      <c r="K56">
        <f>IF($B56="","",IF(AND(ISNUMBER(PitanS),ISNUMBER(PitanE)),IF(AND($B56&gt;=PitanS,$B56&lt;=PitanE),26,""),""))</f>
        <v/>
      </c>
      <c r="L56">
        <f>IF($B56="","",IF(AND(ISNUMBER(C1S),ISNUMBER(C3E)),IF(AND($B56&gt;=C1S,$B56&lt;=C3E),22,""),""))</f>
        <v/>
      </c>
    </row>
    <row r="57">
      <c r="A57" t="n">
        <v>56</v>
      </c>
      <c r="B57" s="30">
        <f>IFERROR(SMALL(Daily!$A$3:$A$252,A57),"")</f>
        <v/>
      </c>
      <c r="C57">
        <f>IF($B57="","",IF(ISNUMBER(IFERROR(INDEX(Daily!$T$3:$T$252,MATCH($B57,Daily!$A$3:$A$252,0)),"")),IFERROR(INDEX(Daily!$T$3:$T$252,MATCH($B57,Daily!$A$3:$A$252,0)),""),""))</f>
        <v/>
      </c>
      <c r="D57">
        <f>IF($B57="","",IF(ISNUMBER(IFERROR(INDEX(Daily!$AE$3:$AE$252,MATCH($B57,Daily!$A$3:$A$252,0)),"")),IFERROR(INDEX(Daily!$AE$3:$AE$252,MATCH($B57,Daily!$A$3:$A$252,0)),""),""))</f>
        <v/>
      </c>
      <c r="E57">
        <f>IF($B57="","",IF(ISNUMBER(IFERROR(INDEX(Daily!$B$3:$B$252,MATCH($B57,Daily!$A$3:$A$252,0)),"")),IFERROR(INDEX(Daily!$B$3:$B$252,MATCH($B57,Daily!$A$3:$A$252,0)),""),0))</f>
        <v/>
      </c>
      <c r="F57">
        <f>IF($B57="","",IF(ISNUMBER(IFERROR(INDEX(Daily!$Y$3:$Y$252,MATCH($B57,Daily!$A$3:$A$252,0)),"")),IFERROR(INDEX(Daily!$Y$3:$Y$252,MATCH($B57,Daily!$A$3:$A$252,0)),""),""))</f>
        <v/>
      </c>
      <c r="G57">
        <f>IF($B57="","",IF(ISNUMBER(IFERROR(INDEX(Daily!$AJ$3:$AJ$252,MATCH($B57,Daily!$A$3:$A$252,0)),"")),IFERROR(INDEX(Daily!$AJ$3:$AJ$252,MATCH($B57,Daily!$A$3:$A$252,0)),""),""))</f>
        <v/>
      </c>
      <c r="H57">
        <f>IF($B57="","",IF(ISNUMBER(IFERROR(INDEX(Daily!$Z$3:$Z$252,MATCH($B57,Daily!$A$3:$A$252,0)),"")),IFERROR(INDEX(Daily!$Z$3:$Z$252,MATCH($B57,Daily!$A$3:$A$252,0)),""),""))</f>
        <v/>
      </c>
      <c r="I57">
        <f>IF($B57="","",IF(ISNUMBER(IFERROR(INDEX(Daily!$AK$3:$AK$252,MATCH($B57,Daily!$A$3:$A$252,0)),"")),IFERROR(INDEX(Daily!$AK$3:$AK$252,MATCH($B57,Daily!$A$3:$A$252,0)),""),""))</f>
        <v/>
      </c>
      <c r="J57">
        <f>IF($B57="","",IF(AND(ISNUMBER(MDS),ISNUMBER(MDE)),IF(AND($B57&gt;=MDS,$B57&lt;=MDE),24,""),""))</f>
        <v/>
      </c>
      <c r="K57">
        <f>IF($B57="","",IF(AND(ISNUMBER(PitanS),ISNUMBER(PitanE)),IF(AND($B57&gt;=PitanS,$B57&lt;=PitanE),26,""),""))</f>
        <v/>
      </c>
      <c r="L57">
        <f>IF($B57="","",IF(AND(ISNUMBER(C1S),ISNUMBER(C3E)),IF(AND($B57&gt;=C1S,$B57&lt;=C3E),22,""),""))</f>
        <v/>
      </c>
    </row>
    <row r="58">
      <c r="A58" t="n">
        <v>57</v>
      </c>
      <c r="B58" s="30">
        <f>IFERROR(SMALL(Daily!$A$3:$A$252,A58),"")</f>
        <v/>
      </c>
      <c r="C58">
        <f>IF($B58="","",IF(ISNUMBER(IFERROR(INDEX(Daily!$T$3:$T$252,MATCH($B58,Daily!$A$3:$A$252,0)),"")),IFERROR(INDEX(Daily!$T$3:$T$252,MATCH($B58,Daily!$A$3:$A$252,0)),""),""))</f>
        <v/>
      </c>
      <c r="D58">
        <f>IF($B58="","",IF(ISNUMBER(IFERROR(INDEX(Daily!$AE$3:$AE$252,MATCH($B58,Daily!$A$3:$A$252,0)),"")),IFERROR(INDEX(Daily!$AE$3:$AE$252,MATCH($B58,Daily!$A$3:$A$252,0)),""),""))</f>
        <v/>
      </c>
      <c r="E58">
        <f>IF($B58="","",IF(ISNUMBER(IFERROR(INDEX(Daily!$B$3:$B$252,MATCH($B58,Daily!$A$3:$A$252,0)),"")),IFERROR(INDEX(Daily!$B$3:$B$252,MATCH($B58,Daily!$A$3:$A$252,0)),""),0))</f>
        <v/>
      </c>
      <c r="F58">
        <f>IF($B58="","",IF(ISNUMBER(IFERROR(INDEX(Daily!$Y$3:$Y$252,MATCH($B58,Daily!$A$3:$A$252,0)),"")),IFERROR(INDEX(Daily!$Y$3:$Y$252,MATCH($B58,Daily!$A$3:$A$252,0)),""),""))</f>
        <v/>
      </c>
      <c r="G58">
        <f>IF($B58="","",IF(ISNUMBER(IFERROR(INDEX(Daily!$AJ$3:$AJ$252,MATCH($B58,Daily!$A$3:$A$252,0)),"")),IFERROR(INDEX(Daily!$AJ$3:$AJ$252,MATCH($B58,Daily!$A$3:$A$252,0)),""),""))</f>
        <v/>
      </c>
      <c r="H58">
        <f>IF($B58="","",IF(ISNUMBER(IFERROR(INDEX(Daily!$Z$3:$Z$252,MATCH($B58,Daily!$A$3:$A$252,0)),"")),IFERROR(INDEX(Daily!$Z$3:$Z$252,MATCH($B58,Daily!$A$3:$A$252,0)),""),""))</f>
        <v/>
      </c>
      <c r="I58">
        <f>IF($B58="","",IF(ISNUMBER(IFERROR(INDEX(Daily!$AK$3:$AK$252,MATCH($B58,Daily!$A$3:$A$252,0)),"")),IFERROR(INDEX(Daily!$AK$3:$AK$252,MATCH($B58,Daily!$A$3:$A$252,0)),""),""))</f>
        <v/>
      </c>
      <c r="J58">
        <f>IF($B58="","",IF(AND(ISNUMBER(MDS),ISNUMBER(MDE)),IF(AND($B58&gt;=MDS,$B58&lt;=MDE),24,""),""))</f>
        <v/>
      </c>
      <c r="K58">
        <f>IF($B58="","",IF(AND(ISNUMBER(PitanS),ISNUMBER(PitanE)),IF(AND($B58&gt;=PitanS,$B58&lt;=PitanE),26,""),""))</f>
        <v/>
      </c>
      <c r="L58">
        <f>IF($B58="","",IF(AND(ISNUMBER(C1S),ISNUMBER(C3E)),IF(AND($B58&gt;=C1S,$B58&lt;=C3E),22,""),""))</f>
        <v/>
      </c>
    </row>
    <row r="59">
      <c r="A59" t="n">
        <v>58</v>
      </c>
      <c r="B59" s="30">
        <f>IFERROR(SMALL(Daily!$A$3:$A$252,A59),"")</f>
        <v/>
      </c>
      <c r="C59">
        <f>IF($B59="","",IF(ISNUMBER(IFERROR(INDEX(Daily!$T$3:$T$252,MATCH($B59,Daily!$A$3:$A$252,0)),"")),IFERROR(INDEX(Daily!$T$3:$T$252,MATCH($B59,Daily!$A$3:$A$252,0)),""),""))</f>
        <v/>
      </c>
      <c r="D59">
        <f>IF($B59="","",IF(ISNUMBER(IFERROR(INDEX(Daily!$AE$3:$AE$252,MATCH($B59,Daily!$A$3:$A$252,0)),"")),IFERROR(INDEX(Daily!$AE$3:$AE$252,MATCH($B59,Daily!$A$3:$A$252,0)),""),""))</f>
        <v/>
      </c>
      <c r="E59">
        <f>IF($B59="","",IF(ISNUMBER(IFERROR(INDEX(Daily!$B$3:$B$252,MATCH($B59,Daily!$A$3:$A$252,0)),"")),IFERROR(INDEX(Daily!$B$3:$B$252,MATCH($B59,Daily!$A$3:$A$252,0)),""),0))</f>
        <v/>
      </c>
      <c r="F59">
        <f>IF($B59="","",IF(ISNUMBER(IFERROR(INDEX(Daily!$Y$3:$Y$252,MATCH($B59,Daily!$A$3:$A$252,0)),"")),IFERROR(INDEX(Daily!$Y$3:$Y$252,MATCH($B59,Daily!$A$3:$A$252,0)),""),""))</f>
        <v/>
      </c>
      <c r="G59">
        <f>IF($B59="","",IF(ISNUMBER(IFERROR(INDEX(Daily!$AJ$3:$AJ$252,MATCH($B59,Daily!$A$3:$A$252,0)),"")),IFERROR(INDEX(Daily!$AJ$3:$AJ$252,MATCH($B59,Daily!$A$3:$A$252,0)),""),""))</f>
        <v/>
      </c>
      <c r="H59">
        <f>IF($B59="","",IF(ISNUMBER(IFERROR(INDEX(Daily!$Z$3:$Z$252,MATCH($B59,Daily!$A$3:$A$252,0)),"")),IFERROR(INDEX(Daily!$Z$3:$Z$252,MATCH($B59,Daily!$A$3:$A$252,0)),""),""))</f>
        <v/>
      </c>
      <c r="I59">
        <f>IF($B59="","",IF(ISNUMBER(IFERROR(INDEX(Daily!$AK$3:$AK$252,MATCH($B59,Daily!$A$3:$A$252,0)),"")),IFERROR(INDEX(Daily!$AK$3:$AK$252,MATCH($B59,Daily!$A$3:$A$252,0)),""),""))</f>
        <v/>
      </c>
      <c r="J59">
        <f>IF($B59="","",IF(AND(ISNUMBER(MDS),ISNUMBER(MDE)),IF(AND($B59&gt;=MDS,$B59&lt;=MDE),24,""),""))</f>
        <v/>
      </c>
      <c r="K59">
        <f>IF($B59="","",IF(AND(ISNUMBER(PitanS),ISNUMBER(PitanE)),IF(AND($B59&gt;=PitanS,$B59&lt;=PitanE),26,""),""))</f>
        <v/>
      </c>
      <c r="L59">
        <f>IF($B59="","",IF(AND(ISNUMBER(C1S),ISNUMBER(C3E)),IF(AND($B59&gt;=C1S,$B59&lt;=C3E),22,""),""))</f>
        <v/>
      </c>
    </row>
    <row r="60">
      <c r="A60" t="n">
        <v>59</v>
      </c>
      <c r="B60" s="30">
        <f>IFERROR(SMALL(Daily!$A$3:$A$252,A60),"")</f>
        <v/>
      </c>
      <c r="C60">
        <f>IF($B60="","",IF(ISNUMBER(IFERROR(INDEX(Daily!$T$3:$T$252,MATCH($B60,Daily!$A$3:$A$252,0)),"")),IFERROR(INDEX(Daily!$T$3:$T$252,MATCH($B60,Daily!$A$3:$A$252,0)),""),""))</f>
        <v/>
      </c>
      <c r="D60">
        <f>IF($B60="","",IF(ISNUMBER(IFERROR(INDEX(Daily!$AE$3:$AE$252,MATCH($B60,Daily!$A$3:$A$252,0)),"")),IFERROR(INDEX(Daily!$AE$3:$AE$252,MATCH($B60,Daily!$A$3:$A$252,0)),""),""))</f>
        <v/>
      </c>
      <c r="E60">
        <f>IF($B60="","",IF(ISNUMBER(IFERROR(INDEX(Daily!$B$3:$B$252,MATCH($B60,Daily!$A$3:$A$252,0)),"")),IFERROR(INDEX(Daily!$B$3:$B$252,MATCH($B60,Daily!$A$3:$A$252,0)),""),0))</f>
        <v/>
      </c>
      <c r="F60">
        <f>IF($B60="","",IF(ISNUMBER(IFERROR(INDEX(Daily!$Y$3:$Y$252,MATCH($B60,Daily!$A$3:$A$252,0)),"")),IFERROR(INDEX(Daily!$Y$3:$Y$252,MATCH($B60,Daily!$A$3:$A$252,0)),""),""))</f>
        <v/>
      </c>
      <c r="G60">
        <f>IF($B60="","",IF(ISNUMBER(IFERROR(INDEX(Daily!$AJ$3:$AJ$252,MATCH($B60,Daily!$A$3:$A$252,0)),"")),IFERROR(INDEX(Daily!$AJ$3:$AJ$252,MATCH($B60,Daily!$A$3:$A$252,0)),""),""))</f>
        <v/>
      </c>
      <c r="H60">
        <f>IF($B60="","",IF(ISNUMBER(IFERROR(INDEX(Daily!$Z$3:$Z$252,MATCH($B60,Daily!$A$3:$A$252,0)),"")),IFERROR(INDEX(Daily!$Z$3:$Z$252,MATCH($B60,Daily!$A$3:$A$252,0)),""),""))</f>
        <v/>
      </c>
      <c r="I60">
        <f>IF($B60="","",IF(ISNUMBER(IFERROR(INDEX(Daily!$AK$3:$AK$252,MATCH($B60,Daily!$A$3:$A$252,0)),"")),IFERROR(INDEX(Daily!$AK$3:$AK$252,MATCH($B60,Daily!$A$3:$A$252,0)),""),""))</f>
        <v/>
      </c>
      <c r="J60">
        <f>IF($B60="","",IF(AND(ISNUMBER(MDS),ISNUMBER(MDE)),IF(AND($B60&gt;=MDS,$B60&lt;=MDE),24,""),""))</f>
        <v/>
      </c>
      <c r="K60">
        <f>IF($B60="","",IF(AND(ISNUMBER(PitanS),ISNUMBER(PitanE)),IF(AND($B60&gt;=PitanS,$B60&lt;=PitanE),26,""),""))</f>
        <v/>
      </c>
      <c r="L60">
        <f>IF($B60="","",IF(AND(ISNUMBER(C1S),ISNUMBER(C3E)),IF(AND($B60&gt;=C1S,$B60&lt;=C3E),22,""),""))</f>
        <v/>
      </c>
    </row>
    <row r="61">
      <c r="A61" t="n">
        <v>60</v>
      </c>
      <c r="B61" s="30">
        <f>IFERROR(SMALL(Daily!$A$3:$A$252,A61),"")</f>
        <v/>
      </c>
      <c r="C61">
        <f>IF($B61="","",IF(ISNUMBER(IFERROR(INDEX(Daily!$T$3:$T$252,MATCH($B61,Daily!$A$3:$A$252,0)),"")),IFERROR(INDEX(Daily!$T$3:$T$252,MATCH($B61,Daily!$A$3:$A$252,0)),""),""))</f>
        <v/>
      </c>
      <c r="D61">
        <f>IF($B61="","",IF(ISNUMBER(IFERROR(INDEX(Daily!$AE$3:$AE$252,MATCH($B61,Daily!$A$3:$A$252,0)),"")),IFERROR(INDEX(Daily!$AE$3:$AE$252,MATCH($B61,Daily!$A$3:$A$252,0)),""),""))</f>
        <v/>
      </c>
      <c r="E61">
        <f>IF($B61="","",IF(ISNUMBER(IFERROR(INDEX(Daily!$B$3:$B$252,MATCH($B61,Daily!$A$3:$A$252,0)),"")),IFERROR(INDEX(Daily!$B$3:$B$252,MATCH($B61,Daily!$A$3:$A$252,0)),""),0))</f>
        <v/>
      </c>
      <c r="F61">
        <f>IF($B61="","",IF(ISNUMBER(IFERROR(INDEX(Daily!$Y$3:$Y$252,MATCH($B61,Daily!$A$3:$A$252,0)),"")),IFERROR(INDEX(Daily!$Y$3:$Y$252,MATCH($B61,Daily!$A$3:$A$252,0)),""),""))</f>
        <v/>
      </c>
      <c r="G61">
        <f>IF($B61="","",IF(ISNUMBER(IFERROR(INDEX(Daily!$AJ$3:$AJ$252,MATCH($B61,Daily!$A$3:$A$252,0)),"")),IFERROR(INDEX(Daily!$AJ$3:$AJ$252,MATCH($B61,Daily!$A$3:$A$252,0)),""),""))</f>
        <v/>
      </c>
      <c r="H61">
        <f>IF($B61="","",IF(ISNUMBER(IFERROR(INDEX(Daily!$Z$3:$Z$252,MATCH($B61,Daily!$A$3:$A$252,0)),"")),IFERROR(INDEX(Daily!$Z$3:$Z$252,MATCH($B61,Daily!$A$3:$A$252,0)),""),""))</f>
        <v/>
      </c>
      <c r="I61">
        <f>IF($B61="","",IF(ISNUMBER(IFERROR(INDEX(Daily!$AK$3:$AK$252,MATCH($B61,Daily!$A$3:$A$252,0)),"")),IFERROR(INDEX(Daily!$AK$3:$AK$252,MATCH($B61,Daily!$A$3:$A$252,0)),""),""))</f>
        <v/>
      </c>
      <c r="J61">
        <f>IF($B61="","",IF(AND(ISNUMBER(MDS),ISNUMBER(MDE)),IF(AND($B61&gt;=MDS,$B61&lt;=MDE),24,""),""))</f>
        <v/>
      </c>
      <c r="K61">
        <f>IF($B61="","",IF(AND(ISNUMBER(PitanS),ISNUMBER(PitanE)),IF(AND($B61&gt;=PitanS,$B61&lt;=PitanE),26,""),""))</f>
        <v/>
      </c>
      <c r="L61">
        <f>IF($B61="","",IF(AND(ISNUMBER(C1S),ISNUMBER(C3E)),IF(AND($B61&gt;=C1S,$B61&lt;=C3E),22,""),""))</f>
        <v/>
      </c>
    </row>
    <row r="62">
      <c r="A62" t="n">
        <v>61</v>
      </c>
      <c r="B62" s="30">
        <f>IFERROR(SMALL(Daily!$A$3:$A$252,A62),"")</f>
        <v/>
      </c>
      <c r="C62">
        <f>IF($B62="","",IF(ISNUMBER(IFERROR(INDEX(Daily!$T$3:$T$252,MATCH($B62,Daily!$A$3:$A$252,0)),"")),IFERROR(INDEX(Daily!$T$3:$T$252,MATCH($B62,Daily!$A$3:$A$252,0)),""),""))</f>
        <v/>
      </c>
      <c r="D62">
        <f>IF($B62="","",IF(ISNUMBER(IFERROR(INDEX(Daily!$AE$3:$AE$252,MATCH($B62,Daily!$A$3:$A$252,0)),"")),IFERROR(INDEX(Daily!$AE$3:$AE$252,MATCH($B62,Daily!$A$3:$A$252,0)),""),""))</f>
        <v/>
      </c>
      <c r="E62">
        <f>IF($B62="","",IF(ISNUMBER(IFERROR(INDEX(Daily!$B$3:$B$252,MATCH($B62,Daily!$A$3:$A$252,0)),"")),IFERROR(INDEX(Daily!$B$3:$B$252,MATCH($B62,Daily!$A$3:$A$252,0)),""),0))</f>
        <v/>
      </c>
      <c r="F62">
        <f>IF($B62="","",IF(ISNUMBER(IFERROR(INDEX(Daily!$Y$3:$Y$252,MATCH($B62,Daily!$A$3:$A$252,0)),"")),IFERROR(INDEX(Daily!$Y$3:$Y$252,MATCH($B62,Daily!$A$3:$A$252,0)),""),""))</f>
        <v/>
      </c>
      <c r="G62">
        <f>IF($B62="","",IF(ISNUMBER(IFERROR(INDEX(Daily!$AJ$3:$AJ$252,MATCH($B62,Daily!$A$3:$A$252,0)),"")),IFERROR(INDEX(Daily!$AJ$3:$AJ$252,MATCH($B62,Daily!$A$3:$A$252,0)),""),""))</f>
        <v/>
      </c>
      <c r="H62">
        <f>IF($B62="","",IF(ISNUMBER(IFERROR(INDEX(Daily!$Z$3:$Z$252,MATCH($B62,Daily!$A$3:$A$252,0)),"")),IFERROR(INDEX(Daily!$Z$3:$Z$252,MATCH($B62,Daily!$A$3:$A$252,0)),""),""))</f>
        <v/>
      </c>
      <c r="I62">
        <f>IF($B62="","",IF(ISNUMBER(IFERROR(INDEX(Daily!$AK$3:$AK$252,MATCH($B62,Daily!$A$3:$A$252,0)),"")),IFERROR(INDEX(Daily!$AK$3:$AK$252,MATCH($B62,Daily!$A$3:$A$252,0)),""),""))</f>
        <v/>
      </c>
      <c r="J62">
        <f>IF($B62="","",IF(AND(ISNUMBER(MDS),ISNUMBER(MDE)),IF(AND($B62&gt;=MDS,$B62&lt;=MDE),24,""),""))</f>
        <v/>
      </c>
      <c r="K62">
        <f>IF($B62="","",IF(AND(ISNUMBER(PitanS),ISNUMBER(PitanE)),IF(AND($B62&gt;=PitanS,$B62&lt;=PitanE),26,""),""))</f>
        <v/>
      </c>
      <c r="L62">
        <f>IF($B62="","",IF(AND(ISNUMBER(C1S),ISNUMBER(C3E)),IF(AND($B62&gt;=C1S,$B62&lt;=C3E),22,""),""))</f>
        <v/>
      </c>
    </row>
    <row r="63">
      <c r="A63" t="n">
        <v>62</v>
      </c>
      <c r="B63" s="30">
        <f>IFERROR(SMALL(Daily!$A$3:$A$252,A63),"")</f>
        <v/>
      </c>
      <c r="C63">
        <f>IF($B63="","",IF(ISNUMBER(IFERROR(INDEX(Daily!$T$3:$T$252,MATCH($B63,Daily!$A$3:$A$252,0)),"")),IFERROR(INDEX(Daily!$T$3:$T$252,MATCH($B63,Daily!$A$3:$A$252,0)),""),""))</f>
        <v/>
      </c>
      <c r="D63">
        <f>IF($B63="","",IF(ISNUMBER(IFERROR(INDEX(Daily!$AE$3:$AE$252,MATCH($B63,Daily!$A$3:$A$252,0)),"")),IFERROR(INDEX(Daily!$AE$3:$AE$252,MATCH($B63,Daily!$A$3:$A$252,0)),""),""))</f>
        <v/>
      </c>
      <c r="E63">
        <f>IF($B63="","",IF(ISNUMBER(IFERROR(INDEX(Daily!$B$3:$B$252,MATCH($B63,Daily!$A$3:$A$252,0)),"")),IFERROR(INDEX(Daily!$B$3:$B$252,MATCH($B63,Daily!$A$3:$A$252,0)),""),0))</f>
        <v/>
      </c>
      <c r="F63">
        <f>IF($B63="","",IF(ISNUMBER(IFERROR(INDEX(Daily!$Y$3:$Y$252,MATCH($B63,Daily!$A$3:$A$252,0)),"")),IFERROR(INDEX(Daily!$Y$3:$Y$252,MATCH($B63,Daily!$A$3:$A$252,0)),""),""))</f>
        <v/>
      </c>
      <c r="G63">
        <f>IF($B63="","",IF(ISNUMBER(IFERROR(INDEX(Daily!$AJ$3:$AJ$252,MATCH($B63,Daily!$A$3:$A$252,0)),"")),IFERROR(INDEX(Daily!$AJ$3:$AJ$252,MATCH($B63,Daily!$A$3:$A$252,0)),""),""))</f>
        <v/>
      </c>
      <c r="H63">
        <f>IF($B63="","",IF(ISNUMBER(IFERROR(INDEX(Daily!$Z$3:$Z$252,MATCH($B63,Daily!$A$3:$A$252,0)),"")),IFERROR(INDEX(Daily!$Z$3:$Z$252,MATCH($B63,Daily!$A$3:$A$252,0)),""),""))</f>
        <v/>
      </c>
      <c r="I63">
        <f>IF($B63="","",IF(ISNUMBER(IFERROR(INDEX(Daily!$AK$3:$AK$252,MATCH($B63,Daily!$A$3:$A$252,0)),"")),IFERROR(INDEX(Daily!$AK$3:$AK$252,MATCH($B63,Daily!$A$3:$A$252,0)),""),""))</f>
        <v/>
      </c>
      <c r="J63">
        <f>IF($B63="","",IF(AND(ISNUMBER(MDS),ISNUMBER(MDE)),IF(AND($B63&gt;=MDS,$B63&lt;=MDE),24,""),""))</f>
        <v/>
      </c>
      <c r="K63">
        <f>IF($B63="","",IF(AND(ISNUMBER(PitanS),ISNUMBER(PitanE)),IF(AND($B63&gt;=PitanS,$B63&lt;=PitanE),26,""),""))</f>
        <v/>
      </c>
      <c r="L63">
        <f>IF($B63="","",IF(AND(ISNUMBER(C1S),ISNUMBER(C3E)),IF(AND($B63&gt;=C1S,$B63&lt;=C3E),22,""),""))</f>
        <v/>
      </c>
    </row>
    <row r="64">
      <c r="A64" t="n">
        <v>63</v>
      </c>
      <c r="B64" s="30">
        <f>IFERROR(SMALL(Daily!$A$3:$A$252,A64),"")</f>
        <v/>
      </c>
      <c r="C64">
        <f>IF($B64="","",IF(ISNUMBER(IFERROR(INDEX(Daily!$T$3:$T$252,MATCH($B64,Daily!$A$3:$A$252,0)),"")),IFERROR(INDEX(Daily!$T$3:$T$252,MATCH($B64,Daily!$A$3:$A$252,0)),""),""))</f>
        <v/>
      </c>
      <c r="D64">
        <f>IF($B64="","",IF(ISNUMBER(IFERROR(INDEX(Daily!$AE$3:$AE$252,MATCH($B64,Daily!$A$3:$A$252,0)),"")),IFERROR(INDEX(Daily!$AE$3:$AE$252,MATCH($B64,Daily!$A$3:$A$252,0)),""),""))</f>
        <v/>
      </c>
      <c r="E64">
        <f>IF($B64="","",IF(ISNUMBER(IFERROR(INDEX(Daily!$B$3:$B$252,MATCH($B64,Daily!$A$3:$A$252,0)),"")),IFERROR(INDEX(Daily!$B$3:$B$252,MATCH($B64,Daily!$A$3:$A$252,0)),""),0))</f>
        <v/>
      </c>
      <c r="F64">
        <f>IF($B64="","",IF(ISNUMBER(IFERROR(INDEX(Daily!$Y$3:$Y$252,MATCH($B64,Daily!$A$3:$A$252,0)),"")),IFERROR(INDEX(Daily!$Y$3:$Y$252,MATCH($B64,Daily!$A$3:$A$252,0)),""),""))</f>
        <v/>
      </c>
      <c r="G64">
        <f>IF($B64="","",IF(ISNUMBER(IFERROR(INDEX(Daily!$AJ$3:$AJ$252,MATCH($B64,Daily!$A$3:$A$252,0)),"")),IFERROR(INDEX(Daily!$AJ$3:$AJ$252,MATCH($B64,Daily!$A$3:$A$252,0)),""),""))</f>
        <v/>
      </c>
      <c r="H64">
        <f>IF($B64="","",IF(ISNUMBER(IFERROR(INDEX(Daily!$Z$3:$Z$252,MATCH($B64,Daily!$A$3:$A$252,0)),"")),IFERROR(INDEX(Daily!$Z$3:$Z$252,MATCH($B64,Daily!$A$3:$A$252,0)),""),""))</f>
        <v/>
      </c>
      <c r="I64">
        <f>IF($B64="","",IF(ISNUMBER(IFERROR(INDEX(Daily!$AK$3:$AK$252,MATCH($B64,Daily!$A$3:$A$252,0)),"")),IFERROR(INDEX(Daily!$AK$3:$AK$252,MATCH($B64,Daily!$A$3:$A$252,0)),""),""))</f>
        <v/>
      </c>
      <c r="J64">
        <f>IF($B64="","",IF(AND(ISNUMBER(MDS),ISNUMBER(MDE)),IF(AND($B64&gt;=MDS,$B64&lt;=MDE),24,""),""))</f>
        <v/>
      </c>
      <c r="K64">
        <f>IF($B64="","",IF(AND(ISNUMBER(PitanS),ISNUMBER(PitanE)),IF(AND($B64&gt;=PitanS,$B64&lt;=PitanE),26,""),""))</f>
        <v/>
      </c>
      <c r="L64">
        <f>IF($B64="","",IF(AND(ISNUMBER(C1S),ISNUMBER(C3E)),IF(AND($B64&gt;=C1S,$B64&lt;=C3E),22,""),""))</f>
        <v/>
      </c>
    </row>
    <row r="65">
      <c r="A65" t="n">
        <v>64</v>
      </c>
      <c r="B65" s="30">
        <f>IFERROR(SMALL(Daily!$A$3:$A$252,A65),"")</f>
        <v/>
      </c>
      <c r="C65">
        <f>IF($B65="","",IF(ISNUMBER(IFERROR(INDEX(Daily!$T$3:$T$252,MATCH($B65,Daily!$A$3:$A$252,0)),"")),IFERROR(INDEX(Daily!$T$3:$T$252,MATCH($B65,Daily!$A$3:$A$252,0)),""),""))</f>
        <v/>
      </c>
      <c r="D65">
        <f>IF($B65="","",IF(ISNUMBER(IFERROR(INDEX(Daily!$AE$3:$AE$252,MATCH($B65,Daily!$A$3:$A$252,0)),"")),IFERROR(INDEX(Daily!$AE$3:$AE$252,MATCH($B65,Daily!$A$3:$A$252,0)),""),""))</f>
        <v/>
      </c>
      <c r="E65">
        <f>IF($B65="","",IF(ISNUMBER(IFERROR(INDEX(Daily!$B$3:$B$252,MATCH($B65,Daily!$A$3:$A$252,0)),"")),IFERROR(INDEX(Daily!$B$3:$B$252,MATCH($B65,Daily!$A$3:$A$252,0)),""),0))</f>
        <v/>
      </c>
      <c r="F65">
        <f>IF($B65="","",IF(ISNUMBER(IFERROR(INDEX(Daily!$Y$3:$Y$252,MATCH($B65,Daily!$A$3:$A$252,0)),"")),IFERROR(INDEX(Daily!$Y$3:$Y$252,MATCH($B65,Daily!$A$3:$A$252,0)),""),""))</f>
        <v/>
      </c>
      <c r="G65">
        <f>IF($B65="","",IF(ISNUMBER(IFERROR(INDEX(Daily!$AJ$3:$AJ$252,MATCH($B65,Daily!$A$3:$A$252,0)),"")),IFERROR(INDEX(Daily!$AJ$3:$AJ$252,MATCH($B65,Daily!$A$3:$A$252,0)),""),""))</f>
        <v/>
      </c>
      <c r="H65">
        <f>IF($B65="","",IF(ISNUMBER(IFERROR(INDEX(Daily!$Z$3:$Z$252,MATCH($B65,Daily!$A$3:$A$252,0)),"")),IFERROR(INDEX(Daily!$Z$3:$Z$252,MATCH($B65,Daily!$A$3:$A$252,0)),""),""))</f>
        <v/>
      </c>
      <c r="I65">
        <f>IF($B65="","",IF(ISNUMBER(IFERROR(INDEX(Daily!$AK$3:$AK$252,MATCH($B65,Daily!$A$3:$A$252,0)),"")),IFERROR(INDEX(Daily!$AK$3:$AK$252,MATCH($B65,Daily!$A$3:$A$252,0)),""),""))</f>
        <v/>
      </c>
      <c r="J65">
        <f>IF($B65="","",IF(AND(ISNUMBER(MDS),ISNUMBER(MDE)),IF(AND($B65&gt;=MDS,$B65&lt;=MDE),24,""),""))</f>
        <v/>
      </c>
      <c r="K65">
        <f>IF($B65="","",IF(AND(ISNUMBER(PitanS),ISNUMBER(PitanE)),IF(AND($B65&gt;=PitanS,$B65&lt;=PitanE),26,""),""))</f>
        <v/>
      </c>
      <c r="L65">
        <f>IF($B65="","",IF(AND(ISNUMBER(C1S),ISNUMBER(C3E)),IF(AND($B65&gt;=C1S,$B65&lt;=C3E),22,""),""))</f>
        <v/>
      </c>
    </row>
    <row r="66">
      <c r="A66" t="n">
        <v>65</v>
      </c>
      <c r="B66" s="30">
        <f>IFERROR(SMALL(Daily!$A$3:$A$252,A66),"")</f>
        <v/>
      </c>
      <c r="C66">
        <f>IF($B66="","",IF(ISNUMBER(IFERROR(INDEX(Daily!$T$3:$T$252,MATCH($B66,Daily!$A$3:$A$252,0)),"")),IFERROR(INDEX(Daily!$T$3:$T$252,MATCH($B66,Daily!$A$3:$A$252,0)),""),""))</f>
        <v/>
      </c>
      <c r="D66">
        <f>IF($B66="","",IF(ISNUMBER(IFERROR(INDEX(Daily!$AE$3:$AE$252,MATCH($B66,Daily!$A$3:$A$252,0)),"")),IFERROR(INDEX(Daily!$AE$3:$AE$252,MATCH($B66,Daily!$A$3:$A$252,0)),""),""))</f>
        <v/>
      </c>
      <c r="E66">
        <f>IF($B66="","",IF(ISNUMBER(IFERROR(INDEX(Daily!$B$3:$B$252,MATCH($B66,Daily!$A$3:$A$252,0)),"")),IFERROR(INDEX(Daily!$B$3:$B$252,MATCH($B66,Daily!$A$3:$A$252,0)),""),0))</f>
        <v/>
      </c>
      <c r="F66">
        <f>IF($B66="","",IF(ISNUMBER(IFERROR(INDEX(Daily!$Y$3:$Y$252,MATCH($B66,Daily!$A$3:$A$252,0)),"")),IFERROR(INDEX(Daily!$Y$3:$Y$252,MATCH($B66,Daily!$A$3:$A$252,0)),""),""))</f>
        <v/>
      </c>
      <c r="G66">
        <f>IF($B66="","",IF(ISNUMBER(IFERROR(INDEX(Daily!$AJ$3:$AJ$252,MATCH($B66,Daily!$A$3:$A$252,0)),"")),IFERROR(INDEX(Daily!$AJ$3:$AJ$252,MATCH($B66,Daily!$A$3:$A$252,0)),""),""))</f>
        <v/>
      </c>
      <c r="H66">
        <f>IF($B66="","",IF(ISNUMBER(IFERROR(INDEX(Daily!$Z$3:$Z$252,MATCH($B66,Daily!$A$3:$A$252,0)),"")),IFERROR(INDEX(Daily!$Z$3:$Z$252,MATCH($B66,Daily!$A$3:$A$252,0)),""),""))</f>
        <v/>
      </c>
      <c r="I66">
        <f>IF($B66="","",IF(ISNUMBER(IFERROR(INDEX(Daily!$AK$3:$AK$252,MATCH($B66,Daily!$A$3:$A$252,0)),"")),IFERROR(INDEX(Daily!$AK$3:$AK$252,MATCH($B66,Daily!$A$3:$A$252,0)),""),""))</f>
        <v/>
      </c>
      <c r="J66">
        <f>IF($B66="","",IF(AND(ISNUMBER(MDS),ISNUMBER(MDE)),IF(AND($B66&gt;=MDS,$B66&lt;=MDE),24,""),""))</f>
        <v/>
      </c>
      <c r="K66">
        <f>IF($B66="","",IF(AND(ISNUMBER(PitanS),ISNUMBER(PitanE)),IF(AND($B66&gt;=PitanS,$B66&lt;=PitanE),26,""),""))</f>
        <v/>
      </c>
      <c r="L66">
        <f>IF($B66="","",IF(AND(ISNUMBER(C1S),ISNUMBER(C3E)),IF(AND($B66&gt;=C1S,$B66&lt;=C3E),22,""),""))</f>
        <v/>
      </c>
    </row>
    <row r="67">
      <c r="A67" t="n">
        <v>66</v>
      </c>
      <c r="B67" s="30">
        <f>IFERROR(SMALL(Daily!$A$3:$A$252,A67),"")</f>
        <v/>
      </c>
      <c r="C67">
        <f>IF($B67="","",IF(ISNUMBER(IFERROR(INDEX(Daily!$T$3:$T$252,MATCH($B67,Daily!$A$3:$A$252,0)),"")),IFERROR(INDEX(Daily!$T$3:$T$252,MATCH($B67,Daily!$A$3:$A$252,0)),""),""))</f>
        <v/>
      </c>
      <c r="D67">
        <f>IF($B67="","",IF(ISNUMBER(IFERROR(INDEX(Daily!$AE$3:$AE$252,MATCH($B67,Daily!$A$3:$A$252,0)),"")),IFERROR(INDEX(Daily!$AE$3:$AE$252,MATCH($B67,Daily!$A$3:$A$252,0)),""),""))</f>
        <v/>
      </c>
      <c r="E67">
        <f>IF($B67="","",IF(ISNUMBER(IFERROR(INDEX(Daily!$B$3:$B$252,MATCH($B67,Daily!$A$3:$A$252,0)),"")),IFERROR(INDEX(Daily!$B$3:$B$252,MATCH($B67,Daily!$A$3:$A$252,0)),""),0))</f>
        <v/>
      </c>
      <c r="F67">
        <f>IF($B67="","",IF(ISNUMBER(IFERROR(INDEX(Daily!$Y$3:$Y$252,MATCH($B67,Daily!$A$3:$A$252,0)),"")),IFERROR(INDEX(Daily!$Y$3:$Y$252,MATCH($B67,Daily!$A$3:$A$252,0)),""),""))</f>
        <v/>
      </c>
      <c r="G67">
        <f>IF($B67="","",IF(ISNUMBER(IFERROR(INDEX(Daily!$AJ$3:$AJ$252,MATCH($B67,Daily!$A$3:$A$252,0)),"")),IFERROR(INDEX(Daily!$AJ$3:$AJ$252,MATCH($B67,Daily!$A$3:$A$252,0)),""),""))</f>
        <v/>
      </c>
      <c r="H67">
        <f>IF($B67="","",IF(ISNUMBER(IFERROR(INDEX(Daily!$Z$3:$Z$252,MATCH($B67,Daily!$A$3:$A$252,0)),"")),IFERROR(INDEX(Daily!$Z$3:$Z$252,MATCH($B67,Daily!$A$3:$A$252,0)),""),""))</f>
        <v/>
      </c>
      <c r="I67">
        <f>IF($B67="","",IF(ISNUMBER(IFERROR(INDEX(Daily!$AK$3:$AK$252,MATCH($B67,Daily!$A$3:$A$252,0)),"")),IFERROR(INDEX(Daily!$AK$3:$AK$252,MATCH($B67,Daily!$A$3:$A$252,0)),""),""))</f>
        <v/>
      </c>
      <c r="J67">
        <f>IF($B67="","",IF(AND(ISNUMBER(MDS),ISNUMBER(MDE)),IF(AND($B67&gt;=MDS,$B67&lt;=MDE),24,""),""))</f>
        <v/>
      </c>
      <c r="K67">
        <f>IF($B67="","",IF(AND(ISNUMBER(PitanS),ISNUMBER(PitanE)),IF(AND($B67&gt;=PitanS,$B67&lt;=PitanE),26,""),""))</f>
        <v/>
      </c>
      <c r="L67">
        <f>IF($B67="","",IF(AND(ISNUMBER(C1S),ISNUMBER(C3E)),IF(AND($B67&gt;=C1S,$B67&lt;=C3E),22,""),""))</f>
        <v/>
      </c>
    </row>
    <row r="68">
      <c r="A68" t="n">
        <v>67</v>
      </c>
      <c r="B68" s="30">
        <f>IFERROR(SMALL(Daily!$A$3:$A$252,A68),"")</f>
        <v/>
      </c>
      <c r="C68">
        <f>IF($B68="","",IF(ISNUMBER(IFERROR(INDEX(Daily!$T$3:$T$252,MATCH($B68,Daily!$A$3:$A$252,0)),"")),IFERROR(INDEX(Daily!$T$3:$T$252,MATCH($B68,Daily!$A$3:$A$252,0)),""),""))</f>
        <v/>
      </c>
      <c r="D68">
        <f>IF($B68="","",IF(ISNUMBER(IFERROR(INDEX(Daily!$AE$3:$AE$252,MATCH($B68,Daily!$A$3:$A$252,0)),"")),IFERROR(INDEX(Daily!$AE$3:$AE$252,MATCH($B68,Daily!$A$3:$A$252,0)),""),""))</f>
        <v/>
      </c>
      <c r="E68">
        <f>IF($B68="","",IF(ISNUMBER(IFERROR(INDEX(Daily!$B$3:$B$252,MATCH($B68,Daily!$A$3:$A$252,0)),"")),IFERROR(INDEX(Daily!$B$3:$B$252,MATCH($B68,Daily!$A$3:$A$252,0)),""),0))</f>
        <v/>
      </c>
      <c r="F68">
        <f>IF($B68="","",IF(ISNUMBER(IFERROR(INDEX(Daily!$Y$3:$Y$252,MATCH($B68,Daily!$A$3:$A$252,0)),"")),IFERROR(INDEX(Daily!$Y$3:$Y$252,MATCH($B68,Daily!$A$3:$A$252,0)),""),""))</f>
        <v/>
      </c>
      <c r="G68">
        <f>IF($B68="","",IF(ISNUMBER(IFERROR(INDEX(Daily!$AJ$3:$AJ$252,MATCH($B68,Daily!$A$3:$A$252,0)),"")),IFERROR(INDEX(Daily!$AJ$3:$AJ$252,MATCH($B68,Daily!$A$3:$A$252,0)),""),""))</f>
        <v/>
      </c>
      <c r="H68">
        <f>IF($B68="","",IF(ISNUMBER(IFERROR(INDEX(Daily!$Z$3:$Z$252,MATCH($B68,Daily!$A$3:$A$252,0)),"")),IFERROR(INDEX(Daily!$Z$3:$Z$252,MATCH($B68,Daily!$A$3:$A$252,0)),""),""))</f>
        <v/>
      </c>
      <c r="I68">
        <f>IF($B68="","",IF(ISNUMBER(IFERROR(INDEX(Daily!$AK$3:$AK$252,MATCH($B68,Daily!$A$3:$A$252,0)),"")),IFERROR(INDEX(Daily!$AK$3:$AK$252,MATCH($B68,Daily!$A$3:$A$252,0)),""),""))</f>
        <v/>
      </c>
      <c r="J68">
        <f>IF($B68="","",IF(AND(ISNUMBER(MDS),ISNUMBER(MDE)),IF(AND($B68&gt;=MDS,$B68&lt;=MDE),24,""),""))</f>
        <v/>
      </c>
      <c r="K68">
        <f>IF($B68="","",IF(AND(ISNUMBER(PitanS),ISNUMBER(PitanE)),IF(AND($B68&gt;=PitanS,$B68&lt;=PitanE),26,""),""))</f>
        <v/>
      </c>
      <c r="L68">
        <f>IF($B68="","",IF(AND(ISNUMBER(C1S),ISNUMBER(C3E)),IF(AND($B68&gt;=C1S,$B68&lt;=C3E),22,""),""))</f>
        <v/>
      </c>
    </row>
    <row r="69">
      <c r="A69" t="n">
        <v>68</v>
      </c>
      <c r="B69" s="30">
        <f>IFERROR(SMALL(Daily!$A$3:$A$252,A69),"")</f>
        <v/>
      </c>
      <c r="C69">
        <f>IF($B69="","",IF(ISNUMBER(IFERROR(INDEX(Daily!$T$3:$T$252,MATCH($B69,Daily!$A$3:$A$252,0)),"")),IFERROR(INDEX(Daily!$T$3:$T$252,MATCH($B69,Daily!$A$3:$A$252,0)),""),""))</f>
        <v/>
      </c>
      <c r="D69">
        <f>IF($B69="","",IF(ISNUMBER(IFERROR(INDEX(Daily!$AE$3:$AE$252,MATCH($B69,Daily!$A$3:$A$252,0)),"")),IFERROR(INDEX(Daily!$AE$3:$AE$252,MATCH($B69,Daily!$A$3:$A$252,0)),""),""))</f>
        <v/>
      </c>
      <c r="E69">
        <f>IF($B69="","",IF(ISNUMBER(IFERROR(INDEX(Daily!$B$3:$B$252,MATCH($B69,Daily!$A$3:$A$252,0)),"")),IFERROR(INDEX(Daily!$B$3:$B$252,MATCH($B69,Daily!$A$3:$A$252,0)),""),0))</f>
        <v/>
      </c>
      <c r="F69">
        <f>IF($B69="","",IF(ISNUMBER(IFERROR(INDEX(Daily!$Y$3:$Y$252,MATCH($B69,Daily!$A$3:$A$252,0)),"")),IFERROR(INDEX(Daily!$Y$3:$Y$252,MATCH($B69,Daily!$A$3:$A$252,0)),""),""))</f>
        <v/>
      </c>
      <c r="G69">
        <f>IF($B69="","",IF(ISNUMBER(IFERROR(INDEX(Daily!$AJ$3:$AJ$252,MATCH($B69,Daily!$A$3:$A$252,0)),"")),IFERROR(INDEX(Daily!$AJ$3:$AJ$252,MATCH($B69,Daily!$A$3:$A$252,0)),""),""))</f>
        <v/>
      </c>
      <c r="H69">
        <f>IF($B69="","",IF(ISNUMBER(IFERROR(INDEX(Daily!$Z$3:$Z$252,MATCH($B69,Daily!$A$3:$A$252,0)),"")),IFERROR(INDEX(Daily!$Z$3:$Z$252,MATCH($B69,Daily!$A$3:$A$252,0)),""),""))</f>
        <v/>
      </c>
      <c r="I69">
        <f>IF($B69="","",IF(ISNUMBER(IFERROR(INDEX(Daily!$AK$3:$AK$252,MATCH($B69,Daily!$A$3:$A$252,0)),"")),IFERROR(INDEX(Daily!$AK$3:$AK$252,MATCH($B69,Daily!$A$3:$A$252,0)),""),""))</f>
        <v/>
      </c>
      <c r="J69">
        <f>IF($B69="","",IF(AND(ISNUMBER(MDS),ISNUMBER(MDE)),IF(AND($B69&gt;=MDS,$B69&lt;=MDE),24,""),""))</f>
        <v/>
      </c>
      <c r="K69">
        <f>IF($B69="","",IF(AND(ISNUMBER(PitanS),ISNUMBER(PitanE)),IF(AND($B69&gt;=PitanS,$B69&lt;=PitanE),26,""),""))</f>
        <v/>
      </c>
      <c r="L69">
        <f>IF($B69="","",IF(AND(ISNUMBER(C1S),ISNUMBER(C3E)),IF(AND($B69&gt;=C1S,$B69&lt;=C3E),22,""),""))</f>
        <v/>
      </c>
    </row>
    <row r="70">
      <c r="A70" t="n">
        <v>69</v>
      </c>
      <c r="B70" s="30">
        <f>IFERROR(SMALL(Daily!$A$3:$A$252,A70),"")</f>
        <v/>
      </c>
      <c r="C70">
        <f>IF($B70="","",IF(ISNUMBER(IFERROR(INDEX(Daily!$T$3:$T$252,MATCH($B70,Daily!$A$3:$A$252,0)),"")),IFERROR(INDEX(Daily!$T$3:$T$252,MATCH($B70,Daily!$A$3:$A$252,0)),""),""))</f>
        <v/>
      </c>
      <c r="D70">
        <f>IF($B70="","",IF(ISNUMBER(IFERROR(INDEX(Daily!$AE$3:$AE$252,MATCH($B70,Daily!$A$3:$A$252,0)),"")),IFERROR(INDEX(Daily!$AE$3:$AE$252,MATCH($B70,Daily!$A$3:$A$252,0)),""),""))</f>
        <v/>
      </c>
      <c r="E70">
        <f>IF($B70="","",IF(ISNUMBER(IFERROR(INDEX(Daily!$B$3:$B$252,MATCH($B70,Daily!$A$3:$A$252,0)),"")),IFERROR(INDEX(Daily!$B$3:$B$252,MATCH($B70,Daily!$A$3:$A$252,0)),""),0))</f>
        <v/>
      </c>
      <c r="F70">
        <f>IF($B70="","",IF(ISNUMBER(IFERROR(INDEX(Daily!$Y$3:$Y$252,MATCH($B70,Daily!$A$3:$A$252,0)),"")),IFERROR(INDEX(Daily!$Y$3:$Y$252,MATCH($B70,Daily!$A$3:$A$252,0)),""),""))</f>
        <v/>
      </c>
      <c r="G70">
        <f>IF($B70="","",IF(ISNUMBER(IFERROR(INDEX(Daily!$AJ$3:$AJ$252,MATCH($B70,Daily!$A$3:$A$252,0)),"")),IFERROR(INDEX(Daily!$AJ$3:$AJ$252,MATCH($B70,Daily!$A$3:$A$252,0)),""),""))</f>
        <v/>
      </c>
      <c r="H70">
        <f>IF($B70="","",IF(ISNUMBER(IFERROR(INDEX(Daily!$Z$3:$Z$252,MATCH($B70,Daily!$A$3:$A$252,0)),"")),IFERROR(INDEX(Daily!$Z$3:$Z$252,MATCH($B70,Daily!$A$3:$A$252,0)),""),""))</f>
        <v/>
      </c>
      <c r="I70">
        <f>IF($B70="","",IF(ISNUMBER(IFERROR(INDEX(Daily!$AK$3:$AK$252,MATCH($B70,Daily!$A$3:$A$252,0)),"")),IFERROR(INDEX(Daily!$AK$3:$AK$252,MATCH($B70,Daily!$A$3:$A$252,0)),""),""))</f>
        <v/>
      </c>
      <c r="J70">
        <f>IF($B70="","",IF(AND(ISNUMBER(MDS),ISNUMBER(MDE)),IF(AND($B70&gt;=MDS,$B70&lt;=MDE),24,""),""))</f>
        <v/>
      </c>
      <c r="K70">
        <f>IF($B70="","",IF(AND(ISNUMBER(PitanS),ISNUMBER(PitanE)),IF(AND($B70&gt;=PitanS,$B70&lt;=PitanE),26,""),""))</f>
        <v/>
      </c>
      <c r="L70">
        <f>IF($B70="","",IF(AND(ISNUMBER(C1S),ISNUMBER(C3E)),IF(AND($B70&gt;=C1S,$B70&lt;=C3E),22,""),""))</f>
        <v/>
      </c>
    </row>
    <row r="71">
      <c r="A71" t="n">
        <v>70</v>
      </c>
      <c r="B71" s="30">
        <f>IFERROR(SMALL(Daily!$A$3:$A$252,A71),"")</f>
        <v/>
      </c>
      <c r="C71">
        <f>IF($B71="","",IF(ISNUMBER(IFERROR(INDEX(Daily!$T$3:$T$252,MATCH($B71,Daily!$A$3:$A$252,0)),"")),IFERROR(INDEX(Daily!$T$3:$T$252,MATCH($B71,Daily!$A$3:$A$252,0)),""),""))</f>
        <v/>
      </c>
      <c r="D71">
        <f>IF($B71="","",IF(ISNUMBER(IFERROR(INDEX(Daily!$AE$3:$AE$252,MATCH($B71,Daily!$A$3:$A$252,0)),"")),IFERROR(INDEX(Daily!$AE$3:$AE$252,MATCH($B71,Daily!$A$3:$A$252,0)),""),""))</f>
        <v/>
      </c>
      <c r="E71">
        <f>IF($B71="","",IF(ISNUMBER(IFERROR(INDEX(Daily!$B$3:$B$252,MATCH($B71,Daily!$A$3:$A$252,0)),"")),IFERROR(INDEX(Daily!$B$3:$B$252,MATCH($B71,Daily!$A$3:$A$252,0)),""),0))</f>
        <v/>
      </c>
      <c r="F71">
        <f>IF($B71="","",IF(ISNUMBER(IFERROR(INDEX(Daily!$Y$3:$Y$252,MATCH($B71,Daily!$A$3:$A$252,0)),"")),IFERROR(INDEX(Daily!$Y$3:$Y$252,MATCH($B71,Daily!$A$3:$A$252,0)),""),""))</f>
        <v/>
      </c>
      <c r="G71">
        <f>IF($B71="","",IF(ISNUMBER(IFERROR(INDEX(Daily!$AJ$3:$AJ$252,MATCH($B71,Daily!$A$3:$A$252,0)),"")),IFERROR(INDEX(Daily!$AJ$3:$AJ$252,MATCH($B71,Daily!$A$3:$A$252,0)),""),""))</f>
        <v/>
      </c>
      <c r="H71">
        <f>IF($B71="","",IF(ISNUMBER(IFERROR(INDEX(Daily!$Z$3:$Z$252,MATCH($B71,Daily!$A$3:$A$252,0)),"")),IFERROR(INDEX(Daily!$Z$3:$Z$252,MATCH($B71,Daily!$A$3:$A$252,0)),""),""))</f>
        <v/>
      </c>
      <c r="I71">
        <f>IF($B71="","",IF(ISNUMBER(IFERROR(INDEX(Daily!$AK$3:$AK$252,MATCH($B71,Daily!$A$3:$A$252,0)),"")),IFERROR(INDEX(Daily!$AK$3:$AK$252,MATCH($B71,Daily!$A$3:$A$252,0)),""),""))</f>
        <v/>
      </c>
      <c r="J71">
        <f>IF($B71="","",IF(AND(ISNUMBER(MDS),ISNUMBER(MDE)),IF(AND($B71&gt;=MDS,$B71&lt;=MDE),24,""),""))</f>
        <v/>
      </c>
      <c r="K71">
        <f>IF($B71="","",IF(AND(ISNUMBER(PitanS),ISNUMBER(PitanE)),IF(AND($B71&gt;=PitanS,$B71&lt;=PitanE),26,""),""))</f>
        <v/>
      </c>
      <c r="L71">
        <f>IF($B71="","",IF(AND(ISNUMBER(C1S),ISNUMBER(C3E)),IF(AND($B71&gt;=C1S,$B71&lt;=C3E),22,""),""))</f>
        <v/>
      </c>
    </row>
    <row r="72">
      <c r="A72" t="n">
        <v>71</v>
      </c>
      <c r="B72" s="30">
        <f>IFERROR(SMALL(Daily!$A$3:$A$252,A72),"")</f>
        <v/>
      </c>
      <c r="C72">
        <f>IF($B72="","",IF(ISNUMBER(IFERROR(INDEX(Daily!$T$3:$T$252,MATCH($B72,Daily!$A$3:$A$252,0)),"")),IFERROR(INDEX(Daily!$T$3:$T$252,MATCH($B72,Daily!$A$3:$A$252,0)),""),""))</f>
        <v/>
      </c>
      <c r="D72">
        <f>IF($B72="","",IF(ISNUMBER(IFERROR(INDEX(Daily!$AE$3:$AE$252,MATCH($B72,Daily!$A$3:$A$252,0)),"")),IFERROR(INDEX(Daily!$AE$3:$AE$252,MATCH($B72,Daily!$A$3:$A$252,0)),""),""))</f>
        <v/>
      </c>
      <c r="E72">
        <f>IF($B72="","",IF(ISNUMBER(IFERROR(INDEX(Daily!$B$3:$B$252,MATCH($B72,Daily!$A$3:$A$252,0)),"")),IFERROR(INDEX(Daily!$B$3:$B$252,MATCH($B72,Daily!$A$3:$A$252,0)),""),0))</f>
        <v/>
      </c>
      <c r="F72">
        <f>IF($B72="","",IF(ISNUMBER(IFERROR(INDEX(Daily!$Y$3:$Y$252,MATCH($B72,Daily!$A$3:$A$252,0)),"")),IFERROR(INDEX(Daily!$Y$3:$Y$252,MATCH($B72,Daily!$A$3:$A$252,0)),""),""))</f>
        <v/>
      </c>
      <c r="G72">
        <f>IF($B72="","",IF(ISNUMBER(IFERROR(INDEX(Daily!$AJ$3:$AJ$252,MATCH($B72,Daily!$A$3:$A$252,0)),"")),IFERROR(INDEX(Daily!$AJ$3:$AJ$252,MATCH($B72,Daily!$A$3:$A$252,0)),""),""))</f>
        <v/>
      </c>
      <c r="H72">
        <f>IF($B72="","",IF(ISNUMBER(IFERROR(INDEX(Daily!$Z$3:$Z$252,MATCH($B72,Daily!$A$3:$A$252,0)),"")),IFERROR(INDEX(Daily!$Z$3:$Z$252,MATCH($B72,Daily!$A$3:$A$252,0)),""),""))</f>
        <v/>
      </c>
      <c r="I72">
        <f>IF($B72="","",IF(ISNUMBER(IFERROR(INDEX(Daily!$AK$3:$AK$252,MATCH($B72,Daily!$A$3:$A$252,0)),"")),IFERROR(INDEX(Daily!$AK$3:$AK$252,MATCH($B72,Daily!$A$3:$A$252,0)),""),""))</f>
        <v/>
      </c>
      <c r="J72">
        <f>IF($B72="","",IF(AND(ISNUMBER(MDS),ISNUMBER(MDE)),IF(AND($B72&gt;=MDS,$B72&lt;=MDE),24,""),""))</f>
        <v/>
      </c>
      <c r="K72">
        <f>IF($B72="","",IF(AND(ISNUMBER(PitanS),ISNUMBER(PitanE)),IF(AND($B72&gt;=PitanS,$B72&lt;=PitanE),26,""),""))</f>
        <v/>
      </c>
      <c r="L72">
        <f>IF($B72="","",IF(AND(ISNUMBER(C1S),ISNUMBER(C3E)),IF(AND($B72&gt;=C1S,$B72&lt;=C3E),22,""),""))</f>
        <v/>
      </c>
    </row>
    <row r="73">
      <c r="A73" t="n">
        <v>72</v>
      </c>
      <c r="B73" s="30">
        <f>IFERROR(SMALL(Daily!$A$3:$A$252,A73),"")</f>
        <v/>
      </c>
      <c r="C73">
        <f>IF($B73="","",IF(ISNUMBER(IFERROR(INDEX(Daily!$T$3:$T$252,MATCH($B73,Daily!$A$3:$A$252,0)),"")),IFERROR(INDEX(Daily!$T$3:$T$252,MATCH($B73,Daily!$A$3:$A$252,0)),""),""))</f>
        <v/>
      </c>
      <c r="D73">
        <f>IF($B73="","",IF(ISNUMBER(IFERROR(INDEX(Daily!$AE$3:$AE$252,MATCH($B73,Daily!$A$3:$A$252,0)),"")),IFERROR(INDEX(Daily!$AE$3:$AE$252,MATCH($B73,Daily!$A$3:$A$252,0)),""),""))</f>
        <v/>
      </c>
      <c r="E73">
        <f>IF($B73="","",IF(ISNUMBER(IFERROR(INDEX(Daily!$B$3:$B$252,MATCH($B73,Daily!$A$3:$A$252,0)),"")),IFERROR(INDEX(Daily!$B$3:$B$252,MATCH($B73,Daily!$A$3:$A$252,0)),""),0))</f>
        <v/>
      </c>
      <c r="F73">
        <f>IF($B73="","",IF(ISNUMBER(IFERROR(INDEX(Daily!$Y$3:$Y$252,MATCH($B73,Daily!$A$3:$A$252,0)),"")),IFERROR(INDEX(Daily!$Y$3:$Y$252,MATCH($B73,Daily!$A$3:$A$252,0)),""),""))</f>
        <v/>
      </c>
      <c r="G73">
        <f>IF($B73="","",IF(ISNUMBER(IFERROR(INDEX(Daily!$AJ$3:$AJ$252,MATCH($B73,Daily!$A$3:$A$252,0)),"")),IFERROR(INDEX(Daily!$AJ$3:$AJ$252,MATCH($B73,Daily!$A$3:$A$252,0)),""),""))</f>
        <v/>
      </c>
      <c r="H73">
        <f>IF($B73="","",IF(ISNUMBER(IFERROR(INDEX(Daily!$Z$3:$Z$252,MATCH($B73,Daily!$A$3:$A$252,0)),"")),IFERROR(INDEX(Daily!$Z$3:$Z$252,MATCH($B73,Daily!$A$3:$A$252,0)),""),""))</f>
        <v/>
      </c>
      <c r="I73">
        <f>IF($B73="","",IF(ISNUMBER(IFERROR(INDEX(Daily!$AK$3:$AK$252,MATCH($B73,Daily!$A$3:$A$252,0)),"")),IFERROR(INDEX(Daily!$AK$3:$AK$252,MATCH($B73,Daily!$A$3:$A$252,0)),""),""))</f>
        <v/>
      </c>
      <c r="J73">
        <f>IF($B73="","",IF(AND(ISNUMBER(MDS),ISNUMBER(MDE)),IF(AND($B73&gt;=MDS,$B73&lt;=MDE),24,""),""))</f>
        <v/>
      </c>
      <c r="K73">
        <f>IF($B73="","",IF(AND(ISNUMBER(PitanS),ISNUMBER(PitanE)),IF(AND($B73&gt;=PitanS,$B73&lt;=PitanE),26,""),""))</f>
        <v/>
      </c>
      <c r="L73">
        <f>IF($B73="","",IF(AND(ISNUMBER(C1S),ISNUMBER(C3E)),IF(AND($B73&gt;=C1S,$B73&lt;=C3E),22,""),""))</f>
        <v/>
      </c>
    </row>
    <row r="74">
      <c r="A74" t="n">
        <v>73</v>
      </c>
      <c r="B74" s="30">
        <f>IFERROR(SMALL(Daily!$A$3:$A$252,A74),"")</f>
        <v/>
      </c>
      <c r="C74">
        <f>IF($B74="","",IF(ISNUMBER(IFERROR(INDEX(Daily!$T$3:$T$252,MATCH($B74,Daily!$A$3:$A$252,0)),"")),IFERROR(INDEX(Daily!$T$3:$T$252,MATCH($B74,Daily!$A$3:$A$252,0)),""),""))</f>
        <v/>
      </c>
      <c r="D74">
        <f>IF($B74="","",IF(ISNUMBER(IFERROR(INDEX(Daily!$AE$3:$AE$252,MATCH($B74,Daily!$A$3:$A$252,0)),"")),IFERROR(INDEX(Daily!$AE$3:$AE$252,MATCH($B74,Daily!$A$3:$A$252,0)),""),""))</f>
        <v/>
      </c>
      <c r="E74">
        <f>IF($B74="","",IF(ISNUMBER(IFERROR(INDEX(Daily!$B$3:$B$252,MATCH($B74,Daily!$A$3:$A$252,0)),"")),IFERROR(INDEX(Daily!$B$3:$B$252,MATCH($B74,Daily!$A$3:$A$252,0)),""),0))</f>
        <v/>
      </c>
      <c r="F74">
        <f>IF($B74="","",IF(ISNUMBER(IFERROR(INDEX(Daily!$Y$3:$Y$252,MATCH($B74,Daily!$A$3:$A$252,0)),"")),IFERROR(INDEX(Daily!$Y$3:$Y$252,MATCH($B74,Daily!$A$3:$A$252,0)),""),""))</f>
        <v/>
      </c>
      <c r="G74">
        <f>IF($B74="","",IF(ISNUMBER(IFERROR(INDEX(Daily!$AJ$3:$AJ$252,MATCH($B74,Daily!$A$3:$A$252,0)),"")),IFERROR(INDEX(Daily!$AJ$3:$AJ$252,MATCH($B74,Daily!$A$3:$A$252,0)),""),""))</f>
        <v/>
      </c>
      <c r="H74">
        <f>IF($B74="","",IF(ISNUMBER(IFERROR(INDEX(Daily!$Z$3:$Z$252,MATCH($B74,Daily!$A$3:$A$252,0)),"")),IFERROR(INDEX(Daily!$Z$3:$Z$252,MATCH($B74,Daily!$A$3:$A$252,0)),""),""))</f>
        <v/>
      </c>
      <c r="I74">
        <f>IF($B74="","",IF(ISNUMBER(IFERROR(INDEX(Daily!$AK$3:$AK$252,MATCH($B74,Daily!$A$3:$A$252,0)),"")),IFERROR(INDEX(Daily!$AK$3:$AK$252,MATCH($B74,Daily!$A$3:$A$252,0)),""),""))</f>
        <v/>
      </c>
      <c r="J74">
        <f>IF($B74="","",IF(AND(ISNUMBER(MDS),ISNUMBER(MDE)),IF(AND($B74&gt;=MDS,$B74&lt;=MDE),24,""),""))</f>
        <v/>
      </c>
      <c r="K74">
        <f>IF($B74="","",IF(AND(ISNUMBER(PitanS),ISNUMBER(PitanE)),IF(AND($B74&gt;=PitanS,$B74&lt;=PitanE),26,""),""))</f>
        <v/>
      </c>
      <c r="L74">
        <f>IF($B74="","",IF(AND(ISNUMBER(C1S),ISNUMBER(C3E)),IF(AND($B74&gt;=C1S,$B74&lt;=C3E),22,""),""))</f>
        <v/>
      </c>
    </row>
    <row r="75">
      <c r="A75" t="n">
        <v>74</v>
      </c>
      <c r="B75" s="30">
        <f>IFERROR(SMALL(Daily!$A$3:$A$252,A75),"")</f>
        <v/>
      </c>
      <c r="C75">
        <f>IF($B75="","",IF(ISNUMBER(IFERROR(INDEX(Daily!$T$3:$T$252,MATCH($B75,Daily!$A$3:$A$252,0)),"")),IFERROR(INDEX(Daily!$T$3:$T$252,MATCH($B75,Daily!$A$3:$A$252,0)),""),""))</f>
        <v/>
      </c>
      <c r="D75">
        <f>IF($B75="","",IF(ISNUMBER(IFERROR(INDEX(Daily!$AE$3:$AE$252,MATCH($B75,Daily!$A$3:$A$252,0)),"")),IFERROR(INDEX(Daily!$AE$3:$AE$252,MATCH($B75,Daily!$A$3:$A$252,0)),""),""))</f>
        <v/>
      </c>
      <c r="E75">
        <f>IF($B75="","",IF(ISNUMBER(IFERROR(INDEX(Daily!$B$3:$B$252,MATCH($B75,Daily!$A$3:$A$252,0)),"")),IFERROR(INDEX(Daily!$B$3:$B$252,MATCH($B75,Daily!$A$3:$A$252,0)),""),0))</f>
        <v/>
      </c>
      <c r="F75">
        <f>IF($B75="","",IF(ISNUMBER(IFERROR(INDEX(Daily!$Y$3:$Y$252,MATCH($B75,Daily!$A$3:$A$252,0)),"")),IFERROR(INDEX(Daily!$Y$3:$Y$252,MATCH($B75,Daily!$A$3:$A$252,0)),""),""))</f>
        <v/>
      </c>
      <c r="G75">
        <f>IF($B75="","",IF(ISNUMBER(IFERROR(INDEX(Daily!$AJ$3:$AJ$252,MATCH($B75,Daily!$A$3:$A$252,0)),"")),IFERROR(INDEX(Daily!$AJ$3:$AJ$252,MATCH($B75,Daily!$A$3:$A$252,0)),""),""))</f>
        <v/>
      </c>
      <c r="H75">
        <f>IF($B75="","",IF(ISNUMBER(IFERROR(INDEX(Daily!$Z$3:$Z$252,MATCH($B75,Daily!$A$3:$A$252,0)),"")),IFERROR(INDEX(Daily!$Z$3:$Z$252,MATCH($B75,Daily!$A$3:$A$252,0)),""),""))</f>
        <v/>
      </c>
      <c r="I75">
        <f>IF($B75="","",IF(ISNUMBER(IFERROR(INDEX(Daily!$AK$3:$AK$252,MATCH($B75,Daily!$A$3:$A$252,0)),"")),IFERROR(INDEX(Daily!$AK$3:$AK$252,MATCH($B75,Daily!$A$3:$A$252,0)),""),""))</f>
        <v/>
      </c>
      <c r="J75">
        <f>IF($B75="","",IF(AND(ISNUMBER(MDS),ISNUMBER(MDE)),IF(AND($B75&gt;=MDS,$B75&lt;=MDE),24,""),""))</f>
        <v/>
      </c>
      <c r="K75">
        <f>IF($B75="","",IF(AND(ISNUMBER(PitanS),ISNUMBER(PitanE)),IF(AND($B75&gt;=PitanS,$B75&lt;=PitanE),26,""),""))</f>
        <v/>
      </c>
      <c r="L75">
        <f>IF($B75="","",IF(AND(ISNUMBER(C1S),ISNUMBER(C3E)),IF(AND($B75&gt;=C1S,$B75&lt;=C3E),22,""),""))</f>
        <v/>
      </c>
    </row>
    <row r="76">
      <c r="A76" t="n">
        <v>75</v>
      </c>
      <c r="B76" s="30">
        <f>IFERROR(SMALL(Daily!$A$3:$A$252,A76),"")</f>
        <v/>
      </c>
      <c r="C76">
        <f>IF($B76="","",IF(ISNUMBER(IFERROR(INDEX(Daily!$T$3:$T$252,MATCH($B76,Daily!$A$3:$A$252,0)),"")),IFERROR(INDEX(Daily!$T$3:$T$252,MATCH($B76,Daily!$A$3:$A$252,0)),""),""))</f>
        <v/>
      </c>
      <c r="D76">
        <f>IF($B76="","",IF(ISNUMBER(IFERROR(INDEX(Daily!$AE$3:$AE$252,MATCH($B76,Daily!$A$3:$A$252,0)),"")),IFERROR(INDEX(Daily!$AE$3:$AE$252,MATCH($B76,Daily!$A$3:$A$252,0)),""),""))</f>
        <v/>
      </c>
      <c r="E76">
        <f>IF($B76="","",IF(ISNUMBER(IFERROR(INDEX(Daily!$B$3:$B$252,MATCH($B76,Daily!$A$3:$A$252,0)),"")),IFERROR(INDEX(Daily!$B$3:$B$252,MATCH($B76,Daily!$A$3:$A$252,0)),""),0))</f>
        <v/>
      </c>
      <c r="F76">
        <f>IF($B76="","",IF(ISNUMBER(IFERROR(INDEX(Daily!$Y$3:$Y$252,MATCH($B76,Daily!$A$3:$A$252,0)),"")),IFERROR(INDEX(Daily!$Y$3:$Y$252,MATCH($B76,Daily!$A$3:$A$252,0)),""),""))</f>
        <v/>
      </c>
      <c r="G76">
        <f>IF($B76="","",IF(ISNUMBER(IFERROR(INDEX(Daily!$AJ$3:$AJ$252,MATCH($B76,Daily!$A$3:$A$252,0)),"")),IFERROR(INDEX(Daily!$AJ$3:$AJ$252,MATCH($B76,Daily!$A$3:$A$252,0)),""),""))</f>
        <v/>
      </c>
      <c r="H76">
        <f>IF($B76="","",IF(ISNUMBER(IFERROR(INDEX(Daily!$Z$3:$Z$252,MATCH($B76,Daily!$A$3:$A$252,0)),"")),IFERROR(INDEX(Daily!$Z$3:$Z$252,MATCH($B76,Daily!$A$3:$A$252,0)),""),""))</f>
        <v/>
      </c>
      <c r="I76">
        <f>IF($B76="","",IF(ISNUMBER(IFERROR(INDEX(Daily!$AK$3:$AK$252,MATCH($B76,Daily!$A$3:$A$252,0)),"")),IFERROR(INDEX(Daily!$AK$3:$AK$252,MATCH($B76,Daily!$A$3:$A$252,0)),""),""))</f>
        <v/>
      </c>
      <c r="J76">
        <f>IF($B76="","",IF(AND(ISNUMBER(MDS),ISNUMBER(MDE)),IF(AND($B76&gt;=MDS,$B76&lt;=MDE),24,""),""))</f>
        <v/>
      </c>
      <c r="K76">
        <f>IF($B76="","",IF(AND(ISNUMBER(PitanS),ISNUMBER(PitanE)),IF(AND($B76&gt;=PitanS,$B76&lt;=PitanE),26,""),""))</f>
        <v/>
      </c>
      <c r="L76">
        <f>IF($B76="","",IF(AND(ISNUMBER(C1S),ISNUMBER(C3E)),IF(AND($B76&gt;=C1S,$B76&lt;=C3E),22,""),""))</f>
        <v/>
      </c>
    </row>
    <row r="77">
      <c r="A77" t="n">
        <v>76</v>
      </c>
      <c r="B77" s="30">
        <f>IFERROR(SMALL(Daily!$A$3:$A$252,A77),"")</f>
        <v/>
      </c>
      <c r="C77">
        <f>IF($B77="","",IF(ISNUMBER(IFERROR(INDEX(Daily!$T$3:$T$252,MATCH($B77,Daily!$A$3:$A$252,0)),"")),IFERROR(INDEX(Daily!$T$3:$T$252,MATCH($B77,Daily!$A$3:$A$252,0)),""),""))</f>
        <v/>
      </c>
      <c r="D77">
        <f>IF($B77="","",IF(ISNUMBER(IFERROR(INDEX(Daily!$AE$3:$AE$252,MATCH($B77,Daily!$A$3:$A$252,0)),"")),IFERROR(INDEX(Daily!$AE$3:$AE$252,MATCH($B77,Daily!$A$3:$A$252,0)),""),""))</f>
        <v/>
      </c>
      <c r="E77">
        <f>IF($B77="","",IF(ISNUMBER(IFERROR(INDEX(Daily!$B$3:$B$252,MATCH($B77,Daily!$A$3:$A$252,0)),"")),IFERROR(INDEX(Daily!$B$3:$B$252,MATCH($B77,Daily!$A$3:$A$252,0)),""),0))</f>
        <v/>
      </c>
      <c r="F77">
        <f>IF($B77="","",IF(ISNUMBER(IFERROR(INDEX(Daily!$Y$3:$Y$252,MATCH($B77,Daily!$A$3:$A$252,0)),"")),IFERROR(INDEX(Daily!$Y$3:$Y$252,MATCH($B77,Daily!$A$3:$A$252,0)),""),""))</f>
        <v/>
      </c>
      <c r="G77">
        <f>IF($B77="","",IF(ISNUMBER(IFERROR(INDEX(Daily!$AJ$3:$AJ$252,MATCH($B77,Daily!$A$3:$A$252,0)),"")),IFERROR(INDEX(Daily!$AJ$3:$AJ$252,MATCH($B77,Daily!$A$3:$A$252,0)),""),""))</f>
        <v/>
      </c>
      <c r="H77">
        <f>IF($B77="","",IF(ISNUMBER(IFERROR(INDEX(Daily!$Z$3:$Z$252,MATCH($B77,Daily!$A$3:$A$252,0)),"")),IFERROR(INDEX(Daily!$Z$3:$Z$252,MATCH($B77,Daily!$A$3:$A$252,0)),""),""))</f>
        <v/>
      </c>
      <c r="I77">
        <f>IF($B77="","",IF(ISNUMBER(IFERROR(INDEX(Daily!$AK$3:$AK$252,MATCH($B77,Daily!$A$3:$A$252,0)),"")),IFERROR(INDEX(Daily!$AK$3:$AK$252,MATCH($B77,Daily!$A$3:$A$252,0)),""),""))</f>
        <v/>
      </c>
      <c r="J77">
        <f>IF($B77="","",IF(AND(ISNUMBER(MDS),ISNUMBER(MDE)),IF(AND($B77&gt;=MDS,$B77&lt;=MDE),24,""),""))</f>
        <v/>
      </c>
      <c r="K77">
        <f>IF($B77="","",IF(AND(ISNUMBER(PitanS),ISNUMBER(PitanE)),IF(AND($B77&gt;=PitanS,$B77&lt;=PitanE),26,""),""))</f>
        <v/>
      </c>
      <c r="L77">
        <f>IF($B77="","",IF(AND(ISNUMBER(C1S),ISNUMBER(C3E)),IF(AND($B77&gt;=C1S,$B77&lt;=C3E),22,""),""))</f>
        <v/>
      </c>
    </row>
    <row r="78">
      <c r="A78" t="n">
        <v>77</v>
      </c>
      <c r="B78" s="30">
        <f>IFERROR(SMALL(Daily!$A$3:$A$252,A78),"")</f>
        <v/>
      </c>
      <c r="C78">
        <f>IF($B78="","",IF(ISNUMBER(IFERROR(INDEX(Daily!$T$3:$T$252,MATCH($B78,Daily!$A$3:$A$252,0)),"")),IFERROR(INDEX(Daily!$T$3:$T$252,MATCH($B78,Daily!$A$3:$A$252,0)),""),""))</f>
        <v/>
      </c>
      <c r="D78">
        <f>IF($B78="","",IF(ISNUMBER(IFERROR(INDEX(Daily!$AE$3:$AE$252,MATCH($B78,Daily!$A$3:$A$252,0)),"")),IFERROR(INDEX(Daily!$AE$3:$AE$252,MATCH($B78,Daily!$A$3:$A$252,0)),""),""))</f>
        <v/>
      </c>
      <c r="E78">
        <f>IF($B78="","",IF(ISNUMBER(IFERROR(INDEX(Daily!$B$3:$B$252,MATCH($B78,Daily!$A$3:$A$252,0)),"")),IFERROR(INDEX(Daily!$B$3:$B$252,MATCH($B78,Daily!$A$3:$A$252,0)),""),0))</f>
        <v/>
      </c>
      <c r="F78">
        <f>IF($B78="","",IF(ISNUMBER(IFERROR(INDEX(Daily!$Y$3:$Y$252,MATCH($B78,Daily!$A$3:$A$252,0)),"")),IFERROR(INDEX(Daily!$Y$3:$Y$252,MATCH($B78,Daily!$A$3:$A$252,0)),""),""))</f>
        <v/>
      </c>
      <c r="G78">
        <f>IF($B78="","",IF(ISNUMBER(IFERROR(INDEX(Daily!$AJ$3:$AJ$252,MATCH($B78,Daily!$A$3:$A$252,0)),"")),IFERROR(INDEX(Daily!$AJ$3:$AJ$252,MATCH($B78,Daily!$A$3:$A$252,0)),""),""))</f>
        <v/>
      </c>
      <c r="H78">
        <f>IF($B78="","",IF(ISNUMBER(IFERROR(INDEX(Daily!$Z$3:$Z$252,MATCH($B78,Daily!$A$3:$A$252,0)),"")),IFERROR(INDEX(Daily!$Z$3:$Z$252,MATCH($B78,Daily!$A$3:$A$252,0)),""),""))</f>
        <v/>
      </c>
      <c r="I78">
        <f>IF($B78="","",IF(ISNUMBER(IFERROR(INDEX(Daily!$AK$3:$AK$252,MATCH($B78,Daily!$A$3:$A$252,0)),"")),IFERROR(INDEX(Daily!$AK$3:$AK$252,MATCH($B78,Daily!$A$3:$A$252,0)),""),""))</f>
        <v/>
      </c>
      <c r="J78">
        <f>IF($B78="","",IF(AND(ISNUMBER(MDS),ISNUMBER(MDE)),IF(AND($B78&gt;=MDS,$B78&lt;=MDE),24,""),""))</f>
        <v/>
      </c>
      <c r="K78">
        <f>IF($B78="","",IF(AND(ISNUMBER(PitanS),ISNUMBER(PitanE)),IF(AND($B78&gt;=PitanS,$B78&lt;=PitanE),26,""),""))</f>
        <v/>
      </c>
      <c r="L78">
        <f>IF($B78="","",IF(AND(ISNUMBER(C1S),ISNUMBER(C3E)),IF(AND($B78&gt;=C1S,$B78&lt;=C3E),22,""),""))</f>
        <v/>
      </c>
    </row>
    <row r="79">
      <c r="A79" t="n">
        <v>78</v>
      </c>
      <c r="B79" s="30">
        <f>IFERROR(SMALL(Daily!$A$3:$A$252,A79),"")</f>
        <v/>
      </c>
      <c r="C79">
        <f>IF($B79="","",IF(ISNUMBER(IFERROR(INDEX(Daily!$T$3:$T$252,MATCH($B79,Daily!$A$3:$A$252,0)),"")),IFERROR(INDEX(Daily!$T$3:$T$252,MATCH($B79,Daily!$A$3:$A$252,0)),""),""))</f>
        <v/>
      </c>
      <c r="D79">
        <f>IF($B79="","",IF(ISNUMBER(IFERROR(INDEX(Daily!$AE$3:$AE$252,MATCH($B79,Daily!$A$3:$A$252,0)),"")),IFERROR(INDEX(Daily!$AE$3:$AE$252,MATCH($B79,Daily!$A$3:$A$252,0)),""),""))</f>
        <v/>
      </c>
      <c r="E79">
        <f>IF($B79="","",IF(ISNUMBER(IFERROR(INDEX(Daily!$B$3:$B$252,MATCH($B79,Daily!$A$3:$A$252,0)),"")),IFERROR(INDEX(Daily!$B$3:$B$252,MATCH($B79,Daily!$A$3:$A$252,0)),""),0))</f>
        <v/>
      </c>
      <c r="F79">
        <f>IF($B79="","",IF(ISNUMBER(IFERROR(INDEX(Daily!$Y$3:$Y$252,MATCH($B79,Daily!$A$3:$A$252,0)),"")),IFERROR(INDEX(Daily!$Y$3:$Y$252,MATCH($B79,Daily!$A$3:$A$252,0)),""),""))</f>
        <v/>
      </c>
      <c r="G79">
        <f>IF($B79="","",IF(ISNUMBER(IFERROR(INDEX(Daily!$AJ$3:$AJ$252,MATCH($B79,Daily!$A$3:$A$252,0)),"")),IFERROR(INDEX(Daily!$AJ$3:$AJ$252,MATCH($B79,Daily!$A$3:$A$252,0)),""),""))</f>
        <v/>
      </c>
      <c r="H79">
        <f>IF($B79="","",IF(ISNUMBER(IFERROR(INDEX(Daily!$Z$3:$Z$252,MATCH($B79,Daily!$A$3:$A$252,0)),"")),IFERROR(INDEX(Daily!$Z$3:$Z$252,MATCH($B79,Daily!$A$3:$A$252,0)),""),""))</f>
        <v/>
      </c>
      <c r="I79">
        <f>IF($B79="","",IF(ISNUMBER(IFERROR(INDEX(Daily!$AK$3:$AK$252,MATCH($B79,Daily!$A$3:$A$252,0)),"")),IFERROR(INDEX(Daily!$AK$3:$AK$252,MATCH($B79,Daily!$A$3:$A$252,0)),""),""))</f>
        <v/>
      </c>
      <c r="J79">
        <f>IF($B79="","",IF(AND(ISNUMBER(MDS),ISNUMBER(MDE)),IF(AND($B79&gt;=MDS,$B79&lt;=MDE),24,""),""))</f>
        <v/>
      </c>
      <c r="K79">
        <f>IF($B79="","",IF(AND(ISNUMBER(PitanS),ISNUMBER(PitanE)),IF(AND($B79&gt;=PitanS,$B79&lt;=PitanE),26,""),""))</f>
        <v/>
      </c>
      <c r="L79">
        <f>IF($B79="","",IF(AND(ISNUMBER(C1S),ISNUMBER(C3E)),IF(AND($B79&gt;=C1S,$B79&lt;=C3E),22,""),""))</f>
        <v/>
      </c>
    </row>
    <row r="80">
      <c r="A80" t="n">
        <v>79</v>
      </c>
      <c r="B80" s="30">
        <f>IFERROR(SMALL(Daily!$A$3:$A$252,A80),"")</f>
        <v/>
      </c>
      <c r="C80">
        <f>IF($B80="","",IF(ISNUMBER(IFERROR(INDEX(Daily!$T$3:$T$252,MATCH($B80,Daily!$A$3:$A$252,0)),"")),IFERROR(INDEX(Daily!$T$3:$T$252,MATCH($B80,Daily!$A$3:$A$252,0)),""),""))</f>
        <v/>
      </c>
      <c r="D80">
        <f>IF($B80="","",IF(ISNUMBER(IFERROR(INDEX(Daily!$AE$3:$AE$252,MATCH($B80,Daily!$A$3:$A$252,0)),"")),IFERROR(INDEX(Daily!$AE$3:$AE$252,MATCH($B80,Daily!$A$3:$A$252,0)),""),""))</f>
        <v/>
      </c>
      <c r="E80">
        <f>IF($B80="","",IF(ISNUMBER(IFERROR(INDEX(Daily!$B$3:$B$252,MATCH($B80,Daily!$A$3:$A$252,0)),"")),IFERROR(INDEX(Daily!$B$3:$B$252,MATCH($B80,Daily!$A$3:$A$252,0)),""),0))</f>
        <v/>
      </c>
      <c r="F80">
        <f>IF($B80="","",IF(ISNUMBER(IFERROR(INDEX(Daily!$Y$3:$Y$252,MATCH($B80,Daily!$A$3:$A$252,0)),"")),IFERROR(INDEX(Daily!$Y$3:$Y$252,MATCH($B80,Daily!$A$3:$A$252,0)),""),""))</f>
        <v/>
      </c>
      <c r="G80">
        <f>IF($B80="","",IF(ISNUMBER(IFERROR(INDEX(Daily!$AJ$3:$AJ$252,MATCH($B80,Daily!$A$3:$A$252,0)),"")),IFERROR(INDEX(Daily!$AJ$3:$AJ$252,MATCH($B80,Daily!$A$3:$A$252,0)),""),""))</f>
        <v/>
      </c>
      <c r="H80">
        <f>IF($B80="","",IF(ISNUMBER(IFERROR(INDEX(Daily!$Z$3:$Z$252,MATCH($B80,Daily!$A$3:$A$252,0)),"")),IFERROR(INDEX(Daily!$Z$3:$Z$252,MATCH($B80,Daily!$A$3:$A$252,0)),""),""))</f>
        <v/>
      </c>
      <c r="I80">
        <f>IF($B80="","",IF(ISNUMBER(IFERROR(INDEX(Daily!$AK$3:$AK$252,MATCH($B80,Daily!$A$3:$A$252,0)),"")),IFERROR(INDEX(Daily!$AK$3:$AK$252,MATCH($B80,Daily!$A$3:$A$252,0)),""),""))</f>
        <v/>
      </c>
      <c r="J80">
        <f>IF($B80="","",IF(AND(ISNUMBER(MDS),ISNUMBER(MDE)),IF(AND($B80&gt;=MDS,$B80&lt;=MDE),24,""),""))</f>
        <v/>
      </c>
      <c r="K80">
        <f>IF($B80="","",IF(AND(ISNUMBER(PitanS),ISNUMBER(PitanE)),IF(AND($B80&gt;=PitanS,$B80&lt;=PitanE),26,""),""))</f>
        <v/>
      </c>
      <c r="L80">
        <f>IF($B80="","",IF(AND(ISNUMBER(C1S),ISNUMBER(C3E)),IF(AND($B80&gt;=C1S,$B80&lt;=C3E),22,""),""))</f>
        <v/>
      </c>
    </row>
    <row r="81">
      <c r="A81" t="n">
        <v>80</v>
      </c>
      <c r="B81" s="30">
        <f>IFERROR(SMALL(Daily!$A$3:$A$252,A81),"")</f>
        <v/>
      </c>
      <c r="C81">
        <f>IF($B81="","",IF(ISNUMBER(IFERROR(INDEX(Daily!$T$3:$T$252,MATCH($B81,Daily!$A$3:$A$252,0)),"")),IFERROR(INDEX(Daily!$T$3:$T$252,MATCH($B81,Daily!$A$3:$A$252,0)),""),""))</f>
        <v/>
      </c>
      <c r="D81">
        <f>IF($B81="","",IF(ISNUMBER(IFERROR(INDEX(Daily!$AE$3:$AE$252,MATCH($B81,Daily!$A$3:$A$252,0)),"")),IFERROR(INDEX(Daily!$AE$3:$AE$252,MATCH($B81,Daily!$A$3:$A$252,0)),""),""))</f>
        <v/>
      </c>
      <c r="E81">
        <f>IF($B81="","",IF(ISNUMBER(IFERROR(INDEX(Daily!$B$3:$B$252,MATCH($B81,Daily!$A$3:$A$252,0)),"")),IFERROR(INDEX(Daily!$B$3:$B$252,MATCH($B81,Daily!$A$3:$A$252,0)),""),0))</f>
        <v/>
      </c>
      <c r="F81">
        <f>IF($B81="","",IF(ISNUMBER(IFERROR(INDEX(Daily!$Y$3:$Y$252,MATCH($B81,Daily!$A$3:$A$252,0)),"")),IFERROR(INDEX(Daily!$Y$3:$Y$252,MATCH($B81,Daily!$A$3:$A$252,0)),""),""))</f>
        <v/>
      </c>
      <c r="G81">
        <f>IF($B81="","",IF(ISNUMBER(IFERROR(INDEX(Daily!$AJ$3:$AJ$252,MATCH($B81,Daily!$A$3:$A$252,0)),"")),IFERROR(INDEX(Daily!$AJ$3:$AJ$252,MATCH($B81,Daily!$A$3:$A$252,0)),""),""))</f>
        <v/>
      </c>
      <c r="H81">
        <f>IF($B81="","",IF(ISNUMBER(IFERROR(INDEX(Daily!$Z$3:$Z$252,MATCH($B81,Daily!$A$3:$A$252,0)),"")),IFERROR(INDEX(Daily!$Z$3:$Z$252,MATCH($B81,Daily!$A$3:$A$252,0)),""),""))</f>
        <v/>
      </c>
      <c r="I81">
        <f>IF($B81="","",IF(ISNUMBER(IFERROR(INDEX(Daily!$AK$3:$AK$252,MATCH($B81,Daily!$A$3:$A$252,0)),"")),IFERROR(INDEX(Daily!$AK$3:$AK$252,MATCH($B81,Daily!$A$3:$A$252,0)),""),""))</f>
        <v/>
      </c>
      <c r="J81">
        <f>IF($B81="","",IF(AND(ISNUMBER(MDS),ISNUMBER(MDE)),IF(AND($B81&gt;=MDS,$B81&lt;=MDE),24,""),""))</f>
        <v/>
      </c>
      <c r="K81">
        <f>IF($B81="","",IF(AND(ISNUMBER(PitanS),ISNUMBER(PitanE)),IF(AND($B81&gt;=PitanS,$B81&lt;=PitanE),26,""),""))</f>
        <v/>
      </c>
      <c r="L81">
        <f>IF($B81="","",IF(AND(ISNUMBER(C1S),ISNUMBER(C3E)),IF(AND($B81&gt;=C1S,$B81&lt;=C3E),22,""),""))</f>
        <v/>
      </c>
    </row>
    <row r="82">
      <c r="A82" t="n">
        <v>81</v>
      </c>
      <c r="B82" s="30">
        <f>IFERROR(SMALL(Daily!$A$3:$A$252,A82),"")</f>
        <v/>
      </c>
      <c r="C82">
        <f>IF($B82="","",IF(ISNUMBER(IFERROR(INDEX(Daily!$T$3:$T$252,MATCH($B82,Daily!$A$3:$A$252,0)),"")),IFERROR(INDEX(Daily!$T$3:$T$252,MATCH($B82,Daily!$A$3:$A$252,0)),""),""))</f>
        <v/>
      </c>
      <c r="D82">
        <f>IF($B82="","",IF(ISNUMBER(IFERROR(INDEX(Daily!$AE$3:$AE$252,MATCH($B82,Daily!$A$3:$A$252,0)),"")),IFERROR(INDEX(Daily!$AE$3:$AE$252,MATCH($B82,Daily!$A$3:$A$252,0)),""),""))</f>
        <v/>
      </c>
      <c r="E82">
        <f>IF($B82="","",IF(ISNUMBER(IFERROR(INDEX(Daily!$B$3:$B$252,MATCH($B82,Daily!$A$3:$A$252,0)),"")),IFERROR(INDEX(Daily!$B$3:$B$252,MATCH($B82,Daily!$A$3:$A$252,0)),""),0))</f>
        <v/>
      </c>
      <c r="F82">
        <f>IF($B82="","",IF(ISNUMBER(IFERROR(INDEX(Daily!$Y$3:$Y$252,MATCH($B82,Daily!$A$3:$A$252,0)),"")),IFERROR(INDEX(Daily!$Y$3:$Y$252,MATCH($B82,Daily!$A$3:$A$252,0)),""),""))</f>
        <v/>
      </c>
      <c r="G82">
        <f>IF($B82="","",IF(ISNUMBER(IFERROR(INDEX(Daily!$AJ$3:$AJ$252,MATCH($B82,Daily!$A$3:$A$252,0)),"")),IFERROR(INDEX(Daily!$AJ$3:$AJ$252,MATCH($B82,Daily!$A$3:$A$252,0)),""),""))</f>
        <v/>
      </c>
      <c r="H82">
        <f>IF($B82="","",IF(ISNUMBER(IFERROR(INDEX(Daily!$Z$3:$Z$252,MATCH($B82,Daily!$A$3:$A$252,0)),"")),IFERROR(INDEX(Daily!$Z$3:$Z$252,MATCH($B82,Daily!$A$3:$A$252,0)),""),""))</f>
        <v/>
      </c>
      <c r="I82">
        <f>IF($B82="","",IF(ISNUMBER(IFERROR(INDEX(Daily!$AK$3:$AK$252,MATCH($B82,Daily!$A$3:$A$252,0)),"")),IFERROR(INDEX(Daily!$AK$3:$AK$252,MATCH($B82,Daily!$A$3:$A$252,0)),""),""))</f>
        <v/>
      </c>
      <c r="J82">
        <f>IF($B82="","",IF(AND(ISNUMBER(MDS),ISNUMBER(MDE)),IF(AND($B82&gt;=MDS,$B82&lt;=MDE),24,""),""))</f>
        <v/>
      </c>
      <c r="K82">
        <f>IF($B82="","",IF(AND(ISNUMBER(PitanS),ISNUMBER(PitanE)),IF(AND($B82&gt;=PitanS,$B82&lt;=PitanE),26,""),""))</f>
        <v/>
      </c>
      <c r="L82">
        <f>IF($B82="","",IF(AND(ISNUMBER(C1S),ISNUMBER(C3E)),IF(AND($B82&gt;=C1S,$B82&lt;=C3E),22,""),""))</f>
        <v/>
      </c>
    </row>
    <row r="83">
      <c r="A83" t="n">
        <v>82</v>
      </c>
      <c r="B83" s="30">
        <f>IFERROR(SMALL(Daily!$A$3:$A$252,A83),"")</f>
        <v/>
      </c>
      <c r="C83">
        <f>IF($B83="","",IF(ISNUMBER(IFERROR(INDEX(Daily!$T$3:$T$252,MATCH($B83,Daily!$A$3:$A$252,0)),"")),IFERROR(INDEX(Daily!$T$3:$T$252,MATCH($B83,Daily!$A$3:$A$252,0)),""),""))</f>
        <v/>
      </c>
      <c r="D83">
        <f>IF($B83="","",IF(ISNUMBER(IFERROR(INDEX(Daily!$AE$3:$AE$252,MATCH($B83,Daily!$A$3:$A$252,0)),"")),IFERROR(INDEX(Daily!$AE$3:$AE$252,MATCH($B83,Daily!$A$3:$A$252,0)),""),""))</f>
        <v/>
      </c>
      <c r="E83">
        <f>IF($B83="","",IF(ISNUMBER(IFERROR(INDEX(Daily!$B$3:$B$252,MATCH($B83,Daily!$A$3:$A$252,0)),"")),IFERROR(INDEX(Daily!$B$3:$B$252,MATCH($B83,Daily!$A$3:$A$252,0)),""),0))</f>
        <v/>
      </c>
      <c r="F83">
        <f>IF($B83="","",IF(ISNUMBER(IFERROR(INDEX(Daily!$Y$3:$Y$252,MATCH($B83,Daily!$A$3:$A$252,0)),"")),IFERROR(INDEX(Daily!$Y$3:$Y$252,MATCH($B83,Daily!$A$3:$A$252,0)),""),""))</f>
        <v/>
      </c>
      <c r="G83">
        <f>IF($B83="","",IF(ISNUMBER(IFERROR(INDEX(Daily!$AJ$3:$AJ$252,MATCH($B83,Daily!$A$3:$A$252,0)),"")),IFERROR(INDEX(Daily!$AJ$3:$AJ$252,MATCH($B83,Daily!$A$3:$A$252,0)),""),""))</f>
        <v/>
      </c>
      <c r="H83">
        <f>IF($B83="","",IF(ISNUMBER(IFERROR(INDEX(Daily!$Z$3:$Z$252,MATCH($B83,Daily!$A$3:$A$252,0)),"")),IFERROR(INDEX(Daily!$Z$3:$Z$252,MATCH($B83,Daily!$A$3:$A$252,0)),""),""))</f>
        <v/>
      </c>
      <c r="I83">
        <f>IF($B83="","",IF(ISNUMBER(IFERROR(INDEX(Daily!$AK$3:$AK$252,MATCH($B83,Daily!$A$3:$A$252,0)),"")),IFERROR(INDEX(Daily!$AK$3:$AK$252,MATCH($B83,Daily!$A$3:$A$252,0)),""),""))</f>
        <v/>
      </c>
      <c r="J83">
        <f>IF($B83="","",IF(AND(ISNUMBER(MDS),ISNUMBER(MDE)),IF(AND($B83&gt;=MDS,$B83&lt;=MDE),24,""),""))</f>
        <v/>
      </c>
      <c r="K83">
        <f>IF($B83="","",IF(AND(ISNUMBER(PitanS),ISNUMBER(PitanE)),IF(AND($B83&gt;=PitanS,$B83&lt;=PitanE),26,""),""))</f>
        <v/>
      </c>
      <c r="L83">
        <f>IF($B83="","",IF(AND(ISNUMBER(C1S),ISNUMBER(C3E)),IF(AND($B83&gt;=C1S,$B83&lt;=C3E),22,""),""))</f>
        <v/>
      </c>
    </row>
    <row r="84">
      <c r="A84" t="n">
        <v>83</v>
      </c>
      <c r="B84" s="30">
        <f>IFERROR(SMALL(Daily!$A$3:$A$252,A84),"")</f>
        <v/>
      </c>
      <c r="C84">
        <f>IF($B84="","",IF(ISNUMBER(IFERROR(INDEX(Daily!$T$3:$T$252,MATCH($B84,Daily!$A$3:$A$252,0)),"")),IFERROR(INDEX(Daily!$T$3:$T$252,MATCH($B84,Daily!$A$3:$A$252,0)),""),""))</f>
        <v/>
      </c>
      <c r="D84">
        <f>IF($B84="","",IF(ISNUMBER(IFERROR(INDEX(Daily!$AE$3:$AE$252,MATCH($B84,Daily!$A$3:$A$252,0)),"")),IFERROR(INDEX(Daily!$AE$3:$AE$252,MATCH($B84,Daily!$A$3:$A$252,0)),""),""))</f>
        <v/>
      </c>
      <c r="E84">
        <f>IF($B84="","",IF(ISNUMBER(IFERROR(INDEX(Daily!$B$3:$B$252,MATCH($B84,Daily!$A$3:$A$252,0)),"")),IFERROR(INDEX(Daily!$B$3:$B$252,MATCH($B84,Daily!$A$3:$A$252,0)),""),0))</f>
        <v/>
      </c>
      <c r="F84">
        <f>IF($B84="","",IF(ISNUMBER(IFERROR(INDEX(Daily!$Y$3:$Y$252,MATCH($B84,Daily!$A$3:$A$252,0)),"")),IFERROR(INDEX(Daily!$Y$3:$Y$252,MATCH($B84,Daily!$A$3:$A$252,0)),""),""))</f>
        <v/>
      </c>
      <c r="G84">
        <f>IF($B84="","",IF(ISNUMBER(IFERROR(INDEX(Daily!$AJ$3:$AJ$252,MATCH($B84,Daily!$A$3:$A$252,0)),"")),IFERROR(INDEX(Daily!$AJ$3:$AJ$252,MATCH($B84,Daily!$A$3:$A$252,0)),""),""))</f>
        <v/>
      </c>
      <c r="H84">
        <f>IF($B84="","",IF(ISNUMBER(IFERROR(INDEX(Daily!$Z$3:$Z$252,MATCH($B84,Daily!$A$3:$A$252,0)),"")),IFERROR(INDEX(Daily!$Z$3:$Z$252,MATCH($B84,Daily!$A$3:$A$252,0)),""),""))</f>
        <v/>
      </c>
      <c r="I84">
        <f>IF($B84="","",IF(ISNUMBER(IFERROR(INDEX(Daily!$AK$3:$AK$252,MATCH($B84,Daily!$A$3:$A$252,0)),"")),IFERROR(INDEX(Daily!$AK$3:$AK$252,MATCH($B84,Daily!$A$3:$A$252,0)),""),""))</f>
        <v/>
      </c>
      <c r="J84">
        <f>IF($B84="","",IF(AND(ISNUMBER(MDS),ISNUMBER(MDE)),IF(AND($B84&gt;=MDS,$B84&lt;=MDE),24,""),""))</f>
        <v/>
      </c>
      <c r="K84">
        <f>IF($B84="","",IF(AND(ISNUMBER(PitanS),ISNUMBER(PitanE)),IF(AND($B84&gt;=PitanS,$B84&lt;=PitanE),26,""),""))</f>
        <v/>
      </c>
      <c r="L84">
        <f>IF($B84="","",IF(AND(ISNUMBER(C1S),ISNUMBER(C3E)),IF(AND($B84&gt;=C1S,$B84&lt;=C3E),22,""),""))</f>
        <v/>
      </c>
    </row>
    <row r="85">
      <c r="A85" t="n">
        <v>84</v>
      </c>
      <c r="B85" s="30">
        <f>IFERROR(SMALL(Daily!$A$3:$A$252,A85),"")</f>
        <v/>
      </c>
      <c r="C85">
        <f>IF($B85="","",IF(ISNUMBER(IFERROR(INDEX(Daily!$T$3:$T$252,MATCH($B85,Daily!$A$3:$A$252,0)),"")),IFERROR(INDEX(Daily!$T$3:$T$252,MATCH($B85,Daily!$A$3:$A$252,0)),""),""))</f>
        <v/>
      </c>
      <c r="D85">
        <f>IF($B85="","",IF(ISNUMBER(IFERROR(INDEX(Daily!$AE$3:$AE$252,MATCH($B85,Daily!$A$3:$A$252,0)),"")),IFERROR(INDEX(Daily!$AE$3:$AE$252,MATCH($B85,Daily!$A$3:$A$252,0)),""),""))</f>
        <v/>
      </c>
      <c r="E85">
        <f>IF($B85="","",IF(ISNUMBER(IFERROR(INDEX(Daily!$B$3:$B$252,MATCH($B85,Daily!$A$3:$A$252,0)),"")),IFERROR(INDEX(Daily!$B$3:$B$252,MATCH($B85,Daily!$A$3:$A$252,0)),""),0))</f>
        <v/>
      </c>
      <c r="F85">
        <f>IF($B85="","",IF(ISNUMBER(IFERROR(INDEX(Daily!$Y$3:$Y$252,MATCH($B85,Daily!$A$3:$A$252,0)),"")),IFERROR(INDEX(Daily!$Y$3:$Y$252,MATCH($B85,Daily!$A$3:$A$252,0)),""),""))</f>
        <v/>
      </c>
      <c r="G85">
        <f>IF($B85="","",IF(ISNUMBER(IFERROR(INDEX(Daily!$AJ$3:$AJ$252,MATCH($B85,Daily!$A$3:$A$252,0)),"")),IFERROR(INDEX(Daily!$AJ$3:$AJ$252,MATCH($B85,Daily!$A$3:$A$252,0)),""),""))</f>
        <v/>
      </c>
      <c r="H85">
        <f>IF($B85="","",IF(ISNUMBER(IFERROR(INDEX(Daily!$Z$3:$Z$252,MATCH($B85,Daily!$A$3:$A$252,0)),"")),IFERROR(INDEX(Daily!$Z$3:$Z$252,MATCH($B85,Daily!$A$3:$A$252,0)),""),""))</f>
        <v/>
      </c>
      <c r="I85">
        <f>IF($B85="","",IF(ISNUMBER(IFERROR(INDEX(Daily!$AK$3:$AK$252,MATCH($B85,Daily!$A$3:$A$252,0)),"")),IFERROR(INDEX(Daily!$AK$3:$AK$252,MATCH($B85,Daily!$A$3:$A$252,0)),""),""))</f>
        <v/>
      </c>
      <c r="J85">
        <f>IF($B85="","",IF(AND(ISNUMBER(MDS),ISNUMBER(MDE)),IF(AND($B85&gt;=MDS,$B85&lt;=MDE),24,""),""))</f>
        <v/>
      </c>
      <c r="K85">
        <f>IF($B85="","",IF(AND(ISNUMBER(PitanS),ISNUMBER(PitanE)),IF(AND($B85&gt;=PitanS,$B85&lt;=PitanE),26,""),""))</f>
        <v/>
      </c>
      <c r="L85">
        <f>IF($B85="","",IF(AND(ISNUMBER(C1S),ISNUMBER(C3E)),IF(AND($B85&gt;=C1S,$B85&lt;=C3E),22,""),""))</f>
        <v/>
      </c>
    </row>
    <row r="86">
      <c r="A86" t="n">
        <v>85</v>
      </c>
      <c r="B86" s="30">
        <f>IFERROR(SMALL(Daily!$A$3:$A$252,A86),"")</f>
        <v/>
      </c>
      <c r="C86">
        <f>IF($B86="","",IF(ISNUMBER(IFERROR(INDEX(Daily!$T$3:$T$252,MATCH($B86,Daily!$A$3:$A$252,0)),"")),IFERROR(INDEX(Daily!$T$3:$T$252,MATCH($B86,Daily!$A$3:$A$252,0)),""),""))</f>
        <v/>
      </c>
      <c r="D86">
        <f>IF($B86="","",IF(ISNUMBER(IFERROR(INDEX(Daily!$AE$3:$AE$252,MATCH($B86,Daily!$A$3:$A$252,0)),"")),IFERROR(INDEX(Daily!$AE$3:$AE$252,MATCH($B86,Daily!$A$3:$A$252,0)),""),""))</f>
        <v/>
      </c>
      <c r="E86">
        <f>IF($B86="","",IF(ISNUMBER(IFERROR(INDEX(Daily!$B$3:$B$252,MATCH($B86,Daily!$A$3:$A$252,0)),"")),IFERROR(INDEX(Daily!$B$3:$B$252,MATCH($B86,Daily!$A$3:$A$252,0)),""),0))</f>
        <v/>
      </c>
      <c r="F86">
        <f>IF($B86="","",IF(ISNUMBER(IFERROR(INDEX(Daily!$Y$3:$Y$252,MATCH($B86,Daily!$A$3:$A$252,0)),"")),IFERROR(INDEX(Daily!$Y$3:$Y$252,MATCH($B86,Daily!$A$3:$A$252,0)),""),""))</f>
        <v/>
      </c>
      <c r="G86">
        <f>IF($B86="","",IF(ISNUMBER(IFERROR(INDEX(Daily!$AJ$3:$AJ$252,MATCH($B86,Daily!$A$3:$A$252,0)),"")),IFERROR(INDEX(Daily!$AJ$3:$AJ$252,MATCH($B86,Daily!$A$3:$A$252,0)),""),""))</f>
        <v/>
      </c>
      <c r="H86">
        <f>IF($B86="","",IF(ISNUMBER(IFERROR(INDEX(Daily!$Z$3:$Z$252,MATCH($B86,Daily!$A$3:$A$252,0)),"")),IFERROR(INDEX(Daily!$Z$3:$Z$252,MATCH($B86,Daily!$A$3:$A$252,0)),""),""))</f>
        <v/>
      </c>
      <c r="I86">
        <f>IF($B86="","",IF(ISNUMBER(IFERROR(INDEX(Daily!$AK$3:$AK$252,MATCH($B86,Daily!$A$3:$A$252,0)),"")),IFERROR(INDEX(Daily!$AK$3:$AK$252,MATCH($B86,Daily!$A$3:$A$252,0)),""),""))</f>
        <v/>
      </c>
      <c r="J86">
        <f>IF($B86="","",IF(AND(ISNUMBER(MDS),ISNUMBER(MDE)),IF(AND($B86&gt;=MDS,$B86&lt;=MDE),24,""),""))</f>
        <v/>
      </c>
      <c r="K86">
        <f>IF($B86="","",IF(AND(ISNUMBER(PitanS),ISNUMBER(PitanE)),IF(AND($B86&gt;=PitanS,$B86&lt;=PitanE),26,""),""))</f>
        <v/>
      </c>
      <c r="L86">
        <f>IF($B86="","",IF(AND(ISNUMBER(C1S),ISNUMBER(C3E)),IF(AND($B86&gt;=C1S,$B86&lt;=C3E),22,""),""))</f>
        <v/>
      </c>
    </row>
    <row r="87">
      <c r="A87" t="n">
        <v>86</v>
      </c>
      <c r="B87" s="30">
        <f>IFERROR(SMALL(Daily!$A$3:$A$252,A87),"")</f>
        <v/>
      </c>
      <c r="C87">
        <f>IF($B87="","",IF(ISNUMBER(IFERROR(INDEX(Daily!$T$3:$T$252,MATCH($B87,Daily!$A$3:$A$252,0)),"")),IFERROR(INDEX(Daily!$T$3:$T$252,MATCH($B87,Daily!$A$3:$A$252,0)),""),""))</f>
        <v/>
      </c>
      <c r="D87">
        <f>IF($B87="","",IF(ISNUMBER(IFERROR(INDEX(Daily!$AE$3:$AE$252,MATCH($B87,Daily!$A$3:$A$252,0)),"")),IFERROR(INDEX(Daily!$AE$3:$AE$252,MATCH($B87,Daily!$A$3:$A$252,0)),""),""))</f>
        <v/>
      </c>
      <c r="E87">
        <f>IF($B87="","",IF(ISNUMBER(IFERROR(INDEX(Daily!$B$3:$B$252,MATCH($B87,Daily!$A$3:$A$252,0)),"")),IFERROR(INDEX(Daily!$B$3:$B$252,MATCH($B87,Daily!$A$3:$A$252,0)),""),0))</f>
        <v/>
      </c>
      <c r="F87">
        <f>IF($B87="","",IF(ISNUMBER(IFERROR(INDEX(Daily!$Y$3:$Y$252,MATCH($B87,Daily!$A$3:$A$252,0)),"")),IFERROR(INDEX(Daily!$Y$3:$Y$252,MATCH($B87,Daily!$A$3:$A$252,0)),""),""))</f>
        <v/>
      </c>
      <c r="G87">
        <f>IF($B87="","",IF(ISNUMBER(IFERROR(INDEX(Daily!$AJ$3:$AJ$252,MATCH($B87,Daily!$A$3:$A$252,0)),"")),IFERROR(INDEX(Daily!$AJ$3:$AJ$252,MATCH($B87,Daily!$A$3:$A$252,0)),""),""))</f>
        <v/>
      </c>
      <c r="H87">
        <f>IF($B87="","",IF(ISNUMBER(IFERROR(INDEX(Daily!$Z$3:$Z$252,MATCH($B87,Daily!$A$3:$A$252,0)),"")),IFERROR(INDEX(Daily!$Z$3:$Z$252,MATCH($B87,Daily!$A$3:$A$252,0)),""),""))</f>
        <v/>
      </c>
      <c r="I87">
        <f>IF($B87="","",IF(ISNUMBER(IFERROR(INDEX(Daily!$AK$3:$AK$252,MATCH($B87,Daily!$A$3:$A$252,0)),"")),IFERROR(INDEX(Daily!$AK$3:$AK$252,MATCH($B87,Daily!$A$3:$A$252,0)),""),""))</f>
        <v/>
      </c>
      <c r="J87">
        <f>IF($B87="","",IF(AND(ISNUMBER(MDS),ISNUMBER(MDE)),IF(AND($B87&gt;=MDS,$B87&lt;=MDE),24,""),""))</f>
        <v/>
      </c>
      <c r="K87">
        <f>IF($B87="","",IF(AND(ISNUMBER(PitanS),ISNUMBER(PitanE)),IF(AND($B87&gt;=PitanS,$B87&lt;=PitanE),26,""),""))</f>
        <v/>
      </c>
      <c r="L87">
        <f>IF($B87="","",IF(AND(ISNUMBER(C1S),ISNUMBER(C3E)),IF(AND($B87&gt;=C1S,$B87&lt;=C3E),22,""),""))</f>
        <v/>
      </c>
    </row>
    <row r="88">
      <c r="A88" t="n">
        <v>87</v>
      </c>
      <c r="B88" s="30">
        <f>IFERROR(SMALL(Daily!$A$3:$A$252,A88),"")</f>
        <v/>
      </c>
      <c r="C88">
        <f>IF($B88="","",IF(ISNUMBER(IFERROR(INDEX(Daily!$T$3:$T$252,MATCH($B88,Daily!$A$3:$A$252,0)),"")),IFERROR(INDEX(Daily!$T$3:$T$252,MATCH($B88,Daily!$A$3:$A$252,0)),""),""))</f>
        <v/>
      </c>
      <c r="D88">
        <f>IF($B88="","",IF(ISNUMBER(IFERROR(INDEX(Daily!$AE$3:$AE$252,MATCH($B88,Daily!$A$3:$A$252,0)),"")),IFERROR(INDEX(Daily!$AE$3:$AE$252,MATCH($B88,Daily!$A$3:$A$252,0)),""),""))</f>
        <v/>
      </c>
      <c r="E88">
        <f>IF($B88="","",IF(ISNUMBER(IFERROR(INDEX(Daily!$B$3:$B$252,MATCH($B88,Daily!$A$3:$A$252,0)),"")),IFERROR(INDEX(Daily!$B$3:$B$252,MATCH($B88,Daily!$A$3:$A$252,0)),""),0))</f>
        <v/>
      </c>
      <c r="F88">
        <f>IF($B88="","",IF(ISNUMBER(IFERROR(INDEX(Daily!$Y$3:$Y$252,MATCH($B88,Daily!$A$3:$A$252,0)),"")),IFERROR(INDEX(Daily!$Y$3:$Y$252,MATCH($B88,Daily!$A$3:$A$252,0)),""),""))</f>
        <v/>
      </c>
      <c r="G88">
        <f>IF($B88="","",IF(ISNUMBER(IFERROR(INDEX(Daily!$AJ$3:$AJ$252,MATCH($B88,Daily!$A$3:$A$252,0)),"")),IFERROR(INDEX(Daily!$AJ$3:$AJ$252,MATCH($B88,Daily!$A$3:$A$252,0)),""),""))</f>
        <v/>
      </c>
      <c r="H88">
        <f>IF($B88="","",IF(ISNUMBER(IFERROR(INDEX(Daily!$Z$3:$Z$252,MATCH($B88,Daily!$A$3:$A$252,0)),"")),IFERROR(INDEX(Daily!$Z$3:$Z$252,MATCH($B88,Daily!$A$3:$A$252,0)),""),""))</f>
        <v/>
      </c>
      <c r="I88">
        <f>IF($B88="","",IF(ISNUMBER(IFERROR(INDEX(Daily!$AK$3:$AK$252,MATCH($B88,Daily!$A$3:$A$252,0)),"")),IFERROR(INDEX(Daily!$AK$3:$AK$252,MATCH($B88,Daily!$A$3:$A$252,0)),""),""))</f>
        <v/>
      </c>
      <c r="J88">
        <f>IF($B88="","",IF(AND(ISNUMBER(MDS),ISNUMBER(MDE)),IF(AND($B88&gt;=MDS,$B88&lt;=MDE),24,""),""))</f>
        <v/>
      </c>
      <c r="K88">
        <f>IF($B88="","",IF(AND(ISNUMBER(PitanS),ISNUMBER(PitanE)),IF(AND($B88&gt;=PitanS,$B88&lt;=PitanE),26,""),""))</f>
        <v/>
      </c>
      <c r="L88">
        <f>IF($B88="","",IF(AND(ISNUMBER(C1S),ISNUMBER(C3E)),IF(AND($B88&gt;=C1S,$B88&lt;=C3E),22,""),""))</f>
        <v/>
      </c>
    </row>
    <row r="89">
      <c r="A89" t="n">
        <v>88</v>
      </c>
      <c r="B89" s="30">
        <f>IFERROR(SMALL(Daily!$A$3:$A$252,A89),"")</f>
        <v/>
      </c>
      <c r="C89">
        <f>IF($B89="","",IF(ISNUMBER(IFERROR(INDEX(Daily!$T$3:$T$252,MATCH($B89,Daily!$A$3:$A$252,0)),"")),IFERROR(INDEX(Daily!$T$3:$T$252,MATCH($B89,Daily!$A$3:$A$252,0)),""),""))</f>
        <v/>
      </c>
      <c r="D89">
        <f>IF($B89="","",IF(ISNUMBER(IFERROR(INDEX(Daily!$AE$3:$AE$252,MATCH($B89,Daily!$A$3:$A$252,0)),"")),IFERROR(INDEX(Daily!$AE$3:$AE$252,MATCH($B89,Daily!$A$3:$A$252,0)),""),""))</f>
        <v/>
      </c>
      <c r="E89">
        <f>IF($B89="","",IF(ISNUMBER(IFERROR(INDEX(Daily!$B$3:$B$252,MATCH($B89,Daily!$A$3:$A$252,0)),"")),IFERROR(INDEX(Daily!$B$3:$B$252,MATCH($B89,Daily!$A$3:$A$252,0)),""),0))</f>
        <v/>
      </c>
      <c r="F89">
        <f>IF($B89="","",IF(ISNUMBER(IFERROR(INDEX(Daily!$Y$3:$Y$252,MATCH($B89,Daily!$A$3:$A$252,0)),"")),IFERROR(INDEX(Daily!$Y$3:$Y$252,MATCH($B89,Daily!$A$3:$A$252,0)),""),""))</f>
        <v/>
      </c>
      <c r="G89">
        <f>IF($B89="","",IF(ISNUMBER(IFERROR(INDEX(Daily!$AJ$3:$AJ$252,MATCH($B89,Daily!$A$3:$A$252,0)),"")),IFERROR(INDEX(Daily!$AJ$3:$AJ$252,MATCH($B89,Daily!$A$3:$A$252,0)),""),""))</f>
        <v/>
      </c>
      <c r="H89">
        <f>IF($B89="","",IF(ISNUMBER(IFERROR(INDEX(Daily!$Z$3:$Z$252,MATCH($B89,Daily!$A$3:$A$252,0)),"")),IFERROR(INDEX(Daily!$Z$3:$Z$252,MATCH($B89,Daily!$A$3:$A$252,0)),""),""))</f>
        <v/>
      </c>
      <c r="I89">
        <f>IF($B89="","",IF(ISNUMBER(IFERROR(INDEX(Daily!$AK$3:$AK$252,MATCH($B89,Daily!$A$3:$A$252,0)),"")),IFERROR(INDEX(Daily!$AK$3:$AK$252,MATCH($B89,Daily!$A$3:$A$252,0)),""),""))</f>
        <v/>
      </c>
      <c r="J89">
        <f>IF($B89="","",IF(AND(ISNUMBER(MDS),ISNUMBER(MDE)),IF(AND($B89&gt;=MDS,$B89&lt;=MDE),24,""),""))</f>
        <v/>
      </c>
      <c r="K89">
        <f>IF($B89="","",IF(AND(ISNUMBER(PitanS),ISNUMBER(PitanE)),IF(AND($B89&gt;=PitanS,$B89&lt;=PitanE),26,""),""))</f>
        <v/>
      </c>
      <c r="L89">
        <f>IF($B89="","",IF(AND(ISNUMBER(C1S),ISNUMBER(C3E)),IF(AND($B89&gt;=C1S,$B89&lt;=C3E),22,""),""))</f>
        <v/>
      </c>
    </row>
    <row r="90">
      <c r="A90" t="n">
        <v>89</v>
      </c>
      <c r="B90" s="30">
        <f>IFERROR(SMALL(Daily!$A$3:$A$252,A90),"")</f>
        <v/>
      </c>
      <c r="C90">
        <f>IF($B90="","",IF(ISNUMBER(IFERROR(INDEX(Daily!$T$3:$T$252,MATCH($B90,Daily!$A$3:$A$252,0)),"")),IFERROR(INDEX(Daily!$T$3:$T$252,MATCH($B90,Daily!$A$3:$A$252,0)),""),""))</f>
        <v/>
      </c>
      <c r="D90">
        <f>IF($B90="","",IF(ISNUMBER(IFERROR(INDEX(Daily!$AE$3:$AE$252,MATCH($B90,Daily!$A$3:$A$252,0)),"")),IFERROR(INDEX(Daily!$AE$3:$AE$252,MATCH($B90,Daily!$A$3:$A$252,0)),""),""))</f>
        <v/>
      </c>
      <c r="E90">
        <f>IF($B90="","",IF(ISNUMBER(IFERROR(INDEX(Daily!$B$3:$B$252,MATCH($B90,Daily!$A$3:$A$252,0)),"")),IFERROR(INDEX(Daily!$B$3:$B$252,MATCH($B90,Daily!$A$3:$A$252,0)),""),0))</f>
        <v/>
      </c>
      <c r="F90">
        <f>IF($B90="","",IF(ISNUMBER(IFERROR(INDEX(Daily!$Y$3:$Y$252,MATCH($B90,Daily!$A$3:$A$252,0)),"")),IFERROR(INDEX(Daily!$Y$3:$Y$252,MATCH($B90,Daily!$A$3:$A$252,0)),""),""))</f>
        <v/>
      </c>
      <c r="G90">
        <f>IF($B90="","",IF(ISNUMBER(IFERROR(INDEX(Daily!$AJ$3:$AJ$252,MATCH($B90,Daily!$A$3:$A$252,0)),"")),IFERROR(INDEX(Daily!$AJ$3:$AJ$252,MATCH($B90,Daily!$A$3:$A$252,0)),""),""))</f>
        <v/>
      </c>
      <c r="H90">
        <f>IF($B90="","",IF(ISNUMBER(IFERROR(INDEX(Daily!$Z$3:$Z$252,MATCH($B90,Daily!$A$3:$A$252,0)),"")),IFERROR(INDEX(Daily!$Z$3:$Z$252,MATCH($B90,Daily!$A$3:$A$252,0)),""),""))</f>
        <v/>
      </c>
      <c r="I90">
        <f>IF($B90="","",IF(ISNUMBER(IFERROR(INDEX(Daily!$AK$3:$AK$252,MATCH($B90,Daily!$A$3:$A$252,0)),"")),IFERROR(INDEX(Daily!$AK$3:$AK$252,MATCH($B90,Daily!$A$3:$A$252,0)),""),""))</f>
        <v/>
      </c>
      <c r="J90">
        <f>IF($B90="","",IF(AND(ISNUMBER(MDS),ISNUMBER(MDE)),IF(AND($B90&gt;=MDS,$B90&lt;=MDE),24,""),""))</f>
        <v/>
      </c>
      <c r="K90">
        <f>IF($B90="","",IF(AND(ISNUMBER(PitanS),ISNUMBER(PitanE)),IF(AND($B90&gt;=PitanS,$B90&lt;=PitanE),26,""),""))</f>
        <v/>
      </c>
      <c r="L90">
        <f>IF($B90="","",IF(AND(ISNUMBER(C1S),ISNUMBER(C3E)),IF(AND($B90&gt;=C1S,$B90&lt;=C3E),22,""),""))</f>
        <v/>
      </c>
    </row>
    <row r="91">
      <c r="A91" t="n">
        <v>90</v>
      </c>
      <c r="B91" s="30">
        <f>IFERROR(SMALL(Daily!$A$3:$A$252,A91),"")</f>
        <v/>
      </c>
      <c r="C91">
        <f>IF($B91="","",IF(ISNUMBER(IFERROR(INDEX(Daily!$T$3:$T$252,MATCH($B91,Daily!$A$3:$A$252,0)),"")),IFERROR(INDEX(Daily!$T$3:$T$252,MATCH($B91,Daily!$A$3:$A$252,0)),""),""))</f>
        <v/>
      </c>
      <c r="D91">
        <f>IF($B91="","",IF(ISNUMBER(IFERROR(INDEX(Daily!$AE$3:$AE$252,MATCH($B91,Daily!$A$3:$A$252,0)),"")),IFERROR(INDEX(Daily!$AE$3:$AE$252,MATCH($B91,Daily!$A$3:$A$252,0)),""),""))</f>
        <v/>
      </c>
      <c r="E91">
        <f>IF($B91="","",IF(ISNUMBER(IFERROR(INDEX(Daily!$B$3:$B$252,MATCH($B91,Daily!$A$3:$A$252,0)),"")),IFERROR(INDEX(Daily!$B$3:$B$252,MATCH($B91,Daily!$A$3:$A$252,0)),""),0))</f>
        <v/>
      </c>
      <c r="F91">
        <f>IF($B91="","",IF(ISNUMBER(IFERROR(INDEX(Daily!$Y$3:$Y$252,MATCH($B91,Daily!$A$3:$A$252,0)),"")),IFERROR(INDEX(Daily!$Y$3:$Y$252,MATCH($B91,Daily!$A$3:$A$252,0)),""),""))</f>
        <v/>
      </c>
      <c r="G91">
        <f>IF($B91="","",IF(ISNUMBER(IFERROR(INDEX(Daily!$AJ$3:$AJ$252,MATCH($B91,Daily!$A$3:$A$252,0)),"")),IFERROR(INDEX(Daily!$AJ$3:$AJ$252,MATCH($B91,Daily!$A$3:$A$252,0)),""),""))</f>
        <v/>
      </c>
      <c r="H91">
        <f>IF($B91="","",IF(ISNUMBER(IFERROR(INDEX(Daily!$Z$3:$Z$252,MATCH($B91,Daily!$A$3:$A$252,0)),"")),IFERROR(INDEX(Daily!$Z$3:$Z$252,MATCH($B91,Daily!$A$3:$A$252,0)),""),""))</f>
        <v/>
      </c>
      <c r="I91">
        <f>IF($B91="","",IF(ISNUMBER(IFERROR(INDEX(Daily!$AK$3:$AK$252,MATCH($B91,Daily!$A$3:$A$252,0)),"")),IFERROR(INDEX(Daily!$AK$3:$AK$252,MATCH($B91,Daily!$A$3:$A$252,0)),""),""))</f>
        <v/>
      </c>
      <c r="J91">
        <f>IF($B91="","",IF(AND(ISNUMBER(MDS),ISNUMBER(MDE)),IF(AND($B91&gt;=MDS,$B91&lt;=MDE),24,""),""))</f>
        <v/>
      </c>
      <c r="K91">
        <f>IF($B91="","",IF(AND(ISNUMBER(PitanS),ISNUMBER(PitanE)),IF(AND($B91&gt;=PitanS,$B91&lt;=PitanE),26,""),""))</f>
        <v/>
      </c>
      <c r="L91">
        <f>IF($B91="","",IF(AND(ISNUMBER(C1S),ISNUMBER(C3E)),IF(AND($B91&gt;=C1S,$B91&lt;=C3E),22,""),""))</f>
        <v/>
      </c>
    </row>
    <row r="92">
      <c r="A92" t="n">
        <v>91</v>
      </c>
      <c r="B92" s="30">
        <f>IFERROR(SMALL(Daily!$A$3:$A$252,A92),"")</f>
        <v/>
      </c>
      <c r="C92">
        <f>IF($B92="","",IF(ISNUMBER(IFERROR(INDEX(Daily!$T$3:$T$252,MATCH($B92,Daily!$A$3:$A$252,0)),"")),IFERROR(INDEX(Daily!$T$3:$T$252,MATCH($B92,Daily!$A$3:$A$252,0)),""),""))</f>
        <v/>
      </c>
      <c r="D92">
        <f>IF($B92="","",IF(ISNUMBER(IFERROR(INDEX(Daily!$AE$3:$AE$252,MATCH($B92,Daily!$A$3:$A$252,0)),"")),IFERROR(INDEX(Daily!$AE$3:$AE$252,MATCH($B92,Daily!$A$3:$A$252,0)),""),""))</f>
        <v/>
      </c>
      <c r="E92">
        <f>IF($B92="","",IF(ISNUMBER(IFERROR(INDEX(Daily!$B$3:$B$252,MATCH($B92,Daily!$A$3:$A$252,0)),"")),IFERROR(INDEX(Daily!$B$3:$B$252,MATCH($B92,Daily!$A$3:$A$252,0)),""),0))</f>
        <v/>
      </c>
      <c r="F92">
        <f>IF($B92="","",IF(ISNUMBER(IFERROR(INDEX(Daily!$Y$3:$Y$252,MATCH($B92,Daily!$A$3:$A$252,0)),"")),IFERROR(INDEX(Daily!$Y$3:$Y$252,MATCH($B92,Daily!$A$3:$A$252,0)),""),""))</f>
        <v/>
      </c>
      <c r="G92">
        <f>IF($B92="","",IF(ISNUMBER(IFERROR(INDEX(Daily!$AJ$3:$AJ$252,MATCH($B92,Daily!$A$3:$A$252,0)),"")),IFERROR(INDEX(Daily!$AJ$3:$AJ$252,MATCH($B92,Daily!$A$3:$A$252,0)),""),""))</f>
        <v/>
      </c>
      <c r="H92">
        <f>IF($B92="","",IF(ISNUMBER(IFERROR(INDEX(Daily!$Z$3:$Z$252,MATCH($B92,Daily!$A$3:$A$252,0)),"")),IFERROR(INDEX(Daily!$Z$3:$Z$252,MATCH($B92,Daily!$A$3:$A$252,0)),""),""))</f>
        <v/>
      </c>
      <c r="I92">
        <f>IF($B92="","",IF(ISNUMBER(IFERROR(INDEX(Daily!$AK$3:$AK$252,MATCH($B92,Daily!$A$3:$A$252,0)),"")),IFERROR(INDEX(Daily!$AK$3:$AK$252,MATCH($B92,Daily!$A$3:$A$252,0)),""),""))</f>
        <v/>
      </c>
      <c r="J92">
        <f>IF($B92="","",IF(AND(ISNUMBER(MDS),ISNUMBER(MDE)),IF(AND($B92&gt;=MDS,$B92&lt;=MDE),24,""),""))</f>
        <v/>
      </c>
      <c r="K92">
        <f>IF($B92="","",IF(AND(ISNUMBER(PitanS),ISNUMBER(PitanE)),IF(AND($B92&gt;=PitanS,$B92&lt;=PitanE),26,""),""))</f>
        <v/>
      </c>
      <c r="L92">
        <f>IF($B92="","",IF(AND(ISNUMBER(C1S),ISNUMBER(C3E)),IF(AND($B92&gt;=C1S,$B92&lt;=C3E),22,""),""))</f>
        <v/>
      </c>
    </row>
    <row r="93">
      <c r="A93" t="n">
        <v>92</v>
      </c>
      <c r="B93" s="30">
        <f>IFERROR(SMALL(Daily!$A$3:$A$252,A93),"")</f>
        <v/>
      </c>
      <c r="C93">
        <f>IF($B93="","",IF(ISNUMBER(IFERROR(INDEX(Daily!$T$3:$T$252,MATCH($B93,Daily!$A$3:$A$252,0)),"")),IFERROR(INDEX(Daily!$T$3:$T$252,MATCH($B93,Daily!$A$3:$A$252,0)),""),""))</f>
        <v/>
      </c>
      <c r="D93">
        <f>IF($B93="","",IF(ISNUMBER(IFERROR(INDEX(Daily!$AE$3:$AE$252,MATCH($B93,Daily!$A$3:$A$252,0)),"")),IFERROR(INDEX(Daily!$AE$3:$AE$252,MATCH($B93,Daily!$A$3:$A$252,0)),""),""))</f>
        <v/>
      </c>
      <c r="E93">
        <f>IF($B93="","",IF(ISNUMBER(IFERROR(INDEX(Daily!$B$3:$B$252,MATCH($B93,Daily!$A$3:$A$252,0)),"")),IFERROR(INDEX(Daily!$B$3:$B$252,MATCH($B93,Daily!$A$3:$A$252,0)),""),0))</f>
        <v/>
      </c>
      <c r="F93">
        <f>IF($B93="","",IF(ISNUMBER(IFERROR(INDEX(Daily!$Y$3:$Y$252,MATCH($B93,Daily!$A$3:$A$252,0)),"")),IFERROR(INDEX(Daily!$Y$3:$Y$252,MATCH($B93,Daily!$A$3:$A$252,0)),""),""))</f>
        <v/>
      </c>
      <c r="G93">
        <f>IF($B93="","",IF(ISNUMBER(IFERROR(INDEX(Daily!$AJ$3:$AJ$252,MATCH($B93,Daily!$A$3:$A$252,0)),"")),IFERROR(INDEX(Daily!$AJ$3:$AJ$252,MATCH($B93,Daily!$A$3:$A$252,0)),""),""))</f>
        <v/>
      </c>
      <c r="H93">
        <f>IF($B93="","",IF(ISNUMBER(IFERROR(INDEX(Daily!$Z$3:$Z$252,MATCH($B93,Daily!$A$3:$A$252,0)),"")),IFERROR(INDEX(Daily!$Z$3:$Z$252,MATCH($B93,Daily!$A$3:$A$252,0)),""),""))</f>
        <v/>
      </c>
      <c r="I93">
        <f>IF($B93="","",IF(ISNUMBER(IFERROR(INDEX(Daily!$AK$3:$AK$252,MATCH($B93,Daily!$A$3:$A$252,0)),"")),IFERROR(INDEX(Daily!$AK$3:$AK$252,MATCH($B93,Daily!$A$3:$A$252,0)),""),""))</f>
        <v/>
      </c>
      <c r="J93">
        <f>IF($B93="","",IF(AND(ISNUMBER(MDS),ISNUMBER(MDE)),IF(AND($B93&gt;=MDS,$B93&lt;=MDE),24,""),""))</f>
        <v/>
      </c>
      <c r="K93">
        <f>IF($B93="","",IF(AND(ISNUMBER(PitanS),ISNUMBER(PitanE)),IF(AND($B93&gt;=PitanS,$B93&lt;=PitanE),26,""),""))</f>
        <v/>
      </c>
      <c r="L93">
        <f>IF($B93="","",IF(AND(ISNUMBER(C1S),ISNUMBER(C3E)),IF(AND($B93&gt;=C1S,$B93&lt;=C3E),22,""),""))</f>
        <v/>
      </c>
    </row>
    <row r="94">
      <c r="A94" t="n">
        <v>93</v>
      </c>
      <c r="B94" s="30">
        <f>IFERROR(SMALL(Daily!$A$3:$A$252,A94),"")</f>
        <v/>
      </c>
      <c r="C94">
        <f>IF($B94="","",IF(ISNUMBER(IFERROR(INDEX(Daily!$T$3:$T$252,MATCH($B94,Daily!$A$3:$A$252,0)),"")),IFERROR(INDEX(Daily!$T$3:$T$252,MATCH($B94,Daily!$A$3:$A$252,0)),""),""))</f>
        <v/>
      </c>
      <c r="D94">
        <f>IF($B94="","",IF(ISNUMBER(IFERROR(INDEX(Daily!$AE$3:$AE$252,MATCH($B94,Daily!$A$3:$A$252,0)),"")),IFERROR(INDEX(Daily!$AE$3:$AE$252,MATCH($B94,Daily!$A$3:$A$252,0)),""),""))</f>
        <v/>
      </c>
      <c r="E94">
        <f>IF($B94="","",IF(ISNUMBER(IFERROR(INDEX(Daily!$B$3:$B$252,MATCH($B94,Daily!$A$3:$A$252,0)),"")),IFERROR(INDEX(Daily!$B$3:$B$252,MATCH($B94,Daily!$A$3:$A$252,0)),""),0))</f>
        <v/>
      </c>
      <c r="F94">
        <f>IF($B94="","",IF(ISNUMBER(IFERROR(INDEX(Daily!$Y$3:$Y$252,MATCH($B94,Daily!$A$3:$A$252,0)),"")),IFERROR(INDEX(Daily!$Y$3:$Y$252,MATCH($B94,Daily!$A$3:$A$252,0)),""),""))</f>
        <v/>
      </c>
      <c r="G94">
        <f>IF($B94="","",IF(ISNUMBER(IFERROR(INDEX(Daily!$AJ$3:$AJ$252,MATCH($B94,Daily!$A$3:$A$252,0)),"")),IFERROR(INDEX(Daily!$AJ$3:$AJ$252,MATCH($B94,Daily!$A$3:$A$252,0)),""),""))</f>
        <v/>
      </c>
      <c r="H94">
        <f>IF($B94="","",IF(ISNUMBER(IFERROR(INDEX(Daily!$Z$3:$Z$252,MATCH($B94,Daily!$A$3:$A$252,0)),"")),IFERROR(INDEX(Daily!$Z$3:$Z$252,MATCH($B94,Daily!$A$3:$A$252,0)),""),""))</f>
        <v/>
      </c>
      <c r="I94">
        <f>IF($B94="","",IF(ISNUMBER(IFERROR(INDEX(Daily!$AK$3:$AK$252,MATCH($B94,Daily!$A$3:$A$252,0)),"")),IFERROR(INDEX(Daily!$AK$3:$AK$252,MATCH($B94,Daily!$A$3:$A$252,0)),""),""))</f>
        <v/>
      </c>
      <c r="J94">
        <f>IF($B94="","",IF(AND(ISNUMBER(MDS),ISNUMBER(MDE)),IF(AND($B94&gt;=MDS,$B94&lt;=MDE),24,""),""))</f>
        <v/>
      </c>
      <c r="K94">
        <f>IF($B94="","",IF(AND(ISNUMBER(PitanS),ISNUMBER(PitanE)),IF(AND($B94&gt;=PitanS,$B94&lt;=PitanE),26,""),""))</f>
        <v/>
      </c>
      <c r="L94">
        <f>IF($B94="","",IF(AND(ISNUMBER(C1S),ISNUMBER(C3E)),IF(AND($B94&gt;=C1S,$B94&lt;=C3E),22,""),""))</f>
        <v/>
      </c>
    </row>
    <row r="95">
      <c r="A95" t="n">
        <v>94</v>
      </c>
      <c r="B95" s="30">
        <f>IFERROR(SMALL(Daily!$A$3:$A$252,A95),"")</f>
        <v/>
      </c>
      <c r="C95">
        <f>IF($B95="","",IF(ISNUMBER(IFERROR(INDEX(Daily!$T$3:$T$252,MATCH($B95,Daily!$A$3:$A$252,0)),"")),IFERROR(INDEX(Daily!$T$3:$T$252,MATCH($B95,Daily!$A$3:$A$252,0)),""),""))</f>
        <v/>
      </c>
      <c r="D95">
        <f>IF($B95="","",IF(ISNUMBER(IFERROR(INDEX(Daily!$AE$3:$AE$252,MATCH($B95,Daily!$A$3:$A$252,0)),"")),IFERROR(INDEX(Daily!$AE$3:$AE$252,MATCH($B95,Daily!$A$3:$A$252,0)),""),""))</f>
        <v/>
      </c>
      <c r="E95">
        <f>IF($B95="","",IF(ISNUMBER(IFERROR(INDEX(Daily!$B$3:$B$252,MATCH($B95,Daily!$A$3:$A$252,0)),"")),IFERROR(INDEX(Daily!$B$3:$B$252,MATCH($B95,Daily!$A$3:$A$252,0)),""),0))</f>
        <v/>
      </c>
      <c r="F95">
        <f>IF($B95="","",IF(ISNUMBER(IFERROR(INDEX(Daily!$Y$3:$Y$252,MATCH($B95,Daily!$A$3:$A$252,0)),"")),IFERROR(INDEX(Daily!$Y$3:$Y$252,MATCH($B95,Daily!$A$3:$A$252,0)),""),""))</f>
        <v/>
      </c>
      <c r="G95">
        <f>IF($B95="","",IF(ISNUMBER(IFERROR(INDEX(Daily!$AJ$3:$AJ$252,MATCH($B95,Daily!$A$3:$A$252,0)),"")),IFERROR(INDEX(Daily!$AJ$3:$AJ$252,MATCH($B95,Daily!$A$3:$A$252,0)),""),""))</f>
        <v/>
      </c>
      <c r="H95">
        <f>IF($B95="","",IF(ISNUMBER(IFERROR(INDEX(Daily!$Z$3:$Z$252,MATCH($B95,Daily!$A$3:$A$252,0)),"")),IFERROR(INDEX(Daily!$Z$3:$Z$252,MATCH($B95,Daily!$A$3:$A$252,0)),""),""))</f>
        <v/>
      </c>
      <c r="I95">
        <f>IF($B95="","",IF(ISNUMBER(IFERROR(INDEX(Daily!$AK$3:$AK$252,MATCH($B95,Daily!$A$3:$A$252,0)),"")),IFERROR(INDEX(Daily!$AK$3:$AK$252,MATCH($B95,Daily!$A$3:$A$252,0)),""),""))</f>
        <v/>
      </c>
      <c r="J95">
        <f>IF($B95="","",IF(AND(ISNUMBER(MDS),ISNUMBER(MDE)),IF(AND($B95&gt;=MDS,$B95&lt;=MDE),24,""),""))</f>
        <v/>
      </c>
      <c r="K95">
        <f>IF($B95="","",IF(AND(ISNUMBER(PitanS),ISNUMBER(PitanE)),IF(AND($B95&gt;=PitanS,$B95&lt;=PitanE),26,""),""))</f>
        <v/>
      </c>
      <c r="L95">
        <f>IF($B95="","",IF(AND(ISNUMBER(C1S),ISNUMBER(C3E)),IF(AND($B95&gt;=C1S,$B95&lt;=C3E),22,""),""))</f>
        <v/>
      </c>
    </row>
    <row r="96">
      <c r="A96" t="n">
        <v>95</v>
      </c>
      <c r="B96" s="30">
        <f>IFERROR(SMALL(Daily!$A$3:$A$252,A96),"")</f>
        <v/>
      </c>
      <c r="C96">
        <f>IF($B96="","",IF(ISNUMBER(IFERROR(INDEX(Daily!$T$3:$T$252,MATCH($B96,Daily!$A$3:$A$252,0)),"")),IFERROR(INDEX(Daily!$T$3:$T$252,MATCH($B96,Daily!$A$3:$A$252,0)),""),""))</f>
        <v/>
      </c>
      <c r="D96">
        <f>IF($B96="","",IF(ISNUMBER(IFERROR(INDEX(Daily!$AE$3:$AE$252,MATCH($B96,Daily!$A$3:$A$252,0)),"")),IFERROR(INDEX(Daily!$AE$3:$AE$252,MATCH($B96,Daily!$A$3:$A$252,0)),""),""))</f>
        <v/>
      </c>
      <c r="E96">
        <f>IF($B96="","",IF(ISNUMBER(IFERROR(INDEX(Daily!$B$3:$B$252,MATCH($B96,Daily!$A$3:$A$252,0)),"")),IFERROR(INDEX(Daily!$B$3:$B$252,MATCH($B96,Daily!$A$3:$A$252,0)),""),0))</f>
        <v/>
      </c>
      <c r="F96">
        <f>IF($B96="","",IF(ISNUMBER(IFERROR(INDEX(Daily!$Y$3:$Y$252,MATCH($B96,Daily!$A$3:$A$252,0)),"")),IFERROR(INDEX(Daily!$Y$3:$Y$252,MATCH($B96,Daily!$A$3:$A$252,0)),""),""))</f>
        <v/>
      </c>
      <c r="G96">
        <f>IF($B96="","",IF(ISNUMBER(IFERROR(INDEX(Daily!$AJ$3:$AJ$252,MATCH($B96,Daily!$A$3:$A$252,0)),"")),IFERROR(INDEX(Daily!$AJ$3:$AJ$252,MATCH($B96,Daily!$A$3:$A$252,0)),""),""))</f>
        <v/>
      </c>
      <c r="H96">
        <f>IF($B96="","",IF(ISNUMBER(IFERROR(INDEX(Daily!$Z$3:$Z$252,MATCH($B96,Daily!$A$3:$A$252,0)),"")),IFERROR(INDEX(Daily!$Z$3:$Z$252,MATCH($B96,Daily!$A$3:$A$252,0)),""),""))</f>
        <v/>
      </c>
      <c r="I96">
        <f>IF($B96="","",IF(ISNUMBER(IFERROR(INDEX(Daily!$AK$3:$AK$252,MATCH($B96,Daily!$A$3:$A$252,0)),"")),IFERROR(INDEX(Daily!$AK$3:$AK$252,MATCH($B96,Daily!$A$3:$A$252,0)),""),""))</f>
        <v/>
      </c>
      <c r="J96">
        <f>IF($B96="","",IF(AND(ISNUMBER(MDS),ISNUMBER(MDE)),IF(AND($B96&gt;=MDS,$B96&lt;=MDE),24,""),""))</f>
        <v/>
      </c>
      <c r="K96">
        <f>IF($B96="","",IF(AND(ISNUMBER(PitanS),ISNUMBER(PitanE)),IF(AND($B96&gt;=PitanS,$B96&lt;=PitanE),26,""),""))</f>
        <v/>
      </c>
      <c r="L96">
        <f>IF($B96="","",IF(AND(ISNUMBER(C1S),ISNUMBER(C3E)),IF(AND($B96&gt;=C1S,$B96&lt;=C3E),22,""),""))</f>
        <v/>
      </c>
    </row>
    <row r="97">
      <c r="A97" t="n">
        <v>96</v>
      </c>
      <c r="B97" s="30">
        <f>IFERROR(SMALL(Daily!$A$3:$A$252,A97),"")</f>
        <v/>
      </c>
      <c r="C97">
        <f>IF($B97="","",IF(ISNUMBER(IFERROR(INDEX(Daily!$T$3:$T$252,MATCH($B97,Daily!$A$3:$A$252,0)),"")),IFERROR(INDEX(Daily!$T$3:$T$252,MATCH($B97,Daily!$A$3:$A$252,0)),""),""))</f>
        <v/>
      </c>
      <c r="D97">
        <f>IF($B97="","",IF(ISNUMBER(IFERROR(INDEX(Daily!$AE$3:$AE$252,MATCH($B97,Daily!$A$3:$A$252,0)),"")),IFERROR(INDEX(Daily!$AE$3:$AE$252,MATCH($B97,Daily!$A$3:$A$252,0)),""),""))</f>
        <v/>
      </c>
      <c r="E97">
        <f>IF($B97="","",IF(ISNUMBER(IFERROR(INDEX(Daily!$B$3:$B$252,MATCH($B97,Daily!$A$3:$A$252,0)),"")),IFERROR(INDEX(Daily!$B$3:$B$252,MATCH($B97,Daily!$A$3:$A$252,0)),""),0))</f>
        <v/>
      </c>
      <c r="F97">
        <f>IF($B97="","",IF(ISNUMBER(IFERROR(INDEX(Daily!$Y$3:$Y$252,MATCH($B97,Daily!$A$3:$A$252,0)),"")),IFERROR(INDEX(Daily!$Y$3:$Y$252,MATCH($B97,Daily!$A$3:$A$252,0)),""),""))</f>
        <v/>
      </c>
      <c r="G97">
        <f>IF($B97="","",IF(ISNUMBER(IFERROR(INDEX(Daily!$AJ$3:$AJ$252,MATCH($B97,Daily!$A$3:$A$252,0)),"")),IFERROR(INDEX(Daily!$AJ$3:$AJ$252,MATCH($B97,Daily!$A$3:$A$252,0)),""),""))</f>
        <v/>
      </c>
      <c r="H97">
        <f>IF($B97="","",IF(ISNUMBER(IFERROR(INDEX(Daily!$Z$3:$Z$252,MATCH($B97,Daily!$A$3:$A$252,0)),"")),IFERROR(INDEX(Daily!$Z$3:$Z$252,MATCH($B97,Daily!$A$3:$A$252,0)),""),""))</f>
        <v/>
      </c>
      <c r="I97">
        <f>IF($B97="","",IF(ISNUMBER(IFERROR(INDEX(Daily!$AK$3:$AK$252,MATCH($B97,Daily!$A$3:$A$252,0)),"")),IFERROR(INDEX(Daily!$AK$3:$AK$252,MATCH($B97,Daily!$A$3:$A$252,0)),""),""))</f>
        <v/>
      </c>
      <c r="J97">
        <f>IF($B97="","",IF(AND(ISNUMBER(MDS),ISNUMBER(MDE)),IF(AND($B97&gt;=MDS,$B97&lt;=MDE),24,""),""))</f>
        <v/>
      </c>
      <c r="K97">
        <f>IF($B97="","",IF(AND(ISNUMBER(PitanS),ISNUMBER(PitanE)),IF(AND($B97&gt;=PitanS,$B97&lt;=PitanE),26,""),""))</f>
        <v/>
      </c>
      <c r="L97">
        <f>IF($B97="","",IF(AND(ISNUMBER(C1S),ISNUMBER(C3E)),IF(AND($B97&gt;=C1S,$B97&lt;=C3E),22,""),""))</f>
        <v/>
      </c>
    </row>
    <row r="98">
      <c r="A98" t="n">
        <v>97</v>
      </c>
      <c r="B98" s="30">
        <f>IFERROR(SMALL(Daily!$A$3:$A$252,A98),"")</f>
        <v/>
      </c>
      <c r="C98">
        <f>IF($B98="","",IF(ISNUMBER(IFERROR(INDEX(Daily!$T$3:$T$252,MATCH($B98,Daily!$A$3:$A$252,0)),"")),IFERROR(INDEX(Daily!$T$3:$T$252,MATCH($B98,Daily!$A$3:$A$252,0)),""),""))</f>
        <v/>
      </c>
      <c r="D98">
        <f>IF($B98="","",IF(ISNUMBER(IFERROR(INDEX(Daily!$AE$3:$AE$252,MATCH($B98,Daily!$A$3:$A$252,0)),"")),IFERROR(INDEX(Daily!$AE$3:$AE$252,MATCH($B98,Daily!$A$3:$A$252,0)),""),""))</f>
        <v/>
      </c>
      <c r="E98">
        <f>IF($B98="","",IF(ISNUMBER(IFERROR(INDEX(Daily!$B$3:$B$252,MATCH($B98,Daily!$A$3:$A$252,0)),"")),IFERROR(INDEX(Daily!$B$3:$B$252,MATCH($B98,Daily!$A$3:$A$252,0)),""),0))</f>
        <v/>
      </c>
      <c r="F98">
        <f>IF($B98="","",IF(ISNUMBER(IFERROR(INDEX(Daily!$Y$3:$Y$252,MATCH($B98,Daily!$A$3:$A$252,0)),"")),IFERROR(INDEX(Daily!$Y$3:$Y$252,MATCH($B98,Daily!$A$3:$A$252,0)),""),""))</f>
        <v/>
      </c>
      <c r="G98">
        <f>IF($B98="","",IF(ISNUMBER(IFERROR(INDEX(Daily!$AJ$3:$AJ$252,MATCH($B98,Daily!$A$3:$A$252,0)),"")),IFERROR(INDEX(Daily!$AJ$3:$AJ$252,MATCH($B98,Daily!$A$3:$A$252,0)),""),""))</f>
        <v/>
      </c>
      <c r="H98">
        <f>IF($B98="","",IF(ISNUMBER(IFERROR(INDEX(Daily!$Z$3:$Z$252,MATCH($B98,Daily!$A$3:$A$252,0)),"")),IFERROR(INDEX(Daily!$Z$3:$Z$252,MATCH($B98,Daily!$A$3:$A$252,0)),""),""))</f>
        <v/>
      </c>
      <c r="I98">
        <f>IF($B98="","",IF(ISNUMBER(IFERROR(INDEX(Daily!$AK$3:$AK$252,MATCH($B98,Daily!$A$3:$A$252,0)),"")),IFERROR(INDEX(Daily!$AK$3:$AK$252,MATCH($B98,Daily!$A$3:$A$252,0)),""),""))</f>
        <v/>
      </c>
      <c r="J98">
        <f>IF($B98="","",IF(AND(ISNUMBER(MDS),ISNUMBER(MDE)),IF(AND($B98&gt;=MDS,$B98&lt;=MDE),24,""),""))</f>
        <v/>
      </c>
      <c r="K98">
        <f>IF($B98="","",IF(AND(ISNUMBER(PitanS),ISNUMBER(PitanE)),IF(AND($B98&gt;=PitanS,$B98&lt;=PitanE),26,""),""))</f>
        <v/>
      </c>
      <c r="L98">
        <f>IF($B98="","",IF(AND(ISNUMBER(C1S),ISNUMBER(C3E)),IF(AND($B98&gt;=C1S,$B98&lt;=C3E),22,""),""))</f>
        <v/>
      </c>
    </row>
    <row r="99">
      <c r="A99" t="n">
        <v>98</v>
      </c>
      <c r="B99" s="30">
        <f>IFERROR(SMALL(Daily!$A$3:$A$252,A99),"")</f>
        <v/>
      </c>
      <c r="C99">
        <f>IF($B99="","",IF(ISNUMBER(IFERROR(INDEX(Daily!$T$3:$T$252,MATCH($B99,Daily!$A$3:$A$252,0)),"")),IFERROR(INDEX(Daily!$T$3:$T$252,MATCH($B99,Daily!$A$3:$A$252,0)),""),""))</f>
        <v/>
      </c>
      <c r="D99">
        <f>IF($B99="","",IF(ISNUMBER(IFERROR(INDEX(Daily!$AE$3:$AE$252,MATCH($B99,Daily!$A$3:$A$252,0)),"")),IFERROR(INDEX(Daily!$AE$3:$AE$252,MATCH($B99,Daily!$A$3:$A$252,0)),""),""))</f>
        <v/>
      </c>
      <c r="E99">
        <f>IF($B99="","",IF(ISNUMBER(IFERROR(INDEX(Daily!$B$3:$B$252,MATCH($B99,Daily!$A$3:$A$252,0)),"")),IFERROR(INDEX(Daily!$B$3:$B$252,MATCH($B99,Daily!$A$3:$A$252,0)),""),0))</f>
        <v/>
      </c>
      <c r="F99">
        <f>IF($B99="","",IF(ISNUMBER(IFERROR(INDEX(Daily!$Y$3:$Y$252,MATCH($B99,Daily!$A$3:$A$252,0)),"")),IFERROR(INDEX(Daily!$Y$3:$Y$252,MATCH($B99,Daily!$A$3:$A$252,0)),""),""))</f>
        <v/>
      </c>
      <c r="G99">
        <f>IF($B99="","",IF(ISNUMBER(IFERROR(INDEX(Daily!$AJ$3:$AJ$252,MATCH($B99,Daily!$A$3:$A$252,0)),"")),IFERROR(INDEX(Daily!$AJ$3:$AJ$252,MATCH($B99,Daily!$A$3:$A$252,0)),""),""))</f>
        <v/>
      </c>
      <c r="H99">
        <f>IF($B99="","",IF(ISNUMBER(IFERROR(INDEX(Daily!$Z$3:$Z$252,MATCH($B99,Daily!$A$3:$A$252,0)),"")),IFERROR(INDEX(Daily!$Z$3:$Z$252,MATCH($B99,Daily!$A$3:$A$252,0)),""),""))</f>
        <v/>
      </c>
      <c r="I99">
        <f>IF($B99="","",IF(ISNUMBER(IFERROR(INDEX(Daily!$AK$3:$AK$252,MATCH($B99,Daily!$A$3:$A$252,0)),"")),IFERROR(INDEX(Daily!$AK$3:$AK$252,MATCH($B99,Daily!$A$3:$A$252,0)),""),""))</f>
        <v/>
      </c>
      <c r="J99">
        <f>IF($B99="","",IF(AND(ISNUMBER(MDS),ISNUMBER(MDE)),IF(AND($B99&gt;=MDS,$B99&lt;=MDE),24,""),""))</f>
        <v/>
      </c>
      <c r="K99">
        <f>IF($B99="","",IF(AND(ISNUMBER(PitanS),ISNUMBER(PitanE)),IF(AND($B99&gt;=PitanS,$B99&lt;=PitanE),26,""),""))</f>
        <v/>
      </c>
      <c r="L99">
        <f>IF($B99="","",IF(AND(ISNUMBER(C1S),ISNUMBER(C3E)),IF(AND($B99&gt;=C1S,$B99&lt;=C3E),22,""),""))</f>
        <v/>
      </c>
    </row>
    <row r="100">
      <c r="A100" t="n">
        <v>99</v>
      </c>
      <c r="B100" s="30">
        <f>IFERROR(SMALL(Daily!$A$3:$A$252,A100),"")</f>
        <v/>
      </c>
      <c r="C100">
        <f>IF($B100="","",IF(ISNUMBER(IFERROR(INDEX(Daily!$T$3:$T$252,MATCH($B100,Daily!$A$3:$A$252,0)),"")),IFERROR(INDEX(Daily!$T$3:$T$252,MATCH($B100,Daily!$A$3:$A$252,0)),""),""))</f>
        <v/>
      </c>
      <c r="D100">
        <f>IF($B100="","",IF(ISNUMBER(IFERROR(INDEX(Daily!$AE$3:$AE$252,MATCH($B100,Daily!$A$3:$A$252,0)),"")),IFERROR(INDEX(Daily!$AE$3:$AE$252,MATCH($B100,Daily!$A$3:$A$252,0)),""),""))</f>
        <v/>
      </c>
      <c r="E100">
        <f>IF($B100="","",IF(ISNUMBER(IFERROR(INDEX(Daily!$B$3:$B$252,MATCH($B100,Daily!$A$3:$A$252,0)),"")),IFERROR(INDEX(Daily!$B$3:$B$252,MATCH($B100,Daily!$A$3:$A$252,0)),""),0))</f>
        <v/>
      </c>
      <c r="F100">
        <f>IF($B100="","",IF(ISNUMBER(IFERROR(INDEX(Daily!$Y$3:$Y$252,MATCH($B100,Daily!$A$3:$A$252,0)),"")),IFERROR(INDEX(Daily!$Y$3:$Y$252,MATCH($B100,Daily!$A$3:$A$252,0)),""),""))</f>
        <v/>
      </c>
      <c r="G100">
        <f>IF($B100="","",IF(ISNUMBER(IFERROR(INDEX(Daily!$AJ$3:$AJ$252,MATCH($B100,Daily!$A$3:$A$252,0)),"")),IFERROR(INDEX(Daily!$AJ$3:$AJ$252,MATCH($B100,Daily!$A$3:$A$252,0)),""),""))</f>
        <v/>
      </c>
      <c r="H100">
        <f>IF($B100="","",IF(ISNUMBER(IFERROR(INDEX(Daily!$Z$3:$Z$252,MATCH($B100,Daily!$A$3:$A$252,0)),"")),IFERROR(INDEX(Daily!$Z$3:$Z$252,MATCH($B100,Daily!$A$3:$A$252,0)),""),""))</f>
        <v/>
      </c>
      <c r="I100">
        <f>IF($B100="","",IF(ISNUMBER(IFERROR(INDEX(Daily!$AK$3:$AK$252,MATCH($B100,Daily!$A$3:$A$252,0)),"")),IFERROR(INDEX(Daily!$AK$3:$AK$252,MATCH($B100,Daily!$A$3:$A$252,0)),""),""))</f>
        <v/>
      </c>
      <c r="J100">
        <f>IF($B100="","",IF(AND(ISNUMBER(MDS),ISNUMBER(MDE)),IF(AND($B100&gt;=MDS,$B100&lt;=MDE),24,""),""))</f>
        <v/>
      </c>
      <c r="K100">
        <f>IF($B100="","",IF(AND(ISNUMBER(PitanS),ISNUMBER(PitanE)),IF(AND($B100&gt;=PitanS,$B100&lt;=PitanE),26,""),""))</f>
        <v/>
      </c>
      <c r="L100">
        <f>IF($B100="","",IF(AND(ISNUMBER(C1S),ISNUMBER(C3E)),IF(AND($B100&gt;=C1S,$B100&lt;=C3E),22,""),""))</f>
        <v/>
      </c>
    </row>
    <row r="101">
      <c r="A101" t="n">
        <v>100</v>
      </c>
      <c r="B101" s="30">
        <f>IFERROR(SMALL(Daily!$A$3:$A$252,A101),"")</f>
        <v/>
      </c>
      <c r="C101">
        <f>IF($B101="","",IF(ISNUMBER(IFERROR(INDEX(Daily!$T$3:$T$252,MATCH($B101,Daily!$A$3:$A$252,0)),"")),IFERROR(INDEX(Daily!$T$3:$T$252,MATCH($B101,Daily!$A$3:$A$252,0)),""),""))</f>
        <v/>
      </c>
      <c r="D101">
        <f>IF($B101="","",IF(ISNUMBER(IFERROR(INDEX(Daily!$AE$3:$AE$252,MATCH($B101,Daily!$A$3:$A$252,0)),"")),IFERROR(INDEX(Daily!$AE$3:$AE$252,MATCH($B101,Daily!$A$3:$A$252,0)),""),""))</f>
        <v/>
      </c>
      <c r="E101">
        <f>IF($B101="","",IF(ISNUMBER(IFERROR(INDEX(Daily!$B$3:$B$252,MATCH($B101,Daily!$A$3:$A$252,0)),"")),IFERROR(INDEX(Daily!$B$3:$B$252,MATCH($B101,Daily!$A$3:$A$252,0)),""),0))</f>
        <v/>
      </c>
      <c r="F101">
        <f>IF($B101="","",IF(ISNUMBER(IFERROR(INDEX(Daily!$Y$3:$Y$252,MATCH($B101,Daily!$A$3:$A$252,0)),"")),IFERROR(INDEX(Daily!$Y$3:$Y$252,MATCH($B101,Daily!$A$3:$A$252,0)),""),""))</f>
        <v/>
      </c>
      <c r="G101">
        <f>IF($B101="","",IF(ISNUMBER(IFERROR(INDEX(Daily!$AJ$3:$AJ$252,MATCH($B101,Daily!$A$3:$A$252,0)),"")),IFERROR(INDEX(Daily!$AJ$3:$AJ$252,MATCH($B101,Daily!$A$3:$A$252,0)),""),""))</f>
        <v/>
      </c>
      <c r="H101">
        <f>IF($B101="","",IF(ISNUMBER(IFERROR(INDEX(Daily!$Z$3:$Z$252,MATCH($B101,Daily!$A$3:$A$252,0)),"")),IFERROR(INDEX(Daily!$Z$3:$Z$252,MATCH($B101,Daily!$A$3:$A$252,0)),""),""))</f>
        <v/>
      </c>
      <c r="I101">
        <f>IF($B101="","",IF(ISNUMBER(IFERROR(INDEX(Daily!$AK$3:$AK$252,MATCH($B101,Daily!$A$3:$A$252,0)),"")),IFERROR(INDEX(Daily!$AK$3:$AK$252,MATCH($B101,Daily!$A$3:$A$252,0)),""),""))</f>
        <v/>
      </c>
      <c r="J101">
        <f>IF($B101="","",IF(AND(ISNUMBER(MDS),ISNUMBER(MDE)),IF(AND($B101&gt;=MDS,$B101&lt;=MDE),24,""),""))</f>
        <v/>
      </c>
      <c r="K101">
        <f>IF($B101="","",IF(AND(ISNUMBER(PitanS),ISNUMBER(PitanE)),IF(AND($B101&gt;=PitanS,$B101&lt;=PitanE),26,""),""))</f>
        <v/>
      </c>
      <c r="L101">
        <f>IF($B101="","",IF(AND(ISNUMBER(C1S),ISNUMBER(C3E)),IF(AND($B101&gt;=C1S,$B101&lt;=C3E),22,""),""))</f>
        <v/>
      </c>
    </row>
    <row r="102">
      <c r="A102" t="n">
        <v>101</v>
      </c>
      <c r="B102" s="30">
        <f>IFERROR(SMALL(Daily!$A$3:$A$252,A102),"")</f>
        <v/>
      </c>
      <c r="C102">
        <f>IF($B102="","",IF(ISNUMBER(IFERROR(INDEX(Daily!$T$3:$T$252,MATCH($B102,Daily!$A$3:$A$252,0)),"")),IFERROR(INDEX(Daily!$T$3:$T$252,MATCH($B102,Daily!$A$3:$A$252,0)),""),""))</f>
        <v/>
      </c>
      <c r="D102">
        <f>IF($B102="","",IF(ISNUMBER(IFERROR(INDEX(Daily!$AE$3:$AE$252,MATCH($B102,Daily!$A$3:$A$252,0)),"")),IFERROR(INDEX(Daily!$AE$3:$AE$252,MATCH($B102,Daily!$A$3:$A$252,0)),""),""))</f>
        <v/>
      </c>
      <c r="E102">
        <f>IF($B102="","",IF(ISNUMBER(IFERROR(INDEX(Daily!$B$3:$B$252,MATCH($B102,Daily!$A$3:$A$252,0)),"")),IFERROR(INDEX(Daily!$B$3:$B$252,MATCH($B102,Daily!$A$3:$A$252,0)),""),0))</f>
        <v/>
      </c>
      <c r="F102">
        <f>IF($B102="","",IF(ISNUMBER(IFERROR(INDEX(Daily!$Y$3:$Y$252,MATCH($B102,Daily!$A$3:$A$252,0)),"")),IFERROR(INDEX(Daily!$Y$3:$Y$252,MATCH($B102,Daily!$A$3:$A$252,0)),""),""))</f>
        <v/>
      </c>
      <c r="G102">
        <f>IF($B102="","",IF(ISNUMBER(IFERROR(INDEX(Daily!$AJ$3:$AJ$252,MATCH($B102,Daily!$A$3:$A$252,0)),"")),IFERROR(INDEX(Daily!$AJ$3:$AJ$252,MATCH($B102,Daily!$A$3:$A$252,0)),""),""))</f>
        <v/>
      </c>
      <c r="H102">
        <f>IF($B102="","",IF(ISNUMBER(IFERROR(INDEX(Daily!$Z$3:$Z$252,MATCH($B102,Daily!$A$3:$A$252,0)),"")),IFERROR(INDEX(Daily!$Z$3:$Z$252,MATCH($B102,Daily!$A$3:$A$252,0)),""),""))</f>
        <v/>
      </c>
      <c r="I102">
        <f>IF($B102="","",IF(ISNUMBER(IFERROR(INDEX(Daily!$AK$3:$AK$252,MATCH($B102,Daily!$A$3:$A$252,0)),"")),IFERROR(INDEX(Daily!$AK$3:$AK$252,MATCH($B102,Daily!$A$3:$A$252,0)),""),""))</f>
        <v/>
      </c>
      <c r="J102">
        <f>IF($B102="","",IF(AND(ISNUMBER(MDS),ISNUMBER(MDE)),IF(AND($B102&gt;=MDS,$B102&lt;=MDE),24,""),""))</f>
        <v/>
      </c>
      <c r="K102">
        <f>IF($B102="","",IF(AND(ISNUMBER(PitanS),ISNUMBER(PitanE)),IF(AND($B102&gt;=PitanS,$B102&lt;=PitanE),26,""),""))</f>
        <v/>
      </c>
      <c r="L102">
        <f>IF($B102="","",IF(AND(ISNUMBER(C1S),ISNUMBER(C3E)),IF(AND($B102&gt;=C1S,$B102&lt;=C3E),22,""),""))</f>
        <v/>
      </c>
    </row>
    <row r="103">
      <c r="A103" t="n">
        <v>102</v>
      </c>
      <c r="B103" s="30">
        <f>IFERROR(SMALL(Daily!$A$3:$A$252,A103),"")</f>
        <v/>
      </c>
      <c r="C103">
        <f>IF($B103="","",IF(ISNUMBER(IFERROR(INDEX(Daily!$T$3:$T$252,MATCH($B103,Daily!$A$3:$A$252,0)),"")),IFERROR(INDEX(Daily!$T$3:$T$252,MATCH($B103,Daily!$A$3:$A$252,0)),""),""))</f>
        <v/>
      </c>
      <c r="D103">
        <f>IF($B103="","",IF(ISNUMBER(IFERROR(INDEX(Daily!$AE$3:$AE$252,MATCH($B103,Daily!$A$3:$A$252,0)),"")),IFERROR(INDEX(Daily!$AE$3:$AE$252,MATCH($B103,Daily!$A$3:$A$252,0)),""),""))</f>
        <v/>
      </c>
      <c r="E103">
        <f>IF($B103="","",IF(ISNUMBER(IFERROR(INDEX(Daily!$B$3:$B$252,MATCH($B103,Daily!$A$3:$A$252,0)),"")),IFERROR(INDEX(Daily!$B$3:$B$252,MATCH($B103,Daily!$A$3:$A$252,0)),""),0))</f>
        <v/>
      </c>
      <c r="F103">
        <f>IF($B103="","",IF(ISNUMBER(IFERROR(INDEX(Daily!$Y$3:$Y$252,MATCH($B103,Daily!$A$3:$A$252,0)),"")),IFERROR(INDEX(Daily!$Y$3:$Y$252,MATCH($B103,Daily!$A$3:$A$252,0)),""),""))</f>
        <v/>
      </c>
      <c r="G103">
        <f>IF($B103="","",IF(ISNUMBER(IFERROR(INDEX(Daily!$AJ$3:$AJ$252,MATCH($B103,Daily!$A$3:$A$252,0)),"")),IFERROR(INDEX(Daily!$AJ$3:$AJ$252,MATCH($B103,Daily!$A$3:$A$252,0)),""),""))</f>
        <v/>
      </c>
      <c r="H103">
        <f>IF($B103="","",IF(ISNUMBER(IFERROR(INDEX(Daily!$Z$3:$Z$252,MATCH($B103,Daily!$A$3:$A$252,0)),"")),IFERROR(INDEX(Daily!$Z$3:$Z$252,MATCH($B103,Daily!$A$3:$A$252,0)),""),""))</f>
        <v/>
      </c>
      <c r="I103">
        <f>IF($B103="","",IF(ISNUMBER(IFERROR(INDEX(Daily!$AK$3:$AK$252,MATCH($B103,Daily!$A$3:$A$252,0)),"")),IFERROR(INDEX(Daily!$AK$3:$AK$252,MATCH($B103,Daily!$A$3:$A$252,0)),""),""))</f>
        <v/>
      </c>
      <c r="J103">
        <f>IF($B103="","",IF(AND(ISNUMBER(MDS),ISNUMBER(MDE)),IF(AND($B103&gt;=MDS,$B103&lt;=MDE),24,""),""))</f>
        <v/>
      </c>
      <c r="K103">
        <f>IF($B103="","",IF(AND(ISNUMBER(PitanS),ISNUMBER(PitanE)),IF(AND($B103&gt;=PitanS,$B103&lt;=PitanE),26,""),""))</f>
        <v/>
      </c>
      <c r="L103">
        <f>IF($B103="","",IF(AND(ISNUMBER(C1S),ISNUMBER(C3E)),IF(AND($B103&gt;=C1S,$B103&lt;=C3E),22,""),""))</f>
        <v/>
      </c>
    </row>
    <row r="104">
      <c r="A104" t="n">
        <v>103</v>
      </c>
      <c r="B104" s="30">
        <f>IFERROR(SMALL(Daily!$A$3:$A$252,A104),"")</f>
        <v/>
      </c>
      <c r="C104">
        <f>IF($B104="","",IF(ISNUMBER(IFERROR(INDEX(Daily!$T$3:$T$252,MATCH($B104,Daily!$A$3:$A$252,0)),"")),IFERROR(INDEX(Daily!$T$3:$T$252,MATCH($B104,Daily!$A$3:$A$252,0)),""),""))</f>
        <v/>
      </c>
      <c r="D104">
        <f>IF($B104="","",IF(ISNUMBER(IFERROR(INDEX(Daily!$AE$3:$AE$252,MATCH($B104,Daily!$A$3:$A$252,0)),"")),IFERROR(INDEX(Daily!$AE$3:$AE$252,MATCH($B104,Daily!$A$3:$A$252,0)),""),""))</f>
        <v/>
      </c>
      <c r="E104">
        <f>IF($B104="","",IF(ISNUMBER(IFERROR(INDEX(Daily!$B$3:$B$252,MATCH($B104,Daily!$A$3:$A$252,0)),"")),IFERROR(INDEX(Daily!$B$3:$B$252,MATCH($B104,Daily!$A$3:$A$252,0)),""),0))</f>
        <v/>
      </c>
      <c r="F104">
        <f>IF($B104="","",IF(ISNUMBER(IFERROR(INDEX(Daily!$Y$3:$Y$252,MATCH($B104,Daily!$A$3:$A$252,0)),"")),IFERROR(INDEX(Daily!$Y$3:$Y$252,MATCH($B104,Daily!$A$3:$A$252,0)),""),""))</f>
        <v/>
      </c>
      <c r="G104">
        <f>IF($B104="","",IF(ISNUMBER(IFERROR(INDEX(Daily!$AJ$3:$AJ$252,MATCH($B104,Daily!$A$3:$A$252,0)),"")),IFERROR(INDEX(Daily!$AJ$3:$AJ$252,MATCH($B104,Daily!$A$3:$A$252,0)),""),""))</f>
        <v/>
      </c>
      <c r="H104">
        <f>IF($B104="","",IF(ISNUMBER(IFERROR(INDEX(Daily!$Z$3:$Z$252,MATCH($B104,Daily!$A$3:$A$252,0)),"")),IFERROR(INDEX(Daily!$Z$3:$Z$252,MATCH($B104,Daily!$A$3:$A$252,0)),""),""))</f>
        <v/>
      </c>
      <c r="I104">
        <f>IF($B104="","",IF(ISNUMBER(IFERROR(INDEX(Daily!$AK$3:$AK$252,MATCH($B104,Daily!$A$3:$A$252,0)),"")),IFERROR(INDEX(Daily!$AK$3:$AK$252,MATCH($B104,Daily!$A$3:$A$252,0)),""),""))</f>
        <v/>
      </c>
      <c r="J104">
        <f>IF($B104="","",IF(AND(ISNUMBER(MDS),ISNUMBER(MDE)),IF(AND($B104&gt;=MDS,$B104&lt;=MDE),24,""),""))</f>
        <v/>
      </c>
      <c r="K104">
        <f>IF($B104="","",IF(AND(ISNUMBER(PitanS),ISNUMBER(PitanE)),IF(AND($B104&gt;=PitanS,$B104&lt;=PitanE),26,""),""))</f>
        <v/>
      </c>
      <c r="L104">
        <f>IF($B104="","",IF(AND(ISNUMBER(C1S),ISNUMBER(C3E)),IF(AND($B104&gt;=C1S,$B104&lt;=C3E),22,""),""))</f>
        <v/>
      </c>
    </row>
    <row r="105">
      <c r="A105" t="n">
        <v>104</v>
      </c>
      <c r="B105" s="30">
        <f>IFERROR(SMALL(Daily!$A$3:$A$252,A105),"")</f>
        <v/>
      </c>
      <c r="C105">
        <f>IF($B105="","",IF(ISNUMBER(IFERROR(INDEX(Daily!$T$3:$T$252,MATCH($B105,Daily!$A$3:$A$252,0)),"")),IFERROR(INDEX(Daily!$T$3:$T$252,MATCH($B105,Daily!$A$3:$A$252,0)),""),""))</f>
        <v/>
      </c>
      <c r="D105">
        <f>IF($B105="","",IF(ISNUMBER(IFERROR(INDEX(Daily!$AE$3:$AE$252,MATCH($B105,Daily!$A$3:$A$252,0)),"")),IFERROR(INDEX(Daily!$AE$3:$AE$252,MATCH($B105,Daily!$A$3:$A$252,0)),""),""))</f>
        <v/>
      </c>
      <c r="E105">
        <f>IF($B105="","",IF(ISNUMBER(IFERROR(INDEX(Daily!$B$3:$B$252,MATCH($B105,Daily!$A$3:$A$252,0)),"")),IFERROR(INDEX(Daily!$B$3:$B$252,MATCH($B105,Daily!$A$3:$A$252,0)),""),0))</f>
        <v/>
      </c>
      <c r="F105">
        <f>IF($B105="","",IF(ISNUMBER(IFERROR(INDEX(Daily!$Y$3:$Y$252,MATCH($B105,Daily!$A$3:$A$252,0)),"")),IFERROR(INDEX(Daily!$Y$3:$Y$252,MATCH($B105,Daily!$A$3:$A$252,0)),""),""))</f>
        <v/>
      </c>
      <c r="G105">
        <f>IF($B105="","",IF(ISNUMBER(IFERROR(INDEX(Daily!$AJ$3:$AJ$252,MATCH($B105,Daily!$A$3:$A$252,0)),"")),IFERROR(INDEX(Daily!$AJ$3:$AJ$252,MATCH($B105,Daily!$A$3:$A$252,0)),""),""))</f>
        <v/>
      </c>
      <c r="H105">
        <f>IF($B105="","",IF(ISNUMBER(IFERROR(INDEX(Daily!$Z$3:$Z$252,MATCH($B105,Daily!$A$3:$A$252,0)),"")),IFERROR(INDEX(Daily!$Z$3:$Z$252,MATCH($B105,Daily!$A$3:$A$252,0)),""),""))</f>
        <v/>
      </c>
      <c r="I105">
        <f>IF($B105="","",IF(ISNUMBER(IFERROR(INDEX(Daily!$AK$3:$AK$252,MATCH($B105,Daily!$A$3:$A$252,0)),"")),IFERROR(INDEX(Daily!$AK$3:$AK$252,MATCH($B105,Daily!$A$3:$A$252,0)),""),""))</f>
        <v/>
      </c>
      <c r="J105">
        <f>IF($B105="","",IF(AND(ISNUMBER(MDS),ISNUMBER(MDE)),IF(AND($B105&gt;=MDS,$B105&lt;=MDE),24,""),""))</f>
        <v/>
      </c>
      <c r="K105">
        <f>IF($B105="","",IF(AND(ISNUMBER(PitanS),ISNUMBER(PitanE)),IF(AND($B105&gt;=PitanS,$B105&lt;=PitanE),26,""),""))</f>
        <v/>
      </c>
      <c r="L105">
        <f>IF($B105="","",IF(AND(ISNUMBER(C1S),ISNUMBER(C3E)),IF(AND($B105&gt;=C1S,$B105&lt;=C3E),22,""),""))</f>
        <v/>
      </c>
    </row>
    <row r="106">
      <c r="A106" t="n">
        <v>105</v>
      </c>
      <c r="B106" s="30">
        <f>IFERROR(SMALL(Daily!$A$3:$A$252,A106),"")</f>
        <v/>
      </c>
      <c r="C106">
        <f>IF($B106="","",IF(ISNUMBER(IFERROR(INDEX(Daily!$T$3:$T$252,MATCH($B106,Daily!$A$3:$A$252,0)),"")),IFERROR(INDEX(Daily!$T$3:$T$252,MATCH($B106,Daily!$A$3:$A$252,0)),""),""))</f>
        <v/>
      </c>
      <c r="D106">
        <f>IF($B106="","",IF(ISNUMBER(IFERROR(INDEX(Daily!$AE$3:$AE$252,MATCH($B106,Daily!$A$3:$A$252,0)),"")),IFERROR(INDEX(Daily!$AE$3:$AE$252,MATCH($B106,Daily!$A$3:$A$252,0)),""),""))</f>
        <v/>
      </c>
      <c r="E106">
        <f>IF($B106="","",IF(ISNUMBER(IFERROR(INDEX(Daily!$B$3:$B$252,MATCH($B106,Daily!$A$3:$A$252,0)),"")),IFERROR(INDEX(Daily!$B$3:$B$252,MATCH($B106,Daily!$A$3:$A$252,0)),""),0))</f>
        <v/>
      </c>
      <c r="F106">
        <f>IF($B106="","",IF(ISNUMBER(IFERROR(INDEX(Daily!$Y$3:$Y$252,MATCH($B106,Daily!$A$3:$A$252,0)),"")),IFERROR(INDEX(Daily!$Y$3:$Y$252,MATCH($B106,Daily!$A$3:$A$252,0)),""),""))</f>
        <v/>
      </c>
      <c r="G106">
        <f>IF($B106="","",IF(ISNUMBER(IFERROR(INDEX(Daily!$AJ$3:$AJ$252,MATCH($B106,Daily!$A$3:$A$252,0)),"")),IFERROR(INDEX(Daily!$AJ$3:$AJ$252,MATCH($B106,Daily!$A$3:$A$252,0)),""),""))</f>
        <v/>
      </c>
      <c r="H106">
        <f>IF($B106="","",IF(ISNUMBER(IFERROR(INDEX(Daily!$Z$3:$Z$252,MATCH($B106,Daily!$A$3:$A$252,0)),"")),IFERROR(INDEX(Daily!$Z$3:$Z$252,MATCH($B106,Daily!$A$3:$A$252,0)),""),""))</f>
        <v/>
      </c>
      <c r="I106">
        <f>IF($B106="","",IF(ISNUMBER(IFERROR(INDEX(Daily!$AK$3:$AK$252,MATCH($B106,Daily!$A$3:$A$252,0)),"")),IFERROR(INDEX(Daily!$AK$3:$AK$252,MATCH($B106,Daily!$A$3:$A$252,0)),""),""))</f>
        <v/>
      </c>
      <c r="J106">
        <f>IF($B106="","",IF(AND(ISNUMBER(MDS),ISNUMBER(MDE)),IF(AND($B106&gt;=MDS,$B106&lt;=MDE),24,""),""))</f>
        <v/>
      </c>
      <c r="K106">
        <f>IF($B106="","",IF(AND(ISNUMBER(PitanS),ISNUMBER(PitanE)),IF(AND($B106&gt;=PitanS,$B106&lt;=PitanE),26,""),""))</f>
        <v/>
      </c>
      <c r="L106">
        <f>IF($B106="","",IF(AND(ISNUMBER(C1S),ISNUMBER(C3E)),IF(AND($B106&gt;=C1S,$B106&lt;=C3E),22,""),""))</f>
        <v/>
      </c>
    </row>
    <row r="107">
      <c r="A107" t="n">
        <v>106</v>
      </c>
      <c r="B107" s="30">
        <f>IFERROR(SMALL(Daily!$A$3:$A$252,A107),"")</f>
        <v/>
      </c>
      <c r="C107">
        <f>IF($B107="","",IF(ISNUMBER(IFERROR(INDEX(Daily!$T$3:$T$252,MATCH($B107,Daily!$A$3:$A$252,0)),"")),IFERROR(INDEX(Daily!$T$3:$T$252,MATCH($B107,Daily!$A$3:$A$252,0)),""),""))</f>
        <v/>
      </c>
      <c r="D107">
        <f>IF($B107="","",IF(ISNUMBER(IFERROR(INDEX(Daily!$AE$3:$AE$252,MATCH($B107,Daily!$A$3:$A$252,0)),"")),IFERROR(INDEX(Daily!$AE$3:$AE$252,MATCH($B107,Daily!$A$3:$A$252,0)),""),""))</f>
        <v/>
      </c>
      <c r="E107">
        <f>IF($B107="","",IF(ISNUMBER(IFERROR(INDEX(Daily!$B$3:$B$252,MATCH($B107,Daily!$A$3:$A$252,0)),"")),IFERROR(INDEX(Daily!$B$3:$B$252,MATCH($B107,Daily!$A$3:$A$252,0)),""),0))</f>
        <v/>
      </c>
      <c r="F107">
        <f>IF($B107="","",IF(ISNUMBER(IFERROR(INDEX(Daily!$Y$3:$Y$252,MATCH($B107,Daily!$A$3:$A$252,0)),"")),IFERROR(INDEX(Daily!$Y$3:$Y$252,MATCH($B107,Daily!$A$3:$A$252,0)),""),""))</f>
        <v/>
      </c>
      <c r="G107">
        <f>IF($B107="","",IF(ISNUMBER(IFERROR(INDEX(Daily!$AJ$3:$AJ$252,MATCH($B107,Daily!$A$3:$A$252,0)),"")),IFERROR(INDEX(Daily!$AJ$3:$AJ$252,MATCH($B107,Daily!$A$3:$A$252,0)),""),""))</f>
        <v/>
      </c>
      <c r="H107">
        <f>IF($B107="","",IF(ISNUMBER(IFERROR(INDEX(Daily!$Z$3:$Z$252,MATCH($B107,Daily!$A$3:$A$252,0)),"")),IFERROR(INDEX(Daily!$Z$3:$Z$252,MATCH($B107,Daily!$A$3:$A$252,0)),""),""))</f>
        <v/>
      </c>
      <c r="I107">
        <f>IF($B107="","",IF(ISNUMBER(IFERROR(INDEX(Daily!$AK$3:$AK$252,MATCH($B107,Daily!$A$3:$A$252,0)),"")),IFERROR(INDEX(Daily!$AK$3:$AK$252,MATCH($B107,Daily!$A$3:$A$252,0)),""),""))</f>
        <v/>
      </c>
      <c r="J107">
        <f>IF($B107="","",IF(AND(ISNUMBER(MDS),ISNUMBER(MDE)),IF(AND($B107&gt;=MDS,$B107&lt;=MDE),24,""),""))</f>
        <v/>
      </c>
      <c r="K107">
        <f>IF($B107="","",IF(AND(ISNUMBER(PitanS),ISNUMBER(PitanE)),IF(AND($B107&gt;=PitanS,$B107&lt;=PitanE),26,""),""))</f>
        <v/>
      </c>
      <c r="L107">
        <f>IF($B107="","",IF(AND(ISNUMBER(C1S),ISNUMBER(C3E)),IF(AND($B107&gt;=C1S,$B107&lt;=C3E),22,""),""))</f>
        <v/>
      </c>
    </row>
    <row r="108">
      <c r="A108" t="n">
        <v>107</v>
      </c>
      <c r="B108" s="30">
        <f>IFERROR(SMALL(Daily!$A$3:$A$252,A108),"")</f>
        <v/>
      </c>
      <c r="C108">
        <f>IF($B108="","",IF(ISNUMBER(IFERROR(INDEX(Daily!$T$3:$T$252,MATCH($B108,Daily!$A$3:$A$252,0)),"")),IFERROR(INDEX(Daily!$T$3:$T$252,MATCH($B108,Daily!$A$3:$A$252,0)),""),""))</f>
        <v/>
      </c>
      <c r="D108">
        <f>IF($B108="","",IF(ISNUMBER(IFERROR(INDEX(Daily!$AE$3:$AE$252,MATCH($B108,Daily!$A$3:$A$252,0)),"")),IFERROR(INDEX(Daily!$AE$3:$AE$252,MATCH($B108,Daily!$A$3:$A$252,0)),""),""))</f>
        <v/>
      </c>
      <c r="E108">
        <f>IF($B108="","",IF(ISNUMBER(IFERROR(INDEX(Daily!$B$3:$B$252,MATCH($B108,Daily!$A$3:$A$252,0)),"")),IFERROR(INDEX(Daily!$B$3:$B$252,MATCH($B108,Daily!$A$3:$A$252,0)),""),0))</f>
        <v/>
      </c>
      <c r="F108">
        <f>IF($B108="","",IF(ISNUMBER(IFERROR(INDEX(Daily!$Y$3:$Y$252,MATCH($B108,Daily!$A$3:$A$252,0)),"")),IFERROR(INDEX(Daily!$Y$3:$Y$252,MATCH($B108,Daily!$A$3:$A$252,0)),""),""))</f>
        <v/>
      </c>
      <c r="G108">
        <f>IF($B108="","",IF(ISNUMBER(IFERROR(INDEX(Daily!$AJ$3:$AJ$252,MATCH($B108,Daily!$A$3:$A$252,0)),"")),IFERROR(INDEX(Daily!$AJ$3:$AJ$252,MATCH($B108,Daily!$A$3:$A$252,0)),""),""))</f>
        <v/>
      </c>
      <c r="H108">
        <f>IF($B108="","",IF(ISNUMBER(IFERROR(INDEX(Daily!$Z$3:$Z$252,MATCH($B108,Daily!$A$3:$A$252,0)),"")),IFERROR(INDEX(Daily!$Z$3:$Z$252,MATCH($B108,Daily!$A$3:$A$252,0)),""),""))</f>
        <v/>
      </c>
      <c r="I108">
        <f>IF($B108="","",IF(ISNUMBER(IFERROR(INDEX(Daily!$AK$3:$AK$252,MATCH($B108,Daily!$A$3:$A$252,0)),"")),IFERROR(INDEX(Daily!$AK$3:$AK$252,MATCH($B108,Daily!$A$3:$A$252,0)),""),""))</f>
        <v/>
      </c>
      <c r="J108">
        <f>IF($B108="","",IF(AND(ISNUMBER(MDS),ISNUMBER(MDE)),IF(AND($B108&gt;=MDS,$B108&lt;=MDE),24,""),""))</f>
        <v/>
      </c>
      <c r="K108">
        <f>IF($B108="","",IF(AND(ISNUMBER(PitanS),ISNUMBER(PitanE)),IF(AND($B108&gt;=PitanS,$B108&lt;=PitanE),26,""),""))</f>
        <v/>
      </c>
      <c r="L108">
        <f>IF($B108="","",IF(AND(ISNUMBER(C1S),ISNUMBER(C3E)),IF(AND($B108&gt;=C1S,$B108&lt;=C3E),22,""),""))</f>
        <v/>
      </c>
    </row>
    <row r="109">
      <c r="A109" t="n">
        <v>108</v>
      </c>
      <c r="B109" s="30">
        <f>IFERROR(SMALL(Daily!$A$3:$A$252,A109),"")</f>
        <v/>
      </c>
      <c r="C109">
        <f>IF($B109="","",IF(ISNUMBER(IFERROR(INDEX(Daily!$T$3:$T$252,MATCH($B109,Daily!$A$3:$A$252,0)),"")),IFERROR(INDEX(Daily!$T$3:$T$252,MATCH($B109,Daily!$A$3:$A$252,0)),""),""))</f>
        <v/>
      </c>
      <c r="D109">
        <f>IF($B109="","",IF(ISNUMBER(IFERROR(INDEX(Daily!$AE$3:$AE$252,MATCH($B109,Daily!$A$3:$A$252,0)),"")),IFERROR(INDEX(Daily!$AE$3:$AE$252,MATCH($B109,Daily!$A$3:$A$252,0)),""),""))</f>
        <v/>
      </c>
      <c r="E109">
        <f>IF($B109="","",IF(ISNUMBER(IFERROR(INDEX(Daily!$B$3:$B$252,MATCH($B109,Daily!$A$3:$A$252,0)),"")),IFERROR(INDEX(Daily!$B$3:$B$252,MATCH($B109,Daily!$A$3:$A$252,0)),""),0))</f>
        <v/>
      </c>
      <c r="F109">
        <f>IF($B109="","",IF(ISNUMBER(IFERROR(INDEX(Daily!$Y$3:$Y$252,MATCH($B109,Daily!$A$3:$A$252,0)),"")),IFERROR(INDEX(Daily!$Y$3:$Y$252,MATCH($B109,Daily!$A$3:$A$252,0)),""),""))</f>
        <v/>
      </c>
      <c r="G109">
        <f>IF($B109="","",IF(ISNUMBER(IFERROR(INDEX(Daily!$AJ$3:$AJ$252,MATCH($B109,Daily!$A$3:$A$252,0)),"")),IFERROR(INDEX(Daily!$AJ$3:$AJ$252,MATCH($B109,Daily!$A$3:$A$252,0)),""),""))</f>
        <v/>
      </c>
      <c r="H109">
        <f>IF($B109="","",IF(ISNUMBER(IFERROR(INDEX(Daily!$Z$3:$Z$252,MATCH($B109,Daily!$A$3:$A$252,0)),"")),IFERROR(INDEX(Daily!$Z$3:$Z$252,MATCH($B109,Daily!$A$3:$A$252,0)),""),""))</f>
        <v/>
      </c>
      <c r="I109">
        <f>IF($B109="","",IF(ISNUMBER(IFERROR(INDEX(Daily!$AK$3:$AK$252,MATCH($B109,Daily!$A$3:$A$252,0)),"")),IFERROR(INDEX(Daily!$AK$3:$AK$252,MATCH($B109,Daily!$A$3:$A$252,0)),""),""))</f>
        <v/>
      </c>
      <c r="J109">
        <f>IF($B109="","",IF(AND(ISNUMBER(MDS),ISNUMBER(MDE)),IF(AND($B109&gt;=MDS,$B109&lt;=MDE),24,""),""))</f>
        <v/>
      </c>
      <c r="K109">
        <f>IF($B109="","",IF(AND(ISNUMBER(PitanS),ISNUMBER(PitanE)),IF(AND($B109&gt;=PitanS,$B109&lt;=PitanE),26,""),""))</f>
        <v/>
      </c>
      <c r="L109">
        <f>IF($B109="","",IF(AND(ISNUMBER(C1S),ISNUMBER(C3E)),IF(AND($B109&gt;=C1S,$B109&lt;=C3E),22,""),""))</f>
        <v/>
      </c>
    </row>
    <row r="110">
      <c r="A110" t="n">
        <v>109</v>
      </c>
      <c r="B110" s="30">
        <f>IFERROR(SMALL(Daily!$A$3:$A$252,A110),"")</f>
        <v/>
      </c>
      <c r="C110">
        <f>IF($B110="","",IF(ISNUMBER(IFERROR(INDEX(Daily!$T$3:$T$252,MATCH($B110,Daily!$A$3:$A$252,0)),"")),IFERROR(INDEX(Daily!$T$3:$T$252,MATCH($B110,Daily!$A$3:$A$252,0)),""),""))</f>
        <v/>
      </c>
      <c r="D110">
        <f>IF($B110="","",IF(ISNUMBER(IFERROR(INDEX(Daily!$AE$3:$AE$252,MATCH($B110,Daily!$A$3:$A$252,0)),"")),IFERROR(INDEX(Daily!$AE$3:$AE$252,MATCH($B110,Daily!$A$3:$A$252,0)),""),""))</f>
        <v/>
      </c>
      <c r="E110">
        <f>IF($B110="","",IF(ISNUMBER(IFERROR(INDEX(Daily!$B$3:$B$252,MATCH($B110,Daily!$A$3:$A$252,0)),"")),IFERROR(INDEX(Daily!$B$3:$B$252,MATCH($B110,Daily!$A$3:$A$252,0)),""),0))</f>
        <v/>
      </c>
      <c r="F110">
        <f>IF($B110="","",IF(ISNUMBER(IFERROR(INDEX(Daily!$Y$3:$Y$252,MATCH($B110,Daily!$A$3:$A$252,0)),"")),IFERROR(INDEX(Daily!$Y$3:$Y$252,MATCH($B110,Daily!$A$3:$A$252,0)),""),""))</f>
        <v/>
      </c>
      <c r="G110">
        <f>IF($B110="","",IF(ISNUMBER(IFERROR(INDEX(Daily!$AJ$3:$AJ$252,MATCH($B110,Daily!$A$3:$A$252,0)),"")),IFERROR(INDEX(Daily!$AJ$3:$AJ$252,MATCH($B110,Daily!$A$3:$A$252,0)),""),""))</f>
        <v/>
      </c>
      <c r="H110">
        <f>IF($B110="","",IF(ISNUMBER(IFERROR(INDEX(Daily!$Z$3:$Z$252,MATCH($B110,Daily!$A$3:$A$252,0)),"")),IFERROR(INDEX(Daily!$Z$3:$Z$252,MATCH($B110,Daily!$A$3:$A$252,0)),""),""))</f>
        <v/>
      </c>
      <c r="I110">
        <f>IF($B110="","",IF(ISNUMBER(IFERROR(INDEX(Daily!$AK$3:$AK$252,MATCH($B110,Daily!$A$3:$A$252,0)),"")),IFERROR(INDEX(Daily!$AK$3:$AK$252,MATCH($B110,Daily!$A$3:$A$252,0)),""),""))</f>
        <v/>
      </c>
      <c r="J110">
        <f>IF($B110="","",IF(AND(ISNUMBER(MDS),ISNUMBER(MDE)),IF(AND($B110&gt;=MDS,$B110&lt;=MDE),24,""),""))</f>
        <v/>
      </c>
      <c r="K110">
        <f>IF($B110="","",IF(AND(ISNUMBER(PitanS),ISNUMBER(PitanE)),IF(AND($B110&gt;=PitanS,$B110&lt;=PitanE),26,""),""))</f>
        <v/>
      </c>
      <c r="L110">
        <f>IF($B110="","",IF(AND(ISNUMBER(C1S),ISNUMBER(C3E)),IF(AND($B110&gt;=C1S,$B110&lt;=C3E),22,""),""))</f>
        <v/>
      </c>
    </row>
    <row r="111">
      <c r="A111" t="n">
        <v>110</v>
      </c>
      <c r="B111" s="30">
        <f>IFERROR(SMALL(Daily!$A$3:$A$252,A111),"")</f>
        <v/>
      </c>
      <c r="C111">
        <f>IF($B111="","",IF(ISNUMBER(IFERROR(INDEX(Daily!$T$3:$T$252,MATCH($B111,Daily!$A$3:$A$252,0)),"")),IFERROR(INDEX(Daily!$T$3:$T$252,MATCH($B111,Daily!$A$3:$A$252,0)),""),""))</f>
        <v/>
      </c>
      <c r="D111">
        <f>IF($B111="","",IF(ISNUMBER(IFERROR(INDEX(Daily!$AE$3:$AE$252,MATCH($B111,Daily!$A$3:$A$252,0)),"")),IFERROR(INDEX(Daily!$AE$3:$AE$252,MATCH($B111,Daily!$A$3:$A$252,0)),""),""))</f>
        <v/>
      </c>
      <c r="E111">
        <f>IF($B111="","",IF(ISNUMBER(IFERROR(INDEX(Daily!$B$3:$B$252,MATCH($B111,Daily!$A$3:$A$252,0)),"")),IFERROR(INDEX(Daily!$B$3:$B$252,MATCH($B111,Daily!$A$3:$A$252,0)),""),0))</f>
        <v/>
      </c>
      <c r="F111">
        <f>IF($B111="","",IF(ISNUMBER(IFERROR(INDEX(Daily!$Y$3:$Y$252,MATCH($B111,Daily!$A$3:$A$252,0)),"")),IFERROR(INDEX(Daily!$Y$3:$Y$252,MATCH($B111,Daily!$A$3:$A$252,0)),""),""))</f>
        <v/>
      </c>
      <c r="G111">
        <f>IF($B111="","",IF(ISNUMBER(IFERROR(INDEX(Daily!$AJ$3:$AJ$252,MATCH($B111,Daily!$A$3:$A$252,0)),"")),IFERROR(INDEX(Daily!$AJ$3:$AJ$252,MATCH($B111,Daily!$A$3:$A$252,0)),""),""))</f>
        <v/>
      </c>
      <c r="H111">
        <f>IF($B111="","",IF(ISNUMBER(IFERROR(INDEX(Daily!$Z$3:$Z$252,MATCH($B111,Daily!$A$3:$A$252,0)),"")),IFERROR(INDEX(Daily!$Z$3:$Z$252,MATCH($B111,Daily!$A$3:$A$252,0)),""),""))</f>
        <v/>
      </c>
      <c r="I111">
        <f>IF($B111="","",IF(ISNUMBER(IFERROR(INDEX(Daily!$AK$3:$AK$252,MATCH($B111,Daily!$A$3:$A$252,0)),"")),IFERROR(INDEX(Daily!$AK$3:$AK$252,MATCH($B111,Daily!$A$3:$A$252,0)),""),""))</f>
        <v/>
      </c>
      <c r="J111">
        <f>IF($B111="","",IF(AND(ISNUMBER(MDS),ISNUMBER(MDE)),IF(AND($B111&gt;=MDS,$B111&lt;=MDE),24,""),""))</f>
        <v/>
      </c>
      <c r="K111">
        <f>IF($B111="","",IF(AND(ISNUMBER(PitanS),ISNUMBER(PitanE)),IF(AND($B111&gt;=PitanS,$B111&lt;=PitanE),26,""),""))</f>
        <v/>
      </c>
      <c r="L111">
        <f>IF($B111="","",IF(AND(ISNUMBER(C1S),ISNUMBER(C3E)),IF(AND($B111&gt;=C1S,$B111&lt;=C3E),22,""),""))</f>
        <v/>
      </c>
    </row>
    <row r="112">
      <c r="A112" t="n">
        <v>111</v>
      </c>
      <c r="B112" s="30">
        <f>IFERROR(SMALL(Daily!$A$3:$A$252,A112),"")</f>
        <v/>
      </c>
      <c r="C112">
        <f>IF($B112="","",IF(ISNUMBER(IFERROR(INDEX(Daily!$T$3:$T$252,MATCH($B112,Daily!$A$3:$A$252,0)),"")),IFERROR(INDEX(Daily!$T$3:$T$252,MATCH($B112,Daily!$A$3:$A$252,0)),""),""))</f>
        <v/>
      </c>
      <c r="D112">
        <f>IF($B112="","",IF(ISNUMBER(IFERROR(INDEX(Daily!$AE$3:$AE$252,MATCH($B112,Daily!$A$3:$A$252,0)),"")),IFERROR(INDEX(Daily!$AE$3:$AE$252,MATCH($B112,Daily!$A$3:$A$252,0)),""),""))</f>
        <v/>
      </c>
      <c r="E112">
        <f>IF($B112="","",IF(ISNUMBER(IFERROR(INDEX(Daily!$B$3:$B$252,MATCH($B112,Daily!$A$3:$A$252,0)),"")),IFERROR(INDEX(Daily!$B$3:$B$252,MATCH($B112,Daily!$A$3:$A$252,0)),""),0))</f>
        <v/>
      </c>
      <c r="F112">
        <f>IF($B112="","",IF(ISNUMBER(IFERROR(INDEX(Daily!$Y$3:$Y$252,MATCH($B112,Daily!$A$3:$A$252,0)),"")),IFERROR(INDEX(Daily!$Y$3:$Y$252,MATCH($B112,Daily!$A$3:$A$252,0)),""),""))</f>
        <v/>
      </c>
      <c r="G112">
        <f>IF($B112="","",IF(ISNUMBER(IFERROR(INDEX(Daily!$AJ$3:$AJ$252,MATCH($B112,Daily!$A$3:$A$252,0)),"")),IFERROR(INDEX(Daily!$AJ$3:$AJ$252,MATCH($B112,Daily!$A$3:$A$252,0)),""),""))</f>
        <v/>
      </c>
      <c r="H112">
        <f>IF($B112="","",IF(ISNUMBER(IFERROR(INDEX(Daily!$Z$3:$Z$252,MATCH($B112,Daily!$A$3:$A$252,0)),"")),IFERROR(INDEX(Daily!$Z$3:$Z$252,MATCH($B112,Daily!$A$3:$A$252,0)),""),""))</f>
        <v/>
      </c>
      <c r="I112">
        <f>IF($B112="","",IF(ISNUMBER(IFERROR(INDEX(Daily!$AK$3:$AK$252,MATCH($B112,Daily!$A$3:$A$252,0)),"")),IFERROR(INDEX(Daily!$AK$3:$AK$252,MATCH($B112,Daily!$A$3:$A$252,0)),""),""))</f>
        <v/>
      </c>
      <c r="J112">
        <f>IF($B112="","",IF(AND(ISNUMBER(MDS),ISNUMBER(MDE)),IF(AND($B112&gt;=MDS,$B112&lt;=MDE),24,""),""))</f>
        <v/>
      </c>
      <c r="K112">
        <f>IF($B112="","",IF(AND(ISNUMBER(PitanS),ISNUMBER(PitanE)),IF(AND($B112&gt;=PitanS,$B112&lt;=PitanE),26,""),""))</f>
        <v/>
      </c>
      <c r="L112">
        <f>IF($B112="","",IF(AND(ISNUMBER(C1S),ISNUMBER(C3E)),IF(AND($B112&gt;=C1S,$B112&lt;=C3E),22,""),""))</f>
        <v/>
      </c>
    </row>
    <row r="113">
      <c r="A113" t="n">
        <v>112</v>
      </c>
      <c r="B113" s="30">
        <f>IFERROR(SMALL(Daily!$A$3:$A$252,A113),"")</f>
        <v/>
      </c>
      <c r="C113">
        <f>IF($B113="","",IF(ISNUMBER(IFERROR(INDEX(Daily!$T$3:$T$252,MATCH($B113,Daily!$A$3:$A$252,0)),"")),IFERROR(INDEX(Daily!$T$3:$T$252,MATCH($B113,Daily!$A$3:$A$252,0)),""),""))</f>
        <v/>
      </c>
      <c r="D113">
        <f>IF($B113="","",IF(ISNUMBER(IFERROR(INDEX(Daily!$AE$3:$AE$252,MATCH($B113,Daily!$A$3:$A$252,0)),"")),IFERROR(INDEX(Daily!$AE$3:$AE$252,MATCH($B113,Daily!$A$3:$A$252,0)),""),""))</f>
        <v/>
      </c>
      <c r="E113">
        <f>IF($B113="","",IF(ISNUMBER(IFERROR(INDEX(Daily!$B$3:$B$252,MATCH($B113,Daily!$A$3:$A$252,0)),"")),IFERROR(INDEX(Daily!$B$3:$B$252,MATCH($B113,Daily!$A$3:$A$252,0)),""),0))</f>
        <v/>
      </c>
      <c r="F113">
        <f>IF($B113="","",IF(ISNUMBER(IFERROR(INDEX(Daily!$Y$3:$Y$252,MATCH($B113,Daily!$A$3:$A$252,0)),"")),IFERROR(INDEX(Daily!$Y$3:$Y$252,MATCH($B113,Daily!$A$3:$A$252,0)),""),""))</f>
        <v/>
      </c>
      <c r="G113">
        <f>IF($B113="","",IF(ISNUMBER(IFERROR(INDEX(Daily!$AJ$3:$AJ$252,MATCH($B113,Daily!$A$3:$A$252,0)),"")),IFERROR(INDEX(Daily!$AJ$3:$AJ$252,MATCH($B113,Daily!$A$3:$A$252,0)),""),""))</f>
        <v/>
      </c>
      <c r="H113">
        <f>IF($B113="","",IF(ISNUMBER(IFERROR(INDEX(Daily!$Z$3:$Z$252,MATCH($B113,Daily!$A$3:$A$252,0)),"")),IFERROR(INDEX(Daily!$Z$3:$Z$252,MATCH($B113,Daily!$A$3:$A$252,0)),""),""))</f>
        <v/>
      </c>
      <c r="I113">
        <f>IF($B113="","",IF(ISNUMBER(IFERROR(INDEX(Daily!$AK$3:$AK$252,MATCH($B113,Daily!$A$3:$A$252,0)),"")),IFERROR(INDEX(Daily!$AK$3:$AK$252,MATCH($B113,Daily!$A$3:$A$252,0)),""),""))</f>
        <v/>
      </c>
      <c r="J113">
        <f>IF($B113="","",IF(AND(ISNUMBER(MDS),ISNUMBER(MDE)),IF(AND($B113&gt;=MDS,$B113&lt;=MDE),24,""),""))</f>
        <v/>
      </c>
      <c r="K113">
        <f>IF($B113="","",IF(AND(ISNUMBER(PitanS),ISNUMBER(PitanE)),IF(AND($B113&gt;=PitanS,$B113&lt;=PitanE),26,""),""))</f>
        <v/>
      </c>
      <c r="L113">
        <f>IF($B113="","",IF(AND(ISNUMBER(C1S),ISNUMBER(C3E)),IF(AND($B113&gt;=C1S,$B113&lt;=C3E),22,""),""))</f>
        <v/>
      </c>
    </row>
    <row r="114">
      <c r="A114" t="n">
        <v>113</v>
      </c>
      <c r="B114" s="30">
        <f>IFERROR(SMALL(Daily!$A$3:$A$252,A114),"")</f>
        <v/>
      </c>
      <c r="C114">
        <f>IF($B114="","",IF(ISNUMBER(IFERROR(INDEX(Daily!$T$3:$T$252,MATCH($B114,Daily!$A$3:$A$252,0)),"")),IFERROR(INDEX(Daily!$T$3:$T$252,MATCH($B114,Daily!$A$3:$A$252,0)),""),""))</f>
        <v/>
      </c>
      <c r="D114">
        <f>IF($B114="","",IF(ISNUMBER(IFERROR(INDEX(Daily!$AE$3:$AE$252,MATCH($B114,Daily!$A$3:$A$252,0)),"")),IFERROR(INDEX(Daily!$AE$3:$AE$252,MATCH($B114,Daily!$A$3:$A$252,0)),""),""))</f>
        <v/>
      </c>
      <c r="E114">
        <f>IF($B114="","",IF(ISNUMBER(IFERROR(INDEX(Daily!$B$3:$B$252,MATCH($B114,Daily!$A$3:$A$252,0)),"")),IFERROR(INDEX(Daily!$B$3:$B$252,MATCH($B114,Daily!$A$3:$A$252,0)),""),0))</f>
        <v/>
      </c>
      <c r="F114">
        <f>IF($B114="","",IF(ISNUMBER(IFERROR(INDEX(Daily!$Y$3:$Y$252,MATCH($B114,Daily!$A$3:$A$252,0)),"")),IFERROR(INDEX(Daily!$Y$3:$Y$252,MATCH($B114,Daily!$A$3:$A$252,0)),""),""))</f>
        <v/>
      </c>
      <c r="G114">
        <f>IF($B114="","",IF(ISNUMBER(IFERROR(INDEX(Daily!$AJ$3:$AJ$252,MATCH($B114,Daily!$A$3:$A$252,0)),"")),IFERROR(INDEX(Daily!$AJ$3:$AJ$252,MATCH($B114,Daily!$A$3:$A$252,0)),""),""))</f>
        <v/>
      </c>
      <c r="H114">
        <f>IF($B114="","",IF(ISNUMBER(IFERROR(INDEX(Daily!$Z$3:$Z$252,MATCH($B114,Daily!$A$3:$A$252,0)),"")),IFERROR(INDEX(Daily!$Z$3:$Z$252,MATCH($B114,Daily!$A$3:$A$252,0)),""),""))</f>
        <v/>
      </c>
      <c r="I114">
        <f>IF($B114="","",IF(ISNUMBER(IFERROR(INDEX(Daily!$AK$3:$AK$252,MATCH($B114,Daily!$A$3:$A$252,0)),"")),IFERROR(INDEX(Daily!$AK$3:$AK$252,MATCH($B114,Daily!$A$3:$A$252,0)),""),""))</f>
        <v/>
      </c>
      <c r="J114">
        <f>IF($B114="","",IF(AND(ISNUMBER(MDS),ISNUMBER(MDE)),IF(AND($B114&gt;=MDS,$B114&lt;=MDE),24,""),""))</f>
        <v/>
      </c>
      <c r="K114">
        <f>IF($B114="","",IF(AND(ISNUMBER(PitanS),ISNUMBER(PitanE)),IF(AND($B114&gt;=PitanS,$B114&lt;=PitanE),26,""),""))</f>
        <v/>
      </c>
      <c r="L114">
        <f>IF($B114="","",IF(AND(ISNUMBER(C1S),ISNUMBER(C3E)),IF(AND($B114&gt;=C1S,$B114&lt;=C3E),22,""),""))</f>
        <v/>
      </c>
    </row>
    <row r="115">
      <c r="A115" t="n">
        <v>114</v>
      </c>
      <c r="B115" s="30">
        <f>IFERROR(SMALL(Daily!$A$3:$A$252,A115),"")</f>
        <v/>
      </c>
      <c r="C115">
        <f>IF($B115="","",IF(ISNUMBER(IFERROR(INDEX(Daily!$T$3:$T$252,MATCH($B115,Daily!$A$3:$A$252,0)),"")),IFERROR(INDEX(Daily!$T$3:$T$252,MATCH($B115,Daily!$A$3:$A$252,0)),""),""))</f>
        <v/>
      </c>
      <c r="D115">
        <f>IF($B115="","",IF(ISNUMBER(IFERROR(INDEX(Daily!$AE$3:$AE$252,MATCH($B115,Daily!$A$3:$A$252,0)),"")),IFERROR(INDEX(Daily!$AE$3:$AE$252,MATCH($B115,Daily!$A$3:$A$252,0)),""),""))</f>
        <v/>
      </c>
      <c r="E115">
        <f>IF($B115="","",IF(ISNUMBER(IFERROR(INDEX(Daily!$B$3:$B$252,MATCH($B115,Daily!$A$3:$A$252,0)),"")),IFERROR(INDEX(Daily!$B$3:$B$252,MATCH($B115,Daily!$A$3:$A$252,0)),""),0))</f>
        <v/>
      </c>
      <c r="F115">
        <f>IF($B115="","",IF(ISNUMBER(IFERROR(INDEX(Daily!$Y$3:$Y$252,MATCH($B115,Daily!$A$3:$A$252,0)),"")),IFERROR(INDEX(Daily!$Y$3:$Y$252,MATCH($B115,Daily!$A$3:$A$252,0)),""),""))</f>
        <v/>
      </c>
      <c r="G115">
        <f>IF($B115="","",IF(ISNUMBER(IFERROR(INDEX(Daily!$AJ$3:$AJ$252,MATCH($B115,Daily!$A$3:$A$252,0)),"")),IFERROR(INDEX(Daily!$AJ$3:$AJ$252,MATCH($B115,Daily!$A$3:$A$252,0)),""),""))</f>
        <v/>
      </c>
      <c r="H115">
        <f>IF($B115="","",IF(ISNUMBER(IFERROR(INDEX(Daily!$Z$3:$Z$252,MATCH($B115,Daily!$A$3:$A$252,0)),"")),IFERROR(INDEX(Daily!$Z$3:$Z$252,MATCH($B115,Daily!$A$3:$A$252,0)),""),""))</f>
        <v/>
      </c>
      <c r="I115">
        <f>IF($B115="","",IF(ISNUMBER(IFERROR(INDEX(Daily!$AK$3:$AK$252,MATCH($B115,Daily!$A$3:$A$252,0)),"")),IFERROR(INDEX(Daily!$AK$3:$AK$252,MATCH($B115,Daily!$A$3:$A$252,0)),""),""))</f>
        <v/>
      </c>
      <c r="J115">
        <f>IF($B115="","",IF(AND(ISNUMBER(MDS),ISNUMBER(MDE)),IF(AND($B115&gt;=MDS,$B115&lt;=MDE),24,""),""))</f>
        <v/>
      </c>
      <c r="K115">
        <f>IF($B115="","",IF(AND(ISNUMBER(PitanS),ISNUMBER(PitanE)),IF(AND($B115&gt;=PitanS,$B115&lt;=PitanE),26,""),""))</f>
        <v/>
      </c>
      <c r="L115">
        <f>IF($B115="","",IF(AND(ISNUMBER(C1S),ISNUMBER(C3E)),IF(AND($B115&gt;=C1S,$B115&lt;=C3E),22,""),""))</f>
        <v/>
      </c>
    </row>
    <row r="116">
      <c r="A116" t="n">
        <v>115</v>
      </c>
      <c r="B116" s="30">
        <f>IFERROR(SMALL(Daily!$A$3:$A$252,A116),"")</f>
        <v/>
      </c>
      <c r="C116">
        <f>IF($B116="","",IF(ISNUMBER(IFERROR(INDEX(Daily!$T$3:$T$252,MATCH($B116,Daily!$A$3:$A$252,0)),"")),IFERROR(INDEX(Daily!$T$3:$T$252,MATCH($B116,Daily!$A$3:$A$252,0)),""),""))</f>
        <v/>
      </c>
      <c r="D116">
        <f>IF($B116="","",IF(ISNUMBER(IFERROR(INDEX(Daily!$AE$3:$AE$252,MATCH($B116,Daily!$A$3:$A$252,0)),"")),IFERROR(INDEX(Daily!$AE$3:$AE$252,MATCH($B116,Daily!$A$3:$A$252,0)),""),""))</f>
        <v/>
      </c>
      <c r="E116">
        <f>IF($B116="","",IF(ISNUMBER(IFERROR(INDEX(Daily!$B$3:$B$252,MATCH($B116,Daily!$A$3:$A$252,0)),"")),IFERROR(INDEX(Daily!$B$3:$B$252,MATCH($B116,Daily!$A$3:$A$252,0)),""),0))</f>
        <v/>
      </c>
      <c r="F116">
        <f>IF($B116="","",IF(ISNUMBER(IFERROR(INDEX(Daily!$Y$3:$Y$252,MATCH($B116,Daily!$A$3:$A$252,0)),"")),IFERROR(INDEX(Daily!$Y$3:$Y$252,MATCH($B116,Daily!$A$3:$A$252,0)),""),""))</f>
        <v/>
      </c>
      <c r="G116">
        <f>IF($B116="","",IF(ISNUMBER(IFERROR(INDEX(Daily!$AJ$3:$AJ$252,MATCH($B116,Daily!$A$3:$A$252,0)),"")),IFERROR(INDEX(Daily!$AJ$3:$AJ$252,MATCH($B116,Daily!$A$3:$A$252,0)),""),""))</f>
        <v/>
      </c>
      <c r="H116">
        <f>IF($B116="","",IF(ISNUMBER(IFERROR(INDEX(Daily!$Z$3:$Z$252,MATCH($B116,Daily!$A$3:$A$252,0)),"")),IFERROR(INDEX(Daily!$Z$3:$Z$252,MATCH($B116,Daily!$A$3:$A$252,0)),""),""))</f>
        <v/>
      </c>
      <c r="I116">
        <f>IF($B116="","",IF(ISNUMBER(IFERROR(INDEX(Daily!$AK$3:$AK$252,MATCH($B116,Daily!$A$3:$A$252,0)),"")),IFERROR(INDEX(Daily!$AK$3:$AK$252,MATCH($B116,Daily!$A$3:$A$252,0)),""),""))</f>
        <v/>
      </c>
      <c r="J116">
        <f>IF($B116="","",IF(AND(ISNUMBER(MDS),ISNUMBER(MDE)),IF(AND($B116&gt;=MDS,$B116&lt;=MDE),24,""),""))</f>
        <v/>
      </c>
      <c r="K116">
        <f>IF($B116="","",IF(AND(ISNUMBER(PitanS),ISNUMBER(PitanE)),IF(AND($B116&gt;=PitanS,$B116&lt;=PitanE),26,""),""))</f>
        <v/>
      </c>
      <c r="L116">
        <f>IF($B116="","",IF(AND(ISNUMBER(C1S),ISNUMBER(C3E)),IF(AND($B116&gt;=C1S,$B116&lt;=C3E),22,""),""))</f>
        <v/>
      </c>
    </row>
    <row r="117">
      <c r="A117" t="n">
        <v>116</v>
      </c>
      <c r="B117" s="30">
        <f>IFERROR(SMALL(Daily!$A$3:$A$252,A117),"")</f>
        <v/>
      </c>
      <c r="C117">
        <f>IF($B117="","",IF(ISNUMBER(IFERROR(INDEX(Daily!$T$3:$T$252,MATCH($B117,Daily!$A$3:$A$252,0)),"")),IFERROR(INDEX(Daily!$T$3:$T$252,MATCH($B117,Daily!$A$3:$A$252,0)),""),""))</f>
        <v/>
      </c>
      <c r="D117">
        <f>IF($B117="","",IF(ISNUMBER(IFERROR(INDEX(Daily!$AE$3:$AE$252,MATCH($B117,Daily!$A$3:$A$252,0)),"")),IFERROR(INDEX(Daily!$AE$3:$AE$252,MATCH($B117,Daily!$A$3:$A$252,0)),""),""))</f>
        <v/>
      </c>
      <c r="E117">
        <f>IF($B117="","",IF(ISNUMBER(IFERROR(INDEX(Daily!$B$3:$B$252,MATCH($B117,Daily!$A$3:$A$252,0)),"")),IFERROR(INDEX(Daily!$B$3:$B$252,MATCH($B117,Daily!$A$3:$A$252,0)),""),0))</f>
        <v/>
      </c>
      <c r="F117">
        <f>IF($B117="","",IF(ISNUMBER(IFERROR(INDEX(Daily!$Y$3:$Y$252,MATCH($B117,Daily!$A$3:$A$252,0)),"")),IFERROR(INDEX(Daily!$Y$3:$Y$252,MATCH($B117,Daily!$A$3:$A$252,0)),""),""))</f>
        <v/>
      </c>
      <c r="G117">
        <f>IF($B117="","",IF(ISNUMBER(IFERROR(INDEX(Daily!$AJ$3:$AJ$252,MATCH($B117,Daily!$A$3:$A$252,0)),"")),IFERROR(INDEX(Daily!$AJ$3:$AJ$252,MATCH($B117,Daily!$A$3:$A$252,0)),""),""))</f>
        <v/>
      </c>
      <c r="H117">
        <f>IF($B117="","",IF(ISNUMBER(IFERROR(INDEX(Daily!$Z$3:$Z$252,MATCH($B117,Daily!$A$3:$A$252,0)),"")),IFERROR(INDEX(Daily!$Z$3:$Z$252,MATCH($B117,Daily!$A$3:$A$252,0)),""),""))</f>
        <v/>
      </c>
      <c r="I117">
        <f>IF($B117="","",IF(ISNUMBER(IFERROR(INDEX(Daily!$AK$3:$AK$252,MATCH($B117,Daily!$A$3:$A$252,0)),"")),IFERROR(INDEX(Daily!$AK$3:$AK$252,MATCH($B117,Daily!$A$3:$A$252,0)),""),""))</f>
        <v/>
      </c>
      <c r="J117">
        <f>IF($B117="","",IF(AND(ISNUMBER(MDS),ISNUMBER(MDE)),IF(AND($B117&gt;=MDS,$B117&lt;=MDE),24,""),""))</f>
        <v/>
      </c>
      <c r="K117">
        <f>IF($B117="","",IF(AND(ISNUMBER(PitanS),ISNUMBER(PitanE)),IF(AND($B117&gt;=PitanS,$B117&lt;=PitanE),26,""),""))</f>
        <v/>
      </c>
      <c r="L117">
        <f>IF($B117="","",IF(AND(ISNUMBER(C1S),ISNUMBER(C3E)),IF(AND($B117&gt;=C1S,$B117&lt;=C3E),22,""),""))</f>
        <v/>
      </c>
    </row>
    <row r="118">
      <c r="A118" t="n">
        <v>117</v>
      </c>
      <c r="B118" s="30">
        <f>IFERROR(SMALL(Daily!$A$3:$A$252,A118),"")</f>
        <v/>
      </c>
      <c r="C118">
        <f>IF($B118="","",IF(ISNUMBER(IFERROR(INDEX(Daily!$T$3:$T$252,MATCH($B118,Daily!$A$3:$A$252,0)),"")),IFERROR(INDEX(Daily!$T$3:$T$252,MATCH($B118,Daily!$A$3:$A$252,0)),""),""))</f>
        <v/>
      </c>
      <c r="D118">
        <f>IF($B118="","",IF(ISNUMBER(IFERROR(INDEX(Daily!$AE$3:$AE$252,MATCH($B118,Daily!$A$3:$A$252,0)),"")),IFERROR(INDEX(Daily!$AE$3:$AE$252,MATCH($B118,Daily!$A$3:$A$252,0)),""),""))</f>
        <v/>
      </c>
      <c r="E118">
        <f>IF($B118="","",IF(ISNUMBER(IFERROR(INDEX(Daily!$B$3:$B$252,MATCH($B118,Daily!$A$3:$A$252,0)),"")),IFERROR(INDEX(Daily!$B$3:$B$252,MATCH($B118,Daily!$A$3:$A$252,0)),""),0))</f>
        <v/>
      </c>
      <c r="F118">
        <f>IF($B118="","",IF(ISNUMBER(IFERROR(INDEX(Daily!$Y$3:$Y$252,MATCH($B118,Daily!$A$3:$A$252,0)),"")),IFERROR(INDEX(Daily!$Y$3:$Y$252,MATCH($B118,Daily!$A$3:$A$252,0)),""),""))</f>
        <v/>
      </c>
      <c r="G118">
        <f>IF($B118="","",IF(ISNUMBER(IFERROR(INDEX(Daily!$AJ$3:$AJ$252,MATCH($B118,Daily!$A$3:$A$252,0)),"")),IFERROR(INDEX(Daily!$AJ$3:$AJ$252,MATCH($B118,Daily!$A$3:$A$252,0)),""),""))</f>
        <v/>
      </c>
      <c r="H118">
        <f>IF($B118="","",IF(ISNUMBER(IFERROR(INDEX(Daily!$Z$3:$Z$252,MATCH($B118,Daily!$A$3:$A$252,0)),"")),IFERROR(INDEX(Daily!$Z$3:$Z$252,MATCH($B118,Daily!$A$3:$A$252,0)),""),""))</f>
        <v/>
      </c>
      <c r="I118">
        <f>IF($B118="","",IF(ISNUMBER(IFERROR(INDEX(Daily!$AK$3:$AK$252,MATCH($B118,Daily!$A$3:$A$252,0)),"")),IFERROR(INDEX(Daily!$AK$3:$AK$252,MATCH($B118,Daily!$A$3:$A$252,0)),""),""))</f>
        <v/>
      </c>
      <c r="J118">
        <f>IF($B118="","",IF(AND(ISNUMBER(MDS),ISNUMBER(MDE)),IF(AND($B118&gt;=MDS,$B118&lt;=MDE),24,""),""))</f>
        <v/>
      </c>
      <c r="K118">
        <f>IF($B118="","",IF(AND(ISNUMBER(PitanS),ISNUMBER(PitanE)),IF(AND($B118&gt;=PitanS,$B118&lt;=PitanE),26,""),""))</f>
        <v/>
      </c>
      <c r="L118">
        <f>IF($B118="","",IF(AND(ISNUMBER(C1S),ISNUMBER(C3E)),IF(AND($B118&gt;=C1S,$B118&lt;=C3E),22,""),""))</f>
        <v/>
      </c>
    </row>
    <row r="119">
      <c r="A119" t="n">
        <v>118</v>
      </c>
      <c r="B119" s="30">
        <f>IFERROR(SMALL(Daily!$A$3:$A$252,A119),"")</f>
        <v/>
      </c>
      <c r="C119">
        <f>IF($B119="","",IF(ISNUMBER(IFERROR(INDEX(Daily!$T$3:$T$252,MATCH($B119,Daily!$A$3:$A$252,0)),"")),IFERROR(INDEX(Daily!$T$3:$T$252,MATCH($B119,Daily!$A$3:$A$252,0)),""),""))</f>
        <v/>
      </c>
      <c r="D119">
        <f>IF($B119="","",IF(ISNUMBER(IFERROR(INDEX(Daily!$AE$3:$AE$252,MATCH($B119,Daily!$A$3:$A$252,0)),"")),IFERROR(INDEX(Daily!$AE$3:$AE$252,MATCH($B119,Daily!$A$3:$A$252,0)),""),""))</f>
        <v/>
      </c>
      <c r="E119">
        <f>IF($B119="","",IF(ISNUMBER(IFERROR(INDEX(Daily!$B$3:$B$252,MATCH($B119,Daily!$A$3:$A$252,0)),"")),IFERROR(INDEX(Daily!$B$3:$B$252,MATCH($B119,Daily!$A$3:$A$252,0)),""),0))</f>
        <v/>
      </c>
      <c r="F119">
        <f>IF($B119="","",IF(ISNUMBER(IFERROR(INDEX(Daily!$Y$3:$Y$252,MATCH($B119,Daily!$A$3:$A$252,0)),"")),IFERROR(INDEX(Daily!$Y$3:$Y$252,MATCH($B119,Daily!$A$3:$A$252,0)),""),""))</f>
        <v/>
      </c>
      <c r="G119">
        <f>IF($B119="","",IF(ISNUMBER(IFERROR(INDEX(Daily!$AJ$3:$AJ$252,MATCH($B119,Daily!$A$3:$A$252,0)),"")),IFERROR(INDEX(Daily!$AJ$3:$AJ$252,MATCH($B119,Daily!$A$3:$A$252,0)),""),""))</f>
        <v/>
      </c>
      <c r="H119">
        <f>IF($B119="","",IF(ISNUMBER(IFERROR(INDEX(Daily!$Z$3:$Z$252,MATCH($B119,Daily!$A$3:$A$252,0)),"")),IFERROR(INDEX(Daily!$Z$3:$Z$252,MATCH($B119,Daily!$A$3:$A$252,0)),""),""))</f>
        <v/>
      </c>
      <c r="I119">
        <f>IF($B119="","",IF(ISNUMBER(IFERROR(INDEX(Daily!$AK$3:$AK$252,MATCH($B119,Daily!$A$3:$A$252,0)),"")),IFERROR(INDEX(Daily!$AK$3:$AK$252,MATCH($B119,Daily!$A$3:$A$252,0)),""),""))</f>
        <v/>
      </c>
      <c r="J119">
        <f>IF($B119="","",IF(AND(ISNUMBER(MDS),ISNUMBER(MDE)),IF(AND($B119&gt;=MDS,$B119&lt;=MDE),24,""),""))</f>
        <v/>
      </c>
      <c r="K119">
        <f>IF($B119="","",IF(AND(ISNUMBER(PitanS),ISNUMBER(PitanE)),IF(AND($B119&gt;=PitanS,$B119&lt;=PitanE),26,""),""))</f>
        <v/>
      </c>
      <c r="L119">
        <f>IF($B119="","",IF(AND(ISNUMBER(C1S),ISNUMBER(C3E)),IF(AND($B119&gt;=C1S,$B119&lt;=C3E),22,""),""))</f>
        <v/>
      </c>
    </row>
    <row r="120">
      <c r="A120" t="n">
        <v>119</v>
      </c>
      <c r="B120" s="30">
        <f>IFERROR(SMALL(Daily!$A$3:$A$252,A120),"")</f>
        <v/>
      </c>
      <c r="C120">
        <f>IF($B120="","",IF(ISNUMBER(IFERROR(INDEX(Daily!$T$3:$T$252,MATCH($B120,Daily!$A$3:$A$252,0)),"")),IFERROR(INDEX(Daily!$T$3:$T$252,MATCH($B120,Daily!$A$3:$A$252,0)),""),""))</f>
        <v/>
      </c>
      <c r="D120">
        <f>IF($B120="","",IF(ISNUMBER(IFERROR(INDEX(Daily!$AE$3:$AE$252,MATCH($B120,Daily!$A$3:$A$252,0)),"")),IFERROR(INDEX(Daily!$AE$3:$AE$252,MATCH($B120,Daily!$A$3:$A$252,0)),""),""))</f>
        <v/>
      </c>
      <c r="E120">
        <f>IF($B120="","",IF(ISNUMBER(IFERROR(INDEX(Daily!$B$3:$B$252,MATCH($B120,Daily!$A$3:$A$252,0)),"")),IFERROR(INDEX(Daily!$B$3:$B$252,MATCH($B120,Daily!$A$3:$A$252,0)),""),0))</f>
        <v/>
      </c>
      <c r="F120">
        <f>IF($B120="","",IF(ISNUMBER(IFERROR(INDEX(Daily!$Y$3:$Y$252,MATCH($B120,Daily!$A$3:$A$252,0)),"")),IFERROR(INDEX(Daily!$Y$3:$Y$252,MATCH($B120,Daily!$A$3:$A$252,0)),""),""))</f>
        <v/>
      </c>
      <c r="G120">
        <f>IF($B120="","",IF(ISNUMBER(IFERROR(INDEX(Daily!$AJ$3:$AJ$252,MATCH($B120,Daily!$A$3:$A$252,0)),"")),IFERROR(INDEX(Daily!$AJ$3:$AJ$252,MATCH($B120,Daily!$A$3:$A$252,0)),""),""))</f>
        <v/>
      </c>
      <c r="H120">
        <f>IF($B120="","",IF(ISNUMBER(IFERROR(INDEX(Daily!$Z$3:$Z$252,MATCH($B120,Daily!$A$3:$A$252,0)),"")),IFERROR(INDEX(Daily!$Z$3:$Z$252,MATCH($B120,Daily!$A$3:$A$252,0)),""),""))</f>
        <v/>
      </c>
      <c r="I120">
        <f>IF($B120="","",IF(ISNUMBER(IFERROR(INDEX(Daily!$AK$3:$AK$252,MATCH($B120,Daily!$A$3:$A$252,0)),"")),IFERROR(INDEX(Daily!$AK$3:$AK$252,MATCH($B120,Daily!$A$3:$A$252,0)),""),""))</f>
        <v/>
      </c>
      <c r="J120">
        <f>IF($B120="","",IF(AND(ISNUMBER(MDS),ISNUMBER(MDE)),IF(AND($B120&gt;=MDS,$B120&lt;=MDE),24,""),""))</f>
        <v/>
      </c>
      <c r="K120">
        <f>IF($B120="","",IF(AND(ISNUMBER(PitanS),ISNUMBER(PitanE)),IF(AND($B120&gt;=PitanS,$B120&lt;=PitanE),26,""),""))</f>
        <v/>
      </c>
      <c r="L120">
        <f>IF($B120="","",IF(AND(ISNUMBER(C1S),ISNUMBER(C3E)),IF(AND($B120&gt;=C1S,$B120&lt;=C3E),22,""),""))</f>
        <v/>
      </c>
    </row>
    <row r="121">
      <c r="A121" t="n">
        <v>120</v>
      </c>
      <c r="B121" s="30">
        <f>IFERROR(SMALL(Daily!$A$3:$A$252,A121),"")</f>
        <v/>
      </c>
      <c r="C121">
        <f>IF($B121="","",IF(ISNUMBER(IFERROR(INDEX(Daily!$T$3:$T$252,MATCH($B121,Daily!$A$3:$A$252,0)),"")),IFERROR(INDEX(Daily!$T$3:$T$252,MATCH($B121,Daily!$A$3:$A$252,0)),""),""))</f>
        <v/>
      </c>
      <c r="D121">
        <f>IF($B121="","",IF(ISNUMBER(IFERROR(INDEX(Daily!$AE$3:$AE$252,MATCH($B121,Daily!$A$3:$A$252,0)),"")),IFERROR(INDEX(Daily!$AE$3:$AE$252,MATCH($B121,Daily!$A$3:$A$252,0)),""),""))</f>
        <v/>
      </c>
      <c r="E121">
        <f>IF($B121="","",IF(ISNUMBER(IFERROR(INDEX(Daily!$B$3:$B$252,MATCH($B121,Daily!$A$3:$A$252,0)),"")),IFERROR(INDEX(Daily!$B$3:$B$252,MATCH($B121,Daily!$A$3:$A$252,0)),""),0))</f>
        <v/>
      </c>
      <c r="F121">
        <f>IF($B121="","",IF(ISNUMBER(IFERROR(INDEX(Daily!$Y$3:$Y$252,MATCH($B121,Daily!$A$3:$A$252,0)),"")),IFERROR(INDEX(Daily!$Y$3:$Y$252,MATCH($B121,Daily!$A$3:$A$252,0)),""),""))</f>
        <v/>
      </c>
      <c r="G121">
        <f>IF($B121="","",IF(ISNUMBER(IFERROR(INDEX(Daily!$AJ$3:$AJ$252,MATCH($B121,Daily!$A$3:$A$252,0)),"")),IFERROR(INDEX(Daily!$AJ$3:$AJ$252,MATCH($B121,Daily!$A$3:$A$252,0)),""),""))</f>
        <v/>
      </c>
      <c r="H121">
        <f>IF($B121="","",IF(ISNUMBER(IFERROR(INDEX(Daily!$Z$3:$Z$252,MATCH($B121,Daily!$A$3:$A$252,0)),"")),IFERROR(INDEX(Daily!$Z$3:$Z$252,MATCH($B121,Daily!$A$3:$A$252,0)),""),""))</f>
        <v/>
      </c>
      <c r="I121">
        <f>IF($B121="","",IF(ISNUMBER(IFERROR(INDEX(Daily!$AK$3:$AK$252,MATCH($B121,Daily!$A$3:$A$252,0)),"")),IFERROR(INDEX(Daily!$AK$3:$AK$252,MATCH($B121,Daily!$A$3:$A$252,0)),""),""))</f>
        <v/>
      </c>
      <c r="J121">
        <f>IF($B121="","",IF(AND(ISNUMBER(MDS),ISNUMBER(MDE)),IF(AND($B121&gt;=MDS,$B121&lt;=MDE),24,""),""))</f>
        <v/>
      </c>
      <c r="K121">
        <f>IF($B121="","",IF(AND(ISNUMBER(PitanS),ISNUMBER(PitanE)),IF(AND($B121&gt;=PitanS,$B121&lt;=PitanE),26,""),""))</f>
        <v/>
      </c>
      <c r="L121">
        <f>IF($B121="","",IF(AND(ISNUMBER(C1S),ISNUMBER(C3E)),IF(AND($B121&gt;=C1S,$B121&lt;=C3E),22,""),""))</f>
        <v/>
      </c>
    </row>
    <row r="122">
      <c r="A122" t="n">
        <v>121</v>
      </c>
      <c r="B122" s="30">
        <f>IFERROR(SMALL(Daily!$A$3:$A$252,A122),"")</f>
        <v/>
      </c>
      <c r="C122">
        <f>IF($B122="","",IF(ISNUMBER(IFERROR(INDEX(Daily!$T$3:$T$252,MATCH($B122,Daily!$A$3:$A$252,0)),"")),IFERROR(INDEX(Daily!$T$3:$T$252,MATCH($B122,Daily!$A$3:$A$252,0)),""),""))</f>
        <v/>
      </c>
      <c r="D122">
        <f>IF($B122="","",IF(ISNUMBER(IFERROR(INDEX(Daily!$AE$3:$AE$252,MATCH($B122,Daily!$A$3:$A$252,0)),"")),IFERROR(INDEX(Daily!$AE$3:$AE$252,MATCH($B122,Daily!$A$3:$A$252,0)),""),""))</f>
        <v/>
      </c>
      <c r="E122">
        <f>IF($B122="","",IF(ISNUMBER(IFERROR(INDEX(Daily!$B$3:$B$252,MATCH($B122,Daily!$A$3:$A$252,0)),"")),IFERROR(INDEX(Daily!$B$3:$B$252,MATCH($B122,Daily!$A$3:$A$252,0)),""),0))</f>
        <v/>
      </c>
      <c r="F122">
        <f>IF($B122="","",IF(ISNUMBER(IFERROR(INDEX(Daily!$Y$3:$Y$252,MATCH($B122,Daily!$A$3:$A$252,0)),"")),IFERROR(INDEX(Daily!$Y$3:$Y$252,MATCH($B122,Daily!$A$3:$A$252,0)),""),""))</f>
        <v/>
      </c>
      <c r="G122">
        <f>IF($B122="","",IF(ISNUMBER(IFERROR(INDEX(Daily!$AJ$3:$AJ$252,MATCH($B122,Daily!$A$3:$A$252,0)),"")),IFERROR(INDEX(Daily!$AJ$3:$AJ$252,MATCH($B122,Daily!$A$3:$A$252,0)),""),""))</f>
        <v/>
      </c>
      <c r="H122">
        <f>IF($B122="","",IF(ISNUMBER(IFERROR(INDEX(Daily!$Z$3:$Z$252,MATCH($B122,Daily!$A$3:$A$252,0)),"")),IFERROR(INDEX(Daily!$Z$3:$Z$252,MATCH($B122,Daily!$A$3:$A$252,0)),""),""))</f>
        <v/>
      </c>
      <c r="I122">
        <f>IF($B122="","",IF(ISNUMBER(IFERROR(INDEX(Daily!$AK$3:$AK$252,MATCH($B122,Daily!$A$3:$A$252,0)),"")),IFERROR(INDEX(Daily!$AK$3:$AK$252,MATCH($B122,Daily!$A$3:$A$252,0)),""),""))</f>
        <v/>
      </c>
      <c r="J122">
        <f>IF($B122="","",IF(AND(ISNUMBER(MDS),ISNUMBER(MDE)),IF(AND($B122&gt;=MDS,$B122&lt;=MDE),24,""),""))</f>
        <v/>
      </c>
      <c r="K122">
        <f>IF($B122="","",IF(AND(ISNUMBER(PitanS),ISNUMBER(PitanE)),IF(AND($B122&gt;=PitanS,$B122&lt;=PitanE),26,""),""))</f>
        <v/>
      </c>
      <c r="L122">
        <f>IF($B122="","",IF(AND(ISNUMBER(C1S),ISNUMBER(C3E)),IF(AND($B122&gt;=C1S,$B122&lt;=C3E),22,""),""))</f>
        <v/>
      </c>
    </row>
    <row r="123">
      <c r="A123" t="n">
        <v>122</v>
      </c>
      <c r="B123" s="30">
        <f>IFERROR(SMALL(Daily!$A$3:$A$252,A123),"")</f>
        <v/>
      </c>
      <c r="C123">
        <f>IF($B123="","",IF(ISNUMBER(IFERROR(INDEX(Daily!$T$3:$T$252,MATCH($B123,Daily!$A$3:$A$252,0)),"")),IFERROR(INDEX(Daily!$T$3:$T$252,MATCH($B123,Daily!$A$3:$A$252,0)),""),""))</f>
        <v/>
      </c>
      <c r="D123">
        <f>IF($B123="","",IF(ISNUMBER(IFERROR(INDEX(Daily!$AE$3:$AE$252,MATCH($B123,Daily!$A$3:$A$252,0)),"")),IFERROR(INDEX(Daily!$AE$3:$AE$252,MATCH($B123,Daily!$A$3:$A$252,0)),""),""))</f>
        <v/>
      </c>
      <c r="E123">
        <f>IF($B123="","",IF(ISNUMBER(IFERROR(INDEX(Daily!$B$3:$B$252,MATCH($B123,Daily!$A$3:$A$252,0)),"")),IFERROR(INDEX(Daily!$B$3:$B$252,MATCH($B123,Daily!$A$3:$A$252,0)),""),0))</f>
        <v/>
      </c>
      <c r="F123">
        <f>IF($B123="","",IF(ISNUMBER(IFERROR(INDEX(Daily!$Y$3:$Y$252,MATCH($B123,Daily!$A$3:$A$252,0)),"")),IFERROR(INDEX(Daily!$Y$3:$Y$252,MATCH($B123,Daily!$A$3:$A$252,0)),""),""))</f>
        <v/>
      </c>
      <c r="G123">
        <f>IF($B123="","",IF(ISNUMBER(IFERROR(INDEX(Daily!$AJ$3:$AJ$252,MATCH($B123,Daily!$A$3:$A$252,0)),"")),IFERROR(INDEX(Daily!$AJ$3:$AJ$252,MATCH($B123,Daily!$A$3:$A$252,0)),""),""))</f>
        <v/>
      </c>
      <c r="H123">
        <f>IF($B123="","",IF(ISNUMBER(IFERROR(INDEX(Daily!$Z$3:$Z$252,MATCH($B123,Daily!$A$3:$A$252,0)),"")),IFERROR(INDEX(Daily!$Z$3:$Z$252,MATCH($B123,Daily!$A$3:$A$252,0)),""),""))</f>
        <v/>
      </c>
      <c r="I123">
        <f>IF($B123="","",IF(ISNUMBER(IFERROR(INDEX(Daily!$AK$3:$AK$252,MATCH($B123,Daily!$A$3:$A$252,0)),"")),IFERROR(INDEX(Daily!$AK$3:$AK$252,MATCH($B123,Daily!$A$3:$A$252,0)),""),""))</f>
        <v/>
      </c>
      <c r="J123">
        <f>IF($B123="","",IF(AND(ISNUMBER(MDS),ISNUMBER(MDE)),IF(AND($B123&gt;=MDS,$B123&lt;=MDE),24,""),""))</f>
        <v/>
      </c>
      <c r="K123">
        <f>IF($B123="","",IF(AND(ISNUMBER(PitanS),ISNUMBER(PitanE)),IF(AND($B123&gt;=PitanS,$B123&lt;=PitanE),26,""),""))</f>
        <v/>
      </c>
      <c r="L123">
        <f>IF($B123="","",IF(AND(ISNUMBER(C1S),ISNUMBER(C3E)),IF(AND($B123&gt;=C1S,$B123&lt;=C3E),22,""),""))</f>
        <v/>
      </c>
    </row>
    <row r="124">
      <c r="A124" t="n">
        <v>123</v>
      </c>
      <c r="B124" s="30">
        <f>IFERROR(SMALL(Daily!$A$3:$A$252,A124),"")</f>
        <v/>
      </c>
      <c r="C124">
        <f>IF($B124="","",IF(ISNUMBER(IFERROR(INDEX(Daily!$T$3:$T$252,MATCH($B124,Daily!$A$3:$A$252,0)),"")),IFERROR(INDEX(Daily!$T$3:$T$252,MATCH($B124,Daily!$A$3:$A$252,0)),""),""))</f>
        <v/>
      </c>
      <c r="D124">
        <f>IF($B124="","",IF(ISNUMBER(IFERROR(INDEX(Daily!$AE$3:$AE$252,MATCH($B124,Daily!$A$3:$A$252,0)),"")),IFERROR(INDEX(Daily!$AE$3:$AE$252,MATCH($B124,Daily!$A$3:$A$252,0)),""),""))</f>
        <v/>
      </c>
      <c r="E124">
        <f>IF($B124="","",IF(ISNUMBER(IFERROR(INDEX(Daily!$B$3:$B$252,MATCH($B124,Daily!$A$3:$A$252,0)),"")),IFERROR(INDEX(Daily!$B$3:$B$252,MATCH($B124,Daily!$A$3:$A$252,0)),""),0))</f>
        <v/>
      </c>
      <c r="F124">
        <f>IF($B124="","",IF(ISNUMBER(IFERROR(INDEX(Daily!$Y$3:$Y$252,MATCH($B124,Daily!$A$3:$A$252,0)),"")),IFERROR(INDEX(Daily!$Y$3:$Y$252,MATCH($B124,Daily!$A$3:$A$252,0)),""),""))</f>
        <v/>
      </c>
      <c r="G124">
        <f>IF($B124="","",IF(ISNUMBER(IFERROR(INDEX(Daily!$AJ$3:$AJ$252,MATCH($B124,Daily!$A$3:$A$252,0)),"")),IFERROR(INDEX(Daily!$AJ$3:$AJ$252,MATCH($B124,Daily!$A$3:$A$252,0)),""),""))</f>
        <v/>
      </c>
      <c r="H124">
        <f>IF($B124="","",IF(ISNUMBER(IFERROR(INDEX(Daily!$Z$3:$Z$252,MATCH($B124,Daily!$A$3:$A$252,0)),"")),IFERROR(INDEX(Daily!$Z$3:$Z$252,MATCH($B124,Daily!$A$3:$A$252,0)),""),""))</f>
        <v/>
      </c>
      <c r="I124">
        <f>IF($B124="","",IF(ISNUMBER(IFERROR(INDEX(Daily!$AK$3:$AK$252,MATCH($B124,Daily!$A$3:$A$252,0)),"")),IFERROR(INDEX(Daily!$AK$3:$AK$252,MATCH($B124,Daily!$A$3:$A$252,0)),""),""))</f>
        <v/>
      </c>
      <c r="J124">
        <f>IF($B124="","",IF(AND(ISNUMBER(MDS),ISNUMBER(MDE)),IF(AND($B124&gt;=MDS,$B124&lt;=MDE),24,""),""))</f>
        <v/>
      </c>
      <c r="K124">
        <f>IF($B124="","",IF(AND(ISNUMBER(PitanS),ISNUMBER(PitanE)),IF(AND($B124&gt;=PitanS,$B124&lt;=PitanE),26,""),""))</f>
        <v/>
      </c>
      <c r="L124">
        <f>IF($B124="","",IF(AND(ISNUMBER(C1S),ISNUMBER(C3E)),IF(AND($B124&gt;=C1S,$B124&lt;=C3E),22,""),""))</f>
        <v/>
      </c>
    </row>
    <row r="125">
      <c r="A125" t="n">
        <v>124</v>
      </c>
      <c r="B125" s="30">
        <f>IFERROR(SMALL(Daily!$A$3:$A$252,A125),"")</f>
        <v/>
      </c>
      <c r="C125">
        <f>IF($B125="","",IF(ISNUMBER(IFERROR(INDEX(Daily!$T$3:$T$252,MATCH($B125,Daily!$A$3:$A$252,0)),"")),IFERROR(INDEX(Daily!$T$3:$T$252,MATCH($B125,Daily!$A$3:$A$252,0)),""),""))</f>
        <v/>
      </c>
      <c r="D125">
        <f>IF($B125="","",IF(ISNUMBER(IFERROR(INDEX(Daily!$AE$3:$AE$252,MATCH($B125,Daily!$A$3:$A$252,0)),"")),IFERROR(INDEX(Daily!$AE$3:$AE$252,MATCH($B125,Daily!$A$3:$A$252,0)),""),""))</f>
        <v/>
      </c>
      <c r="E125">
        <f>IF($B125="","",IF(ISNUMBER(IFERROR(INDEX(Daily!$B$3:$B$252,MATCH($B125,Daily!$A$3:$A$252,0)),"")),IFERROR(INDEX(Daily!$B$3:$B$252,MATCH($B125,Daily!$A$3:$A$252,0)),""),0))</f>
        <v/>
      </c>
      <c r="F125">
        <f>IF($B125="","",IF(ISNUMBER(IFERROR(INDEX(Daily!$Y$3:$Y$252,MATCH($B125,Daily!$A$3:$A$252,0)),"")),IFERROR(INDEX(Daily!$Y$3:$Y$252,MATCH($B125,Daily!$A$3:$A$252,0)),""),""))</f>
        <v/>
      </c>
      <c r="G125">
        <f>IF($B125="","",IF(ISNUMBER(IFERROR(INDEX(Daily!$AJ$3:$AJ$252,MATCH($B125,Daily!$A$3:$A$252,0)),"")),IFERROR(INDEX(Daily!$AJ$3:$AJ$252,MATCH($B125,Daily!$A$3:$A$252,0)),""),""))</f>
        <v/>
      </c>
      <c r="H125">
        <f>IF($B125="","",IF(ISNUMBER(IFERROR(INDEX(Daily!$Z$3:$Z$252,MATCH($B125,Daily!$A$3:$A$252,0)),"")),IFERROR(INDEX(Daily!$Z$3:$Z$252,MATCH($B125,Daily!$A$3:$A$252,0)),""),""))</f>
        <v/>
      </c>
      <c r="I125">
        <f>IF($B125="","",IF(ISNUMBER(IFERROR(INDEX(Daily!$AK$3:$AK$252,MATCH($B125,Daily!$A$3:$A$252,0)),"")),IFERROR(INDEX(Daily!$AK$3:$AK$252,MATCH($B125,Daily!$A$3:$A$252,0)),""),""))</f>
        <v/>
      </c>
      <c r="J125">
        <f>IF($B125="","",IF(AND(ISNUMBER(MDS),ISNUMBER(MDE)),IF(AND($B125&gt;=MDS,$B125&lt;=MDE),24,""),""))</f>
        <v/>
      </c>
      <c r="K125">
        <f>IF($B125="","",IF(AND(ISNUMBER(PitanS),ISNUMBER(PitanE)),IF(AND($B125&gt;=PitanS,$B125&lt;=PitanE),26,""),""))</f>
        <v/>
      </c>
      <c r="L125">
        <f>IF($B125="","",IF(AND(ISNUMBER(C1S),ISNUMBER(C3E)),IF(AND($B125&gt;=C1S,$B125&lt;=C3E),22,""),""))</f>
        <v/>
      </c>
    </row>
    <row r="126">
      <c r="A126" t="n">
        <v>125</v>
      </c>
      <c r="B126" s="30">
        <f>IFERROR(SMALL(Daily!$A$3:$A$252,A126),"")</f>
        <v/>
      </c>
      <c r="C126">
        <f>IF($B126="","",IF(ISNUMBER(IFERROR(INDEX(Daily!$T$3:$T$252,MATCH($B126,Daily!$A$3:$A$252,0)),"")),IFERROR(INDEX(Daily!$T$3:$T$252,MATCH($B126,Daily!$A$3:$A$252,0)),""),""))</f>
        <v/>
      </c>
      <c r="D126">
        <f>IF($B126="","",IF(ISNUMBER(IFERROR(INDEX(Daily!$AE$3:$AE$252,MATCH($B126,Daily!$A$3:$A$252,0)),"")),IFERROR(INDEX(Daily!$AE$3:$AE$252,MATCH($B126,Daily!$A$3:$A$252,0)),""),""))</f>
        <v/>
      </c>
      <c r="E126">
        <f>IF($B126="","",IF(ISNUMBER(IFERROR(INDEX(Daily!$B$3:$B$252,MATCH($B126,Daily!$A$3:$A$252,0)),"")),IFERROR(INDEX(Daily!$B$3:$B$252,MATCH($B126,Daily!$A$3:$A$252,0)),""),0))</f>
        <v/>
      </c>
      <c r="F126">
        <f>IF($B126="","",IF(ISNUMBER(IFERROR(INDEX(Daily!$Y$3:$Y$252,MATCH($B126,Daily!$A$3:$A$252,0)),"")),IFERROR(INDEX(Daily!$Y$3:$Y$252,MATCH($B126,Daily!$A$3:$A$252,0)),""),""))</f>
        <v/>
      </c>
      <c r="G126">
        <f>IF($B126="","",IF(ISNUMBER(IFERROR(INDEX(Daily!$AJ$3:$AJ$252,MATCH($B126,Daily!$A$3:$A$252,0)),"")),IFERROR(INDEX(Daily!$AJ$3:$AJ$252,MATCH($B126,Daily!$A$3:$A$252,0)),""),""))</f>
        <v/>
      </c>
      <c r="H126">
        <f>IF($B126="","",IF(ISNUMBER(IFERROR(INDEX(Daily!$Z$3:$Z$252,MATCH($B126,Daily!$A$3:$A$252,0)),"")),IFERROR(INDEX(Daily!$Z$3:$Z$252,MATCH($B126,Daily!$A$3:$A$252,0)),""),""))</f>
        <v/>
      </c>
      <c r="I126">
        <f>IF($B126="","",IF(ISNUMBER(IFERROR(INDEX(Daily!$AK$3:$AK$252,MATCH($B126,Daily!$A$3:$A$252,0)),"")),IFERROR(INDEX(Daily!$AK$3:$AK$252,MATCH($B126,Daily!$A$3:$A$252,0)),""),""))</f>
        <v/>
      </c>
      <c r="J126">
        <f>IF($B126="","",IF(AND(ISNUMBER(MDS),ISNUMBER(MDE)),IF(AND($B126&gt;=MDS,$B126&lt;=MDE),24,""),""))</f>
        <v/>
      </c>
      <c r="K126">
        <f>IF($B126="","",IF(AND(ISNUMBER(PitanS),ISNUMBER(PitanE)),IF(AND($B126&gt;=PitanS,$B126&lt;=PitanE),26,""),""))</f>
        <v/>
      </c>
      <c r="L126">
        <f>IF($B126="","",IF(AND(ISNUMBER(C1S),ISNUMBER(C3E)),IF(AND($B126&gt;=C1S,$B126&lt;=C3E),22,""),""))</f>
        <v/>
      </c>
    </row>
    <row r="127">
      <c r="A127" t="n">
        <v>126</v>
      </c>
      <c r="B127" s="30">
        <f>IFERROR(SMALL(Daily!$A$3:$A$252,A127),"")</f>
        <v/>
      </c>
      <c r="C127">
        <f>IF($B127="","",IF(ISNUMBER(IFERROR(INDEX(Daily!$T$3:$T$252,MATCH($B127,Daily!$A$3:$A$252,0)),"")),IFERROR(INDEX(Daily!$T$3:$T$252,MATCH($B127,Daily!$A$3:$A$252,0)),""),""))</f>
        <v/>
      </c>
      <c r="D127">
        <f>IF($B127="","",IF(ISNUMBER(IFERROR(INDEX(Daily!$AE$3:$AE$252,MATCH($B127,Daily!$A$3:$A$252,0)),"")),IFERROR(INDEX(Daily!$AE$3:$AE$252,MATCH($B127,Daily!$A$3:$A$252,0)),""),""))</f>
        <v/>
      </c>
      <c r="E127">
        <f>IF($B127="","",IF(ISNUMBER(IFERROR(INDEX(Daily!$B$3:$B$252,MATCH($B127,Daily!$A$3:$A$252,0)),"")),IFERROR(INDEX(Daily!$B$3:$B$252,MATCH($B127,Daily!$A$3:$A$252,0)),""),0))</f>
        <v/>
      </c>
      <c r="F127">
        <f>IF($B127="","",IF(ISNUMBER(IFERROR(INDEX(Daily!$Y$3:$Y$252,MATCH($B127,Daily!$A$3:$A$252,0)),"")),IFERROR(INDEX(Daily!$Y$3:$Y$252,MATCH($B127,Daily!$A$3:$A$252,0)),""),""))</f>
        <v/>
      </c>
      <c r="G127">
        <f>IF($B127="","",IF(ISNUMBER(IFERROR(INDEX(Daily!$AJ$3:$AJ$252,MATCH($B127,Daily!$A$3:$A$252,0)),"")),IFERROR(INDEX(Daily!$AJ$3:$AJ$252,MATCH($B127,Daily!$A$3:$A$252,0)),""),""))</f>
        <v/>
      </c>
      <c r="H127">
        <f>IF($B127="","",IF(ISNUMBER(IFERROR(INDEX(Daily!$Z$3:$Z$252,MATCH($B127,Daily!$A$3:$A$252,0)),"")),IFERROR(INDEX(Daily!$Z$3:$Z$252,MATCH($B127,Daily!$A$3:$A$252,0)),""),""))</f>
        <v/>
      </c>
      <c r="I127">
        <f>IF($B127="","",IF(ISNUMBER(IFERROR(INDEX(Daily!$AK$3:$AK$252,MATCH($B127,Daily!$A$3:$A$252,0)),"")),IFERROR(INDEX(Daily!$AK$3:$AK$252,MATCH($B127,Daily!$A$3:$A$252,0)),""),""))</f>
        <v/>
      </c>
      <c r="J127">
        <f>IF($B127="","",IF(AND(ISNUMBER(MDS),ISNUMBER(MDE)),IF(AND($B127&gt;=MDS,$B127&lt;=MDE),24,""),""))</f>
        <v/>
      </c>
      <c r="K127">
        <f>IF($B127="","",IF(AND(ISNUMBER(PitanS),ISNUMBER(PitanE)),IF(AND($B127&gt;=PitanS,$B127&lt;=PitanE),26,""),""))</f>
        <v/>
      </c>
      <c r="L127">
        <f>IF($B127="","",IF(AND(ISNUMBER(C1S),ISNUMBER(C3E)),IF(AND($B127&gt;=C1S,$B127&lt;=C3E),22,""),""))</f>
        <v/>
      </c>
    </row>
    <row r="128">
      <c r="A128" t="n">
        <v>127</v>
      </c>
      <c r="B128" s="30">
        <f>IFERROR(SMALL(Daily!$A$3:$A$252,A128),"")</f>
        <v/>
      </c>
      <c r="C128">
        <f>IF($B128="","",IF(ISNUMBER(IFERROR(INDEX(Daily!$T$3:$T$252,MATCH($B128,Daily!$A$3:$A$252,0)),"")),IFERROR(INDEX(Daily!$T$3:$T$252,MATCH($B128,Daily!$A$3:$A$252,0)),""),""))</f>
        <v/>
      </c>
      <c r="D128">
        <f>IF($B128="","",IF(ISNUMBER(IFERROR(INDEX(Daily!$AE$3:$AE$252,MATCH($B128,Daily!$A$3:$A$252,0)),"")),IFERROR(INDEX(Daily!$AE$3:$AE$252,MATCH($B128,Daily!$A$3:$A$252,0)),""),""))</f>
        <v/>
      </c>
      <c r="E128">
        <f>IF($B128="","",IF(ISNUMBER(IFERROR(INDEX(Daily!$B$3:$B$252,MATCH($B128,Daily!$A$3:$A$252,0)),"")),IFERROR(INDEX(Daily!$B$3:$B$252,MATCH($B128,Daily!$A$3:$A$252,0)),""),0))</f>
        <v/>
      </c>
      <c r="F128">
        <f>IF($B128="","",IF(ISNUMBER(IFERROR(INDEX(Daily!$Y$3:$Y$252,MATCH($B128,Daily!$A$3:$A$252,0)),"")),IFERROR(INDEX(Daily!$Y$3:$Y$252,MATCH($B128,Daily!$A$3:$A$252,0)),""),""))</f>
        <v/>
      </c>
      <c r="G128">
        <f>IF($B128="","",IF(ISNUMBER(IFERROR(INDEX(Daily!$AJ$3:$AJ$252,MATCH($B128,Daily!$A$3:$A$252,0)),"")),IFERROR(INDEX(Daily!$AJ$3:$AJ$252,MATCH($B128,Daily!$A$3:$A$252,0)),""),""))</f>
        <v/>
      </c>
      <c r="H128">
        <f>IF($B128="","",IF(ISNUMBER(IFERROR(INDEX(Daily!$Z$3:$Z$252,MATCH($B128,Daily!$A$3:$A$252,0)),"")),IFERROR(INDEX(Daily!$Z$3:$Z$252,MATCH($B128,Daily!$A$3:$A$252,0)),""),""))</f>
        <v/>
      </c>
      <c r="I128">
        <f>IF($B128="","",IF(ISNUMBER(IFERROR(INDEX(Daily!$AK$3:$AK$252,MATCH($B128,Daily!$A$3:$A$252,0)),"")),IFERROR(INDEX(Daily!$AK$3:$AK$252,MATCH($B128,Daily!$A$3:$A$252,0)),""),""))</f>
        <v/>
      </c>
      <c r="J128">
        <f>IF($B128="","",IF(AND(ISNUMBER(MDS),ISNUMBER(MDE)),IF(AND($B128&gt;=MDS,$B128&lt;=MDE),24,""),""))</f>
        <v/>
      </c>
      <c r="K128">
        <f>IF($B128="","",IF(AND(ISNUMBER(PitanS),ISNUMBER(PitanE)),IF(AND($B128&gt;=PitanS,$B128&lt;=PitanE),26,""),""))</f>
        <v/>
      </c>
      <c r="L128">
        <f>IF($B128="","",IF(AND(ISNUMBER(C1S),ISNUMBER(C3E)),IF(AND($B128&gt;=C1S,$B128&lt;=C3E),22,""),""))</f>
        <v/>
      </c>
    </row>
    <row r="129">
      <c r="A129" t="n">
        <v>128</v>
      </c>
      <c r="B129" s="30">
        <f>IFERROR(SMALL(Daily!$A$3:$A$252,A129),"")</f>
        <v/>
      </c>
      <c r="C129">
        <f>IF($B129="","",IF(ISNUMBER(IFERROR(INDEX(Daily!$T$3:$T$252,MATCH($B129,Daily!$A$3:$A$252,0)),"")),IFERROR(INDEX(Daily!$T$3:$T$252,MATCH($B129,Daily!$A$3:$A$252,0)),""),""))</f>
        <v/>
      </c>
      <c r="D129">
        <f>IF($B129="","",IF(ISNUMBER(IFERROR(INDEX(Daily!$AE$3:$AE$252,MATCH($B129,Daily!$A$3:$A$252,0)),"")),IFERROR(INDEX(Daily!$AE$3:$AE$252,MATCH($B129,Daily!$A$3:$A$252,0)),""),""))</f>
        <v/>
      </c>
      <c r="E129">
        <f>IF($B129="","",IF(ISNUMBER(IFERROR(INDEX(Daily!$B$3:$B$252,MATCH($B129,Daily!$A$3:$A$252,0)),"")),IFERROR(INDEX(Daily!$B$3:$B$252,MATCH($B129,Daily!$A$3:$A$252,0)),""),0))</f>
        <v/>
      </c>
      <c r="F129">
        <f>IF($B129="","",IF(ISNUMBER(IFERROR(INDEX(Daily!$Y$3:$Y$252,MATCH($B129,Daily!$A$3:$A$252,0)),"")),IFERROR(INDEX(Daily!$Y$3:$Y$252,MATCH($B129,Daily!$A$3:$A$252,0)),""),""))</f>
        <v/>
      </c>
      <c r="G129">
        <f>IF($B129="","",IF(ISNUMBER(IFERROR(INDEX(Daily!$AJ$3:$AJ$252,MATCH($B129,Daily!$A$3:$A$252,0)),"")),IFERROR(INDEX(Daily!$AJ$3:$AJ$252,MATCH($B129,Daily!$A$3:$A$252,0)),""),""))</f>
        <v/>
      </c>
      <c r="H129">
        <f>IF($B129="","",IF(ISNUMBER(IFERROR(INDEX(Daily!$Z$3:$Z$252,MATCH($B129,Daily!$A$3:$A$252,0)),"")),IFERROR(INDEX(Daily!$Z$3:$Z$252,MATCH($B129,Daily!$A$3:$A$252,0)),""),""))</f>
        <v/>
      </c>
      <c r="I129">
        <f>IF($B129="","",IF(ISNUMBER(IFERROR(INDEX(Daily!$AK$3:$AK$252,MATCH($B129,Daily!$A$3:$A$252,0)),"")),IFERROR(INDEX(Daily!$AK$3:$AK$252,MATCH($B129,Daily!$A$3:$A$252,0)),""),""))</f>
        <v/>
      </c>
      <c r="J129">
        <f>IF($B129="","",IF(AND(ISNUMBER(MDS),ISNUMBER(MDE)),IF(AND($B129&gt;=MDS,$B129&lt;=MDE),24,""),""))</f>
        <v/>
      </c>
      <c r="K129">
        <f>IF($B129="","",IF(AND(ISNUMBER(PitanS),ISNUMBER(PitanE)),IF(AND($B129&gt;=PitanS,$B129&lt;=PitanE),26,""),""))</f>
        <v/>
      </c>
      <c r="L129">
        <f>IF($B129="","",IF(AND(ISNUMBER(C1S),ISNUMBER(C3E)),IF(AND($B129&gt;=C1S,$B129&lt;=C3E),22,""),""))</f>
        <v/>
      </c>
    </row>
    <row r="130">
      <c r="A130" t="n">
        <v>129</v>
      </c>
      <c r="B130" s="30">
        <f>IFERROR(SMALL(Daily!$A$3:$A$252,A130),"")</f>
        <v/>
      </c>
      <c r="C130">
        <f>IF($B130="","",IF(ISNUMBER(IFERROR(INDEX(Daily!$T$3:$T$252,MATCH($B130,Daily!$A$3:$A$252,0)),"")),IFERROR(INDEX(Daily!$T$3:$T$252,MATCH($B130,Daily!$A$3:$A$252,0)),""),""))</f>
        <v/>
      </c>
      <c r="D130">
        <f>IF($B130="","",IF(ISNUMBER(IFERROR(INDEX(Daily!$AE$3:$AE$252,MATCH($B130,Daily!$A$3:$A$252,0)),"")),IFERROR(INDEX(Daily!$AE$3:$AE$252,MATCH($B130,Daily!$A$3:$A$252,0)),""),""))</f>
        <v/>
      </c>
      <c r="E130">
        <f>IF($B130="","",IF(ISNUMBER(IFERROR(INDEX(Daily!$B$3:$B$252,MATCH($B130,Daily!$A$3:$A$252,0)),"")),IFERROR(INDEX(Daily!$B$3:$B$252,MATCH($B130,Daily!$A$3:$A$252,0)),""),0))</f>
        <v/>
      </c>
      <c r="F130">
        <f>IF($B130="","",IF(ISNUMBER(IFERROR(INDEX(Daily!$Y$3:$Y$252,MATCH($B130,Daily!$A$3:$A$252,0)),"")),IFERROR(INDEX(Daily!$Y$3:$Y$252,MATCH($B130,Daily!$A$3:$A$252,0)),""),""))</f>
        <v/>
      </c>
      <c r="G130">
        <f>IF($B130="","",IF(ISNUMBER(IFERROR(INDEX(Daily!$AJ$3:$AJ$252,MATCH($B130,Daily!$A$3:$A$252,0)),"")),IFERROR(INDEX(Daily!$AJ$3:$AJ$252,MATCH($B130,Daily!$A$3:$A$252,0)),""),""))</f>
        <v/>
      </c>
      <c r="H130">
        <f>IF($B130="","",IF(ISNUMBER(IFERROR(INDEX(Daily!$Z$3:$Z$252,MATCH($B130,Daily!$A$3:$A$252,0)),"")),IFERROR(INDEX(Daily!$Z$3:$Z$252,MATCH($B130,Daily!$A$3:$A$252,0)),""),""))</f>
        <v/>
      </c>
      <c r="I130">
        <f>IF($B130="","",IF(ISNUMBER(IFERROR(INDEX(Daily!$AK$3:$AK$252,MATCH($B130,Daily!$A$3:$A$252,0)),"")),IFERROR(INDEX(Daily!$AK$3:$AK$252,MATCH($B130,Daily!$A$3:$A$252,0)),""),""))</f>
        <v/>
      </c>
      <c r="J130">
        <f>IF($B130="","",IF(AND(ISNUMBER(MDS),ISNUMBER(MDE)),IF(AND($B130&gt;=MDS,$B130&lt;=MDE),24,""),""))</f>
        <v/>
      </c>
      <c r="K130">
        <f>IF($B130="","",IF(AND(ISNUMBER(PitanS),ISNUMBER(PitanE)),IF(AND($B130&gt;=PitanS,$B130&lt;=PitanE),26,""),""))</f>
        <v/>
      </c>
      <c r="L130">
        <f>IF($B130="","",IF(AND(ISNUMBER(C1S),ISNUMBER(C3E)),IF(AND($B130&gt;=C1S,$B130&lt;=C3E),22,""),""))</f>
        <v/>
      </c>
    </row>
    <row r="131">
      <c r="A131" t="n">
        <v>130</v>
      </c>
      <c r="B131" s="30">
        <f>IFERROR(SMALL(Daily!$A$3:$A$252,A131),"")</f>
        <v/>
      </c>
      <c r="C131">
        <f>IF($B131="","",IF(ISNUMBER(IFERROR(INDEX(Daily!$T$3:$T$252,MATCH($B131,Daily!$A$3:$A$252,0)),"")),IFERROR(INDEX(Daily!$T$3:$T$252,MATCH($B131,Daily!$A$3:$A$252,0)),""),""))</f>
        <v/>
      </c>
      <c r="D131">
        <f>IF($B131="","",IF(ISNUMBER(IFERROR(INDEX(Daily!$AE$3:$AE$252,MATCH($B131,Daily!$A$3:$A$252,0)),"")),IFERROR(INDEX(Daily!$AE$3:$AE$252,MATCH($B131,Daily!$A$3:$A$252,0)),""),""))</f>
        <v/>
      </c>
      <c r="E131">
        <f>IF($B131="","",IF(ISNUMBER(IFERROR(INDEX(Daily!$B$3:$B$252,MATCH($B131,Daily!$A$3:$A$252,0)),"")),IFERROR(INDEX(Daily!$B$3:$B$252,MATCH($B131,Daily!$A$3:$A$252,0)),""),0))</f>
        <v/>
      </c>
      <c r="F131">
        <f>IF($B131="","",IF(ISNUMBER(IFERROR(INDEX(Daily!$Y$3:$Y$252,MATCH($B131,Daily!$A$3:$A$252,0)),"")),IFERROR(INDEX(Daily!$Y$3:$Y$252,MATCH($B131,Daily!$A$3:$A$252,0)),""),""))</f>
        <v/>
      </c>
      <c r="G131">
        <f>IF($B131="","",IF(ISNUMBER(IFERROR(INDEX(Daily!$AJ$3:$AJ$252,MATCH($B131,Daily!$A$3:$A$252,0)),"")),IFERROR(INDEX(Daily!$AJ$3:$AJ$252,MATCH($B131,Daily!$A$3:$A$252,0)),""),""))</f>
        <v/>
      </c>
      <c r="H131">
        <f>IF($B131="","",IF(ISNUMBER(IFERROR(INDEX(Daily!$Z$3:$Z$252,MATCH($B131,Daily!$A$3:$A$252,0)),"")),IFERROR(INDEX(Daily!$Z$3:$Z$252,MATCH($B131,Daily!$A$3:$A$252,0)),""),""))</f>
        <v/>
      </c>
      <c r="I131">
        <f>IF($B131="","",IF(ISNUMBER(IFERROR(INDEX(Daily!$AK$3:$AK$252,MATCH($B131,Daily!$A$3:$A$252,0)),"")),IFERROR(INDEX(Daily!$AK$3:$AK$252,MATCH($B131,Daily!$A$3:$A$252,0)),""),""))</f>
        <v/>
      </c>
      <c r="J131">
        <f>IF($B131="","",IF(AND(ISNUMBER(MDS),ISNUMBER(MDE)),IF(AND($B131&gt;=MDS,$B131&lt;=MDE),24,""),""))</f>
        <v/>
      </c>
      <c r="K131">
        <f>IF($B131="","",IF(AND(ISNUMBER(PitanS),ISNUMBER(PitanE)),IF(AND($B131&gt;=PitanS,$B131&lt;=PitanE),26,""),""))</f>
        <v/>
      </c>
      <c r="L131">
        <f>IF($B131="","",IF(AND(ISNUMBER(C1S),ISNUMBER(C3E)),IF(AND($B131&gt;=C1S,$B131&lt;=C3E),22,""),""))</f>
        <v/>
      </c>
    </row>
    <row r="132">
      <c r="A132" t="n">
        <v>131</v>
      </c>
      <c r="B132" s="30">
        <f>IFERROR(SMALL(Daily!$A$3:$A$252,A132),"")</f>
        <v/>
      </c>
      <c r="C132">
        <f>IF($B132="","",IF(ISNUMBER(IFERROR(INDEX(Daily!$T$3:$T$252,MATCH($B132,Daily!$A$3:$A$252,0)),"")),IFERROR(INDEX(Daily!$T$3:$T$252,MATCH($B132,Daily!$A$3:$A$252,0)),""),""))</f>
        <v/>
      </c>
      <c r="D132">
        <f>IF($B132="","",IF(ISNUMBER(IFERROR(INDEX(Daily!$AE$3:$AE$252,MATCH($B132,Daily!$A$3:$A$252,0)),"")),IFERROR(INDEX(Daily!$AE$3:$AE$252,MATCH($B132,Daily!$A$3:$A$252,0)),""),""))</f>
        <v/>
      </c>
      <c r="E132">
        <f>IF($B132="","",IF(ISNUMBER(IFERROR(INDEX(Daily!$B$3:$B$252,MATCH($B132,Daily!$A$3:$A$252,0)),"")),IFERROR(INDEX(Daily!$B$3:$B$252,MATCH($B132,Daily!$A$3:$A$252,0)),""),0))</f>
        <v/>
      </c>
      <c r="F132">
        <f>IF($B132="","",IF(ISNUMBER(IFERROR(INDEX(Daily!$Y$3:$Y$252,MATCH($B132,Daily!$A$3:$A$252,0)),"")),IFERROR(INDEX(Daily!$Y$3:$Y$252,MATCH($B132,Daily!$A$3:$A$252,0)),""),""))</f>
        <v/>
      </c>
      <c r="G132">
        <f>IF($B132="","",IF(ISNUMBER(IFERROR(INDEX(Daily!$AJ$3:$AJ$252,MATCH($B132,Daily!$A$3:$A$252,0)),"")),IFERROR(INDEX(Daily!$AJ$3:$AJ$252,MATCH($B132,Daily!$A$3:$A$252,0)),""),""))</f>
        <v/>
      </c>
      <c r="H132">
        <f>IF($B132="","",IF(ISNUMBER(IFERROR(INDEX(Daily!$Z$3:$Z$252,MATCH($B132,Daily!$A$3:$A$252,0)),"")),IFERROR(INDEX(Daily!$Z$3:$Z$252,MATCH($B132,Daily!$A$3:$A$252,0)),""),""))</f>
        <v/>
      </c>
      <c r="I132">
        <f>IF($B132="","",IF(ISNUMBER(IFERROR(INDEX(Daily!$AK$3:$AK$252,MATCH($B132,Daily!$A$3:$A$252,0)),"")),IFERROR(INDEX(Daily!$AK$3:$AK$252,MATCH($B132,Daily!$A$3:$A$252,0)),""),""))</f>
        <v/>
      </c>
      <c r="J132">
        <f>IF($B132="","",IF(AND(ISNUMBER(MDS),ISNUMBER(MDE)),IF(AND($B132&gt;=MDS,$B132&lt;=MDE),24,""),""))</f>
        <v/>
      </c>
      <c r="K132">
        <f>IF($B132="","",IF(AND(ISNUMBER(PitanS),ISNUMBER(PitanE)),IF(AND($B132&gt;=PitanS,$B132&lt;=PitanE),26,""),""))</f>
        <v/>
      </c>
      <c r="L132">
        <f>IF($B132="","",IF(AND(ISNUMBER(C1S),ISNUMBER(C3E)),IF(AND($B132&gt;=C1S,$B132&lt;=C3E),22,""),""))</f>
        <v/>
      </c>
    </row>
    <row r="133">
      <c r="A133" t="n">
        <v>132</v>
      </c>
      <c r="B133" s="30">
        <f>IFERROR(SMALL(Daily!$A$3:$A$252,A133),"")</f>
        <v/>
      </c>
      <c r="C133">
        <f>IF($B133="","",IF(ISNUMBER(IFERROR(INDEX(Daily!$T$3:$T$252,MATCH($B133,Daily!$A$3:$A$252,0)),"")),IFERROR(INDEX(Daily!$T$3:$T$252,MATCH($B133,Daily!$A$3:$A$252,0)),""),""))</f>
        <v/>
      </c>
      <c r="D133">
        <f>IF($B133="","",IF(ISNUMBER(IFERROR(INDEX(Daily!$AE$3:$AE$252,MATCH($B133,Daily!$A$3:$A$252,0)),"")),IFERROR(INDEX(Daily!$AE$3:$AE$252,MATCH($B133,Daily!$A$3:$A$252,0)),""),""))</f>
        <v/>
      </c>
      <c r="E133">
        <f>IF($B133="","",IF(ISNUMBER(IFERROR(INDEX(Daily!$B$3:$B$252,MATCH($B133,Daily!$A$3:$A$252,0)),"")),IFERROR(INDEX(Daily!$B$3:$B$252,MATCH($B133,Daily!$A$3:$A$252,0)),""),0))</f>
        <v/>
      </c>
      <c r="F133">
        <f>IF($B133="","",IF(ISNUMBER(IFERROR(INDEX(Daily!$Y$3:$Y$252,MATCH($B133,Daily!$A$3:$A$252,0)),"")),IFERROR(INDEX(Daily!$Y$3:$Y$252,MATCH($B133,Daily!$A$3:$A$252,0)),""),""))</f>
        <v/>
      </c>
      <c r="G133">
        <f>IF($B133="","",IF(ISNUMBER(IFERROR(INDEX(Daily!$AJ$3:$AJ$252,MATCH($B133,Daily!$A$3:$A$252,0)),"")),IFERROR(INDEX(Daily!$AJ$3:$AJ$252,MATCH($B133,Daily!$A$3:$A$252,0)),""),""))</f>
        <v/>
      </c>
      <c r="H133">
        <f>IF($B133="","",IF(ISNUMBER(IFERROR(INDEX(Daily!$Z$3:$Z$252,MATCH($B133,Daily!$A$3:$A$252,0)),"")),IFERROR(INDEX(Daily!$Z$3:$Z$252,MATCH($B133,Daily!$A$3:$A$252,0)),""),""))</f>
        <v/>
      </c>
      <c r="I133">
        <f>IF($B133="","",IF(ISNUMBER(IFERROR(INDEX(Daily!$AK$3:$AK$252,MATCH($B133,Daily!$A$3:$A$252,0)),"")),IFERROR(INDEX(Daily!$AK$3:$AK$252,MATCH($B133,Daily!$A$3:$A$252,0)),""),""))</f>
        <v/>
      </c>
      <c r="J133">
        <f>IF($B133="","",IF(AND(ISNUMBER(MDS),ISNUMBER(MDE)),IF(AND($B133&gt;=MDS,$B133&lt;=MDE),24,""),""))</f>
        <v/>
      </c>
      <c r="K133">
        <f>IF($B133="","",IF(AND(ISNUMBER(PitanS),ISNUMBER(PitanE)),IF(AND($B133&gt;=PitanS,$B133&lt;=PitanE),26,""),""))</f>
        <v/>
      </c>
      <c r="L133">
        <f>IF($B133="","",IF(AND(ISNUMBER(C1S),ISNUMBER(C3E)),IF(AND($B133&gt;=C1S,$B133&lt;=C3E),22,""),""))</f>
        <v/>
      </c>
    </row>
    <row r="134">
      <c r="A134" t="n">
        <v>133</v>
      </c>
      <c r="B134" s="30">
        <f>IFERROR(SMALL(Daily!$A$3:$A$252,A134),"")</f>
        <v/>
      </c>
      <c r="C134">
        <f>IF($B134="","",IF(ISNUMBER(IFERROR(INDEX(Daily!$T$3:$T$252,MATCH($B134,Daily!$A$3:$A$252,0)),"")),IFERROR(INDEX(Daily!$T$3:$T$252,MATCH($B134,Daily!$A$3:$A$252,0)),""),""))</f>
        <v/>
      </c>
      <c r="D134">
        <f>IF($B134="","",IF(ISNUMBER(IFERROR(INDEX(Daily!$AE$3:$AE$252,MATCH($B134,Daily!$A$3:$A$252,0)),"")),IFERROR(INDEX(Daily!$AE$3:$AE$252,MATCH($B134,Daily!$A$3:$A$252,0)),""),""))</f>
        <v/>
      </c>
      <c r="E134">
        <f>IF($B134="","",IF(ISNUMBER(IFERROR(INDEX(Daily!$B$3:$B$252,MATCH($B134,Daily!$A$3:$A$252,0)),"")),IFERROR(INDEX(Daily!$B$3:$B$252,MATCH($B134,Daily!$A$3:$A$252,0)),""),0))</f>
        <v/>
      </c>
      <c r="F134">
        <f>IF($B134="","",IF(ISNUMBER(IFERROR(INDEX(Daily!$Y$3:$Y$252,MATCH($B134,Daily!$A$3:$A$252,0)),"")),IFERROR(INDEX(Daily!$Y$3:$Y$252,MATCH($B134,Daily!$A$3:$A$252,0)),""),""))</f>
        <v/>
      </c>
      <c r="G134">
        <f>IF($B134="","",IF(ISNUMBER(IFERROR(INDEX(Daily!$AJ$3:$AJ$252,MATCH($B134,Daily!$A$3:$A$252,0)),"")),IFERROR(INDEX(Daily!$AJ$3:$AJ$252,MATCH($B134,Daily!$A$3:$A$252,0)),""),""))</f>
        <v/>
      </c>
      <c r="H134">
        <f>IF($B134="","",IF(ISNUMBER(IFERROR(INDEX(Daily!$Z$3:$Z$252,MATCH($B134,Daily!$A$3:$A$252,0)),"")),IFERROR(INDEX(Daily!$Z$3:$Z$252,MATCH($B134,Daily!$A$3:$A$252,0)),""),""))</f>
        <v/>
      </c>
      <c r="I134">
        <f>IF($B134="","",IF(ISNUMBER(IFERROR(INDEX(Daily!$AK$3:$AK$252,MATCH($B134,Daily!$A$3:$A$252,0)),"")),IFERROR(INDEX(Daily!$AK$3:$AK$252,MATCH($B134,Daily!$A$3:$A$252,0)),""),""))</f>
        <v/>
      </c>
      <c r="J134">
        <f>IF($B134="","",IF(AND(ISNUMBER(MDS),ISNUMBER(MDE)),IF(AND($B134&gt;=MDS,$B134&lt;=MDE),24,""),""))</f>
        <v/>
      </c>
      <c r="K134">
        <f>IF($B134="","",IF(AND(ISNUMBER(PitanS),ISNUMBER(PitanE)),IF(AND($B134&gt;=PitanS,$B134&lt;=PitanE),26,""),""))</f>
        <v/>
      </c>
      <c r="L134">
        <f>IF($B134="","",IF(AND(ISNUMBER(C1S),ISNUMBER(C3E)),IF(AND($B134&gt;=C1S,$B134&lt;=C3E),22,""),""))</f>
        <v/>
      </c>
    </row>
    <row r="135">
      <c r="A135" t="n">
        <v>134</v>
      </c>
      <c r="B135" s="30">
        <f>IFERROR(SMALL(Daily!$A$3:$A$252,A135),"")</f>
        <v/>
      </c>
      <c r="C135">
        <f>IF($B135="","",IF(ISNUMBER(IFERROR(INDEX(Daily!$T$3:$T$252,MATCH($B135,Daily!$A$3:$A$252,0)),"")),IFERROR(INDEX(Daily!$T$3:$T$252,MATCH($B135,Daily!$A$3:$A$252,0)),""),""))</f>
        <v/>
      </c>
      <c r="D135">
        <f>IF($B135="","",IF(ISNUMBER(IFERROR(INDEX(Daily!$AE$3:$AE$252,MATCH($B135,Daily!$A$3:$A$252,0)),"")),IFERROR(INDEX(Daily!$AE$3:$AE$252,MATCH($B135,Daily!$A$3:$A$252,0)),""),""))</f>
        <v/>
      </c>
      <c r="E135">
        <f>IF($B135="","",IF(ISNUMBER(IFERROR(INDEX(Daily!$B$3:$B$252,MATCH($B135,Daily!$A$3:$A$252,0)),"")),IFERROR(INDEX(Daily!$B$3:$B$252,MATCH($B135,Daily!$A$3:$A$252,0)),""),0))</f>
        <v/>
      </c>
      <c r="F135">
        <f>IF($B135="","",IF(ISNUMBER(IFERROR(INDEX(Daily!$Y$3:$Y$252,MATCH($B135,Daily!$A$3:$A$252,0)),"")),IFERROR(INDEX(Daily!$Y$3:$Y$252,MATCH($B135,Daily!$A$3:$A$252,0)),""),""))</f>
        <v/>
      </c>
      <c r="G135">
        <f>IF($B135="","",IF(ISNUMBER(IFERROR(INDEX(Daily!$AJ$3:$AJ$252,MATCH($B135,Daily!$A$3:$A$252,0)),"")),IFERROR(INDEX(Daily!$AJ$3:$AJ$252,MATCH($B135,Daily!$A$3:$A$252,0)),""),""))</f>
        <v/>
      </c>
      <c r="H135">
        <f>IF($B135="","",IF(ISNUMBER(IFERROR(INDEX(Daily!$Z$3:$Z$252,MATCH($B135,Daily!$A$3:$A$252,0)),"")),IFERROR(INDEX(Daily!$Z$3:$Z$252,MATCH($B135,Daily!$A$3:$A$252,0)),""),""))</f>
        <v/>
      </c>
      <c r="I135">
        <f>IF($B135="","",IF(ISNUMBER(IFERROR(INDEX(Daily!$AK$3:$AK$252,MATCH($B135,Daily!$A$3:$A$252,0)),"")),IFERROR(INDEX(Daily!$AK$3:$AK$252,MATCH($B135,Daily!$A$3:$A$252,0)),""),""))</f>
        <v/>
      </c>
      <c r="J135">
        <f>IF($B135="","",IF(AND(ISNUMBER(MDS),ISNUMBER(MDE)),IF(AND($B135&gt;=MDS,$B135&lt;=MDE),24,""),""))</f>
        <v/>
      </c>
      <c r="K135">
        <f>IF($B135="","",IF(AND(ISNUMBER(PitanS),ISNUMBER(PitanE)),IF(AND($B135&gt;=PitanS,$B135&lt;=PitanE),26,""),""))</f>
        <v/>
      </c>
      <c r="L135">
        <f>IF($B135="","",IF(AND(ISNUMBER(C1S),ISNUMBER(C3E)),IF(AND($B135&gt;=C1S,$B135&lt;=C3E),22,""),""))</f>
        <v/>
      </c>
    </row>
    <row r="136">
      <c r="A136" t="n">
        <v>135</v>
      </c>
      <c r="B136" s="30">
        <f>IFERROR(SMALL(Daily!$A$3:$A$252,A136),"")</f>
        <v/>
      </c>
      <c r="C136">
        <f>IF($B136="","",IF(ISNUMBER(IFERROR(INDEX(Daily!$T$3:$T$252,MATCH($B136,Daily!$A$3:$A$252,0)),"")),IFERROR(INDEX(Daily!$T$3:$T$252,MATCH($B136,Daily!$A$3:$A$252,0)),""),""))</f>
        <v/>
      </c>
      <c r="D136">
        <f>IF($B136="","",IF(ISNUMBER(IFERROR(INDEX(Daily!$AE$3:$AE$252,MATCH($B136,Daily!$A$3:$A$252,0)),"")),IFERROR(INDEX(Daily!$AE$3:$AE$252,MATCH($B136,Daily!$A$3:$A$252,0)),""),""))</f>
        <v/>
      </c>
      <c r="E136">
        <f>IF($B136="","",IF(ISNUMBER(IFERROR(INDEX(Daily!$B$3:$B$252,MATCH($B136,Daily!$A$3:$A$252,0)),"")),IFERROR(INDEX(Daily!$B$3:$B$252,MATCH($B136,Daily!$A$3:$A$252,0)),""),0))</f>
        <v/>
      </c>
      <c r="F136">
        <f>IF($B136="","",IF(ISNUMBER(IFERROR(INDEX(Daily!$Y$3:$Y$252,MATCH($B136,Daily!$A$3:$A$252,0)),"")),IFERROR(INDEX(Daily!$Y$3:$Y$252,MATCH($B136,Daily!$A$3:$A$252,0)),""),""))</f>
        <v/>
      </c>
      <c r="G136">
        <f>IF($B136="","",IF(ISNUMBER(IFERROR(INDEX(Daily!$AJ$3:$AJ$252,MATCH($B136,Daily!$A$3:$A$252,0)),"")),IFERROR(INDEX(Daily!$AJ$3:$AJ$252,MATCH($B136,Daily!$A$3:$A$252,0)),""),""))</f>
        <v/>
      </c>
      <c r="H136">
        <f>IF($B136="","",IF(ISNUMBER(IFERROR(INDEX(Daily!$Z$3:$Z$252,MATCH($B136,Daily!$A$3:$A$252,0)),"")),IFERROR(INDEX(Daily!$Z$3:$Z$252,MATCH($B136,Daily!$A$3:$A$252,0)),""),""))</f>
        <v/>
      </c>
      <c r="I136">
        <f>IF($B136="","",IF(ISNUMBER(IFERROR(INDEX(Daily!$AK$3:$AK$252,MATCH($B136,Daily!$A$3:$A$252,0)),"")),IFERROR(INDEX(Daily!$AK$3:$AK$252,MATCH($B136,Daily!$A$3:$A$252,0)),""),""))</f>
        <v/>
      </c>
      <c r="J136">
        <f>IF($B136="","",IF(AND(ISNUMBER(MDS),ISNUMBER(MDE)),IF(AND($B136&gt;=MDS,$B136&lt;=MDE),24,""),""))</f>
        <v/>
      </c>
      <c r="K136">
        <f>IF($B136="","",IF(AND(ISNUMBER(PitanS),ISNUMBER(PitanE)),IF(AND($B136&gt;=PitanS,$B136&lt;=PitanE),26,""),""))</f>
        <v/>
      </c>
      <c r="L136">
        <f>IF($B136="","",IF(AND(ISNUMBER(C1S),ISNUMBER(C3E)),IF(AND($B136&gt;=C1S,$B136&lt;=C3E),22,""),""))</f>
        <v/>
      </c>
    </row>
    <row r="137">
      <c r="A137" t="n">
        <v>136</v>
      </c>
      <c r="B137" s="30">
        <f>IFERROR(SMALL(Daily!$A$3:$A$252,A137),"")</f>
        <v/>
      </c>
      <c r="C137">
        <f>IF($B137="","",IF(ISNUMBER(IFERROR(INDEX(Daily!$T$3:$T$252,MATCH($B137,Daily!$A$3:$A$252,0)),"")),IFERROR(INDEX(Daily!$T$3:$T$252,MATCH($B137,Daily!$A$3:$A$252,0)),""),""))</f>
        <v/>
      </c>
      <c r="D137">
        <f>IF($B137="","",IF(ISNUMBER(IFERROR(INDEX(Daily!$AE$3:$AE$252,MATCH($B137,Daily!$A$3:$A$252,0)),"")),IFERROR(INDEX(Daily!$AE$3:$AE$252,MATCH($B137,Daily!$A$3:$A$252,0)),""),""))</f>
        <v/>
      </c>
      <c r="E137">
        <f>IF($B137="","",IF(ISNUMBER(IFERROR(INDEX(Daily!$B$3:$B$252,MATCH($B137,Daily!$A$3:$A$252,0)),"")),IFERROR(INDEX(Daily!$B$3:$B$252,MATCH($B137,Daily!$A$3:$A$252,0)),""),0))</f>
        <v/>
      </c>
      <c r="F137">
        <f>IF($B137="","",IF(ISNUMBER(IFERROR(INDEX(Daily!$Y$3:$Y$252,MATCH($B137,Daily!$A$3:$A$252,0)),"")),IFERROR(INDEX(Daily!$Y$3:$Y$252,MATCH($B137,Daily!$A$3:$A$252,0)),""),""))</f>
        <v/>
      </c>
      <c r="G137">
        <f>IF($B137="","",IF(ISNUMBER(IFERROR(INDEX(Daily!$AJ$3:$AJ$252,MATCH($B137,Daily!$A$3:$A$252,0)),"")),IFERROR(INDEX(Daily!$AJ$3:$AJ$252,MATCH($B137,Daily!$A$3:$A$252,0)),""),""))</f>
        <v/>
      </c>
      <c r="H137">
        <f>IF($B137="","",IF(ISNUMBER(IFERROR(INDEX(Daily!$Z$3:$Z$252,MATCH($B137,Daily!$A$3:$A$252,0)),"")),IFERROR(INDEX(Daily!$Z$3:$Z$252,MATCH($B137,Daily!$A$3:$A$252,0)),""),""))</f>
        <v/>
      </c>
      <c r="I137">
        <f>IF($B137="","",IF(ISNUMBER(IFERROR(INDEX(Daily!$AK$3:$AK$252,MATCH($B137,Daily!$A$3:$A$252,0)),"")),IFERROR(INDEX(Daily!$AK$3:$AK$252,MATCH($B137,Daily!$A$3:$A$252,0)),""),""))</f>
        <v/>
      </c>
      <c r="J137">
        <f>IF($B137="","",IF(AND(ISNUMBER(MDS),ISNUMBER(MDE)),IF(AND($B137&gt;=MDS,$B137&lt;=MDE),24,""),""))</f>
        <v/>
      </c>
      <c r="K137">
        <f>IF($B137="","",IF(AND(ISNUMBER(PitanS),ISNUMBER(PitanE)),IF(AND($B137&gt;=PitanS,$B137&lt;=PitanE),26,""),""))</f>
        <v/>
      </c>
      <c r="L137">
        <f>IF($B137="","",IF(AND(ISNUMBER(C1S),ISNUMBER(C3E)),IF(AND($B137&gt;=C1S,$B137&lt;=C3E),22,""),""))</f>
        <v/>
      </c>
    </row>
    <row r="138">
      <c r="A138" t="n">
        <v>137</v>
      </c>
      <c r="B138" s="30">
        <f>IFERROR(SMALL(Daily!$A$3:$A$252,A138),"")</f>
        <v/>
      </c>
      <c r="C138">
        <f>IF($B138="","",IF(ISNUMBER(IFERROR(INDEX(Daily!$T$3:$T$252,MATCH($B138,Daily!$A$3:$A$252,0)),"")),IFERROR(INDEX(Daily!$T$3:$T$252,MATCH($B138,Daily!$A$3:$A$252,0)),""),""))</f>
        <v/>
      </c>
      <c r="D138">
        <f>IF($B138="","",IF(ISNUMBER(IFERROR(INDEX(Daily!$AE$3:$AE$252,MATCH($B138,Daily!$A$3:$A$252,0)),"")),IFERROR(INDEX(Daily!$AE$3:$AE$252,MATCH($B138,Daily!$A$3:$A$252,0)),""),""))</f>
        <v/>
      </c>
      <c r="E138">
        <f>IF($B138="","",IF(ISNUMBER(IFERROR(INDEX(Daily!$B$3:$B$252,MATCH($B138,Daily!$A$3:$A$252,0)),"")),IFERROR(INDEX(Daily!$B$3:$B$252,MATCH($B138,Daily!$A$3:$A$252,0)),""),0))</f>
        <v/>
      </c>
      <c r="F138">
        <f>IF($B138="","",IF(ISNUMBER(IFERROR(INDEX(Daily!$Y$3:$Y$252,MATCH($B138,Daily!$A$3:$A$252,0)),"")),IFERROR(INDEX(Daily!$Y$3:$Y$252,MATCH($B138,Daily!$A$3:$A$252,0)),""),""))</f>
        <v/>
      </c>
      <c r="G138">
        <f>IF($B138="","",IF(ISNUMBER(IFERROR(INDEX(Daily!$AJ$3:$AJ$252,MATCH($B138,Daily!$A$3:$A$252,0)),"")),IFERROR(INDEX(Daily!$AJ$3:$AJ$252,MATCH($B138,Daily!$A$3:$A$252,0)),""),""))</f>
        <v/>
      </c>
      <c r="H138">
        <f>IF($B138="","",IF(ISNUMBER(IFERROR(INDEX(Daily!$Z$3:$Z$252,MATCH($B138,Daily!$A$3:$A$252,0)),"")),IFERROR(INDEX(Daily!$Z$3:$Z$252,MATCH($B138,Daily!$A$3:$A$252,0)),""),""))</f>
        <v/>
      </c>
      <c r="I138">
        <f>IF($B138="","",IF(ISNUMBER(IFERROR(INDEX(Daily!$AK$3:$AK$252,MATCH($B138,Daily!$A$3:$A$252,0)),"")),IFERROR(INDEX(Daily!$AK$3:$AK$252,MATCH($B138,Daily!$A$3:$A$252,0)),""),""))</f>
        <v/>
      </c>
      <c r="J138">
        <f>IF($B138="","",IF(AND(ISNUMBER(MDS),ISNUMBER(MDE)),IF(AND($B138&gt;=MDS,$B138&lt;=MDE),24,""),""))</f>
        <v/>
      </c>
      <c r="K138">
        <f>IF($B138="","",IF(AND(ISNUMBER(PitanS),ISNUMBER(PitanE)),IF(AND($B138&gt;=PitanS,$B138&lt;=PitanE),26,""),""))</f>
        <v/>
      </c>
      <c r="L138">
        <f>IF($B138="","",IF(AND(ISNUMBER(C1S),ISNUMBER(C3E)),IF(AND($B138&gt;=C1S,$B138&lt;=C3E),22,""),""))</f>
        <v/>
      </c>
    </row>
    <row r="139">
      <c r="A139" t="n">
        <v>138</v>
      </c>
      <c r="B139" s="30">
        <f>IFERROR(SMALL(Daily!$A$3:$A$252,A139),"")</f>
        <v/>
      </c>
      <c r="C139">
        <f>IF($B139="","",IF(ISNUMBER(IFERROR(INDEX(Daily!$T$3:$T$252,MATCH($B139,Daily!$A$3:$A$252,0)),"")),IFERROR(INDEX(Daily!$T$3:$T$252,MATCH($B139,Daily!$A$3:$A$252,0)),""),""))</f>
        <v/>
      </c>
      <c r="D139">
        <f>IF($B139="","",IF(ISNUMBER(IFERROR(INDEX(Daily!$AE$3:$AE$252,MATCH($B139,Daily!$A$3:$A$252,0)),"")),IFERROR(INDEX(Daily!$AE$3:$AE$252,MATCH($B139,Daily!$A$3:$A$252,0)),""),""))</f>
        <v/>
      </c>
      <c r="E139">
        <f>IF($B139="","",IF(ISNUMBER(IFERROR(INDEX(Daily!$B$3:$B$252,MATCH($B139,Daily!$A$3:$A$252,0)),"")),IFERROR(INDEX(Daily!$B$3:$B$252,MATCH($B139,Daily!$A$3:$A$252,0)),""),0))</f>
        <v/>
      </c>
      <c r="F139">
        <f>IF($B139="","",IF(ISNUMBER(IFERROR(INDEX(Daily!$Y$3:$Y$252,MATCH($B139,Daily!$A$3:$A$252,0)),"")),IFERROR(INDEX(Daily!$Y$3:$Y$252,MATCH($B139,Daily!$A$3:$A$252,0)),""),""))</f>
        <v/>
      </c>
      <c r="G139">
        <f>IF($B139="","",IF(ISNUMBER(IFERROR(INDEX(Daily!$AJ$3:$AJ$252,MATCH($B139,Daily!$A$3:$A$252,0)),"")),IFERROR(INDEX(Daily!$AJ$3:$AJ$252,MATCH($B139,Daily!$A$3:$A$252,0)),""),""))</f>
        <v/>
      </c>
      <c r="H139">
        <f>IF($B139="","",IF(ISNUMBER(IFERROR(INDEX(Daily!$Z$3:$Z$252,MATCH($B139,Daily!$A$3:$A$252,0)),"")),IFERROR(INDEX(Daily!$Z$3:$Z$252,MATCH($B139,Daily!$A$3:$A$252,0)),""),""))</f>
        <v/>
      </c>
      <c r="I139">
        <f>IF($B139="","",IF(ISNUMBER(IFERROR(INDEX(Daily!$AK$3:$AK$252,MATCH($B139,Daily!$A$3:$A$252,0)),"")),IFERROR(INDEX(Daily!$AK$3:$AK$252,MATCH($B139,Daily!$A$3:$A$252,0)),""),""))</f>
        <v/>
      </c>
      <c r="J139">
        <f>IF($B139="","",IF(AND(ISNUMBER(MDS),ISNUMBER(MDE)),IF(AND($B139&gt;=MDS,$B139&lt;=MDE),24,""),""))</f>
        <v/>
      </c>
      <c r="K139">
        <f>IF($B139="","",IF(AND(ISNUMBER(PitanS),ISNUMBER(PitanE)),IF(AND($B139&gt;=PitanS,$B139&lt;=PitanE),26,""),""))</f>
        <v/>
      </c>
      <c r="L139">
        <f>IF($B139="","",IF(AND(ISNUMBER(C1S),ISNUMBER(C3E)),IF(AND($B139&gt;=C1S,$B139&lt;=C3E),22,""),""))</f>
        <v/>
      </c>
    </row>
    <row r="140">
      <c r="A140" t="n">
        <v>139</v>
      </c>
      <c r="B140" s="30">
        <f>IFERROR(SMALL(Daily!$A$3:$A$252,A140),"")</f>
        <v/>
      </c>
      <c r="C140">
        <f>IF($B140="","",IF(ISNUMBER(IFERROR(INDEX(Daily!$T$3:$T$252,MATCH($B140,Daily!$A$3:$A$252,0)),"")),IFERROR(INDEX(Daily!$T$3:$T$252,MATCH($B140,Daily!$A$3:$A$252,0)),""),""))</f>
        <v/>
      </c>
      <c r="D140">
        <f>IF($B140="","",IF(ISNUMBER(IFERROR(INDEX(Daily!$AE$3:$AE$252,MATCH($B140,Daily!$A$3:$A$252,0)),"")),IFERROR(INDEX(Daily!$AE$3:$AE$252,MATCH($B140,Daily!$A$3:$A$252,0)),""),""))</f>
        <v/>
      </c>
      <c r="E140">
        <f>IF($B140="","",IF(ISNUMBER(IFERROR(INDEX(Daily!$B$3:$B$252,MATCH($B140,Daily!$A$3:$A$252,0)),"")),IFERROR(INDEX(Daily!$B$3:$B$252,MATCH($B140,Daily!$A$3:$A$252,0)),""),0))</f>
        <v/>
      </c>
      <c r="F140">
        <f>IF($B140="","",IF(ISNUMBER(IFERROR(INDEX(Daily!$Y$3:$Y$252,MATCH($B140,Daily!$A$3:$A$252,0)),"")),IFERROR(INDEX(Daily!$Y$3:$Y$252,MATCH($B140,Daily!$A$3:$A$252,0)),""),""))</f>
        <v/>
      </c>
      <c r="G140">
        <f>IF($B140="","",IF(ISNUMBER(IFERROR(INDEX(Daily!$AJ$3:$AJ$252,MATCH($B140,Daily!$A$3:$A$252,0)),"")),IFERROR(INDEX(Daily!$AJ$3:$AJ$252,MATCH($B140,Daily!$A$3:$A$252,0)),""),""))</f>
        <v/>
      </c>
      <c r="H140">
        <f>IF($B140="","",IF(ISNUMBER(IFERROR(INDEX(Daily!$Z$3:$Z$252,MATCH($B140,Daily!$A$3:$A$252,0)),"")),IFERROR(INDEX(Daily!$Z$3:$Z$252,MATCH($B140,Daily!$A$3:$A$252,0)),""),""))</f>
        <v/>
      </c>
      <c r="I140">
        <f>IF($B140="","",IF(ISNUMBER(IFERROR(INDEX(Daily!$AK$3:$AK$252,MATCH($B140,Daily!$A$3:$A$252,0)),"")),IFERROR(INDEX(Daily!$AK$3:$AK$252,MATCH($B140,Daily!$A$3:$A$252,0)),""),""))</f>
        <v/>
      </c>
      <c r="J140">
        <f>IF($B140="","",IF(AND(ISNUMBER(MDS),ISNUMBER(MDE)),IF(AND($B140&gt;=MDS,$B140&lt;=MDE),24,""),""))</f>
        <v/>
      </c>
      <c r="K140">
        <f>IF($B140="","",IF(AND(ISNUMBER(PitanS),ISNUMBER(PitanE)),IF(AND($B140&gt;=PitanS,$B140&lt;=PitanE),26,""),""))</f>
        <v/>
      </c>
      <c r="L140">
        <f>IF($B140="","",IF(AND(ISNUMBER(C1S),ISNUMBER(C3E)),IF(AND($B140&gt;=C1S,$B140&lt;=C3E),22,""),""))</f>
        <v/>
      </c>
    </row>
    <row r="141">
      <c r="A141" t="n">
        <v>140</v>
      </c>
      <c r="B141" s="30">
        <f>IFERROR(SMALL(Daily!$A$3:$A$252,A141),"")</f>
        <v/>
      </c>
      <c r="C141">
        <f>IF($B141="","",IF(ISNUMBER(IFERROR(INDEX(Daily!$T$3:$T$252,MATCH($B141,Daily!$A$3:$A$252,0)),"")),IFERROR(INDEX(Daily!$T$3:$T$252,MATCH($B141,Daily!$A$3:$A$252,0)),""),""))</f>
        <v/>
      </c>
      <c r="D141">
        <f>IF($B141="","",IF(ISNUMBER(IFERROR(INDEX(Daily!$AE$3:$AE$252,MATCH($B141,Daily!$A$3:$A$252,0)),"")),IFERROR(INDEX(Daily!$AE$3:$AE$252,MATCH($B141,Daily!$A$3:$A$252,0)),""),""))</f>
        <v/>
      </c>
      <c r="E141">
        <f>IF($B141="","",IF(ISNUMBER(IFERROR(INDEX(Daily!$B$3:$B$252,MATCH($B141,Daily!$A$3:$A$252,0)),"")),IFERROR(INDEX(Daily!$B$3:$B$252,MATCH($B141,Daily!$A$3:$A$252,0)),""),0))</f>
        <v/>
      </c>
      <c r="F141">
        <f>IF($B141="","",IF(ISNUMBER(IFERROR(INDEX(Daily!$Y$3:$Y$252,MATCH($B141,Daily!$A$3:$A$252,0)),"")),IFERROR(INDEX(Daily!$Y$3:$Y$252,MATCH($B141,Daily!$A$3:$A$252,0)),""),""))</f>
        <v/>
      </c>
      <c r="G141">
        <f>IF($B141="","",IF(ISNUMBER(IFERROR(INDEX(Daily!$AJ$3:$AJ$252,MATCH($B141,Daily!$A$3:$A$252,0)),"")),IFERROR(INDEX(Daily!$AJ$3:$AJ$252,MATCH($B141,Daily!$A$3:$A$252,0)),""),""))</f>
        <v/>
      </c>
      <c r="H141">
        <f>IF($B141="","",IF(ISNUMBER(IFERROR(INDEX(Daily!$Z$3:$Z$252,MATCH($B141,Daily!$A$3:$A$252,0)),"")),IFERROR(INDEX(Daily!$Z$3:$Z$252,MATCH($B141,Daily!$A$3:$A$252,0)),""),""))</f>
        <v/>
      </c>
      <c r="I141">
        <f>IF($B141="","",IF(ISNUMBER(IFERROR(INDEX(Daily!$AK$3:$AK$252,MATCH($B141,Daily!$A$3:$A$252,0)),"")),IFERROR(INDEX(Daily!$AK$3:$AK$252,MATCH($B141,Daily!$A$3:$A$252,0)),""),""))</f>
        <v/>
      </c>
      <c r="J141">
        <f>IF($B141="","",IF(AND(ISNUMBER(MDS),ISNUMBER(MDE)),IF(AND($B141&gt;=MDS,$B141&lt;=MDE),24,""),""))</f>
        <v/>
      </c>
      <c r="K141">
        <f>IF($B141="","",IF(AND(ISNUMBER(PitanS),ISNUMBER(PitanE)),IF(AND($B141&gt;=PitanS,$B141&lt;=PitanE),26,""),""))</f>
        <v/>
      </c>
      <c r="L141">
        <f>IF($B141="","",IF(AND(ISNUMBER(C1S),ISNUMBER(C3E)),IF(AND($B141&gt;=C1S,$B141&lt;=C3E),22,""),""))</f>
        <v/>
      </c>
    </row>
    <row r="142">
      <c r="A142" t="n">
        <v>141</v>
      </c>
      <c r="B142" s="30">
        <f>IFERROR(SMALL(Daily!$A$3:$A$252,A142),"")</f>
        <v/>
      </c>
      <c r="C142">
        <f>IF($B142="","",IF(ISNUMBER(IFERROR(INDEX(Daily!$T$3:$T$252,MATCH($B142,Daily!$A$3:$A$252,0)),"")),IFERROR(INDEX(Daily!$T$3:$T$252,MATCH($B142,Daily!$A$3:$A$252,0)),""),""))</f>
        <v/>
      </c>
      <c r="D142">
        <f>IF($B142="","",IF(ISNUMBER(IFERROR(INDEX(Daily!$AE$3:$AE$252,MATCH($B142,Daily!$A$3:$A$252,0)),"")),IFERROR(INDEX(Daily!$AE$3:$AE$252,MATCH($B142,Daily!$A$3:$A$252,0)),""),""))</f>
        <v/>
      </c>
      <c r="E142">
        <f>IF($B142="","",IF(ISNUMBER(IFERROR(INDEX(Daily!$B$3:$B$252,MATCH($B142,Daily!$A$3:$A$252,0)),"")),IFERROR(INDEX(Daily!$B$3:$B$252,MATCH($B142,Daily!$A$3:$A$252,0)),""),0))</f>
        <v/>
      </c>
      <c r="F142">
        <f>IF($B142="","",IF(ISNUMBER(IFERROR(INDEX(Daily!$Y$3:$Y$252,MATCH($B142,Daily!$A$3:$A$252,0)),"")),IFERROR(INDEX(Daily!$Y$3:$Y$252,MATCH($B142,Daily!$A$3:$A$252,0)),""),""))</f>
        <v/>
      </c>
      <c r="G142">
        <f>IF($B142="","",IF(ISNUMBER(IFERROR(INDEX(Daily!$AJ$3:$AJ$252,MATCH($B142,Daily!$A$3:$A$252,0)),"")),IFERROR(INDEX(Daily!$AJ$3:$AJ$252,MATCH($B142,Daily!$A$3:$A$252,0)),""),""))</f>
        <v/>
      </c>
      <c r="H142">
        <f>IF($B142="","",IF(ISNUMBER(IFERROR(INDEX(Daily!$Z$3:$Z$252,MATCH($B142,Daily!$A$3:$A$252,0)),"")),IFERROR(INDEX(Daily!$Z$3:$Z$252,MATCH($B142,Daily!$A$3:$A$252,0)),""),""))</f>
        <v/>
      </c>
      <c r="I142">
        <f>IF($B142="","",IF(ISNUMBER(IFERROR(INDEX(Daily!$AK$3:$AK$252,MATCH($B142,Daily!$A$3:$A$252,0)),"")),IFERROR(INDEX(Daily!$AK$3:$AK$252,MATCH($B142,Daily!$A$3:$A$252,0)),""),""))</f>
        <v/>
      </c>
      <c r="J142">
        <f>IF($B142="","",IF(AND(ISNUMBER(MDS),ISNUMBER(MDE)),IF(AND($B142&gt;=MDS,$B142&lt;=MDE),24,""),""))</f>
        <v/>
      </c>
      <c r="K142">
        <f>IF($B142="","",IF(AND(ISNUMBER(PitanS),ISNUMBER(PitanE)),IF(AND($B142&gt;=PitanS,$B142&lt;=PitanE),26,""),""))</f>
        <v/>
      </c>
      <c r="L142">
        <f>IF($B142="","",IF(AND(ISNUMBER(C1S),ISNUMBER(C3E)),IF(AND($B142&gt;=C1S,$B142&lt;=C3E),22,""),""))</f>
        <v/>
      </c>
    </row>
    <row r="143">
      <c r="A143" t="n">
        <v>142</v>
      </c>
      <c r="B143" s="30">
        <f>IFERROR(SMALL(Daily!$A$3:$A$252,A143),"")</f>
        <v/>
      </c>
      <c r="C143">
        <f>IF($B143="","",IF(ISNUMBER(IFERROR(INDEX(Daily!$T$3:$T$252,MATCH($B143,Daily!$A$3:$A$252,0)),"")),IFERROR(INDEX(Daily!$T$3:$T$252,MATCH($B143,Daily!$A$3:$A$252,0)),""),""))</f>
        <v/>
      </c>
      <c r="D143">
        <f>IF($B143="","",IF(ISNUMBER(IFERROR(INDEX(Daily!$AE$3:$AE$252,MATCH($B143,Daily!$A$3:$A$252,0)),"")),IFERROR(INDEX(Daily!$AE$3:$AE$252,MATCH($B143,Daily!$A$3:$A$252,0)),""),""))</f>
        <v/>
      </c>
      <c r="E143">
        <f>IF($B143="","",IF(ISNUMBER(IFERROR(INDEX(Daily!$B$3:$B$252,MATCH($B143,Daily!$A$3:$A$252,0)),"")),IFERROR(INDEX(Daily!$B$3:$B$252,MATCH($B143,Daily!$A$3:$A$252,0)),""),0))</f>
        <v/>
      </c>
      <c r="F143">
        <f>IF($B143="","",IF(ISNUMBER(IFERROR(INDEX(Daily!$Y$3:$Y$252,MATCH($B143,Daily!$A$3:$A$252,0)),"")),IFERROR(INDEX(Daily!$Y$3:$Y$252,MATCH($B143,Daily!$A$3:$A$252,0)),""),""))</f>
        <v/>
      </c>
      <c r="G143">
        <f>IF($B143="","",IF(ISNUMBER(IFERROR(INDEX(Daily!$AJ$3:$AJ$252,MATCH($B143,Daily!$A$3:$A$252,0)),"")),IFERROR(INDEX(Daily!$AJ$3:$AJ$252,MATCH($B143,Daily!$A$3:$A$252,0)),""),""))</f>
        <v/>
      </c>
      <c r="H143">
        <f>IF($B143="","",IF(ISNUMBER(IFERROR(INDEX(Daily!$Z$3:$Z$252,MATCH($B143,Daily!$A$3:$A$252,0)),"")),IFERROR(INDEX(Daily!$Z$3:$Z$252,MATCH($B143,Daily!$A$3:$A$252,0)),""),""))</f>
        <v/>
      </c>
      <c r="I143">
        <f>IF($B143="","",IF(ISNUMBER(IFERROR(INDEX(Daily!$AK$3:$AK$252,MATCH($B143,Daily!$A$3:$A$252,0)),"")),IFERROR(INDEX(Daily!$AK$3:$AK$252,MATCH($B143,Daily!$A$3:$A$252,0)),""),""))</f>
        <v/>
      </c>
      <c r="J143">
        <f>IF($B143="","",IF(AND(ISNUMBER(MDS),ISNUMBER(MDE)),IF(AND($B143&gt;=MDS,$B143&lt;=MDE),24,""),""))</f>
        <v/>
      </c>
      <c r="K143">
        <f>IF($B143="","",IF(AND(ISNUMBER(PitanS),ISNUMBER(PitanE)),IF(AND($B143&gt;=PitanS,$B143&lt;=PitanE),26,""),""))</f>
        <v/>
      </c>
      <c r="L143">
        <f>IF($B143="","",IF(AND(ISNUMBER(C1S),ISNUMBER(C3E)),IF(AND($B143&gt;=C1S,$B143&lt;=C3E),22,""),""))</f>
        <v/>
      </c>
    </row>
    <row r="144">
      <c r="A144" t="n">
        <v>143</v>
      </c>
      <c r="B144" s="30">
        <f>IFERROR(SMALL(Daily!$A$3:$A$252,A144),"")</f>
        <v/>
      </c>
      <c r="C144">
        <f>IF($B144="","",IF(ISNUMBER(IFERROR(INDEX(Daily!$T$3:$T$252,MATCH($B144,Daily!$A$3:$A$252,0)),"")),IFERROR(INDEX(Daily!$T$3:$T$252,MATCH($B144,Daily!$A$3:$A$252,0)),""),""))</f>
        <v/>
      </c>
      <c r="D144">
        <f>IF($B144="","",IF(ISNUMBER(IFERROR(INDEX(Daily!$AE$3:$AE$252,MATCH($B144,Daily!$A$3:$A$252,0)),"")),IFERROR(INDEX(Daily!$AE$3:$AE$252,MATCH($B144,Daily!$A$3:$A$252,0)),""),""))</f>
        <v/>
      </c>
      <c r="E144">
        <f>IF($B144="","",IF(ISNUMBER(IFERROR(INDEX(Daily!$B$3:$B$252,MATCH($B144,Daily!$A$3:$A$252,0)),"")),IFERROR(INDEX(Daily!$B$3:$B$252,MATCH($B144,Daily!$A$3:$A$252,0)),""),0))</f>
        <v/>
      </c>
      <c r="F144">
        <f>IF($B144="","",IF(ISNUMBER(IFERROR(INDEX(Daily!$Y$3:$Y$252,MATCH($B144,Daily!$A$3:$A$252,0)),"")),IFERROR(INDEX(Daily!$Y$3:$Y$252,MATCH($B144,Daily!$A$3:$A$252,0)),""),""))</f>
        <v/>
      </c>
      <c r="G144">
        <f>IF($B144="","",IF(ISNUMBER(IFERROR(INDEX(Daily!$AJ$3:$AJ$252,MATCH($B144,Daily!$A$3:$A$252,0)),"")),IFERROR(INDEX(Daily!$AJ$3:$AJ$252,MATCH($B144,Daily!$A$3:$A$252,0)),""),""))</f>
        <v/>
      </c>
      <c r="H144">
        <f>IF($B144="","",IF(ISNUMBER(IFERROR(INDEX(Daily!$Z$3:$Z$252,MATCH($B144,Daily!$A$3:$A$252,0)),"")),IFERROR(INDEX(Daily!$Z$3:$Z$252,MATCH($B144,Daily!$A$3:$A$252,0)),""),""))</f>
        <v/>
      </c>
      <c r="I144">
        <f>IF($B144="","",IF(ISNUMBER(IFERROR(INDEX(Daily!$AK$3:$AK$252,MATCH($B144,Daily!$A$3:$A$252,0)),"")),IFERROR(INDEX(Daily!$AK$3:$AK$252,MATCH($B144,Daily!$A$3:$A$252,0)),""),""))</f>
        <v/>
      </c>
      <c r="J144">
        <f>IF($B144="","",IF(AND(ISNUMBER(MDS),ISNUMBER(MDE)),IF(AND($B144&gt;=MDS,$B144&lt;=MDE),24,""),""))</f>
        <v/>
      </c>
      <c r="K144">
        <f>IF($B144="","",IF(AND(ISNUMBER(PitanS),ISNUMBER(PitanE)),IF(AND($B144&gt;=PitanS,$B144&lt;=PitanE),26,""),""))</f>
        <v/>
      </c>
      <c r="L144">
        <f>IF($B144="","",IF(AND(ISNUMBER(C1S),ISNUMBER(C3E)),IF(AND($B144&gt;=C1S,$B144&lt;=C3E),22,""),""))</f>
        <v/>
      </c>
    </row>
    <row r="145">
      <c r="A145" t="n">
        <v>144</v>
      </c>
      <c r="B145" s="30">
        <f>IFERROR(SMALL(Daily!$A$3:$A$252,A145),"")</f>
        <v/>
      </c>
      <c r="C145">
        <f>IF($B145="","",IF(ISNUMBER(IFERROR(INDEX(Daily!$T$3:$T$252,MATCH($B145,Daily!$A$3:$A$252,0)),"")),IFERROR(INDEX(Daily!$T$3:$T$252,MATCH($B145,Daily!$A$3:$A$252,0)),""),""))</f>
        <v/>
      </c>
      <c r="D145">
        <f>IF($B145="","",IF(ISNUMBER(IFERROR(INDEX(Daily!$AE$3:$AE$252,MATCH($B145,Daily!$A$3:$A$252,0)),"")),IFERROR(INDEX(Daily!$AE$3:$AE$252,MATCH($B145,Daily!$A$3:$A$252,0)),""),""))</f>
        <v/>
      </c>
      <c r="E145">
        <f>IF($B145="","",IF(ISNUMBER(IFERROR(INDEX(Daily!$B$3:$B$252,MATCH($B145,Daily!$A$3:$A$252,0)),"")),IFERROR(INDEX(Daily!$B$3:$B$252,MATCH($B145,Daily!$A$3:$A$252,0)),""),0))</f>
        <v/>
      </c>
      <c r="F145">
        <f>IF($B145="","",IF(ISNUMBER(IFERROR(INDEX(Daily!$Y$3:$Y$252,MATCH($B145,Daily!$A$3:$A$252,0)),"")),IFERROR(INDEX(Daily!$Y$3:$Y$252,MATCH($B145,Daily!$A$3:$A$252,0)),""),""))</f>
        <v/>
      </c>
      <c r="G145">
        <f>IF($B145="","",IF(ISNUMBER(IFERROR(INDEX(Daily!$AJ$3:$AJ$252,MATCH($B145,Daily!$A$3:$A$252,0)),"")),IFERROR(INDEX(Daily!$AJ$3:$AJ$252,MATCH($B145,Daily!$A$3:$A$252,0)),""),""))</f>
        <v/>
      </c>
      <c r="H145">
        <f>IF($B145="","",IF(ISNUMBER(IFERROR(INDEX(Daily!$Z$3:$Z$252,MATCH($B145,Daily!$A$3:$A$252,0)),"")),IFERROR(INDEX(Daily!$Z$3:$Z$252,MATCH($B145,Daily!$A$3:$A$252,0)),""),""))</f>
        <v/>
      </c>
      <c r="I145">
        <f>IF($B145="","",IF(ISNUMBER(IFERROR(INDEX(Daily!$AK$3:$AK$252,MATCH($B145,Daily!$A$3:$A$252,0)),"")),IFERROR(INDEX(Daily!$AK$3:$AK$252,MATCH($B145,Daily!$A$3:$A$252,0)),""),""))</f>
        <v/>
      </c>
      <c r="J145">
        <f>IF($B145="","",IF(AND(ISNUMBER(MDS),ISNUMBER(MDE)),IF(AND($B145&gt;=MDS,$B145&lt;=MDE),24,""),""))</f>
        <v/>
      </c>
      <c r="K145">
        <f>IF($B145="","",IF(AND(ISNUMBER(PitanS),ISNUMBER(PitanE)),IF(AND($B145&gt;=PitanS,$B145&lt;=PitanE),26,""),""))</f>
        <v/>
      </c>
      <c r="L145">
        <f>IF($B145="","",IF(AND(ISNUMBER(C1S),ISNUMBER(C3E)),IF(AND($B145&gt;=C1S,$B145&lt;=C3E),22,""),""))</f>
        <v/>
      </c>
    </row>
    <row r="146">
      <c r="A146" t="n">
        <v>145</v>
      </c>
      <c r="B146" s="30">
        <f>IFERROR(SMALL(Daily!$A$3:$A$252,A146),"")</f>
        <v/>
      </c>
      <c r="C146">
        <f>IF($B146="","",IF(ISNUMBER(IFERROR(INDEX(Daily!$T$3:$T$252,MATCH($B146,Daily!$A$3:$A$252,0)),"")),IFERROR(INDEX(Daily!$T$3:$T$252,MATCH($B146,Daily!$A$3:$A$252,0)),""),""))</f>
        <v/>
      </c>
      <c r="D146">
        <f>IF($B146="","",IF(ISNUMBER(IFERROR(INDEX(Daily!$AE$3:$AE$252,MATCH($B146,Daily!$A$3:$A$252,0)),"")),IFERROR(INDEX(Daily!$AE$3:$AE$252,MATCH($B146,Daily!$A$3:$A$252,0)),""),""))</f>
        <v/>
      </c>
      <c r="E146">
        <f>IF($B146="","",IF(ISNUMBER(IFERROR(INDEX(Daily!$B$3:$B$252,MATCH($B146,Daily!$A$3:$A$252,0)),"")),IFERROR(INDEX(Daily!$B$3:$B$252,MATCH($B146,Daily!$A$3:$A$252,0)),""),0))</f>
        <v/>
      </c>
      <c r="F146">
        <f>IF($B146="","",IF(ISNUMBER(IFERROR(INDEX(Daily!$Y$3:$Y$252,MATCH($B146,Daily!$A$3:$A$252,0)),"")),IFERROR(INDEX(Daily!$Y$3:$Y$252,MATCH($B146,Daily!$A$3:$A$252,0)),""),""))</f>
        <v/>
      </c>
      <c r="G146">
        <f>IF($B146="","",IF(ISNUMBER(IFERROR(INDEX(Daily!$AJ$3:$AJ$252,MATCH($B146,Daily!$A$3:$A$252,0)),"")),IFERROR(INDEX(Daily!$AJ$3:$AJ$252,MATCH($B146,Daily!$A$3:$A$252,0)),""),""))</f>
        <v/>
      </c>
      <c r="H146">
        <f>IF($B146="","",IF(ISNUMBER(IFERROR(INDEX(Daily!$Z$3:$Z$252,MATCH($B146,Daily!$A$3:$A$252,0)),"")),IFERROR(INDEX(Daily!$Z$3:$Z$252,MATCH($B146,Daily!$A$3:$A$252,0)),""),""))</f>
        <v/>
      </c>
      <c r="I146">
        <f>IF($B146="","",IF(ISNUMBER(IFERROR(INDEX(Daily!$AK$3:$AK$252,MATCH($B146,Daily!$A$3:$A$252,0)),"")),IFERROR(INDEX(Daily!$AK$3:$AK$252,MATCH($B146,Daily!$A$3:$A$252,0)),""),""))</f>
        <v/>
      </c>
      <c r="J146">
        <f>IF($B146="","",IF(AND(ISNUMBER(MDS),ISNUMBER(MDE)),IF(AND($B146&gt;=MDS,$B146&lt;=MDE),24,""),""))</f>
        <v/>
      </c>
      <c r="K146">
        <f>IF($B146="","",IF(AND(ISNUMBER(PitanS),ISNUMBER(PitanE)),IF(AND($B146&gt;=PitanS,$B146&lt;=PitanE),26,""),""))</f>
        <v/>
      </c>
      <c r="L146">
        <f>IF($B146="","",IF(AND(ISNUMBER(C1S),ISNUMBER(C3E)),IF(AND($B146&gt;=C1S,$B146&lt;=C3E),22,""),""))</f>
        <v/>
      </c>
    </row>
    <row r="147">
      <c r="A147" t="n">
        <v>146</v>
      </c>
      <c r="B147" s="30">
        <f>IFERROR(SMALL(Daily!$A$3:$A$252,A147),"")</f>
        <v/>
      </c>
      <c r="C147">
        <f>IF($B147="","",IF(ISNUMBER(IFERROR(INDEX(Daily!$T$3:$T$252,MATCH($B147,Daily!$A$3:$A$252,0)),"")),IFERROR(INDEX(Daily!$T$3:$T$252,MATCH($B147,Daily!$A$3:$A$252,0)),""),""))</f>
        <v/>
      </c>
      <c r="D147">
        <f>IF($B147="","",IF(ISNUMBER(IFERROR(INDEX(Daily!$AE$3:$AE$252,MATCH($B147,Daily!$A$3:$A$252,0)),"")),IFERROR(INDEX(Daily!$AE$3:$AE$252,MATCH($B147,Daily!$A$3:$A$252,0)),""),""))</f>
        <v/>
      </c>
      <c r="E147">
        <f>IF($B147="","",IF(ISNUMBER(IFERROR(INDEX(Daily!$B$3:$B$252,MATCH($B147,Daily!$A$3:$A$252,0)),"")),IFERROR(INDEX(Daily!$B$3:$B$252,MATCH($B147,Daily!$A$3:$A$252,0)),""),0))</f>
        <v/>
      </c>
      <c r="F147">
        <f>IF($B147="","",IF(ISNUMBER(IFERROR(INDEX(Daily!$Y$3:$Y$252,MATCH($B147,Daily!$A$3:$A$252,0)),"")),IFERROR(INDEX(Daily!$Y$3:$Y$252,MATCH($B147,Daily!$A$3:$A$252,0)),""),""))</f>
        <v/>
      </c>
      <c r="G147">
        <f>IF($B147="","",IF(ISNUMBER(IFERROR(INDEX(Daily!$AJ$3:$AJ$252,MATCH($B147,Daily!$A$3:$A$252,0)),"")),IFERROR(INDEX(Daily!$AJ$3:$AJ$252,MATCH($B147,Daily!$A$3:$A$252,0)),""),""))</f>
        <v/>
      </c>
      <c r="H147">
        <f>IF($B147="","",IF(ISNUMBER(IFERROR(INDEX(Daily!$Z$3:$Z$252,MATCH($B147,Daily!$A$3:$A$252,0)),"")),IFERROR(INDEX(Daily!$Z$3:$Z$252,MATCH($B147,Daily!$A$3:$A$252,0)),""),""))</f>
        <v/>
      </c>
      <c r="I147">
        <f>IF($B147="","",IF(ISNUMBER(IFERROR(INDEX(Daily!$AK$3:$AK$252,MATCH($B147,Daily!$A$3:$A$252,0)),"")),IFERROR(INDEX(Daily!$AK$3:$AK$252,MATCH($B147,Daily!$A$3:$A$252,0)),""),""))</f>
        <v/>
      </c>
      <c r="J147">
        <f>IF($B147="","",IF(AND(ISNUMBER(MDS),ISNUMBER(MDE)),IF(AND($B147&gt;=MDS,$B147&lt;=MDE),24,""),""))</f>
        <v/>
      </c>
      <c r="K147">
        <f>IF($B147="","",IF(AND(ISNUMBER(PitanS),ISNUMBER(PitanE)),IF(AND($B147&gt;=PitanS,$B147&lt;=PitanE),26,""),""))</f>
        <v/>
      </c>
      <c r="L147">
        <f>IF($B147="","",IF(AND(ISNUMBER(C1S),ISNUMBER(C3E)),IF(AND($B147&gt;=C1S,$B147&lt;=C3E),22,""),""))</f>
        <v/>
      </c>
    </row>
    <row r="148">
      <c r="A148" t="n">
        <v>147</v>
      </c>
      <c r="B148" s="30">
        <f>IFERROR(SMALL(Daily!$A$3:$A$252,A148),"")</f>
        <v/>
      </c>
      <c r="C148">
        <f>IF($B148="","",IF(ISNUMBER(IFERROR(INDEX(Daily!$T$3:$T$252,MATCH($B148,Daily!$A$3:$A$252,0)),"")),IFERROR(INDEX(Daily!$T$3:$T$252,MATCH($B148,Daily!$A$3:$A$252,0)),""),""))</f>
        <v/>
      </c>
      <c r="D148">
        <f>IF($B148="","",IF(ISNUMBER(IFERROR(INDEX(Daily!$AE$3:$AE$252,MATCH($B148,Daily!$A$3:$A$252,0)),"")),IFERROR(INDEX(Daily!$AE$3:$AE$252,MATCH($B148,Daily!$A$3:$A$252,0)),""),""))</f>
        <v/>
      </c>
      <c r="E148">
        <f>IF($B148="","",IF(ISNUMBER(IFERROR(INDEX(Daily!$B$3:$B$252,MATCH($B148,Daily!$A$3:$A$252,0)),"")),IFERROR(INDEX(Daily!$B$3:$B$252,MATCH($B148,Daily!$A$3:$A$252,0)),""),0))</f>
        <v/>
      </c>
      <c r="F148">
        <f>IF($B148="","",IF(ISNUMBER(IFERROR(INDEX(Daily!$Y$3:$Y$252,MATCH($B148,Daily!$A$3:$A$252,0)),"")),IFERROR(INDEX(Daily!$Y$3:$Y$252,MATCH($B148,Daily!$A$3:$A$252,0)),""),""))</f>
        <v/>
      </c>
      <c r="G148">
        <f>IF($B148="","",IF(ISNUMBER(IFERROR(INDEX(Daily!$AJ$3:$AJ$252,MATCH($B148,Daily!$A$3:$A$252,0)),"")),IFERROR(INDEX(Daily!$AJ$3:$AJ$252,MATCH($B148,Daily!$A$3:$A$252,0)),""),""))</f>
        <v/>
      </c>
      <c r="H148">
        <f>IF($B148="","",IF(ISNUMBER(IFERROR(INDEX(Daily!$Z$3:$Z$252,MATCH($B148,Daily!$A$3:$A$252,0)),"")),IFERROR(INDEX(Daily!$Z$3:$Z$252,MATCH($B148,Daily!$A$3:$A$252,0)),""),""))</f>
        <v/>
      </c>
      <c r="I148">
        <f>IF($B148="","",IF(ISNUMBER(IFERROR(INDEX(Daily!$AK$3:$AK$252,MATCH($B148,Daily!$A$3:$A$252,0)),"")),IFERROR(INDEX(Daily!$AK$3:$AK$252,MATCH($B148,Daily!$A$3:$A$252,0)),""),""))</f>
        <v/>
      </c>
      <c r="J148">
        <f>IF($B148="","",IF(AND(ISNUMBER(MDS),ISNUMBER(MDE)),IF(AND($B148&gt;=MDS,$B148&lt;=MDE),24,""),""))</f>
        <v/>
      </c>
      <c r="K148">
        <f>IF($B148="","",IF(AND(ISNUMBER(PitanS),ISNUMBER(PitanE)),IF(AND($B148&gt;=PitanS,$B148&lt;=PitanE),26,""),""))</f>
        <v/>
      </c>
      <c r="L148">
        <f>IF($B148="","",IF(AND(ISNUMBER(C1S),ISNUMBER(C3E)),IF(AND($B148&gt;=C1S,$B148&lt;=C3E),22,""),""))</f>
        <v/>
      </c>
    </row>
    <row r="149">
      <c r="A149" t="n">
        <v>148</v>
      </c>
      <c r="B149" s="30">
        <f>IFERROR(SMALL(Daily!$A$3:$A$252,A149),"")</f>
        <v/>
      </c>
      <c r="C149">
        <f>IF($B149="","",IF(ISNUMBER(IFERROR(INDEX(Daily!$T$3:$T$252,MATCH($B149,Daily!$A$3:$A$252,0)),"")),IFERROR(INDEX(Daily!$T$3:$T$252,MATCH($B149,Daily!$A$3:$A$252,0)),""),""))</f>
        <v/>
      </c>
      <c r="D149">
        <f>IF($B149="","",IF(ISNUMBER(IFERROR(INDEX(Daily!$AE$3:$AE$252,MATCH($B149,Daily!$A$3:$A$252,0)),"")),IFERROR(INDEX(Daily!$AE$3:$AE$252,MATCH($B149,Daily!$A$3:$A$252,0)),""),""))</f>
        <v/>
      </c>
      <c r="E149">
        <f>IF($B149="","",IF(ISNUMBER(IFERROR(INDEX(Daily!$B$3:$B$252,MATCH($B149,Daily!$A$3:$A$252,0)),"")),IFERROR(INDEX(Daily!$B$3:$B$252,MATCH($B149,Daily!$A$3:$A$252,0)),""),0))</f>
        <v/>
      </c>
      <c r="F149">
        <f>IF($B149="","",IF(ISNUMBER(IFERROR(INDEX(Daily!$Y$3:$Y$252,MATCH($B149,Daily!$A$3:$A$252,0)),"")),IFERROR(INDEX(Daily!$Y$3:$Y$252,MATCH($B149,Daily!$A$3:$A$252,0)),""),""))</f>
        <v/>
      </c>
      <c r="G149">
        <f>IF($B149="","",IF(ISNUMBER(IFERROR(INDEX(Daily!$AJ$3:$AJ$252,MATCH($B149,Daily!$A$3:$A$252,0)),"")),IFERROR(INDEX(Daily!$AJ$3:$AJ$252,MATCH($B149,Daily!$A$3:$A$252,0)),""),""))</f>
        <v/>
      </c>
      <c r="H149">
        <f>IF($B149="","",IF(ISNUMBER(IFERROR(INDEX(Daily!$Z$3:$Z$252,MATCH($B149,Daily!$A$3:$A$252,0)),"")),IFERROR(INDEX(Daily!$Z$3:$Z$252,MATCH($B149,Daily!$A$3:$A$252,0)),""),""))</f>
        <v/>
      </c>
      <c r="I149">
        <f>IF($B149="","",IF(ISNUMBER(IFERROR(INDEX(Daily!$AK$3:$AK$252,MATCH($B149,Daily!$A$3:$A$252,0)),"")),IFERROR(INDEX(Daily!$AK$3:$AK$252,MATCH($B149,Daily!$A$3:$A$252,0)),""),""))</f>
        <v/>
      </c>
      <c r="J149">
        <f>IF($B149="","",IF(AND(ISNUMBER(MDS),ISNUMBER(MDE)),IF(AND($B149&gt;=MDS,$B149&lt;=MDE),24,""),""))</f>
        <v/>
      </c>
      <c r="K149">
        <f>IF($B149="","",IF(AND(ISNUMBER(PitanS),ISNUMBER(PitanE)),IF(AND($B149&gt;=PitanS,$B149&lt;=PitanE),26,""),""))</f>
        <v/>
      </c>
      <c r="L149">
        <f>IF($B149="","",IF(AND(ISNUMBER(C1S),ISNUMBER(C3E)),IF(AND($B149&gt;=C1S,$B149&lt;=C3E),22,""),""))</f>
        <v/>
      </c>
    </row>
    <row r="150">
      <c r="A150" t="n">
        <v>149</v>
      </c>
      <c r="B150" s="30">
        <f>IFERROR(SMALL(Daily!$A$3:$A$252,A150),"")</f>
        <v/>
      </c>
      <c r="C150">
        <f>IF($B150="","",IF(ISNUMBER(IFERROR(INDEX(Daily!$T$3:$T$252,MATCH($B150,Daily!$A$3:$A$252,0)),"")),IFERROR(INDEX(Daily!$T$3:$T$252,MATCH($B150,Daily!$A$3:$A$252,0)),""),""))</f>
        <v/>
      </c>
      <c r="D150">
        <f>IF($B150="","",IF(ISNUMBER(IFERROR(INDEX(Daily!$AE$3:$AE$252,MATCH($B150,Daily!$A$3:$A$252,0)),"")),IFERROR(INDEX(Daily!$AE$3:$AE$252,MATCH($B150,Daily!$A$3:$A$252,0)),""),""))</f>
        <v/>
      </c>
      <c r="E150">
        <f>IF($B150="","",IF(ISNUMBER(IFERROR(INDEX(Daily!$B$3:$B$252,MATCH($B150,Daily!$A$3:$A$252,0)),"")),IFERROR(INDEX(Daily!$B$3:$B$252,MATCH($B150,Daily!$A$3:$A$252,0)),""),0))</f>
        <v/>
      </c>
      <c r="F150">
        <f>IF($B150="","",IF(ISNUMBER(IFERROR(INDEX(Daily!$Y$3:$Y$252,MATCH($B150,Daily!$A$3:$A$252,0)),"")),IFERROR(INDEX(Daily!$Y$3:$Y$252,MATCH($B150,Daily!$A$3:$A$252,0)),""),""))</f>
        <v/>
      </c>
      <c r="G150">
        <f>IF($B150="","",IF(ISNUMBER(IFERROR(INDEX(Daily!$AJ$3:$AJ$252,MATCH($B150,Daily!$A$3:$A$252,0)),"")),IFERROR(INDEX(Daily!$AJ$3:$AJ$252,MATCH($B150,Daily!$A$3:$A$252,0)),""),""))</f>
        <v/>
      </c>
      <c r="H150">
        <f>IF($B150="","",IF(ISNUMBER(IFERROR(INDEX(Daily!$Z$3:$Z$252,MATCH($B150,Daily!$A$3:$A$252,0)),"")),IFERROR(INDEX(Daily!$Z$3:$Z$252,MATCH($B150,Daily!$A$3:$A$252,0)),""),""))</f>
        <v/>
      </c>
      <c r="I150">
        <f>IF($B150="","",IF(ISNUMBER(IFERROR(INDEX(Daily!$AK$3:$AK$252,MATCH($B150,Daily!$A$3:$A$252,0)),"")),IFERROR(INDEX(Daily!$AK$3:$AK$252,MATCH($B150,Daily!$A$3:$A$252,0)),""),""))</f>
        <v/>
      </c>
      <c r="J150">
        <f>IF($B150="","",IF(AND(ISNUMBER(MDS),ISNUMBER(MDE)),IF(AND($B150&gt;=MDS,$B150&lt;=MDE),24,""),""))</f>
        <v/>
      </c>
      <c r="K150">
        <f>IF($B150="","",IF(AND(ISNUMBER(PitanS),ISNUMBER(PitanE)),IF(AND($B150&gt;=PitanS,$B150&lt;=PitanE),26,""),""))</f>
        <v/>
      </c>
      <c r="L150">
        <f>IF($B150="","",IF(AND(ISNUMBER(C1S),ISNUMBER(C3E)),IF(AND($B150&gt;=C1S,$B150&lt;=C3E),22,""),""))</f>
        <v/>
      </c>
    </row>
    <row r="151">
      <c r="A151" t="n">
        <v>150</v>
      </c>
      <c r="B151" s="30">
        <f>IFERROR(SMALL(Daily!$A$3:$A$252,A151),"")</f>
        <v/>
      </c>
      <c r="C151">
        <f>IF($B151="","",IF(ISNUMBER(IFERROR(INDEX(Daily!$T$3:$T$252,MATCH($B151,Daily!$A$3:$A$252,0)),"")),IFERROR(INDEX(Daily!$T$3:$T$252,MATCH($B151,Daily!$A$3:$A$252,0)),""),""))</f>
        <v/>
      </c>
      <c r="D151">
        <f>IF($B151="","",IF(ISNUMBER(IFERROR(INDEX(Daily!$AE$3:$AE$252,MATCH($B151,Daily!$A$3:$A$252,0)),"")),IFERROR(INDEX(Daily!$AE$3:$AE$252,MATCH($B151,Daily!$A$3:$A$252,0)),""),""))</f>
        <v/>
      </c>
      <c r="E151">
        <f>IF($B151="","",IF(ISNUMBER(IFERROR(INDEX(Daily!$B$3:$B$252,MATCH($B151,Daily!$A$3:$A$252,0)),"")),IFERROR(INDEX(Daily!$B$3:$B$252,MATCH($B151,Daily!$A$3:$A$252,0)),""),0))</f>
        <v/>
      </c>
      <c r="F151">
        <f>IF($B151="","",IF(ISNUMBER(IFERROR(INDEX(Daily!$Y$3:$Y$252,MATCH($B151,Daily!$A$3:$A$252,0)),"")),IFERROR(INDEX(Daily!$Y$3:$Y$252,MATCH($B151,Daily!$A$3:$A$252,0)),""),""))</f>
        <v/>
      </c>
      <c r="G151">
        <f>IF($B151="","",IF(ISNUMBER(IFERROR(INDEX(Daily!$AJ$3:$AJ$252,MATCH($B151,Daily!$A$3:$A$252,0)),"")),IFERROR(INDEX(Daily!$AJ$3:$AJ$252,MATCH($B151,Daily!$A$3:$A$252,0)),""),""))</f>
        <v/>
      </c>
      <c r="H151">
        <f>IF($B151="","",IF(ISNUMBER(IFERROR(INDEX(Daily!$Z$3:$Z$252,MATCH($B151,Daily!$A$3:$A$252,0)),"")),IFERROR(INDEX(Daily!$Z$3:$Z$252,MATCH($B151,Daily!$A$3:$A$252,0)),""),""))</f>
        <v/>
      </c>
      <c r="I151">
        <f>IF($B151="","",IF(ISNUMBER(IFERROR(INDEX(Daily!$AK$3:$AK$252,MATCH($B151,Daily!$A$3:$A$252,0)),"")),IFERROR(INDEX(Daily!$AK$3:$AK$252,MATCH($B151,Daily!$A$3:$A$252,0)),""),""))</f>
        <v/>
      </c>
      <c r="J151">
        <f>IF($B151="","",IF(AND(ISNUMBER(MDS),ISNUMBER(MDE)),IF(AND($B151&gt;=MDS,$B151&lt;=MDE),24,""),""))</f>
        <v/>
      </c>
      <c r="K151">
        <f>IF($B151="","",IF(AND(ISNUMBER(PitanS),ISNUMBER(PitanE)),IF(AND($B151&gt;=PitanS,$B151&lt;=PitanE),26,""),""))</f>
        <v/>
      </c>
      <c r="L151">
        <f>IF($B151="","",IF(AND(ISNUMBER(C1S),ISNUMBER(C3E)),IF(AND($B151&gt;=C1S,$B151&lt;=C3E),22,""),""))</f>
        <v/>
      </c>
    </row>
    <row r="152">
      <c r="A152" t="n">
        <v>151</v>
      </c>
      <c r="B152" s="30">
        <f>IFERROR(SMALL(Daily!$A$3:$A$252,A152),"")</f>
        <v/>
      </c>
      <c r="C152">
        <f>IF($B152="","",IF(ISNUMBER(IFERROR(INDEX(Daily!$T$3:$T$252,MATCH($B152,Daily!$A$3:$A$252,0)),"")),IFERROR(INDEX(Daily!$T$3:$T$252,MATCH($B152,Daily!$A$3:$A$252,0)),""),""))</f>
        <v/>
      </c>
      <c r="D152">
        <f>IF($B152="","",IF(ISNUMBER(IFERROR(INDEX(Daily!$AE$3:$AE$252,MATCH($B152,Daily!$A$3:$A$252,0)),"")),IFERROR(INDEX(Daily!$AE$3:$AE$252,MATCH($B152,Daily!$A$3:$A$252,0)),""),""))</f>
        <v/>
      </c>
      <c r="E152">
        <f>IF($B152="","",IF(ISNUMBER(IFERROR(INDEX(Daily!$B$3:$B$252,MATCH($B152,Daily!$A$3:$A$252,0)),"")),IFERROR(INDEX(Daily!$B$3:$B$252,MATCH($B152,Daily!$A$3:$A$252,0)),""),0))</f>
        <v/>
      </c>
      <c r="F152">
        <f>IF($B152="","",IF(ISNUMBER(IFERROR(INDEX(Daily!$Y$3:$Y$252,MATCH($B152,Daily!$A$3:$A$252,0)),"")),IFERROR(INDEX(Daily!$Y$3:$Y$252,MATCH($B152,Daily!$A$3:$A$252,0)),""),""))</f>
        <v/>
      </c>
      <c r="G152">
        <f>IF($B152="","",IF(ISNUMBER(IFERROR(INDEX(Daily!$AJ$3:$AJ$252,MATCH($B152,Daily!$A$3:$A$252,0)),"")),IFERROR(INDEX(Daily!$AJ$3:$AJ$252,MATCH($B152,Daily!$A$3:$A$252,0)),""),""))</f>
        <v/>
      </c>
      <c r="H152">
        <f>IF($B152="","",IF(ISNUMBER(IFERROR(INDEX(Daily!$Z$3:$Z$252,MATCH($B152,Daily!$A$3:$A$252,0)),"")),IFERROR(INDEX(Daily!$Z$3:$Z$252,MATCH($B152,Daily!$A$3:$A$252,0)),""),""))</f>
        <v/>
      </c>
      <c r="I152">
        <f>IF($B152="","",IF(ISNUMBER(IFERROR(INDEX(Daily!$AK$3:$AK$252,MATCH($B152,Daily!$A$3:$A$252,0)),"")),IFERROR(INDEX(Daily!$AK$3:$AK$252,MATCH($B152,Daily!$A$3:$A$252,0)),""),""))</f>
        <v/>
      </c>
      <c r="J152">
        <f>IF($B152="","",IF(AND(ISNUMBER(MDS),ISNUMBER(MDE)),IF(AND($B152&gt;=MDS,$B152&lt;=MDE),24,""),""))</f>
        <v/>
      </c>
      <c r="K152">
        <f>IF($B152="","",IF(AND(ISNUMBER(PitanS),ISNUMBER(PitanE)),IF(AND($B152&gt;=PitanS,$B152&lt;=PitanE),26,""),""))</f>
        <v/>
      </c>
      <c r="L152">
        <f>IF($B152="","",IF(AND(ISNUMBER(C1S),ISNUMBER(C3E)),IF(AND($B152&gt;=C1S,$B152&lt;=C3E),22,""),""))</f>
        <v/>
      </c>
    </row>
    <row r="153">
      <c r="A153" t="n">
        <v>152</v>
      </c>
      <c r="B153" s="30">
        <f>IFERROR(SMALL(Daily!$A$3:$A$252,A153),"")</f>
        <v/>
      </c>
      <c r="C153">
        <f>IF($B153="","",IF(ISNUMBER(IFERROR(INDEX(Daily!$T$3:$T$252,MATCH($B153,Daily!$A$3:$A$252,0)),"")),IFERROR(INDEX(Daily!$T$3:$T$252,MATCH($B153,Daily!$A$3:$A$252,0)),""),""))</f>
        <v/>
      </c>
      <c r="D153">
        <f>IF($B153="","",IF(ISNUMBER(IFERROR(INDEX(Daily!$AE$3:$AE$252,MATCH($B153,Daily!$A$3:$A$252,0)),"")),IFERROR(INDEX(Daily!$AE$3:$AE$252,MATCH($B153,Daily!$A$3:$A$252,0)),""),""))</f>
        <v/>
      </c>
      <c r="E153">
        <f>IF($B153="","",IF(ISNUMBER(IFERROR(INDEX(Daily!$B$3:$B$252,MATCH($B153,Daily!$A$3:$A$252,0)),"")),IFERROR(INDEX(Daily!$B$3:$B$252,MATCH($B153,Daily!$A$3:$A$252,0)),""),0))</f>
        <v/>
      </c>
      <c r="F153">
        <f>IF($B153="","",IF(ISNUMBER(IFERROR(INDEX(Daily!$Y$3:$Y$252,MATCH($B153,Daily!$A$3:$A$252,0)),"")),IFERROR(INDEX(Daily!$Y$3:$Y$252,MATCH($B153,Daily!$A$3:$A$252,0)),""),""))</f>
        <v/>
      </c>
      <c r="G153">
        <f>IF($B153="","",IF(ISNUMBER(IFERROR(INDEX(Daily!$AJ$3:$AJ$252,MATCH($B153,Daily!$A$3:$A$252,0)),"")),IFERROR(INDEX(Daily!$AJ$3:$AJ$252,MATCH($B153,Daily!$A$3:$A$252,0)),""),""))</f>
        <v/>
      </c>
      <c r="H153">
        <f>IF($B153="","",IF(ISNUMBER(IFERROR(INDEX(Daily!$Z$3:$Z$252,MATCH($B153,Daily!$A$3:$A$252,0)),"")),IFERROR(INDEX(Daily!$Z$3:$Z$252,MATCH($B153,Daily!$A$3:$A$252,0)),""),""))</f>
        <v/>
      </c>
      <c r="I153">
        <f>IF($B153="","",IF(ISNUMBER(IFERROR(INDEX(Daily!$AK$3:$AK$252,MATCH($B153,Daily!$A$3:$A$252,0)),"")),IFERROR(INDEX(Daily!$AK$3:$AK$252,MATCH($B153,Daily!$A$3:$A$252,0)),""),""))</f>
        <v/>
      </c>
      <c r="J153">
        <f>IF($B153="","",IF(AND(ISNUMBER(MDS),ISNUMBER(MDE)),IF(AND($B153&gt;=MDS,$B153&lt;=MDE),24,""),""))</f>
        <v/>
      </c>
      <c r="K153">
        <f>IF($B153="","",IF(AND(ISNUMBER(PitanS),ISNUMBER(PitanE)),IF(AND($B153&gt;=PitanS,$B153&lt;=PitanE),26,""),""))</f>
        <v/>
      </c>
      <c r="L153">
        <f>IF($B153="","",IF(AND(ISNUMBER(C1S),ISNUMBER(C3E)),IF(AND($B153&gt;=C1S,$B153&lt;=C3E),22,""),""))</f>
        <v/>
      </c>
    </row>
    <row r="154">
      <c r="A154" t="n">
        <v>153</v>
      </c>
      <c r="B154" s="30">
        <f>IFERROR(SMALL(Daily!$A$3:$A$252,A154),"")</f>
        <v/>
      </c>
      <c r="C154">
        <f>IF($B154="","",IF(ISNUMBER(IFERROR(INDEX(Daily!$T$3:$T$252,MATCH($B154,Daily!$A$3:$A$252,0)),"")),IFERROR(INDEX(Daily!$T$3:$T$252,MATCH($B154,Daily!$A$3:$A$252,0)),""),""))</f>
        <v/>
      </c>
      <c r="D154">
        <f>IF($B154="","",IF(ISNUMBER(IFERROR(INDEX(Daily!$AE$3:$AE$252,MATCH($B154,Daily!$A$3:$A$252,0)),"")),IFERROR(INDEX(Daily!$AE$3:$AE$252,MATCH($B154,Daily!$A$3:$A$252,0)),""),""))</f>
        <v/>
      </c>
      <c r="E154">
        <f>IF($B154="","",IF(ISNUMBER(IFERROR(INDEX(Daily!$B$3:$B$252,MATCH($B154,Daily!$A$3:$A$252,0)),"")),IFERROR(INDEX(Daily!$B$3:$B$252,MATCH($B154,Daily!$A$3:$A$252,0)),""),0))</f>
        <v/>
      </c>
      <c r="F154">
        <f>IF($B154="","",IF(ISNUMBER(IFERROR(INDEX(Daily!$Y$3:$Y$252,MATCH($B154,Daily!$A$3:$A$252,0)),"")),IFERROR(INDEX(Daily!$Y$3:$Y$252,MATCH($B154,Daily!$A$3:$A$252,0)),""),""))</f>
        <v/>
      </c>
      <c r="G154">
        <f>IF($B154="","",IF(ISNUMBER(IFERROR(INDEX(Daily!$AJ$3:$AJ$252,MATCH($B154,Daily!$A$3:$A$252,0)),"")),IFERROR(INDEX(Daily!$AJ$3:$AJ$252,MATCH($B154,Daily!$A$3:$A$252,0)),""),""))</f>
        <v/>
      </c>
      <c r="H154">
        <f>IF($B154="","",IF(ISNUMBER(IFERROR(INDEX(Daily!$Z$3:$Z$252,MATCH($B154,Daily!$A$3:$A$252,0)),"")),IFERROR(INDEX(Daily!$Z$3:$Z$252,MATCH($B154,Daily!$A$3:$A$252,0)),""),""))</f>
        <v/>
      </c>
      <c r="I154">
        <f>IF($B154="","",IF(ISNUMBER(IFERROR(INDEX(Daily!$AK$3:$AK$252,MATCH($B154,Daily!$A$3:$A$252,0)),"")),IFERROR(INDEX(Daily!$AK$3:$AK$252,MATCH($B154,Daily!$A$3:$A$252,0)),""),""))</f>
        <v/>
      </c>
      <c r="J154">
        <f>IF($B154="","",IF(AND(ISNUMBER(MDS),ISNUMBER(MDE)),IF(AND($B154&gt;=MDS,$B154&lt;=MDE),24,""),""))</f>
        <v/>
      </c>
      <c r="K154">
        <f>IF($B154="","",IF(AND(ISNUMBER(PitanS),ISNUMBER(PitanE)),IF(AND($B154&gt;=PitanS,$B154&lt;=PitanE),26,""),""))</f>
        <v/>
      </c>
      <c r="L154">
        <f>IF($B154="","",IF(AND(ISNUMBER(C1S),ISNUMBER(C3E)),IF(AND($B154&gt;=C1S,$B154&lt;=C3E),22,""),""))</f>
        <v/>
      </c>
    </row>
    <row r="155">
      <c r="A155" t="n">
        <v>154</v>
      </c>
      <c r="B155" s="30">
        <f>IFERROR(SMALL(Daily!$A$3:$A$252,A155),"")</f>
        <v/>
      </c>
      <c r="C155">
        <f>IF($B155="","",IF(ISNUMBER(IFERROR(INDEX(Daily!$T$3:$T$252,MATCH($B155,Daily!$A$3:$A$252,0)),"")),IFERROR(INDEX(Daily!$T$3:$T$252,MATCH($B155,Daily!$A$3:$A$252,0)),""),""))</f>
        <v/>
      </c>
      <c r="D155">
        <f>IF($B155="","",IF(ISNUMBER(IFERROR(INDEX(Daily!$AE$3:$AE$252,MATCH($B155,Daily!$A$3:$A$252,0)),"")),IFERROR(INDEX(Daily!$AE$3:$AE$252,MATCH($B155,Daily!$A$3:$A$252,0)),""),""))</f>
        <v/>
      </c>
      <c r="E155">
        <f>IF($B155="","",IF(ISNUMBER(IFERROR(INDEX(Daily!$B$3:$B$252,MATCH($B155,Daily!$A$3:$A$252,0)),"")),IFERROR(INDEX(Daily!$B$3:$B$252,MATCH($B155,Daily!$A$3:$A$252,0)),""),0))</f>
        <v/>
      </c>
      <c r="F155">
        <f>IF($B155="","",IF(ISNUMBER(IFERROR(INDEX(Daily!$Y$3:$Y$252,MATCH($B155,Daily!$A$3:$A$252,0)),"")),IFERROR(INDEX(Daily!$Y$3:$Y$252,MATCH($B155,Daily!$A$3:$A$252,0)),""),""))</f>
        <v/>
      </c>
      <c r="G155">
        <f>IF($B155="","",IF(ISNUMBER(IFERROR(INDEX(Daily!$AJ$3:$AJ$252,MATCH($B155,Daily!$A$3:$A$252,0)),"")),IFERROR(INDEX(Daily!$AJ$3:$AJ$252,MATCH($B155,Daily!$A$3:$A$252,0)),""),""))</f>
        <v/>
      </c>
      <c r="H155">
        <f>IF($B155="","",IF(ISNUMBER(IFERROR(INDEX(Daily!$Z$3:$Z$252,MATCH($B155,Daily!$A$3:$A$252,0)),"")),IFERROR(INDEX(Daily!$Z$3:$Z$252,MATCH($B155,Daily!$A$3:$A$252,0)),""),""))</f>
        <v/>
      </c>
      <c r="I155">
        <f>IF($B155="","",IF(ISNUMBER(IFERROR(INDEX(Daily!$AK$3:$AK$252,MATCH($B155,Daily!$A$3:$A$252,0)),"")),IFERROR(INDEX(Daily!$AK$3:$AK$252,MATCH($B155,Daily!$A$3:$A$252,0)),""),""))</f>
        <v/>
      </c>
      <c r="J155">
        <f>IF($B155="","",IF(AND(ISNUMBER(MDS),ISNUMBER(MDE)),IF(AND($B155&gt;=MDS,$B155&lt;=MDE),24,""),""))</f>
        <v/>
      </c>
      <c r="K155">
        <f>IF($B155="","",IF(AND(ISNUMBER(PitanS),ISNUMBER(PitanE)),IF(AND($B155&gt;=PitanS,$B155&lt;=PitanE),26,""),""))</f>
        <v/>
      </c>
      <c r="L155">
        <f>IF($B155="","",IF(AND(ISNUMBER(C1S),ISNUMBER(C3E)),IF(AND($B155&gt;=C1S,$B155&lt;=C3E),22,""),""))</f>
        <v/>
      </c>
    </row>
    <row r="156">
      <c r="A156" t="n">
        <v>155</v>
      </c>
      <c r="B156" s="30">
        <f>IFERROR(SMALL(Daily!$A$3:$A$252,A156),"")</f>
        <v/>
      </c>
      <c r="C156">
        <f>IF($B156="","",IF(ISNUMBER(IFERROR(INDEX(Daily!$T$3:$T$252,MATCH($B156,Daily!$A$3:$A$252,0)),"")),IFERROR(INDEX(Daily!$T$3:$T$252,MATCH($B156,Daily!$A$3:$A$252,0)),""),""))</f>
        <v/>
      </c>
      <c r="D156">
        <f>IF($B156="","",IF(ISNUMBER(IFERROR(INDEX(Daily!$AE$3:$AE$252,MATCH($B156,Daily!$A$3:$A$252,0)),"")),IFERROR(INDEX(Daily!$AE$3:$AE$252,MATCH($B156,Daily!$A$3:$A$252,0)),""),""))</f>
        <v/>
      </c>
      <c r="E156">
        <f>IF($B156="","",IF(ISNUMBER(IFERROR(INDEX(Daily!$B$3:$B$252,MATCH($B156,Daily!$A$3:$A$252,0)),"")),IFERROR(INDEX(Daily!$B$3:$B$252,MATCH($B156,Daily!$A$3:$A$252,0)),""),0))</f>
        <v/>
      </c>
      <c r="F156">
        <f>IF($B156="","",IF(ISNUMBER(IFERROR(INDEX(Daily!$Y$3:$Y$252,MATCH($B156,Daily!$A$3:$A$252,0)),"")),IFERROR(INDEX(Daily!$Y$3:$Y$252,MATCH($B156,Daily!$A$3:$A$252,0)),""),""))</f>
        <v/>
      </c>
      <c r="G156">
        <f>IF($B156="","",IF(ISNUMBER(IFERROR(INDEX(Daily!$AJ$3:$AJ$252,MATCH($B156,Daily!$A$3:$A$252,0)),"")),IFERROR(INDEX(Daily!$AJ$3:$AJ$252,MATCH($B156,Daily!$A$3:$A$252,0)),""),""))</f>
        <v/>
      </c>
      <c r="H156">
        <f>IF($B156="","",IF(ISNUMBER(IFERROR(INDEX(Daily!$Z$3:$Z$252,MATCH($B156,Daily!$A$3:$A$252,0)),"")),IFERROR(INDEX(Daily!$Z$3:$Z$252,MATCH($B156,Daily!$A$3:$A$252,0)),""),""))</f>
        <v/>
      </c>
      <c r="I156">
        <f>IF($B156="","",IF(ISNUMBER(IFERROR(INDEX(Daily!$AK$3:$AK$252,MATCH($B156,Daily!$A$3:$A$252,0)),"")),IFERROR(INDEX(Daily!$AK$3:$AK$252,MATCH($B156,Daily!$A$3:$A$252,0)),""),""))</f>
        <v/>
      </c>
      <c r="J156">
        <f>IF($B156="","",IF(AND(ISNUMBER(MDS),ISNUMBER(MDE)),IF(AND($B156&gt;=MDS,$B156&lt;=MDE),24,""),""))</f>
        <v/>
      </c>
      <c r="K156">
        <f>IF($B156="","",IF(AND(ISNUMBER(PitanS),ISNUMBER(PitanE)),IF(AND($B156&gt;=PitanS,$B156&lt;=PitanE),26,""),""))</f>
        <v/>
      </c>
      <c r="L156">
        <f>IF($B156="","",IF(AND(ISNUMBER(C1S),ISNUMBER(C3E)),IF(AND($B156&gt;=C1S,$B156&lt;=C3E),22,""),""))</f>
        <v/>
      </c>
    </row>
    <row r="157">
      <c r="A157" t="n">
        <v>156</v>
      </c>
      <c r="B157" s="30">
        <f>IFERROR(SMALL(Daily!$A$3:$A$252,A157),"")</f>
        <v/>
      </c>
      <c r="C157">
        <f>IF($B157="","",IF(ISNUMBER(IFERROR(INDEX(Daily!$T$3:$T$252,MATCH($B157,Daily!$A$3:$A$252,0)),"")),IFERROR(INDEX(Daily!$T$3:$T$252,MATCH($B157,Daily!$A$3:$A$252,0)),""),""))</f>
        <v/>
      </c>
      <c r="D157">
        <f>IF($B157="","",IF(ISNUMBER(IFERROR(INDEX(Daily!$AE$3:$AE$252,MATCH($B157,Daily!$A$3:$A$252,0)),"")),IFERROR(INDEX(Daily!$AE$3:$AE$252,MATCH($B157,Daily!$A$3:$A$252,0)),""),""))</f>
        <v/>
      </c>
      <c r="E157">
        <f>IF($B157="","",IF(ISNUMBER(IFERROR(INDEX(Daily!$B$3:$B$252,MATCH($B157,Daily!$A$3:$A$252,0)),"")),IFERROR(INDEX(Daily!$B$3:$B$252,MATCH($B157,Daily!$A$3:$A$252,0)),""),0))</f>
        <v/>
      </c>
      <c r="F157">
        <f>IF($B157="","",IF(ISNUMBER(IFERROR(INDEX(Daily!$Y$3:$Y$252,MATCH($B157,Daily!$A$3:$A$252,0)),"")),IFERROR(INDEX(Daily!$Y$3:$Y$252,MATCH($B157,Daily!$A$3:$A$252,0)),""),""))</f>
        <v/>
      </c>
      <c r="G157">
        <f>IF($B157="","",IF(ISNUMBER(IFERROR(INDEX(Daily!$AJ$3:$AJ$252,MATCH($B157,Daily!$A$3:$A$252,0)),"")),IFERROR(INDEX(Daily!$AJ$3:$AJ$252,MATCH($B157,Daily!$A$3:$A$252,0)),""),""))</f>
        <v/>
      </c>
      <c r="H157">
        <f>IF($B157="","",IF(ISNUMBER(IFERROR(INDEX(Daily!$Z$3:$Z$252,MATCH($B157,Daily!$A$3:$A$252,0)),"")),IFERROR(INDEX(Daily!$Z$3:$Z$252,MATCH($B157,Daily!$A$3:$A$252,0)),""),""))</f>
        <v/>
      </c>
      <c r="I157">
        <f>IF($B157="","",IF(ISNUMBER(IFERROR(INDEX(Daily!$AK$3:$AK$252,MATCH($B157,Daily!$A$3:$A$252,0)),"")),IFERROR(INDEX(Daily!$AK$3:$AK$252,MATCH($B157,Daily!$A$3:$A$252,0)),""),""))</f>
        <v/>
      </c>
      <c r="J157">
        <f>IF($B157="","",IF(AND(ISNUMBER(MDS),ISNUMBER(MDE)),IF(AND($B157&gt;=MDS,$B157&lt;=MDE),24,""),""))</f>
        <v/>
      </c>
      <c r="K157">
        <f>IF($B157="","",IF(AND(ISNUMBER(PitanS),ISNUMBER(PitanE)),IF(AND($B157&gt;=PitanS,$B157&lt;=PitanE),26,""),""))</f>
        <v/>
      </c>
      <c r="L157">
        <f>IF($B157="","",IF(AND(ISNUMBER(C1S),ISNUMBER(C3E)),IF(AND($B157&gt;=C1S,$B157&lt;=C3E),22,""),""))</f>
        <v/>
      </c>
    </row>
    <row r="158">
      <c r="A158" t="n">
        <v>157</v>
      </c>
      <c r="B158" s="30">
        <f>IFERROR(SMALL(Daily!$A$3:$A$252,A158),"")</f>
        <v/>
      </c>
      <c r="C158">
        <f>IF($B158="","",IF(ISNUMBER(IFERROR(INDEX(Daily!$T$3:$T$252,MATCH($B158,Daily!$A$3:$A$252,0)),"")),IFERROR(INDEX(Daily!$T$3:$T$252,MATCH($B158,Daily!$A$3:$A$252,0)),""),""))</f>
        <v/>
      </c>
      <c r="D158">
        <f>IF($B158="","",IF(ISNUMBER(IFERROR(INDEX(Daily!$AE$3:$AE$252,MATCH($B158,Daily!$A$3:$A$252,0)),"")),IFERROR(INDEX(Daily!$AE$3:$AE$252,MATCH($B158,Daily!$A$3:$A$252,0)),""),""))</f>
        <v/>
      </c>
      <c r="E158">
        <f>IF($B158="","",IF(ISNUMBER(IFERROR(INDEX(Daily!$B$3:$B$252,MATCH($B158,Daily!$A$3:$A$252,0)),"")),IFERROR(INDEX(Daily!$B$3:$B$252,MATCH($B158,Daily!$A$3:$A$252,0)),""),0))</f>
        <v/>
      </c>
      <c r="F158">
        <f>IF($B158="","",IF(ISNUMBER(IFERROR(INDEX(Daily!$Y$3:$Y$252,MATCH($B158,Daily!$A$3:$A$252,0)),"")),IFERROR(INDEX(Daily!$Y$3:$Y$252,MATCH($B158,Daily!$A$3:$A$252,0)),""),""))</f>
        <v/>
      </c>
      <c r="G158">
        <f>IF($B158="","",IF(ISNUMBER(IFERROR(INDEX(Daily!$AJ$3:$AJ$252,MATCH($B158,Daily!$A$3:$A$252,0)),"")),IFERROR(INDEX(Daily!$AJ$3:$AJ$252,MATCH($B158,Daily!$A$3:$A$252,0)),""),""))</f>
        <v/>
      </c>
      <c r="H158">
        <f>IF($B158="","",IF(ISNUMBER(IFERROR(INDEX(Daily!$Z$3:$Z$252,MATCH($B158,Daily!$A$3:$A$252,0)),"")),IFERROR(INDEX(Daily!$Z$3:$Z$252,MATCH($B158,Daily!$A$3:$A$252,0)),""),""))</f>
        <v/>
      </c>
      <c r="I158">
        <f>IF($B158="","",IF(ISNUMBER(IFERROR(INDEX(Daily!$AK$3:$AK$252,MATCH($B158,Daily!$A$3:$A$252,0)),"")),IFERROR(INDEX(Daily!$AK$3:$AK$252,MATCH($B158,Daily!$A$3:$A$252,0)),""),""))</f>
        <v/>
      </c>
      <c r="J158">
        <f>IF($B158="","",IF(AND(ISNUMBER(MDS),ISNUMBER(MDE)),IF(AND($B158&gt;=MDS,$B158&lt;=MDE),24,""),""))</f>
        <v/>
      </c>
      <c r="K158">
        <f>IF($B158="","",IF(AND(ISNUMBER(PitanS),ISNUMBER(PitanE)),IF(AND($B158&gt;=PitanS,$B158&lt;=PitanE),26,""),""))</f>
        <v/>
      </c>
      <c r="L158">
        <f>IF($B158="","",IF(AND(ISNUMBER(C1S),ISNUMBER(C3E)),IF(AND($B158&gt;=C1S,$B158&lt;=C3E),22,""),""))</f>
        <v/>
      </c>
    </row>
    <row r="159">
      <c r="A159" t="n">
        <v>158</v>
      </c>
      <c r="B159" s="30">
        <f>IFERROR(SMALL(Daily!$A$3:$A$252,A159),"")</f>
        <v/>
      </c>
      <c r="C159">
        <f>IF($B159="","",IF(ISNUMBER(IFERROR(INDEX(Daily!$T$3:$T$252,MATCH($B159,Daily!$A$3:$A$252,0)),"")),IFERROR(INDEX(Daily!$T$3:$T$252,MATCH($B159,Daily!$A$3:$A$252,0)),""),""))</f>
        <v/>
      </c>
      <c r="D159">
        <f>IF($B159="","",IF(ISNUMBER(IFERROR(INDEX(Daily!$AE$3:$AE$252,MATCH($B159,Daily!$A$3:$A$252,0)),"")),IFERROR(INDEX(Daily!$AE$3:$AE$252,MATCH($B159,Daily!$A$3:$A$252,0)),""),""))</f>
        <v/>
      </c>
      <c r="E159">
        <f>IF($B159="","",IF(ISNUMBER(IFERROR(INDEX(Daily!$B$3:$B$252,MATCH($B159,Daily!$A$3:$A$252,0)),"")),IFERROR(INDEX(Daily!$B$3:$B$252,MATCH($B159,Daily!$A$3:$A$252,0)),""),0))</f>
        <v/>
      </c>
      <c r="F159">
        <f>IF($B159="","",IF(ISNUMBER(IFERROR(INDEX(Daily!$Y$3:$Y$252,MATCH($B159,Daily!$A$3:$A$252,0)),"")),IFERROR(INDEX(Daily!$Y$3:$Y$252,MATCH($B159,Daily!$A$3:$A$252,0)),""),""))</f>
        <v/>
      </c>
      <c r="G159">
        <f>IF($B159="","",IF(ISNUMBER(IFERROR(INDEX(Daily!$AJ$3:$AJ$252,MATCH($B159,Daily!$A$3:$A$252,0)),"")),IFERROR(INDEX(Daily!$AJ$3:$AJ$252,MATCH($B159,Daily!$A$3:$A$252,0)),""),""))</f>
        <v/>
      </c>
      <c r="H159">
        <f>IF($B159="","",IF(ISNUMBER(IFERROR(INDEX(Daily!$Z$3:$Z$252,MATCH($B159,Daily!$A$3:$A$252,0)),"")),IFERROR(INDEX(Daily!$Z$3:$Z$252,MATCH($B159,Daily!$A$3:$A$252,0)),""),""))</f>
        <v/>
      </c>
      <c r="I159">
        <f>IF($B159="","",IF(ISNUMBER(IFERROR(INDEX(Daily!$AK$3:$AK$252,MATCH($B159,Daily!$A$3:$A$252,0)),"")),IFERROR(INDEX(Daily!$AK$3:$AK$252,MATCH($B159,Daily!$A$3:$A$252,0)),""),""))</f>
        <v/>
      </c>
      <c r="J159">
        <f>IF($B159="","",IF(AND(ISNUMBER(MDS),ISNUMBER(MDE)),IF(AND($B159&gt;=MDS,$B159&lt;=MDE),24,""),""))</f>
        <v/>
      </c>
      <c r="K159">
        <f>IF($B159="","",IF(AND(ISNUMBER(PitanS),ISNUMBER(PitanE)),IF(AND($B159&gt;=PitanS,$B159&lt;=PitanE),26,""),""))</f>
        <v/>
      </c>
      <c r="L159">
        <f>IF($B159="","",IF(AND(ISNUMBER(C1S),ISNUMBER(C3E)),IF(AND($B159&gt;=C1S,$B159&lt;=C3E),22,""),""))</f>
        <v/>
      </c>
    </row>
    <row r="160">
      <c r="A160" t="n">
        <v>159</v>
      </c>
      <c r="B160" s="30">
        <f>IFERROR(SMALL(Daily!$A$3:$A$252,A160),"")</f>
        <v/>
      </c>
      <c r="C160">
        <f>IF($B160="","",IF(ISNUMBER(IFERROR(INDEX(Daily!$T$3:$T$252,MATCH($B160,Daily!$A$3:$A$252,0)),"")),IFERROR(INDEX(Daily!$T$3:$T$252,MATCH($B160,Daily!$A$3:$A$252,0)),""),""))</f>
        <v/>
      </c>
      <c r="D160">
        <f>IF($B160="","",IF(ISNUMBER(IFERROR(INDEX(Daily!$AE$3:$AE$252,MATCH($B160,Daily!$A$3:$A$252,0)),"")),IFERROR(INDEX(Daily!$AE$3:$AE$252,MATCH($B160,Daily!$A$3:$A$252,0)),""),""))</f>
        <v/>
      </c>
      <c r="E160">
        <f>IF($B160="","",IF(ISNUMBER(IFERROR(INDEX(Daily!$B$3:$B$252,MATCH($B160,Daily!$A$3:$A$252,0)),"")),IFERROR(INDEX(Daily!$B$3:$B$252,MATCH($B160,Daily!$A$3:$A$252,0)),""),0))</f>
        <v/>
      </c>
      <c r="F160">
        <f>IF($B160="","",IF(ISNUMBER(IFERROR(INDEX(Daily!$Y$3:$Y$252,MATCH($B160,Daily!$A$3:$A$252,0)),"")),IFERROR(INDEX(Daily!$Y$3:$Y$252,MATCH($B160,Daily!$A$3:$A$252,0)),""),""))</f>
        <v/>
      </c>
      <c r="G160">
        <f>IF($B160="","",IF(ISNUMBER(IFERROR(INDEX(Daily!$AJ$3:$AJ$252,MATCH($B160,Daily!$A$3:$A$252,0)),"")),IFERROR(INDEX(Daily!$AJ$3:$AJ$252,MATCH($B160,Daily!$A$3:$A$252,0)),""),""))</f>
        <v/>
      </c>
      <c r="H160">
        <f>IF($B160="","",IF(ISNUMBER(IFERROR(INDEX(Daily!$Z$3:$Z$252,MATCH($B160,Daily!$A$3:$A$252,0)),"")),IFERROR(INDEX(Daily!$Z$3:$Z$252,MATCH($B160,Daily!$A$3:$A$252,0)),""),""))</f>
        <v/>
      </c>
      <c r="I160">
        <f>IF($B160="","",IF(ISNUMBER(IFERROR(INDEX(Daily!$AK$3:$AK$252,MATCH($B160,Daily!$A$3:$A$252,0)),"")),IFERROR(INDEX(Daily!$AK$3:$AK$252,MATCH($B160,Daily!$A$3:$A$252,0)),""),""))</f>
        <v/>
      </c>
      <c r="J160">
        <f>IF($B160="","",IF(AND(ISNUMBER(MDS),ISNUMBER(MDE)),IF(AND($B160&gt;=MDS,$B160&lt;=MDE),24,""),""))</f>
        <v/>
      </c>
      <c r="K160">
        <f>IF($B160="","",IF(AND(ISNUMBER(PitanS),ISNUMBER(PitanE)),IF(AND($B160&gt;=PitanS,$B160&lt;=PitanE),26,""),""))</f>
        <v/>
      </c>
      <c r="L160">
        <f>IF($B160="","",IF(AND(ISNUMBER(C1S),ISNUMBER(C3E)),IF(AND($B160&gt;=C1S,$B160&lt;=C3E),22,""),""))</f>
        <v/>
      </c>
    </row>
    <row r="161">
      <c r="A161" t="n">
        <v>160</v>
      </c>
      <c r="B161" s="30">
        <f>IFERROR(SMALL(Daily!$A$3:$A$252,A161),"")</f>
        <v/>
      </c>
      <c r="C161">
        <f>IF($B161="","",IF(ISNUMBER(IFERROR(INDEX(Daily!$T$3:$T$252,MATCH($B161,Daily!$A$3:$A$252,0)),"")),IFERROR(INDEX(Daily!$T$3:$T$252,MATCH($B161,Daily!$A$3:$A$252,0)),""),""))</f>
        <v/>
      </c>
      <c r="D161">
        <f>IF($B161="","",IF(ISNUMBER(IFERROR(INDEX(Daily!$AE$3:$AE$252,MATCH($B161,Daily!$A$3:$A$252,0)),"")),IFERROR(INDEX(Daily!$AE$3:$AE$252,MATCH($B161,Daily!$A$3:$A$252,0)),""),""))</f>
        <v/>
      </c>
      <c r="E161">
        <f>IF($B161="","",IF(ISNUMBER(IFERROR(INDEX(Daily!$B$3:$B$252,MATCH($B161,Daily!$A$3:$A$252,0)),"")),IFERROR(INDEX(Daily!$B$3:$B$252,MATCH($B161,Daily!$A$3:$A$252,0)),""),0))</f>
        <v/>
      </c>
      <c r="F161">
        <f>IF($B161="","",IF(ISNUMBER(IFERROR(INDEX(Daily!$Y$3:$Y$252,MATCH($B161,Daily!$A$3:$A$252,0)),"")),IFERROR(INDEX(Daily!$Y$3:$Y$252,MATCH($B161,Daily!$A$3:$A$252,0)),""),""))</f>
        <v/>
      </c>
      <c r="G161">
        <f>IF($B161="","",IF(ISNUMBER(IFERROR(INDEX(Daily!$AJ$3:$AJ$252,MATCH($B161,Daily!$A$3:$A$252,0)),"")),IFERROR(INDEX(Daily!$AJ$3:$AJ$252,MATCH($B161,Daily!$A$3:$A$252,0)),""),""))</f>
        <v/>
      </c>
      <c r="H161">
        <f>IF($B161="","",IF(ISNUMBER(IFERROR(INDEX(Daily!$Z$3:$Z$252,MATCH($B161,Daily!$A$3:$A$252,0)),"")),IFERROR(INDEX(Daily!$Z$3:$Z$252,MATCH($B161,Daily!$A$3:$A$252,0)),""),""))</f>
        <v/>
      </c>
      <c r="I161">
        <f>IF($B161="","",IF(ISNUMBER(IFERROR(INDEX(Daily!$AK$3:$AK$252,MATCH($B161,Daily!$A$3:$A$252,0)),"")),IFERROR(INDEX(Daily!$AK$3:$AK$252,MATCH($B161,Daily!$A$3:$A$252,0)),""),""))</f>
        <v/>
      </c>
      <c r="J161">
        <f>IF($B161="","",IF(AND(ISNUMBER(MDS),ISNUMBER(MDE)),IF(AND($B161&gt;=MDS,$B161&lt;=MDE),24,""),""))</f>
        <v/>
      </c>
      <c r="K161">
        <f>IF($B161="","",IF(AND(ISNUMBER(PitanS),ISNUMBER(PitanE)),IF(AND($B161&gt;=PitanS,$B161&lt;=PitanE),26,""),""))</f>
        <v/>
      </c>
      <c r="L161">
        <f>IF($B161="","",IF(AND(ISNUMBER(C1S),ISNUMBER(C3E)),IF(AND($B161&gt;=C1S,$B161&lt;=C3E),22,""),""))</f>
        <v/>
      </c>
    </row>
    <row r="162">
      <c r="A162" t="n">
        <v>161</v>
      </c>
      <c r="B162" s="30">
        <f>IFERROR(SMALL(Daily!$A$3:$A$252,A162),"")</f>
        <v/>
      </c>
      <c r="C162">
        <f>IF($B162="","",IF(ISNUMBER(IFERROR(INDEX(Daily!$T$3:$T$252,MATCH($B162,Daily!$A$3:$A$252,0)),"")),IFERROR(INDEX(Daily!$T$3:$T$252,MATCH($B162,Daily!$A$3:$A$252,0)),""),""))</f>
        <v/>
      </c>
      <c r="D162">
        <f>IF($B162="","",IF(ISNUMBER(IFERROR(INDEX(Daily!$AE$3:$AE$252,MATCH($B162,Daily!$A$3:$A$252,0)),"")),IFERROR(INDEX(Daily!$AE$3:$AE$252,MATCH($B162,Daily!$A$3:$A$252,0)),""),""))</f>
        <v/>
      </c>
      <c r="E162">
        <f>IF($B162="","",IF(ISNUMBER(IFERROR(INDEX(Daily!$B$3:$B$252,MATCH($B162,Daily!$A$3:$A$252,0)),"")),IFERROR(INDEX(Daily!$B$3:$B$252,MATCH($B162,Daily!$A$3:$A$252,0)),""),0))</f>
        <v/>
      </c>
      <c r="F162">
        <f>IF($B162="","",IF(ISNUMBER(IFERROR(INDEX(Daily!$Y$3:$Y$252,MATCH($B162,Daily!$A$3:$A$252,0)),"")),IFERROR(INDEX(Daily!$Y$3:$Y$252,MATCH($B162,Daily!$A$3:$A$252,0)),""),""))</f>
        <v/>
      </c>
      <c r="G162">
        <f>IF($B162="","",IF(ISNUMBER(IFERROR(INDEX(Daily!$AJ$3:$AJ$252,MATCH($B162,Daily!$A$3:$A$252,0)),"")),IFERROR(INDEX(Daily!$AJ$3:$AJ$252,MATCH($B162,Daily!$A$3:$A$252,0)),""),""))</f>
        <v/>
      </c>
      <c r="H162">
        <f>IF($B162="","",IF(ISNUMBER(IFERROR(INDEX(Daily!$Z$3:$Z$252,MATCH($B162,Daily!$A$3:$A$252,0)),"")),IFERROR(INDEX(Daily!$Z$3:$Z$252,MATCH($B162,Daily!$A$3:$A$252,0)),""),""))</f>
        <v/>
      </c>
      <c r="I162">
        <f>IF($B162="","",IF(ISNUMBER(IFERROR(INDEX(Daily!$AK$3:$AK$252,MATCH($B162,Daily!$A$3:$A$252,0)),"")),IFERROR(INDEX(Daily!$AK$3:$AK$252,MATCH($B162,Daily!$A$3:$A$252,0)),""),""))</f>
        <v/>
      </c>
      <c r="J162">
        <f>IF($B162="","",IF(AND(ISNUMBER(MDS),ISNUMBER(MDE)),IF(AND($B162&gt;=MDS,$B162&lt;=MDE),24,""),""))</f>
        <v/>
      </c>
      <c r="K162">
        <f>IF($B162="","",IF(AND(ISNUMBER(PitanS),ISNUMBER(PitanE)),IF(AND($B162&gt;=PitanS,$B162&lt;=PitanE),26,""),""))</f>
        <v/>
      </c>
      <c r="L162">
        <f>IF($B162="","",IF(AND(ISNUMBER(C1S),ISNUMBER(C3E)),IF(AND($B162&gt;=C1S,$B162&lt;=C3E),22,""),""))</f>
        <v/>
      </c>
    </row>
    <row r="163">
      <c r="A163" t="n">
        <v>162</v>
      </c>
      <c r="B163" s="30">
        <f>IFERROR(SMALL(Daily!$A$3:$A$252,A163),"")</f>
        <v/>
      </c>
      <c r="C163">
        <f>IF($B163="","",IF(ISNUMBER(IFERROR(INDEX(Daily!$T$3:$T$252,MATCH($B163,Daily!$A$3:$A$252,0)),"")),IFERROR(INDEX(Daily!$T$3:$T$252,MATCH($B163,Daily!$A$3:$A$252,0)),""),""))</f>
        <v/>
      </c>
      <c r="D163">
        <f>IF($B163="","",IF(ISNUMBER(IFERROR(INDEX(Daily!$AE$3:$AE$252,MATCH($B163,Daily!$A$3:$A$252,0)),"")),IFERROR(INDEX(Daily!$AE$3:$AE$252,MATCH($B163,Daily!$A$3:$A$252,0)),""),""))</f>
        <v/>
      </c>
      <c r="E163">
        <f>IF($B163="","",IF(ISNUMBER(IFERROR(INDEX(Daily!$B$3:$B$252,MATCH($B163,Daily!$A$3:$A$252,0)),"")),IFERROR(INDEX(Daily!$B$3:$B$252,MATCH($B163,Daily!$A$3:$A$252,0)),""),0))</f>
        <v/>
      </c>
      <c r="F163">
        <f>IF($B163="","",IF(ISNUMBER(IFERROR(INDEX(Daily!$Y$3:$Y$252,MATCH($B163,Daily!$A$3:$A$252,0)),"")),IFERROR(INDEX(Daily!$Y$3:$Y$252,MATCH($B163,Daily!$A$3:$A$252,0)),""),""))</f>
        <v/>
      </c>
      <c r="G163">
        <f>IF($B163="","",IF(ISNUMBER(IFERROR(INDEX(Daily!$AJ$3:$AJ$252,MATCH($B163,Daily!$A$3:$A$252,0)),"")),IFERROR(INDEX(Daily!$AJ$3:$AJ$252,MATCH($B163,Daily!$A$3:$A$252,0)),""),""))</f>
        <v/>
      </c>
      <c r="H163">
        <f>IF($B163="","",IF(ISNUMBER(IFERROR(INDEX(Daily!$Z$3:$Z$252,MATCH($B163,Daily!$A$3:$A$252,0)),"")),IFERROR(INDEX(Daily!$Z$3:$Z$252,MATCH($B163,Daily!$A$3:$A$252,0)),""),""))</f>
        <v/>
      </c>
      <c r="I163">
        <f>IF($B163="","",IF(ISNUMBER(IFERROR(INDEX(Daily!$AK$3:$AK$252,MATCH($B163,Daily!$A$3:$A$252,0)),"")),IFERROR(INDEX(Daily!$AK$3:$AK$252,MATCH($B163,Daily!$A$3:$A$252,0)),""),""))</f>
        <v/>
      </c>
      <c r="J163">
        <f>IF($B163="","",IF(AND(ISNUMBER(MDS),ISNUMBER(MDE)),IF(AND($B163&gt;=MDS,$B163&lt;=MDE),24,""),""))</f>
        <v/>
      </c>
      <c r="K163">
        <f>IF($B163="","",IF(AND(ISNUMBER(PitanS),ISNUMBER(PitanE)),IF(AND($B163&gt;=PitanS,$B163&lt;=PitanE),26,""),""))</f>
        <v/>
      </c>
      <c r="L163">
        <f>IF($B163="","",IF(AND(ISNUMBER(C1S),ISNUMBER(C3E)),IF(AND($B163&gt;=C1S,$B163&lt;=C3E),22,""),""))</f>
        <v/>
      </c>
    </row>
    <row r="164">
      <c r="A164" t="n">
        <v>163</v>
      </c>
      <c r="B164" s="30">
        <f>IFERROR(SMALL(Daily!$A$3:$A$252,A164),"")</f>
        <v/>
      </c>
      <c r="C164">
        <f>IF($B164="","",IF(ISNUMBER(IFERROR(INDEX(Daily!$T$3:$T$252,MATCH($B164,Daily!$A$3:$A$252,0)),"")),IFERROR(INDEX(Daily!$T$3:$T$252,MATCH($B164,Daily!$A$3:$A$252,0)),""),""))</f>
        <v/>
      </c>
      <c r="D164">
        <f>IF($B164="","",IF(ISNUMBER(IFERROR(INDEX(Daily!$AE$3:$AE$252,MATCH($B164,Daily!$A$3:$A$252,0)),"")),IFERROR(INDEX(Daily!$AE$3:$AE$252,MATCH($B164,Daily!$A$3:$A$252,0)),""),""))</f>
        <v/>
      </c>
      <c r="E164">
        <f>IF($B164="","",IF(ISNUMBER(IFERROR(INDEX(Daily!$B$3:$B$252,MATCH($B164,Daily!$A$3:$A$252,0)),"")),IFERROR(INDEX(Daily!$B$3:$B$252,MATCH($B164,Daily!$A$3:$A$252,0)),""),0))</f>
        <v/>
      </c>
      <c r="F164">
        <f>IF($B164="","",IF(ISNUMBER(IFERROR(INDEX(Daily!$Y$3:$Y$252,MATCH($B164,Daily!$A$3:$A$252,0)),"")),IFERROR(INDEX(Daily!$Y$3:$Y$252,MATCH($B164,Daily!$A$3:$A$252,0)),""),""))</f>
        <v/>
      </c>
      <c r="G164">
        <f>IF($B164="","",IF(ISNUMBER(IFERROR(INDEX(Daily!$AJ$3:$AJ$252,MATCH($B164,Daily!$A$3:$A$252,0)),"")),IFERROR(INDEX(Daily!$AJ$3:$AJ$252,MATCH($B164,Daily!$A$3:$A$252,0)),""),""))</f>
        <v/>
      </c>
      <c r="H164">
        <f>IF($B164="","",IF(ISNUMBER(IFERROR(INDEX(Daily!$Z$3:$Z$252,MATCH($B164,Daily!$A$3:$A$252,0)),"")),IFERROR(INDEX(Daily!$Z$3:$Z$252,MATCH($B164,Daily!$A$3:$A$252,0)),""),""))</f>
        <v/>
      </c>
      <c r="I164">
        <f>IF($B164="","",IF(ISNUMBER(IFERROR(INDEX(Daily!$AK$3:$AK$252,MATCH($B164,Daily!$A$3:$A$252,0)),"")),IFERROR(INDEX(Daily!$AK$3:$AK$252,MATCH($B164,Daily!$A$3:$A$252,0)),""),""))</f>
        <v/>
      </c>
      <c r="J164">
        <f>IF($B164="","",IF(AND(ISNUMBER(MDS),ISNUMBER(MDE)),IF(AND($B164&gt;=MDS,$B164&lt;=MDE),24,""),""))</f>
        <v/>
      </c>
      <c r="K164">
        <f>IF($B164="","",IF(AND(ISNUMBER(PitanS),ISNUMBER(PitanE)),IF(AND($B164&gt;=PitanS,$B164&lt;=PitanE),26,""),""))</f>
        <v/>
      </c>
      <c r="L164">
        <f>IF($B164="","",IF(AND(ISNUMBER(C1S),ISNUMBER(C3E)),IF(AND($B164&gt;=C1S,$B164&lt;=C3E),22,""),""))</f>
        <v/>
      </c>
    </row>
    <row r="165">
      <c r="A165" t="n">
        <v>164</v>
      </c>
      <c r="B165" s="30">
        <f>IFERROR(SMALL(Daily!$A$3:$A$252,A165),"")</f>
        <v/>
      </c>
      <c r="C165">
        <f>IF($B165="","",IF(ISNUMBER(IFERROR(INDEX(Daily!$T$3:$T$252,MATCH($B165,Daily!$A$3:$A$252,0)),"")),IFERROR(INDEX(Daily!$T$3:$T$252,MATCH($B165,Daily!$A$3:$A$252,0)),""),""))</f>
        <v/>
      </c>
      <c r="D165">
        <f>IF($B165="","",IF(ISNUMBER(IFERROR(INDEX(Daily!$AE$3:$AE$252,MATCH($B165,Daily!$A$3:$A$252,0)),"")),IFERROR(INDEX(Daily!$AE$3:$AE$252,MATCH($B165,Daily!$A$3:$A$252,0)),""),""))</f>
        <v/>
      </c>
      <c r="E165">
        <f>IF($B165="","",IF(ISNUMBER(IFERROR(INDEX(Daily!$B$3:$B$252,MATCH($B165,Daily!$A$3:$A$252,0)),"")),IFERROR(INDEX(Daily!$B$3:$B$252,MATCH($B165,Daily!$A$3:$A$252,0)),""),0))</f>
        <v/>
      </c>
      <c r="F165">
        <f>IF($B165="","",IF(ISNUMBER(IFERROR(INDEX(Daily!$Y$3:$Y$252,MATCH($B165,Daily!$A$3:$A$252,0)),"")),IFERROR(INDEX(Daily!$Y$3:$Y$252,MATCH($B165,Daily!$A$3:$A$252,0)),""),""))</f>
        <v/>
      </c>
      <c r="G165">
        <f>IF($B165="","",IF(ISNUMBER(IFERROR(INDEX(Daily!$AJ$3:$AJ$252,MATCH($B165,Daily!$A$3:$A$252,0)),"")),IFERROR(INDEX(Daily!$AJ$3:$AJ$252,MATCH($B165,Daily!$A$3:$A$252,0)),""),""))</f>
        <v/>
      </c>
      <c r="H165">
        <f>IF($B165="","",IF(ISNUMBER(IFERROR(INDEX(Daily!$Z$3:$Z$252,MATCH($B165,Daily!$A$3:$A$252,0)),"")),IFERROR(INDEX(Daily!$Z$3:$Z$252,MATCH($B165,Daily!$A$3:$A$252,0)),""),""))</f>
        <v/>
      </c>
      <c r="I165">
        <f>IF($B165="","",IF(ISNUMBER(IFERROR(INDEX(Daily!$AK$3:$AK$252,MATCH($B165,Daily!$A$3:$A$252,0)),"")),IFERROR(INDEX(Daily!$AK$3:$AK$252,MATCH($B165,Daily!$A$3:$A$252,0)),""),""))</f>
        <v/>
      </c>
      <c r="J165">
        <f>IF($B165="","",IF(AND(ISNUMBER(MDS),ISNUMBER(MDE)),IF(AND($B165&gt;=MDS,$B165&lt;=MDE),24,""),""))</f>
        <v/>
      </c>
      <c r="K165">
        <f>IF($B165="","",IF(AND(ISNUMBER(PitanS),ISNUMBER(PitanE)),IF(AND($B165&gt;=PitanS,$B165&lt;=PitanE),26,""),""))</f>
        <v/>
      </c>
      <c r="L165">
        <f>IF($B165="","",IF(AND(ISNUMBER(C1S),ISNUMBER(C3E)),IF(AND($B165&gt;=C1S,$B165&lt;=C3E),22,""),""))</f>
        <v/>
      </c>
    </row>
    <row r="166">
      <c r="A166" t="n">
        <v>165</v>
      </c>
      <c r="B166" s="30">
        <f>IFERROR(SMALL(Daily!$A$3:$A$252,A166),"")</f>
        <v/>
      </c>
      <c r="C166">
        <f>IF($B166="","",IF(ISNUMBER(IFERROR(INDEX(Daily!$T$3:$T$252,MATCH($B166,Daily!$A$3:$A$252,0)),"")),IFERROR(INDEX(Daily!$T$3:$T$252,MATCH($B166,Daily!$A$3:$A$252,0)),""),""))</f>
        <v/>
      </c>
      <c r="D166">
        <f>IF($B166="","",IF(ISNUMBER(IFERROR(INDEX(Daily!$AE$3:$AE$252,MATCH($B166,Daily!$A$3:$A$252,0)),"")),IFERROR(INDEX(Daily!$AE$3:$AE$252,MATCH($B166,Daily!$A$3:$A$252,0)),""),""))</f>
        <v/>
      </c>
      <c r="E166">
        <f>IF($B166="","",IF(ISNUMBER(IFERROR(INDEX(Daily!$B$3:$B$252,MATCH($B166,Daily!$A$3:$A$252,0)),"")),IFERROR(INDEX(Daily!$B$3:$B$252,MATCH($B166,Daily!$A$3:$A$252,0)),""),0))</f>
        <v/>
      </c>
      <c r="F166">
        <f>IF($B166="","",IF(ISNUMBER(IFERROR(INDEX(Daily!$Y$3:$Y$252,MATCH($B166,Daily!$A$3:$A$252,0)),"")),IFERROR(INDEX(Daily!$Y$3:$Y$252,MATCH($B166,Daily!$A$3:$A$252,0)),""),""))</f>
        <v/>
      </c>
      <c r="G166">
        <f>IF($B166="","",IF(ISNUMBER(IFERROR(INDEX(Daily!$AJ$3:$AJ$252,MATCH($B166,Daily!$A$3:$A$252,0)),"")),IFERROR(INDEX(Daily!$AJ$3:$AJ$252,MATCH($B166,Daily!$A$3:$A$252,0)),""),""))</f>
        <v/>
      </c>
      <c r="H166">
        <f>IF($B166="","",IF(ISNUMBER(IFERROR(INDEX(Daily!$Z$3:$Z$252,MATCH($B166,Daily!$A$3:$A$252,0)),"")),IFERROR(INDEX(Daily!$Z$3:$Z$252,MATCH($B166,Daily!$A$3:$A$252,0)),""),""))</f>
        <v/>
      </c>
      <c r="I166">
        <f>IF($B166="","",IF(ISNUMBER(IFERROR(INDEX(Daily!$AK$3:$AK$252,MATCH($B166,Daily!$A$3:$A$252,0)),"")),IFERROR(INDEX(Daily!$AK$3:$AK$252,MATCH($B166,Daily!$A$3:$A$252,0)),""),""))</f>
        <v/>
      </c>
      <c r="J166">
        <f>IF($B166="","",IF(AND(ISNUMBER(MDS),ISNUMBER(MDE)),IF(AND($B166&gt;=MDS,$B166&lt;=MDE),24,""),""))</f>
        <v/>
      </c>
      <c r="K166">
        <f>IF($B166="","",IF(AND(ISNUMBER(PitanS),ISNUMBER(PitanE)),IF(AND($B166&gt;=PitanS,$B166&lt;=PitanE),26,""),""))</f>
        <v/>
      </c>
      <c r="L166">
        <f>IF($B166="","",IF(AND(ISNUMBER(C1S),ISNUMBER(C3E)),IF(AND($B166&gt;=C1S,$B166&lt;=C3E),22,""),""))</f>
        <v/>
      </c>
    </row>
    <row r="167">
      <c r="A167" t="n">
        <v>166</v>
      </c>
      <c r="B167" s="30">
        <f>IFERROR(SMALL(Daily!$A$3:$A$252,A167),"")</f>
        <v/>
      </c>
      <c r="C167">
        <f>IF($B167="","",IF(ISNUMBER(IFERROR(INDEX(Daily!$T$3:$T$252,MATCH($B167,Daily!$A$3:$A$252,0)),"")),IFERROR(INDEX(Daily!$T$3:$T$252,MATCH($B167,Daily!$A$3:$A$252,0)),""),""))</f>
        <v/>
      </c>
      <c r="D167">
        <f>IF($B167="","",IF(ISNUMBER(IFERROR(INDEX(Daily!$AE$3:$AE$252,MATCH($B167,Daily!$A$3:$A$252,0)),"")),IFERROR(INDEX(Daily!$AE$3:$AE$252,MATCH($B167,Daily!$A$3:$A$252,0)),""),""))</f>
        <v/>
      </c>
      <c r="E167">
        <f>IF($B167="","",IF(ISNUMBER(IFERROR(INDEX(Daily!$B$3:$B$252,MATCH($B167,Daily!$A$3:$A$252,0)),"")),IFERROR(INDEX(Daily!$B$3:$B$252,MATCH($B167,Daily!$A$3:$A$252,0)),""),0))</f>
        <v/>
      </c>
      <c r="F167">
        <f>IF($B167="","",IF(ISNUMBER(IFERROR(INDEX(Daily!$Y$3:$Y$252,MATCH($B167,Daily!$A$3:$A$252,0)),"")),IFERROR(INDEX(Daily!$Y$3:$Y$252,MATCH($B167,Daily!$A$3:$A$252,0)),""),""))</f>
        <v/>
      </c>
      <c r="G167">
        <f>IF($B167="","",IF(ISNUMBER(IFERROR(INDEX(Daily!$AJ$3:$AJ$252,MATCH($B167,Daily!$A$3:$A$252,0)),"")),IFERROR(INDEX(Daily!$AJ$3:$AJ$252,MATCH($B167,Daily!$A$3:$A$252,0)),""),""))</f>
        <v/>
      </c>
      <c r="H167">
        <f>IF($B167="","",IF(ISNUMBER(IFERROR(INDEX(Daily!$Z$3:$Z$252,MATCH($B167,Daily!$A$3:$A$252,0)),"")),IFERROR(INDEX(Daily!$Z$3:$Z$252,MATCH($B167,Daily!$A$3:$A$252,0)),""),""))</f>
        <v/>
      </c>
      <c r="I167">
        <f>IF($B167="","",IF(ISNUMBER(IFERROR(INDEX(Daily!$AK$3:$AK$252,MATCH($B167,Daily!$A$3:$A$252,0)),"")),IFERROR(INDEX(Daily!$AK$3:$AK$252,MATCH($B167,Daily!$A$3:$A$252,0)),""),""))</f>
        <v/>
      </c>
      <c r="J167">
        <f>IF($B167="","",IF(AND(ISNUMBER(MDS),ISNUMBER(MDE)),IF(AND($B167&gt;=MDS,$B167&lt;=MDE),24,""),""))</f>
        <v/>
      </c>
      <c r="K167">
        <f>IF($B167="","",IF(AND(ISNUMBER(PitanS),ISNUMBER(PitanE)),IF(AND($B167&gt;=PitanS,$B167&lt;=PitanE),26,""),""))</f>
        <v/>
      </c>
      <c r="L167">
        <f>IF($B167="","",IF(AND(ISNUMBER(C1S),ISNUMBER(C3E)),IF(AND($B167&gt;=C1S,$B167&lt;=C3E),22,""),""))</f>
        <v/>
      </c>
    </row>
    <row r="168">
      <c r="A168" t="n">
        <v>167</v>
      </c>
      <c r="B168" s="30">
        <f>IFERROR(SMALL(Daily!$A$3:$A$252,A168),"")</f>
        <v/>
      </c>
      <c r="C168">
        <f>IF($B168="","",IF(ISNUMBER(IFERROR(INDEX(Daily!$T$3:$T$252,MATCH($B168,Daily!$A$3:$A$252,0)),"")),IFERROR(INDEX(Daily!$T$3:$T$252,MATCH($B168,Daily!$A$3:$A$252,0)),""),""))</f>
        <v/>
      </c>
      <c r="D168">
        <f>IF($B168="","",IF(ISNUMBER(IFERROR(INDEX(Daily!$AE$3:$AE$252,MATCH($B168,Daily!$A$3:$A$252,0)),"")),IFERROR(INDEX(Daily!$AE$3:$AE$252,MATCH($B168,Daily!$A$3:$A$252,0)),""),""))</f>
        <v/>
      </c>
      <c r="E168">
        <f>IF($B168="","",IF(ISNUMBER(IFERROR(INDEX(Daily!$B$3:$B$252,MATCH($B168,Daily!$A$3:$A$252,0)),"")),IFERROR(INDEX(Daily!$B$3:$B$252,MATCH($B168,Daily!$A$3:$A$252,0)),""),0))</f>
        <v/>
      </c>
      <c r="F168">
        <f>IF($B168="","",IF(ISNUMBER(IFERROR(INDEX(Daily!$Y$3:$Y$252,MATCH($B168,Daily!$A$3:$A$252,0)),"")),IFERROR(INDEX(Daily!$Y$3:$Y$252,MATCH($B168,Daily!$A$3:$A$252,0)),""),""))</f>
        <v/>
      </c>
      <c r="G168">
        <f>IF($B168="","",IF(ISNUMBER(IFERROR(INDEX(Daily!$AJ$3:$AJ$252,MATCH($B168,Daily!$A$3:$A$252,0)),"")),IFERROR(INDEX(Daily!$AJ$3:$AJ$252,MATCH($B168,Daily!$A$3:$A$252,0)),""),""))</f>
        <v/>
      </c>
      <c r="H168">
        <f>IF($B168="","",IF(ISNUMBER(IFERROR(INDEX(Daily!$Z$3:$Z$252,MATCH($B168,Daily!$A$3:$A$252,0)),"")),IFERROR(INDEX(Daily!$Z$3:$Z$252,MATCH($B168,Daily!$A$3:$A$252,0)),""),""))</f>
        <v/>
      </c>
      <c r="I168">
        <f>IF($B168="","",IF(ISNUMBER(IFERROR(INDEX(Daily!$AK$3:$AK$252,MATCH($B168,Daily!$A$3:$A$252,0)),"")),IFERROR(INDEX(Daily!$AK$3:$AK$252,MATCH($B168,Daily!$A$3:$A$252,0)),""),""))</f>
        <v/>
      </c>
      <c r="J168">
        <f>IF($B168="","",IF(AND(ISNUMBER(MDS),ISNUMBER(MDE)),IF(AND($B168&gt;=MDS,$B168&lt;=MDE),24,""),""))</f>
        <v/>
      </c>
      <c r="K168">
        <f>IF($B168="","",IF(AND(ISNUMBER(PitanS),ISNUMBER(PitanE)),IF(AND($B168&gt;=PitanS,$B168&lt;=PitanE),26,""),""))</f>
        <v/>
      </c>
      <c r="L168">
        <f>IF($B168="","",IF(AND(ISNUMBER(C1S),ISNUMBER(C3E)),IF(AND($B168&gt;=C1S,$B168&lt;=C3E),22,""),""))</f>
        <v/>
      </c>
    </row>
    <row r="169">
      <c r="A169" t="n">
        <v>168</v>
      </c>
      <c r="B169" s="30">
        <f>IFERROR(SMALL(Daily!$A$3:$A$252,A169),"")</f>
        <v/>
      </c>
      <c r="C169">
        <f>IF($B169="","",IF(ISNUMBER(IFERROR(INDEX(Daily!$T$3:$T$252,MATCH($B169,Daily!$A$3:$A$252,0)),"")),IFERROR(INDEX(Daily!$T$3:$T$252,MATCH($B169,Daily!$A$3:$A$252,0)),""),""))</f>
        <v/>
      </c>
      <c r="D169">
        <f>IF($B169="","",IF(ISNUMBER(IFERROR(INDEX(Daily!$AE$3:$AE$252,MATCH($B169,Daily!$A$3:$A$252,0)),"")),IFERROR(INDEX(Daily!$AE$3:$AE$252,MATCH($B169,Daily!$A$3:$A$252,0)),""),""))</f>
        <v/>
      </c>
      <c r="E169">
        <f>IF($B169="","",IF(ISNUMBER(IFERROR(INDEX(Daily!$B$3:$B$252,MATCH($B169,Daily!$A$3:$A$252,0)),"")),IFERROR(INDEX(Daily!$B$3:$B$252,MATCH($B169,Daily!$A$3:$A$252,0)),""),0))</f>
        <v/>
      </c>
      <c r="F169">
        <f>IF($B169="","",IF(ISNUMBER(IFERROR(INDEX(Daily!$Y$3:$Y$252,MATCH($B169,Daily!$A$3:$A$252,0)),"")),IFERROR(INDEX(Daily!$Y$3:$Y$252,MATCH($B169,Daily!$A$3:$A$252,0)),""),""))</f>
        <v/>
      </c>
      <c r="G169">
        <f>IF($B169="","",IF(ISNUMBER(IFERROR(INDEX(Daily!$AJ$3:$AJ$252,MATCH($B169,Daily!$A$3:$A$252,0)),"")),IFERROR(INDEX(Daily!$AJ$3:$AJ$252,MATCH($B169,Daily!$A$3:$A$252,0)),""),""))</f>
        <v/>
      </c>
      <c r="H169">
        <f>IF($B169="","",IF(ISNUMBER(IFERROR(INDEX(Daily!$Z$3:$Z$252,MATCH($B169,Daily!$A$3:$A$252,0)),"")),IFERROR(INDEX(Daily!$Z$3:$Z$252,MATCH($B169,Daily!$A$3:$A$252,0)),""),""))</f>
        <v/>
      </c>
      <c r="I169">
        <f>IF($B169="","",IF(ISNUMBER(IFERROR(INDEX(Daily!$AK$3:$AK$252,MATCH($B169,Daily!$A$3:$A$252,0)),"")),IFERROR(INDEX(Daily!$AK$3:$AK$252,MATCH($B169,Daily!$A$3:$A$252,0)),""),""))</f>
        <v/>
      </c>
      <c r="J169">
        <f>IF($B169="","",IF(AND(ISNUMBER(MDS),ISNUMBER(MDE)),IF(AND($B169&gt;=MDS,$B169&lt;=MDE),24,""),""))</f>
        <v/>
      </c>
      <c r="K169">
        <f>IF($B169="","",IF(AND(ISNUMBER(PitanS),ISNUMBER(PitanE)),IF(AND($B169&gt;=PitanS,$B169&lt;=PitanE),26,""),""))</f>
        <v/>
      </c>
      <c r="L169">
        <f>IF($B169="","",IF(AND(ISNUMBER(C1S),ISNUMBER(C3E)),IF(AND($B169&gt;=C1S,$B169&lt;=C3E),22,""),""))</f>
        <v/>
      </c>
    </row>
    <row r="170">
      <c r="A170" t="n">
        <v>169</v>
      </c>
      <c r="B170" s="30">
        <f>IFERROR(SMALL(Daily!$A$3:$A$252,A170),"")</f>
        <v/>
      </c>
      <c r="C170">
        <f>IF($B170="","",IF(ISNUMBER(IFERROR(INDEX(Daily!$T$3:$T$252,MATCH($B170,Daily!$A$3:$A$252,0)),"")),IFERROR(INDEX(Daily!$T$3:$T$252,MATCH($B170,Daily!$A$3:$A$252,0)),""),""))</f>
        <v/>
      </c>
      <c r="D170">
        <f>IF($B170="","",IF(ISNUMBER(IFERROR(INDEX(Daily!$AE$3:$AE$252,MATCH($B170,Daily!$A$3:$A$252,0)),"")),IFERROR(INDEX(Daily!$AE$3:$AE$252,MATCH($B170,Daily!$A$3:$A$252,0)),""),""))</f>
        <v/>
      </c>
      <c r="E170">
        <f>IF($B170="","",IF(ISNUMBER(IFERROR(INDEX(Daily!$B$3:$B$252,MATCH($B170,Daily!$A$3:$A$252,0)),"")),IFERROR(INDEX(Daily!$B$3:$B$252,MATCH($B170,Daily!$A$3:$A$252,0)),""),0))</f>
        <v/>
      </c>
      <c r="F170">
        <f>IF($B170="","",IF(ISNUMBER(IFERROR(INDEX(Daily!$Y$3:$Y$252,MATCH($B170,Daily!$A$3:$A$252,0)),"")),IFERROR(INDEX(Daily!$Y$3:$Y$252,MATCH($B170,Daily!$A$3:$A$252,0)),""),""))</f>
        <v/>
      </c>
      <c r="G170">
        <f>IF($B170="","",IF(ISNUMBER(IFERROR(INDEX(Daily!$AJ$3:$AJ$252,MATCH($B170,Daily!$A$3:$A$252,0)),"")),IFERROR(INDEX(Daily!$AJ$3:$AJ$252,MATCH($B170,Daily!$A$3:$A$252,0)),""),""))</f>
        <v/>
      </c>
      <c r="H170">
        <f>IF($B170="","",IF(ISNUMBER(IFERROR(INDEX(Daily!$Z$3:$Z$252,MATCH($B170,Daily!$A$3:$A$252,0)),"")),IFERROR(INDEX(Daily!$Z$3:$Z$252,MATCH($B170,Daily!$A$3:$A$252,0)),""),""))</f>
        <v/>
      </c>
      <c r="I170">
        <f>IF($B170="","",IF(ISNUMBER(IFERROR(INDEX(Daily!$AK$3:$AK$252,MATCH($B170,Daily!$A$3:$A$252,0)),"")),IFERROR(INDEX(Daily!$AK$3:$AK$252,MATCH($B170,Daily!$A$3:$A$252,0)),""),""))</f>
        <v/>
      </c>
      <c r="J170">
        <f>IF($B170="","",IF(AND(ISNUMBER(MDS),ISNUMBER(MDE)),IF(AND($B170&gt;=MDS,$B170&lt;=MDE),24,""),""))</f>
        <v/>
      </c>
      <c r="K170">
        <f>IF($B170="","",IF(AND(ISNUMBER(PitanS),ISNUMBER(PitanE)),IF(AND($B170&gt;=PitanS,$B170&lt;=PitanE),26,""),""))</f>
        <v/>
      </c>
      <c r="L170">
        <f>IF($B170="","",IF(AND(ISNUMBER(C1S),ISNUMBER(C3E)),IF(AND($B170&gt;=C1S,$B170&lt;=C3E),22,""),""))</f>
        <v/>
      </c>
    </row>
    <row r="171">
      <c r="A171" t="n">
        <v>170</v>
      </c>
      <c r="B171" s="30">
        <f>IFERROR(SMALL(Daily!$A$3:$A$252,A171),"")</f>
        <v/>
      </c>
      <c r="C171">
        <f>IF($B171="","",IF(ISNUMBER(IFERROR(INDEX(Daily!$T$3:$T$252,MATCH($B171,Daily!$A$3:$A$252,0)),"")),IFERROR(INDEX(Daily!$T$3:$T$252,MATCH($B171,Daily!$A$3:$A$252,0)),""),""))</f>
        <v/>
      </c>
      <c r="D171">
        <f>IF($B171="","",IF(ISNUMBER(IFERROR(INDEX(Daily!$AE$3:$AE$252,MATCH($B171,Daily!$A$3:$A$252,0)),"")),IFERROR(INDEX(Daily!$AE$3:$AE$252,MATCH($B171,Daily!$A$3:$A$252,0)),""),""))</f>
        <v/>
      </c>
      <c r="E171">
        <f>IF($B171="","",IF(ISNUMBER(IFERROR(INDEX(Daily!$B$3:$B$252,MATCH($B171,Daily!$A$3:$A$252,0)),"")),IFERROR(INDEX(Daily!$B$3:$B$252,MATCH($B171,Daily!$A$3:$A$252,0)),""),0))</f>
        <v/>
      </c>
      <c r="F171">
        <f>IF($B171="","",IF(ISNUMBER(IFERROR(INDEX(Daily!$Y$3:$Y$252,MATCH($B171,Daily!$A$3:$A$252,0)),"")),IFERROR(INDEX(Daily!$Y$3:$Y$252,MATCH($B171,Daily!$A$3:$A$252,0)),""),""))</f>
        <v/>
      </c>
      <c r="G171">
        <f>IF($B171="","",IF(ISNUMBER(IFERROR(INDEX(Daily!$AJ$3:$AJ$252,MATCH($B171,Daily!$A$3:$A$252,0)),"")),IFERROR(INDEX(Daily!$AJ$3:$AJ$252,MATCH($B171,Daily!$A$3:$A$252,0)),""),""))</f>
        <v/>
      </c>
      <c r="H171">
        <f>IF($B171="","",IF(ISNUMBER(IFERROR(INDEX(Daily!$Z$3:$Z$252,MATCH($B171,Daily!$A$3:$A$252,0)),"")),IFERROR(INDEX(Daily!$Z$3:$Z$252,MATCH($B171,Daily!$A$3:$A$252,0)),""),""))</f>
        <v/>
      </c>
      <c r="I171">
        <f>IF($B171="","",IF(ISNUMBER(IFERROR(INDEX(Daily!$AK$3:$AK$252,MATCH($B171,Daily!$A$3:$A$252,0)),"")),IFERROR(INDEX(Daily!$AK$3:$AK$252,MATCH($B171,Daily!$A$3:$A$252,0)),""),""))</f>
        <v/>
      </c>
      <c r="J171">
        <f>IF($B171="","",IF(AND(ISNUMBER(MDS),ISNUMBER(MDE)),IF(AND($B171&gt;=MDS,$B171&lt;=MDE),24,""),""))</f>
        <v/>
      </c>
      <c r="K171">
        <f>IF($B171="","",IF(AND(ISNUMBER(PitanS),ISNUMBER(PitanE)),IF(AND($B171&gt;=PitanS,$B171&lt;=PitanE),26,""),""))</f>
        <v/>
      </c>
      <c r="L171">
        <f>IF($B171="","",IF(AND(ISNUMBER(C1S),ISNUMBER(C3E)),IF(AND($B171&gt;=C1S,$B171&lt;=C3E),22,""),""))</f>
        <v/>
      </c>
    </row>
    <row r="172">
      <c r="A172" t="n">
        <v>171</v>
      </c>
      <c r="B172" s="30">
        <f>IFERROR(SMALL(Daily!$A$3:$A$252,A172),"")</f>
        <v/>
      </c>
      <c r="C172">
        <f>IF($B172="","",IF(ISNUMBER(IFERROR(INDEX(Daily!$T$3:$T$252,MATCH($B172,Daily!$A$3:$A$252,0)),"")),IFERROR(INDEX(Daily!$T$3:$T$252,MATCH($B172,Daily!$A$3:$A$252,0)),""),""))</f>
        <v/>
      </c>
      <c r="D172">
        <f>IF($B172="","",IF(ISNUMBER(IFERROR(INDEX(Daily!$AE$3:$AE$252,MATCH($B172,Daily!$A$3:$A$252,0)),"")),IFERROR(INDEX(Daily!$AE$3:$AE$252,MATCH($B172,Daily!$A$3:$A$252,0)),""),""))</f>
        <v/>
      </c>
      <c r="E172">
        <f>IF($B172="","",IF(ISNUMBER(IFERROR(INDEX(Daily!$B$3:$B$252,MATCH($B172,Daily!$A$3:$A$252,0)),"")),IFERROR(INDEX(Daily!$B$3:$B$252,MATCH($B172,Daily!$A$3:$A$252,0)),""),0))</f>
        <v/>
      </c>
      <c r="F172">
        <f>IF($B172="","",IF(ISNUMBER(IFERROR(INDEX(Daily!$Y$3:$Y$252,MATCH($B172,Daily!$A$3:$A$252,0)),"")),IFERROR(INDEX(Daily!$Y$3:$Y$252,MATCH($B172,Daily!$A$3:$A$252,0)),""),""))</f>
        <v/>
      </c>
      <c r="G172">
        <f>IF($B172="","",IF(ISNUMBER(IFERROR(INDEX(Daily!$AJ$3:$AJ$252,MATCH($B172,Daily!$A$3:$A$252,0)),"")),IFERROR(INDEX(Daily!$AJ$3:$AJ$252,MATCH($B172,Daily!$A$3:$A$252,0)),""),""))</f>
        <v/>
      </c>
      <c r="H172">
        <f>IF($B172="","",IF(ISNUMBER(IFERROR(INDEX(Daily!$Z$3:$Z$252,MATCH($B172,Daily!$A$3:$A$252,0)),"")),IFERROR(INDEX(Daily!$Z$3:$Z$252,MATCH($B172,Daily!$A$3:$A$252,0)),""),""))</f>
        <v/>
      </c>
      <c r="I172">
        <f>IF($B172="","",IF(ISNUMBER(IFERROR(INDEX(Daily!$AK$3:$AK$252,MATCH($B172,Daily!$A$3:$A$252,0)),"")),IFERROR(INDEX(Daily!$AK$3:$AK$252,MATCH($B172,Daily!$A$3:$A$252,0)),""),""))</f>
        <v/>
      </c>
      <c r="J172">
        <f>IF($B172="","",IF(AND(ISNUMBER(MDS),ISNUMBER(MDE)),IF(AND($B172&gt;=MDS,$B172&lt;=MDE),24,""),""))</f>
        <v/>
      </c>
      <c r="K172">
        <f>IF($B172="","",IF(AND(ISNUMBER(PitanS),ISNUMBER(PitanE)),IF(AND($B172&gt;=PitanS,$B172&lt;=PitanE),26,""),""))</f>
        <v/>
      </c>
      <c r="L172">
        <f>IF($B172="","",IF(AND(ISNUMBER(C1S),ISNUMBER(C3E)),IF(AND($B172&gt;=C1S,$B172&lt;=C3E),22,""),""))</f>
        <v/>
      </c>
    </row>
    <row r="173">
      <c r="A173" t="n">
        <v>172</v>
      </c>
      <c r="B173" s="30">
        <f>IFERROR(SMALL(Daily!$A$3:$A$252,A173),"")</f>
        <v/>
      </c>
      <c r="C173">
        <f>IF($B173="","",IF(ISNUMBER(IFERROR(INDEX(Daily!$T$3:$T$252,MATCH($B173,Daily!$A$3:$A$252,0)),"")),IFERROR(INDEX(Daily!$T$3:$T$252,MATCH($B173,Daily!$A$3:$A$252,0)),""),""))</f>
        <v/>
      </c>
      <c r="D173">
        <f>IF($B173="","",IF(ISNUMBER(IFERROR(INDEX(Daily!$AE$3:$AE$252,MATCH($B173,Daily!$A$3:$A$252,0)),"")),IFERROR(INDEX(Daily!$AE$3:$AE$252,MATCH($B173,Daily!$A$3:$A$252,0)),""),""))</f>
        <v/>
      </c>
      <c r="E173">
        <f>IF($B173="","",IF(ISNUMBER(IFERROR(INDEX(Daily!$B$3:$B$252,MATCH($B173,Daily!$A$3:$A$252,0)),"")),IFERROR(INDEX(Daily!$B$3:$B$252,MATCH($B173,Daily!$A$3:$A$252,0)),""),0))</f>
        <v/>
      </c>
      <c r="F173">
        <f>IF($B173="","",IF(ISNUMBER(IFERROR(INDEX(Daily!$Y$3:$Y$252,MATCH($B173,Daily!$A$3:$A$252,0)),"")),IFERROR(INDEX(Daily!$Y$3:$Y$252,MATCH($B173,Daily!$A$3:$A$252,0)),""),""))</f>
        <v/>
      </c>
      <c r="G173">
        <f>IF($B173="","",IF(ISNUMBER(IFERROR(INDEX(Daily!$AJ$3:$AJ$252,MATCH($B173,Daily!$A$3:$A$252,0)),"")),IFERROR(INDEX(Daily!$AJ$3:$AJ$252,MATCH($B173,Daily!$A$3:$A$252,0)),""),""))</f>
        <v/>
      </c>
      <c r="H173">
        <f>IF($B173="","",IF(ISNUMBER(IFERROR(INDEX(Daily!$Z$3:$Z$252,MATCH($B173,Daily!$A$3:$A$252,0)),"")),IFERROR(INDEX(Daily!$Z$3:$Z$252,MATCH($B173,Daily!$A$3:$A$252,0)),""),""))</f>
        <v/>
      </c>
      <c r="I173">
        <f>IF($B173="","",IF(ISNUMBER(IFERROR(INDEX(Daily!$AK$3:$AK$252,MATCH($B173,Daily!$A$3:$A$252,0)),"")),IFERROR(INDEX(Daily!$AK$3:$AK$252,MATCH($B173,Daily!$A$3:$A$252,0)),""),""))</f>
        <v/>
      </c>
      <c r="J173">
        <f>IF($B173="","",IF(AND(ISNUMBER(MDS),ISNUMBER(MDE)),IF(AND($B173&gt;=MDS,$B173&lt;=MDE),24,""),""))</f>
        <v/>
      </c>
      <c r="K173">
        <f>IF($B173="","",IF(AND(ISNUMBER(PitanS),ISNUMBER(PitanE)),IF(AND($B173&gt;=PitanS,$B173&lt;=PitanE),26,""),""))</f>
        <v/>
      </c>
      <c r="L173">
        <f>IF($B173="","",IF(AND(ISNUMBER(C1S),ISNUMBER(C3E)),IF(AND($B173&gt;=C1S,$B173&lt;=C3E),22,""),""))</f>
        <v/>
      </c>
    </row>
    <row r="174">
      <c r="A174" t="n">
        <v>173</v>
      </c>
      <c r="B174" s="30">
        <f>IFERROR(SMALL(Daily!$A$3:$A$252,A174),"")</f>
        <v/>
      </c>
      <c r="C174">
        <f>IF($B174="","",IF(ISNUMBER(IFERROR(INDEX(Daily!$T$3:$T$252,MATCH($B174,Daily!$A$3:$A$252,0)),"")),IFERROR(INDEX(Daily!$T$3:$T$252,MATCH($B174,Daily!$A$3:$A$252,0)),""),""))</f>
        <v/>
      </c>
      <c r="D174">
        <f>IF($B174="","",IF(ISNUMBER(IFERROR(INDEX(Daily!$AE$3:$AE$252,MATCH($B174,Daily!$A$3:$A$252,0)),"")),IFERROR(INDEX(Daily!$AE$3:$AE$252,MATCH($B174,Daily!$A$3:$A$252,0)),""),""))</f>
        <v/>
      </c>
      <c r="E174">
        <f>IF($B174="","",IF(ISNUMBER(IFERROR(INDEX(Daily!$B$3:$B$252,MATCH($B174,Daily!$A$3:$A$252,0)),"")),IFERROR(INDEX(Daily!$B$3:$B$252,MATCH($B174,Daily!$A$3:$A$252,0)),""),0))</f>
        <v/>
      </c>
      <c r="F174">
        <f>IF($B174="","",IF(ISNUMBER(IFERROR(INDEX(Daily!$Y$3:$Y$252,MATCH($B174,Daily!$A$3:$A$252,0)),"")),IFERROR(INDEX(Daily!$Y$3:$Y$252,MATCH($B174,Daily!$A$3:$A$252,0)),""),""))</f>
        <v/>
      </c>
      <c r="G174">
        <f>IF($B174="","",IF(ISNUMBER(IFERROR(INDEX(Daily!$AJ$3:$AJ$252,MATCH($B174,Daily!$A$3:$A$252,0)),"")),IFERROR(INDEX(Daily!$AJ$3:$AJ$252,MATCH($B174,Daily!$A$3:$A$252,0)),""),""))</f>
        <v/>
      </c>
      <c r="H174">
        <f>IF($B174="","",IF(ISNUMBER(IFERROR(INDEX(Daily!$Z$3:$Z$252,MATCH($B174,Daily!$A$3:$A$252,0)),"")),IFERROR(INDEX(Daily!$Z$3:$Z$252,MATCH($B174,Daily!$A$3:$A$252,0)),""),""))</f>
        <v/>
      </c>
      <c r="I174">
        <f>IF($B174="","",IF(ISNUMBER(IFERROR(INDEX(Daily!$AK$3:$AK$252,MATCH($B174,Daily!$A$3:$A$252,0)),"")),IFERROR(INDEX(Daily!$AK$3:$AK$252,MATCH($B174,Daily!$A$3:$A$252,0)),""),""))</f>
        <v/>
      </c>
      <c r="J174">
        <f>IF($B174="","",IF(AND(ISNUMBER(MDS),ISNUMBER(MDE)),IF(AND($B174&gt;=MDS,$B174&lt;=MDE),24,""),""))</f>
        <v/>
      </c>
      <c r="K174">
        <f>IF($B174="","",IF(AND(ISNUMBER(PitanS),ISNUMBER(PitanE)),IF(AND($B174&gt;=PitanS,$B174&lt;=PitanE),26,""),""))</f>
        <v/>
      </c>
      <c r="L174">
        <f>IF($B174="","",IF(AND(ISNUMBER(C1S),ISNUMBER(C3E)),IF(AND($B174&gt;=C1S,$B174&lt;=C3E),22,""),""))</f>
        <v/>
      </c>
    </row>
    <row r="175">
      <c r="A175" t="n">
        <v>174</v>
      </c>
      <c r="B175" s="30">
        <f>IFERROR(SMALL(Daily!$A$3:$A$252,A175),"")</f>
        <v/>
      </c>
      <c r="C175">
        <f>IF($B175="","",IF(ISNUMBER(IFERROR(INDEX(Daily!$T$3:$T$252,MATCH($B175,Daily!$A$3:$A$252,0)),"")),IFERROR(INDEX(Daily!$T$3:$T$252,MATCH($B175,Daily!$A$3:$A$252,0)),""),""))</f>
        <v/>
      </c>
      <c r="D175">
        <f>IF($B175="","",IF(ISNUMBER(IFERROR(INDEX(Daily!$AE$3:$AE$252,MATCH($B175,Daily!$A$3:$A$252,0)),"")),IFERROR(INDEX(Daily!$AE$3:$AE$252,MATCH($B175,Daily!$A$3:$A$252,0)),""),""))</f>
        <v/>
      </c>
      <c r="E175">
        <f>IF($B175="","",IF(ISNUMBER(IFERROR(INDEX(Daily!$B$3:$B$252,MATCH($B175,Daily!$A$3:$A$252,0)),"")),IFERROR(INDEX(Daily!$B$3:$B$252,MATCH($B175,Daily!$A$3:$A$252,0)),""),0))</f>
        <v/>
      </c>
      <c r="F175">
        <f>IF($B175="","",IF(ISNUMBER(IFERROR(INDEX(Daily!$Y$3:$Y$252,MATCH($B175,Daily!$A$3:$A$252,0)),"")),IFERROR(INDEX(Daily!$Y$3:$Y$252,MATCH($B175,Daily!$A$3:$A$252,0)),""),""))</f>
        <v/>
      </c>
      <c r="G175">
        <f>IF($B175="","",IF(ISNUMBER(IFERROR(INDEX(Daily!$AJ$3:$AJ$252,MATCH($B175,Daily!$A$3:$A$252,0)),"")),IFERROR(INDEX(Daily!$AJ$3:$AJ$252,MATCH($B175,Daily!$A$3:$A$252,0)),""),""))</f>
        <v/>
      </c>
      <c r="H175">
        <f>IF($B175="","",IF(ISNUMBER(IFERROR(INDEX(Daily!$Z$3:$Z$252,MATCH($B175,Daily!$A$3:$A$252,0)),"")),IFERROR(INDEX(Daily!$Z$3:$Z$252,MATCH($B175,Daily!$A$3:$A$252,0)),""),""))</f>
        <v/>
      </c>
      <c r="I175">
        <f>IF($B175="","",IF(ISNUMBER(IFERROR(INDEX(Daily!$AK$3:$AK$252,MATCH($B175,Daily!$A$3:$A$252,0)),"")),IFERROR(INDEX(Daily!$AK$3:$AK$252,MATCH($B175,Daily!$A$3:$A$252,0)),""),""))</f>
        <v/>
      </c>
      <c r="J175">
        <f>IF($B175="","",IF(AND(ISNUMBER(MDS),ISNUMBER(MDE)),IF(AND($B175&gt;=MDS,$B175&lt;=MDE),24,""),""))</f>
        <v/>
      </c>
      <c r="K175">
        <f>IF($B175="","",IF(AND(ISNUMBER(PitanS),ISNUMBER(PitanE)),IF(AND($B175&gt;=PitanS,$B175&lt;=PitanE),26,""),""))</f>
        <v/>
      </c>
      <c r="L175">
        <f>IF($B175="","",IF(AND(ISNUMBER(C1S),ISNUMBER(C3E)),IF(AND($B175&gt;=C1S,$B175&lt;=C3E),22,""),""))</f>
        <v/>
      </c>
    </row>
    <row r="176">
      <c r="A176" t="n">
        <v>175</v>
      </c>
      <c r="B176" s="30">
        <f>IFERROR(SMALL(Daily!$A$3:$A$252,A176),"")</f>
        <v/>
      </c>
      <c r="C176">
        <f>IF($B176="","",IF(ISNUMBER(IFERROR(INDEX(Daily!$T$3:$T$252,MATCH($B176,Daily!$A$3:$A$252,0)),"")),IFERROR(INDEX(Daily!$T$3:$T$252,MATCH($B176,Daily!$A$3:$A$252,0)),""),""))</f>
        <v/>
      </c>
      <c r="D176">
        <f>IF($B176="","",IF(ISNUMBER(IFERROR(INDEX(Daily!$AE$3:$AE$252,MATCH($B176,Daily!$A$3:$A$252,0)),"")),IFERROR(INDEX(Daily!$AE$3:$AE$252,MATCH($B176,Daily!$A$3:$A$252,0)),""),""))</f>
        <v/>
      </c>
      <c r="E176">
        <f>IF($B176="","",IF(ISNUMBER(IFERROR(INDEX(Daily!$B$3:$B$252,MATCH($B176,Daily!$A$3:$A$252,0)),"")),IFERROR(INDEX(Daily!$B$3:$B$252,MATCH($B176,Daily!$A$3:$A$252,0)),""),0))</f>
        <v/>
      </c>
      <c r="F176">
        <f>IF($B176="","",IF(ISNUMBER(IFERROR(INDEX(Daily!$Y$3:$Y$252,MATCH($B176,Daily!$A$3:$A$252,0)),"")),IFERROR(INDEX(Daily!$Y$3:$Y$252,MATCH($B176,Daily!$A$3:$A$252,0)),""),""))</f>
        <v/>
      </c>
      <c r="G176">
        <f>IF($B176="","",IF(ISNUMBER(IFERROR(INDEX(Daily!$AJ$3:$AJ$252,MATCH($B176,Daily!$A$3:$A$252,0)),"")),IFERROR(INDEX(Daily!$AJ$3:$AJ$252,MATCH($B176,Daily!$A$3:$A$252,0)),""),""))</f>
        <v/>
      </c>
      <c r="H176">
        <f>IF($B176="","",IF(ISNUMBER(IFERROR(INDEX(Daily!$Z$3:$Z$252,MATCH($B176,Daily!$A$3:$A$252,0)),"")),IFERROR(INDEX(Daily!$Z$3:$Z$252,MATCH($B176,Daily!$A$3:$A$252,0)),""),""))</f>
        <v/>
      </c>
      <c r="I176">
        <f>IF($B176="","",IF(ISNUMBER(IFERROR(INDEX(Daily!$AK$3:$AK$252,MATCH($B176,Daily!$A$3:$A$252,0)),"")),IFERROR(INDEX(Daily!$AK$3:$AK$252,MATCH($B176,Daily!$A$3:$A$252,0)),""),""))</f>
        <v/>
      </c>
      <c r="J176">
        <f>IF($B176="","",IF(AND(ISNUMBER(MDS),ISNUMBER(MDE)),IF(AND($B176&gt;=MDS,$B176&lt;=MDE),24,""),""))</f>
        <v/>
      </c>
      <c r="K176">
        <f>IF($B176="","",IF(AND(ISNUMBER(PitanS),ISNUMBER(PitanE)),IF(AND($B176&gt;=PitanS,$B176&lt;=PitanE),26,""),""))</f>
        <v/>
      </c>
      <c r="L176">
        <f>IF($B176="","",IF(AND(ISNUMBER(C1S),ISNUMBER(C3E)),IF(AND($B176&gt;=C1S,$B176&lt;=C3E),22,""),""))</f>
        <v/>
      </c>
    </row>
    <row r="177">
      <c r="A177" t="n">
        <v>176</v>
      </c>
      <c r="B177" s="30">
        <f>IFERROR(SMALL(Daily!$A$3:$A$252,A177),"")</f>
        <v/>
      </c>
      <c r="C177">
        <f>IF($B177="","",IF(ISNUMBER(IFERROR(INDEX(Daily!$T$3:$T$252,MATCH($B177,Daily!$A$3:$A$252,0)),"")),IFERROR(INDEX(Daily!$T$3:$T$252,MATCH($B177,Daily!$A$3:$A$252,0)),""),""))</f>
        <v/>
      </c>
      <c r="D177">
        <f>IF($B177="","",IF(ISNUMBER(IFERROR(INDEX(Daily!$AE$3:$AE$252,MATCH($B177,Daily!$A$3:$A$252,0)),"")),IFERROR(INDEX(Daily!$AE$3:$AE$252,MATCH($B177,Daily!$A$3:$A$252,0)),""),""))</f>
        <v/>
      </c>
      <c r="E177">
        <f>IF($B177="","",IF(ISNUMBER(IFERROR(INDEX(Daily!$B$3:$B$252,MATCH($B177,Daily!$A$3:$A$252,0)),"")),IFERROR(INDEX(Daily!$B$3:$B$252,MATCH($B177,Daily!$A$3:$A$252,0)),""),0))</f>
        <v/>
      </c>
      <c r="F177">
        <f>IF($B177="","",IF(ISNUMBER(IFERROR(INDEX(Daily!$Y$3:$Y$252,MATCH($B177,Daily!$A$3:$A$252,0)),"")),IFERROR(INDEX(Daily!$Y$3:$Y$252,MATCH($B177,Daily!$A$3:$A$252,0)),""),""))</f>
        <v/>
      </c>
      <c r="G177">
        <f>IF($B177="","",IF(ISNUMBER(IFERROR(INDEX(Daily!$AJ$3:$AJ$252,MATCH($B177,Daily!$A$3:$A$252,0)),"")),IFERROR(INDEX(Daily!$AJ$3:$AJ$252,MATCH($B177,Daily!$A$3:$A$252,0)),""),""))</f>
        <v/>
      </c>
      <c r="H177">
        <f>IF($B177="","",IF(ISNUMBER(IFERROR(INDEX(Daily!$Z$3:$Z$252,MATCH($B177,Daily!$A$3:$A$252,0)),"")),IFERROR(INDEX(Daily!$Z$3:$Z$252,MATCH($B177,Daily!$A$3:$A$252,0)),""),""))</f>
        <v/>
      </c>
      <c r="I177">
        <f>IF($B177="","",IF(ISNUMBER(IFERROR(INDEX(Daily!$AK$3:$AK$252,MATCH($B177,Daily!$A$3:$A$252,0)),"")),IFERROR(INDEX(Daily!$AK$3:$AK$252,MATCH($B177,Daily!$A$3:$A$252,0)),""),""))</f>
        <v/>
      </c>
      <c r="J177">
        <f>IF($B177="","",IF(AND(ISNUMBER(MDS),ISNUMBER(MDE)),IF(AND($B177&gt;=MDS,$B177&lt;=MDE),24,""),""))</f>
        <v/>
      </c>
      <c r="K177">
        <f>IF($B177="","",IF(AND(ISNUMBER(PitanS),ISNUMBER(PitanE)),IF(AND($B177&gt;=PitanS,$B177&lt;=PitanE),26,""),""))</f>
        <v/>
      </c>
      <c r="L177">
        <f>IF($B177="","",IF(AND(ISNUMBER(C1S),ISNUMBER(C3E)),IF(AND($B177&gt;=C1S,$B177&lt;=C3E),22,""),""))</f>
        <v/>
      </c>
    </row>
    <row r="178">
      <c r="A178" t="n">
        <v>177</v>
      </c>
      <c r="B178" s="30">
        <f>IFERROR(SMALL(Daily!$A$3:$A$252,A178),"")</f>
        <v/>
      </c>
      <c r="C178">
        <f>IF($B178="","",IF(ISNUMBER(IFERROR(INDEX(Daily!$T$3:$T$252,MATCH($B178,Daily!$A$3:$A$252,0)),"")),IFERROR(INDEX(Daily!$T$3:$T$252,MATCH($B178,Daily!$A$3:$A$252,0)),""),""))</f>
        <v/>
      </c>
      <c r="D178">
        <f>IF($B178="","",IF(ISNUMBER(IFERROR(INDEX(Daily!$AE$3:$AE$252,MATCH($B178,Daily!$A$3:$A$252,0)),"")),IFERROR(INDEX(Daily!$AE$3:$AE$252,MATCH($B178,Daily!$A$3:$A$252,0)),""),""))</f>
        <v/>
      </c>
      <c r="E178">
        <f>IF($B178="","",IF(ISNUMBER(IFERROR(INDEX(Daily!$B$3:$B$252,MATCH($B178,Daily!$A$3:$A$252,0)),"")),IFERROR(INDEX(Daily!$B$3:$B$252,MATCH($B178,Daily!$A$3:$A$252,0)),""),0))</f>
        <v/>
      </c>
      <c r="F178">
        <f>IF($B178="","",IF(ISNUMBER(IFERROR(INDEX(Daily!$Y$3:$Y$252,MATCH($B178,Daily!$A$3:$A$252,0)),"")),IFERROR(INDEX(Daily!$Y$3:$Y$252,MATCH($B178,Daily!$A$3:$A$252,0)),""),""))</f>
        <v/>
      </c>
      <c r="G178">
        <f>IF($B178="","",IF(ISNUMBER(IFERROR(INDEX(Daily!$AJ$3:$AJ$252,MATCH($B178,Daily!$A$3:$A$252,0)),"")),IFERROR(INDEX(Daily!$AJ$3:$AJ$252,MATCH($B178,Daily!$A$3:$A$252,0)),""),""))</f>
        <v/>
      </c>
      <c r="H178">
        <f>IF($B178="","",IF(ISNUMBER(IFERROR(INDEX(Daily!$Z$3:$Z$252,MATCH($B178,Daily!$A$3:$A$252,0)),"")),IFERROR(INDEX(Daily!$Z$3:$Z$252,MATCH($B178,Daily!$A$3:$A$252,0)),""),""))</f>
        <v/>
      </c>
      <c r="I178">
        <f>IF($B178="","",IF(ISNUMBER(IFERROR(INDEX(Daily!$AK$3:$AK$252,MATCH($B178,Daily!$A$3:$A$252,0)),"")),IFERROR(INDEX(Daily!$AK$3:$AK$252,MATCH($B178,Daily!$A$3:$A$252,0)),""),""))</f>
        <v/>
      </c>
      <c r="J178">
        <f>IF($B178="","",IF(AND(ISNUMBER(MDS),ISNUMBER(MDE)),IF(AND($B178&gt;=MDS,$B178&lt;=MDE),24,""),""))</f>
        <v/>
      </c>
      <c r="K178">
        <f>IF($B178="","",IF(AND(ISNUMBER(PitanS),ISNUMBER(PitanE)),IF(AND($B178&gt;=PitanS,$B178&lt;=PitanE),26,""),""))</f>
        <v/>
      </c>
      <c r="L178">
        <f>IF($B178="","",IF(AND(ISNUMBER(C1S),ISNUMBER(C3E)),IF(AND($B178&gt;=C1S,$B178&lt;=C3E),22,""),""))</f>
        <v/>
      </c>
    </row>
    <row r="179">
      <c r="A179" t="n">
        <v>178</v>
      </c>
      <c r="B179" s="30">
        <f>IFERROR(SMALL(Daily!$A$3:$A$252,A179),"")</f>
        <v/>
      </c>
      <c r="C179">
        <f>IF($B179="","",IF(ISNUMBER(IFERROR(INDEX(Daily!$T$3:$T$252,MATCH($B179,Daily!$A$3:$A$252,0)),"")),IFERROR(INDEX(Daily!$T$3:$T$252,MATCH($B179,Daily!$A$3:$A$252,0)),""),""))</f>
        <v/>
      </c>
      <c r="D179">
        <f>IF($B179="","",IF(ISNUMBER(IFERROR(INDEX(Daily!$AE$3:$AE$252,MATCH($B179,Daily!$A$3:$A$252,0)),"")),IFERROR(INDEX(Daily!$AE$3:$AE$252,MATCH($B179,Daily!$A$3:$A$252,0)),""),""))</f>
        <v/>
      </c>
      <c r="E179">
        <f>IF($B179="","",IF(ISNUMBER(IFERROR(INDEX(Daily!$B$3:$B$252,MATCH($B179,Daily!$A$3:$A$252,0)),"")),IFERROR(INDEX(Daily!$B$3:$B$252,MATCH($B179,Daily!$A$3:$A$252,0)),""),0))</f>
        <v/>
      </c>
      <c r="F179">
        <f>IF($B179="","",IF(ISNUMBER(IFERROR(INDEX(Daily!$Y$3:$Y$252,MATCH($B179,Daily!$A$3:$A$252,0)),"")),IFERROR(INDEX(Daily!$Y$3:$Y$252,MATCH($B179,Daily!$A$3:$A$252,0)),""),""))</f>
        <v/>
      </c>
      <c r="G179">
        <f>IF($B179="","",IF(ISNUMBER(IFERROR(INDEX(Daily!$AJ$3:$AJ$252,MATCH($B179,Daily!$A$3:$A$252,0)),"")),IFERROR(INDEX(Daily!$AJ$3:$AJ$252,MATCH($B179,Daily!$A$3:$A$252,0)),""),""))</f>
        <v/>
      </c>
      <c r="H179">
        <f>IF($B179="","",IF(ISNUMBER(IFERROR(INDEX(Daily!$Z$3:$Z$252,MATCH($B179,Daily!$A$3:$A$252,0)),"")),IFERROR(INDEX(Daily!$Z$3:$Z$252,MATCH($B179,Daily!$A$3:$A$252,0)),""),""))</f>
        <v/>
      </c>
      <c r="I179">
        <f>IF($B179="","",IF(ISNUMBER(IFERROR(INDEX(Daily!$AK$3:$AK$252,MATCH($B179,Daily!$A$3:$A$252,0)),"")),IFERROR(INDEX(Daily!$AK$3:$AK$252,MATCH($B179,Daily!$A$3:$A$252,0)),""),""))</f>
        <v/>
      </c>
      <c r="J179">
        <f>IF($B179="","",IF(AND(ISNUMBER(MDS),ISNUMBER(MDE)),IF(AND($B179&gt;=MDS,$B179&lt;=MDE),24,""),""))</f>
        <v/>
      </c>
      <c r="K179">
        <f>IF($B179="","",IF(AND(ISNUMBER(PitanS),ISNUMBER(PitanE)),IF(AND($B179&gt;=PitanS,$B179&lt;=PitanE),26,""),""))</f>
        <v/>
      </c>
      <c r="L179">
        <f>IF($B179="","",IF(AND(ISNUMBER(C1S),ISNUMBER(C3E)),IF(AND($B179&gt;=C1S,$B179&lt;=C3E),22,""),""))</f>
        <v/>
      </c>
    </row>
    <row r="180">
      <c r="A180" t="n">
        <v>179</v>
      </c>
      <c r="B180" s="30">
        <f>IFERROR(SMALL(Daily!$A$3:$A$252,A180),"")</f>
        <v/>
      </c>
      <c r="C180">
        <f>IF($B180="","",IF(ISNUMBER(IFERROR(INDEX(Daily!$T$3:$T$252,MATCH($B180,Daily!$A$3:$A$252,0)),"")),IFERROR(INDEX(Daily!$T$3:$T$252,MATCH($B180,Daily!$A$3:$A$252,0)),""),""))</f>
        <v/>
      </c>
      <c r="D180">
        <f>IF($B180="","",IF(ISNUMBER(IFERROR(INDEX(Daily!$AE$3:$AE$252,MATCH($B180,Daily!$A$3:$A$252,0)),"")),IFERROR(INDEX(Daily!$AE$3:$AE$252,MATCH($B180,Daily!$A$3:$A$252,0)),""),""))</f>
        <v/>
      </c>
      <c r="E180">
        <f>IF($B180="","",IF(ISNUMBER(IFERROR(INDEX(Daily!$B$3:$B$252,MATCH($B180,Daily!$A$3:$A$252,0)),"")),IFERROR(INDEX(Daily!$B$3:$B$252,MATCH($B180,Daily!$A$3:$A$252,0)),""),0))</f>
        <v/>
      </c>
      <c r="F180">
        <f>IF($B180="","",IF(ISNUMBER(IFERROR(INDEX(Daily!$Y$3:$Y$252,MATCH($B180,Daily!$A$3:$A$252,0)),"")),IFERROR(INDEX(Daily!$Y$3:$Y$252,MATCH($B180,Daily!$A$3:$A$252,0)),""),""))</f>
        <v/>
      </c>
      <c r="G180">
        <f>IF($B180="","",IF(ISNUMBER(IFERROR(INDEX(Daily!$AJ$3:$AJ$252,MATCH($B180,Daily!$A$3:$A$252,0)),"")),IFERROR(INDEX(Daily!$AJ$3:$AJ$252,MATCH($B180,Daily!$A$3:$A$252,0)),""),""))</f>
        <v/>
      </c>
      <c r="H180">
        <f>IF($B180="","",IF(ISNUMBER(IFERROR(INDEX(Daily!$Z$3:$Z$252,MATCH($B180,Daily!$A$3:$A$252,0)),"")),IFERROR(INDEX(Daily!$Z$3:$Z$252,MATCH($B180,Daily!$A$3:$A$252,0)),""),""))</f>
        <v/>
      </c>
      <c r="I180">
        <f>IF($B180="","",IF(ISNUMBER(IFERROR(INDEX(Daily!$AK$3:$AK$252,MATCH($B180,Daily!$A$3:$A$252,0)),"")),IFERROR(INDEX(Daily!$AK$3:$AK$252,MATCH($B180,Daily!$A$3:$A$252,0)),""),""))</f>
        <v/>
      </c>
      <c r="J180">
        <f>IF($B180="","",IF(AND(ISNUMBER(MDS),ISNUMBER(MDE)),IF(AND($B180&gt;=MDS,$B180&lt;=MDE),24,""),""))</f>
        <v/>
      </c>
      <c r="K180">
        <f>IF($B180="","",IF(AND(ISNUMBER(PitanS),ISNUMBER(PitanE)),IF(AND($B180&gt;=PitanS,$B180&lt;=PitanE),26,""),""))</f>
        <v/>
      </c>
      <c r="L180">
        <f>IF($B180="","",IF(AND(ISNUMBER(C1S),ISNUMBER(C3E)),IF(AND($B180&gt;=C1S,$B180&lt;=C3E),22,""),""))</f>
        <v/>
      </c>
    </row>
    <row r="181">
      <c r="A181" t="n">
        <v>180</v>
      </c>
      <c r="B181" s="30">
        <f>IFERROR(SMALL(Daily!$A$3:$A$252,A181),"")</f>
        <v/>
      </c>
      <c r="C181">
        <f>IF($B181="","",IF(ISNUMBER(IFERROR(INDEX(Daily!$T$3:$T$252,MATCH($B181,Daily!$A$3:$A$252,0)),"")),IFERROR(INDEX(Daily!$T$3:$T$252,MATCH($B181,Daily!$A$3:$A$252,0)),""),""))</f>
        <v/>
      </c>
      <c r="D181">
        <f>IF($B181="","",IF(ISNUMBER(IFERROR(INDEX(Daily!$AE$3:$AE$252,MATCH($B181,Daily!$A$3:$A$252,0)),"")),IFERROR(INDEX(Daily!$AE$3:$AE$252,MATCH($B181,Daily!$A$3:$A$252,0)),""),""))</f>
        <v/>
      </c>
      <c r="E181">
        <f>IF($B181="","",IF(ISNUMBER(IFERROR(INDEX(Daily!$B$3:$B$252,MATCH($B181,Daily!$A$3:$A$252,0)),"")),IFERROR(INDEX(Daily!$B$3:$B$252,MATCH($B181,Daily!$A$3:$A$252,0)),""),0))</f>
        <v/>
      </c>
      <c r="F181">
        <f>IF($B181="","",IF(ISNUMBER(IFERROR(INDEX(Daily!$Y$3:$Y$252,MATCH($B181,Daily!$A$3:$A$252,0)),"")),IFERROR(INDEX(Daily!$Y$3:$Y$252,MATCH($B181,Daily!$A$3:$A$252,0)),""),""))</f>
        <v/>
      </c>
      <c r="G181">
        <f>IF($B181="","",IF(ISNUMBER(IFERROR(INDEX(Daily!$AJ$3:$AJ$252,MATCH($B181,Daily!$A$3:$A$252,0)),"")),IFERROR(INDEX(Daily!$AJ$3:$AJ$252,MATCH($B181,Daily!$A$3:$A$252,0)),""),""))</f>
        <v/>
      </c>
      <c r="H181">
        <f>IF($B181="","",IF(ISNUMBER(IFERROR(INDEX(Daily!$Z$3:$Z$252,MATCH($B181,Daily!$A$3:$A$252,0)),"")),IFERROR(INDEX(Daily!$Z$3:$Z$252,MATCH($B181,Daily!$A$3:$A$252,0)),""),""))</f>
        <v/>
      </c>
      <c r="I181">
        <f>IF($B181="","",IF(ISNUMBER(IFERROR(INDEX(Daily!$AK$3:$AK$252,MATCH($B181,Daily!$A$3:$A$252,0)),"")),IFERROR(INDEX(Daily!$AK$3:$AK$252,MATCH($B181,Daily!$A$3:$A$252,0)),""),""))</f>
        <v/>
      </c>
      <c r="J181">
        <f>IF($B181="","",IF(AND(ISNUMBER(MDS),ISNUMBER(MDE)),IF(AND($B181&gt;=MDS,$B181&lt;=MDE),24,""),""))</f>
        <v/>
      </c>
      <c r="K181">
        <f>IF($B181="","",IF(AND(ISNUMBER(PitanS),ISNUMBER(PitanE)),IF(AND($B181&gt;=PitanS,$B181&lt;=PitanE),26,""),""))</f>
        <v/>
      </c>
      <c r="L181">
        <f>IF($B181="","",IF(AND(ISNUMBER(C1S),ISNUMBER(C3E)),IF(AND($B181&gt;=C1S,$B181&lt;=C3E),22,""),""))</f>
        <v/>
      </c>
    </row>
    <row r="182">
      <c r="A182" t="n">
        <v>181</v>
      </c>
      <c r="B182" s="30">
        <f>IFERROR(SMALL(Daily!$A$3:$A$252,A182),"")</f>
        <v/>
      </c>
      <c r="C182">
        <f>IF($B182="","",IF(ISNUMBER(IFERROR(INDEX(Daily!$T$3:$T$252,MATCH($B182,Daily!$A$3:$A$252,0)),"")),IFERROR(INDEX(Daily!$T$3:$T$252,MATCH($B182,Daily!$A$3:$A$252,0)),""),""))</f>
        <v/>
      </c>
      <c r="D182">
        <f>IF($B182="","",IF(ISNUMBER(IFERROR(INDEX(Daily!$AE$3:$AE$252,MATCH($B182,Daily!$A$3:$A$252,0)),"")),IFERROR(INDEX(Daily!$AE$3:$AE$252,MATCH($B182,Daily!$A$3:$A$252,0)),""),""))</f>
        <v/>
      </c>
      <c r="E182">
        <f>IF($B182="","",IF(ISNUMBER(IFERROR(INDEX(Daily!$B$3:$B$252,MATCH($B182,Daily!$A$3:$A$252,0)),"")),IFERROR(INDEX(Daily!$B$3:$B$252,MATCH($B182,Daily!$A$3:$A$252,0)),""),0))</f>
        <v/>
      </c>
      <c r="F182">
        <f>IF($B182="","",IF(ISNUMBER(IFERROR(INDEX(Daily!$Y$3:$Y$252,MATCH($B182,Daily!$A$3:$A$252,0)),"")),IFERROR(INDEX(Daily!$Y$3:$Y$252,MATCH($B182,Daily!$A$3:$A$252,0)),""),""))</f>
        <v/>
      </c>
      <c r="G182">
        <f>IF($B182="","",IF(ISNUMBER(IFERROR(INDEX(Daily!$AJ$3:$AJ$252,MATCH($B182,Daily!$A$3:$A$252,0)),"")),IFERROR(INDEX(Daily!$AJ$3:$AJ$252,MATCH($B182,Daily!$A$3:$A$252,0)),""),""))</f>
        <v/>
      </c>
      <c r="H182">
        <f>IF($B182="","",IF(ISNUMBER(IFERROR(INDEX(Daily!$Z$3:$Z$252,MATCH($B182,Daily!$A$3:$A$252,0)),"")),IFERROR(INDEX(Daily!$Z$3:$Z$252,MATCH($B182,Daily!$A$3:$A$252,0)),""),""))</f>
        <v/>
      </c>
      <c r="I182">
        <f>IF($B182="","",IF(ISNUMBER(IFERROR(INDEX(Daily!$AK$3:$AK$252,MATCH($B182,Daily!$A$3:$A$252,0)),"")),IFERROR(INDEX(Daily!$AK$3:$AK$252,MATCH($B182,Daily!$A$3:$A$252,0)),""),""))</f>
        <v/>
      </c>
      <c r="J182">
        <f>IF($B182="","",IF(AND(ISNUMBER(MDS),ISNUMBER(MDE)),IF(AND($B182&gt;=MDS,$B182&lt;=MDE),24,""),""))</f>
        <v/>
      </c>
      <c r="K182">
        <f>IF($B182="","",IF(AND(ISNUMBER(PitanS),ISNUMBER(PitanE)),IF(AND($B182&gt;=PitanS,$B182&lt;=PitanE),26,""),""))</f>
        <v/>
      </c>
      <c r="L182">
        <f>IF($B182="","",IF(AND(ISNUMBER(C1S),ISNUMBER(C3E)),IF(AND($B182&gt;=C1S,$B182&lt;=C3E),22,""),""))</f>
        <v/>
      </c>
    </row>
    <row r="183">
      <c r="A183" t="n">
        <v>182</v>
      </c>
      <c r="B183" s="30">
        <f>IFERROR(SMALL(Daily!$A$3:$A$252,A183),"")</f>
        <v/>
      </c>
      <c r="C183">
        <f>IF($B183="","",IF(ISNUMBER(IFERROR(INDEX(Daily!$T$3:$T$252,MATCH($B183,Daily!$A$3:$A$252,0)),"")),IFERROR(INDEX(Daily!$T$3:$T$252,MATCH($B183,Daily!$A$3:$A$252,0)),""),""))</f>
        <v/>
      </c>
      <c r="D183">
        <f>IF($B183="","",IF(ISNUMBER(IFERROR(INDEX(Daily!$AE$3:$AE$252,MATCH($B183,Daily!$A$3:$A$252,0)),"")),IFERROR(INDEX(Daily!$AE$3:$AE$252,MATCH($B183,Daily!$A$3:$A$252,0)),""),""))</f>
        <v/>
      </c>
      <c r="E183">
        <f>IF($B183="","",IF(ISNUMBER(IFERROR(INDEX(Daily!$B$3:$B$252,MATCH($B183,Daily!$A$3:$A$252,0)),"")),IFERROR(INDEX(Daily!$B$3:$B$252,MATCH($B183,Daily!$A$3:$A$252,0)),""),0))</f>
        <v/>
      </c>
      <c r="F183">
        <f>IF($B183="","",IF(ISNUMBER(IFERROR(INDEX(Daily!$Y$3:$Y$252,MATCH($B183,Daily!$A$3:$A$252,0)),"")),IFERROR(INDEX(Daily!$Y$3:$Y$252,MATCH($B183,Daily!$A$3:$A$252,0)),""),""))</f>
        <v/>
      </c>
      <c r="G183">
        <f>IF($B183="","",IF(ISNUMBER(IFERROR(INDEX(Daily!$AJ$3:$AJ$252,MATCH($B183,Daily!$A$3:$A$252,0)),"")),IFERROR(INDEX(Daily!$AJ$3:$AJ$252,MATCH($B183,Daily!$A$3:$A$252,0)),""),""))</f>
        <v/>
      </c>
      <c r="H183">
        <f>IF($B183="","",IF(ISNUMBER(IFERROR(INDEX(Daily!$Z$3:$Z$252,MATCH($B183,Daily!$A$3:$A$252,0)),"")),IFERROR(INDEX(Daily!$Z$3:$Z$252,MATCH($B183,Daily!$A$3:$A$252,0)),""),""))</f>
        <v/>
      </c>
      <c r="I183">
        <f>IF($B183="","",IF(ISNUMBER(IFERROR(INDEX(Daily!$AK$3:$AK$252,MATCH($B183,Daily!$A$3:$A$252,0)),"")),IFERROR(INDEX(Daily!$AK$3:$AK$252,MATCH($B183,Daily!$A$3:$A$252,0)),""),""))</f>
        <v/>
      </c>
      <c r="J183">
        <f>IF($B183="","",IF(AND(ISNUMBER(MDS),ISNUMBER(MDE)),IF(AND($B183&gt;=MDS,$B183&lt;=MDE),24,""),""))</f>
        <v/>
      </c>
      <c r="K183">
        <f>IF($B183="","",IF(AND(ISNUMBER(PitanS),ISNUMBER(PitanE)),IF(AND($B183&gt;=PitanS,$B183&lt;=PitanE),26,""),""))</f>
        <v/>
      </c>
      <c r="L183">
        <f>IF($B183="","",IF(AND(ISNUMBER(C1S),ISNUMBER(C3E)),IF(AND($B183&gt;=C1S,$B183&lt;=C3E),22,""),""))</f>
        <v/>
      </c>
    </row>
    <row r="184">
      <c r="A184" t="n">
        <v>183</v>
      </c>
      <c r="B184" s="30">
        <f>IFERROR(SMALL(Daily!$A$3:$A$252,A184),"")</f>
        <v/>
      </c>
      <c r="C184">
        <f>IF($B184="","",IF(ISNUMBER(IFERROR(INDEX(Daily!$T$3:$T$252,MATCH($B184,Daily!$A$3:$A$252,0)),"")),IFERROR(INDEX(Daily!$T$3:$T$252,MATCH($B184,Daily!$A$3:$A$252,0)),""),""))</f>
        <v/>
      </c>
      <c r="D184">
        <f>IF($B184="","",IF(ISNUMBER(IFERROR(INDEX(Daily!$AE$3:$AE$252,MATCH($B184,Daily!$A$3:$A$252,0)),"")),IFERROR(INDEX(Daily!$AE$3:$AE$252,MATCH($B184,Daily!$A$3:$A$252,0)),""),""))</f>
        <v/>
      </c>
      <c r="E184">
        <f>IF($B184="","",IF(ISNUMBER(IFERROR(INDEX(Daily!$B$3:$B$252,MATCH($B184,Daily!$A$3:$A$252,0)),"")),IFERROR(INDEX(Daily!$B$3:$B$252,MATCH($B184,Daily!$A$3:$A$252,0)),""),0))</f>
        <v/>
      </c>
      <c r="F184">
        <f>IF($B184="","",IF(ISNUMBER(IFERROR(INDEX(Daily!$Y$3:$Y$252,MATCH($B184,Daily!$A$3:$A$252,0)),"")),IFERROR(INDEX(Daily!$Y$3:$Y$252,MATCH($B184,Daily!$A$3:$A$252,0)),""),""))</f>
        <v/>
      </c>
      <c r="G184">
        <f>IF($B184="","",IF(ISNUMBER(IFERROR(INDEX(Daily!$AJ$3:$AJ$252,MATCH($B184,Daily!$A$3:$A$252,0)),"")),IFERROR(INDEX(Daily!$AJ$3:$AJ$252,MATCH($B184,Daily!$A$3:$A$252,0)),""),""))</f>
        <v/>
      </c>
      <c r="H184">
        <f>IF($B184="","",IF(ISNUMBER(IFERROR(INDEX(Daily!$Z$3:$Z$252,MATCH($B184,Daily!$A$3:$A$252,0)),"")),IFERROR(INDEX(Daily!$Z$3:$Z$252,MATCH($B184,Daily!$A$3:$A$252,0)),""),""))</f>
        <v/>
      </c>
      <c r="I184">
        <f>IF($B184="","",IF(ISNUMBER(IFERROR(INDEX(Daily!$AK$3:$AK$252,MATCH($B184,Daily!$A$3:$A$252,0)),"")),IFERROR(INDEX(Daily!$AK$3:$AK$252,MATCH($B184,Daily!$A$3:$A$252,0)),""),""))</f>
        <v/>
      </c>
      <c r="J184">
        <f>IF($B184="","",IF(AND(ISNUMBER(MDS),ISNUMBER(MDE)),IF(AND($B184&gt;=MDS,$B184&lt;=MDE),24,""),""))</f>
        <v/>
      </c>
      <c r="K184">
        <f>IF($B184="","",IF(AND(ISNUMBER(PitanS),ISNUMBER(PitanE)),IF(AND($B184&gt;=PitanS,$B184&lt;=PitanE),26,""),""))</f>
        <v/>
      </c>
      <c r="L184">
        <f>IF($B184="","",IF(AND(ISNUMBER(C1S),ISNUMBER(C3E)),IF(AND($B184&gt;=C1S,$B184&lt;=C3E),22,""),""))</f>
        <v/>
      </c>
    </row>
    <row r="185">
      <c r="A185" t="n">
        <v>184</v>
      </c>
      <c r="B185" s="30">
        <f>IFERROR(SMALL(Daily!$A$3:$A$252,A185),"")</f>
        <v/>
      </c>
      <c r="C185">
        <f>IF($B185="","",IF(ISNUMBER(IFERROR(INDEX(Daily!$T$3:$T$252,MATCH($B185,Daily!$A$3:$A$252,0)),"")),IFERROR(INDEX(Daily!$T$3:$T$252,MATCH($B185,Daily!$A$3:$A$252,0)),""),""))</f>
        <v/>
      </c>
      <c r="D185">
        <f>IF($B185="","",IF(ISNUMBER(IFERROR(INDEX(Daily!$AE$3:$AE$252,MATCH($B185,Daily!$A$3:$A$252,0)),"")),IFERROR(INDEX(Daily!$AE$3:$AE$252,MATCH($B185,Daily!$A$3:$A$252,0)),""),""))</f>
        <v/>
      </c>
      <c r="E185">
        <f>IF($B185="","",IF(ISNUMBER(IFERROR(INDEX(Daily!$B$3:$B$252,MATCH($B185,Daily!$A$3:$A$252,0)),"")),IFERROR(INDEX(Daily!$B$3:$B$252,MATCH($B185,Daily!$A$3:$A$252,0)),""),0))</f>
        <v/>
      </c>
      <c r="F185">
        <f>IF($B185="","",IF(ISNUMBER(IFERROR(INDEX(Daily!$Y$3:$Y$252,MATCH($B185,Daily!$A$3:$A$252,0)),"")),IFERROR(INDEX(Daily!$Y$3:$Y$252,MATCH($B185,Daily!$A$3:$A$252,0)),""),""))</f>
        <v/>
      </c>
      <c r="G185">
        <f>IF($B185="","",IF(ISNUMBER(IFERROR(INDEX(Daily!$AJ$3:$AJ$252,MATCH($B185,Daily!$A$3:$A$252,0)),"")),IFERROR(INDEX(Daily!$AJ$3:$AJ$252,MATCH($B185,Daily!$A$3:$A$252,0)),""),""))</f>
        <v/>
      </c>
      <c r="H185">
        <f>IF($B185="","",IF(ISNUMBER(IFERROR(INDEX(Daily!$Z$3:$Z$252,MATCH($B185,Daily!$A$3:$A$252,0)),"")),IFERROR(INDEX(Daily!$Z$3:$Z$252,MATCH($B185,Daily!$A$3:$A$252,0)),""),""))</f>
        <v/>
      </c>
      <c r="I185">
        <f>IF($B185="","",IF(ISNUMBER(IFERROR(INDEX(Daily!$AK$3:$AK$252,MATCH($B185,Daily!$A$3:$A$252,0)),"")),IFERROR(INDEX(Daily!$AK$3:$AK$252,MATCH($B185,Daily!$A$3:$A$252,0)),""),""))</f>
        <v/>
      </c>
      <c r="J185">
        <f>IF($B185="","",IF(AND(ISNUMBER(MDS),ISNUMBER(MDE)),IF(AND($B185&gt;=MDS,$B185&lt;=MDE),24,""),""))</f>
        <v/>
      </c>
      <c r="K185">
        <f>IF($B185="","",IF(AND(ISNUMBER(PitanS),ISNUMBER(PitanE)),IF(AND($B185&gt;=PitanS,$B185&lt;=PitanE),26,""),""))</f>
        <v/>
      </c>
      <c r="L185">
        <f>IF($B185="","",IF(AND(ISNUMBER(C1S),ISNUMBER(C3E)),IF(AND($B185&gt;=C1S,$B185&lt;=C3E),22,""),""))</f>
        <v/>
      </c>
    </row>
    <row r="186">
      <c r="A186" t="n">
        <v>185</v>
      </c>
      <c r="B186" s="30">
        <f>IFERROR(SMALL(Daily!$A$3:$A$252,A186),"")</f>
        <v/>
      </c>
      <c r="C186">
        <f>IF($B186="","",IF(ISNUMBER(IFERROR(INDEX(Daily!$T$3:$T$252,MATCH($B186,Daily!$A$3:$A$252,0)),"")),IFERROR(INDEX(Daily!$T$3:$T$252,MATCH($B186,Daily!$A$3:$A$252,0)),""),""))</f>
        <v/>
      </c>
      <c r="D186">
        <f>IF($B186="","",IF(ISNUMBER(IFERROR(INDEX(Daily!$AE$3:$AE$252,MATCH($B186,Daily!$A$3:$A$252,0)),"")),IFERROR(INDEX(Daily!$AE$3:$AE$252,MATCH($B186,Daily!$A$3:$A$252,0)),""),""))</f>
        <v/>
      </c>
      <c r="E186">
        <f>IF($B186="","",IF(ISNUMBER(IFERROR(INDEX(Daily!$B$3:$B$252,MATCH($B186,Daily!$A$3:$A$252,0)),"")),IFERROR(INDEX(Daily!$B$3:$B$252,MATCH($B186,Daily!$A$3:$A$252,0)),""),0))</f>
        <v/>
      </c>
      <c r="F186">
        <f>IF($B186="","",IF(ISNUMBER(IFERROR(INDEX(Daily!$Y$3:$Y$252,MATCH($B186,Daily!$A$3:$A$252,0)),"")),IFERROR(INDEX(Daily!$Y$3:$Y$252,MATCH($B186,Daily!$A$3:$A$252,0)),""),""))</f>
        <v/>
      </c>
      <c r="G186">
        <f>IF($B186="","",IF(ISNUMBER(IFERROR(INDEX(Daily!$AJ$3:$AJ$252,MATCH($B186,Daily!$A$3:$A$252,0)),"")),IFERROR(INDEX(Daily!$AJ$3:$AJ$252,MATCH($B186,Daily!$A$3:$A$252,0)),""),""))</f>
        <v/>
      </c>
      <c r="H186">
        <f>IF($B186="","",IF(ISNUMBER(IFERROR(INDEX(Daily!$Z$3:$Z$252,MATCH($B186,Daily!$A$3:$A$252,0)),"")),IFERROR(INDEX(Daily!$Z$3:$Z$252,MATCH($B186,Daily!$A$3:$A$252,0)),""),""))</f>
        <v/>
      </c>
      <c r="I186">
        <f>IF($B186="","",IF(ISNUMBER(IFERROR(INDEX(Daily!$AK$3:$AK$252,MATCH($B186,Daily!$A$3:$A$252,0)),"")),IFERROR(INDEX(Daily!$AK$3:$AK$252,MATCH($B186,Daily!$A$3:$A$252,0)),""),""))</f>
        <v/>
      </c>
      <c r="J186">
        <f>IF($B186="","",IF(AND(ISNUMBER(MDS),ISNUMBER(MDE)),IF(AND($B186&gt;=MDS,$B186&lt;=MDE),24,""),""))</f>
        <v/>
      </c>
      <c r="K186">
        <f>IF($B186="","",IF(AND(ISNUMBER(PitanS),ISNUMBER(PitanE)),IF(AND($B186&gt;=PitanS,$B186&lt;=PitanE),26,""),""))</f>
        <v/>
      </c>
      <c r="L186">
        <f>IF($B186="","",IF(AND(ISNUMBER(C1S),ISNUMBER(C3E)),IF(AND($B186&gt;=C1S,$B186&lt;=C3E),22,""),""))</f>
        <v/>
      </c>
    </row>
    <row r="187">
      <c r="A187" t="n">
        <v>186</v>
      </c>
      <c r="B187" s="30">
        <f>IFERROR(SMALL(Daily!$A$3:$A$252,A187),"")</f>
        <v/>
      </c>
      <c r="C187">
        <f>IF($B187="","",IF(ISNUMBER(IFERROR(INDEX(Daily!$T$3:$T$252,MATCH($B187,Daily!$A$3:$A$252,0)),"")),IFERROR(INDEX(Daily!$T$3:$T$252,MATCH($B187,Daily!$A$3:$A$252,0)),""),""))</f>
        <v/>
      </c>
      <c r="D187">
        <f>IF($B187="","",IF(ISNUMBER(IFERROR(INDEX(Daily!$AE$3:$AE$252,MATCH($B187,Daily!$A$3:$A$252,0)),"")),IFERROR(INDEX(Daily!$AE$3:$AE$252,MATCH($B187,Daily!$A$3:$A$252,0)),""),""))</f>
        <v/>
      </c>
      <c r="E187">
        <f>IF($B187="","",IF(ISNUMBER(IFERROR(INDEX(Daily!$B$3:$B$252,MATCH($B187,Daily!$A$3:$A$252,0)),"")),IFERROR(INDEX(Daily!$B$3:$B$252,MATCH($B187,Daily!$A$3:$A$252,0)),""),0))</f>
        <v/>
      </c>
      <c r="F187">
        <f>IF($B187="","",IF(ISNUMBER(IFERROR(INDEX(Daily!$Y$3:$Y$252,MATCH($B187,Daily!$A$3:$A$252,0)),"")),IFERROR(INDEX(Daily!$Y$3:$Y$252,MATCH($B187,Daily!$A$3:$A$252,0)),""),""))</f>
        <v/>
      </c>
      <c r="G187">
        <f>IF($B187="","",IF(ISNUMBER(IFERROR(INDEX(Daily!$AJ$3:$AJ$252,MATCH($B187,Daily!$A$3:$A$252,0)),"")),IFERROR(INDEX(Daily!$AJ$3:$AJ$252,MATCH($B187,Daily!$A$3:$A$252,0)),""),""))</f>
        <v/>
      </c>
      <c r="H187">
        <f>IF($B187="","",IF(ISNUMBER(IFERROR(INDEX(Daily!$Z$3:$Z$252,MATCH($B187,Daily!$A$3:$A$252,0)),"")),IFERROR(INDEX(Daily!$Z$3:$Z$252,MATCH($B187,Daily!$A$3:$A$252,0)),""),""))</f>
        <v/>
      </c>
      <c r="I187">
        <f>IF($B187="","",IF(ISNUMBER(IFERROR(INDEX(Daily!$AK$3:$AK$252,MATCH($B187,Daily!$A$3:$A$252,0)),"")),IFERROR(INDEX(Daily!$AK$3:$AK$252,MATCH($B187,Daily!$A$3:$A$252,0)),""),""))</f>
        <v/>
      </c>
      <c r="J187">
        <f>IF($B187="","",IF(AND(ISNUMBER(MDS),ISNUMBER(MDE)),IF(AND($B187&gt;=MDS,$B187&lt;=MDE),24,""),""))</f>
        <v/>
      </c>
      <c r="K187">
        <f>IF($B187="","",IF(AND(ISNUMBER(PitanS),ISNUMBER(PitanE)),IF(AND($B187&gt;=PitanS,$B187&lt;=PitanE),26,""),""))</f>
        <v/>
      </c>
      <c r="L187">
        <f>IF($B187="","",IF(AND(ISNUMBER(C1S),ISNUMBER(C3E)),IF(AND($B187&gt;=C1S,$B187&lt;=C3E),22,""),""))</f>
        <v/>
      </c>
    </row>
    <row r="188">
      <c r="A188" t="n">
        <v>187</v>
      </c>
      <c r="B188" s="30">
        <f>IFERROR(SMALL(Daily!$A$3:$A$252,A188),"")</f>
        <v/>
      </c>
      <c r="C188">
        <f>IF($B188="","",IF(ISNUMBER(IFERROR(INDEX(Daily!$T$3:$T$252,MATCH($B188,Daily!$A$3:$A$252,0)),"")),IFERROR(INDEX(Daily!$T$3:$T$252,MATCH($B188,Daily!$A$3:$A$252,0)),""),""))</f>
        <v/>
      </c>
      <c r="D188">
        <f>IF($B188="","",IF(ISNUMBER(IFERROR(INDEX(Daily!$AE$3:$AE$252,MATCH($B188,Daily!$A$3:$A$252,0)),"")),IFERROR(INDEX(Daily!$AE$3:$AE$252,MATCH($B188,Daily!$A$3:$A$252,0)),""),""))</f>
        <v/>
      </c>
      <c r="E188">
        <f>IF($B188="","",IF(ISNUMBER(IFERROR(INDEX(Daily!$B$3:$B$252,MATCH($B188,Daily!$A$3:$A$252,0)),"")),IFERROR(INDEX(Daily!$B$3:$B$252,MATCH($B188,Daily!$A$3:$A$252,0)),""),0))</f>
        <v/>
      </c>
      <c r="F188">
        <f>IF($B188="","",IF(ISNUMBER(IFERROR(INDEX(Daily!$Y$3:$Y$252,MATCH($B188,Daily!$A$3:$A$252,0)),"")),IFERROR(INDEX(Daily!$Y$3:$Y$252,MATCH($B188,Daily!$A$3:$A$252,0)),""),""))</f>
        <v/>
      </c>
      <c r="G188">
        <f>IF($B188="","",IF(ISNUMBER(IFERROR(INDEX(Daily!$AJ$3:$AJ$252,MATCH($B188,Daily!$A$3:$A$252,0)),"")),IFERROR(INDEX(Daily!$AJ$3:$AJ$252,MATCH($B188,Daily!$A$3:$A$252,0)),""),""))</f>
        <v/>
      </c>
      <c r="H188">
        <f>IF($B188="","",IF(ISNUMBER(IFERROR(INDEX(Daily!$Z$3:$Z$252,MATCH($B188,Daily!$A$3:$A$252,0)),"")),IFERROR(INDEX(Daily!$Z$3:$Z$252,MATCH($B188,Daily!$A$3:$A$252,0)),""),""))</f>
        <v/>
      </c>
      <c r="I188">
        <f>IF($B188="","",IF(ISNUMBER(IFERROR(INDEX(Daily!$AK$3:$AK$252,MATCH($B188,Daily!$A$3:$A$252,0)),"")),IFERROR(INDEX(Daily!$AK$3:$AK$252,MATCH($B188,Daily!$A$3:$A$252,0)),""),""))</f>
        <v/>
      </c>
      <c r="J188">
        <f>IF($B188="","",IF(AND(ISNUMBER(MDS),ISNUMBER(MDE)),IF(AND($B188&gt;=MDS,$B188&lt;=MDE),24,""),""))</f>
        <v/>
      </c>
      <c r="K188">
        <f>IF($B188="","",IF(AND(ISNUMBER(PitanS),ISNUMBER(PitanE)),IF(AND($B188&gt;=PitanS,$B188&lt;=PitanE),26,""),""))</f>
        <v/>
      </c>
      <c r="L188">
        <f>IF($B188="","",IF(AND(ISNUMBER(C1S),ISNUMBER(C3E)),IF(AND($B188&gt;=C1S,$B188&lt;=C3E),22,""),""))</f>
        <v/>
      </c>
    </row>
    <row r="189">
      <c r="A189" t="n">
        <v>188</v>
      </c>
      <c r="B189" s="30">
        <f>IFERROR(SMALL(Daily!$A$3:$A$252,A189),"")</f>
        <v/>
      </c>
      <c r="C189">
        <f>IF($B189="","",IF(ISNUMBER(IFERROR(INDEX(Daily!$T$3:$T$252,MATCH($B189,Daily!$A$3:$A$252,0)),"")),IFERROR(INDEX(Daily!$T$3:$T$252,MATCH($B189,Daily!$A$3:$A$252,0)),""),""))</f>
        <v/>
      </c>
      <c r="D189">
        <f>IF($B189="","",IF(ISNUMBER(IFERROR(INDEX(Daily!$AE$3:$AE$252,MATCH($B189,Daily!$A$3:$A$252,0)),"")),IFERROR(INDEX(Daily!$AE$3:$AE$252,MATCH($B189,Daily!$A$3:$A$252,0)),""),""))</f>
        <v/>
      </c>
      <c r="E189">
        <f>IF($B189="","",IF(ISNUMBER(IFERROR(INDEX(Daily!$B$3:$B$252,MATCH($B189,Daily!$A$3:$A$252,0)),"")),IFERROR(INDEX(Daily!$B$3:$B$252,MATCH($B189,Daily!$A$3:$A$252,0)),""),0))</f>
        <v/>
      </c>
      <c r="F189">
        <f>IF($B189="","",IF(ISNUMBER(IFERROR(INDEX(Daily!$Y$3:$Y$252,MATCH($B189,Daily!$A$3:$A$252,0)),"")),IFERROR(INDEX(Daily!$Y$3:$Y$252,MATCH($B189,Daily!$A$3:$A$252,0)),""),""))</f>
        <v/>
      </c>
      <c r="G189">
        <f>IF($B189="","",IF(ISNUMBER(IFERROR(INDEX(Daily!$AJ$3:$AJ$252,MATCH($B189,Daily!$A$3:$A$252,0)),"")),IFERROR(INDEX(Daily!$AJ$3:$AJ$252,MATCH($B189,Daily!$A$3:$A$252,0)),""),""))</f>
        <v/>
      </c>
      <c r="H189">
        <f>IF($B189="","",IF(ISNUMBER(IFERROR(INDEX(Daily!$Z$3:$Z$252,MATCH($B189,Daily!$A$3:$A$252,0)),"")),IFERROR(INDEX(Daily!$Z$3:$Z$252,MATCH($B189,Daily!$A$3:$A$252,0)),""),""))</f>
        <v/>
      </c>
      <c r="I189">
        <f>IF($B189="","",IF(ISNUMBER(IFERROR(INDEX(Daily!$AK$3:$AK$252,MATCH($B189,Daily!$A$3:$A$252,0)),"")),IFERROR(INDEX(Daily!$AK$3:$AK$252,MATCH($B189,Daily!$A$3:$A$252,0)),""),""))</f>
        <v/>
      </c>
      <c r="J189">
        <f>IF($B189="","",IF(AND(ISNUMBER(MDS),ISNUMBER(MDE)),IF(AND($B189&gt;=MDS,$B189&lt;=MDE),24,""),""))</f>
        <v/>
      </c>
      <c r="K189">
        <f>IF($B189="","",IF(AND(ISNUMBER(PitanS),ISNUMBER(PitanE)),IF(AND($B189&gt;=PitanS,$B189&lt;=PitanE),26,""),""))</f>
        <v/>
      </c>
      <c r="L189">
        <f>IF($B189="","",IF(AND(ISNUMBER(C1S),ISNUMBER(C3E)),IF(AND($B189&gt;=C1S,$B189&lt;=C3E),22,""),""))</f>
        <v/>
      </c>
    </row>
    <row r="190">
      <c r="A190" t="n">
        <v>189</v>
      </c>
      <c r="B190" s="30">
        <f>IFERROR(SMALL(Daily!$A$3:$A$252,A190),"")</f>
        <v/>
      </c>
      <c r="C190">
        <f>IF($B190="","",IF(ISNUMBER(IFERROR(INDEX(Daily!$T$3:$T$252,MATCH($B190,Daily!$A$3:$A$252,0)),"")),IFERROR(INDEX(Daily!$T$3:$T$252,MATCH($B190,Daily!$A$3:$A$252,0)),""),""))</f>
        <v/>
      </c>
      <c r="D190">
        <f>IF($B190="","",IF(ISNUMBER(IFERROR(INDEX(Daily!$AE$3:$AE$252,MATCH($B190,Daily!$A$3:$A$252,0)),"")),IFERROR(INDEX(Daily!$AE$3:$AE$252,MATCH($B190,Daily!$A$3:$A$252,0)),""),""))</f>
        <v/>
      </c>
      <c r="E190">
        <f>IF($B190="","",IF(ISNUMBER(IFERROR(INDEX(Daily!$B$3:$B$252,MATCH($B190,Daily!$A$3:$A$252,0)),"")),IFERROR(INDEX(Daily!$B$3:$B$252,MATCH($B190,Daily!$A$3:$A$252,0)),""),0))</f>
        <v/>
      </c>
      <c r="F190">
        <f>IF($B190="","",IF(ISNUMBER(IFERROR(INDEX(Daily!$Y$3:$Y$252,MATCH($B190,Daily!$A$3:$A$252,0)),"")),IFERROR(INDEX(Daily!$Y$3:$Y$252,MATCH($B190,Daily!$A$3:$A$252,0)),""),""))</f>
        <v/>
      </c>
      <c r="G190">
        <f>IF($B190="","",IF(ISNUMBER(IFERROR(INDEX(Daily!$AJ$3:$AJ$252,MATCH($B190,Daily!$A$3:$A$252,0)),"")),IFERROR(INDEX(Daily!$AJ$3:$AJ$252,MATCH($B190,Daily!$A$3:$A$252,0)),""),""))</f>
        <v/>
      </c>
      <c r="H190">
        <f>IF($B190="","",IF(ISNUMBER(IFERROR(INDEX(Daily!$Z$3:$Z$252,MATCH($B190,Daily!$A$3:$A$252,0)),"")),IFERROR(INDEX(Daily!$Z$3:$Z$252,MATCH($B190,Daily!$A$3:$A$252,0)),""),""))</f>
        <v/>
      </c>
      <c r="I190">
        <f>IF($B190="","",IF(ISNUMBER(IFERROR(INDEX(Daily!$AK$3:$AK$252,MATCH($B190,Daily!$A$3:$A$252,0)),"")),IFERROR(INDEX(Daily!$AK$3:$AK$252,MATCH($B190,Daily!$A$3:$A$252,0)),""),""))</f>
        <v/>
      </c>
      <c r="J190">
        <f>IF($B190="","",IF(AND(ISNUMBER(MDS),ISNUMBER(MDE)),IF(AND($B190&gt;=MDS,$B190&lt;=MDE),24,""),""))</f>
        <v/>
      </c>
      <c r="K190">
        <f>IF($B190="","",IF(AND(ISNUMBER(PitanS),ISNUMBER(PitanE)),IF(AND($B190&gt;=PitanS,$B190&lt;=PitanE),26,""),""))</f>
        <v/>
      </c>
      <c r="L190">
        <f>IF($B190="","",IF(AND(ISNUMBER(C1S),ISNUMBER(C3E)),IF(AND($B190&gt;=C1S,$B190&lt;=C3E),22,""),""))</f>
        <v/>
      </c>
    </row>
    <row r="191">
      <c r="A191" t="n">
        <v>190</v>
      </c>
      <c r="B191" s="30">
        <f>IFERROR(SMALL(Daily!$A$3:$A$252,A191),"")</f>
        <v/>
      </c>
      <c r="C191">
        <f>IF($B191="","",IF(ISNUMBER(IFERROR(INDEX(Daily!$T$3:$T$252,MATCH($B191,Daily!$A$3:$A$252,0)),"")),IFERROR(INDEX(Daily!$T$3:$T$252,MATCH($B191,Daily!$A$3:$A$252,0)),""),""))</f>
        <v/>
      </c>
      <c r="D191">
        <f>IF($B191="","",IF(ISNUMBER(IFERROR(INDEX(Daily!$AE$3:$AE$252,MATCH($B191,Daily!$A$3:$A$252,0)),"")),IFERROR(INDEX(Daily!$AE$3:$AE$252,MATCH($B191,Daily!$A$3:$A$252,0)),""),""))</f>
        <v/>
      </c>
      <c r="E191">
        <f>IF($B191="","",IF(ISNUMBER(IFERROR(INDEX(Daily!$B$3:$B$252,MATCH($B191,Daily!$A$3:$A$252,0)),"")),IFERROR(INDEX(Daily!$B$3:$B$252,MATCH($B191,Daily!$A$3:$A$252,0)),""),0))</f>
        <v/>
      </c>
      <c r="F191">
        <f>IF($B191="","",IF(ISNUMBER(IFERROR(INDEX(Daily!$Y$3:$Y$252,MATCH($B191,Daily!$A$3:$A$252,0)),"")),IFERROR(INDEX(Daily!$Y$3:$Y$252,MATCH($B191,Daily!$A$3:$A$252,0)),""),""))</f>
        <v/>
      </c>
      <c r="G191">
        <f>IF($B191="","",IF(ISNUMBER(IFERROR(INDEX(Daily!$AJ$3:$AJ$252,MATCH($B191,Daily!$A$3:$A$252,0)),"")),IFERROR(INDEX(Daily!$AJ$3:$AJ$252,MATCH($B191,Daily!$A$3:$A$252,0)),""),""))</f>
        <v/>
      </c>
      <c r="H191">
        <f>IF($B191="","",IF(ISNUMBER(IFERROR(INDEX(Daily!$Z$3:$Z$252,MATCH($B191,Daily!$A$3:$A$252,0)),"")),IFERROR(INDEX(Daily!$Z$3:$Z$252,MATCH($B191,Daily!$A$3:$A$252,0)),""),""))</f>
        <v/>
      </c>
      <c r="I191">
        <f>IF($B191="","",IF(ISNUMBER(IFERROR(INDEX(Daily!$AK$3:$AK$252,MATCH($B191,Daily!$A$3:$A$252,0)),"")),IFERROR(INDEX(Daily!$AK$3:$AK$252,MATCH($B191,Daily!$A$3:$A$252,0)),""),""))</f>
        <v/>
      </c>
      <c r="J191">
        <f>IF($B191="","",IF(AND(ISNUMBER(MDS),ISNUMBER(MDE)),IF(AND($B191&gt;=MDS,$B191&lt;=MDE),24,""),""))</f>
        <v/>
      </c>
      <c r="K191">
        <f>IF($B191="","",IF(AND(ISNUMBER(PitanS),ISNUMBER(PitanE)),IF(AND($B191&gt;=PitanS,$B191&lt;=PitanE),26,""),""))</f>
        <v/>
      </c>
      <c r="L191">
        <f>IF($B191="","",IF(AND(ISNUMBER(C1S),ISNUMBER(C3E)),IF(AND($B191&gt;=C1S,$B191&lt;=C3E),22,""),""))</f>
        <v/>
      </c>
    </row>
    <row r="192">
      <c r="A192" t="n">
        <v>191</v>
      </c>
      <c r="B192" s="30">
        <f>IFERROR(SMALL(Daily!$A$3:$A$252,A192),"")</f>
        <v/>
      </c>
      <c r="C192">
        <f>IF($B192="","",IF(ISNUMBER(IFERROR(INDEX(Daily!$T$3:$T$252,MATCH($B192,Daily!$A$3:$A$252,0)),"")),IFERROR(INDEX(Daily!$T$3:$T$252,MATCH($B192,Daily!$A$3:$A$252,0)),""),""))</f>
        <v/>
      </c>
      <c r="D192">
        <f>IF($B192="","",IF(ISNUMBER(IFERROR(INDEX(Daily!$AE$3:$AE$252,MATCH($B192,Daily!$A$3:$A$252,0)),"")),IFERROR(INDEX(Daily!$AE$3:$AE$252,MATCH($B192,Daily!$A$3:$A$252,0)),""),""))</f>
        <v/>
      </c>
      <c r="E192">
        <f>IF($B192="","",IF(ISNUMBER(IFERROR(INDEX(Daily!$B$3:$B$252,MATCH($B192,Daily!$A$3:$A$252,0)),"")),IFERROR(INDEX(Daily!$B$3:$B$252,MATCH($B192,Daily!$A$3:$A$252,0)),""),0))</f>
        <v/>
      </c>
      <c r="F192">
        <f>IF($B192="","",IF(ISNUMBER(IFERROR(INDEX(Daily!$Y$3:$Y$252,MATCH($B192,Daily!$A$3:$A$252,0)),"")),IFERROR(INDEX(Daily!$Y$3:$Y$252,MATCH($B192,Daily!$A$3:$A$252,0)),""),""))</f>
        <v/>
      </c>
      <c r="G192">
        <f>IF($B192="","",IF(ISNUMBER(IFERROR(INDEX(Daily!$AJ$3:$AJ$252,MATCH($B192,Daily!$A$3:$A$252,0)),"")),IFERROR(INDEX(Daily!$AJ$3:$AJ$252,MATCH($B192,Daily!$A$3:$A$252,0)),""),""))</f>
        <v/>
      </c>
      <c r="H192">
        <f>IF($B192="","",IF(ISNUMBER(IFERROR(INDEX(Daily!$Z$3:$Z$252,MATCH($B192,Daily!$A$3:$A$252,0)),"")),IFERROR(INDEX(Daily!$Z$3:$Z$252,MATCH($B192,Daily!$A$3:$A$252,0)),""),""))</f>
        <v/>
      </c>
      <c r="I192">
        <f>IF($B192="","",IF(ISNUMBER(IFERROR(INDEX(Daily!$AK$3:$AK$252,MATCH($B192,Daily!$A$3:$A$252,0)),"")),IFERROR(INDEX(Daily!$AK$3:$AK$252,MATCH($B192,Daily!$A$3:$A$252,0)),""),""))</f>
        <v/>
      </c>
      <c r="J192">
        <f>IF($B192="","",IF(AND(ISNUMBER(MDS),ISNUMBER(MDE)),IF(AND($B192&gt;=MDS,$B192&lt;=MDE),24,""),""))</f>
        <v/>
      </c>
      <c r="K192">
        <f>IF($B192="","",IF(AND(ISNUMBER(PitanS),ISNUMBER(PitanE)),IF(AND($B192&gt;=PitanS,$B192&lt;=PitanE),26,""),""))</f>
        <v/>
      </c>
      <c r="L192">
        <f>IF($B192="","",IF(AND(ISNUMBER(C1S),ISNUMBER(C3E)),IF(AND($B192&gt;=C1S,$B192&lt;=C3E),22,""),""))</f>
        <v/>
      </c>
    </row>
    <row r="193">
      <c r="A193" t="n">
        <v>192</v>
      </c>
      <c r="B193" s="30">
        <f>IFERROR(SMALL(Daily!$A$3:$A$252,A193),"")</f>
        <v/>
      </c>
      <c r="C193">
        <f>IF($B193="","",IF(ISNUMBER(IFERROR(INDEX(Daily!$T$3:$T$252,MATCH($B193,Daily!$A$3:$A$252,0)),"")),IFERROR(INDEX(Daily!$T$3:$T$252,MATCH($B193,Daily!$A$3:$A$252,0)),""),""))</f>
        <v/>
      </c>
      <c r="D193">
        <f>IF($B193="","",IF(ISNUMBER(IFERROR(INDEX(Daily!$AE$3:$AE$252,MATCH($B193,Daily!$A$3:$A$252,0)),"")),IFERROR(INDEX(Daily!$AE$3:$AE$252,MATCH($B193,Daily!$A$3:$A$252,0)),""),""))</f>
        <v/>
      </c>
      <c r="E193">
        <f>IF($B193="","",IF(ISNUMBER(IFERROR(INDEX(Daily!$B$3:$B$252,MATCH($B193,Daily!$A$3:$A$252,0)),"")),IFERROR(INDEX(Daily!$B$3:$B$252,MATCH($B193,Daily!$A$3:$A$252,0)),""),0))</f>
        <v/>
      </c>
      <c r="F193">
        <f>IF($B193="","",IF(ISNUMBER(IFERROR(INDEX(Daily!$Y$3:$Y$252,MATCH($B193,Daily!$A$3:$A$252,0)),"")),IFERROR(INDEX(Daily!$Y$3:$Y$252,MATCH($B193,Daily!$A$3:$A$252,0)),""),""))</f>
        <v/>
      </c>
      <c r="G193">
        <f>IF($B193="","",IF(ISNUMBER(IFERROR(INDEX(Daily!$AJ$3:$AJ$252,MATCH($B193,Daily!$A$3:$A$252,0)),"")),IFERROR(INDEX(Daily!$AJ$3:$AJ$252,MATCH($B193,Daily!$A$3:$A$252,0)),""),""))</f>
        <v/>
      </c>
      <c r="H193">
        <f>IF($B193="","",IF(ISNUMBER(IFERROR(INDEX(Daily!$Z$3:$Z$252,MATCH($B193,Daily!$A$3:$A$252,0)),"")),IFERROR(INDEX(Daily!$Z$3:$Z$252,MATCH($B193,Daily!$A$3:$A$252,0)),""),""))</f>
        <v/>
      </c>
      <c r="I193">
        <f>IF($B193="","",IF(ISNUMBER(IFERROR(INDEX(Daily!$AK$3:$AK$252,MATCH($B193,Daily!$A$3:$A$252,0)),"")),IFERROR(INDEX(Daily!$AK$3:$AK$252,MATCH($B193,Daily!$A$3:$A$252,0)),""),""))</f>
        <v/>
      </c>
      <c r="J193">
        <f>IF($B193="","",IF(AND(ISNUMBER(MDS),ISNUMBER(MDE)),IF(AND($B193&gt;=MDS,$B193&lt;=MDE),24,""),""))</f>
        <v/>
      </c>
      <c r="K193">
        <f>IF($B193="","",IF(AND(ISNUMBER(PitanS),ISNUMBER(PitanE)),IF(AND($B193&gt;=PitanS,$B193&lt;=PitanE),26,""),""))</f>
        <v/>
      </c>
      <c r="L193">
        <f>IF($B193="","",IF(AND(ISNUMBER(C1S),ISNUMBER(C3E)),IF(AND($B193&gt;=C1S,$B193&lt;=C3E),22,""),""))</f>
        <v/>
      </c>
    </row>
    <row r="194">
      <c r="A194" t="n">
        <v>193</v>
      </c>
      <c r="B194" s="30">
        <f>IFERROR(SMALL(Daily!$A$3:$A$252,A194),"")</f>
        <v/>
      </c>
      <c r="C194">
        <f>IF($B194="","",IF(ISNUMBER(IFERROR(INDEX(Daily!$T$3:$T$252,MATCH($B194,Daily!$A$3:$A$252,0)),"")),IFERROR(INDEX(Daily!$T$3:$T$252,MATCH($B194,Daily!$A$3:$A$252,0)),""),""))</f>
        <v/>
      </c>
      <c r="D194">
        <f>IF($B194="","",IF(ISNUMBER(IFERROR(INDEX(Daily!$AE$3:$AE$252,MATCH($B194,Daily!$A$3:$A$252,0)),"")),IFERROR(INDEX(Daily!$AE$3:$AE$252,MATCH($B194,Daily!$A$3:$A$252,0)),""),""))</f>
        <v/>
      </c>
      <c r="E194">
        <f>IF($B194="","",IF(ISNUMBER(IFERROR(INDEX(Daily!$B$3:$B$252,MATCH($B194,Daily!$A$3:$A$252,0)),"")),IFERROR(INDEX(Daily!$B$3:$B$252,MATCH($B194,Daily!$A$3:$A$252,0)),""),0))</f>
        <v/>
      </c>
      <c r="F194">
        <f>IF($B194="","",IF(ISNUMBER(IFERROR(INDEX(Daily!$Y$3:$Y$252,MATCH($B194,Daily!$A$3:$A$252,0)),"")),IFERROR(INDEX(Daily!$Y$3:$Y$252,MATCH($B194,Daily!$A$3:$A$252,0)),""),""))</f>
        <v/>
      </c>
      <c r="G194">
        <f>IF($B194="","",IF(ISNUMBER(IFERROR(INDEX(Daily!$AJ$3:$AJ$252,MATCH($B194,Daily!$A$3:$A$252,0)),"")),IFERROR(INDEX(Daily!$AJ$3:$AJ$252,MATCH($B194,Daily!$A$3:$A$252,0)),""),""))</f>
        <v/>
      </c>
      <c r="H194">
        <f>IF($B194="","",IF(ISNUMBER(IFERROR(INDEX(Daily!$Z$3:$Z$252,MATCH($B194,Daily!$A$3:$A$252,0)),"")),IFERROR(INDEX(Daily!$Z$3:$Z$252,MATCH($B194,Daily!$A$3:$A$252,0)),""),""))</f>
        <v/>
      </c>
      <c r="I194">
        <f>IF($B194="","",IF(ISNUMBER(IFERROR(INDEX(Daily!$AK$3:$AK$252,MATCH($B194,Daily!$A$3:$A$252,0)),"")),IFERROR(INDEX(Daily!$AK$3:$AK$252,MATCH($B194,Daily!$A$3:$A$252,0)),""),""))</f>
        <v/>
      </c>
      <c r="J194">
        <f>IF($B194="","",IF(AND(ISNUMBER(MDS),ISNUMBER(MDE)),IF(AND($B194&gt;=MDS,$B194&lt;=MDE),24,""),""))</f>
        <v/>
      </c>
      <c r="K194">
        <f>IF($B194="","",IF(AND(ISNUMBER(PitanS),ISNUMBER(PitanE)),IF(AND($B194&gt;=PitanS,$B194&lt;=PitanE),26,""),""))</f>
        <v/>
      </c>
      <c r="L194">
        <f>IF($B194="","",IF(AND(ISNUMBER(C1S),ISNUMBER(C3E)),IF(AND($B194&gt;=C1S,$B194&lt;=C3E),22,""),""))</f>
        <v/>
      </c>
    </row>
    <row r="195">
      <c r="A195" t="n">
        <v>194</v>
      </c>
      <c r="B195" s="30">
        <f>IFERROR(SMALL(Daily!$A$3:$A$252,A195),"")</f>
        <v/>
      </c>
      <c r="C195">
        <f>IF($B195="","",IF(ISNUMBER(IFERROR(INDEX(Daily!$T$3:$T$252,MATCH($B195,Daily!$A$3:$A$252,0)),"")),IFERROR(INDEX(Daily!$T$3:$T$252,MATCH($B195,Daily!$A$3:$A$252,0)),""),""))</f>
        <v/>
      </c>
      <c r="D195">
        <f>IF($B195="","",IF(ISNUMBER(IFERROR(INDEX(Daily!$AE$3:$AE$252,MATCH($B195,Daily!$A$3:$A$252,0)),"")),IFERROR(INDEX(Daily!$AE$3:$AE$252,MATCH($B195,Daily!$A$3:$A$252,0)),""),""))</f>
        <v/>
      </c>
      <c r="E195">
        <f>IF($B195="","",IF(ISNUMBER(IFERROR(INDEX(Daily!$B$3:$B$252,MATCH($B195,Daily!$A$3:$A$252,0)),"")),IFERROR(INDEX(Daily!$B$3:$B$252,MATCH($B195,Daily!$A$3:$A$252,0)),""),0))</f>
        <v/>
      </c>
      <c r="F195">
        <f>IF($B195="","",IF(ISNUMBER(IFERROR(INDEX(Daily!$Y$3:$Y$252,MATCH($B195,Daily!$A$3:$A$252,0)),"")),IFERROR(INDEX(Daily!$Y$3:$Y$252,MATCH($B195,Daily!$A$3:$A$252,0)),""),""))</f>
        <v/>
      </c>
      <c r="G195">
        <f>IF($B195="","",IF(ISNUMBER(IFERROR(INDEX(Daily!$AJ$3:$AJ$252,MATCH($B195,Daily!$A$3:$A$252,0)),"")),IFERROR(INDEX(Daily!$AJ$3:$AJ$252,MATCH($B195,Daily!$A$3:$A$252,0)),""),""))</f>
        <v/>
      </c>
      <c r="H195">
        <f>IF($B195="","",IF(ISNUMBER(IFERROR(INDEX(Daily!$Z$3:$Z$252,MATCH($B195,Daily!$A$3:$A$252,0)),"")),IFERROR(INDEX(Daily!$Z$3:$Z$252,MATCH($B195,Daily!$A$3:$A$252,0)),""),""))</f>
        <v/>
      </c>
      <c r="I195">
        <f>IF($B195="","",IF(ISNUMBER(IFERROR(INDEX(Daily!$AK$3:$AK$252,MATCH($B195,Daily!$A$3:$A$252,0)),"")),IFERROR(INDEX(Daily!$AK$3:$AK$252,MATCH($B195,Daily!$A$3:$A$252,0)),""),""))</f>
        <v/>
      </c>
      <c r="J195">
        <f>IF($B195="","",IF(AND(ISNUMBER(MDS),ISNUMBER(MDE)),IF(AND($B195&gt;=MDS,$B195&lt;=MDE),24,""),""))</f>
        <v/>
      </c>
      <c r="K195">
        <f>IF($B195="","",IF(AND(ISNUMBER(PitanS),ISNUMBER(PitanE)),IF(AND($B195&gt;=PitanS,$B195&lt;=PitanE),26,""),""))</f>
        <v/>
      </c>
      <c r="L195">
        <f>IF($B195="","",IF(AND(ISNUMBER(C1S),ISNUMBER(C3E)),IF(AND($B195&gt;=C1S,$B195&lt;=C3E),22,""),""))</f>
        <v/>
      </c>
    </row>
    <row r="196">
      <c r="A196" t="n">
        <v>195</v>
      </c>
      <c r="B196" s="30">
        <f>IFERROR(SMALL(Daily!$A$3:$A$252,A196),"")</f>
        <v/>
      </c>
      <c r="C196">
        <f>IF($B196="","",IF(ISNUMBER(IFERROR(INDEX(Daily!$T$3:$T$252,MATCH($B196,Daily!$A$3:$A$252,0)),"")),IFERROR(INDEX(Daily!$T$3:$T$252,MATCH($B196,Daily!$A$3:$A$252,0)),""),""))</f>
        <v/>
      </c>
      <c r="D196">
        <f>IF($B196="","",IF(ISNUMBER(IFERROR(INDEX(Daily!$AE$3:$AE$252,MATCH($B196,Daily!$A$3:$A$252,0)),"")),IFERROR(INDEX(Daily!$AE$3:$AE$252,MATCH($B196,Daily!$A$3:$A$252,0)),""),""))</f>
        <v/>
      </c>
      <c r="E196">
        <f>IF($B196="","",IF(ISNUMBER(IFERROR(INDEX(Daily!$B$3:$B$252,MATCH($B196,Daily!$A$3:$A$252,0)),"")),IFERROR(INDEX(Daily!$B$3:$B$252,MATCH($B196,Daily!$A$3:$A$252,0)),""),0))</f>
        <v/>
      </c>
      <c r="F196">
        <f>IF($B196="","",IF(ISNUMBER(IFERROR(INDEX(Daily!$Y$3:$Y$252,MATCH($B196,Daily!$A$3:$A$252,0)),"")),IFERROR(INDEX(Daily!$Y$3:$Y$252,MATCH($B196,Daily!$A$3:$A$252,0)),""),""))</f>
        <v/>
      </c>
      <c r="G196">
        <f>IF($B196="","",IF(ISNUMBER(IFERROR(INDEX(Daily!$AJ$3:$AJ$252,MATCH($B196,Daily!$A$3:$A$252,0)),"")),IFERROR(INDEX(Daily!$AJ$3:$AJ$252,MATCH($B196,Daily!$A$3:$A$252,0)),""),""))</f>
        <v/>
      </c>
      <c r="H196">
        <f>IF($B196="","",IF(ISNUMBER(IFERROR(INDEX(Daily!$Z$3:$Z$252,MATCH($B196,Daily!$A$3:$A$252,0)),"")),IFERROR(INDEX(Daily!$Z$3:$Z$252,MATCH($B196,Daily!$A$3:$A$252,0)),""),""))</f>
        <v/>
      </c>
      <c r="I196">
        <f>IF($B196="","",IF(ISNUMBER(IFERROR(INDEX(Daily!$AK$3:$AK$252,MATCH($B196,Daily!$A$3:$A$252,0)),"")),IFERROR(INDEX(Daily!$AK$3:$AK$252,MATCH($B196,Daily!$A$3:$A$252,0)),""),""))</f>
        <v/>
      </c>
      <c r="J196">
        <f>IF($B196="","",IF(AND(ISNUMBER(MDS),ISNUMBER(MDE)),IF(AND($B196&gt;=MDS,$B196&lt;=MDE),24,""),""))</f>
        <v/>
      </c>
      <c r="K196">
        <f>IF($B196="","",IF(AND(ISNUMBER(PitanS),ISNUMBER(PitanE)),IF(AND($B196&gt;=PitanS,$B196&lt;=PitanE),26,""),""))</f>
        <v/>
      </c>
      <c r="L196">
        <f>IF($B196="","",IF(AND(ISNUMBER(C1S),ISNUMBER(C3E)),IF(AND($B196&gt;=C1S,$B196&lt;=C3E),22,""),""))</f>
        <v/>
      </c>
    </row>
    <row r="197">
      <c r="A197" t="n">
        <v>196</v>
      </c>
      <c r="B197" s="30">
        <f>IFERROR(SMALL(Daily!$A$3:$A$252,A197),"")</f>
        <v/>
      </c>
      <c r="C197">
        <f>IF($B197="","",IF(ISNUMBER(IFERROR(INDEX(Daily!$T$3:$T$252,MATCH($B197,Daily!$A$3:$A$252,0)),"")),IFERROR(INDEX(Daily!$T$3:$T$252,MATCH($B197,Daily!$A$3:$A$252,0)),""),""))</f>
        <v/>
      </c>
      <c r="D197">
        <f>IF($B197="","",IF(ISNUMBER(IFERROR(INDEX(Daily!$AE$3:$AE$252,MATCH($B197,Daily!$A$3:$A$252,0)),"")),IFERROR(INDEX(Daily!$AE$3:$AE$252,MATCH($B197,Daily!$A$3:$A$252,0)),""),""))</f>
        <v/>
      </c>
      <c r="E197">
        <f>IF($B197="","",IF(ISNUMBER(IFERROR(INDEX(Daily!$B$3:$B$252,MATCH($B197,Daily!$A$3:$A$252,0)),"")),IFERROR(INDEX(Daily!$B$3:$B$252,MATCH($B197,Daily!$A$3:$A$252,0)),""),0))</f>
        <v/>
      </c>
      <c r="F197">
        <f>IF($B197="","",IF(ISNUMBER(IFERROR(INDEX(Daily!$Y$3:$Y$252,MATCH($B197,Daily!$A$3:$A$252,0)),"")),IFERROR(INDEX(Daily!$Y$3:$Y$252,MATCH($B197,Daily!$A$3:$A$252,0)),""),""))</f>
        <v/>
      </c>
      <c r="G197">
        <f>IF($B197="","",IF(ISNUMBER(IFERROR(INDEX(Daily!$AJ$3:$AJ$252,MATCH($B197,Daily!$A$3:$A$252,0)),"")),IFERROR(INDEX(Daily!$AJ$3:$AJ$252,MATCH($B197,Daily!$A$3:$A$252,0)),""),""))</f>
        <v/>
      </c>
      <c r="H197">
        <f>IF($B197="","",IF(ISNUMBER(IFERROR(INDEX(Daily!$Z$3:$Z$252,MATCH($B197,Daily!$A$3:$A$252,0)),"")),IFERROR(INDEX(Daily!$Z$3:$Z$252,MATCH($B197,Daily!$A$3:$A$252,0)),""),""))</f>
        <v/>
      </c>
      <c r="I197">
        <f>IF($B197="","",IF(ISNUMBER(IFERROR(INDEX(Daily!$AK$3:$AK$252,MATCH($B197,Daily!$A$3:$A$252,0)),"")),IFERROR(INDEX(Daily!$AK$3:$AK$252,MATCH($B197,Daily!$A$3:$A$252,0)),""),""))</f>
        <v/>
      </c>
      <c r="J197">
        <f>IF($B197="","",IF(AND(ISNUMBER(MDS),ISNUMBER(MDE)),IF(AND($B197&gt;=MDS,$B197&lt;=MDE),24,""),""))</f>
        <v/>
      </c>
      <c r="K197">
        <f>IF($B197="","",IF(AND(ISNUMBER(PitanS),ISNUMBER(PitanE)),IF(AND($B197&gt;=PitanS,$B197&lt;=PitanE),26,""),""))</f>
        <v/>
      </c>
      <c r="L197">
        <f>IF($B197="","",IF(AND(ISNUMBER(C1S),ISNUMBER(C3E)),IF(AND($B197&gt;=C1S,$B197&lt;=C3E),22,""),""))</f>
        <v/>
      </c>
    </row>
    <row r="198">
      <c r="A198" t="n">
        <v>197</v>
      </c>
      <c r="B198" s="30">
        <f>IFERROR(SMALL(Daily!$A$3:$A$252,A198),"")</f>
        <v/>
      </c>
      <c r="C198">
        <f>IF($B198="","",IF(ISNUMBER(IFERROR(INDEX(Daily!$T$3:$T$252,MATCH($B198,Daily!$A$3:$A$252,0)),"")),IFERROR(INDEX(Daily!$T$3:$T$252,MATCH($B198,Daily!$A$3:$A$252,0)),""),""))</f>
        <v/>
      </c>
      <c r="D198">
        <f>IF($B198="","",IF(ISNUMBER(IFERROR(INDEX(Daily!$AE$3:$AE$252,MATCH($B198,Daily!$A$3:$A$252,0)),"")),IFERROR(INDEX(Daily!$AE$3:$AE$252,MATCH($B198,Daily!$A$3:$A$252,0)),""),""))</f>
        <v/>
      </c>
      <c r="E198">
        <f>IF($B198="","",IF(ISNUMBER(IFERROR(INDEX(Daily!$B$3:$B$252,MATCH($B198,Daily!$A$3:$A$252,0)),"")),IFERROR(INDEX(Daily!$B$3:$B$252,MATCH($B198,Daily!$A$3:$A$252,0)),""),0))</f>
        <v/>
      </c>
      <c r="F198">
        <f>IF($B198="","",IF(ISNUMBER(IFERROR(INDEX(Daily!$Y$3:$Y$252,MATCH($B198,Daily!$A$3:$A$252,0)),"")),IFERROR(INDEX(Daily!$Y$3:$Y$252,MATCH($B198,Daily!$A$3:$A$252,0)),""),""))</f>
        <v/>
      </c>
      <c r="G198">
        <f>IF($B198="","",IF(ISNUMBER(IFERROR(INDEX(Daily!$AJ$3:$AJ$252,MATCH($B198,Daily!$A$3:$A$252,0)),"")),IFERROR(INDEX(Daily!$AJ$3:$AJ$252,MATCH($B198,Daily!$A$3:$A$252,0)),""),""))</f>
        <v/>
      </c>
      <c r="H198">
        <f>IF($B198="","",IF(ISNUMBER(IFERROR(INDEX(Daily!$Z$3:$Z$252,MATCH($B198,Daily!$A$3:$A$252,0)),"")),IFERROR(INDEX(Daily!$Z$3:$Z$252,MATCH($B198,Daily!$A$3:$A$252,0)),""),""))</f>
        <v/>
      </c>
      <c r="I198">
        <f>IF($B198="","",IF(ISNUMBER(IFERROR(INDEX(Daily!$AK$3:$AK$252,MATCH($B198,Daily!$A$3:$A$252,0)),"")),IFERROR(INDEX(Daily!$AK$3:$AK$252,MATCH($B198,Daily!$A$3:$A$252,0)),""),""))</f>
        <v/>
      </c>
      <c r="J198">
        <f>IF($B198="","",IF(AND(ISNUMBER(MDS),ISNUMBER(MDE)),IF(AND($B198&gt;=MDS,$B198&lt;=MDE),24,""),""))</f>
        <v/>
      </c>
      <c r="K198">
        <f>IF($B198="","",IF(AND(ISNUMBER(PitanS),ISNUMBER(PitanE)),IF(AND($B198&gt;=PitanS,$B198&lt;=PitanE),26,""),""))</f>
        <v/>
      </c>
      <c r="L198">
        <f>IF($B198="","",IF(AND(ISNUMBER(C1S),ISNUMBER(C3E)),IF(AND($B198&gt;=C1S,$B198&lt;=C3E),22,""),""))</f>
        <v/>
      </c>
    </row>
    <row r="199">
      <c r="A199" t="n">
        <v>198</v>
      </c>
      <c r="B199" s="30">
        <f>IFERROR(SMALL(Daily!$A$3:$A$252,A199),"")</f>
        <v/>
      </c>
      <c r="C199">
        <f>IF($B199="","",IF(ISNUMBER(IFERROR(INDEX(Daily!$T$3:$T$252,MATCH($B199,Daily!$A$3:$A$252,0)),"")),IFERROR(INDEX(Daily!$T$3:$T$252,MATCH($B199,Daily!$A$3:$A$252,0)),""),""))</f>
        <v/>
      </c>
      <c r="D199">
        <f>IF($B199="","",IF(ISNUMBER(IFERROR(INDEX(Daily!$AE$3:$AE$252,MATCH($B199,Daily!$A$3:$A$252,0)),"")),IFERROR(INDEX(Daily!$AE$3:$AE$252,MATCH($B199,Daily!$A$3:$A$252,0)),""),""))</f>
        <v/>
      </c>
      <c r="E199">
        <f>IF($B199="","",IF(ISNUMBER(IFERROR(INDEX(Daily!$B$3:$B$252,MATCH($B199,Daily!$A$3:$A$252,0)),"")),IFERROR(INDEX(Daily!$B$3:$B$252,MATCH($B199,Daily!$A$3:$A$252,0)),""),0))</f>
        <v/>
      </c>
      <c r="F199">
        <f>IF($B199="","",IF(ISNUMBER(IFERROR(INDEX(Daily!$Y$3:$Y$252,MATCH($B199,Daily!$A$3:$A$252,0)),"")),IFERROR(INDEX(Daily!$Y$3:$Y$252,MATCH($B199,Daily!$A$3:$A$252,0)),""),""))</f>
        <v/>
      </c>
      <c r="G199">
        <f>IF($B199="","",IF(ISNUMBER(IFERROR(INDEX(Daily!$AJ$3:$AJ$252,MATCH($B199,Daily!$A$3:$A$252,0)),"")),IFERROR(INDEX(Daily!$AJ$3:$AJ$252,MATCH($B199,Daily!$A$3:$A$252,0)),""),""))</f>
        <v/>
      </c>
      <c r="H199">
        <f>IF($B199="","",IF(ISNUMBER(IFERROR(INDEX(Daily!$Z$3:$Z$252,MATCH($B199,Daily!$A$3:$A$252,0)),"")),IFERROR(INDEX(Daily!$Z$3:$Z$252,MATCH($B199,Daily!$A$3:$A$252,0)),""),""))</f>
        <v/>
      </c>
      <c r="I199">
        <f>IF($B199="","",IF(ISNUMBER(IFERROR(INDEX(Daily!$AK$3:$AK$252,MATCH($B199,Daily!$A$3:$A$252,0)),"")),IFERROR(INDEX(Daily!$AK$3:$AK$252,MATCH($B199,Daily!$A$3:$A$252,0)),""),""))</f>
        <v/>
      </c>
      <c r="J199">
        <f>IF($B199="","",IF(AND(ISNUMBER(MDS),ISNUMBER(MDE)),IF(AND($B199&gt;=MDS,$B199&lt;=MDE),24,""),""))</f>
        <v/>
      </c>
      <c r="K199">
        <f>IF($B199="","",IF(AND(ISNUMBER(PitanS),ISNUMBER(PitanE)),IF(AND($B199&gt;=PitanS,$B199&lt;=PitanE),26,""),""))</f>
        <v/>
      </c>
      <c r="L199">
        <f>IF($B199="","",IF(AND(ISNUMBER(C1S),ISNUMBER(C3E)),IF(AND($B199&gt;=C1S,$B199&lt;=C3E),22,""),""))</f>
        <v/>
      </c>
    </row>
    <row r="200">
      <c r="A200" t="n">
        <v>199</v>
      </c>
      <c r="B200" s="30">
        <f>IFERROR(SMALL(Daily!$A$3:$A$252,A200),"")</f>
        <v/>
      </c>
      <c r="C200">
        <f>IF($B200="","",IF(ISNUMBER(IFERROR(INDEX(Daily!$T$3:$T$252,MATCH($B200,Daily!$A$3:$A$252,0)),"")),IFERROR(INDEX(Daily!$T$3:$T$252,MATCH($B200,Daily!$A$3:$A$252,0)),""),""))</f>
        <v/>
      </c>
      <c r="D200">
        <f>IF($B200="","",IF(ISNUMBER(IFERROR(INDEX(Daily!$AE$3:$AE$252,MATCH($B200,Daily!$A$3:$A$252,0)),"")),IFERROR(INDEX(Daily!$AE$3:$AE$252,MATCH($B200,Daily!$A$3:$A$252,0)),""),""))</f>
        <v/>
      </c>
      <c r="E200">
        <f>IF($B200="","",IF(ISNUMBER(IFERROR(INDEX(Daily!$B$3:$B$252,MATCH($B200,Daily!$A$3:$A$252,0)),"")),IFERROR(INDEX(Daily!$B$3:$B$252,MATCH($B200,Daily!$A$3:$A$252,0)),""),0))</f>
        <v/>
      </c>
      <c r="F200">
        <f>IF($B200="","",IF(ISNUMBER(IFERROR(INDEX(Daily!$Y$3:$Y$252,MATCH($B200,Daily!$A$3:$A$252,0)),"")),IFERROR(INDEX(Daily!$Y$3:$Y$252,MATCH($B200,Daily!$A$3:$A$252,0)),""),""))</f>
        <v/>
      </c>
      <c r="G200">
        <f>IF($B200="","",IF(ISNUMBER(IFERROR(INDEX(Daily!$AJ$3:$AJ$252,MATCH($B200,Daily!$A$3:$A$252,0)),"")),IFERROR(INDEX(Daily!$AJ$3:$AJ$252,MATCH($B200,Daily!$A$3:$A$252,0)),""),""))</f>
        <v/>
      </c>
      <c r="H200">
        <f>IF($B200="","",IF(ISNUMBER(IFERROR(INDEX(Daily!$Z$3:$Z$252,MATCH($B200,Daily!$A$3:$A$252,0)),"")),IFERROR(INDEX(Daily!$Z$3:$Z$252,MATCH($B200,Daily!$A$3:$A$252,0)),""),""))</f>
        <v/>
      </c>
      <c r="I200">
        <f>IF($B200="","",IF(ISNUMBER(IFERROR(INDEX(Daily!$AK$3:$AK$252,MATCH($B200,Daily!$A$3:$A$252,0)),"")),IFERROR(INDEX(Daily!$AK$3:$AK$252,MATCH($B200,Daily!$A$3:$A$252,0)),""),""))</f>
        <v/>
      </c>
      <c r="J200">
        <f>IF($B200="","",IF(AND(ISNUMBER(MDS),ISNUMBER(MDE)),IF(AND($B200&gt;=MDS,$B200&lt;=MDE),24,""),""))</f>
        <v/>
      </c>
      <c r="K200">
        <f>IF($B200="","",IF(AND(ISNUMBER(PitanS),ISNUMBER(PitanE)),IF(AND($B200&gt;=PitanS,$B200&lt;=PitanE),26,""),""))</f>
        <v/>
      </c>
      <c r="L200">
        <f>IF($B200="","",IF(AND(ISNUMBER(C1S),ISNUMBER(C3E)),IF(AND($B200&gt;=C1S,$B200&lt;=C3E),22,""),""))</f>
        <v/>
      </c>
    </row>
    <row r="201">
      <c r="A201" t="n">
        <v>200</v>
      </c>
      <c r="B201" s="30">
        <f>IFERROR(SMALL(Daily!$A$3:$A$252,A201),"")</f>
        <v/>
      </c>
      <c r="C201">
        <f>IF($B201="","",IF(ISNUMBER(IFERROR(INDEX(Daily!$T$3:$T$252,MATCH($B201,Daily!$A$3:$A$252,0)),"")),IFERROR(INDEX(Daily!$T$3:$T$252,MATCH($B201,Daily!$A$3:$A$252,0)),""),""))</f>
        <v/>
      </c>
      <c r="D201">
        <f>IF($B201="","",IF(ISNUMBER(IFERROR(INDEX(Daily!$AE$3:$AE$252,MATCH($B201,Daily!$A$3:$A$252,0)),"")),IFERROR(INDEX(Daily!$AE$3:$AE$252,MATCH($B201,Daily!$A$3:$A$252,0)),""),""))</f>
        <v/>
      </c>
      <c r="E201">
        <f>IF($B201="","",IF(ISNUMBER(IFERROR(INDEX(Daily!$B$3:$B$252,MATCH($B201,Daily!$A$3:$A$252,0)),"")),IFERROR(INDEX(Daily!$B$3:$B$252,MATCH($B201,Daily!$A$3:$A$252,0)),""),0))</f>
        <v/>
      </c>
      <c r="F201">
        <f>IF($B201="","",IF(ISNUMBER(IFERROR(INDEX(Daily!$Y$3:$Y$252,MATCH($B201,Daily!$A$3:$A$252,0)),"")),IFERROR(INDEX(Daily!$Y$3:$Y$252,MATCH($B201,Daily!$A$3:$A$252,0)),""),""))</f>
        <v/>
      </c>
      <c r="G201">
        <f>IF($B201="","",IF(ISNUMBER(IFERROR(INDEX(Daily!$AJ$3:$AJ$252,MATCH($B201,Daily!$A$3:$A$252,0)),"")),IFERROR(INDEX(Daily!$AJ$3:$AJ$252,MATCH($B201,Daily!$A$3:$A$252,0)),""),""))</f>
        <v/>
      </c>
      <c r="H201">
        <f>IF($B201="","",IF(ISNUMBER(IFERROR(INDEX(Daily!$Z$3:$Z$252,MATCH($B201,Daily!$A$3:$A$252,0)),"")),IFERROR(INDEX(Daily!$Z$3:$Z$252,MATCH($B201,Daily!$A$3:$A$252,0)),""),""))</f>
        <v/>
      </c>
      <c r="I201">
        <f>IF($B201="","",IF(ISNUMBER(IFERROR(INDEX(Daily!$AK$3:$AK$252,MATCH($B201,Daily!$A$3:$A$252,0)),"")),IFERROR(INDEX(Daily!$AK$3:$AK$252,MATCH($B201,Daily!$A$3:$A$252,0)),""),""))</f>
        <v/>
      </c>
      <c r="J201">
        <f>IF($B201="","",IF(AND(ISNUMBER(MDS),ISNUMBER(MDE)),IF(AND($B201&gt;=MDS,$B201&lt;=MDE),24,""),""))</f>
        <v/>
      </c>
      <c r="K201">
        <f>IF($B201="","",IF(AND(ISNUMBER(PitanS),ISNUMBER(PitanE)),IF(AND($B201&gt;=PitanS,$B201&lt;=PitanE),26,""),""))</f>
        <v/>
      </c>
      <c r="L201">
        <f>IF($B201="","",IF(AND(ISNUMBER(C1S),ISNUMBER(C3E)),IF(AND($B201&gt;=C1S,$B201&lt;=C3E),22,""),""))</f>
        <v/>
      </c>
    </row>
    <row r="202">
      <c r="A202" t="n">
        <v>201</v>
      </c>
      <c r="B202" s="30">
        <f>IFERROR(SMALL(Daily!$A$3:$A$252,A202),"")</f>
        <v/>
      </c>
      <c r="C202">
        <f>IF($B202="","",IF(ISNUMBER(IFERROR(INDEX(Daily!$T$3:$T$252,MATCH($B202,Daily!$A$3:$A$252,0)),"")),IFERROR(INDEX(Daily!$T$3:$T$252,MATCH($B202,Daily!$A$3:$A$252,0)),""),""))</f>
        <v/>
      </c>
      <c r="D202">
        <f>IF($B202="","",IF(ISNUMBER(IFERROR(INDEX(Daily!$AE$3:$AE$252,MATCH($B202,Daily!$A$3:$A$252,0)),"")),IFERROR(INDEX(Daily!$AE$3:$AE$252,MATCH($B202,Daily!$A$3:$A$252,0)),""),""))</f>
        <v/>
      </c>
      <c r="E202">
        <f>IF($B202="","",IF(ISNUMBER(IFERROR(INDEX(Daily!$B$3:$B$252,MATCH($B202,Daily!$A$3:$A$252,0)),"")),IFERROR(INDEX(Daily!$B$3:$B$252,MATCH($B202,Daily!$A$3:$A$252,0)),""),0))</f>
        <v/>
      </c>
      <c r="F202">
        <f>IF($B202="","",IF(ISNUMBER(IFERROR(INDEX(Daily!$Y$3:$Y$252,MATCH($B202,Daily!$A$3:$A$252,0)),"")),IFERROR(INDEX(Daily!$Y$3:$Y$252,MATCH($B202,Daily!$A$3:$A$252,0)),""),""))</f>
        <v/>
      </c>
      <c r="G202">
        <f>IF($B202="","",IF(ISNUMBER(IFERROR(INDEX(Daily!$AJ$3:$AJ$252,MATCH($B202,Daily!$A$3:$A$252,0)),"")),IFERROR(INDEX(Daily!$AJ$3:$AJ$252,MATCH($B202,Daily!$A$3:$A$252,0)),""),""))</f>
        <v/>
      </c>
      <c r="H202">
        <f>IF($B202="","",IF(ISNUMBER(IFERROR(INDEX(Daily!$Z$3:$Z$252,MATCH($B202,Daily!$A$3:$A$252,0)),"")),IFERROR(INDEX(Daily!$Z$3:$Z$252,MATCH($B202,Daily!$A$3:$A$252,0)),""),""))</f>
        <v/>
      </c>
      <c r="I202">
        <f>IF($B202="","",IF(ISNUMBER(IFERROR(INDEX(Daily!$AK$3:$AK$252,MATCH($B202,Daily!$A$3:$A$252,0)),"")),IFERROR(INDEX(Daily!$AK$3:$AK$252,MATCH($B202,Daily!$A$3:$A$252,0)),""),""))</f>
        <v/>
      </c>
      <c r="J202">
        <f>IF($B202="","",IF(AND(ISNUMBER(MDS),ISNUMBER(MDE)),IF(AND($B202&gt;=MDS,$B202&lt;=MDE),24,""),""))</f>
        <v/>
      </c>
      <c r="K202">
        <f>IF($B202="","",IF(AND(ISNUMBER(PitanS),ISNUMBER(PitanE)),IF(AND($B202&gt;=PitanS,$B202&lt;=PitanE),26,""),""))</f>
        <v/>
      </c>
      <c r="L202">
        <f>IF($B202="","",IF(AND(ISNUMBER(C1S),ISNUMBER(C3E)),IF(AND($B202&gt;=C1S,$B202&lt;=C3E),22,""),""))</f>
        <v/>
      </c>
    </row>
    <row r="203">
      <c r="A203" t="n">
        <v>202</v>
      </c>
      <c r="B203" s="30">
        <f>IFERROR(SMALL(Daily!$A$3:$A$252,A203),"")</f>
        <v/>
      </c>
      <c r="C203">
        <f>IF($B203="","",IF(ISNUMBER(IFERROR(INDEX(Daily!$T$3:$T$252,MATCH($B203,Daily!$A$3:$A$252,0)),"")),IFERROR(INDEX(Daily!$T$3:$T$252,MATCH($B203,Daily!$A$3:$A$252,0)),""),""))</f>
        <v/>
      </c>
      <c r="D203">
        <f>IF($B203="","",IF(ISNUMBER(IFERROR(INDEX(Daily!$AE$3:$AE$252,MATCH($B203,Daily!$A$3:$A$252,0)),"")),IFERROR(INDEX(Daily!$AE$3:$AE$252,MATCH($B203,Daily!$A$3:$A$252,0)),""),""))</f>
        <v/>
      </c>
      <c r="E203">
        <f>IF($B203="","",IF(ISNUMBER(IFERROR(INDEX(Daily!$B$3:$B$252,MATCH($B203,Daily!$A$3:$A$252,0)),"")),IFERROR(INDEX(Daily!$B$3:$B$252,MATCH($B203,Daily!$A$3:$A$252,0)),""),0))</f>
        <v/>
      </c>
      <c r="F203">
        <f>IF($B203="","",IF(ISNUMBER(IFERROR(INDEX(Daily!$Y$3:$Y$252,MATCH($B203,Daily!$A$3:$A$252,0)),"")),IFERROR(INDEX(Daily!$Y$3:$Y$252,MATCH($B203,Daily!$A$3:$A$252,0)),""),""))</f>
        <v/>
      </c>
      <c r="G203">
        <f>IF($B203="","",IF(ISNUMBER(IFERROR(INDEX(Daily!$AJ$3:$AJ$252,MATCH($B203,Daily!$A$3:$A$252,0)),"")),IFERROR(INDEX(Daily!$AJ$3:$AJ$252,MATCH($B203,Daily!$A$3:$A$252,0)),""),""))</f>
        <v/>
      </c>
      <c r="H203">
        <f>IF($B203="","",IF(ISNUMBER(IFERROR(INDEX(Daily!$Z$3:$Z$252,MATCH($B203,Daily!$A$3:$A$252,0)),"")),IFERROR(INDEX(Daily!$Z$3:$Z$252,MATCH($B203,Daily!$A$3:$A$252,0)),""),""))</f>
        <v/>
      </c>
      <c r="I203">
        <f>IF($B203="","",IF(ISNUMBER(IFERROR(INDEX(Daily!$AK$3:$AK$252,MATCH($B203,Daily!$A$3:$A$252,0)),"")),IFERROR(INDEX(Daily!$AK$3:$AK$252,MATCH($B203,Daily!$A$3:$A$252,0)),""),""))</f>
        <v/>
      </c>
      <c r="J203">
        <f>IF($B203="","",IF(AND(ISNUMBER(MDS),ISNUMBER(MDE)),IF(AND($B203&gt;=MDS,$B203&lt;=MDE),24,""),""))</f>
        <v/>
      </c>
      <c r="K203">
        <f>IF($B203="","",IF(AND(ISNUMBER(PitanS),ISNUMBER(PitanE)),IF(AND($B203&gt;=PitanS,$B203&lt;=PitanE),26,""),""))</f>
        <v/>
      </c>
      <c r="L203">
        <f>IF($B203="","",IF(AND(ISNUMBER(C1S),ISNUMBER(C3E)),IF(AND($B203&gt;=C1S,$B203&lt;=C3E),22,""),""))</f>
        <v/>
      </c>
    </row>
    <row r="204">
      <c r="A204" t="n">
        <v>203</v>
      </c>
      <c r="B204" s="30">
        <f>IFERROR(SMALL(Daily!$A$3:$A$252,A204),"")</f>
        <v/>
      </c>
      <c r="C204">
        <f>IF($B204="","",IF(ISNUMBER(IFERROR(INDEX(Daily!$T$3:$T$252,MATCH($B204,Daily!$A$3:$A$252,0)),"")),IFERROR(INDEX(Daily!$T$3:$T$252,MATCH($B204,Daily!$A$3:$A$252,0)),""),""))</f>
        <v/>
      </c>
      <c r="D204">
        <f>IF($B204="","",IF(ISNUMBER(IFERROR(INDEX(Daily!$AE$3:$AE$252,MATCH($B204,Daily!$A$3:$A$252,0)),"")),IFERROR(INDEX(Daily!$AE$3:$AE$252,MATCH($B204,Daily!$A$3:$A$252,0)),""),""))</f>
        <v/>
      </c>
      <c r="E204">
        <f>IF($B204="","",IF(ISNUMBER(IFERROR(INDEX(Daily!$B$3:$B$252,MATCH($B204,Daily!$A$3:$A$252,0)),"")),IFERROR(INDEX(Daily!$B$3:$B$252,MATCH($B204,Daily!$A$3:$A$252,0)),""),0))</f>
        <v/>
      </c>
      <c r="F204">
        <f>IF($B204="","",IF(ISNUMBER(IFERROR(INDEX(Daily!$Y$3:$Y$252,MATCH($B204,Daily!$A$3:$A$252,0)),"")),IFERROR(INDEX(Daily!$Y$3:$Y$252,MATCH($B204,Daily!$A$3:$A$252,0)),""),""))</f>
        <v/>
      </c>
      <c r="G204">
        <f>IF($B204="","",IF(ISNUMBER(IFERROR(INDEX(Daily!$AJ$3:$AJ$252,MATCH($B204,Daily!$A$3:$A$252,0)),"")),IFERROR(INDEX(Daily!$AJ$3:$AJ$252,MATCH($B204,Daily!$A$3:$A$252,0)),""),""))</f>
        <v/>
      </c>
      <c r="H204">
        <f>IF($B204="","",IF(ISNUMBER(IFERROR(INDEX(Daily!$Z$3:$Z$252,MATCH($B204,Daily!$A$3:$A$252,0)),"")),IFERROR(INDEX(Daily!$Z$3:$Z$252,MATCH($B204,Daily!$A$3:$A$252,0)),""),""))</f>
        <v/>
      </c>
      <c r="I204">
        <f>IF($B204="","",IF(ISNUMBER(IFERROR(INDEX(Daily!$AK$3:$AK$252,MATCH($B204,Daily!$A$3:$A$252,0)),"")),IFERROR(INDEX(Daily!$AK$3:$AK$252,MATCH($B204,Daily!$A$3:$A$252,0)),""),""))</f>
        <v/>
      </c>
      <c r="J204">
        <f>IF($B204="","",IF(AND(ISNUMBER(MDS),ISNUMBER(MDE)),IF(AND($B204&gt;=MDS,$B204&lt;=MDE),24,""),""))</f>
        <v/>
      </c>
      <c r="K204">
        <f>IF($B204="","",IF(AND(ISNUMBER(PitanS),ISNUMBER(PitanE)),IF(AND($B204&gt;=PitanS,$B204&lt;=PitanE),26,""),""))</f>
        <v/>
      </c>
      <c r="L204">
        <f>IF($B204="","",IF(AND(ISNUMBER(C1S),ISNUMBER(C3E)),IF(AND($B204&gt;=C1S,$B204&lt;=C3E),22,""),""))</f>
        <v/>
      </c>
    </row>
    <row r="205">
      <c r="A205" t="n">
        <v>204</v>
      </c>
      <c r="B205" s="30">
        <f>IFERROR(SMALL(Daily!$A$3:$A$252,A205),"")</f>
        <v/>
      </c>
      <c r="C205">
        <f>IF($B205="","",IF(ISNUMBER(IFERROR(INDEX(Daily!$T$3:$T$252,MATCH($B205,Daily!$A$3:$A$252,0)),"")),IFERROR(INDEX(Daily!$T$3:$T$252,MATCH($B205,Daily!$A$3:$A$252,0)),""),""))</f>
        <v/>
      </c>
      <c r="D205">
        <f>IF($B205="","",IF(ISNUMBER(IFERROR(INDEX(Daily!$AE$3:$AE$252,MATCH($B205,Daily!$A$3:$A$252,0)),"")),IFERROR(INDEX(Daily!$AE$3:$AE$252,MATCH($B205,Daily!$A$3:$A$252,0)),""),""))</f>
        <v/>
      </c>
      <c r="E205">
        <f>IF($B205="","",IF(ISNUMBER(IFERROR(INDEX(Daily!$B$3:$B$252,MATCH($B205,Daily!$A$3:$A$252,0)),"")),IFERROR(INDEX(Daily!$B$3:$B$252,MATCH($B205,Daily!$A$3:$A$252,0)),""),0))</f>
        <v/>
      </c>
      <c r="F205">
        <f>IF($B205="","",IF(ISNUMBER(IFERROR(INDEX(Daily!$Y$3:$Y$252,MATCH($B205,Daily!$A$3:$A$252,0)),"")),IFERROR(INDEX(Daily!$Y$3:$Y$252,MATCH($B205,Daily!$A$3:$A$252,0)),""),""))</f>
        <v/>
      </c>
      <c r="G205">
        <f>IF($B205="","",IF(ISNUMBER(IFERROR(INDEX(Daily!$AJ$3:$AJ$252,MATCH($B205,Daily!$A$3:$A$252,0)),"")),IFERROR(INDEX(Daily!$AJ$3:$AJ$252,MATCH($B205,Daily!$A$3:$A$252,0)),""),""))</f>
        <v/>
      </c>
      <c r="H205">
        <f>IF($B205="","",IF(ISNUMBER(IFERROR(INDEX(Daily!$Z$3:$Z$252,MATCH($B205,Daily!$A$3:$A$252,0)),"")),IFERROR(INDEX(Daily!$Z$3:$Z$252,MATCH($B205,Daily!$A$3:$A$252,0)),""),""))</f>
        <v/>
      </c>
      <c r="I205">
        <f>IF($B205="","",IF(ISNUMBER(IFERROR(INDEX(Daily!$AK$3:$AK$252,MATCH($B205,Daily!$A$3:$A$252,0)),"")),IFERROR(INDEX(Daily!$AK$3:$AK$252,MATCH($B205,Daily!$A$3:$A$252,0)),""),""))</f>
        <v/>
      </c>
      <c r="J205">
        <f>IF($B205="","",IF(AND(ISNUMBER(MDS),ISNUMBER(MDE)),IF(AND($B205&gt;=MDS,$B205&lt;=MDE),24,""),""))</f>
        <v/>
      </c>
      <c r="K205">
        <f>IF($B205="","",IF(AND(ISNUMBER(PitanS),ISNUMBER(PitanE)),IF(AND($B205&gt;=PitanS,$B205&lt;=PitanE),26,""),""))</f>
        <v/>
      </c>
      <c r="L205">
        <f>IF($B205="","",IF(AND(ISNUMBER(C1S),ISNUMBER(C3E)),IF(AND($B205&gt;=C1S,$B205&lt;=C3E),22,""),""))</f>
        <v/>
      </c>
    </row>
    <row r="206">
      <c r="A206" t="n">
        <v>205</v>
      </c>
      <c r="B206" s="30">
        <f>IFERROR(SMALL(Daily!$A$3:$A$252,A206),"")</f>
        <v/>
      </c>
      <c r="C206">
        <f>IF($B206="","",IF(ISNUMBER(IFERROR(INDEX(Daily!$T$3:$T$252,MATCH($B206,Daily!$A$3:$A$252,0)),"")),IFERROR(INDEX(Daily!$T$3:$T$252,MATCH($B206,Daily!$A$3:$A$252,0)),""),""))</f>
        <v/>
      </c>
      <c r="D206">
        <f>IF($B206="","",IF(ISNUMBER(IFERROR(INDEX(Daily!$AE$3:$AE$252,MATCH($B206,Daily!$A$3:$A$252,0)),"")),IFERROR(INDEX(Daily!$AE$3:$AE$252,MATCH($B206,Daily!$A$3:$A$252,0)),""),""))</f>
        <v/>
      </c>
      <c r="E206">
        <f>IF($B206="","",IF(ISNUMBER(IFERROR(INDEX(Daily!$B$3:$B$252,MATCH($B206,Daily!$A$3:$A$252,0)),"")),IFERROR(INDEX(Daily!$B$3:$B$252,MATCH($B206,Daily!$A$3:$A$252,0)),""),0))</f>
        <v/>
      </c>
      <c r="F206">
        <f>IF($B206="","",IF(ISNUMBER(IFERROR(INDEX(Daily!$Y$3:$Y$252,MATCH($B206,Daily!$A$3:$A$252,0)),"")),IFERROR(INDEX(Daily!$Y$3:$Y$252,MATCH($B206,Daily!$A$3:$A$252,0)),""),""))</f>
        <v/>
      </c>
      <c r="G206">
        <f>IF($B206="","",IF(ISNUMBER(IFERROR(INDEX(Daily!$AJ$3:$AJ$252,MATCH($B206,Daily!$A$3:$A$252,0)),"")),IFERROR(INDEX(Daily!$AJ$3:$AJ$252,MATCH($B206,Daily!$A$3:$A$252,0)),""),""))</f>
        <v/>
      </c>
      <c r="H206">
        <f>IF($B206="","",IF(ISNUMBER(IFERROR(INDEX(Daily!$Z$3:$Z$252,MATCH($B206,Daily!$A$3:$A$252,0)),"")),IFERROR(INDEX(Daily!$Z$3:$Z$252,MATCH($B206,Daily!$A$3:$A$252,0)),""),""))</f>
        <v/>
      </c>
      <c r="I206">
        <f>IF($B206="","",IF(ISNUMBER(IFERROR(INDEX(Daily!$AK$3:$AK$252,MATCH($B206,Daily!$A$3:$A$252,0)),"")),IFERROR(INDEX(Daily!$AK$3:$AK$252,MATCH($B206,Daily!$A$3:$A$252,0)),""),""))</f>
        <v/>
      </c>
      <c r="J206">
        <f>IF($B206="","",IF(AND(ISNUMBER(MDS),ISNUMBER(MDE)),IF(AND($B206&gt;=MDS,$B206&lt;=MDE),24,""),""))</f>
        <v/>
      </c>
      <c r="K206">
        <f>IF($B206="","",IF(AND(ISNUMBER(PitanS),ISNUMBER(PitanE)),IF(AND($B206&gt;=PitanS,$B206&lt;=PitanE),26,""),""))</f>
        <v/>
      </c>
      <c r="L206">
        <f>IF($B206="","",IF(AND(ISNUMBER(C1S),ISNUMBER(C3E)),IF(AND($B206&gt;=C1S,$B206&lt;=C3E),22,""),""))</f>
        <v/>
      </c>
    </row>
    <row r="207">
      <c r="A207" t="n">
        <v>206</v>
      </c>
      <c r="B207" s="30">
        <f>IFERROR(SMALL(Daily!$A$3:$A$252,A207),"")</f>
        <v/>
      </c>
      <c r="C207">
        <f>IF($B207="","",IF(ISNUMBER(IFERROR(INDEX(Daily!$T$3:$T$252,MATCH($B207,Daily!$A$3:$A$252,0)),"")),IFERROR(INDEX(Daily!$T$3:$T$252,MATCH($B207,Daily!$A$3:$A$252,0)),""),""))</f>
        <v/>
      </c>
      <c r="D207">
        <f>IF($B207="","",IF(ISNUMBER(IFERROR(INDEX(Daily!$AE$3:$AE$252,MATCH($B207,Daily!$A$3:$A$252,0)),"")),IFERROR(INDEX(Daily!$AE$3:$AE$252,MATCH($B207,Daily!$A$3:$A$252,0)),""),""))</f>
        <v/>
      </c>
      <c r="E207">
        <f>IF($B207="","",IF(ISNUMBER(IFERROR(INDEX(Daily!$B$3:$B$252,MATCH($B207,Daily!$A$3:$A$252,0)),"")),IFERROR(INDEX(Daily!$B$3:$B$252,MATCH($B207,Daily!$A$3:$A$252,0)),""),0))</f>
        <v/>
      </c>
      <c r="F207">
        <f>IF($B207="","",IF(ISNUMBER(IFERROR(INDEX(Daily!$Y$3:$Y$252,MATCH($B207,Daily!$A$3:$A$252,0)),"")),IFERROR(INDEX(Daily!$Y$3:$Y$252,MATCH($B207,Daily!$A$3:$A$252,0)),""),""))</f>
        <v/>
      </c>
      <c r="G207">
        <f>IF($B207="","",IF(ISNUMBER(IFERROR(INDEX(Daily!$AJ$3:$AJ$252,MATCH($B207,Daily!$A$3:$A$252,0)),"")),IFERROR(INDEX(Daily!$AJ$3:$AJ$252,MATCH($B207,Daily!$A$3:$A$252,0)),""),""))</f>
        <v/>
      </c>
      <c r="H207">
        <f>IF($B207="","",IF(ISNUMBER(IFERROR(INDEX(Daily!$Z$3:$Z$252,MATCH($B207,Daily!$A$3:$A$252,0)),"")),IFERROR(INDEX(Daily!$Z$3:$Z$252,MATCH($B207,Daily!$A$3:$A$252,0)),""),""))</f>
        <v/>
      </c>
      <c r="I207">
        <f>IF($B207="","",IF(ISNUMBER(IFERROR(INDEX(Daily!$AK$3:$AK$252,MATCH($B207,Daily!$A$3:$A$252,0)),"")),IFERROR(INDEX(Daily!$AK$3:$AK$252,MATCH($B207,Daily!$A$3:$A$252,0)),""),""))</f>
        <v/>
      </c>
      <c r="J207">
        <f>IF($B207="","",IF(AND(ISNUMBER(MDS),ISNUMBER(MDE)),IF(AND($B207&gt;=MDS,$B207&lt;=MDE),24,""),""))</f>
        <v/>
      </c>
      <c r="K207">
        <f>IF($B207="","",IF(AND(ISNUMBER(PitanS),ISNUMBER(PitanE)),IF(AND($B207&gt;=PitanS,$B207&lt;=PitanE),26,""),""))</f>
        <v/>
      </c>
      <c r="L207">
        <f>IF($B207="","",IF(AND(ISNUMBER(C1S),ISNUMBER(C3E)),IF(AND($B207&gt;=C1S,$B207&lt;=C3E),22,""),""))</f>
        <v/>
      </c>
    </row>
    <row r="208">
      <c r="A208" t="n">
        <v>207</v>
      </c>
      <c r="B208" s="30">
        <f>IFERROR(SMALL(Daily!$A$3:$A$252,A208),"")</f>
        <v/>
      </c>
      <c r="C208">
        <f>IF($B208="","",IF(ISNUMBER(IFERROR(INDEX(Daily!$T$3:$T$252,MATCH($B208,Daily!$A$3:$A$252,0)),"")),IFERROR(INDEX(Daily!$T$3:$T$252,MATCH($B208,Daily!$A$3:$A$252,0)),""),""))</f>
        <v/>
      </c>
      <c r="D208">
        <f>IF($B208="","",IF(ISNUMBER(IFERROR(INDEX(Daily!$AE$3:$AE$252,MATCH($B208,Daily!$A$3:$A$252,0)),"")),IFERROR(INDEX(Daily!$AE$3:$AE$252,MATCH($B208,Daily!$A$3:$A$252,0)),""),""))</f>
        <v/>
      </c>
      <c r="E208">
        <f>IF($B208="","",IF(ISNUMBER(IFERROR(INDEX(Daily!$B$3:$B$252,MATCH($B208,Daily!$A$3:$A$252,0)),"")),IFERROR(INDEX(Daily!$B$3:$B$252,MATCH($B208,Daily!$A$3:$A$252,0)),""),0))</f>
        <v/>
      </c>
      <c r="F208">
        <f>IF($B208="","",IF(ISNUMBER(IFERROR(INDEX(Daily!$Y$3:$Y$252,MATCH($B208,Daily!$A$3:$A$252,0)),"")),IFERROR(INDEX(Daily!$Y$3:$Y$252,MATCH($B208,Daily!$A$3:$A$252,0)),""),""))</f>
        <v/>
      </c>
      <c r="G208">
        <f>IF($B208="","",IF(ISNUMBER(IFERROR(INDEX(Daily!$AJ$3:$AJ$252,MATCH($B208,Daily!$A$3:$A$252,0)),"")),IFERROR(INDEX(Daily!$AJ$3:$AJ$252,MATCH($B208,Daily!$A$3:$A$252,0)),""),""))</f>
        <v/>
      </c>
      <c r="H208">
        <f>IF($B208="","",IF(ISNUMBER(IFERROR(INDEX(Daily!$Z$3:$Z$252,MATCH($B208,Daily!$A$3:$A$252,0)),"")),IFERROR(INDEX(Daily!$Z$3:$Z$252,MATCH($B208,Daily!$A$3:$A$252,0)),""),""))</f>
        <v/>
      </c>
      <c r="I208">
        <f>IF($B208="","",IF(ISNUMBER(IFERROR(INDEX(Daily!$AK$3:$AK$252,MATCH($B208,Daily!$A$3:$A$252,0)),"")),IFERROR(INDEX(Daily!$AK$3:$AK$252,MATCH($B208,Daily!$A$3:$A$252,0)),""),""))</f>
        <v/>
      </c>
      <c r="J208">
        <f>IF($B208="","",IF(AND(ISNUMBER(MDS),ISNUMBER(MDE)),IF(AND($B208&gt;=MDS,$B208&lt;=MDE),24,""),""))</f>
        <v/>
      </c>
      <c r="K208">
        <f>IF($B208="","",IF(AND(ISNUMBER(PitanS),ISNUMBER(PitanE)),IF(AND($B208&gt;=PitanS,$B208&lt;=PitanE),26,""),""))</f>
        <v/>
      </c>
      <c r="L208">
        <f>IF($B208="","",IF(AND(ISNUMBER(C1S),ISNUMBER(C3E)),IF(AND($B208&gt;=C1S,$B208&lt;=C3E),22,""),""))</f>
        <v/>
      </c>
    </row>
    <row r="209">
      <c r="A209" t="n">
        <v>208</v>
      </c>
      <c r="B209" s="30">
        <f>IFERROR(SMALL(Daily!$A$3:$A$252,A209),"")</f>
        <v/>
      </c>
      <c r="C209">
        <f>IF($B209="","",IF(ISNUMBER(IFERROR(INDEX(Daily!$T$3:$T$252,MATCH($B209,Daily!$A$3:$A$252,0)),"")),IFERROR(INDEX(Daily!$T$3:$T$252,MATCH($B209,Daily!$A$3:$A$252,0)),""),""))</f>
        <v/>
      </c>
      <c r="D209">
        <f>IF($B209="","",IF(ISNUMBER(IFERROR(INDEX(Daily!$AE$3:$AE$252,MATCH($B209,Daily!$A$3:$A$252,0)),"")),IFERROR(INDEX(Daily!$AE$3:$AE$252,MATCH($B209,Daily!$A$3:$A$252,0)),""),""))</f>
        <v/>
      </c>
      <c r="E209">
        <f>IF($B209="","",IF(ISNUMBER(IFERROR(INDEX(Daily!$B$3:$B$252,MATCH($B209,Daily!$A$3:$A$252,0)),"")),IFERROR(INDEX(Daily!$B$3:$B$252,MATCH($B209,Daily!$A$3:$A$252,0)),""),0))</f>
        <v/>
      </c>
      <c r="F209">
        <f>IF($B209="","",IF(ISNUMBER(IFERROR(INDEX(Daily!$Y$3:$Y$252,MATCH($B209,Daily!$A$3:$A$252,0)),"")),IFERROR(INDEX(Daily!$Y$3:$Y$252,MATCH($B209,Daily!$A$3:$A$252,0)),""),""))</f>
        <v/>
      </c>
      <c r="G209">
        <f>IF($B209="","",IF(ISNUMBER(IFERROR(INDEX(Daily!$AJ$3:$AJ$252,MATCH($B209,Daily!$A$3:$A$252,0)),"")),IFERROR(INDEX(Daily!$AJ$3:$AJ$252,MATCH($B209,Daily!$A$3:$A$252,0)),""),""))</f>
        <v/>
      </c>
      <c r="H209">
        <f>IF($B209="","",IF(ISNUMBER(IFERROR(INDEX(Daily!$Z$3:$Z$252,MATCH($B209,Daily!$A$3:$A$252,0)),"")),IFERROR(INDEX(Daily!$Z$3:$Z$252,MATCH($B209,Daily!$A$3:$A$252,0)),""),""))</f>
        <v/>
      </c>
      <c r="I209">
        <f>IF($B209="","",IF(ISNUMBER(IFERROR(INDEX(Daily!$AK$3:$AK$252,MATCH($B209,Daily!$A$3:$A$252,0)),"")),IFERROR(INDEX(Daily!$AK$3:$AK$252,MATCH($B209,Daily!$A$3:$A$252,0)),""),""))</f>
        <v/>
      </c>
      <c r="J209">
        <f>IF($B209="","",IF(AND(ISNUMBER(MDS),ISNUMBER(MDE)),IF(AND($B209&gt;=MDS,$B209&lt;=MDE),24,""),""))</f>
        <v/>
      </c>
      <c r="K209">
        <f>IF($B209="","",IF(AND(ISNUMBER(PitanS),ISNUMBER(PitanE)),IF(AND($B209&gt;=PitanS,$B209&lt;=PitanE),26,""),""))</f>
        <v/>
      </c>
      <c r="L209">
        <f>IF($B209="","",IF(AND(ISNUMBER(C1S),ISNUMBER(C3E)),IF(AND($B209&gt;=C1S,$B209&lt;=C3E),22,""),""))</f>
        <v/>
      </c>
    </row>
    <row r="210">
      <c r="A210" t="n">
        <v>209</v>
      </c>
      <c r="B210" s="30">
        <f>IFERROR(SMALL(Daily!$A$3:$A$252,A210),"")</f>
        <v/>
      </c>
      <c r="C210">
        <f>IF($B210="","",IF(ISNUMBER(IFERROR(INDEX(Daily!$T$3:$T$252,MATCH($B210,Daily!$A$3:$A$252,0)),"")),IFERROR(INDEX(Daily!$T$3:$T$252,MATCH($B210,Daily!$A$3:$A$252,0)),""),""))</f>
        <v/>
      </c>
      <c r="D210">
        <f>IF($B210="","",IF(ISNUMBER(IFERROR(INDEX(Daily!$AE$3:$AE$252,MATCH($B210,Daily!$A$3:$A$252,0)),"")),IFERROR(INDEX(Daily!$AE$3:$AE$252,MATCH($B210,Daily!$A$3:$A$252,0)),""),""))</f>
        <v/>
      </c>
      <c r="E210">
        <f>IF($B210="","",IF(ISNUMBER(IFERROR(INDEX(Daily!$B$3:$B$252,MATCH($B210,Daily!$A$3:$A$252,0)),"")),IFERROR(INDEX(Daily!$B$3:$B$252,MATCH($B210,Daily!$A$3:$A$252,0)),""),0))</f>
        <v/>
      </c>
      <c r="F210">
        <f>IF($B210="","",IF(ISNUMBER(IFERROR(INDEX(Daily!$Y$3:$Y$252,MATCH($B210,Daily!$A$3:$A$252,0)),"")),IFERROR(INDEX(Daily!$Y$3:$Y$252,MATCH($B210,Daily!$A$3:$A$252,0)),""),""))</f>
        <v/>
      </c>
      <c r="G210">
        <f>IF($B210="","",IF(ISNUMBER(IFERROR(INDEX(Daily!$AJ$3:$AJ$252,MATCH($B210,Daily!$A$3:$A$252,0)),"")),IFERROR(INDEX(Daily!$AJ$3:$AJ$252,MATCH($B210,Daily!$A$3:$A$252,0)),""),""))</f>
        <v/>
      </c>
      <c r="H210">
        <f>IF($B210="","",IF(ISNUMBER(IFERROR(INDEX(Daily!$Z$3:$Z$252,MATCH($B210,Daily!$A$3:$A$252,0)),"")),IFERROR(INDEX(Daily!$Z$3:$Z$252,MATCH($B210,Daily!$A$3:$A$252,0)),""),""))</f>
        <v/>
      </c>
      <c r="I210">
        <f>IF($B210="","",IF(ISNUMBER(IFERROR(INDEX(Daily!$AK$3:$AK$252,MATCH($B210,Daily!$A$3:$A$252,0)),"")),IFERROR(INDEX(Daily!$AK$3:$AK$252,MATCH($B210,Daily!$A$3:$A$252,0)),""),""))</f>
        <v/>
      </c>
      <c r="J210">
        <f>IF($B210="","",IF(AND(ISNUMBER(MDS),ISNUMBER(MDE)),IF(AND($B210&gt;=MDS,$B210&lt;=MDE),24,""),""))</f>
        <v/>
      </c>
      <c r="K210">
        <f>IF($B210="","",IF(AND(ISNUMBER(PitanS),ISNUMBER(PitanE)),IF(AND($B210&gt;=PitanS,$B210&lt;=PitanE),26,""),""))</f>
        <v/>
      </c>
      <c r="L210">
        <f>IF($B210="","",IF(AND(ISNUMBER(C1S),ISNUMBER(C3E)),IF(AND($B210&gt;=C1S,$B210&lt;=C3E),22,""),""))</f>
        <v/>
      </c>
    </row>
    <row r="211">
      <c r="A211" t="n">
        <v>210</v>
      </c>
      <c r="B211" s="30">
        <f>IFERROR(SMALL(Daily!$A$3:$A$252,A211),"")</f>
        <v/>
      </c>
      <c r="C211">
        <f>IF($B211="","",IF(ISNUMBER(IFERROR(INDEX(Daily!$T$3:$T$252,MATCH($B211,Daily!$A$3:$A$252,0)),"")),IFERROR(INDEX(Daily!$T$3:$T$252,MATCH($B211,Daily!$A$3:$A$252,0)),""),""))</f>
        <v/>
      </c>
      <c r="D211">
        <f>IF($B211="","",IF(ISNUMBER(IFERROR(INDEX(Daily!$AE$3:$AE$252,MATCH($B211,Daily!$A$3:$A$252,0)),"")),IFERROR(INDEX(Daily!$AE$3:$AE$252,MATCH($B211,Daily!$A$3:$A$252,0)),""),""))</f>
        <v/>
      </c>
      <c r="E211">
        <f>IF($B211="","",IF(ISNUMBER(IFERROR(INDEX(Daily!$B$3:$B$252,MATCH($B211,Daily!$A$3:$A$252,0)),"")),IFERROR(INDEX(Daily!$B$3:$B$252,MATCH($B211,Daily!$A$3:$A$252,0)),""),0))</f>
        <v/>
      </c>
      <c r="F211">
        <f>IF($B211="","",IF(ISNUMBER(IFERROR(INDEX(Daily!$Y$3:$Y$252,MATCH($B211,Daily!$A$3:$A$252,0)),"")),IFERROR(INDEX(Daily!$Y$3:$Y$252,MATCH($B211,Daily!$A$3:$A$252,0)),""),""))</f>
        <v/>
      </c>
      <c r="G211">
        <f>IF($B211="","",IF(ISNUMBER(IFERROR(INDEX(Daily!$AJ$3:$AJ$252,MATCH($B211,Daily!$A$3:$A$252,0)),"")),IFERROR(INDEX(Daily!$AJ$3:$AJ$252,MATCH($B211,Daily!$A$3:$A$252,0)),""),""))</f>
        <v/>
      </c>
      <c r="H211">
        <f>IF($B211="","",IF(ISNUMBER(IFERROR(INDEX(Daily!$Z$3:$Z$252,MATCH($B211,Daily!$A$3:$A$252,0)),"")),IFERROR(INDEX(Daily!$Z$3:$Z$252,MATCH($B211,Daily!$A$3:$A$252,0)),""),""))</f>
        <v/>
      </c>
      <c r="I211">
        <f>IF($B211="","",IF(ISNUMBER(IFERROR(INDEX(Daily!$AK$3:$AK$252,MATCH($B211,Daily!$A$3:$A$252,0)),"")),IFERROR(INDEX(Daily!$AK$3:$AK$252,MATCH($B211,Daily!$A$3:$A$252,0)),""),""))</f>
        <v/>
      </c>
      <c r="J211">
        <f>IF($B211="","",IF(AND(ISNUMBER(MDS),ISNUMBER(MDE)),IF(AND($B211&gt;=MDS,$B211&lt;=MDE),24,""),""))</f>
        <v/>
      </c>
      <c r="K211">
        <f>IF($B211="","",IF(AND(ISNUMBER(PitanS),ISNUMBER(PitanE)),IF(AND($B211&gt;=PitanS,$B211&lt;=PitanE),26,""),""))</f>
        <v/>
      </c>
      <c r="L211">
        <f>IF($B211="","",IF(AND(ISNUMBER(C1S),ISNUMBER(C3E)),IF(AND($B211&gt;=C1S,$B211&lt;=C3E),22,""),""))</f>
        <v/>
      </c>
    </row>
    <row r="212">
      <c r="A212" t="n">
        <v>211</v>
      </c>
      <c r="B212" s="30">
        <f>IFERROR(SMALL(Daily!$A$3:$A$252,A212),"")</f>
        <v/>
      </c>
      <c r="C212">
        <f>IF($B212="","",IF(ISNUMBER(IFERROR(INDEX(Daily!$T$3:$T$252,MATCH($B212,Daily!$A$3:$A$252,0)),"")),IFERROR(INDEX(Daily!$T$3:$T$252,MATCH($B212,Daily!$A$3:$A$252,0)),""),""))</f>
        <v/>
      </c>
      <c r="D212">
        <f>IF($B212="","",IF(ISNUMBER(IFERROR(INDEX(Daily!$AE$3:$AE$252,MATCH($B212,Daily!$A$3:$A$252,0)),"")),IFERROR(INDEX(Daily!$AE$3:$AE$252,MATCH($B212,Daily!$A$3:$A$252,0)),""),""))</f>
        <v/>
      </c>
      <c r="E212">
        <f>IF($B212="","",IF(ISNUMBER(IFERROR(INDEX(Daily!$B$3:$B$252,MATCH($B212,Daily!$A$3:$A$252,0)),"")),IFERROR(INDEX(Daily!$B$3:$B$252,MATCH($B212,Daily!$A$3:$A$252,0)),""),0))</f>
        <v/>
      </c>
      <c r="F212">
        <f>IF($B212="","",IF(ISNUMBER(IFERROR(INDEX(Daily!$Y$3:$Y$252,MATCH($B212,Daily!$A$3:$A$252,0)),"")),IFERROR(INDEX(Daily!$Y$3:$Y$252,MATCH($B212,Daily!$A$3:$A$252,0)),""),""))</f>
        <v/>
      </c>
      <c r="G212">
        <f>IF($B212="","",IF(ISNUMBER(IFERROR(INDEX(Daily!$AJ$3:$AJ$252,MATCH($B212,Daily!$A$3:$A$252,0)),"")),IFERROR(INDEX(Daily!$AJ$3:$AJ$252,MATCH($B212,Daily!$A$3:$A$252,0)),""),""))</f>
        <v/>
      </c>
      <c r="H212">
        <f>IF($B212="","",IF(ISNUMBER(IFERROR(INDEX(Daily!$Z$3:$Z$252,MATCH($B212,Daily!$A$3:$A$252,0)),"")),IFERROR(INDEX(Daily!$Z$3:$Z$252,MATCH($B212,Daily!$A$3:$A$252,0)),""),""))</f>
        <v/>
      </c>
      <c r="I212">
        <f>IF($B212="","",IF(ISNUMBER(IFERROR(INDEX(Daily!$AK$3:$AK$252,MATCH($B212,Daily!$A$3:$A$252,0)),"")),IFERROR(INDEX(Daily!$AK$3:$AK$252,MATCH($B212,Daily!$A$3:$A$252,0)),""),""))</f>
        <v/>
      </c>
      <c r="J212">
        <f>IF($B212="","",IF(AND(ISNUMBER(MDS),ISNUMBER(MDE)),IF(AND($B212&gt;=MDS,$B212&lt;=MDE),24,""),""))</f>
        <v/>
      </c>
      <c r="K212">
        <f>IF($B212="","",IF(AND(ISNUMBER(PitanS),ISNUMBER(PitanE)),IF(AND($B212&gt;=PitanS,$B212&lt;=PitanE),26,""),""))</f>
        <v/>
      </c>
      <c r="L212">
        <f>IF($B212="","",IF(AND(ISNUMBER(C1S),ISNUMBER(C3E)),IF(AND($B212&gt;=C1S,$B212&lt;=C3E),22,""),""))</f>
        <v/>
      </c>
    </row>
    <row r="213">
      <c r="A213" t="n">
        <v>212</v>
      </c>
      <c r="B213" s="30">
        <f>IFERROR(SMALL(Daily!$A$3:$A$252,A213),"")</f>
        <v/>
      </c>
      <c r="C213">
        <f>IF($B213="","",IF(ISNUMBER(IFERROR(INDEX(Daily!$T$3:$T$252,MATCH($B213,Daily!$A$3:$A$252,0)),"")),IFERROR(INDEX(Daily!$T$3:$T$252,MATCH($B213,Daily!$A$3:$A$252,0)),""),""))</f>
        <v/>
      </c>
      <c r="D213">
        <f>IF($B213="","",IF(ISNUMBER(IFERROR(INDEX(Daily!$AE$3:$AE$252,MATCH($B213,Daily!$A$3:$A$252,0)),"")),IFERROR(INDEX(Daily!$AE$3:$AE$252,MATCH($B213,Daily!$A$3:$A$252,0)),""),""))</f>
        <v/>
      </c>
      <c r="E213">
        <f>IF($B213="","",IF(ISNUMBER(IFERROR(INDEX(Daily!$B$3:$B$252,MATCH($B213,Daily!$A$3:$A$252,0)),"")),IFERROR(INDEX(Daily!$B$3:$B$252,MATCH($B213,Daily!$A$3:$A$252,0)),""),0))</f>
        <v/>
      </c>
      <c r="F213">
        <f>IF($B213="","",IF(ISNUMBER(IFERROR(INDEX(Daily!$Y$3:$Y$252,MATCH($B213,Daily!$A$3:$A$252,0)),"")),IFERROR(INDEX(Daily!$Y$3:$Y$252,MATCH($B213,Daily!$A$3:$A$252,0)),""),""))</f>
        <v/>
      </c>
      <c r="G213">
        <f>IF($B213="","",IF(ISNUMBER(IFERROR(INDEX(Daily!$AJ$3:$AJ$252,MATCH($B213,Daily!$A$3:$A$252,0)),"")),IFERROR(INDEX(Daily!$AJ$3:$AJ$252,MATCH($B213,Daily!$A$3:$A$252,0)),""),""))</f>
        <v/>
      </c>
      <c r="H213">
        <f>IF($B213="","",IF(ISNUMBER(IFERROR(INDEX(Daily!$Z$3:$Z$252,MATCH($B213,Daily!$A$3:$A$252,0)),"")),IFERROR(INDEX(Daily!$Z$3:$Z$252,MATCH($B213,Daily!$A$3:$A$252,0)),""),""))</f>
        <v/>
      </c>
      <c r="I213">
        <f>IF($B213="","",IF(ISNUMBER(IFERROR(INDEX(Daily!$AK$3:$AK$252,MATCH($B213,Daily!$A$3:$A$252,0)),"")),IFERROR(INDEX(Daily!$AK$3:$AK$252,MATCH($B213,Daily!$A$3:$A$252,0)),""),""))</f>
        <v/>
      </c>
      <c r="J213">
        <f>IF($B213="","",IF(AND(ISNUMBER(MDS),ISNUMBER(MDE)),IF(AND($B213&gt;=MDS,$B213&lt;=MDE),24,""),""))</f>
        <v/>
      </c>
      <c r="K213">
        <f>IF($B213="","",IF(AND(ISNUMBER(PitanS),ISNUMBER(PitanE)),IF(AND($B213&gt;=PitanS,$B213&lt;=PitanE),26,""),""))</f>
        <v/>
      </c>
      <c r="L213">
        <f>IF($B213="","",IF(AND(ISNUMBER(C1S),ISNUMBER(C3E)),IF(AND($B213&gt;=C1S,$B213&lt;=C3E),22,""),""))</f>
        <v/>
      </c>
    </row>
    <row r="214">
      <c r="A214" t="n">
        <v>213</v>
      </c>
      <c r="B214" s="30">
        <f>IFERROR(SMALL(Daily!$A$3:$A$252,A214),"")</f>
        <v/>
      </c>
      <c r="C214">
        <f>IF($B214="","",IF(ISNUMBER(IFERROR(INDEX(Daily!$T$3:$T$252,MATCH($B214,Daily!$A$3:$A$252,0)),"")),IFERROR(INDEX(Daily!$T$3:$T$252,MATCH($B214,Daily!$A$3:$A$252,0)),""),""))</f>
        <v/>
      </c>
      <c r="D214">
        <f>IF($B214="","",IF(ISNUMBER(IFERROR(INDEX(Daily!$AE$3:$AE$252,MATCH($B214,Daily!$A$3:$A$252,0)),"")),IFERROR(INDEX(Daily!$AE$3:$AE$252,MATCH($B214,Daily!$A$3:$A$252,0)),""),""))</f>
        <v/>
      </c>
      <c r="E214">
        <f>IF($B214="","",IF(ISNUMBER(IFERROR(INDEX(Daily!$B$3:$B$252,MATCH($B214,Daily!$A$3:$A$252,0)),"")),IFERROR(INDEX(Daily!$B$3:$B$252,MATCH($B214,Daily!$A$3:$A$252,0)),""),0))</f>
        <v/>
      </c>
      <c r="F214">
        <f>IF($B214="","",IF(ISNUMBER(IFERROR(INDEX(Daily!$Y$3:$Y$252,MATCH($B214,Daily!$A$3:$A$252,0)),"")),IFERROR(INDEX(Daily!$Y$3:$Y$252,MATCH($B214,Daily!$A$3:$A$252,0)),""),""))</f>
        <v/>
      </c>
      <c r="G214">
        <f>IF($B214="","",IF(ISNUMBER(IFERROR(INDEX(Daily!$AJ$3:$AJ$252,MATCH($B214,Daily!$A$3:$A$252,0)),"")),IFERROR(INDEX(Daily!$AJ$3:$AJ$252,MATCH($B214,Daily!$A$3:$A$252,0)),""),""))</f>
        <v/>
      </c>
      <c r="H214">
        <f>IF($B214="","",IF(ISNUMBER(IFERROR(INDEX(Daily!$Z$3:$Z$252,MATCH($B214,Daily!$A$3:$A$252,0)),"")),IFERROR(INDEX(Daily!$Z$3:$Z$252,MATCH($B214,Daily!$A$3:$A$252,0)),""),""))</f>
        <v/>
      </c>
      <c r="I214">
        <f>IF($B214="","",IF(ISNUMBER(IFERROR(INDEX(Daily!$AK$3:$AK$252,MATCH($B214,Daily!$A$3:$A$252,0)),"")),IFERROR(INDEX(Daily!$AK$3:$AK$252,MATCH($B214,Daily!$A$3:$A$252,0)),""),""))</f>
        <v/>
      </c>
      <c r="J214">
        <f>IF($B214="","",IF(AND(ISNUMBER(MDS),ISNUMBER(MDE)),IF(AND($B214&gt;=MDS,$B214&lt;=MDE),24,""),""))</f>
        <v/>
      </c>
      <c r="K214">
        <f>IF($B214="","",IF(AND(ISNUMBER(PitanS),ISNUMBER(PitanE)),IF(AND($B214&gt;=PitanS,$B214&lt;=PitanE),26,""),""))</f>
        <v/>
      </c>
      <c r="L214">
        <f>IF($B214="","",IF(AND(ISNUMBER(C1S),ISNUMBER(C3E)),IF(AND($B214&gt;=C1S,$B214&lt;=C3E),22,""),""))</f>
        <v/>
      </c>
    </row>
    <row r="215">
      <c r="A215" t="n">
        <v>214</v>
      </c>
      <c r="B215" s="30">
        <f>IFERROR(SMALL(Daily!$A$3:$A$252,A215),"")</f>
        <v/>
      </c>
      <c r="C215">
        <f>IF($B215="","",IF(ISNUMBER(IFERROR(INDEX(Daily!$T$3:$T$252,MATCH($B215,Daily!$A$3:$A$252,0)),"")),IFERROR(INDEX(Daily!$T$3:$T$252,MATCH($B215,Daily!$A$3:$A$252,0)),""),""))</f>
        <v/>
      </c>
      <c r="D215">
        <f>IF($B215="","",IF(ISNUMBER(IFERROR(INDEX(Daily!$AE$3:$AE$252,MATCH($B215,Daily!$A$3:$A$252,0)),"")),IFERROR(INDEX(Daily!$AE$3:$AE$252,MATCH($B215,Daily!$A$3:$A$252,0)),""),""))</f>
        <v/>
      </c>
      <c r="E215">
        <f>IF($B215="","",IF(ISNUMBER(IFERROR(INDEX(Daily!$B$3:$B$252,MATCH($B215,Daily!$A$3:$A$252,0)),"")),IFERROR(INDEX(Daily!$B$3:$B$252,MATCH($B215,Daily!$A$3:$A$252,0)),""),0))</f>
        <v/>
      </c>
      <c r="F215">
        <f>IF($B215="","",IF(ISNUMBER(IFERROR(INDEX(Daily!$Y$3:$Y$252,MATCH($B215,Daily!$A$3:$A$252,0)),"")),IFERROR(INDEX(Daily!$Y$3:$Y$252,MATCH($B215,Daily!$A$3:$A$252,0)),""),""))</f>
        <v/>
      </c>
      <c r="G215">
        <f>IF($B215="","",IF(ISNUMBER(IFERROR(INDEX(Daily!$AJ$3:$AJ$252,MATCH($B215,Daily!$A$3:$A$252,0)),"")),IFERROR(INDEX(Daily!$AJ$3:$AJ$252,MATCH($B215,Daily!$A$3:$A$252,0)),""),""))</f>
        <v/>
      </c>
      <c r="H215">
        <f>IF($B215="","",IF(ISNUMBER(IFERROR(INDEX(Daily!$Z$3:$Z$252,MATCH($B215,Daily!$A$3:$A$252,0)),"")),IFERROR(INDEX(Daily!$Z$3:$Z$252,MATCH($B215,Daily!$A$3:$A$252,0)),""),""))</f>
        <v/>
      </c>
      <c r="I215">
        <f>IF($B215="","",IF(ISNUMBER(IFERROR(INDEX(Daily!$AK$3:$AK$252,MATCH($B215,Daily!$A$3:$A$252,0)),"")),IFERROR(INDEX(Daily!$AK$3:$AK$252,MATCH($B215,Daily!$A$3:$A$252,0)),""),""))</f>
        <v/>
      </c>
      <c r="J215">
        <f>IF($B215="","",IF(AND(ISNUMBER(MDS),ISNUMBER(MDE)),IF(AND($B215&gt;=MDS,$B215&lt;=MDE),24,""),""))</f>
        <v/>
      </c>
      <c r="K215">
        <f>IF($B215="","",IF(AND(ISNUMBER(PitanS),ISNUMBER(PitanE)),IF(AND($B215&gt;=PitanS,$B215&lt;=PitanE),26,""),""))</f>
        <v/>
      </c>
      <c r="L215">
        <f>IF($B215="","",IF(AND(ISNUMBER(C1S),ISNUMBER(C3E)),IF(AND($B215&gt;=C1S,$B215&lt;=C3E),22,""),""))</f>
        <v/>
      </c>
    </row>
    <row r="216">
      <c r="A216" t="n">
        <v>215</v>
      </c>
      <c r="B216" s="30">
        <f>IFERROR(SMALL(Daily!$A$3:$A$252,A216),"")</f>
        <v/>
      </c>
      <c r="C216">
        <f>IF($B216="","",IF(ISNUMBER(IFERROR(INDEX(Daily!$T$3:$T$252,MATCH($B216,Daily!$A$3:$A$252,0)),"")),IFERROR(INDEX(Daily!$T$3:$T$252,MATCH($B216,Daily!$A$3:$A$252,0)),""),""))</f>
        <v/>
      </c>
      <c r="D216">
        <f>IF($B216="","",IF(ISNUMBER(IFERROR(INDEX(Daily!$AE$3:$AE$252,MATCH($B216,Daily!$A$3:$A$252,0)),"")),IFERROR(INDEX(Daily!$AE$3:$AE$252,MATCH($B216,Daily!$A$3:$A$252,0)),""),""))</f>
        <v/>
      </c>
      <c r="E216">
        <f>IF($B216="","",IF(ISNUMBER(IFERROR(INDEX(Daily!$B$3:$B$252,MATCH($B216,Daily!$A$3:$A$252,0)),"")),IFERROR(INDEX(Daily!$B$3:$B$252,MATCH($B216,Daily!$A$3:$A$252,0)),""),0))</f>
        <v/>
      </c>
      <c r="F216">
        <f>IF($B216="","",IF(ISNUMBER(IFERROR(INDEX(Daily!$Y$3:$Y$252,MATCH($B216,Daily!$A$3:$A$252,0)),"")),IFERROR(INDEX(Daily!$Y$3:$Y$252,MATCH($B216,Daily!$A$3:$A$252,0)),""),""))</f>
        <v/>
      </c>
      <c r="G216">
        <f>IF($B216="","",IF(ISNUMBER(IFERROR(INDEX(Daily!$AJ$3:$AJ$252,MATCH($B216,Daily!$A$3:$A$252,0)),"")),IFERROR(INDEX(Daily!$AJ$3:$AJ$252,MATCH($B216,Daily!$A$3:$A$252,0)),""),""))</f>
        <v/>
      </c>
      <c r="H216">
        <f>IF($B216="","",IF(ISNUMBER(IFERROR(INDEX(Daily!$Z$3:$Z$252,MATCH($B216,Daily!$A$3:$A$252,0)),"")),IFERROR(INDEX(Daily!$Z$3:$Z$252,MATCH($B216,Daily!$A$3:$A$252,0)),""),""))</f>
        <v/>
      </c>
      <c r="I216">
        <f>IF($B216="","",IF(ISNUMBER(IFERROR(INDEX(Daily!$AK$3:$AK$252,MATCH($B216,Daily!$A$3:$A$252,0)),"")),IFERROR(INDEX(Daily!$AK$3:$AK$252,MATCH($B216,Daily!$A$3:$A$252,0)),""),""))</f>
        <v/>
      </c>
      <c r="J216">
        <f>IF($B216="","",IF(AND(ISNUMBER(MDS),ISNUMBER(MDE)),IF(AND($B216&gt;=MDS,$B216&lt;=MDE),24,""),""))</f>
        <v/>
      </c>
      <c r="K216">
        <f>IF($B216="","",IF(AND(ISNUMBER(PitanS),ISNUMBER(PitanE)),IF(AND($B216&gt;=PitanS,$B216&lt;=PitanE),26,""),""))</f>
        <v/>
      </c>
      <c r="L216">
        <f>IF($B216="","",IF(AND(ISNUMBER(C1S),ISNUMBER(C3E)),IF(AND($B216&gt;=C1S,$B216&lt;=C3E),22,""),""))</f>
        <v/>
      </c>
    </row>
    <row r="217">
      <c r="A217" t="n">
        <v>216</v>
      </c>
      <c r="B217" s="30">
        <f>IFERROR(SMALL(Daily!$A$3:$A$252,A217),"")</f>
        <v/>
      </c>
      <c r="C217">
        <f>IF($B217="","",IF(ISNUMBER(IFERROR(INDEX(Daily!$T$3:$T$252,MATCH($B217,Daily!$A$3:$A$252,0)),"")),IFERROR(INDEX(Daily!$T$3:$T$252,MATCH($B217,Daily!$A$3:$A$252,0)),""),""))</f>
        <v/>
      </c>
      <c r="D217">
        <f>IF($B217="","",IF(ISNUMBER(IFERROR(INDEX(Daily!$AE$3:$AE$252,MATCH($B217,Daily!$A$3:$A$252,0)),"")),IFERROR(INDEX(Daily!$AE$3:$AE$252,MATCH($B217,Daily!$A$3:$A$252,0)),""),""))</f>
        <v/>
      </c>
      <c r="E217">
        <f>IF($B217="","",IF(ISNUMBER(IFERROR(INDEX(Daily!$B$3:$B$252,MATCH($B217,Daily!$A$3:$A$252,0)),"")),IFERROR(INDEX(Daily!$B$3:$B$252,MATCH($B217,Daily!$A$3:$A$252,0)),""),0))</f>
        <v/>
      </c>
      <c r="F217">
        <f>IF($B217="","",IF(ISNUMBER(IFERROR(INDEX(Daily!$Y$3:$Y$252,MATCH($B217,Daily!$A$3:$A$252,0)),"")),IFERROR(INDEX(Daily!$Y$3:$Y$252,MATCH($B217,Daily!$A$3:$A$252,0)),""),""))</f>
        <v/>
      </c>
      <c r="G217">
        <f>IF($B217="","",IF(ISNUMBER(IFERROR(INDEX(Daily!$AJ$3:$AJ$252,MATCH($B217,Daily!$A$3:$A$252,0)),"")),IFERROR(INDEX(Daily!$AJ$3:$AJ$252,MATCH($B217,Daily!$A$3:$A$252,0)),""),""))</f>
        <v/>
      </c>
      <c r="H217">
        <f>IF($B217="","",IF(ISNUMBER(IFERROR(INDEX(Daily!$Z$3:$Z$252,MATCH($B217,Daily!$A$3:$A$252,0)),"")),IFERROR(INDEX(Daily!$Z$3:$Z$252,MATCH($B217,Daily!$A$3:$A$252,0)),""),""))</f>
        <v/>
      </c>
      <c r="I217">
        <f>IF($B217="","",IF(ISNUMBER(IFERROR(INDEX(Daily!$AK$3:$AK$252,MATCH($B217,Daily!$A$3:$A$252,0)),"")),IFERROR(INDEX(Daily!$AK$3:$AK$252,MATCH($B217,Daily!$A$3:$A$252,0)),""),""))</f>
        <v/>
      </c>
      <c r="J217">
        <f>IF($B217="","",IF(AND(ISNUMBER(MDS),ISNUMBER(MDE)),IF(AND($B217&gt;=MDS,$B217&lt;=MDE),24,""),""))</f>
        <v/>
      </c>
      <c r="K217">
        <f>IF($B217="","",IF(AND(ISNUMBER(PitanS),ISNUMBER(PitanE)),IF(AND($B217&gt;=PitanS,$B217&lt;=PitanE),26,""),""))</f>
        <v/>
      </c>
      <c r="L217">
        <f>IF($B217="","",IF(AND(ISNUMBER(C1S),ISNUMBER(C3E)),IF(AND($B217&gt;=C1S,$B217&lt;=C3E),22,""),""))</f>
        <v/>
      </c>
    </row>
    <row r="218">
      <c r="A218" t="n">
        <v>217</v>
      </c>
      <c r="B218" s="30">
        <f>IFERROR(SMALL(Daily!$A$3:$A$252,A218),"")</f>
        <v/>
      </c>
      <c r="C218">
        <f>IF($B218="","",IF(ISNUMBER(IFERROR(INDEX(Daily!$T$3:$T$252,MATCH($B218,Daily!$A$3:$A$252,0)),"")),IFERROR(INDEX(Daily!$T$3:$T$252,MATCH($B218,Daily!$A$3:$A$252,0)),""),""))</f>
        <v/>
      </c>
      <c r="D218">
        <f>IF($B218="","",IF(ISNUMBER(IFERROR(INDEX(Daily!$AE$3:$AE$252,MATCH($B218,Daily!$A$3:$A$252,0)),"")),IFERROR(INDEX(Daily!$AE$3:$AE$252,MATCH($B218,Daily!$A$3:$A$252,0)),""),""))</f>
        <v/>
      </c>
      <c r="E218">
        <f>IF($B218="","",IF(ISNUMBER(IFERROR(INDEX(Daily!$B$3:$B$252,MATCH($B218,Daily!$A$3:$A$252,0)),"")),IFERROR(INDEX(Daily!$B$3:$B$252,MATCH($B218,Daily!$A$3:$A$252,0)),""),0))</f>
        <v/>
      </c>
      <c r="F218">
        <f>IF($B218="","",IF(ISNUMBER(IFERROR(INDEX(Daily!$Y$3:$Y$252,MATCH($B218,Daily!$A$3:$A$252,0)),"")),IFERROR(INDEX(Daily!$Y$3:$Y$252,MATCH($B218,Daily!$A$3:$A$252,0)),""),""))</f>
        <v/>
      </c>
      <c r="G218">
        <f>IF($B218="","",IF(ISNUMBER(IFERROR(INDEX(Daily!$AJ$3:$AJ$252,MATCH($B218,Daily!$A$3:$A$252,0)),"")),IFERROR(INDEX(Daily!$AJ$3:$AJ$252,MATCH($B218,Daily!$A$3:$A$252,0)),""),""))</f>
        <v/>
      </c>
      <c r="H218">
        <f>IF($B218="","",IF(ISNUMBER(IFERROR(INDEX(Daily!$Z$3:$Z$252,MATCH($B218,Daily!$A$3:$A$252,0)),"")),IFERROR(INDEX(Daily!$Z$3:$Z$252,MATCH($B218,Daily!$A$3:$A$252,0)),""),""))</f>
        <v/>
      </c>
      <c r="I218">
        <f>IF($B218="","",IF(ISNUMBER(IFERROR(INDEX(Daily!$AK$3:$AK$252,MATCH($B218,Daily!$A$3:$A$252,0)),"")),IFERROR(INDEX(Daily!$AK$3:$AK$252,MATCH($B218,Daily!$A$3:$A$252,0)),""),""))</f>
        <v/>
      </c>
      <c r="J218">
        <f>IF($B218="","",IF(AND(ISNUMBER(MDS),ISNUMBER(MDE)),IF(AND($B218&gt;=MDS,$B218&lt;=MDE),24,""),""))</f>
        <v/>
      </c>
      <c r="K218">
        <f>IF($B218="","",IF(AND(ISNUMBER(PitanS),ISNUMBER(PitanE)),IF(AND($B218&gt;=PitanS,$B218&lt;=PitanE),26,""),""))</f>
        <v/>
      </c>
      <c r="L218">
        <f>IF($B218="","",IF(AND(ISNUMBER(C1S),ISNUMBER(C3E)),IF(AND($B218&gt;=C1S,$B218&lt;=C3E),22,""),""))</f>
        <v/>
      </c>
    </row>
    <row r="219">
      <c r="A219" t="n">
        <v>218</v>
      </c>
      <c r="B219" s="30">
        <f>IFERROR(SMALL(Daily!$A$3:$A$252,A219),"")</f>
        <v/>
      </c>
      <c r="C219">
        <f>IF($B219="","",IF(ISNUMBER(IFERROR(INDEX(Daily!$T$3:$T$252,MATCH($B219,Daily!$A$3:$A$252,0)),"")),IFERROR(INDEX(Daily!$T$3:$T$252,MATCH($B219,Daily!$A$3:$A$252,0)),""),""))</f>
        <v/>
      </c>
      <c r="D219">
        <f>IF($B219="","",IF(ISNUMBER(IFERROR(INDEX(Daily!$AE$3:$AE$252,MATCH($B219,Daily!$A$3:$A$252,0)),"")),IFERROR(INDEX(Daily!$AE$3:$AE$252,MATCH($B219,Daily!$A$3:$A$252,0)),""),""))</f>
        <v/>
      </c>
      <c r="E219">
        <f>IF($B219="","",IF(ISNUMBER(IFERROR(INDEX(Daily!$B$3:$B$252,MATCH($B219,Daily!$A$3:$A$252,0)),"")),IFERROR(INDEX(Daily!$B$3:$B$252,MATCH($B219,Daily!$A$3:$A$252,0)),""),0))</f>
        <v/>
      </c>
      <c r="F219">
        <f>IF($B219="","",IF(ISNUMBER(IFERROR(INDEX(Daily!$Y$3:$Y$252,MATCH($B219,Daily!$A$3:$A$252,0)),"")),IFERROR(INDEX(Daily!$Y$3:$Y$252,MATCH($B219,Daily!$A$3:$A$252,0)),""),""))</f>
        <v/>
      </c>
      <c r="G219">
        <f>IF($B219="","",IF(ISNUMBER(IFERROR(INDEX(Daily!$AJ$3:$AJ$252,MATCH($B219,Daily!$A$3:$A$252,0)),"")),IFERROR(INDEX(Daily!$AJ$3:$AJ$252,MATCH($B219,Daily!$A$3:$A$252,0)),""),""))</f>
        <v/>
      </c>
      <c r="H219">
        <f>IF($B219="","",IF(ISNUMBER(IFERROR(INDEX(Daily!$Z$3:$Z$252,MATCH($B219,Daily!$A$3:$A$252,0)),"")),IFERROR(INDEX(Daily!$Z$3:$Z$252,MATCH($B219,Daily!$A$3:$A$252,0)),""),""))</f>
        <v/>
      </c>
      <c r="I219">
        <f>IF($B219="","",IF(ISNUMBER(IFERROR(INDEX(Daily!$AK$3:$AK$252,MATCH($B219,Daily!$A$3:$A$252,0)),"")),IFERROR(INDEX(Daily!$AK$3:$AK$252,MATCH($B219,Daily!$A$3:$A$252,0)),""),""))</f>
        <v/>
      </c>
      <c r="J219">
        <f>IF($B219="","",IF(AND(ISNUMBER(MDS),ISNUMBER(MDE)),IF(AND($B219&gt;=MDS,$B219&lt;=MDE),24,""),""))</f>
        <v/>
      </c>
      <c r="K219">
        <f>IF($B219="","",IF(AND(ISNUMBER(PitanS),ISNUMBER(PitanE)),IF(AND($B219&gt;=PitanS,$B219&lt;=PitanE),26,""),""))</f>
        <v/>
      </c>
      <c r="L219">
        <f>IF($B219="","",IF(AND(ISNUMBER(C1S),ISNUMBER(C3E)),IF(AND($B219&gt;=C1S,$B219&lt;=C3E),22,""),""))</f>
        <v/>
      </c>
    </row>
    <row r="220">
      <c r="A220" t="n">
        <v>219</v>
      </c>
      <c r="B220" s="30">
        <f>IFERROR(SMALL(Daily!$A$3:$A$252,A220),"")</f>
        <v/>
      </c>
      <c r="C220">
        <f>IF($B220="","",IF(ISNUMBER(IFERROR(INDEX(Daily!$T$3:$T$252,MATCH($B220,Daily!$A$3:$A$252,0)),"")),IFERROR(INDEX(Daily!$T$3:$T$252,MATCH($B220,Daily!$A$3:$A$252,0)),""),""))</f>
        <v/>
      </c>
      <c r="D220">
        <f>IF($B220="","",IF(ISNUMBER(IFERROR(INDEX(Daily!$AE$3:$AE$252,MATCH($B220,Daily!$A$3:$A$252,0)),"")),IFERROR(INDEX(Daily!$AE$3:$AE$252,MATCH($B220,Daily!$A$3:$A$252,0)),""),""))</f>
        <v/>
      </c>
      <c r="E220">
        <f>IF($B220="","",IF(ISNUMBER(IFERROR(INDEX(Daily!$B$3:$B$252,MATCH($B220,Daily!$A$3:$A$252,0)),"")),IFERROR(INDEX(Daily!$B$3:$B$252,MATCH($B220,Daily!$A$3:$A$252,0)),""),0))</f>
        <v/>
      </c>
      <c r="F220">
        <f>IF($B220="","",IF(ISNUMBER(IFERROR(INDEX(Daily!$Y$3:$Y$252,MATCH($B220,Daily!$A$3:$A$252,0)),"")),IFERROR(INDEX(Daily!$Y$3:$Y$252,MATCH($B220,Daily!$A$3:$A$252,0)),""),""))</f>
        <v/>
      </c>
      <c r="G220">
        <f>IF($B220="","",IF(ISNUMBER(IFERROR(INDEX(Daily!$AJ$3:$AJ$252,MATCH($B220,Daily!$A$3:$A$252,0)),"")),IFERROR(INDEX(Daily!$AJ$3:$AJ$252,MATCH($B220,Daily!$A$3:$A$252,0)),""),""))</f>
        <v/>
      </c>
      <c r="H220">
        <f>IF($B220="","",IF(ISNUMBER(IFERROR(INDEX(Daily!$Z$3:$Z$252,MATCH($B220,Daily!$A$3:$A$252,0)),"")),IFERROR(INDEX(Daily!$Z$3:$Z$252,MATCH($B220,Daily!$A$3:$A$252,0)),""),""))</f>
        <v/>
      </c>
      <c r="I220">
        <f>IF($B220="","",IF(ISNUMBER(IFERROR(INDEX(Daily!$AK$3:$AK$252,MATCH($B220,Daily!$A$3:$A$252,0)),"")),IFERROR(INDEX(Daily!$AK$3:$AK$252,MATCH($B220,Daily!$A$3:$A$252,0)),""),""))</f>
        <v/>
      </c>
      <c r="J220">
        <f>IF($B220="","",IF(AND(ISNUMBER(MDS),ISNUMBER(MDE)),IF(AND($B220&gt;=MDS,$B220&lt;=MDE),24,""),""))</f>
        <v/>
      </c>
      <c r="K220">
        <f>IF($B220="","",IF(AND(ISNUMBER(PitanS),ISNUMBER(PitanE)),IF(AND($B220&gt;=PitanS,$B220&lt;=PitanE),26,""),""))</f>
        <v/>
      </c>
      <c r="L220">
        <f>IF($B220="","",IF(AND(ISNUMBER(C1S),ISNUMBER(C3E)),IF(AND($B220&gt;=C1S,$B220&lt;=C3E),22,""),""))</f>
        <v/>
      </c>
    </row>
    <row r="221">
      <c r="A221" t="n">
        <v>220</v>
      </c>
      <c r="B221" s="30">
        <f>IFERROR(SMALL(Daily!$A$3:$A$252,A221),"")</f>
        <v/>
      </c>
      <c r="C221">
        <f>IF($B221="","",IF(ISNUMBER(IFERROR(INDEX(Daily!$T$3:$T$252,MATCH($B221,Daily!$A$3:$A$252,0)),"")),IFERROR(INDEX(Daily!$T$3:$T$252,MATCH($B221,Daily!$A$3:$A$252,0)),""),""))</f>
        <v/>
      </c>
      <c r="D221">
        <f>IF($B221="","",IF(ISNUMBER(IFERROR(INDEX(Daily!$AE$3:$AE$252,MATCH($B221,Daily!$A$3:$A$252,0)),"")),IFERROR(INDEX(Daily!$AE$3:$AE$252,MATCH($B221,Daily!$A$3:$A$252,0)),""),""))</f>
        <v/>
      </c>
      <c r="E221">
        <f>IF($B221="","",IF(ISNUMBER(IFERROR(INDEX(Daily!$B$3:$B$252,MATCH($B221,Daily!$A$3:$A$252,0)),"")),IFERROR(INDEX(Daily!$B$3:$B$252,MATCH($B221,Daily!$A$3:$A$252,0)),""),0))</f>
        <v/>
      </c>
      <c r="F221">
        <f>IF($B221="","",IF(ISNUMBER(IFERROR(INDEX(Daily!$Y$3:$Y$252,MATCH($B221,Daily!$A$3:$A$252,0)),"")),IFERROR(INDEX(Daily!$Y$3:$Y$252,MATCH($B221,Daily!$A$3:$A$252,0)),""),""))</f>
        <v/>
      </c>
      <c r="G221">
        <f>IF($B221="","",IF(ISNUMBER(IFERROR(INDEX(Daily!$AJ$3:$AJ$252,MATCH($B221,Daily!$A$3:$A$252,0)),"")),IFERROR(INDEX(Daily!$AJ$3:$AJ$252,MATCH($B221,Daily!$A$3:$A$252,0)),""),""))</f>
        <v/>
      </c>
      <c r="H221">
        <f>IF($B221="","",IF(ISNUMBER(IFERROR(INDEX(Daily!$Z$3:$Z$252,MATCH($B221,Daily!$A$3:$A$252,0)),"")),IFERROR(INDEX(Daily!$Z$3:$Z$252,MATCH($B221,Daily!$A$3:$A$252,0)),""),""))</f>
        <v/>
      </c>
      <c r="I221">
        <f>IF($B221="","",IF(ISNUMBER(IFERROR(INDEX(Daily!$AK$3:$AK$252,MATCH($B221,Daily!$A$3:$A$252,0)),"")),IFERROR(INDEX(Daily!$AK$3:$AK$252,MATCH($B221,Daily!$A$3:$A$252,0)),""),""))</f>
        <v/>
      </c>
      <c r="J221">
        <f>IF($B221="","",IF(AND(ISNUMBER(MDS),ISNUMBER(MDE)),IF(AND($B221&gt;=MDS,$B221&lt;=MDE),24,""),""))</f>
        <v/>
      </c>
      <c r="K221">
        <f>IF($B221="","",IF(AND(ISNUMBER(PitanS),ISNUMBER(PitanE)),IF(AND($B221&gt;=PitanS,$B221&lt;=PitanE),26,""),""))</f>
        <v/>
      </c>
      <c r="L221">
        <f>IF($B221="","",IF(AND(ISNUMBER(C1S),ISNUMBER(C3E)),IF(AND($B221&gt;=C1S,$B221&lt;=C3E),22,""),""))</f>
        <v/>
      </c>
    </row>
    <row r="222">
      <c r="A222" t="n">
        <v>221</v>
      </c>
      <c r="B222" s="30">
        <f>IFERROR(SMALL(Daily!$A$3:$A$252,A222),"")</f>
        <v/>
      </c>
      <c r="C222">
        <f>IF($B222="","",IF(ISNUMBER(IFERROR(INDEX(Daily!$T$3:$T$252,MATCH($B222,Daily!$A$3:$A$252,0)),"")),IFERROR(INDEX(Daily!$T$3:$T$252,MATCH($B222,Daily!$A$3:$A$252,0)),""),""))</f>
        <v/>
      </c>
      <c r="D222">
        <f>IF($B222="","",IF(ISNUMBER(IFERROR(INDEX(Daily!$AE$3:$AE$252,MATCH($B222,Daily!$A$3:$A$252,0)),"")),IFERROR(INDEX(Daily!$AE$3:$AE$252,MATCH($B222,Daily!$A$3:$A$252,0)),""),""))</f>
        <v/>
      </c>
      <c r="E222">
        <f>IF($B222="","",IF(ISNUMBER(IFERROR(INDEX(Daily!$B$3:$B$252,MATCH($B222,Daily!$A$3:$A$252,0)),"")),IFERROR(INDEX(Daily!$B$3:$B$252,MATCH($B222,Daily!$A$3:$A$252,0)),""),0))</f>
        <v/>
      </c>
      <c r="F222">
        <f>IF($B222="","",IF(ISNUMBER(IFERROR(INDEX(Daily!$Y$3:$Y$252,MATCH($B222,Daily!$A$3:$A$252,0)),"")),IFERROR(INDEX(Daily!$Y$3:$Y$252,MATCH($B222,Daily!$A$3:$A$252,0)),""),""))</f>
        <v/>
      </c>
      <c r="G222">
        <f>IF($B222="","",IF(ISNUMBER(IFERROR(INDEX(Daily!$AJ$3:$AJ$252,MATCH($B222,Daily!$A$3:$A$252,0)),"")),IFERROR(INDEX(Daily!$AJ$3:$AJ$252,MATCH($B222,Daily!$A$3:$A$252,0)),""),""))</f>
        <v/>
      </c>
      <c r="H222">
        <f>IF($B222="","",IF(ISNUMBER(IFERROR(INDEX(Daily!$Z$3:$Z$252,MATCH($B222,Daily!$A$3:$A$252,0)),"")),IFERROR(INDEX(Daily!$Z$3:$Z$252,MATCH($B222,Daily!$A$3:$A$252,0)),""),""))</f>
        <v/>
      </c>
      <c r="I222">
        <f>IF($B222="","",IF(ISNUMBER(IFERROR(INDEX(Daily!$AK$3:$AK$252,MATCH($B222,Daily!$A$3:$A$252,0)),"")),IFERROR(INDEX(Daily!$AK$3:$AK$252,MATCH($B222,Daily!$A$3:$A$252,0)),""),""))</f>
        <v/>
      </c>
      <c r="J222">
        <f>IF($B222="","",IF(AND(ISNUMBER(MDS),ISNUMBER(MDE)),IF(AND($B222&gt;=MDS,$B222&lt;=MDE),24,""),""))</f>
        <v/>
      </c>
      <c r="K222">
        <f>IF($B222="","",IF(AND(ISNUMBER(PitanS),ISNUMBER(PitanE)),IF(AND($B222&gt;=PitanS,$B222&lt;=PitanE),26,""),""))</f>
        <v/>
      </c>
      <c r="L222">
        <f>IF($B222="","",IF(AND(ISNUMBER(C1S),ISNUMBER(C3E)),IF(AND($B222&gt;=C1S,$B222&lt;=C3E),22,""),""))</f>
        <v/>
      </c>
    </row>
    <row r="223">
      <c r="A223" t="n">
        <v>222</v>
      </c>
      <c r="B223" s="30">
        <f>IFERROR(SMALL(Daily!$A$3:$A$252,A223),"")</f>
        <v/>
      </c>
      <c r="C223">
        <f>IF($B223="","",IF(ISNUMBER(IFERROR(INDEX(Daily!$T$3:$T$252,MATCH($B223,Daily!$A$3:$A$252,0)),"")),IFERROR(INDEX(Daily!$T$3:$T$252,MATCH($B223,Daily!$A$3:$A$252,0)),""),""))</f>
        <v/>
      </c>
      <c r="D223">
        <f>IF($B223="","",IF(ISNUMBER(IFERROR(INDEX(Daily!$AE$3:$AE$252,MATCH($B223,Daily!$A$3:$A$252,0)),"")),IFERROR(INDEX(Daily!$AE$3:$AE$252,MATCH($B223,Daily!$A$3:$A$252,0)),""),""))</f>
        <v/>
      </c>
      <c r="E223">
        <f>IF($B223="","",IF(ISNUMBER(IFERROR(INDEX(Daily!$B$3:$B$252,MATCH($B223,Daily!$A$3:$A$252,0)),"")),IFERROR(INDEX(Daily!$B$3:$B$252,MATCH($B223,Daily!$A$3:$A$252,0)),""),0))</f>
        <v/>
      </c>
      <c r="F223">
        <f>IF($B223="","",IF(ISNUMBER(IFERROR(INDEX(Daily!$Y$3:$Y$252,MATCH($B223,Daily!$A$3:$A$252,0)),"")),IFERROR(INDEX(Daily!$Y$3:$Y$252,MATCH($B223,Daily!$A$3:$A$252,0)),""),""))</f>
        <v/>
      </c>
      <c r="G223">
        <f>IF($B223="","",IF(ISNUMBER(IFERROR(INDEX(Daily!$AJ$3:$AJ$252,MATCH($B223,Daily!$A$3:$A$252,0)),"")),IFERROR(INDEX(Daily!$AJ$3:$AJ$252,MATCH($B223,Daily!$A$3:$A$252,0)),""),""))</f>
        <v/>
      </c>
      <c r="H223">
        <f>IF($B223="","",IF(ISNUMBER(IFERROR(INDEX(Daily!$Z$3:$Z$252,MATCH($B223,Daily!$A$3:$A$252,0)),"")),IFERROR(INDEX(Daily!$Z$3:$Z$252,MATCH($B223,Daily!$A$3:$A$252,0)),""),""))</f>
        <v/>
      </c>
      <c r="I223">
        <f>IF($B223="","",IF(ISNUMBER(IFERROR(INDEX(Daily!$AK$3:$AK$252,MATCH($B223,Daily!$A$3:$A$252,0)),"")),IFERROR(INDEX(Daily!$AK$3:$AK$252,MATCH($B223,Daily!$A$3:$A$252,0)),""),""))</f>
        <v/>
      </c>
      <c r="J223">
        <f>IF($B223="","",IF(AND(ISNUMBER(MDS),ISNUMBER(MDE)),IF(AND($B223&gt;=MDS,$B223&lt;=MDE),24,""),""))</f>
        <v/>
      </c>
      <c r="K223">
        <f>IF($B223="","",IF(AND(ISNUMBER(PitanS),ISNUMBER(PitanE)),IF(AND($B223&gt;=PitanS,$B223&lt;=PitanE),26,""),""))</f>
        <v/>
      </c>
      <c r="L223">
        <f>IF($B223="","",IF(AND(ISNUMBER(C1S),ISNUMBER(C3E)),IF(AND($B223&gt;=C1S,$B223&lt;=C3E),22,""),""))</f>
        <v/>
      </c>
    </row>
    <row r="224">
      <c r="A224" t="n">
        <v>223</v>
      </c>
      <c r="B224" s="30">
        <f>IFERROR(SMALL(Daily!$A$3:$A$252,A224),"")</f>
        <v/>
      </c>
      <c r="C224">
        <f>IF($B224="","",IF(ISNUMBER(IFERROR(INDEX(Daily!$T$3:$T$252,MATCH($B224,Daily!$A$3:$A$252,0)),"")),IFERROR(INDEX(Daily!$T$3:$T$252,MATCH($B224,Daily!$A$3:$A$252,0)),""),""))</f>
        <v/>
      </c>
      <c r="D224">
        <f>IF($B224="","",IF(ISNUMBER(IFERROR(INDEX(Daily!$AE$3:$AE$252,MATCH($B224,Daily!$A$3:$A$252,0)),"")),IFERROR(INDEX(Daily!$AE$3:$AE$252,MATCH($B224,Daily!$A$3:$A$252,0)),""),""))</f>
        <v/>
      </c>
      <c r="E224">
        <f>IF($B224="","",IF(ISNUMBER(IFERROR(INDEX(Daily!$B$3:$B$252,MATCH($B224,Daily!$A$3:$A$252,0)),"")),IFERROR(INDEX(Daily!$B$3:$B$252,MATCH($B224,Daily!$A$3:$A$252,0)),""),0))</f>
        <v/>
      </c>
      <c r="F224">
        <f>IF($B224="","",IF(ISNUMBER(IFERROR(INDEX(Daily!$Y$3:$Y$252,MATCH($B224,Daily!$A$3:$A$252,0)),"")),IFERROR(INDEX(Daily!$Y$3:$Y$252,MATCH($B224,Daily!$A$3:$A$252,0)),""),""))</f>
        <v/>
      </c>
      <c r="G224">
        <f>IF($B224="","",IF(ISNUMBER(IFERROR(INDEX(Daily!$AJ$3:$AJ$252,MATCH($B224,Daily!$A$3:$A$252,0)),"")),IFERROR(INDEX(Daily!$AJ$3:$AJ$252,MATCH($B224,Daily!$A$3:$A$252,0)),""),""))</f>
        <v/>
      </c>
      <c r="H224">
        <f>IF($B224="","",IF(ISNUMBER(IFERROR(INDEX(Daily!$Z$3:$Z$252,MATCH($B224,Daily!$A$3:$A$252,0)),"")),IFERROR(INDEX(Daily!$Z$3:$Z$252,MATCH($B224,Daily!$A$3:$A$252,0)),""),""))</f>
        <v/>
      </c>
      <c r="I224">
        <f>IF($B224="","",IF(ISNUMBER(IFERROR(INDEX(Daily!$AK$3:$AK$252,MATCH($B224,Daily!$A$3:$A$252,0)),"")),IFERROR(INDEX(Daily!$AK$3:$AK$252,MATCH($B224,Daily!$A$3:$A$252,0)),""),""))</f>
        <v/>
      </c>
      <c r="J224">
        <f>IF($B224="","",IF(AND(ISNUMBER(MDS),ISNUMBER(MDE)),IF(AND($B224&gt;=MDS,$B224&lt;=MDE),24,""),""))</f>
        <v/>
      </c>
      <c r="K224">
        <f>IF($B224="","",IF(AND(ISNUMBER(PitanS),ISNUMBER(PitanE)),IF(AND($B224&gt;=PitanS,$B224&lt;=PitanE),26,""),""))</f>
        <v/>
      </c>
      <c r="L224">
        <f>IF($B224="","",IF(AND(ISNUMBER(C1S),ISNUMBER(C3E)),IF(AND($B224&gt;=C1S,$B224&lt;=C3E),22,""),""))</f>
        <v/>
      </c>
    </row>
    <row r="225">
      <c r="A225" t="n">
        <v>224</v>
      </c>
      <c r="B225" s="30">
        <f>IFERROR(SMALL(Daily!$A$3:$A$252,A225),"")</f>
        <v/>
      </c>
      <c r="C225">
        <f>IF($B225="","",IF(ISNUMBER(IFERROR(INDEX(Daily!$T$3:$T$252,MATCH($B225,Daily!$A$3:$A$252,0)),"")),IFERROR(INDEX(Daily!$T$3:$T$252,MATCH($B225,Daily!$A$3:$A$252,0)),""),""))</f>
        <v/>
      </c>
      <c r="D225">
        <f>IF($B225="","",IF(ISNUMBER(IFERROR(INDEX(Daily!$AE$3:$AE$252,MATCH($B225,Daily!$A$3:$A$252,0)),"")),IFERROR(INDEX(Daily!$AE$3:$AE$252,MATCH($B225,Daily!$A$3:$A$252,0)),""),""))</f>
        <v/>
      </c>
      <c r="E225">
        <f>IF($B225="","",IF(ISNUMBER(IFERROR(INDEX(Daily!$B$3:$B$252,MATCH($B225,Daily!$A$3:$A$252,0)),"")),IFERROR(INDEX(Daily!$B$3:$B$252,MATCH($B225,Daily!$A$3:$A$252,0)),""),0))</f>
        <v/>
      </c>
      <c r="F225">
        <f>IF($B225="","",IF(ISNUMBER(IFERROR(INDEX(Daily!$Y$3:$Y$252,MATCH($B225,Daily!$A$3:$A$252,0)),"")),IFERROR(INDEX(Daily!$Y$3:$Y$252,MATCH($B225,Daily!$A$3:$A$252,0)),""),""))</f>
        <v/>
      </c>
      <c r="G225">
        <f>IF($B225="","",IF(ISNUMBER(IFERROR(INDEX(Daily!$AJ$3:$AJ$252,MATCH($B225,Daily!$A$3:$A$252,0)),"")),IFERROR(INDEX(Daily!$AJ$3:$AJ$252,MATCH($B225,Daily!$A$3:$A$252,0)),""),""))</f>
        <v/>
      </c>
      <c r="H225">
        <f>IF($B225="","",IF(ISNUMBER(IFERROR(INDEX(Daily!$Z$3:$Z$252,MATCH($B225,Daily!$A$3:$A$252,0)),"")),IFERROR(INDEX(Daily!$Z$3:$Z$252,MATCH($B225,Daily!$A$3:$A$252,0)),""),""))</f>
        <v/>
      </c>
      <c r="I225">
        <f>IF($B225="","",IF(ISNUMBER(IFERROR(INDEX(Daily!$AK$3:$AK$252,MATCH($B225,Daily!$A$3:$A$252,0)),"")),IFERROR(INDEX(Daily!$AK$3:$AK$252,MATCH($B225,Daily!$A$3:$A$252,0)),""),""))</f>
        <v/>
      </c>
      <c r="J225">
        <f>IF($B225="","",IF(AND(ISNUMBER(MDS),ISNUMBER(MDE)),IF(AND($B225&gt;=MDS,$B225&lt;=MDE),24,""),""))</f>
        <v/>
      </c>
      <c r="K225">
        <f>IF($B225="","",IF(AND(ISNUMBER(PitanS),ISNUMBER(PitanE)),IF(AND($B225&gt;=PitanS,$B225&lt;=PitanE),26,""),""))</f>
        <v/>
      </c>
      <c r="L225">
        <f>IF($B225="","",IF(AND(ISNUMBER(C1S),ISNUMBER(C3E)),IF(AND($B225&gt;=C1S,$B225&lt;=C3E),22,""),""))</f>
        <v/>
      </c>
    </row>
    <row r="226">
      <c r="A226" t="n">
        <v>225</v>
      </c>
      <c r="B226" s="30">
        <f>IFERROR(SMALL(Daily!$A$3:$A$252,A226),"")</f>
        <v/>
      </c>
      <c r="C226">
        <f>IF($B226="","",IF(ISNUMBER(IFERROR(INDEX(Daily!$T$3:$T$252,MATCH($B226,Daily!$A$3:$A$252,0)),"")),IFERROR(INDEX(Daily!$T$3:$T$252,MATCH($B226,Daily!$A$3:$A$252,0)),""),""))</f>
        <v/>
      </c>
      <c r="D226">
        <f>IF($B226="","",IF(ISNUMBER(IFERROR(INDEX(Daily!$AE$3:$AE$252,MATCH($B226,Daily!$A$3:$A$252,0)),"")),IFERROR(INDEX(Daily!$AE$3:$AE$252,MATCH($B226,Daily!$A$3:$A$252,0)),""),""))</f>
        <v/>
      </c>
      <c r="E226">
        <f>IF($B226="","",IF(ISNUMBER(IFERROR(INDEX(Daily!$B$3:$B$252,MATCH($B226,Daily!$A$3:$A$252,0)),"")),IFERROR(INDEX(Daily!$B$3:$B$252,MATCH($B226,Daily!$A$3:$A$252,0)),""),0))</f>
        <v/>
      </c>
      <c r="F226">
        <f>IF($B226="","",IF(ISNUMBER(IFERROR(INDEX(Daily!$Y$3:$Y$252,MATCH($B226,Daily!$A$3:$A$252,0)),"")),IFERROR(INDEX(Daily!$Y$3:$Y$252,MATCH($B226,Daily!$A$3:$A$252,0)),""),""))</f>
        <v/>
      </c>
      <c r="G226">
        <f>IF($B226="","",IF(ISNUMBER(IFERROR(INDEX(Daily!$AJ$3:$AJ$252,MATCH($B226,Daily!$A$3:$A$252,0)),"")),IFERROR(INDEX(Daily!$AJ$3:$AJ$252,MATCH($B226,Daily!$A$3:$A$252,0)),""),""))</f>
        <v/>
      </c>
      <c r="H226">
        <f>IF($B226="","",IF(ISNUMBER(IFERROR(INDEX(Daily!$Z$3:$Z$252,MATCH($B226,Daily!$A$3:$A$252,0)),"")),IFERROR(INDEX(Daily!$Z$3:$Z$252,MATCH($B226,Daily!$A$3:$A$252,0)),""),""))</f>
        <v/>
      </c>
      <c r="I226">
        <f>IF($B226="","",IF(ISNUMBER(IFERROR(INDEX(Daily!$AK$3:$AK$252,MATCH($B226,Daily!$A$3:$A$252,0)),"")),IFERROR(INDEX(Daily!$AK$3:$AK$252,MATCH($B226,Daily!$A$3:$A$252,0)),""),""))</f>
        <v/>
      </c>
      <c r="J226">
        <f>IF($B226="","",IF(AND(ISNUMBER(MDS),ISNUMBER(MDE)),IF(AND($B226&gt;=MDS,$B226&lt;=MDE),24,""),""))</f>
        <v/>
      </c>
      <c r="K226">
        <f>IF($B226="","",IF(AND(ISNUMBER(PitanS),ISNUMBER(PitanE)),IF(AND($B226&gt;=PitanS,$B226&lt;=PitanE),26,""),""))</f>
        <v/>
      </c>
      <c r="L226">
        <f>IF($B226="","",IF(AND(ISNUMBER(C1S),ISNUMBER(C3E)),IF(AND($B226&gt;=C1S,$B226&lt;=C3E),22,""),""))</f>
        <v/>
      </c>
    </row>
    <row r="227">
      <c r="A227" t="n">
        <v>226</v>
      </c>
      <c r="B227" s="30">
        <f>IFERROR(SMALL(Daily!$A$3:$A$252,A227),"")</f>
        <v/>
      </c>
      <c r="C227">
        <f>IF($B227="","",IF(ISNUMBER(IFERROR(INDEX(Daily!$T$3:$T$252,MATCH($B227,Daily!$A$3:$A$252,0)),"")),IFERROR(INDEX(Daily!$T$3:$T$252,MATCH($B227,Daily!$A$3:$A$252,0)),""),""))</f>
        <v/>
      </c>
      <c r="D227">
        <f>IF($B227="","",IF(ISNUMBER(IFERROR(INDEX(Daily!$AE$3:$AE$252,MATCH($B227,Daily!$A$3:$A$252,0)),"")),IFERROR(INDEX(Daily!$AE$3:$AE$252,MATCH($B227,Daily!$A$3:$A$252,0)),""),""))</f>
        <v/>
      </c>
      <c r="E227">
        <f>IF($B227="","",IF(ISNUMBER(IFERROR(INDEX(Daily!$B$3:$B$252,MATCH($B227,Daily!$A$3:$A$252,0)),"")),IFERROR(INDEX(Daily!$B$3:$B$252,MATCH($B227,Daily!$A$3:$A$252,0)),""),0))</f>
        <v/>
      </c>
      <c r="F227">
        <f>IF($B227="","",IF(ISNUMBER(IFERROR(INDEX(Daily!$Y$3:$Y$252,MATCH($B227,Daily!$A$3:$A$252,0)),"")),IFERROR(INDEX(Daily!$Y$3:$Y$252,MATCH($B227,Daily!$A$3:$A$252,0)),""),""))</f>
        <v/>
      </c>
      <c r="G227">
        <f>IF($B227="","",IF(ISNUMBER(IFERROR(INDEX(Daily!$AJ$3:$AJ$252,MATCH($B227,Daily!$A$3:$A$252,0)),"")),IFERROR(INDEX(Daily!$AJ$3:$AJ$252,MATCH($B227,Daily!$A$3:$A$252,0)),""),""))</f>
        <v/>
      </c>
      <c r="H227">
        <f>IF($B227="","",IF(ISNUMBER(IFERROR(INDEX(Daily!$Z$3:$Z$252,MATCH($B227,Daily!$A$3:$A$252,0)),"")),IFERROR(INDEX(Daily!$Z$3:$Z$252,MATCH($B227,Daily!$A$3:$A$252,0)),""),""))</f>
        <v/>
      </c>
      <c r="I227">
        <f>IF($B227="","",IF(ISNUMBER(IFERROR(INDEX(Daily!$AK$3:$AK$252,MATCH($B227,Daily!$A$3:$A$252,0)),"")),IFERROR(INDEX(Daily!$AK$3:$AK$252,MATCH($B227,Daily!$A$3:$A$252,0)),""),""))</f>
        <v/>
      </c>
      <c r="J227">
        <f>IF($B227="","",IF(AND(ISNUMBER(MDS),ISNUMBER(MDE)),IF(AND($B227&gt;=MDS,$B227&lt;=MDE),24,""),""))</f>
        <v/>
      </c>
      <c r="K227">
        <f>IF($B227="","",IF(AND(ISNUMBER(PitanS),ISNUMBER(PitanE)),IF(AND($B227&gt;=PitanS,$B227&lt;=PitanE),26,""),""))</f>
        <v/>
      </c>
      <c r="L227">
        <f>IF($B227="","",IF(AND(ISNUMBER(C1S),ISNUMBER(C3E)),IF(AND($B227&gt;=C1S,$B227&lt;=C3E),22,""),""))</f>
        <v/>
      </c>
    </row>
    <row r="228">
      <c r="A228" t="n">
        <v>227</v>
      </c>
      <c r="B228" s="30">
        <f>IFERROR(SMALL(Daily!$A$3:$A$252,A228),"")</f>
        <v/>
      </c>
      <c r="C228">
        <f>IF($B228="","",IF(ISNUMBER(IFERROR(INDEX(Daily!$T$3:$T$252,MATCH($B228,Daily!$A$3:$A$252,0)),"")),IFERROR(INDEX(Daily!$T$3:$T$252,MATCH($B228,Daily!$A$3:$A$252,0)),""),""))</f>
        <v/>
      </c>
      <c r="D228">
        <f>IF($B228="","",IF(ISNUMBER(IFERROR(INDEX(Daily!$AE$3:$AE$252,MATCH($B228,Daily!$A$3:$A$252,0)),"")),IFERROR(INDEX(Daily!$AE$3:$AE$252,MATCH($B228,Daily!$A$3:$A$252,0)),""),""))</f>
        <v/>
      </c>
      <c r="E228">
        <f>IF($B228="","",IF(ISNUMBER(IFERROR(INDEX(Daily!$B$3:$B$252,MATCH($B228,Daily!$A$3:$A$252,0)),"")),IFERROR(INDEX(Daily!$B$3:$B$252,MATCH($B228,Daily!$A$3:$A$252,0)),""),0))</f>
        <v/>
      </c>
      <c r="F228">
        <f>IF($B228="","",IF(ISNUMBER(IFERROR(INDEX(Daily!$Y$3:$Y$252,MATCH($B228,Daily!$A$3:$A$252,0)),"")),IFERROR(INDEX(Daily!$Y$3:$Y$252,MATCH($B228,Daily!$A$3:$A$252,0)),""),""))</f>
        <v/>
      </c>
      <c r="G228">
        <f>IF($B228="","",IF(ISNUMBER(IFERROR(INDEX(Daily!$AJ$3:$AJ$252,MATCH($B228,Daily!$A$3:$A$252,0)),"")),IFERROR(INDEX(Daily!$AJ$3:$AJ$252,MATCH($B228,Daily!$A$3:$A$252,0)),""),""))</f>
        <v/>
      </c>
      <c r="H228">
        <f>IF($B228="","",IF(ISNUMBER(IFERROR(INDEX(Daily!$Z$3:$Z$252,MATCH($B228,Daily!$A$3:$A$252,0)),"")),IFERROR(INDEX(Daily!$Z$3:$Z$252,MATCH($B228,Daily!$A$3:$A$252,0)),""),""))</f>
        <v/>
      </c>
      <c r="I228">
        <f>IF($B228="","",IF(ISNUMBER(IFERROR(INDEX(Daily!$AK$3:$AK$252,MATCH($B228,Daily!$A$3:$A$252,0)),"")),IFERROR(INDEX(Daily!$AK$3:$AK$252,MATCH($B228,Daily!$A$3:$A$252,0)),""),""))</f>
        <v/>
      </c>
      <c r="J228">
        <f>IF($B228="","",IF(AND(ISNUMBER(MDS),ISNUMBER(MDE)),IF(AND($B228&gt;=MDS,$B228&lt;=MDE),24,""),""))</f>
        <v/>
      </c>
      <c r="K228">
        <f>IF($B228="","",IF(AND(ISNUMBER(PitanS),ISNUMBER(PitanE)),IF(AND($B228&gt;=PitanS,$B228&lt;=PitanE),26,""),""))</f>
        <v/>
      </c>
      <c r="L228">
        <f>IF($B228="","",IF(AND(ISNUMBER(C1S),ISNUMBER(C3E)),IF(AND($B228&gt;=C1S,$B228&lt;=C3E),22,""),""))</f>
        <v/>
      </c>
    </row>
    <row r="229">
      <c r="A229" t="n">
        <v>228</v>
      </c>
      <c r="B229" s="30">
        <f>IFERROR(SMALL(Daily!$A$3:$A$252,A229),"")</f>
        <v/>
      </c>
      <c r="C229">
        <f>IF($B229="","",IF(ISNUMBER(IFERROR(INDEX(Daily!$T$3:$T$252,MATCH($B229,Daily!$A$3:$A$252,0)),"")),IFERROR(INDEX(Daily!$T$3:$T$252,MATCH($B229,Daily!$A$3:$A$252,0)),""),""))</f>
        <v/>
      </c>
      <c r="D229">
        <f>IF($B229="","",IF(ISNUMBER(IFERROR(INDEX(Daily!$AE$3:$AE$252,MATCH($B229,Daily!$A$3:$A$252,0)),"")),IFERROR(INDEX(Daily!$AE$3:$AE$252,MATCH($B229,Daily!$A$3:$A$252,0)),""),""))</f>
        <v/>
      </c>
      <c r="E229">
        <f>IF($B229="","",IF(ISNUMBER(IFERROR(INDEX(Daily!$B$3:$B$252,MATCH($B229,Daily!$A$3:$A$252,0)),"")),IFERROR(INDEX(Daily!$B$3:$B$252,MATCH($B229,Daily!$A$3:$A$252,0)),""),0))</f>
        <v/>
      </c>
      <c r="F229">
        <f>IF($B229="","",IF(ISNUMBER(IFERROR(INDEX(Daily!$Y$3:$Y$252,MATCH($B229,Daily!$A$3:$A$252,0)),"")),IFERROR(INDEX(Daily!$Y$3:$Y$252,MATCH($B229,Daily!$A$3:$A$252,0)),""),""))</f>
        <v/>
      </c>
      <c r="G229">
        <f>IF($B229="","",IF(ISNUMBER(IFERROR(INDEX(Daily!$AJ$3:$AJ$252,MATCH($B229,Daily!$A$3:$A$252,0)),"")),IFERROR(INDEX(Daily!$AJ$3:$AJ$252,MATCH($B229,Daily!$A$3:$A$252,0)),""),""))</f>
        <v/>
      </c>
      <c r="H229">
        <f>IF($B229="","",IF(ISNUMBER(IFERROR(INDEX(Daily!$Z$3:$Z$252,MATCH($B229,Daily!$A$3:$A$252,0)),"")),IFERROR(INDEX(Daily!$Z$3:$Z$252,MATCH($B229,Daily!$A$3:$A$252,0)),""),""))</f>
        <v/>
      </c>
      <c r="I229">
        <f>IF($B229="","",IF(ISNUMBER(IFERROR(INDEX(Daily!$AK$3:$AK$252,MATCH($B229,Daily!$A$3:$A$252,0)),"")),IFERROR(INDEX(Daily!$AK$3:$AK$252,MATCH($B229,Daily!$A$3:$A$252,0)),""),""))</f>
        <v/>
      </c>
      <c r="J229">
        <f>IF($B229="","",IF(AND(ISNUMBER(MDS),ISNUMBER(MDE)),IF(AND($B229&gt;=MDS,$B229&lt;=MDE),24,""),""))</f>
        <v/>
      </c>
      <c r="K229">
        <f>IF($B229="","",IF(AND(ISNUMBER(PitanS),ISNUMBER(PitanE)),IF(AND($B229&gt;=PitanS,$B229&lt;=PitanE),26,""),""))</f>
        <v/>
      </c>
      <c r="L229">
        <f>IF($B229="","",IF(AND(ISNUMBER(C1S),ISNUMBER(C3E)),IF(AND($B229&gt;=C1S,$B229&lt;=C3E),22,""),""))</f>
        <v/>
      </c>
    </row>
    <row r="230">
      <c r="A230" t="n">
        <v>229</v>
      </c>
      <c r="B230" s="30">
        <f>IFERROR(SMALL(Daily!$A$3:$A$252,A230),"")</f>
        <v/>
      </c>
      <c r="C230">
        <f>IF($B230="","",IF(ISNUMBER(IFERROR(INDEX(Daily!$T$3:$T$252,MATCH($B230,Daily!$A$3:$A$252,0)),"")),IFERROR(INDEX(Daily!$T$3:$T$252,MATCH($B230,Daily!$A$3:$A$252,0)),""),""))</f>
        <v/>
      </c>
      <c r="D230">
        <f>IF($B230="","",IF(ISNUMBER(IFERROR(INDEX(Daily!$AE$3:$AE$252,MATCH($B230,Daily!$A$3:$A$252,0)),"")),IFERROR(INDEX(Daily!$AE$3:$AE$252,MATCH($B230,Daily!$A$3:$A$252,0)),""),""))</f>
        <v/>
      </c>
      <c r="E230">
        <f>IF($B230="","",IF(ISNUMBER(IFERROR(INDEX(Daily!$B$3:$B$252,MATCH($B230,Daily!$A$3:$A$252,0)),"")),IFERROR(INDEX(Daily!$B$3:$B$252,MATCH($B230,Daily!$A$3:$A$252,0)),""),0))</f>
        <v/>
      </c>
      <c r="F230">
        <f>IF($B230="","",IF(ISNUMBER(IFERROR(INDEX(Daily!$Y$3:$Y$252,MATCH($B230,Daily!$A$3:$A$252,0)),"")),IFERROR(INDEX(Daily!$Y$3:$Y$252,MATCH($B230,Daily!$A$3:$A$252,0)),""),""))</f>
        <v/>
      </c>
      <c r="G230">
        <f>IF($B230="","",IF(ISNUMBER(IFERROR(INDEX(Daily!$AJ$3:$AJ$252,MATCH($B230,Daily!$A$3:$A$252,0)),"")),IFERROR(INDEX(Daily!$AJ$3:$AJ$252,MATCH($B230,Daily!$A$3:$A$252,0)),""),""))</f>
        <v/>
      </c>
      <c r="H230">
        <f>IF($B230="","",IF(ISNUMBER(IFERROR(INDEX(Daily!$Z$3:$Z$252,MATCH($B230,Daily!$A$3:$A$252,0)),"")),IFERROR(INDEX(Daily!$Z$3:$Z$252,MATCH($B230,Daily!$A$3:$A$252,0)),""),""))</f>
        <v/>
      </c>
      <c r="I230">
        <f>IF($B230="","",IF(ISNUMBER(IFERROR(INDEX(Daily!$AK$3:$AK$252,MATCH($B230,Daily!$A$3:$A$252,0)),"")),IFERROR(INDEX(Daily!$AK$3:$AK$252,MATCH($B230,Daily!$A$3:$A$252,0)),""),""))</f>
        <v/>
      </c>
      <c r="J230">
        <f>IF($B230="","",IF(AND(ISNUMBER(MDS),ISNUMBER(MDE)),IF(AND($B230&gt;=MDS,$B230&lt;=MDE),24,""),""))</f>
        <v/>
      </c>
      <c r="K230">
        <f>IF($B230="","",IF(AND(ISNUMBER(PitanS),ISNUMBER(PitanE)),IF(AND($B230&gt;=PitanS,$B230&lt;=PitanE),26,""),""))</f>
        <v/>
      </c>
      <c r="L230">
        <f>IF($B230="","",IF(AND(ISNUMBER(C1S),ISNUMBER(C3E)),IF(AND($B230&gt;=C1S,$B230&lt;=C3E),22,""),""))</f>
        <v/>
      </c>
    </row>
    <row r="231">
      <c r="A231" t="n">
        <v>230</v>
      </c>
      <c r="B231" s="30">
        <f>IFERROR(SMALL(Daily!$A$3:$A$252,A231),"")</f>
        <v/>
      </c>
      <c r="C231">
        <f>IF($B231="","",IF(ISNUMBER(IFERROR(INDEX(Daily!$T$3:$T$252,MATCH($B231,Daily!$A$3:$A$252,0)),"")),IFERROR(INDEX(Daily!$T$3:$T$252,MATCH($B231,Daily!$A$3:$A$252,0)),""),""))</f>
        <v/>
      </c>
      <c r="D231">
        <f>IF($B231="","",IF(ISNUMBER(IFERROR(INDEX(Daily!$AE$3:$AE$252,MATCH($B231,Daily!$A$3:$A$252,0)),"")),IFERROR(INDEX(Daily!$AE$3:$AE$252,MATCH($B231,Daily!$A$3:$A$252,0)),""),""))</f>
        <v/>
      </c>
      <c r="E231">
        <f>IF($B231="","",IF(ISNUMBER(IFERROR(INDEX(Daily!$B$3:$B$252,MATCH($B231,Daily!$A$3:$A$252,0)),"")),IFERROR(INDEX(Daily!$B$3:$B$252,MATCH($B231,Daily!$A$3:$A$252,0)),""),0))</f>
        <v/>
      </c>
      <c r="F231">
        <f>IF($B231="","",IF(ISNUMBER(IFERROR(INDEX(Daily!$Y$3:$Y$252,MATCH($B231,Daily!$A$3:$A$252,0)),"")),IFERROR(INDEX(Daily!$Y$3:$Y$252,MATCH($B231,Daily!$A$3:$A$252,0)),""),""))</f>
        <v/>
      </c>
      <c r="G231">
        <f>IF($B231="","",IF(ISNUMBER(IFERROR(INDEX(Daily!$AJ$3:$AJ$252,MATCH($B231,Daily!$A$3:$A$252,0)),"")),IFERROR(INDEX(Daily!$AJ$3:$AJ$252,MATCH($B231,Daily!$A$3:$A$252,0)),""),""))</f>
        <v/>
      </c>
      <c r="H231">
        <f>IF($B231="","",IF(ISNUMBER(IFERROR(INDEX(Daily!$Z$3:$Z$252,MATCH($B231,Daily!$A$3:$A$252,0)),"")),IFERROR(INDEX(Daily!$Z$3:$Z$252,MATCH($B231,Daily!$A$3:$A$252,0)),""),""))</f>
        <v/>
      </c>
      <c r="I231">
        <f>IF($B231="","",IF(ISNUMBER(IFERROR(INDEX(Daily!$AK$3:$AK$252,MATCH($B231,Daily!$A$3:$A$252,0)),"")),IFERROR(INDEX(Daily!$AK$3:$AK$252,MATCH($B231,Daily!$A$3:$A$252,0)),""),""))</f>
        <v/>
      </c>
      <c r="J231">
        <f>IF($B231="","",IF(AND(ISNUMBER(MDS),ISNUMBER(MDE)),IF(AND($B231&gt;=MDS,$B231&lt;=MDE),24,""),""))</f>
        <v/>
      </c>
      <c r="K231">
        <f>IF($B231="","",IF(AND(ISNUMBER(PitanS),ISNUMBER(PitanE)),IF(AND($B231&gt;=PitanS,$B231&lt;=PitanE),26,""),""))</f>
        <v/>
      </c>
      <c r="L231">
        <f>IF($B231="","",IF(AND(ISNUMBER(C1S),ISNUMBER(C3E)),IF(AND($B231&gt;=C1S,$B231&lt;=C3E),22,""),""))</f>
        <v/>
      </c>
    </row>
    <row r="232">
      <c r="A232" t="n">
        <v>231</v>
      </c>
      <c r="B232" s="30">
        <f>IFERROR(SMALL(Daily!$A$3:$A$252,A232),"")</f>
        <v/>
      </c>
      <c r="C232">
        <f>IF($B232="","",IF(ISNUMBER(IFERROR(INDEX(Daily!$T$3:$T$252,MATCH($B232,Daily!$A$3:$A$252,0)),"")),IFERROR(INDEX(Daily!$T$3:$T$252,MATCH($B232,Daily!$A$3:$A$252,0)),""),""))</f>
        <v/>
      </c>
      <c r="D232">
        <f>IF($B232="","",IF(ISNUMBER(IFERROR(INDEX(Daily!$AE$3:$AE$252,MATCH($B232,Daily!$A$3:$A$252,0)),"")),IFERROR(INDEX(Daily!$AE$3:$AE$252,MATCH($B232,Daily!$A$3:$A$252,0)),""),""))</f>
        <v/>
      </c>
      <c r="E232">
        <f>IF($B232="","",IF(ISNUMBER(IFERROR(INDEX(Daily!$B$3:$B$252,MATCH($B232,Daily!$A$3:$A$252,0)),"")),IFERROR(INDEX(Daily!$B$3:$B$252,MATCH($B232,Daily!$A$3:$A$252,0)),""),0))</f>
        <v/>
      </c>
      <c r="F232">
        <f>IF($B232="","",IF(ISNUMBER(IFERROR(INDEX(Daily!$Y$3:$Y$252,MATCH($B232,Daily!$A$3:$A$252,0)),"")),IFERROR(INDEX(Daily!$Y$3:$Y$252,MATCH($B232,Daily!$A$3:$A$252,0)),""),""))</f>
        <v/>
      </c>
      <c r="G232">
        <f>IF($B232="","",IF(ISNUMBER(IFERROR(INDEX(Daily!$AJ$3:$AJ$252,MATCH($B232,Daily!$A$3:$A$252,0)),"")),IFERROR(INDEX(Daily!$AJ$3:$AJ$252,MATCH($B232,Daily!$A$3:$A$252,0)),""),""))</f>
        <v/>
      </c>
      <c r="H232">
        <f>IF($B232="","",IF(ISNUMBER(IFERROR(INDEX(Daily!$Z$3:$Z$252,MATCH($B232,Daily!$A$3:$A$252,0)),"")),IFERROR(INDEX(Daily!$Z$3:$Z$252,MATCH($B232,Daily!$A$3:$A$252,0)),""),""))</f>
        <v/>
      </c>
      <c r="I232">
        <f>IF($B232="","",IF(ISNUMBER(IFERROR(INDEX(Daily!$AK$3:$AK$252,MATCH($B232,Daily!$A$3:$A$252,0)),"")),IFERROR(INDEX(Daily!$AK$3:$AK$252,MATCH($B232,Daily!$A$3:$A$252,0)),""),""))</f>
        <v/>
      </c>
      <c r="J232">
        <f>IF($B232="","",IF(AND(ISNUMBER(MDS),ISNUMBER(MDE)),IF(AND($B232&gt;=MDS,$B232&lt;=MDE),24,""),""))</f>
        <v/>
      </c>
      <c r="K232">
        <f>IF($B232="","",IF(AND(ISNUMBER(PitanS),ISNUMBER(PitanE)),IF(AND($B232&gt;=PitanS,$B232&lt;=PitanE),26,""),""))</f>
        <v/>
      </c>
      <c r="L232">
        <f>IF($B232="","",IF(AND(ISNUMBER(C1S),ISNUMBER(C3E)),IF(AND($B232&gt;=C1S,$B232&lt;=C3E),22,""),""))</f>
        <v/>
      </c>
    </row>
    <row r="233">
      <c r="A233" t="n">
        <v>232</v>
      </c>
      <c r="B233" s="30">
        <f>IFERROR(SMALL(Daily!$A$3:$A$252,A233),"")</f>
        <v/>
      </c>
      <c r="C233">
        <f>IF($B233="","",IF(ISNUMBER(IFERROR(INDEX(Daily!$T$3:$T$252,MATCH($B233,Daily!$A$3:$A$252,0)),"")),IFERROR(INDEX(Daily!$T$3:$T$252,MATCH($B233,Daily!$A$3:$A$252,0)),""),""))</f>
        <v/>
      </c>
      <c r="D233">
        <f>IF($B233="","",IF(ISNUMBER(IFERROR(INDEX(Daily!$AE$3:$AE$252,MATCH($B233,Daily!$A$3:$A$252,0)),"")),IFERROR(INDEX(Daily!$AE$3:$AE$252,MATCH($B233,Daily!$A$3:$A$252,0)),""),""))</f>
        <v/>
      </c>
      <c r="E233">
        <f>IF($B233="","",IF(ISNUMBER(IFERROR(INDEX(Daily!$B$3:$B$252,MATCH($B233,Daily!$A$3:$A$252,0)),"")),IFERROR(INDEX(Daily!$B$3:$B$252,MATCH($B233,Daily!$A$3:$A$252,0)),""),0))</f>
        <v/>
      </c>
      <c r="F233">
        <f>IF($B233="","",IF(ISNUMBER(IFERROR(INDEX(Daily!$Y$3:$Y$252,MATCH($B233,Daily!$A$3:$A$252,0)),"")),IFERROR(INDEX(Daily!$Y$3:$Y$252,MATCH($B233,Daily!$A$3:$A$252,0)),""),""))</f>
        <v/>
      </c>
      <c r="G233">
        <f>IF($B233="","",IF(ISNUMBER(IFERROR(INDEX(Daily!$AJ$3:$AJ$252,MATCH($B233,Daily!$A$3:$A$252,0)),"")),IFERROR(INDEX(Daily!$AJ$3:$AJ$252,MATCH($B233,Daily!$A$3:$A$252,0)),""),""))</f>
        <v/>
      </c>
      <c r="H233">
        <f>IF($B233="","",IF(ISNUMBER(IFERROR(INDEX(Daily!$Z$3:$Z$252,MATCH($B233,Daily!$A$3:$A$252,0)),"")),IFERROR(INDEX(Daily!$Z$3:$Z$252,MATCH($B233,Daily!$A$3:$A$252,0)),""),""))</f>
        <v/>
      </c>
      <c r="I233">
        <f>IF($B233="","",IF(ISNUMBER(IFERROR(INDEX(Daily!$AK$3:$AK$252,MATCH($B233,Daily!$A$3:$A$252,0)),"")),IFERROR(INDEX(Daily!$AK$3:$AK$252,MATCH($B233,Daily!$A$3:$A$252,0)),""),""))</f>
        <v/>
      </c>
      <c r="J233">
        <f>IF($B233="","",IF(AND(ISNUMBER(MDS),ISNUMBER(MDE)),IF(AND($B233&gt;=MDS,$B233&lt;=MDE),24,""),""))</f>
        <v/>
      </c>
      <c r="K233">
        <f>IF($B233="","",IF(AND(ISNUMBER(PitanS),ISNUMBER(PitanE)),IF(AND($B233&gt;=PitanS,$B233&lt;=PitanE),26,""),""))</f>
        <v/>
      </c>
      <c r="L233">
        <f>IF($B233="","",IF(AND(ISNUMBER(C1S),ISNUMBER(C3E)),IF(AND($B233&gt;=C1S,$B233&lt;=C3E),22,""),""))</f>
        <v/>
      </c>
    </row>
    <row r="234">
      <c r="A234" t="n">
        <v>233</v>
      </c>
      <c r="B234" s="30">
        <f>IFERROR(SMALL(Daily!$A$3:$A$252,A234),"")</f>
        <v/>
      </c>
      <c r="C234">
        <f>IF($B234="","",IF(ISNUMBER(IFERROR(INDEX(Daily!$T$3:$T$252,MATCH($B234,Daily!$A$3:$A$252,0)),"")),IFERROR(INDEX(Daily!$T$3:$T$252,MATCH($B234,Daily!$A$3:$A$252,0)),""),""))</f>
        <v/>
      </c>
      <c r="D234">
        <f>IF($B234="","",IF(ISNUMBER(IFERROR(INDEX(Daily!$AE$3:$AE$252,MATCH($B234,Daily!$A$3:$A$252,0)),"")),IFERROR(INDEX(Daily!$AE$3:$AE$252,MATCH($B234,Daily!$A$3:$A$252,0)),""),""))</f>
        <v/>
      </c>
      <c r="E234">
        <f>IF($B234="","",IF(ISNUMBER(IFERROR(INDEX(Daily!$B$3:$B$252,MATCH($B234,Daily!$A$3:$A$252,0)),"")),IFERROR(INDEX(Daily!$B$3:$B$252,MATCH($B234,Daily!$A$3:$A$252,0)),""),0))</f>
        <v/>
      </c>
      <c r="F234">
        <f>IF($B234="","",IF(ISNUMBER(IFERROR(INDEX(Daily!$Y$3:$Y$252,MATCH($B234,Daily!$A$3:$A$252,0)),"")),IFERROR(INDEX(Daily!$Y$3:$Y$252,MATCH($B234,Daily!$A$3:$A$252,0)),""),""))</f>
        <v/>
      </c>
      <c r="G234">
        <f>IF($B234="","",IF(ISNUMBER(IFERROR(INDEX(Daily!$AJ$3:$AJ$252,MATCH($B234,Daily!$A$3:$A$252,0)),"")),IFERROR(INDEX(Daily!$AJ$3:$AJ$252,MATCH($B234,Daily!$A$3:$A$252,0)),""),""))</f>
        <v/>
      </c>
      <c r="H234">
        <f>IF($B234="","",IF(ISNUMBER(IFERROR(INDEX(Daily!$Z$3:$Z$252,MATCH($B234,Daily!$A$3:$A$252,0)),"")),IFERROR(INDEX(Daily!$Z$3:$Z$252,MATCH($B234,Daily!$A$3:$A$252,0)),""),""))</f>
        <v/>
      </c>
      <c r="I234">
        <f>IF($B234="","",IF(ISNUMBER(IFERROR(INDEX(Daily!$AK$3:$AK$252,MATCH($B234,Daily!$A$3:$A$252,0)),"")),IFERROR(INDEX(Daily!$AK$3:$AK$252,MATCH($B234,Daily!$A$3:$A$252,0)),""),""))</f>
        <v/>
      </c>
      <c r="J234">
        <f>IF($B234="","",IF(AND(ISNUMBER(MDS),ISNUMBER(MDE)),IF(AND($B234&gt;=MDS,$B234&lt;=MDE),24,""),""))</f>
        <v/>
      </c>
      <c r="K234">
        <f>IF($B234="","",IF(AND(ISNUMBER(PitanS),ISNUMBER(PitanE)),IF(AND($B234&gt;=PitanS,$B234&lt;=PitanE),26,""),""))</f>
        <v/>
      </c>
      <c r="L234">
        <f>IF($B234="","",IF(AND(ISNUMBER(C1S),ISNUMBER(C3E)),IF(AND($B234&gt;=C1S,$B234&lt;=C3E),22,""),""))</f>
        <v/>
      </c>
    </row>
    <row r="235">
      <c r="A235" t="n">
        <v>234</v>
      </c>
      <c r="B235" s="30">
        <f>IFERROR(SMALL(Daily!$A$3:$A$252,A235),"")</f>
        <v/>
      </c>
      <c r="C235">
        <f>IF($B235="","",IF(ISNUMBER(IFERROR(INDEX(Daily!$T$3:$T$252,MATCH($B235,Daily!$A$3:$A$252,0)),"")),IFERROR(INDEX(Daily!$T$3:$T$252,MATCH($B235,Daily!$A$3:$A$252,0)),""),""))</f>
        <v/>
      </c>
      <c r="D235">
        <f>IF($B235="","",IF(ISNUMBER(IFERROR(INDEX(Daily!$AE$3:$AE$252,MATCH($B235,Daily!$A$3:$A$252,0)),"")),IFERROR(INDEX(Daily!$AE$3:$AE$252,MATCH($B235,Daily!$A$3:$A$252,0)),""),""))</f>
        <v/>
      </c>
      <c r="E235">
        <f>IF($B235="","",IF(ISNUMBER(IFERROR(INDEX(Daily!$B$3:$B$252,MATCH($B235,Daily!$A$3:$A$252,0)),"")),IFERROR(INDEX(Daily!$B$3:$B$252,MATCH($B235,Daily!$A$3:$A$252,0)),""),0))</f>
        <v/>
      </c>
      <c r="F235">
        <f>IF($B235="","",IF(ISNUMBER(IFERROR(INDEX(Daily!$Y$3:$Y$252,MATCH($B235,Daily!$A$3:$A$252,0)),"")),IFERROR(INDEX(Daily!$Y$3:$Y$252,MATCH($B235,Daily!$A$3:$A$252,0)),""),""))</f>
        <v/>
      </c>
      <c r="G235">
        <f>IF($B235="","",IF(ISNUMBER(IFERROR(INDEX(Daily!$AJ$3:$AJ$252,MATCH($B235,Daily!$A$3:$A$252,0)),"")),IFERROR(INDEX(Daily!$AJ$3:$AJ$252,MATCH($B235,Daily!$A$3:$A$252,0)),""),""))</f>
        <v/>
      </c>
      <c r="H235">
        <f>IF($B235="","",IF(ISNUMBER(IFERROR(INDEX(Daily!$Z$3:$Z$252,MATCH($B235,Daily!$A$3:$A$252,0)),"")),IFERROR(INDEX(Daily!$Z$3:$Z$252,MATCH($B235,Daily!$A$3:$A$252,0)),""),""))</f>
        <v/>
      </c>
      <c r="I235">
        <f>IF($B235="","",IF(ISNUMBER(IFERROR(INDEX(Daily!$AK$3:$AK$252,MATCH($B235,Daily!$A$3:$A$252,0)),"")),IFERROR(INDEX(Daily!$AK$3:$AK$252,MATCH($B235,Daily!$A$3:$A$252,0)),""),""))</f>
        <v/>
      </c>
      <c r="J235">
        <f>IF($B235="","",IF(AND(ISNUMBER(MDS),ISNUMBER(MDE)),IF(AND($B235&gt;=MDS,$B235&lt;=MDE),24,""),""))</f>
        <v/>
      </c>
      <c r="K235">
        <f>IF($B235="","",IF(AND(ISNUMBER(PitanS),ISNUMBER(PitanE)),IF(AND($B235&gt;=PitanS,$B235&lt;=PitanE),26,""),""))</f>
        <v/>
      </c>
      <c r="L235">
        <f>IF($B235="","",IF(AND(ISNUMBER(C1S),ISNUMBER(C3E)),IF(AND($B235&gt;=C1S,$B235&lt;=C3E),22,""),""))</f>
        <v/>
      </c>
    </row>
    <row r="236">
      <c r="A236" t="n">
        <v>235</v>
      </c>
      <c r="B236" s="30">
        <f>IFERROR(SMALL(Daily!$A$3:$A$252,A236),"")</f>
        <v/>
      </c>
      <c r="C236">
        <f>IF($B236="","",IF(ISNUMBER(IFERROR(INDEX(Daily!$T$3:$T$252,MATCH($B236,Daily!$A$3:$A$252,0)),"")),IFERROR(INDEX(Daily!$T$3:$T$252,MATCH($B236,Daily!$A$3:$A$252,0)),""),""))</f>
        <v/>
      </c>
      <c r="D236">
        <f>IF($B236="","",IF(ISNUMBER(IFERROR(INDEX(Daily!$AE$3:$AE$252,MATCH($B236,Daily!$A$3:$A$252,0)),"")),IFERROR(INDEX(Daily!$AE$3:$AE$252,MATCH($B236,Daily!$A$3:$A$252,0)),""),""))</f>
        <v/>
      </c>
      <c r="E236">
        <f>IF($B236="","",IF(ISNUMBER(IFERROR(INDEX(Daily!$B$3:$B$252,MATCH($B236,Daily!$A$3:$A$252,0)),"")),IFERROR(INDEX(Daily!$B$3:$B$252,MATCH($B236,Daily!$A$3:$A$252,0)),""),0))</f>
        <v/>
      </c>
      <c r="F236">
        <f>IF($B236="","",IF(ISNUMBER(IFERROR(INDEX(Daily!$Y$3:$Y$252,MATCH($B236,Daily!$A$3:$A$252,0)),"")),IFERROR(INDEX(Daily!$Y$3:$Y$252,MATCH($B236,Daily!$A$3:$A$252,0)),""),""))</f>
        <v/>
      </c>
      <c r="G236">
        <f>IF($B236="","",IF(ISNUMBER(IFERROR(INDEX(Daily!$AJ$3:$AJ$252,MATCH($B236,Daily!$A$3:$A$252,0)),"")),IFERROR(INDEX(Daily!$AJ$3:$AJ$252,MATCH($B236,Daily!$A$3:$A$252,0)),""),""))</f>
        <v/>
      </c>
      <c r="H236">
        <f>IF($B236="","",IF(ISNUMBER(IFERROR(INDEX(Daily!$Z$3:$Z$252,MATCH($B236,Daily!$A$3:$A$252,0)),"")),IFERROR(INDEX(Daily!$Z$3:$Z$252,MATCH($B236,Daily!$A$3:$A$252,0)),""),""))</f>
        <v/>
      </c>
      <c r="I236">
        <f>IF($B236="","",IF(ISNUMBER(IFERROR(INDEX(Daily!$AK$3:$AK$252,MATCH($B236,Daily!$A$3:$A$252,0)),"")),IFERROR(INDEX(Daily!$AK$3:$AK$252,MATCH($B236,Daily!$A$3:$A$252,0)),""),""))</f>
        <v/>
      </c>
      <c r="J236">
        <f>IF($B236="","",IF(AND(ISNUMBER(MDS),ISNUMBER(MDE)),IF(AND($B236&gt;=MDS,$B236&lt;=MDE),24,""),""))</f>
        <v/>
      </c>
      <c r="K236">
        <f>IF($B236="","",IF(AND(ISNUMBER(PitanS),ISNUMBER(PitanE)),IF(AND($B236&gt;=PitanS,$B236&lt;=PitanE),26,""),""))</f>
        <v/>
      </c>
      <c r="L236">
        <f>IF($B236="","",IF(AND(ISNUMBER(C1S),ISNUMBER(C3E)),IF(AND($B236&gt;=C1S,$B236&lt;=C3E),22,""),""))</f>
        <v/>
      </c>
    </row>
    <row r="237">
      <c r="A237" t="n">
        <v>236</v>
      </c>
      <c r="B237" s="30">
        <f>IFERROR(SMALL(Daily!$A$3:$A$252,A237),"")</f>
        <v/>
      </c>
      <c r="C237">
        <f>IF($B237="","",IF(ISNUMBER(IFERROR(INDEX(Daily!$T$3:$T$252,MATCH($B237,Daily!$A$3:$A$252,0)),"")),IFERROR(INDEX(Daily!$T$3:$T$252,MATCH($B237,Daily!$A$3:$A$252,0)),""),""))</f>
        <v/>
      </c>
      <c r="D237">
        <f>IF($B237="","",IF(ISNUMBER(IFERROR(INDEX(Daily!$AE$3:$AE$252,MATCH($B237,Daily!$A$3:$A$252,0)),"")),IFERROR(INDEX(Daily!$AE$3:$AE$252,MATCH($B237,Daily!$A$3:$A$252,0)),""),""))</f>
        <v/>
      </c>
      <c r="E237">
        <f>IF($B237="","",IF(ISNUMBER(IFERROR(INDEX(Daily!$B$3:$B$252,MATCH($B237,Daily!$A$3:$A$252,0)),"")),IFERROR(INDEX(Daily!$B$3:$B$252,MATCH($B237,Daily!$A$3:$A$252,0)),""),0))</f>
        <v/>
      </c>
      <c r="F237">
        <f>IF($B237="","",IF(ISNUMBER(IFERROR(INDEX(Daily!$Y$3:$Y$252,MATCH($B237,Daily!$A$3:$A$252,0)),"")),IFERROR(INDEX(Daily!$Y$3:$Y$252,MATCH($B237,Daily!$A$3:$A$252,0)),""),""))</f>
        <v/>
      </c>
      <c r="G237">
        <f>IF($B237="","",IF(ISNUMBER(IFERROR(INDEX(Daily!$AJ$3:$AJ$252,MATCH($B237,Daily!$A$3:$A$252,0)),"")),IFERROR(INDEX(Daily!$AJ$3:$AJ$252,MATCH($B237,Daily!$A$3:$A$252,0)),""),""))</f>
        <v/>
      </c>
      <c r="H237">
        <f>IF($B237="","",IF(ISNUMBER(IFERROR(INDEX(Daily!$Z$3:$Z$252,MATCH($B237,Daily!$A$3:$A$252,0)),"")),IFERROR(INDEX(Daily!$Z$3:$Z$252,MATCH($B237,Daily!$A$3:$A$252,0)),""),""))</f>
        <v/>
      </c>
      <c r="I237">
        <f>IF($B237="","",IF(ISNUMBER(IFERROR(INDEX(Daily!$AK$3:$AK$252,MATCH($B237,Daily!$A$3:$A$252,0)),"")),IFERROR(INDEX(Daily!$AK$3:$AK$252,MATCH($B237,Daily!$A$3:$A$252,0)),""),""))</f>
        <v/>
      </c>
      <c r="J237">
        <f>IF($B237="","",IF(AND(ISNUMBER(MDS),ISNUMBER(MDE)),IF(AND($B237&gt;=MDS,$B237&lt;=MDE),24,""),""))</f>
        <v/>
      </c>
      <c r="K237">
        <f>IF($B237="","",IF(AND(ISNUMBER(PitanS),ISNUMBER(PitanE)),IF(AND($B237&gt;=PitanS,$B237&lt;=PitanE),26,""),""))</f>
        <v/>
      </c>
      <c r="L237">
        <f>IF($B237="","",IF(AND(ISNUMBER(C1S),ISNUMBER(C3E)),IF(AND($B237&gt;=C1S,$B237&lt;=C3E),22,""),""))</f>
        <v/>
      </c>
    </row>
    <row r="238">
      <c r="A238" t="n">
        <v>237</v>
      </c>
      <c r="B238" s="30">
        <f>IFERROR(SMALL(Daily!$A$3:$A$252,A238),"")</f>
        <v/>
      </c>
      <c r="C238">
        <f>IF($B238="","",IF(ISNUMBER(IFERROR(INDEX(Daily!$T$3:$T$252,MATCH($B238,Daily!$A$3:$A$252,0)),"")),IFERROR(INDEX(Daily!$T$3:$T$252,MATCH($B238,Daily!$A$3:$A$252,0)),""),""))</f>
        <v/>
      </c>
      <c r="D238">
        <f>IF($B238="","",IF(ISNUMBER(IFERROR(INDEX(Daily!$AE$3:$AE$252,MATCH($B238,Daily!$A$3:$A$252,0)),"")),IFERROR(INDEX(Daily!$AE$3:$AE$252,MATCH($B238,Daily!$A$3:$A$252,0)),""),""))</f>
        <v/>
      </c>
      <c r="E238">
        <f>IF($B238="","",IF(ISNUMBER(IFERROR(INDEX(Daily!$B$3:$B$252,MATCH($B238,Daily!$A$3:$A$252,0)),"")),IFERROR(INDEX(Daily!$B$3:$B$252,MATCH($B238,Daily!$A$3:$A$252,0)),""),0))</f>
        <v/>
      </c>
      <c r="F238">
        <f>IF($B238="","",IF(ISNUMBER(IFERROR(INDEX(Daily!$Y$3:$Y$252,MATCH($B238,Daily!$A$3:$A$252,0)),"")),IFERROR(INDEX(Daily!$Y$3:$Y$252,MATCH($B238,Daily!$A$3:$A$252,0)),""),""))</f>
        <v/>
      </c>
      <c r="G238">
        <f>IF($B238="","",IF(ISNUMBER(IFERROR(INDEX(Daily!$AJ$3:$AJ$252,MATCH($B238,Daily!$A$3:$A$252,0)),"")),IFERROR(INDEX(Daily!$AJ$3:$AJ$252,MATCH($B238,Daily!$A$3:$A$252,0)),""),""))</f>
        <v/>
      </c>
      <c r="H238">
        <f>IF($B238="","",IF(ISNUMBER(IFERROR(INDEX(Daily!$Z$3:$Z$252,MATCH($B238,Daily!$A$3:$A$252,0)),"")),IFERROR(INDEX(Daily!$Z$3:$Z$252,MATCH($B238,Daily!$A$3:$A$252,0)),""),""))</f>
        <v/>
      </c>
      <c r="I238">
        <f>IF($B238="","",IF(ISNUMBER(IFERROR(INDEX(Daily!$AK$3:$AK$252,MATCH($B238,Daily!$A$3:$A$252,0)),"")),IFERROR(INDEX(Daily!$AK$3:$AK$252,MATCH($B238,Daily!$A$3:$A$252,0)),""),""))</f>
        <v/>
      </c>
      <c r="J238">
        <f>IF($B238="","",IF(AND(ISNUMBER(MDS),ISNUMBER(MDE)),IF(AND($B238&gt;=MDS,$B238&lt;=MDE),24,""),""))</f>
        <v/>
      </c>
      <c r="K238">
        <f>IF($B238="","",IF(AND(ISNUMBER(PitanS),ISNUMBER(PitanE)),IF(AND($B238&gt;=PitanS,$B238&lt;=PitanE),26,""),""))</f>
        <v/>
      </c>
      <c r="L238">
        <f>IF($B238="","",IF(AND(ISNUMBER(C1S),ISNUMBER(C3E)),IF(AND($B238&gt;=C1S,$B238&lt;=C3E),22,""),""))</f>
        <v/>
      </c>
    </row>
    <row r="239">
      <c r="A239" t="n">
        <v>238</v>
      </c>
      <c r="B239" s="30">
        <f>IFERROR(SMALL(Daily!$A$3:$A$252,A239),"")</f>
        <v/>
      </c>
      <c r="C239">
        <f>IF($B239="","",IF(ISNUMBER(IFERROR(INDEX(Daily!$T$3:$T$252,MATCH($B239,Daily!$A$3:$A$252,0)),"")),IFERROR(INDEX(Daily!$T$3:$T$252,MATCH($B239,Daily!$A$3:$A$252,0)),""),""))</f>
        <v/>
      </c>
      <c r="D239">
        <f>IF($B239="","",IF(ISNUMBER(IFERROR(INDEX(Daily!$AE$3:$AE$252,MATCH($B239,Daily!$A$3:$A$252,0)),"")),IFERROR(INDEX(Daily!$AE$3:$AE$252,MATCH($B239,Daily!$A$3:$A$252,0)),""),""))</f>
        <v/>
      </c>
      <c r="E239">
        <f>IF($B239="","",IF(ISNUMBER(IFERROR(INDEX(Daily!$B$3:$B$252,MATCH($B239,Daily!$A$3:$A$252,0)),"")),IFERROR(INDEX(Daily!$B$3:$B$252,MATCH($B239,Daily!$A$3:$A$252,0)),""),0))</f>
        <v/>
      </c>
      <c r="F239">
        <f>IF($B239="","",IF(ISNUMBER(IFERROR(INDEX(Daily!$Y$3:$Y$252,MATCH($B239,Daily!$A$3:$A$252,0)),"")),IFERROR(INDEX(Daily!$Y$3:$Y$252,MATCH($B239,Daily!$A$3:$A$252,0)),""),""))</f>
        <v/>
      </c>
      <c r="G239">
        <f>IF($B239="","",IF(ISNUMBER(IFERROR(INDEX(Daily!$AJ$3:$AJ$252,MATCH($B239,Daily!$A$3:$A$252,0)),"")),IFERROR(INDEX(Daily!$AJ$3:$AJ$252,MATCH($B239,Daily!$A$3:$A$252,0)),""),""))</f>
        <v/>
      </c>
      <c r="H239">
        <f>IF($B239="","",IF(ISNUMBER(IFERROR(INDEX(Daily!$Z$3:$Z$252,MATCH($B239,Daily!$A$3:$A$252,0)),"")),IFERROR(INDEX(Daily!$Z$3:$Z$252,MATCH($B239,Daily!$A$3:$A$252,0)),""),""))</f>
        <v/>
      </c>
      <c r="I239">
        <f>IF($B239="","",IF(ISNUMBER(IFERROR(INDEX(Daily!$AK$3:$AK$252,MATCH($B239,Daily!$A$3:$A$252,0)),"")),IFERROR(INDEX(Daily!$AK$3:$AK$252,MATCH($B239,Daily!$A$3:$A$252,0)),""),""))</f>
        <v/>
      </c>
      <c r="J239">
        <f>IF($B239="","",IF(AND(ISNUMBER(MDS),ISNUMBER(MDE)),IF(AND($B239&gt;=MDS,$B239&lt;=MDE),24,""),""))</f>
        <v/>
      </c>
      <c r="K239">
        <f>IF($B239="","",IF(AND(ISNUMBER(PitanS),ISNUMBER(PitanE)),IF(AND($B239&gt;=PitanS,$B239&lt;=PitanE),26,""),""))</f>
        <v/>
      </c>
      <c r="L239">
        <f>IF($B239="","",IF(AND(ISNUMBER(C1S),ISNUMBER(C3E)),IF(AND($B239&gt;=C1S,$B239&lt;=C3E),22,""),""))</f>
        <v/>
      </c>
    </row>
    <row r="240">
      <c r="A240" t="n">
        <v>239</v>
      </c>
      <c r="B240" s="30">
        <f>IFERROR(SMALL(Daily!$A$3:$A$252,A240),"")</f>
        <v/>
      </c>
      <c r="C240">
        <f>IF($B240="","",IF(ISNUMBER(IFERROR(INDEX(Daily!$T$3:$T$252,MATCH($B240,Daily!$A$3:$A$252,0)),"")),IFERROR(INDEX(Daily!$T$3:$T$252,MATCH($B240,Daily!$A$3:$A$252,0)),""),""))</f>
        <v/>
      </c>
      <c r="D240">
        <f>IF($B240="","",IF(ISNUMBER(IFERROR(INDEX(Daily!$AE$3:$AE$252,MATCH($B240,Daily!$A$3:$A$252,0)),"")),IFERROR(INDEX(Daily!$AE$3:$AE$252,MATCH($B240,Daily!$A$3:$A$252,0)),""),""))</f>
        <v/>
      </c>
      <c r="E240">
        <f>IF($B240="","",IF(ISNUMBER(IFERROR(INDEX(Daily!$B$3:$B$252,MATCH($B240,Daily!$A$3:$A$252,0)),"")),IFERROR(INDEX(Daily!$B$3:$B$252,MATCH($B240,Daily!$A$3:$A$252,0)),""),0))</f>
        <v/>
      </c>
      <c r="F240">
        <f>IF($B240="","",IF(ISNUMBER(IFERROR(INDEX(Daily!$Y$3:$Y$252,MATCH($B240,Daily!$A$3:$A$252,0)),"")),IFERROR(INDEX(Daily!$Y$3:$Y$252,MATCH($B240,Daily!$A$3:$A$252,0)),""),""))</f>
        <v/>
      </c>
      <c r="G240">
        <f>IF($B240="","",IF(ISNUMBER(IFERROR(INDEX(Daily!$AJ$3:$AJ$252,MATCH($B240,Daily!$A$3:$A$252,0)),"")),IFERROR(INDEX(Daily!$AJ$3:$AJ$252,MATCH($B240,Daily!$A$3:$A$252,0)),""),""))</f>
        <v/>
      </c>
      <c r="H240">
        <f>IF($B240="","",IF(ISNUMBER(IFERROR(INDEX(Daily!$Z$3:$Z$252,MATCH($B240,Daily!$A$3:$A$252,0)),"")),IFERROR(INDEX(Daily!$Z$3:$Z$252,MATCH($B240,Daily!$A$3:$A$252,0)),""),""))</f>
        <v/>
      </c>
      <c r="I240">
        <f>IF($B240="","",IF(ISNUMBER(IFERROR(INDEX(Daily!$AK$3:$AK$252,MATCH($B240,Daily!$A$3:$A$252,0)),"")),IFERROR(INDEX(Daily!$AK$3:$AK$252,MATCH($B240,Daily!$A$3:$A$252,0)),""),""))</f>
        <v/>
      </c>
      <c r="J240">
        <f>IF($B240="","",IF(AND(ISNUMBER(MDS),ISNUMBER(MDE)),IF(AND($B240&gt;=MDS,$B240&lt;=MDE),24,""),""))</f>
        <v/>
      </c>
      <c r="K240">
        <f>IF($B240="","",IF(AND(ISNUMBER(PitanS),ISNUMBER(PitanE)),IF(AND($B240&gt;=PitanS,$B240&lt;=PitanE),26,""),""))</f>
        <v/>
      </c>
      <c r="L240">
        <f>IF($B240="","",IF(AND(ISNUMBER(C1S),ISNUMBER(C3E)),IF(AND($B240&gt;=C1S,$B240&lt;=C3E),22,""),""))</f>
        <v/>
      </c>
    </row>
    <row r="241">
      <c r="A241" t="n">
        <v>240</v>
      </c>
      <c r="B241" s="30">
        <f>IFERROR(SMALL(Daily!$A$3:$A$252,A241),"")</f>
        <v/>
      </c>
      <c r="C241">
        <f>IF($B241="","",IF(ISNUMBER(IFERROR(INDEX(Daily!$T$3:$T$252,MATCH($B241,Daily!$A$3:$A$252,0)),"")),IFERROR(INDEX(Daily!$T$3:$T$252,MATCH($B241,Daily!$A$3:$A$252,0)),""),""))</f>
        <v/>
      </c>
      <c r="D241">
        <f>IF($B241="","",IF(ISNUMBER(IFERROR(INDEX(Daily!$AE$3:$AE$252,MATCH($B241,Daily!$A$3:$A$252,0)),"")),IFERROR(INDEX(Daily!$AE$3:$AE$252,MATCH($B241,Daily!$A$3:$A$252,0)),""),""))</f>
        <v/>
      </c>
      <c r="E241">
        <f>IF($B241="","",IF(ISNUMBER(IFERROR(INDEX(Daily!$B$3:$B$252,MATCH($B241,Daily!$A$3:$A$252,0)),"")),IFERROR(INDEX(Daily!$B$3:$B$252,MATCH($B241,Daily!$A$3:$A$252,0)),""),0))</f>
        <v/>
      </c>
      <c r="F241">
        <f>IF($B241="","",IF(ISNUMBER(IFERROR(INDEX(Daily!$Y$3:$Y$252,MATCH($B241,Daily!$A$3:$A$252,0)),"")),IFERROR(INDEX(Daily!$Y$3:$Y$252,MATCH($B241,Daily!$A$3:$A$252,0)),""),""))</f>
        <v/>
      </c>
      <c r="G241">
        <f>IF($B241="","",IF(ISNUMBER(IFERROR(INDEX(Daily!$AJ$3:$AJ$252,MATCH($B241,Daily!$A$3:$A$252,0)),"")),IFERROR(INDEX(Daily!$AJ$3:$AJ$252,MATCH($B241,Daily!$A$3:$A$252,0)),""),""))</f>
        <v/>
      </c>
      <c r="H241">
        <f>IF($B241="","",IF(ISNUMBER(IFERROR(INDEX(Daily!$Z$3:$Z$252,MATCH($B241,Daily!$A$3:$A$252,0)),"")),IFERROR(INDEX(Daily!$Z$3:$Z$252,MATCH($B241,Daily!$A$3:$A$252,0)),""),""))</f>
        <v/>
      </c>
      <c r="I241">
        <f>IF($B241="","",IF(ISNUMBER(IFERROR(INDEX(Daily!$AK$3:$AK$252,MATCH($B241,Daily!$A$3:$A$252,0)),"")),IFERROR(INDEX(Daily!$AK$3:$AK$252,MATCH($B241,Daily!$A$3:$A$252,0)),""),""))</f>
        <v/>
      </c>
      <c r="J241">
        <f>IF($B241="","",IF(AND(ISNUMBER(MDS),ISNUMBER(MDE)),IF(AND($B241&gt;=MDS,$B241&lt;=MDE),24,""),""))</f>
        <v/>
      </c>
      <c r="K241">
        <f>IF($B241="","",IF(AND(ISNUMBER(PitanS),ISNUMBER(PitanE)),IF(AND($B241&gt;=PitanS,$B241&lt;=PitanE),26,""),""))</f>
        <v/>
      </c>
      <c r="L241">
        <f>IF($B241="","",IF(AND(ISNUMBER(C1S),ISNUMBER(C3E)),IF(AND($B241&gt;=C1S,$B241&lt;=C3E),22,""),""))</f>
        <v/>
      </c>
    </row>
    <row r="242">
      <c r="A242" t="n">
        <v>241</v>
      </c>
      <c r="B242" s="30">
        <f>IFERROR(SMALL(Daily!$A$3:$A$252,A242),"")</f>
        <v/>
      </c>
      <c r="C242">
        <f>IF($B242="","",IF(ISNUMBER(IFERROR(INDEX(Daily!$T$3:$T$252,MATCH($B242,Daily!$A$3:$A$252,0)),"")),IFERROR(INDEX(Daily!$T$3:$T$252,MATCH($B242,Daily!$A$3:$A$252,0)),""),""))</f>
        <v/>
      </c>
      <c r="D242">
        <f>IF($B242="","",IF(ISNUMBER(IFERROR(INDEX(Daily!$AE$3:$AE$252,MATCH($B242,Daily!$A$3:$A$252,0)),"")),IFERROR(INDEX(Daily!$AE$3:$AE$252,MATCH($B242,Daily!$A$3:$A$252,0)),""),""))</f>
        <v/>
      </c>
      <c r="E242">
        <f>IF($B242="","",IF(ISNUMBER(IFERROR(INDEX(Daily!$B$3:$B$252,MATCH($B242,Daily!$A$3:$A$252,0)),"")),IFERROR(INDEX(Daily!$B$3:$B$252,MATCH($B242,Daily!$A$3:$A$252,0)),""),0))</f>
        <v/>
      </c>
      <c r="F242">
        <f>IF($B242="","",IF(ISNUMBER(IFERROR(INDEX(Daily!$Y$3:$Y$252,MATCH($B242,Daily!$A$3:$A$252,0)),"")),IFERROR(INDEX(Daily!$Y$3:$Y$252,MATCH($B242,Daily!$A$3:$A$252,0)),""),""))</f>
        <v/>
      </c>
      <c r="G242">
        <f>IF($B242="","",IF(ISNUMBER(IFERROR(INDEX(Daily!$AJ$3:$AJ$252,MATCH($B242,Daily!$A$3:$A$252,0)),"")),IFERROR(INDEX(Daily!$AJ$3:$AJ$252,MATCH($B242,Daily!$A$3:$A$252,0)),""),""))</f>
        <v/>
      </c>
      <c r="H242">
        <f>IF($B242="","",IF(ISNUMBER(IFERROR(INDEX(Daily!$Z$3:$Z$252,MATCH($B242,Daily!$A$3:$A$252,0)),"")),IFERROR(INDEX(Daily!$Z$3:$Z$252,MATCH($B242,Daily!$A$3:$A$252,0)),""),""))</f>
        <v/>
      </c>
      <c r="I242">
        <f>IF($B242="","",IF(ISNUMBER(IFERROR(INDEX(Daily!$AK$3:$AK$252,MATCH($B242,Daily!$A$3:$A$252,0)),"")),IFERROR(INDEX(Daily!$AK$3:$AK$252,MATCH($B242,Daily!$A$3:$A$252,0)),""),""))</f>
        <v/>
      </c>
      <c r="J242">
        <f>IF($B242="","",IF(AND(ISNUMBER(MDS),ISNUMBER(MDE)),IF(AND($B242&gt;=MDS,$B242&lt;=MDE),24,""),""))</f>
        <v/>
      </c>
      <c r="K242">
        <f>IF($B242="","",IF(AND(ISNUMBER(PitanS),ISNUMBER(PitanE)),IF(AND($B242&gt;=PitanS,$B242&lt;=PitanE),26,""),""))</f>
        <v/>
      </c>
      <c r="L242">
        <f>IF($B242="","",IF(AND(ISNUMBER(C1S),ISNUMBER(C3E)),IF(AND($B242&gt;=C1S,$B242&lt;=C3E),22,""),""))</f>
        <v/>
      </c>
    </row>
    <row r="243">
      <c r="A243" t="n">
        <v>242</v>
      </c>
      <c r="B243" s="30">
        <f>IFERROR(SMALL(Daily!$A$3:$A$252,A243),"")</f>
        <v/>
      </c>
      <c r="C243">
        <f>IF($B243="","",IF(ISNUMBER(IFERROR(INDEX(Daily!$T$3:$T$252,MATCH($B243,Daily!$A$3:$A$252,0)),"")),IFERROR(INDEX(Daily!$T$3:$T$252,MATCH($B243,Daily!$A$3:$A$252,0)),""),""))</f>
        <v/>
      </c>
      <c r="D243">
        <f>IF($B243="","",IF(ISNUMBER(IFERROR(INDEX(Daily!$AE$3:$AE$252,MATCH($B243,Daily!$A$3:$A$252,0)),"")),IFERROR(INDEX(Daily!$AE$3:$AE$252,MATCH($B243,Daily!$A$3:$A$252,0)),""),""))</f>
        <v/>
      </c>
      <c r="E243">
        <f>IF($B243="","",IF(ISNUMBER(IFERROR(INDEX(Daily!$B$3:$B$252,MATCH($B243,Daily!$A$3:$A$252,0)),"")),IFERROR(INDEX(Daily!$B$3:$B$252,MATCH($B243,Daily!$A$3:$A$252,0)),""),0))</f>
        <v/>
      </c>
      <c r="F243">
        <f>IF($B243="","",IF(ISNUMBER(IFERROR(INDEX(Daily!$Y$3:$Y$252,MATCH($B243,Daily!$A$3:$A$252,0)),"")),IFERROR(INDEX(Daily!$Y$3:$Y$252,MATCH($B243,Daily!$A$3:$A$252,0)),""),""))</f>
        <v/>
      </c>
      <c r="G243">
        <f>IF($B243="","",IF(ISNUMBER(IFERROR(INDEX(Daily!$AJ$3:$AJ$252,MATCH($B243,Daily!$A$3:$A$252,0)),"")),IFERROR(INDEX(Daily!$AJ$3:$AJ$252,MATCH($B243,Daily!$A$3:$A$252,0)),""),""))</f>
        <v/>
      </c>
      <c r="H243">
        <f>IF($B243="","",IF(ISNUMBER(IFERROR(INDEX(Daily!$Z$3:$Z$252,MATCH($B243,Daily!$A$3:$A$252,0)),"")),IFERROR(INDEX(Daily!$Z$3:$Z$252,MATCH($B243,Daily!$A$3:$A$252,0)),""),""))</f>
        <v/>
      </c>
      <c r="I243">
        <f>IF($B243="","",IF(ISNUMBER(IFERROR(INDEX(Daily!$AK$3:$AK$252,MATCH($B243,Daily!$A$3:$A$252,0)),"")),IFERROR(INDEX(Daily!$AK$3:$AK$252,MATCH($B243,Daily!$A$3:$A$252,0)),""),""))</f>
        <v/>
      </c>
      <c r="J243">
        <f>IF($B243="","",IF(AND(ISNUMBER(MDS),ISNUMBER(MDE)),IF(AND($B243&gt;=MDS,$B243&lt;=MDE),24,""),""))</f>
        <v/>
      </c>
      <c r="K243">
        <f>IF($B243="","",IF(AND(ISNUMBER(PitanS),ISNUMBER(PitanE)),IF(AND($B243&gt;=PitanS,$B243&lt;=PitanE),26,""),""))</f>
        <v/>
      </c>
      <c r="L243">
        <f>IF($B243="","",IF(AND(ISNUMBER(C1S),ISNUMBER(C3E)),IF(AND($B243&gt;=C1S,$B243&lt;=C3E),22,""),""))</f>
        <v/>
      </c>
    </row>
    <row r="244">
      <c r="A244" t="n">
        <v>243</v>
      </c>
      <c r="B244" s="30">
        <f>IFERROR(SMALL(Daily!$A$3:$A$252,A244),"")</f>
        <v/>
      </c>
      <c r="C244">
        <f>IF($B244="","",IF(ISNUMBER(IFERROR(INDEX(Daily!$T$3:$T$252,MATCH($B244,Daily!$A$3:$A$252,0)),"")),IFERROR(INDEX(Daily!$T$3:$T$252,MATCH($B244,Daily!$A$3:$A$252,0)),""),""))</f>
        <v/>
      </c>
      <c r="D244">
        <f>IF($B244="","",IF(ISNUMBER(IFERROR(INDEX(Daily!$AE$3:$AE$252,MATCH($B244,Daily!$A$3:$A$252,0)),"")),IFERROR(INDEX(Daily!$AE$3:$AE$252,MATCH($B244,Daily!$A$3:$A$252,0)),""),""))</f>
        <v/>
      </c>
      <c r="E244">
        <f>IF($B244="","",IF(ISNUMBER(IFERROR(INDEX(Daily!$B$3:$B$252,MATCH($B244,Daily!$A$3:$A$252,0)),"")),IFERROR(INDEX(Daily!$B$3:$B$252,MATCH($B244,Daily!$A$3:$A$252,0)),""),0))</f>
        <v/>
      </c>
      <c r="F244">
        <f>IF($B244="","",IF(ISNUMBER(IFERROR(INDEX(Daily!$Y$3:$Y$252,MATCH($B244,Daily!$A$3:$A$252,0)),"")),IFERROR(INDEX(Daily!$Y$3:$Y$252,MATCH($B244,Daily!$A$3:$A$252,0)),""),""))</f>
        <v/>
      </c>
      <c r="G244">
        <f>IF($B244="","",IF(ISNUMBER(IFERROR(INDEX(Daily!$AJ$3:$AJ$252,MATCH($B244,Daily!$A$3:$A$252,0)),"")),IFERROR(INDEX(Daily!$AJ$3:$AJ$252,MATCH($B244,Daily!$A$3:$A$252,0)),""),""))</f>
        <v/>
      </c>
      <c r="H244">
        <f>IF($B244="","",IF(ISNUMBER(IFERROR(INDEX(Daily!$Z$3:$Z$252,MATCH($B244,Daily!$A$3:$A$252,0)),"")),IFERROR(INDEX(Daily!$Z$3:$Z$252,MATCH($B244,Daily!$A$3:$A$252,0)),""),""))</f>
        <v/>
      </c>
      <c r="I244">
        <f>IF($B244="","",IF(ISNUMBER(IFERROR(INDEX(Daily!$AK$3:$AK$252,MATCH($B244,Daily!$A$3:$A$252,0)),"")),IFERROR(INDEX(Daily!$AK$3:$AK$252,MATCH($B244,Daily!$A$3:$A$252,0)),""),""))</f>
        <v/>
      </c>
      <c r="J244">
        <f>IF($B244="","",IF(AND(ISNUMBER(MDS),ISNUMBER(MDE)),IF(AND($B244&gt;=MDS,$B244&lt;=MDE),24,""),""))</f>
        <v/>
      </c>
      <c r="K244">
        <f>IF($B244="","",IF(AND(ISNUMBER(PitanS),ISNUMBER(PitanE)),IF(AND($B244&gt;=PitanS,$B244&lt;=PitanE),26,""),""))</f>
        <v/>
      </c>
      <c r="L244">
        <f>IF($B244="","",IF(AND(ISNUMBER(C1S),ISNUMBER(C3E)),IF(AND($B244&gt;=C1S,$B244&lt;=C3E),22,""),""))</f>
        <v/>
      </c>
    </row>
    <row r="245">
      <c r="A245" t="n">
        <v>244</v>
      </c>
      <c r="B245" s="30">
        <f>IFERROR(SMALL(Daily!$A$3:$A$252,A245),"")</f>
        <v/>
      </c>
      <c r="C245">
        <f>IF($B245="","",IF(ISNUMBER(IFERROR(INDEX(Daily!$T$3:$T$252,MATCH($B245,Daily!$A$3:$A$252,0)),"")),IFERROR(INDEX(Daily!$T$3:$T$252,MATCH($B245,Daily!$A$3:$A$252,0)),""),""))</f>
        <v/>
      </c>
      <c r="D245">
        <f>IF($B245="","",IF(ISNUMBER(IFERROR(INDEX(Daily!$AE$3:$AE$252,MATCH($B245,Daily!$A$3:$A$252,0)),"")),IFERROR(INDEX(Daily!$AE$3:$AE$252,MATCH($B245,Daily!$A$3:$A$252,0)),""),""))</f>
        <v/>
      </c>
      <c r="E245">
        <f>IF($B245="","",IF(ISNUMBER(IFERROR(INDEX(Daily!$B$3:$B$252,MATCH($B245,Daily!$A$3:$A$252,0)),"")),IFERROR(INDEX(Daily!$B$3:$B$252,MATCH($B245,Daily!$A$3:$A$252,0)),""),0))</f>
        <v/>
      </c>
      <c r="F245">
        <f>IF($B245="","",IF(ISNUMBER(IFERROR(INDEX(Daily!$Y$3:$Y$252,MATCH($B245,Daily!$A$3:$A$252,0)),"")),IFERROR(INDEX(Daily!$Y$3:$Y$252,MATCH($B245,Daily!$A$3:$A$252,0)),""),""))</f>
        <v/>
      </c>
      <c r="G245">
        <f>IF($B245="","",IF(ISNUMBER(IFERROR(INDEX(Daily!$AJ$3:$AJ$252,MATCH($B245,Daily!$A$3:$A$252,0)),"")),IFERROR(INDEX(Daily!$AJ$3:$AJ$252,MATCH($B245,Daily!$A$3:$A$252,0)),""),""))</f>
        <v/>
      </c>
      <c r="H245">
        <f>IF($B245="","",IF(ISNUMBER(IFERROR(INDEX(Daily!$Z$3:$Z$252,MATCH($B245,Daily!$A$3:$A$252,0)),"")),IFERROR(INDEX(Daily!$Z$3:$Z$252,MATCH($B245,Daily!$A$3:$A$252,0)),""),""))</f>
        <v/>
      </c>
      <c r="I245">
        <f>IF($B245="","",IF(ISNUMBER(IFERROR(INDEX(Daily!$AK$3:$AK$252,MATCH($B245,Daily!$A$3:$A$252,0)),"")),IFERROR(INDEX(Daily!$AK$3:$AK$252,MATCH($B245,Daily!$A$3:$A$252,0)),""),""))</f>
        <v/>
      </c>
      <c r="J245">
        <f>IF($B245="","",IF(AND(ISNUMBER(MDS),ISNUMBER(MDE)),IF(AND($B245&gt;=MDS,$B245&lt;=MDE),24,""),""))</f>
        <v/>
      </c>
      <c r="K245">
        <f>IF($B245="","",IF(AND(ISNUMBER(PitanS),ISNUMBER(PitanE)),IF(AND($B245&gt;=PitanS,$B245&lt;=PitanE),26,""),""))</f>
        <v/>
      </c>
      <c r="L245">
        <f>IF($B245="","",IF(AND(ISNUMBER(C1S),ISNUMBER(C3E)),IF(AND($B245&gt;=C1S,$B245&lt;=C3E),22,""),""))</f>
        <v/>
      </c>
    </row>
    <row r="246">
      <c r="A246" t="n">
        <v>245</v>
      </c>
      <c r="B246" s="30">
        <f>IFERROR(SMALL(Daily!$A$3:$A$252,A246),"")</f>
        <v/>
      </c>
      <c r="C246">
        <f>IF($B246="","",IF(ISNUMBER(IFERROR(INDEX(Daily!$T$3:$T$252,MATCH($B246,Daily!$A$3:$A$252,0)),"")),IFERROR(INDEX(Daily!$T$3:$T$252,MATCH($B246,Daily!$A$3:$A$252,0)),""),""))</f>
        <v/>
      </c>
      <c r="D246">
        <f>IF($B246="","",IF(ISNUMBER(IFERROR(INDEX(Daily!$AE$3:$AE$252,MATCH($B246,Daily!$A$3:$A$252,0)),"")),IFERROR(INDEX(Daily!$AE$3:$AE$252,MATCH($B246,Daily!$A$3:$A$252,0)),""),""))</f>
        <v/>
      </c>
      <c r="E246">
        <f>IF($B246="","",IF(ISNUMBER(IFERROR(INDEX(Daily!$B$3:$B$252,MATCH($B246,Daily!$A$3:$A$252,0)),"")),IFERROR(INDEX(Daily!$B$3:$B$252,MATCH($B246,Daily!$A$3:$A$252,0)),""),0))</f>
        <v/>
      </c>
      <c r="F246">
        <f>IF($B246="","",IF(ISNUMBER(IFERROR(INDEX(Daily!$Y$3:$Y$252,MATCH($B246,Daily!$A$3:$A$252,0)),"")),IFERROR(INDEX(Daily!$Y$3:$Y$252,MATCH($B246,Daily!$A$3:$A$252,0)),""),""))</f>
        <v/>
      </c>
      <c r="G246">
        <f>IF($B246="","",IF(ISNUMBER(IFERROR(INDEX(Daily!$AJ$3:$AJ$252,MATCH($B246,Daily!$A$3:$A$252,0)),"")),IFERROR(INDEX(Daily!$AJ$3:$AJ$252,MATCH($B246,Daily!$A$3:$A$252,0)),""),""))</f>
        <v/>
      </c>
      <c r="H246">
        <f>IF($B246="","",IF(ISNUMBER(IFERROR(INDEX(Daily!$Z$3:$Z$252,MATCH($B246,Daily!$A$3:$A$252,0)),"")),IFERROR(INDEX(Daily!$Z$3:$Z$252,MATCH($B246,Daily!$A$3:$A$252,0)),""),""))</f>
        <v/>
      </c>
      <c r="I246">
        <f>IF($B246="","",IF(ISNUMBER(IFERROR(INDEX(Daily!$AK$3:$AK$252,MATCH($B246,Daily!$A$3:$A$252,0)),"")),IFERROR(INDEX(Daily!$AK$3:$AK$252,MATCH($B246,Daily!$A$3:$A$252,0)),""),""))</f>
        <v/>
      </c>
      <c r="J246">
        <f>IF($B246="","",IF(AND(ISNUMBER(MDS),ISNUMBER(MDE)),IF(AND($B246&gt;=MDS,$B246&lt;=MDE),24,""),""))</f>
        <v/>
      </c>
      <c r="K246">
        <f>IF($B246="","",IF(AND(ISNUMBER(PitanS),ISNUMBER(PitanE)),IF(AND($B246&gt;=PitanS,$B246&lt;=PitanE),26,""),""))</f>
        <v/>
      </c>
      <c r="L246">
        <f>IF($B246="","",IF(AND(ISNUMBER(C1S),ISNUMBER(C3E)),IF(AND($B246&gt;=C1S,$B246&lt;=C3E),22,""),""))</f>
        <v/>
      </c>
    </row>
    <row r="247">
      <c r="A247" t="n">
        <v>246</v>
      </c>
      <c r="B247" s="30">
        <f>IFERROR(SMALL(Daily!$A$3:$A$252,A247),"")</f>
        <v/>
      </c>
      <c r="C247">
        <f>IF($B247="","",IF(ISNUMBER(IFERROR(INDEX(Daily!$T$3:$T$252,MATCH($B247,Daily!$A$3:$A$252,0)),"")),IFERROR(INDEX(Daily!$T$3:$T$252,MATCH($B247,Daily!$A$3:$A$252,0)),""),""))</f>
        <v/>
      </c>
      <c r="D247">
        <f>IF($B247="","",IF(ISNUMBER(IFERROR(INDEX(Daily!$AE$3:$AE$252,MATCH($B247,Daily!$A$3:$A$252,0)),"")),IFERROR(INDEX(Daily!$AE$3:$AE$252,MATCH($B247,Daily!$A$3:$A$252,0)),""),""))</f>
        <v/>
      </c>
      <c r="E247">
        <f>IF($B247="","",IF(ISNUMBER(IFERROR(INDEX(Daily!$B$3:$B$252,MATCH($B247,Daily!$A$3:$A$252,0)),"")),IFERROR(INDEX(Daily!$B$3:$B$252,MATCH($B247,Daily!$A$3:$A$252,0)),""),0))</f>
        <v/>
      </c>
      <c r="F247">
        <f>IF($B247="","",IF(ISNUMBER(IFERROR(INDEX(Daily!$Y$3:$Y$252,MATCH($B247,Daily!$A$3:$A$252,0)),"")),IFERROR(INDEX(Daily!$Y$3:$Y$252,MATCH($B247,Daily!$A$3:$A$252,0)),""),""))</f>
        <v/>
      </c>
      <c r="G247">
        <f>IF($B247="","",IF(ISNUMBER(IFERROR(INDEX(Daily!$AJ$3:$AJ$252,MATCH($B247,Daily!$A$3:$A$252,0)),"")),IFERROR(INDEX(Daily!$AJ$3:$AJ$252,MATCH($B247,Daily!$A$3:$A$252,0)),""),""))</f>
        <v/>
      </c>
      <c r="H247">
        <f>IF($B247="","",IF(ISNUMBER(IFERROR(INDEX(Daily!$Z$3:$Z$252,MATCH($B247,Daily!$A$3:$A$252,0)),"")),IFERROR(INDEX(Daily!$Z$3:$Z$252,MATCH($B247,Daily!$A$3:$A$252,0)),""),""))</f>
        <v/>
      </c>
      <c r="I247">
        <f>IF($B247="","",IF(ISNUMBER(IFERROR(INDEX(Daily!$AK$3:$AK$252,MATCH($B247,Daily!$A$3:$A$252,0)),"")),IFERROR(INDEX(Daily!$AK$3:$AK$252,MATCH($B247,Daily!$A$3:$A$252,0)),""),""))</f>
        <v/>
      </c>
      <c r="J247">
        <f>IF($B247="","",IF(AND(ISNUMBER(MDS),ISNUMBER(MDE)),IF(AND($B247&gt;=MDS,$B247&lt;=MDE),24,""),""))</f>
        <v/>
      </c>
      <c r="K247">
        <f>IF($B247="","",IF(AND(ISNUMBER(PitanS),ISNUMBER(PitanE)),IF(AND($B247&gt;=PitanS,$B247&lt;=PitanE),26,""),""))</f>
        <v/>
      </c>
      <c r="L247">
        <f>IF($B247="","",IF(AND(ISNUMBER(C1S),ISNUMBER(C3E)),IF(AND($B247&gt;=C1S,$B247&lt;=C3E),22,""),""))</f>
        <v/>
      </c>
    </row>
    <row r="248">
      <c r="A248" t="n">
        <v>247</v>
      </c>
      <c r="B248" s="30">
        <f>IFERROR(SMALL(Daily!$A$3:$A$252,A248),"")</f>
        <v/>
      </c>
      <c r="C248">
        <f>IF($B248="","",IF(ISNUMBER(IFERROR(INDEX(Daily!$T$3:$T$252,MATCH($B248,Daily!$A$3:$A$252,0)),"")),IFERROR(INDEX(Daily!$T$3:$T$252,MATCH($B248,Daily!$A$3:$A$252,0)),""),""))</f>
        <v/>
      </c>
      <c r="D248">
        <f>IF($B248="","",IF(ISNUMBER(IFERROR(INDEX(Daily!$AE$3:$AE$252,MATCH($B248,Daily!$A$3:$A$252,0)),"")),IFERROR(INDEX(Daily!$AE$3:$AE$252,MATCH($B248,Daily!$A$3:$A$252,0)),""),""))</f>
        <v/>
      </c>
      <c r="E248">
        <f>IF($B248="","",IF(ISNUMBER(IFERROR(INDEX(Daily!$B$3:$B$252,MATCH($B248,Daily!$A$3:$A$252,0)),"")),IFERROR(INDEX(Daily!$B$3:$B$252,MATCH($B248,Daily!$A$3:$A$252,0)),""),0))</f>
        <v/>
      </c>
      <c r="F248">
        <f>IF($B248="","",IF(ISNUMBER(IFERROR(INDEX(Daily!$Y$3:$Y$252,MATCH($B248,Daily!$A$3:$A$252,0)),"")),IFERROR(INDEX(Daily!$Y$3:$Y$252,MATCH($B248,Daily!$A$3:$A$252,0)),""),""))</f>
        <v/>
      </c>
      <c r="G248">
        <f>IF($B248="","",IF(ISNUMBER(IFERROR(INDEX(Daily!$AJ$3:$AJ$252,MATCH($B248,Daily!$A$3:$A$252,0)),"")),IFERROR(INDEX(Daily!$AJ$3:$AJ$252,MATCH($B248,Daily!$A$3:$A$252,0)),""),""))</f>
        <v/>
      </c>
      <c r="H248">
        <f>IF($B248="","",IF(ISNUMBER(IFERROR(INDEX(Daily!$Z$3:$Z$252,MATCH($B248,Daily!$A$3:$A$252,0)),"")),IFERROR(INDEX(Daily!$Z$3:$Z$252,MATCH($B248,Daily!$A$3:$A$252,0)),""),""))</f>
        <v/>
      </c>
      <c r="I248">
        <f>IF($B248="","",IF(ISNUMBER(IFERROR(INDEX(Daily!$AK$3:$AK$252,MATCH($B248,Daily!$A$3:$A$252,0)),"")),IFERROR(INDEX(Daily!$AK$3:$AK$252,MATCH($B248,Daily!$A$3:$A$252,0)),""),""))</f>
        <v/>
      </c>
      <c r="J248">
        <f>IF($B248="","",IF(AND(ISNUMBER(MDS),ISNUMBER(MDE)),IF(AND($B248&gt;=MDS,$B248&lt;=MDE),24,""),""))</f>
        <v/>
      </c>
      <c r="K248">
        <f>IF($B248="","",IF(AND(ISNUMBER(PitanS),ISNUMBER(PitanE)),IF(AND($B248&gt;=PitanS,$B248&lt;=PitanE),26,""),""))</f>
        <v/>
      </c>
      <c r="L248">
        <f>IF($B248="","",IF(AND(ISNUMBER(C1S),ISNUMBER(C3E)),IF(AND($B248&gt;=C1S,$B248&lt;=C3E),22,""),""))</f>
        <v/>
      </c>
    </row>
    <row r="249">
      <c r="A249" t="n">
        <v>248</v>
      </c>
      <c r="B249" s="30">
        <f>IFERROR(SMALL(Daily!$A$3:$A$252,A249),"")</f>
        <v/>
      </c>
      <c r="C249">
        <f>IF($B249="","",IF(ISNUMBER(IFERROR(INDEX(Daily!$T$3:$T$252,MATCH($B249,Daily!$A$3:$A$252,0)),"")),IFERROR(INDEX(Daily!$T$3:$T$252,MATCH($B249,Daily!$A$3:$A$252,0)),""),""))</f>
        <v/>
      </c>
      <c r="D249">
        <f>IF($B249="","",IF(ISNUMBER(IFERROR(INDEX(Daily!$AE$3:$AE$252,MATCH($B249,Daily!$A$3:$A$252,0)),"")),IFERROR(INDEX(Daily!$AE$3:$AE$252,MATCH($B249,Daily!$A$3:$A$252,0)),""),""))</f>
        <v/>
      </c>
      <c r="E249">
        <f>IF($B249="","",IF(ISNUMBER(IFERROR(INDEX(Daily!$B$3:$B$252,MATCH($B249,Daily!$A$3:$A$252,0)),"")),IFERROR(INDEX(Daily!$B$3:$B$252,MATCH($B249,Daily!$A$3:$A$252,0)),""),0))</f>
        <v/>
      </c>
      <c r="F249">
        <f>IF($B249="","",IF(ISNUMBER(IFERROR(INDEX(Daily!$Y$3:$Y$252,MATCH($B249,Daily!$A$3:$A$252,0)),"")),IFERROR(INDEX(Daily!$Y$3:$Y$252,MATCH($B249,Daily!$A$3:$A$252,0)),""),""))</f>
        <v/>
      </c>
      <c r="G249">
        <f>IF($B249="","",IF(ISNUMBER(IFERROR(INDEX(Daily!$AJ$3:$AJ$252,MATCH($B249,Daily!$A$3:$A$252,0)),"")),IFERROR(INDEX(Daily!$AJ$3:$AJ$252,MATCH($B249,Daily!$A$3:$A$252,0)),""),""))</f>
        <v/>
      </c>
      <c r="H249">
        <f>IF($B249="","",IF(ISNUMBER(IFERROR(INDEX(Daily!$Z$3:$Z$252,MATCH($B249,Daily!$A$3:$A$252,0)),"")),IFERROR(INDEX(Daily!$Z$3:$Z$252,MATCH($B249,Daily!$A$3:$A$252,0)),""),""))</f>
        <v/>
      </c>
      <c r="I249">
        <f>IF($B249="","",IF(ISNUMBER(IFERROR(INDEX(Daily!$AK$3:$AK$252,MATCH($B249,Daily!$A$3:$A$252,0)),"")),IFERROR(INDEX(Daily!$AK$3:$AK$252,MATCH($B249,Daily!$A$3:$A$252,0)),""),""))</f>
        <v/>
      </c>
      <c r="J249">
        <f>IF($B249="","",IF(AND(ISNUMBER(MDS),ISNUMBER(MDE)),IF(AND($B249&gt;=MDS,$B249&lt;=MDE),24,""),""))</f>
        <v/>
      </c>
      <c r="K249">
        <f>IF($B249="","",IF(AND(ISNUMBER(PitanS),ISNUMBER(PitanE)),IF(AND($B249&gt;=PitanS,$B249&lt;=PitanE),26,""),""))</f>
        <v/>
      </c>
      <c r="L249">
        <f>IF($B249="","",IF(AND(ISNUMBER(C1S),ISNUMBER(C3E)),IF(AND($B249&gt;=C1S,$B249&lt;=C3E),22,""),""))</f>
        <v/>
      </c>
    </row>
    <row r="250">
      <c r="A250" t="n">
        <v>249</v>
      </c>
      <c r="B250" s="30">
        <f>IFERROR(SMALL(Daily!$A$3:$A$252,A250),"")</f>
        <v/>
      </c>
      <c r="C250">
        <f>IF($B250="","",IF(ISNUMBER(IFERROR(INDEX(Daily!$T$3:$T$252,MATCH($B250,Daily!$A$3:$A$252,0)),"")),IFERROR(INDEX(Daily!$T$3:$T$252,MATCH($B250,Daily!$A$3:$A$252,0)),""),""))</f>
        <v/>
      </c>
      <c r="D250">
        <f>IF($B250="","",IF(ISNUMBER(IFERROR(INDEX(Daily!$AE$3:$AE$252,MATCH($B250,Daily!$A$3:$A$252,0)),"")),IFERROR(INDEX(Daily!$AE$3:$AE$252,MATCH($B250,Daily!$A$3:$A$252,0)),""),""))</f>
        <v/>
      </c>
      <c r="E250">
        <f>IF($B250="","",IF(ISNUMBER(IFERROR(INDEX(Daily!$B$3:$B$252,MATCH($B250,Daily!$A$3:$A$252,0)),"")),IFERROR(INDEX(Daily!$B$3:$B$252,MATCH($B250,Daily!$A$3:$A$252,0)),""),0))</f>
        <v/>
      </c>
      <c r="F250">
        <f>IF($B250="","",IF(ISNUMBER(IFERROR(INDEX(Daily!$Y$3:$Y$252,MATCH($B250,Daily!$A$3:$A$252,0)),"")),IFERROR(INDEX(Daily!$Y$3:$Y$252,MATCH($B250,Daily!$A$3:$A$252,0)),""),""))</f>
        <v/>
      </c>
      <c r="G250">
        <f>IF($B250="","",IF(ISNUMBER(IFERROR(INDEX(Daily!$AJ$3:$AJ$252,MATCH($B250,Daily!$A$3:$A$252,0)),"")),IFERROR(INDEX(Daily!$AJ$3:$AJ$252,MATCH($B250,Daily!$A$3:$A$252,0)),""),""))</f>
        <v/>
      </c>
      <c r="H250">
        <f>IF($B250="","",IF(ISNUMBER(IFERROR(INDEX(Daily!$Z$3:$Z$252,MATCH($B250,Daily!$A$3:$A$252,0)),"")),IFERROR(INDEX(Daily!$Z$3:$Z$252,MATCH($B250,Daily!$A$3:$A$252,0)),""),""))</f>
        <v/>
      </c>
      <c r="I250">
        <f>IF($B250="","",IF(ISNUMBER(IFERROR(INDEX(Daily!$AK$3:$AK$252,MATCH($B250,Daily!$A$3:$A$252,0)),"")),IFERROR(INDEX(Daily!$AK$3:$AK$252,MATCH($B250,Daily!$A$3:$A$252,0)),""),""))</f>
        <v/>
      </c>
      <c r="J250">
        <f>IF($B250="","",IF(AND(ISNUMBER(MDS),ISNUMBER(MDE)),IF(AND($B250&gt;=MDS,$B250&lt;=MDE),24,""),""))</f>
        <v/>
      </c>
      <c r="K250">
        <f>IF($B250="","",IF(AND(ISNUMBER(PitanS),ISNUMBER(PitanE)),IF(AND($B250&gt;=PitanS,$B250&lt;=PitanE),26,""),""))</f>
        <v/>
      </c>
      <c r="L250">
        <f>IF($B250="","",IF(AND(ISNUMBER(C1S),ISNUMBER(C3E)),IF(AND($B250&gt;=C1S,$B250&lt;=C3E),22,""),""))</f>
        <v/>
      </c>
    </row>
    <row r="251">
      <c r="A251" t="n">
        <v>250</v>
      </c>
      <c r="B251" s="30">
        <f>IFERROR(SMALL(Daily!$A$3:$A$252,A251),"")</f>
        <v/>
      </c>
      <c r="C251">
        <f>IF($B251="","",IF(ISNUMBER(IFERROR(INDEX(Daily!$T$3:$T$252,MATCH($B251,Daily!$A$3:$A$252,0)),"")),IFERROR(INDEX(Daily!$T$3:$T$252,MATCH($B251,Daily!$A$3:$A$252,0)),""),""))</f>
        <v/>
      </c>
      <c r="D251">
        <f>IF($B251="","",IF(ISNUMBER(IFERROR(INDEX(Daily!$AE$3:$AE$252,MATCH($B251,Daily!$A$3:$A$252,0)),"")),IFERROR(INDEX(Daily!$AE$3:$AE$252,MATCH($B251,Daily!$A$3:$A$252,0)),""),""))</f>
        <v/>
      </c>
      <c r="E251">
        <f>IF($B251="","",IF(ISNUMBER(IFERROR(INDEX(Daily!$B$3:$B$252,MATCH($B251,Daily!$A$3:$A$252,0)),"")),IFERROR(INDEX(Daily!$B$3:$B$252,MATCH($B251,Daily!$A$3:$A$252,0)),""),0))</f>
        <v/>
      </c>
      <c r="F251">
        <f>IF($B251="","",IF(ISNUMBER(IFERROR(INDEX(Daily!$Y$3:$Y$252,MATCH($B251,Daily!$A$3:$A$252,0)),"")),IFERROR(INDEX(Daily!$Y$3:$Y$252,MATCH($B251,Daily!$A$3:$A$252,0)),""),""))</f>
        <v/>
      </c>
      <c r="G251">
        <f>IF($B251="","",IF(ISNUMBER(IFERROR(INDEX(Daily!$AJ$3:$AJ$252,MATCH($B251,Daily!$A$3:$A$252,0)),"")),IFERROR(INDEX(Daily!$AJ$3:$AJ$252,MATCH($B251,Daily!$A$3:$A$252,0)),""),""))</f>
        <v/>
      </c>
      <c r="H251">
        <f>IF($B251="","",IF(ISNUMBER(IFERROR(INDEX(Daily!$Z$3:$Z$252,MATCH($B251,Daily!$A$3:$A$252,0)),"")),IFERROR(INDEX(Daily!$Z$3:$Z$252,MATCH($B251,Daily!$A$3:$A$252,0)),""),""))</f>
        <v/>
      </c>
      <c r="I251">
        <f>IF($B251="","",IF(ISNUMBER(IFERROR(INDEX(Daily!$AK$3:$AK$252,MATCH($B251,Daily!$A$3:$A$252,0)),"")),IFERROR(INDEX(Daily!$AK$3:$AK$252,MATCH($B251,Daily!$A$3:$A$252,0)),""),""))</f>
        <v/>
      </c>
      <c r="J251">
        <f>IF($B251="","",IF(AND(ISNUMBER(MDS),ISNUMBER(MDE)),IF(AND($B251&gt;=MDS,$B251&lt;=MDE),24,""),""))</f>
        <v/>
      </c>
      <c r="K251">
        <f>IF($B251="","",IF(AND(ISNUMBER(PitanS),ISNUMBER(PitanE)),IF(AND($B251&gt;=PitanS,$B251&lt;=PitanE),26,""),""))</f>
        <v/>
      </c>
      <c r="L251">
        <f>IF($B251="","",IF(AND(ISNUMBER(C1S),ISNUMBER(C3E)),IF(AND($B251&gt;=C1S,$B251&lt;=C3E),22,""),""))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2026-10-18T04:36:54Z</dcterms:created>
  <dcterms:modified xmlns:dcterms="http://purl.org/dc/terms/" xmlns:xsi="http://www.w3.org/2001/XMLSchema-instance" xsi:type="dcterms:W3CDTF">2026-10-18T04:36:54Z</dcterms:modified>
</cp:coreProperties>
</file>