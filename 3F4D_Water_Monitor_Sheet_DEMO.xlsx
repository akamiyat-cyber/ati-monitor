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Calendar" sheetId="3" state="visible" r:id="rId5"/>
    <sheet name="2_Daily_input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<sst xmlns="http://schemas.openxmlformats.org/spreadsheetml/2006/main" count="1193" uniqueCount="591">
  <si>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</si>
  <si>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</si>
  <si>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</si>
  <si>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</si>
  <si>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</si>
  <si>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</si>
  <si>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</si>
  <si>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</si>
  <si>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</si>
  <si>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</si>
  <si>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</si>
  <si>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</si>
  <si>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</si>
  <si>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</si>
  <si>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</si>
  <si>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</si>
  <si>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</si>
  <si>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</si>
  <si>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</si>
  <si>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</si>
  <si>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</si>
  <si>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</si>
  <si>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</si>
  <si>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</si>
  <si>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</si>
  <si>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</si>
  <si>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</si>
  <si>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</si>
  <si>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</si>
  <si>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</si>
  <si>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</si>
  <si>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Site-01</t>
  </si>
  <si>
    <t xml:space="preserve">e.g. Chougachha-01</t>
  </si>
  <si>
    <t xml:space="preserve">2</t>
  </si>
  <si>
    <t xml:space="preserve">Place (district / upazila) * / স্থান</t>
  </si>
  <si>
    <t xml:space="preserve">Chougachha, Jashore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</si>
  <si>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</si>
  <si>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</si>
  <si>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</si>
  <si>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</si>
  <si>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</si>
  <si>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</si>
  <si>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</si>
  <si>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</si>
  <si>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</si>
  <si>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Rod miniket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</si>
  <si>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</si>
  <si>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</si>
  <si>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</si>
  <si>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</si>
  <si>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</si>
  <si>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</si>
  <si>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</si>
  <si>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</si>
  <si>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</si>
  <si>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</si>
  <si>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</si>
  <si>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</si>
  <si>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</si>
  <si>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</si>
  <si>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</si>
  <si>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</si>
  <si>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</si>
  <si>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</si>
  <si>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</si>
  <si>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</si>
  <si>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</si>
  <si>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</si>
  <si>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</si>
  <si>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</si>
  <si>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</si>
  <si>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</si>
  <si>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</si>
  <si>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</si>
  <si>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</si>
  <si>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</si>
  <si>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</si>
  <si>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</si>
  <si>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</si>
  <si>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</si>
  <si>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</si>
  <si>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</si>
  <si>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</si>
  <si>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</si>
  <si>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</si>
  <si>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</si>
  <si>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</si>
  <si>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</si>
  <si>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</si>
  <si>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</si>
  <si>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</si>
  <si>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</si>
  <si>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</si>
  <si>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</si>
  <si>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</si>
  <si>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</si>
  <si>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</si>
  <si>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</si>
  <si>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</si>
  <si>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</si>
  <si>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</si>
  <si>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</si>
  <si>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</si>
  <si>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</si>
  <si>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</si>
  <si>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</si>
  <si>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</si>
  <si>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</si>
  <si>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</si>
  <si>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</si>
  <si>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</si>
  <si>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</si>
  <si>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</si>
  <si>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</si>
  <si>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</si>
  <si>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</si>
  <si>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</si>
  <si>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</si>
  <si>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</si>
  <si>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</si>
  <si>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</si>
  <si>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</si>
  <si>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</si>
  <si>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</si>
  <si>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</si>
  <si>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</si>
  <si>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</si>
  <si>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</si>
  <si>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</si>
  <si>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</si>
  <si>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</si>
  <si>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</si>
  <si>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</si>
  <si>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</si>
  <si>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</si>
  <si>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</si>
  <si>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</si>
  <si>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</si>
  <si>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</si>
  <si>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</si>
  <si>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</si>
  <si>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</si>
  <si>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</si>
  <si>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</si>
  <si>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</si>
  <si>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</si>
  <si>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</si>
  <si>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Date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</si>
  <si>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</si>
  <si>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</si>
  <si>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</si>
  <si>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</si>
  <si>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</si>
  <si>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</si>
  <si>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2  Daily input / দৈনিক তথ্য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</si>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</sst>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29949191"/>
        <c:axId val="88921914"/>
      </c:scatterChart>
      <c:valAx>
        <c:axId val="2994919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21914"/>
        <c:crosses val="autoZero"/>
        <c:crossBetween val="midCat"/>
      </c:valAx>
      <c:valAx>
        <c:axId val="889219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4919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76852597"/>
        <c:axId val="11311456"/>
      </c:scatterChart>
      <c:valAx>
        <c:axId val="7685259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11456"/>
        <c:crosses val="autoZero"/>
        <c:crossBetween val="midCat"/>
      </c:valAx>
      <c:valAx>
        <c:axId val="11311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5259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98012548"/>
        <c:axId val="34172989"/>
      </c:scatterChart>
      <c:valAx>
        <c:axId val="9801254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72989"/>
        <c:crosses val="autoZero"/>
        <c:crossBetween val="midCat"/>
      </c:valAx>
      <c:valAx>
        <c:axId val="34172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1254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86919594"/>
        <c:axId val="99353285"/>
      </c:scatterChart>
      <c:valAx>
        <c:axId val="8691959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53285"/>
        <c:crosses val="autoZero"/>
        <c:crossBetween val="midCat"/>
      </c:valAx>
      <c:valAx>
        <c:axId val="993532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1959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3346457"/>
        <c:axId val="18281072"/>
      </c:scatterChart>
      <c:valAx>
        <c:axId val="334645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81072"/>
        <c:crosses val="autoZero"/>
        <c:crossBetween val="midCat"/>
      </c:valAx>
      <c:valAx>
        <c:axId val="182810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645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2" t="s">
        <v>32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33</v>
      </c>
      <c r="B6" s="10" t="s">
        <v>34</v>
      </c>
      <c r="C6" s="11" t="s">
        <v>35</v>
      </c>
      <c r="D6" s="12" t="s">
        <v>36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37</v>
      </c>
      <c r="B7" s="10" t="s">
        <v>38</v>
      </c>
      <c r="C7" s="11" t="n">
        <v>23.1</v>
      </c>
      <c r="D7" s="12" t="s">
        <v>39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40</v>
      </c>
      <c r="B8" s="10" t="s">
        <v>41</v>
      </c>
      <c r="C8" s="11" t="n">
        <v>89</v>
      </c>
      <c r="D8" s="12" t="s">
        <v>42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43</v>
      </c>
      <c r="B9" s="10" t="s">
        <v>44</v>
      </c>
      <c r="C9" s="11" t="s">
        <v>45</v>
      </c>
      <c r="D9" s="12" t="s">
        <v>46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47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48</v>
      </c>
      <c r="B12" s="10" t="s">
        <v>49</v>
      </c>
      <c r="C12" s="13" t="n">
        <v>45993</v>
      </c>
      <c r="D12" s="12" t="s">
        <v>50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51</v>
      </c>
      <c r="B13" s="10" t="s">
        <v>52</v>
      </c>
      <c r="C13" s="11" t="n">
        <v>49</v>
      </c>
      <c r="D13" s="12" t="s">
        <v>53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54</v>
      </c>
      <c r="C14" s="14" t="n">
        <f aca="false">IF(AND(ISNUMBER(C12),ISNUMBER(C13)),C12+C13,"")</f>
        <v>46042</v>
      </c>
      <c r="D14" s="12" t="s">
        <v>55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56</v>
      </c>
      <c r="C15" s="14" t="n">
        <f aca="false">IF(C14="","",C14-35)</f>
        <v>46007</v>
      </c>
      <c r="D15" s="12" t="s">
        <v>57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58</v>
      </c>
      <c r="B16" s="10" t="s">
        <v>59</v>
      </c>
      <c r="C16" s="13"/>
      <c r="D16" s="12" t="s">
        <v>60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61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62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63</v>
      </c>
      <c r="C20" s="15" t="s">
        <v>64</v>
      </c>
      <c r="D20" s="15" t="s">
        <v>65</v>
      </c>
      <c r="E20" s="15" t="s">
        <v>66</v>
      </c>
      <c r="F20" s="15" t="s">
        <v>67</v>
      </c>
      <c r="G20" s="15" t="s">
        <v>68</v>
      </c>
      <c r="H20" s="16" t="s">
        <v>69</v>
      </c>
    </row>
    <row r="21" customFormat="false" ht="15" hidden="false" customHeight="false" outlineLevel="0" collapsed="false">
      <c r="A21" s="9" t="s">
        <v>70</v>
      </c>
      <c r="B21" s="17" t="s">
        <v>71</v>
      </c>
      <c r="C21" s="18" t="s">
        <v>72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73</v>
      </c>
      <c r="B22" s="20" t="s">
        <v>74</v>
      </c>
      <c r="C22" s="18" t="s">
        <v>75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76</v>
      </c>
      <c r="B23" s="10" t="s">
        <v>77</v>
      </c>
      <c r="C23" s="13" t="n">
        <v>46042</v>
      </c>
      <c r="D23" s="12" t="s">
        <v>78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80</v>
      </c>
      <c r="B26" s="10" t="s">
        <v>81</v>
      </c>
      <c r="C26" s="13" t="n">
        <v>45990</v>
      </c>
      <c r="D26" s="12" t="s">
        <v>82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83</v>
      </c>
      <c r="B27" s="10" t="s">
        <v>84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85</v>
      </c>
      <c r="B28" s="10" t="s">
        <v>86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88</v>
      </c>
      <c r="C31" s="18" t="n">
        <v>35</v>
      </c>
    </row>
    <row r="32" customFormat="false" ht="15" hidden="false" customHeight="false" outlineLevel="0" collapsed="false">
      <c r="A32" s="10"/>
      <c r="B32" s="10" t="s">
        <v>89</v>
      </c>
      <c r="C32" s="18" t="n">
        <v>30</v>
      </c>
    </row>
    <row r="33" customFormat="false" ht="15" hidden="false" customHeight="false" outlineLevel="0" collapsed="false">
      <c r="A33" s="10"/>
      <c r="B33" s="10" t="s">
        <v>90</v>
      </c>
      <c r="C33" s="18" t="n">
        <v>3</v>
      </c>
    </row>
    <row r="34" customFormat="false" ht="15" hidden="false" customHeight="false" outlineLevel="0" collapsed="false">
      <c r="A34" s="10"/>
      <c r="B34" s="10" t="s">
        <v>91</v>
      </c>
      <c r="C34" s="18" t="n">
        <v>66</v>
      </c>
    </row>
    <row r="35" customFormat="false" ht="15" hidden="false" customHeight="false" outlineLevel="0" collapsed="false">
      <c r="A35" s="10"/>
      <c r="B35" s="10" t="s">
        <v>92</v>
      </c>
      <c r="C35" s="18" t="n">
        <v>8</v>
      </c>
    </row>
    <row r="36" customFormat="false" ht="15" hidden="false" customHeight="false" outlineLevel="0" collapsed="false">
      <c r="A36" s="10"/>
      <c r="B36" s="10" t="s">
        <v>93</v>
      </c>
      <c r="C36" s="18" t="n">
        <v>6</v>
      </c>
    </row>
    <row r="37" customFormat="false" ht="15" hidden="false" customHeight="false" outlineLevel="0" collapsed="false">
      <c r="A37" s="10"/>
      <c r="B37" s="10" t="s">
        <v>94</v>
      </c>
      <c r="C37" s="18" t="n">
        <v>111</v>
      </c>
    </row>
    <row r="38" customFormat="false" ht="15" hidden="false" customHeight="false" outlineLevel="0" collapsed="false">
      <c r="A38" s="10"/>
      <c r="B38" s="10" t="s">
        <v>95</v>
      </c>
      <c r="C38" s="18" t="n">
        <v>25</v>
      </c>
    </row>
    <row r="39" customFormat="false" ht="15" hidden="false" customHeight="false" outlineLevel="0" collapsed="false">
      <c r="A39" s="10"/>
      <c r="B39" s="10" t="s">
        <v>96</v>
      </c>
      <c r="C39" s="18" t="n">
        <v>21</v>
      </c>
    </row>
    <row r="40" customFormat="false" ht="15" hidden="false" customHeight="false" outlineLevel="0" collapsed="false">
      <c r="A40" s="10"/>
      <c r="B40" s="10" t="s">
        <v>97</v>
      </c>
      <c r="C40" s="18" t="n">
        <v>28</v>
      </c>
    </row>
    <row r="41" customFormat="false" ht="15" hidden="false" customHeight="false" outlineLevel="0" collapsed="false">
      <c r="A41" s="10"/>
      <c r="B41" s="10" t="s">
        <v>98</v>
      </c>
      <c r="C41" s="18" t="n">
        <v>8</v>
      </c>
    </row>
    <row r="42" customFormat="false" ht="15" hidden="false" customHeight="false" outlineLevel="0" collapsed="false">
      <c r="A42" s="10"/>
      <c r="B42" s="10" t="s">
        <v>99</v>
      </c>
      <c r="C42" s="18" t="n">
        <v>15</v>
      </c>
    </row>
    <row r="43" customFormat="false" ht="15" hidden="false" customHeight="false" outlineLevel="0" collapsed="false">
      <c r="A43" s="10"/>
      <c r="B43" s="10" t="s">
        <v>100</v>
      </c>
      <c r="C43" s="18" t="n">
        <v>4</v>
      </c>
    </row>
    <row r="44" customFormat="false" ht="15" hidden="false" customHeight="false" outlineLevel="0" collapsed="false">
      <c r="A44" s="10"/>
      <c r="B44" s="10" t="s">
        <v>101</v>
      </c>
      <c r="C44" s="18" t="n">
        <v>7</v>
      </c>
    </row>
    <row r="46" customFormat="false" ht="15" hidden="false" customHeight="false" outlineLevel="0" collapsed="false">
      <c r="A46" s="7" t="s">
        <v>102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103</v>
      </c>
      <c r="C47" s="15" t="s">
        <v>104</v>
      </c>
      <c r="D47" s="15" t="s">
        <v>105</v>
      </c>
    </row>
    <row r="48" customFormat="false" ht="15" hidden="false" customHeight="false" outlineLevel="0" collapsed="false">
      <c r="B48" s="21" t="s">
        <v>106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107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108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109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110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111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112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113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114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115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116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117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119</v>
      </c>
    </row>
    <row r="2" customFormat="false" ht="15" hidden="false" customHeight="false" outlineLevel="0" collapsed="false">
      <c r="A2" s="2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120</v>
      </c>
      <c r="C4" s="15" t="s">
        <v>121</v>
      </c>
      <c r="D4" s="15" t="s">
        <v>122</v>
      </c>
      <c r="G4" s="15" t="s">
        <v>123</v>
      </c>
      <c r="H4" s="15" t="s">
        <v>121</v>
      </c>
      <c r="I4" s="15" t="s">
        <v>122</v>
      </c>
    </row>
    <row r="5" customFormat="false" ht="15" hidden="false" customHeight="false" outlineLevel="0" collapsed="false">
      <c r="A5" s="25" t="s">
        <v>124</v>
      </c>
      <c r="B5" s="21" t="str">
        <f aca="false">Schedule_Farmer!A5&amp;IF(Schedule_Farmer!E5&lt;&gt;Schedule_Farmer!D5,"  (to "&amp;TEXT(Schedule_Farmer!E5,"dd mmm")&amp;")","")</f>
        <v>Seed wetting</v>
      </c>
      <c r="C5" s="26" t="n">
        <f aca="false">IF(Schedule_Farmer!D5="","",Schedule_Farmer!D5)</f>
        <v>45990</v>
      </c>
      <c r="D5" s="26" t="n">
        <f aca="false">IF(Schedule_Farmer!F5="","",Schedule_Farmer!F5)</f>
        <v>45990</v>
      </c>
      <c r="F5" s="25" t="s">
        <v>124</v>
      </c>
      <c r="G5" s="21" t="str">
        <f aca="false">Schedule_Farmer!A28&amp;IF(Schedule_Farmer!E28&lt;&gt;Schedule_Farmer!D28,"  (to "&amp;TEXT(Schedule_Farmer!E28,"dd mmm")&amp;")","")</f>
        <v>Seed wetting</v>
      </c>
      <c r="H5" s="26" t="n">
        <f aca="false">IF(Schedule_Farmer!D28="","",Schedule_Farmer!D28)</f>
        <v>45990</v>
      </c>
      <c r="I5" s="26" t="n">
        <f aca="false">IF(Schedule_Farmer!F28="","",Schedule_Farmer!F28)</f>
        <v>45990</v>
      </c>
    </row>
    <row r="6" customFormat="false" ht="15" hidden="false" customHeight="false" outlineLevel="0" collapsed="false">
      <c r="A6" s="25" t="s">
        <v>125</v>
      </c>
      <c r="B6" s="21" t="str">
        <f aca="false">Schedule_Farmer!A6&amp;IF(Schedule_Farmer!E6&lt;&gt;Schedule_Farmer!D6,"  (to "&amp;TEXT(Schedule_Farmer!E6,"dd mmm")&amp;")","")</f>
        <v>Sowing</v>
      </c>
      <c r="C6" s="26" t="n">
        <f aca="false">IF(Schedule_Farmer!D6="","",Schedule_Farmer!D6)</f>
        <v>45993</v>
      </c>
      <c r="D6" s="26" t="n">
        <f aca="false">IF(Schedule_Farmer!F6="","",Schedule_Farmer!F6)</f>
        <v>45993</v>
      </c>
      <c r="F6" s="25" t="s">
        <v>125</v>
      </c>
      <c r="G6" s="21" t="str">
        <f aca="false">Schedule_Farmer!A29&amp;IF(Schedule_Farmer!E29&lt;&gt;Schedule_Farmer!D29,"  (to "&amp;TEXT(Schedule_Farmer!E29,"dd mmm")&amp;")","")</f>
        <v>Sowing</v>
      </c>
      <c r="H6" s="26" t="n">
        <f aca="false">IF(Schedule_Farmer!D29="","",Schedule_Farmer!D29)</f>
        <v>45993</v>
      </c>
      <c r="I6" s="26" t="n">
        <f aca="false">IF(Schedule_Farmer!F29="","",Schedule_Farmer!F29)</f>
        <v>45993</v>
      </c>
    </row>
    <row r="7" customFormat="false" ht="15" hidden="false" customHeight="false" outlineLevel="0" collapsed="false">
      <c r="A7" s="25" t="s">
        <v>126</v>
      </c>
      <c r="B7" s="21" t="str">
        <f aca="false">Schedule_Farmer!A7&amp;IF(Schedule_Farmer!E7&lt;&gt;Schedule_Farmer!D7,"  (to "&amp;TEXT(Schedule_Farmer!E7,"dd mmm")&amp;")","")</f>
        <v>Plowing</v>
      </c>
      <c r="C7" s="26" t="n">
        <f aca="false">IF(Schedule_Farmer!D7="","",Schedule_Farmer!D7)</f>
        <v>45999</v>
      </c>
      <c r="D7" s="26" t="str">
        <f aca="false">IF(Schedule_Farmer!F7="","",Schedule_Farmer!F7)</f>
        <v/>
      </c>
      <c r="F7" s="25" t="s">
        <v>126</v>
      </c>
      <c r="G7" s="21" t="str">
        <f aca="false">Schedule_Farmer!A30&amp;IF(Schedule_Farmer!E30&lt;&gt;Schedule_Farmer!D30,"  (to "&amp;TEXT(Schedule_Farmer!E30,"dd mmm")&amp;")","")</f>
        <v>Plowing</v>
      </c>
      <c r="H7" s="26" t="n">
        <f aca="false">IF(Schedule_Farmer!D30="","",Schedule_Farmer!D30)</f>
        <v>45999</v>
      </c>
      <c r="I7" s="26" t="str">
        <f aca="false">IF(Schedule_Farmer!F30="","",Schedule_Farmer!F30)</f>
        <v/>
      </c>
    </row>
    <row r="8" customFormat="false" ht="15" hidden="false" customHeight="false" outlineLevel="0" collapsed="false">
      <c r="A8" s="25" t="s">
        <v>127</v>
      </c>
      <c r="B8" s="21" t="str">
        <f aca="false">Schedule_Farmer!A8&amp;IF(Schedule_Farmer!E8&lt;&gt;Schedule_Farmer!D8,"  (to "&amp;TEXT(Schedule_Farmer!E8,"dd mmm")&amp;")","")</f>
        <v>Puddling</v>
      </c>
      <c r="C8" s="26" t="n">
        <f aca="false">IF(Schedule_Farmer!D8="","",Schedule_Farmer!D8)</f>
        <v>46029</v>
      </c>
      <c r="D8" s="26" t="str">
        <f aca="false">IF(Schedule_Farmer!F8="","",Schedule_Farmer!F8)</f>
        <v/>
      </c>
      <c r="F8" s="25" t="s">
        <v>127</v>
      </c>
      <c r="G8" s="21" t="str">
        <f aca="false">Schedule_Farmer!A31&amp;IF(Schedule_Farmer!E31&lt;&gt;Schedule_Farmer!D31,"  (to "&amp;TEXT(Schedule_Farmer!E31,"dd mmm")&amp;")","")</f>
        <v>Puddling</v>
      </c>
      <c r="H8" s="26" t="n">
        <f aca="false">IF(Schedule_Farmer!D31="","",Schedule_Farmer!D31)</f>
        <v>46029</v>
      </c>
      <c r="I8" s="26" t="str">
        <f aca="false">IF(Schedule_Farmer!F31="","",Schedule_Farmer!F31)</f>
        <v/>
      </c>
    </row>
    <row r="9" customFormat="false" ht="15" hidden="false" customHeight="false" outlineLevel="0" collapsed="false">
      <c r="A9" s="25" t="s">
        <v>128</v>
      </c>
      <c r="B9" s="21" t="str">
        <f aca="false">Schedule_Farmer!A9&amp;IF(Schedule_Farmer!E9&lt;&gt;Schedule_Farmer!D9,"  (to "&amp;TEXT(Schedule_Farmer!E9,"dd mmm")&amp;")","")</f>
        <v>Transplanting</v>
      </c>
      <c r="C9" s="26" t="n">
        <f aca="false">IF(Schedule_Farmer!D9="","",Schedule_Farmer!D9)</f>
        <v>46042</v>
      </c>
      <c r="D9" s="26" t="n">
        <f aca="false">IF(Schedule_Farmer!F9="","",Schedule_Farmer!F9)</f>
        <v>46042</v>
      </c>
      <c r="F9" s="25" t="s">
        <v>128</v>
      </c>
      <c r="G9" s="21" t="str">
        <f aca="false">Schedule_Farmer!A32&amp;IF(Schedule_Farmer!E32&lt;&gt;Schedule_Farmer!D32,"  (to "&amp;TEXT(Schedule_Farmer!E32,"dd mmm")&amp;")","")</f>
        <v>Transplanting</v>
      </c>
      <c r="H9" s="26" t="n">
        <f aca="false">IF(Schedule_Farmer!D32="","",Schedule_Farmer!D32)</f>
        <v>46042</v>
      </c>
      <c r="I9" s="26" t="n">
        <f aca="false">IF(Schedule_Farmer!F32="","",Schedule_Farmer!F32)</f>
        <v>46042</v>
      </c>
    </row>
    <row r="10" customFormat="false" ht="15" hidden="false" customHeight="false" outlineLevel="0" collapsed="false">
      <c r="A10" s="25" t="s">
        <v>129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26" t="n">
        <f aca="false">IF(Schedule_Farmer!D10="","",Schedule_Farmer!D10)</f>
        <v>46068</v>
      </c>
      <c r="D10" s="26" t="str">
        <f aca="false">IF(Schedule_Farmer!F10="","",Schedule_Farmer!F10)</f>
        <v/>
      </c>
      <c r="F10" s="25" t="s">
        <v>129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26" t="n">
        <f aca="false">IF(Schedule_Farmer!D33="","",Schedule_Farmer!D33)</f>
        <v>46068</v>
      </c>
      <c r="I10" s="26" t="str">
        <f aca="false">IF(Schedule_Farmer!F33="","",Schedule_Farmer!F33)</f>
        <v/>
      </c>
    </row>
    <row r="11" customFormat="false" ht="15" hidden="false" customHeight="false" outlineLevel="0" collapsed="false">
      <c r="A11" s="25" t="s">
        <v>130</v>
      </c>
      <c r="B11" s="21" t="str">
        <f aca="false">Schedule_Farmer!A11&amp;IF(Schedule_Farmer!E11&lt;&gt;Schedule_Farmer!D11,"  (to "&amp;TEXT(Schedule_Farmer!E11,"dd mmm")&amp;")","")</f>
        <v>Pitan (conventional mid-season drainage)  (to 22 Feb)</v>
      </c>
      <c r="C11" s="26" t="n">
        <f aca="false">IF(Schedule_Farmer!D11="","",Schedule_Farmer!D11)</f>
        <v>46072</v>
      </c>
      <c r="D11" s="26" t="str">
        <f aca="false">IF(Schedule_Farmer!F11="","",Schedule_Farmer!F11)</f>
        <v/>
      </c>
      <c r="F11" s="25" t="s">
        <v>130</v>
      </c>
      <c r="G11" s="21" t="str">
        <f aca="false">Schedule_Farmer!A34&amp;IF(Schedule_Farmer!E34&lt;&gt;Schedule_Farmer!D34,"  (to "&amp;TEXT(Schedule_Farmer!E34,"dd mmm")&amp;")","")</f>
        <v>Pitan (FP)  (to 27 Feb)</v>
      </c>
      <c r="H11" s="26" t="n">
        <f aca="false">IF(Schedule_Farmer!D34="","",Schedule_Farmer!D34)</f>
        <v>46072</v>
      </c>
      <c r="I11" s="26" t="str">
        <f aca="false">IF(Schedule_Farmer!F34="","",Schedule_Farmer!F34)</f>
        <v/>
      </c>
    </row>
    <row r="12" customFormat="false" ht="15" hidden="false" customHeight="false" outlineLevel="0" collapsed="false">
      <c r="A12" s="25" t="s">
        <v>131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26" t="n">
        <f aca="false">IF(Schedule_Farmer!D12="","",Schedule_Farmer!D12)</f>
        <v>46069</v>
      </c>
      <c r="D12" s="26" t="str">
        <f aca="false">IF(Schedule_Farmer!F12="","",Schedule_Farmer!F12)</f>
        <v/>
      </c>
      <c r="F12" s="25" t="s">
        <v>131</v>
      </c>
      <c r="G12" s="21" t="str">
        <f aca="false">Schedule_Farmer!A35&amp;IF(Schedule_Farmer!E35&lt;&gt;Schedule_Farmer!D35,"  (to "&amp;TEXT(Schedule_Farmer!E35,"dd mmm")&amp;")","")</f>
        <v>Flooding after Pitan</v>
      </c>
      <c r="H12" s="26" t="n">
        <f aca="false">IF(Schedule_Farmer!D35="","",Schedule_Farmer!D35)</f>
        <v>46080</v>
      </c>
      <c r="I12" s="26" t="str">
        <f aca="false">IF(Schedule_Farmer!F35="","",Schedule_Farmer!F35)</f>
        <v/>
      </c>
    </row>
    <row r="13" customFormat="false" ht="15" hidden="false" customHeight="false" outlineLevel="0" collapsed="false">
      <c r="A13" s="25" t="s">
        <v>132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26" t="n">
        <f aca="false">IF(Schedule_Farmer!D13="","",Schedule_Farmer!D13)</f>
        <v>46073</v>
      </c>
      <c r="D13" s="26" t="str">
        <f aca="false">IF(Schedule_Farmer!F13="","",Schedule_Farmer!F13)</f>
        <v/>
      </c>
      <c r="F13" s="25" t="s">
        <v>132</v>
      </c>
      <c r="G13" s="21" t="str">
        <f aca="false">Schedule_Farmer!A36&amp;IF(Schedule_Farmer!E36&lt;&gt;Schedule_Farmer!D36,"  (to "&amp;TEXT(Schedule_Farmer!E36,"dd mmm")&amp;")","")</f>
        <v>Heading</v>
      </c>
      <c r="H13" s="26" t="n">
        <f aca="false">IF(Schedule_Farmer!D36="","",Schedule_Farmer!D36)</f>
        <v>46118</v>
      </c>
      <c r="I13" s="26" t="str">
        <f aca="false">IF(Schedule_Farmer!F36="","",Schedule_Farmer!F36)</f>
        <v/>
      </c>
    </row>
    <row r="14" customFormat="false" ht="15" hidden="false" customHeight="false" outlineLevel="0" collapsed="false">
      <c r="A14" s="25" t="s">
        <v>133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26" t="n">
        <f aca="false">IF(Schedule_Farmer!D14="","",Schedule_Farmer!D14)</f>
        <v>46079</v>
      </c>
      <c r="D14" s="26" t="str">
        <f aca="false">IF(Schedule_Farmer!F14="","",Schedule_Farmer!F14)</f>
        <v/>
      </c>
      <c r="F14" s="25" t="s">
        <v>133</v>
      </c>
      <c r="G14" s="21" t="str">
        <f aca="false">Schedule_Farmer!A37&amp;IF(Schedule_Farmer!E37&lt;&gt;Schedule_Farmer!D37,"  (to "&amp;TEXT(Schedule_Farmer!E37,"dd mmm")&amp;")","")</f>
        <v>Last irrigation</v>
      </c>
      <c r="H14" s="26" t="n">
        <f aca="false">IF(Schedule_Farmer!D37="","",Schedule_Farmer!D37)</f>
        <v>46131</v>
      </c>
      <c r="I14" s="26" t="str">
        <f aca="false">IF(Schedule_Farmer!F37="","",Schedule_Farmer!F37)</f>
        <v/>
      </c>
    </row>
    <row r="15" customFormat="false" ht="15" hidden="false" customHeight="false" outlineLevel="0" collapsed="false">
      <c r="A15" s="25" t="s">
        <v>134</v>
      </c>
      <c r="B15" s="21" t="str">
        <f aca="false">Schedule_Farmer!A15&amp;IF(Schedule_Farmer!E15&lt;&gt;Schedule_Farmer!D15,"  (to "&amp;TEXT(Schedule_Farmer!E15,"dd mmm")&amp;")","")</f>
        <v>Flooding (panicle initiation)  (to 16 Mar)</v>
      </c>
      <c r="C15" s="26" t="n">
        <f aca="false">IF(Schedule_Farmer!D15="","",Schedule_Farmer!D15)</f>
        <v>46093</v>
      </c>
      <c r="D15" s="26" t="str">
        <f aca="false">IF(Schedule_Farmer!F15="","",Schedule_Farmer!F15)</f>
        <v/>
      </c>
      <c r="F15" s="25" t="s">
        <v>134</v>
      </c>
      <c r="G15" s="21" t="str">
        <f aca="false">Schedule_Farmer!A38&amp;IF(Schedule_Farmer!E38&lt;&gt;Schedule_Farmer!D38,"  (to "&amp;TEXT(Schedule_Farmer!E38,"dd mmm")&amp;")","")</f>
        <v>Harvest</v>
      </c>
      <c r="H15" s="26" t="n">
        <f aca="false">IF(Schedule_Farmer!D38="","",Schedule_Farmer!D38)</f>
        <v>46146</v>
      </c>
      <c r="I15" s="26" t="str">
        <f aca="false">IF(Schedule_Farmer!F38="","",Schedule_Farmer!F38)</f>
        <v/>
      </c>
    </row>
    <row r="16" customFormat="false" ht="15" hidden="false" customHeight="false" outlineLevel="0" collapsed="false">
      <c r="A16" s="25" t="s">
        <v>135</v>
      </c>
      <c r="B16" s="21" t="str">
        <f aca="false">Schedule_Farmer!A16&amp;IF(Schedule_Farmer!E16&lt;&gt;Schedule_Farmer!D16,"  (to "&amp;TEXT(Schedule_Farmer!E16,"dd mmm")&amp;")","")</f>
        <v>3F4D-1  (to 23 Mar)</v>
      </c>
      <c r="C16" s="26" t="n">
        <f aca="false">IF(Schedule_Farmer!D16="","",Schedule_Farmer!D16)</f>
        <v>46097</v>
      </c>
      <c r="D16" s="26" t="str">
        <f aca="false">IF(Schedule_Farmer!F16="","",Schedule_Farmer!F16)</f>
        <v/>
      </c>
    </row>
    <row r="17" customFormat="false" ht="15" hidden="false" customHeight="false" outlineLevel="0" collapsed="false">
      <c r="A17" s="25" t="s">
        <v>136</v>
      </c>
      <c r="B17" s="21" t="str">
        <f aca="false">Schedule_Farmer!A17&amp;IF(Schedule_Farmer!E17&lt;&gt;Schedule_Farmer!D17,"  (to "&amp;TEXT(Schedule_Farmer!E17,"dd mmm")&amp;")","")</f>
        <v>3F4D-2  (to 30 Mar)</v>
      </c>
      <c r="C17" s="26" t="n">
        <f aca="false">IF(Schedule_Farmer!D17="","",Schedule_Farmer!D17)</f>
        <v>46104</v>
      </c>
      <c r="D17" s="26" t="str">
        <f aca="false">IF(Schedule_Farmer!F17="","",Schedule_Farmer!F17)</f>
        <v/>
      </c>
    </row>
    <row r="18" customFormat="false" ht="15" hidden="false" customHeight="false" outlineLevel="0" collapsed="false">
      <c r="A18" s="25" t="s">
        <v>137</v>
      </c>
      <c r="B18" s="21" t="str">
        <f aca="false">Schedule_Farmer!A18&amp;IF(Schedule_Farmer!E18&lt;&gt;Schedule_Farmer!D18,"  (to "&amp;TEXT(Schedule_Farmer!E18,"dd mmm")&amp;")","")</f>
        <v>3F4D-3  (to 06 Apr)</v>
      </c>
      <c r="C18" s="26" t="n">
        <f aca="false">IF(Schedule_Farmer!D18="","",Schedule_Farmer!D18)</f>
        <v>46111</v>
      </c>
      <c r="D18" s="26" t="str">
        <f aca="false">IF(Schedule_Farmer!F18="","",Schedule_Farmer!F18)</f>
        <v/>
      </c>
    </row>
    <row r="19" customFormat="false" ht="15" hidden="false" customHeight="false" outlineLevel="0" collapsed="false">
      <c r="A19" s="25" t="s">
        <v>138</v>
      </c>
      <c r="B19" s="21" t="str">
        <f aca="false">Schedule_Farmer!A19&amp;IF(Schedule_Farmer!E19&lt;&gt;Schedule_Farmer!D19,"  (to "&amp;TEXT(Schedule_Farmer!E19,"dd mmm")&amp;")","")</f>
        <v>Heading</v>
      </c>
      <c r="C19" s="26" t="n">
        <f aca="false">IF(Schedule_Farmer!D19="","",Schedule_Farmer!D19)</f>
        <v>46118</v>
      </c>
      <c r="D19" s="26" t="str">
        <f aca="false">IF(Schedule_Farmer!F19="","",Schedule_Farmer!F19)</f>
        <v/>
      </c>
    </row>
    <row r="20" customFormat="false" ht="15" hidden="false" customHeight="false" outlineLevel="0" collapsed="false">
      <c r="A20" s="25" t="s">
        <v>139</v>
      </c>
      <c r="B20" s="21" t="str">
        <f aca="false">Schedule_Farmer!A20&amp;IF(Schedule_Farmer!E20&lt;&gt;Schedule_Farmer!D20,"  (to "&amp;TEXT(Schedule_Farmer!E20,"dd mmm")&amp;")","")</f>
        <v>3F4D-4  (to 13 Apr)</v>
      </c>
      <c r="C20" s="26" t="n">
        <f aca="false">IF(Schedule_Farmer!D20="","",Schedule_Farmer!D20)</f>
        <v>46118</v>
      </c>
      <c r="D20" s="26" t="str">
        <f aca="false">IF(Schedule_Farmer!F20="","",Schedule_Farmer!F20)</f>
        <v/>
      </c>
    </row>
    <row r="21" customFormat="false" ht="15" hidden="false" customHeight="false" outlineLevel="0" collapsed="false">
      <c r="A21" s="25" t="s">
        <v>140</v>
      </c>
      <c r="B21" s="21" t="str">
        <f aca="false">Schedule_Farmer!A21&amp;IF(Schedule_Farmer!E21&lt;&gt;Schedule_Farmer!D21,"  (to "&amp;TEXT(Schedule_Farmer!E21,"dd mmm")&amp;")","")</f>
        <v>3F4D-5  (to 20 Apr)</v>
      </c>
      <c r="C21" s="26" t="n">
        <f aca="false">IF(Schedule_Farmer!D21="","",Schedule_Farmer!D21)</f>
        <v>46125</v>
      </c>
      <c r="D21" s="26" t="n">
        <f aca="false">IF(Schedule_Farmer!F21="","",Schedule_Farmer!F21)</f>
        <v>46126</v>
      </c>
    </row>
    <row r="22" customFormat="false" ht="15" hidden="false" customHeight="false" outlineLevel="0" collapsed="false">
      <c r="A22" s="25" t="s">
        <v>141</v>
      </c>
      <c r="B22" s="21" t="str">
        <f aca="false">Schedule_Farmer!A22&amp;IF(Schedule_Farmer!E22&lt;&gt;Schedule_Farmer!D22,"  (to "&amp;TEXT(Schedule_Farmer!E22,"dd mmm")&amp;")","")</f>
        <v>3F4D-6  (to 27 Apr)</v>
      </c>
      <c r="C22" s="26" t="n">
        <f aca="false">IF(Schedule_Farmer!D22="","",Schedule_Farmer!D22)</f>
        <v>46132</v>
      </c>
      <c r="D22" s="26" t="n">
        <f aca="false">IF(Schedule_Farmer!F22="","",Schedule_Farmer!F22)</f>
        <v>46133</v>
      </c>
    </row>
    <row r="23" customFormat="false" ht="15" hidden="false" customHeight="false" outlineLevel="0" collapsed="false">
      <c r="A23" s="25" t="s">
        <v>142</v>
      </c>
      <c r="B23" s="21" t="str">
        <f aca="false">Schedule_Farmer!A23&amp;IF(Schedule_Farmer!E23&lt;&gt;Schedule_Farmer!D23,"  (to "&amp;TEXT(Schedule_Farmer!E23,"dd mmm")&amp;")","")</f>
        <v>3F4D end</v>
      </c>
      <c r="C23" s="26" t="n">
        <f aca="false">IF(Schedule_Farmer!D23="","",Schedule_Farmer!D23)</f>
        <v>46139</v>
      </c>
      <c r="D23" s="26" t="n">
        <f aca="false">IF(Schedule_Farmer!F23="","",Schedule_Farmer!F23)</f>
        <v>46140</v>
      </c>
    </row>
    <row r="24" customFormat="false" ht="15" hidden="false" customHeight="false" outlineLevel="0" collapsed="false">
      <c r="A24" s="25" t="s">
        <v>143</v>
      </c>
      <c r="B24" s="21" t="str">
        <f aca="false">Schedule_Farmer!A24&amp;IF(Schedule_Farmer!E24&lt;&gt;Schedule_Farmer!D24,"  (to "&amp;TEXT(Schedule_Farmer!E24,"dd mmm")&amp;")","")</f>
        <v>Last irrigation</v>
      </c>
      <c r="C24" s="26" t="n">
        <f aca="false">IF(Schedule_Farmer!D24="","",Schedule_Farmer!D24)</f>
        <v>46140</v>
      </c>
      <c r="D24" s="26" t="str">
        <f aca="false">IF(Schedule_Farmer!F24="","",Schedule_Farmer!F24)</f>
        <v/>
      </c>
    </row>
    <row r="25" customFormat="false" ht="15" hidden="false" customHeight="false" outlineLevel="0" collapsed="false">
      <c r="A25" s="25" t="s">
        <v>144</v>
      </c>
      <c r="B25" s="21" t="str">
        <f aca="false">Schedule_Farmer!A25&amp;IF(Schedule_Farmer!E25&lt;&gt;Schedule_Farmer!D25,"  (to "&amp;TEXT(Schedule_Farmer!E25,"dd mmm")&amp;")","")</f>
        <v>Harvest</v>
      </c>
      <c r="C25" s="26" t="n">
        <f aca="false">IF(Schedule_Farmer!D25="","",Schedule_Farmer!D25)</f>
        <v>46146</v>
      </c>
      <c r="D25" s="2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145</v>
      </c>
    </row>
    <row r="29" customFormat="false" ht="15" hidden="false" customHeight="false" outlineLevel="0" collapsed="false">
      <c r="B29" s="27" t="s">
        <v>146</v>
      </c>
      <c r="C29" s="27" t="s">
        <v>147</v>
      </c>
    </row>
    <row r="30" customFormat="false" ht="15" hidden="false" customHeight="false" outlineLevel="0" collapsed="false">
      <c r="B30" s="21" t="s">
        <v>148</v>
      </c>
      <c r="C30" s="26" t="n">
        <f aca="false">IF(ISNUMBER(SowDate),SowDate+50,"")</f>
        <v>46043</v>
      </c>
    </row>
    <row r="31" customFormat="false" ht="15" hidden="false" customHeight="false" outlineLevel="0" collapsed="false">
      <c r="B31" s="21" t="s">
        <v>149</v>
      </c>
      <c r="C31" s="26" t="n">
        <f aca="false">IF(ISNUMBER(SowDate),SowDate+60,"")</f>
        <v>46053</v>
      </c>
    </row>
    <row r="32" customFormat="false" ht="15" hidden="false" customHeight="false" outlineLevel="0" collapsed="false">
      <c r="B32" s="21" t="s">
        <v>150</v>
      </c>
      <c r="C32" s="26" t="n">
        <f aca="false">IF(ISNUMBER(SowDate),SowDate+70,"")</f>
        <v>46063</v>
      </c>
    </row>
    <row r="33" customFormat="false" ht="15" hidden="false" customHeight="false" outlineLevel="0" collapsed="false">
      <c r="B33" s="21" t="s">
        <v>151</v>
      </c>
      <c r="C33" s="26" t="n">
        <f aca="false">IF(ISNUMBER(SowDate),SowDate+80,"")</f>
        <v>46073</v>
      </c>
    </row>
    <row r="34" customFormat="false" ht="15" hidden="false" customHeight="false" outlineLevel="0" collapsed="false">
      <c r="B34" s="21" t="s">
        <v>152</v>
      </c>
      <c r="C34" s="26" t="n">
        <f aca="false">IF(ISNUMBER(SowDate),SowDate+90,"")</f>
        <v>46083</v>
      </c>
    </row>
    <row r="36" customFormat="false" ht="15" hidden="false" customHeight="false" outlineLevel="0" collapsed="false">
      <c r="B36" s="9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154</v>
      </c>
      <c r="C1" s="27" t="s">
        <v>147</v>
      </c>
      <c r="D1" s="28" t="n">
        <f aca="false">IF(ISNUMBER(DataStart),DataStart+0,"")</f>
        <v>45990</v>
      </c>
      <c r="E1" s="28" t="n">
        <f aca="false">IF(ISNUMBER(DataStart),DataStart+1,"")</f>
        <v>45991</v>
      </c>
      <c r="F1" s="28" t="n">
        <f aca="false">IF(ISNUMBER(DataStart),DataStart+2,"")</f>
        <v>45992</v>
      </c>
      <c r="G1" s="28" t="n">
        <f aca="false">IF(ISNUMBER(DataStart),DataStart+3,"")</f>
        <v>45993</v>
      </c>
      <c r="H1" s="28" t="n">
        <f aca="false">IF(ISNUMBER(DataStart),DataStart+4,"")</f>
        <v>45994</v>
      </c>
      <c r="I1" s="28" t="n">
        <f aca="false">IF(ISNUMBER(DataStart),DataStart+5,"")</f>
        <v>45995</v>
      </c>
      <c r="J1" s="28" t="n">
        <f aca="false">IF(ISNUMBER(DataStart),DataStart+6,"")</f>
        <v>45996</v>
      </c>
      <c r="K1" s="28" t="n">
        <f aca="false">IF(ISNUMBER(DataStart),DataStart+7,"")</f>
        <v>45997</v>
      </c>
      <c r="L1" s="28" t="n">
        <f aca="false">IF(ISNUMBER(DataStart),DataStart+8,"")</f>
        <v>45998</v>
      </c>
      <c r="M1" s="28" t="n">
        <f aca="false">IF(ISNUMBER(DataStart),DataStart+9,"")</f>
        <v>45999</v>
      </c>
      <c r="N1" s="28" t="n">
        <f aca="false">IF(ISNUMBER(DataStart),DataStart+10,"")</f>
        <v>46000</v>
      </c>
      <c r="O1" s="28" t="n">
        <f aca="false">IF(ISNUMBER(DataStart),DataStart+11,"")</f>
        <v>46001</v>
      </c>
      <c r="P1" s="28" t="n">
        <f aca="false">IF(ISNUMBER(DataStart),DataStart+12,"")</f>
        <v>46002</v>
      </c>
      <c r="Q1" s="28" t="n">
        <f aca="false">IF(ISNUMBER(DataStart),DataStart+13,"")</f>
        <v>46003</v>
      </c>
      <c r="R1" s="28" t="n">
        <f aca="false">IF(ISNUMBER(DataStart),DataStart+14,"")</f>
        <v>46004</v>
      </c>
      <c r="S1" s="28" t="n">
        <f aca="false">IF(ISNUMBER(DataStart),DataStart+15,"")</f>
        <v>46005</v>
      </c>
      <c r="T1" s="28" t="n">
        <f aca="false">IF(ISNUMBER(DataStart),DataStart+16,"")</f>
        <v>46006</v>
      </c>
      <c r="U1" s="28" t="n">
        <f aca="false">IF(ISNUMBER(DataStart),DataStart+17,"")</f>
        <v>46007</v>
      </c>
      <c r="V1" s="28" t="n">
        <f aca="false">IF(ISNUMBER(DataStart),DataStart+18,"")</f>
        <v>46008</v>
      </c>
      <c r="W1" s="28" t="n">
        <f aca="false">IF(ISNUMBER(DataStart),DataStart+19,"")</f>
        <v>46009</v>
      </c>
      <c r="X1" s="28" t="n">
        <f aca="false">IF(ISNUMBER(DataStart),DataStart+20,"")</f>
        <v>46010</v>
      </c>
      <c r="Y1" s="28" t="n">
        <f aca="false">IF(ISNUMBER(DataStart),DataStart+21,"")</f>
        <v>46011</v>
      </c>
      <c r="Z1" s="28" t="n">
        <f aca="false">IF(ISNUMBER(DataStart),DataStart+22,"")</f>
        <v>46012</v>
      </c>
      <c r="AA1" s="28" t="n">
        <f aca="false">IF(ISNUMBER(DataStart),DataStart+23,"")</f>
        <v>46013</v>
      </c>
      <c r="AB1" s="28" t="n">
        <f aca="false">IF(ISNUMBER(DataStart),DataStart+24,"")</f>
        <v>46014</v>
      </c>
      <c r="AC1" s="28" t="n">
        <f aca="false">IF(ISNUMBER(DataStart),DataStart+25,"")</f>
        <v>46015</v>
      </c>
      <c r="AD1" s="28" t="n">
        <f aca="false">IF(ISNUMBER(DataStart),DataStart+26,"")</f>
        <v>46016</v>
      </c>
      <c r="AE1" s="28" t="n">
        <f aca="false">IF(ISNUMBER(DataStart),DataStart+27,"")</f>
        <v>46017</v>
      </c>
      <c r="AF1" s="28" t="n">
        <f aca="false">IF(ISNUMBER(DataStart),DataStart+28,"")</f>
        <v>46018</v>
      </c>
      <c r="AG1" s="28" t="n">
        <f aca="false">IF(ISNUMBER(DataStart),DataStart+29,"")</f>
        <v>46019</v>
      </c>
      <c r="AH1" s="28" t="n">
        <f aca="false">IF(ISNUMBER(DataStart),DataStart+30,"")</f>
        <v>46020</v>
      </c>
      <c r="AI1" s="28" t="n">
        <f aca="false">IF(ISNUMBER(DataStart),DataStart+31,"")</f>
        <v>46021</v>
      </c>
      <c r="AJ1" s="28" t="n">
        <f aca="false">IF(ISNUMBER(DataStart),DataStart+32,"")</f>
        <v>46022</v>
      </c>
      <c r="AK1" s="28" t="n">
        <f aca="false">IF(ISNUMBER(DataStart),DataStart+33,"")</f>
        <v>46023</v>
      </c>
      <c r="AL1" s="28" t="n">
        <f aca="false">IF(ISNUMBER(DataStart),DataStart+34,"")</f>
        <v>46024</v>
      </c>
      <c r="AM1" s="28" t="n">
        <f aca="false">IF(ISNUMBER(DataStart),DataStart+35,"")</f>
        <v>46025</v>
      </c>
      <c r="AN1" s="28" t="n">
        <f aca="false">IF(ISNUMBER(DataStart),DataStart+36,"")</f>
        <v>46026</v>
      </c>
      <c r="AO1" s="28" t="n">
        <f aca="false">IF(ISNUMBER(DataStart),DataStart+37,"")</f>
        <v>46027</v>
      </c>
      <c r="AP1" s="28" t="n">
        <f aca="false">IF(ISNUMBER(DataStart),DataStart+38,"")</f>
        <v>46028</v>
      </c>
      <c r="AQ1" s="28" t="n">
        <f aca="false">IF(ISNUMBER(DataStart),DataStart+39,"")</f>
        <v>46029</v>
      </c>
      <c r="AR1" s="28" t="n">
        <f aca="false">IF(ISNUMBER(DataStart),DataStart+40,"")</f>
        <v>46030</v>
      </c>
      <c r="AS1" s="28" t="n">
        <f aca="false">IF(ISNUMBER(DataStart),DataStart+41,"")</f>
        <v>46031</v>
      </c>
      <c r="AT1" s="28" t="n">
        <f aca="false">IF(ISNUMBER(DataStart),DataStart+42,"")</f>
        <v>46032</v>
      </c>
      <c r="AU1" s="28" t="n">
        <f aca="false">IF(ISNUMBER(DataStart),DataStart+43,"")</f>
        <v>46033</v>
      </c>
      <c r="AV1" s="28" t="n">
        <f aca="false">IF(ISNUMBER(DataStart),DataStart+44,"")</f>
        <v>46034</v>
      </c>
      <c r="AW1" s="28" t="n">
        <f aca="false">IF(ISNUMBER(DataStart),DataStart+45,"")</f>
        <v>46035</v>
      </c>
      <c r="AX1" s="28" t="n">
        <f aca="false">IF(ISNUMBER(DataStart),DataStart+46,"")</f>
        <v>46036</v>
      </c>
      <c r="AY1" s="28" t="n">
        <f aca="false">IF(ISNUMBER(DataStart),DataStart+47,"")</f>
        <v>46037</v>
      </c>
      <c r="AZ1" s="28" t="n">
        <f aca="false">IF(ISNUMBER(DataStart),DataStart+48,"")</f>
        <v>46038</v>
      </c>
      <c r="BA1" s="28" t="n">
        <f aca="false">IF(ISNUMBER(DataStart),DataStart+49,"")</f>
        <v>46039</v>
      </c>
      <c r="BB1" s="28" t="n">
        <f aca="false">IF(ISNUMBER(DataStart),DataStart+50,"")</f>
        <v>46040</v>
      </c>
      <c r="BC1" s="28" t="n">
        <f aca="false">IF(ISNUMBER(DataStart),DataStart+51,"")</f>
        <v>46041</v>
      </c>
      <c r="BD1" s="28" t="n">
        <f aca="false">IF(ISNUMBER(DataStart),DataStart+52,"")</f>
        <v>46042</v>
      </c>
      <c r="BE1" s="28" t="n">
        <f aca="false">IF(ISNUMBER(DataStart),DataStart+53,"")</f>
        <v>46043</v>
      </c>
      <c r="BF1" s="28" t="n">
        <f aca="false">IF(ISNUMBER(DataStart),DataStart+54,"")</f>
        <v>46044</v>
      </c>
      <c r="BG1" s="28" t="n">
        <f aca="false">IF(ISNUMBER(DataStart),DataStart+55,"")</f>
        <v>46045</v>
      </c>
      <c r="BH1" s="28" t="n">
        <f aca="false">IF(ISNUMBER(DataStart),DataStart+56,"")</f>
        <v>46046</v>
      </c>
      <c r="BI1" s="28" t="n">
        <f aca="false">IF(ISNUMBER(DataStart),DataStart+57,"")</f>
        <v>46047</v>
      </c>
      <c r="BJ1" s="28" t="n">
        <f aca="false">IF(ISNUMBER(DataStart),DataStart+58,"")</f>
        <v>46048</v>
      </c>
      <c r="BK1" s="28" t="n">
        <f aca="false">IF(ISNUMBER(DataStart),DataStart+59,"")</f>
        <v>46049</v>
      </c>
      <c r="BL1" s="28" t="n">
        <f aca="false">IF(ISNUMBER(DataStart),DataStart+60,"")</f>
        <v>46050</v>
      </c>
      <c r="BM1" s="28" t="n">
        <f aca="false">IF(ISNUMBER(DataStart),DataStart+61,"")</f>
        <v>46051</v>
      </c>
      <c r="BN1" s="28" t="n">
        <f aca="false">IF(ISNUMBER(DataStart),DataStart+62,"")</f>
        <v>46052</v>
      </c>
      <c r="BO1" s="28" t="n">
        <f aca="false">IF(ISNUMBER(DataStart),DataStart+63,"")</f>
        <v>46053</v>
      </c>
      <c r="BP1" s="28" t="n">
        <f aca="false">IF(ISNUMBER(DataStart),DataStart+64,"")</f>
        <v>46054</v>
      </c>
      <c r="BQ1" s="28" t="n">
        <f aca="false">IF(ISNUMBER(DataStart),DataStart+65,"")</f>
        <v>46055</v>
      </c>
      <c r="BR1" s="28" t="n">
        <f aca="false">IF(ISNUMBER(DataStart),DataStart+66,"")</f>
        <v>46056</v>
      </c>
      <c r="BS1" s="28" t="n">
        <f aca="false">IF(ISNUMBER(DataStart),DataStart+67,"")</f>
        <v>46057</v>
      </c>
      <c r="BT1" s="28" t="n">
        <f aca="false">IF(ISNUMBER(DataStart),DataStart+68,"")</f>
        <v>46058</v>
      </c>
      <c r="BU1" s="28" t="n">
        <f aca="false">IF(ISNUMBER(DataStart),DataStart+69,"")</f>
        <v>46059</v>
      </c>
      <c r="BV1" s="28" t="n">
        <f aca="false">IF(ISNUMBER(DataStart),DataStart+70,"")</f>
        <v>46060</v>
      </c>
      <c r="BW1" s="28" t="n">
        <f aca="false">IF(ISNUMBER(DataStart),DataStart+71,"")</f>
        <v>46061</v>
      </c>
      <c r="BX1" s="28" t="n">
        <f aca="false">IF(ISNUMBER(DataStart),DataStart+72,"")</f>
        <v>46062</v>
      </c>
      <c r="BY1" s="28" t="n">
        <f aca="false">IF(ISNUMBER(DataStart),DataStart+73,"")</f>
        <v>46063</v>
      </c>
      <c r="BZ1" s="28" t="n">
        <f aca="false">IF(ISNUMBER(DataStart),DataStart+74,"")</f>
        <v>46064</v>
      </c>
      <c r="CA1" s="28" t="n">
        <f aca="false">IF(ISNUMBER(DataStart),DataStart+75,"")</f>
        <v>46065</v>
      </c>
      <c r="CB1" s="28" t="n">
        <f aca="false">IF(ISNUMBER(DataStart),DataStart+76,"")</f>
        <v>46066</v>
      </c>
      <c r="CC1" s="28" t="n">
        <f aca="false">IF(ISNUMBER(DataStart),DataStart+77,"")</f>
        <v>46067</v>
      </c>
      <c r="CD1" s="28" t="n">
        <f aca="false">IF(ISNUMBER(DataStart),DataStart+78,"")</f>
        <v>46068</v>
      </c>
      <c r="CE1" s="28" t="n">
        <f aca="false">IF(ISNUMBER(DataStart),DataStart+79,"")</f>
        <v>46069</v>
      </c>
      <c r="CF1" s="28" t="n">
        <f aca="false">IF(ISNUMBER(DataStart),DataStart+80,"")</f>
        <v>46070</v>
      </c>
      <c r="CG1" s="28" t="n">
        <f aca="false">IF(ISNUMBER(DataStart),DataStart+81,"")</f>
        <v>46071</v>
      </c>
      <c r="CH1" s="28" t="n">
        <f aca="false">IF(ISNUMBER(DataStart),DataStart+82,"")</f>
        <v>46072</v>
      </c>
      <c r="CI1" s="28" t="n">
        <f aca="false">IF(ISNUMBER(DataStart),DataStart+83,"")</f>
        <v>46073</v>
      </c>
      <c r="CJ1" s="28" t="n">
        <f aca="false">IF(ISNUMBER(DataStart),DataStart+84,"")</f>
        <v>46074</v>
      </c>
      <c r="CK1" s="28" t="n">
        <f aca="false">IF(ISNUMBER(DataStart),DataStart+85,"")</f>
        <v>46075</v>
      </c>
      <c r="CL1" s="28" t="n">
        <f aca="false">IF(ISNUMBER(DataStart),DataStart+86,"")</f>
        <v>46076</v>
      </c>
      <c r="CM1" s="28" t="n">
        <f aca="false">IF(ISNUMBER(DataStart),DataStart+87,"")</f>
        <v>46077</v>
      </c>
      <c r="CN1" s="28" t="n">
        <f aca="false">IF(ISNUMBER(DataStart),DataStart+88,"")</f>
        <v>46078</v>
      </c>
      <c r="CO1" s="28" t="n">
        <f aca="false">IF(ISNUMBER(DataStart),DataStart+89,"")</f>
        <v>46079</v>
      </c>
      <c r="CP1" s="28" t="n">
        <f aca="false">IF(ISNUMBER(DataStart),DataStart+90,"")</f>
        <v>46080</v>
      </c>
      <c r="CQ1" s="28" t="n">
        <f aca="false">IF(ISNUMBER(DataStart),DataStart+91,"")</f>
        <v>46081</v>
      </c>
      <c r="CR1" s="28" t="n">
        <f aca="false">IF(ISNUMBER(DataStart),DataStart+92,"")</f>
        <v>46082</v>
      </c>
      <c r="CS1" s="28" t="n">
        <f aca="false">IF(ISNUMBER(DataStart),DataStart+93,"")</f>
        <v>46083</v>
      </c>
      <c r="CT1" s="28" t="n">
        <f aca="false">IF(ISNUMBER(DataStart),DataStart+94,"")</f>
        <v>46084</v>
      </c>
      <c r="CU1" s="28" t="n">
        <f aca="false">IF(ISNUMBER(DataStart),DataStart+95,"")</f>
        <v>46085</v>
      </c>
      <c r="CV1" s="28" t="n">
        <f aca="false">IF(ISNUMBER(DataStart),DataStart+96,"")</f>
        <v>46086</v>
      </c>
      <c r="CW1" s="28" t="n">
        <f aca="false">IF(ISNUMBER(DataStart),DataStart+97,"")</f>
        <v>46087</v>
      </c>
      <c r="CX1" s="28" t="n">
        <f aca="false">IF(ISNUMBER(DataStart),DataStart+98,"")</f>
        <v>46088</v>
      </c>
      <c r="CY1" s="28" t="n">
        <f aca="false">IF(ISNUMBER(DataStart),DataStart+99,"")</f>
        <v>46089</v>
      </c>
      <c r="CZ1" s="28" t="n">
        <f aca="false">IF(ISNUMBER(DataStart),DataStart+100,"")</f>
        <v>46090</v>
      </c>
      <c r="DA1" s="28" t="n">
        <f aca="false">IF(ISNUMBER(DataStart),DataStart+101,"")</f>
        <v>46091</v>
      </c>
      <c r="DB1" s="28" t="n">
        <f aca="false">IF(ISNUMBER(DataStart),DataStart+102,"")</f>
        <v>46092</v>
      </c>
      <c r="DC1" s="28" t="n">
        <f aca="false">IF(ISNUMBER(DataStart),DataStart+103,"")</f>
        <v>46093</v>
      </c>
      <c r="DD1" s="28" t="n">
        <f aca="false">IF(ISNUMBER(DataStart),DataStart+104,"")</f>
        <v>46094</v>
      </c>
      <c r="DE1" s="28" t="n">
        <f aca="false">IF(ISNUMBER(DataStart),DataStart+105,"")</f>
        <v>46095</v>
      </c>
      <c r="DF1" s="28" t="n">
        <f aca="false">IF(ISNUMBER(DataStart),DataStart+106,"")</f>
        <v>46096</v>
      </c>
      <c r="DG1" s="28" t="n">
        <f aca="false">IF(ISNUMBER(DataStart),DataStart+107,"")</f>
        <v>46097</v>
      </c>
      <c r="DH1" s="28" t="n">
        <f aca="false">IF(ISNUMBER(DataStart),DataStart+108,"")</f>
        <v>46098</v>
      </c>
      <c r="DI1" s="28" t="n">
        <f aca="false">IF(ISNUMBER(DataStart),DataStart+109,"")</f>
        <v>46099</v>
      </c>
      <c r="DJ1" s="28" t="n">
        <f aca="false">IF(ISNUMBER(DataStart),DataStart+110,"")</f>
        <v>46100</v>
      </c>
      <c r="DK1" s="28" t="n">
        <f aca="false">IF(ISNUMBER(DataStart),DataStart+111,"")</f>
        <v>46101</v>
      </c>
      <c r="DL1" s="28" t="n">
        <f aca="false">IF(ISNUMBER(DataStart),DataStart+112,"")</f>
        <v>46102</v>
      </c>
      <c r="DM1" s="28" t="n">
        <f aca="false">IF(ISNUMBER(DataStart),DataStart+113,"")</f>
        <v>46103</v>
      </c>
      <c r="DN1" s="28" t="n">
        <f aca="false">IF(ISNUMBER(DataStart),DataStart+114,"")</f>
        <v>46104</v>
      </c>
      <c r="DO1" s="28" t="n">
        <f aca="false">IF(ISNUMBER(DataStart),DataStart+115,"")</f>
        <v>46105</v>
      </c>
      <c r="DP1" s="28" t="n">
        <f aca="false">IF(ISNUMBER(DataStart),DataStart+116,"")</f>
        <v>46106</v>
      </c>
      <c r="DQ1" s="28" t="n">
        <f aca="false">IF(ISNUMBER(DataStart),DataStart+117,"")</f>
        <v>46107</v>
      </c>
      <c r="DR1" s="28" t="n">
        <f aca="false">IF(ISNUMBER(DataStart),DataStart+118,"")</f>
        <v>46108</v>
      </c>
      <c r="DS1" s="28" t="n">
        <f aca="false">IF(ISNUMBER(DataStart),DataStart+119,"")</f>
        <v>46109</v>
      </c>
      <c r="DT1" s="28" t="n">
        <f aca="false">IF(ISNUMBER(DataStart),DataStart+120,"")</f>
        <v>46110</v>
      </c>
      <c r="DU1" s="28" t="n">
        <f aca="false">IF(ISNUMBER(DataStart),DataStart+121,"")</f>
        <v>46111</v>
      </c>
      <c r="DV1" s="28" t="n">
        <f aca="false">IF(ISNUMBER(DataStart),DataStart+122,"")</f>
        <v>46112</v>
      </c>
      <c r="DW1" s="28" t="n">
        <f aca="false">IF(ISNUMBER(DataStart),DataStart+123,"")</f>
        <v>46113</v>
      </c>
      <c r="DX1" s="28" t="n">
        <f aca="false">IF(ISNUMBER(DataStart),DataStart+124,"")</f>
        <v>46114</v>
      </c>
      <c r="DY1" s="28" t="n">
        <f aca="false">IF(ISNUMBER(DataStart),DataStart+125,"")</f>
        <v>46115</v>
      </c>
      <c r="DZ1" s="28" t="n">
        <f aca="false">IF(ISNUMBER(DataStart),DataStart+126,"")</f>
        <v>46116</v>
      </c>
      <c r="EA1" s="28" t="n">
        <f aca="false">IF(ISNUMBER(DataStart),DataStart+127,"")</f>
        <v>46117</v>
      </c>
      <c r="EB1" s="28" t="n">
        <f aca="false">IF(ISNUMBER(DataStart),DataStart+128,"")</f>
        <v>46118</v>
      </c>
      <c r="EC1" s="28" t="n">
        <f aca="false">IF(ISNUMBER(DataStart),DataStart+129,"")</f>
        <v>46119</v>
      </c>
      <c r="ED1" s="28" t="n">
        <f aca="false">IF(ISNUMBER(DataStart),DataStart+130,"")</f>
        <v>46120</v>
      </c>
      <c r="EE1" s="28" t="n">
        <f aca="false">IF(ISNUMBER(DataStart),DataStart+131,"")</f>
        <v>46121</v>
      </c>
      <c r="EF1" s="28" t="n">
        <f aca="false">IF(ISNUMBER(DataStart),DataStart+132,"")</f>
        <v>46122</v>
      </c>
      <c r="EG1" s="28" t="n">
        <f aca="false">IF(ISNUMBER(DataStart),DataStart+133,"")</f>
        <v>46123</v>
      </c>
      <c r="EH1" s="28" t="n">
        <f aca="false">IF(ISNUMBER(DataStart),DataStart+134,"")</f>
        <v>46124</v>
      </c>
      <c r="EI1" s="28" t="n">
        <f aca="false">IF(ISNUMBER(DataStart),DataStart+135,"")</f>
        <v>46125</v>
      </c>
      <c r="EJ1" s="28" t="n">
        <f aca="false">IF(ISNUMBER(DataStart),DataStart+136,"")</f>
        <v>46126</v>
      </c>
      <c r="EK1" s="28" t="n">
        <f aca="false">IF(ISNUMBER(DataStart),DataStart+137,"")</f>
        <v>46127</v>
      </c>
      <c r="EL1" s="28" t="n">
        <f aca="false">IF(ISNUMBER(DataStart),DataStart+138,"")</f>
        <v>46128</v>
      </c>
      <c r="EM1" s="28" t="n">
        <f aca="false">IF(ISNUMBER(DataStart),DataStart+139,"")</f>
        <v>46129</v>
      </c>
      <c r="EN1" s="28" t="n">
        <f aca="false">IF(ISNUMBER(DataStart),DataStart+140,"")</f>
        <v>46130</v>
      </c>
      <c r="EO1" s="28" t="n">
        <f aca="false">IF(ISNUMBER(DataStart),DataStart+141,"")</f>
        <v>46131</v>
      </c>
      <c r="EP1" s="28" t="n">
        <f aca="false">IF(ISNUMBER(DataStart),DataStart+142,"")</f>
        <v>46132</v>
      </c>
      <c r="EQ1" s="28" t="n">
        <f aca="false">IF(ISNUMBER(DataStart),DataStart+143,"")</f>
        <v>46133</v>
      </c>
      <c r="ER1" s="28" t="n">
        <f aca="false">IF(ISNUMBER(DataStart),DataStart+144,"")</f>
        <v>46134</v>
      </c>
      <c r="ES1" s="28" t="n">
        <f aca="false">IF(ISNUMBER(DataStart),DataStart+145,"")</f>
        <v>46135</v>
      </c>
      <c r="ET1" s="28" t="n">
        <f aca="false">IF(ISNUMBER(DataStart),DataStart+146,"")</f>
        <v>46136</v>
      </c>
      <c r="EU1" s="28" t="n">
        <f aca="false">IF(ISNUMBER(DataStart),DataStart+147,"")</f>
        <v>46137</v>
      </c>
      <c r="EV1" s="28" t="n">
        <f aca="false">IF(ISNUMBER(DataStart),DataStart+148,"")</f>
        <v>46138</v>
      </c>
      <c r="EW1" s="28" t="n">
        <f aca="false">IF(ISNUMBER(DataStart),DataStart+149,"")</f>
        <v>46139</v>
      </c>
      <c r="EX1" s="28" t="n">
        <f aca="false">IF(ISNUMBER(DataStart),DataStart+150,"")</f>
        <v>46140</v>
      </c>
      <c r="EY1" s="28" t="n">
        <f aca="false">IF(ISNUMBER(DataStart),DataStart+151,"")</f>
        <v>46141</v>
      </c>
      <c r="EZ1" s="28" t="n">
        <f aca="false">IF(ISNUMBER(DataStart),DataStart+152,"")</f>
        <v>46142</v>
      </c>
      <c r="FA1" s="28" t="n">
        <f aca="false">IF(ISNUMBER(DataStart),DataStart+153,"")</f>
        <v>46143</v>
      </c>
      <c r="FB1" s="28" t="n">
        <f aca="false">IF(ISNUMBER(DataStart),DataStart+154,"")</f>
        <v>46144</v>
      </c>
      <c r="FC1" s="28" t="n">
        <f aca="false">IF(ISNUMBER(DataStart),DataStart+155,"")</f>
        <v>46145</v>
      </c>
      <c r="FD1" s="28" t="n">
        <f aca="false">IF(ISNUMBER(DataStart),DataStart+156,"")</f>
        <v>46146</v>
      </c>
      <c r="FE1" s="28" t="n">
        <f aca="false">IF(ISNUMBER(DataStart),DataStart+157,"")</f>
        <v>46147</v>
      </c>
      <c r="FF1" s="28" t="n">
        <f aca="false">IF(ISNUMBER(DataStart),DataStart+158,"")</f>
        <v>46148</v>
      </c>
      <c r="FG1" s="28" t="n">
        <f aca="false">IF(ISNUMBER(DataStart),DataStart+159,"")</f>
        <v>46149</v>
      </c>
      <c r="FH1" s="28" t="n">
        <f aca="false">IF(ISNUMBER(DataStart),DataStart+160,"")</f>
        <v>46150</v>
      </c>
      <c r="FI1" s="28" t="n">
        <f aca="false">IF(ISNUMBER(DataStart),DataStart+161,"")</f>
        <v>46151</v>
      </c>
      <c r="FJ1" s="28" t="n">
        <f aca="false">IF(ISNUMBER(DataStart),DataStart+162,"")</f>
        <v>46152</v>
      </c>
      <c r="FK1" s="28" t="n">
        <f aca="false">IF(ISNUMBER(DataStart),DataStart+163,"")</f>
        <v>46153</v>
      </c>
      <c r="FL1" s="28" t="n">
        <f aca="false">IF(ISNUMBER(DataStart),DataStart+164,"")</f>
        <v>46154</v>
      </c>
      <c r="FM1" s="28" t="n">
        <f aca="false">IF(ISNUMBER(DataStart),DataStart+165,"")</f>
        <v>46155</v>
      </c>
      <c r="FN1" s="28" t="n">
        <f aca="false">IF(ISNUMBER(DataStart),DataStart+166,"")</f>
        <v>46156</v>
      </c>
      <c r="FO1" s="28" t="n">
        <f aca="false">IF(ISNUMBER(DataStart),DataStart+167,"")</f>
        <v>46157</v>
      </c>
      <c r="FP1" s="28" t="n">
        <f aca="false">IF(ISNUMBER(DataStart),DataStart+168,"")</f>
        <v>46158</v>
      </c>
      <c r="FQ1" s="28" t="n">
        <f aca="false">IF(ISNUMBER(DataStart),DataStart+169,"")</f>
        <v>46159</v>
      </c>
    </row>
    <row r="2" customFormat="false" ht="15" hidden="false" customHeight="false" outlineLevel="0" collapsed="false">
      <c r="B2" s="29" t="s">
        <v>155</v>
      </c>
      <c r="C2" s="30" t="s">
        <v>156</v>
      </c>
      <c r="D2" s="30" t="str">
        <f aca="false">IF(D1="","",TEXT(D1,"ddd"))</f>
        <v>Sat</v>
      </c>
      <c r="E2" s="30" t="str">
        <f aca="false">IF(E1="","",TEXT(E1,"ddd"))</f>
        <v>Sun</v>
      </c>
      <c r="F2" s="30" t="str">
        <f aca="false">IF(F1="","",TEXT(F1,"ddd"))</f>
        <v>Mon</v>
      </c>
      <c r="G2" s="30" t="str">
        <f aca="false">IF(G1="","",TEXT(G1,"ddd"))</f>
        <v>Tue</v>
      </c>
      <c r="H2" s="30" t="str">
        <f aca="false">IF(H1="","",TEXT(H1,"ddd"))</f>
        <v>Wed</v>
      </c>
      <c r="I2" s="30" t="str">
        <f aca="false">IF(I1="","",TEXT(I1,"ddd"))</f>
        <v>Thu</v>
      </c>
      <c r="J2" s="30" t="str">
        <f aca="false">IF(J1="","",TEXT(J1,"ddd"))</f>
        <v>Fri</v>
      </c>
      <c r="K2" s="30" t="str">
        <f aca="false">IF(K1="","",TEXT(K1,"ddd"))</f>
        <v>Sat</v>
      </c>
      <c r="L2" s="30" t="str">
        <f aca="false">IF(L1="","",TEXT(L1,"ddd"))</f>
        <v>Sun</v>
      </c>
      <c r="M2" s="30" t="str">
        <f aca="false">IF(M1="","",TEXT(M1,"ddd"))</f>
        <v>Mon</v>
      </c>
      <c r="N2" s="30" t="str">
        <f aca="false">IF(N1="","",TEXT(N1,"ddd"))</f>
        <v>Tue</v>
      </c>
      <c r="O2" s="30" t="str">
        <f aca="false">IF(O1="","",TEXT(O1,"ddd"))</f>
        <v>Wed</v>
      </c>
      <c r="P2" s="30" t="str">
        <f aca="false">IF(P1="","",TEXT(P1,"ddd"))</f>
        <v>Thu</v>
      </c>
      <c r="Q2" s="30" t="str">
        <f aca="false">IF(Q1="","",TEXT(Q1,"ddd"))</f>
        <v>Fri</v>
      </c>
      <c r="R2" s="30" t="str">
        <f aca="false">IF(R1="","",TEXT(R1,"ddd"))</f>
        <v>Sat</v>
      </c>
      <c r="S2" s="30" t="str">
        <f aca="false">IF(S1="","",TEXT(S1,"ddd"))</f>
        <v>Sun</v>
      </c>
      <c r="T2" s="30" t="str">
        <f aca="false">IF(T1="","",TEXT(T1,"ddd"))</f>
        <v>Mon</v>
      </c>
      <c r="U2" s="30" t="str">
        <f aca="false">IF(U1="","",TEXT(U1,"ddd"))</f>
        <v>Tue</v>
      </c>
      <c r="V2" s="30" t="str">
        <f aca="false">IF(V1="","",TEXT(V1,"ddd"))</f>
        <v>Wed</v>
      </c>
      <c r="W2" s="30" t="str">
        <f aca="false">IF(W1="","",TEXT(W1,"ddd"))</f>
        <v>Thu</v>
      </c>
      <c r="X2" s="30" t="str">
        <f aca="false">IF(X1="","",TEXT(X1,"ddd"))</f>
        <v>Fri</v>
      </c>
      <c r="Y2" s="30" t="str">
        <f aca="false">IF(Y1="","",TEXT(Y1,"ddd"))</f>
        <v>Sat</v>
      </c>
      <c r="Z2" s="30" t="str">
        <f aca="false">IF(Z1="","",TEXT(Z1,"ddd"))</f>
        <v>Sun</v>
      </c>
      <c r="AA2" s="30" t="str">
        <f aca="false">IF(AA1="","",TEXT(AA1,"ddd"))</f>
        <v>Mon</v>
      </c>
      <c r="AB2" s="30" t="str">
        <f aca="false">IF(AB1="","",TEXT(AB1,"ddd"))</f>
        <v>Tue</v>
      </c>
      <c r="AC2" s="30" t="str">
        <f aca="false">IF(AC1="","",TEXT(AC1,"ddd"))</f>
        <v>Wed</v>
      </c>
      <c r="AD2" s="30" t="str">
        <f aca="false">IF(AD1="","",TEXT(AD1,"ddd"))</f>
        <v>Thu</v>
      </c>
      <c r="AE2" s="30" t="str">
        <f aca="false">IF(AE1="","",TEXT(AE1,"ddd"))</f>
        <v>Fri</v>
      </c>
      <c r="AF2" s="30" t="str">
        <f aca="false">IF(AF1="","",TEXT(AF1,"ddd"))</f>
        <v>Sat</v>
      </c>
      <c r="AG2" s="30" t="str">
        <f aca="false">IF(AG1="","",TEXT(AG1,"ddd"))</f>
        <v>Sun</v>
      </c>
      <c r="AH2" s="30" t="str">
        <f aca="false">IF(AH1="","",TEXT(AH1,"ddd"))</f>
        <v>Mon</v>
      </c>
      <c r="AI2" s="30" t="str">
        <f aca="false">IF(AI1="","",TEXT(AI1,"ddd"))</f>
        <v>Tue</v>
      </c>
      <c r="AJ2" s="30" t="str">
        <f aca="false">IF(AJ1="","",TEXT(AJ1,"ddd"))</f>
        <v>Wed</v>
      </c>
      <c r="AK2" s="30" t="str">
        <f aca="false">IF(AK1="","",TEXT(AK1,"ddd"))</f>
        <v>Thu</v>
      </c>
      <c r="AL2" s="30" t="str">
        <f aca="false">IF(AL1="","",TEXT(AL1,"ddd"))</f>
        <v>Fri</v>
      </c>
      <c r="AM2" s="30" t="str">
        <f aca="false">IF(AM1="","",TEXT(AM1,"ddd"))</f>
        <v>Sat</v>
      </c>
      <c r="AN2" s="30" t="str">
        <f aca="false">IF(AN1="","",TEXT(AN1,"ddd"))</f>
        <v>Sun</v>
      </c>
      <c r="AO2" s="30" t="str">
        <f aca="false">IF(AO1="","",TEXT(AO1,"ddd"))</f>
        <v>Mon</v>
      </c>
      <c r="AP2" s="30" t="str">
        <f aca="false">IF(AP1="","",TEXT(AP1,"ddd"))</f>
        <v>Tue</v>
      </c>
      <c r="AQ2" s="30" t="str">
        <f aca="false">IF(AQ1="","",TEXT(AQ1,"ddd"))</f>
        <v>Wed</v>
      </c>
      <c r="AR2" s="30" t="str">
        <f aca="false">IF(AR1="","",TEXT(AR1,"ddd"))</f>
        <v>Thu</v>
      </c>
      <c r="AS2" s="30" t="str">
        <f aca="false">IF(AS1="","",TEXT(AS1,"ddd"))</f>
        <v>Fri</v>
      </c>
      <c r="AT2" s="30" t="str">
        <f aca="false">IF(AT1="","",TEXT(AT1,"ddd"))</f>
        <v>Sat</v>
      </c>
      <c r="AU2" s="30" t="str">
        <f aca="false">IF(AU1="","",TEXT(AU1,"ddd"))</f>
        <v>Sun</v>
      </c>
      <c r="AV2" s="30" t="str">
        <f aca="false">IF(AV1="","",TEXT(AV1,"ddd"))</f>
        <v>Mon</v>
      </c>
      <c r="AW2" s="30" t="str">
        <f aca="false">IF(AW1="","",TEXT(AW1,"ddd"))</f>
        <v>Tue</v>
      </c>
      <c r="AX2" s="30" t="str">
        <f aca="false">IF(AX1="","",TEXT(AX1,"ddd"))</f>
        <v>Wed</v>
      </c>
      <c r="AY2" s="30" t="str">
        <f aca="false">IF(AY1="","",TEXT(AY1,"ddd"))</f>
        <v>Thu</v>
      </c>
      <c r="AZ2" s="30" t="str">
        <f aca="false">IF(AZ1="","",TEXT(AZ1,"ddd"))</f>
        <v>Fri</v>
      </c>
      <c r="BA2" s="30" t="str">
        <f aca="false">IF(BA1="","",TEXT(BA1,"ddd"))</f>
        <v>Sat</v>
      </c>
      <c r="BB2" s="30" t="str">
        <f aca="false">IF(BB1="","",TEXT(BB1,"ddd"))</f>
        <v>Sun</v>
      </c>
      <c r="BC2" s="30" t="str">
        <f aca="false">IF(BC1="","",TEXT(BC1,"ddd"))</f>
        <v>Mon</v>
      </c>
      <c r="BD2" s="30" t="str">
        <f aca="false">IF(BD1="","",TEXT(BD1,"ddd"))</f>
        <v>Tue</v>
      </c>
      <c r="BE2" s="30" t="str">
        <f aca="false">IF(BE1="","",TEXT(BE1,"ddd"))</f>
        <v>Wed</v>
      </c>
      <c r="BF2" s="30" t="str">
        <f aca="false">IF(BF1="","",TEXT(BF1,"ddd"))</f>
        <v>Thu</v>
      </c>
      <c r="BG2" s="30" t="str">
        <f aca="false">IF(BG1="","",TEXT(BG1,"ddd"))</f>
        <v>Fri</v>
      </c>
      <c r="BH2" s="30" t="str">
        <f aca="false">IF(BH1="","",TEXT(BH1,"ddd"))</f>
        <v>Sat</v>
      </c>
      <c r="BI2" s="30" t="str">
        <f aca="false">IF(BI1="","",TEXT(BI1,"ddd"))</f>
        <v>Sun</v>
      </c>
      <c r="BJ2" s="30" t="str">
        <f aca="false">IF(BJ1="","",TEXT(BJ1,"ddd"))</f>
        <v>Mon</v>
      </c>
      <c r="BK2" s="30" t="str">
        <f aca="false">IF(BK1="","",TEXT(BK1,"ddd"))</f>
        <v>Tue</v>
      </c>
      <c r="BL2" s="30" t="str">
        <f aca="false">IF(BL1="","",TEXT(BL1,"ddd"))</f>
        <v>Wed</v>
      </c>
      <c r="BM2" s="30" t="str">
        <f aca="false">IF(BM1="","",TEXT(BM1,"ddd"))</f>
        <v>Thu</v>
      </c>
      <c r="BN2" s="30" t="str">
        <f aca="false">IF(BN1="","",TEXT(BN1,"ddd"))</f>
        <v>Fri</v>
      </c>
      <c r="BO2" s="30" t="str">
        <f aca="false">IF(BO1="","",TEXT(BO1,"ddd"))</f>
        <v>Sat</v>
      </c>
      <c r="BP2" s="30" t="str">
        <f aca="false">IF(BP1="","",TEXT(BP1,"ddd"))</f>
        <v>Sun</v>
      </c>
      <c r="BQ2" s="30" t="str">
        <f aca="false">IF(BQ1="","",TEXT(BQ1,"ddd"))</f>
        <v>Mon</v>
      </c>
      <c r="BR2" s="30" t="str">
        <f aca="false">IF(BR1="","",TEXT(BR1,"ddd"))</f>
        <v>Tue</v>
      </c>
      <c r="BS2" s="30" t="str">
        <f aca="false">IF(BS1="","",TEXT(BS1,"ddd"))</f>
        <v>Wed</v>
      </c>
      <c r="BT2" s="30" t="str">
        <f aca="false">IF(BT1="","",TEXT(BT1,"ddd"))</f>
        <v>Thu</v>
      </c>
      <c r="BU2" s="30" t="str">
        <f aca="false">IF(BU1="","",TEXT(BU1,"ddd"))</f>
        <v>Fri</v>
      </c>
      <c r="BV2" s="30" t="str">
        <f aca="false">IF(BV1="","",TEXT(BV1,"ddd"))</f>
        <v>Sat</v>
      </c>
      <c r="BW2" s="30" t="str">
        <f aca="false">IF(BW1="","",TEXT(BW1,"ddd"))</f>
        <v>Sun</v>
      </c>
      <c r="BX2" s="30" t="str">
        <f aca="false">IF(BX1="","",TEXT(BX1,"ddd"))</f>
        <v>Mon</v>
      </c>
      <c r="BY2" s="30" t="str">
        <f aca="false">IF(BY1="","",TEXT(BY1,"ddd"))</f>
        <v>Tue</v>
      </c>
      <c r="BZ2" s="30" t="str">
        <f aca="false">IF(BZ1="","",TEXT(BZ1,"ddd"))</f>
        <v>Wed</v>
      </c>
      <c r="CA2" s="30" t="str">
        <f aca="false">IF(CA1="","",TEXT(CA1,"ddd"))</f>
        <v>Thu</v>
      </c>
      <c r="CB2" s="30" t="str">
        <f aca="false">IF(CB1="","",TEXT(CB1,"ddd"))</f>
        <v>Fri</v>
      </c>
      <c r="CC2" s="30" t="str">
        <f aca="false">IF(CC1="","",TEXT(CC1,"ddd"))</f>
        <v>Sat</v>
      </c>
      <c r="CD2" s="30" t="str">
        <f aca="false">IF(CD1="","",TEXT(CD1,"ddd"))</f>
        <v>Sun</v>
      </c>
      <c r="CE2" s="30" t="str">
        <f aca="false">IF(CE1="","",TEXT(CE1,"ddd"))</f>
        <v>Mon</v>
      </c>
      <c r="CF2" s="30" t="str">
        <f aca="false">IF(CF1="","",TEXT(CF1,"ddd"))</f>
        <v>Tue</v>
      </c>
      <c r="CG2" s="30" t="str">
        <f aca="false">IF(CG1="","",TEXT(CG1,"ddd"))</f>
        <v>Wed</v>
      </c>
      <c r="CH2" s="30" t="str">
        <f aca="false">IF(CH1="","",TEXT(CH1,"ddd"))</f>
        <v>Thu</v>
      </c>
      <c r="CI2" s="30" t="str">
        <f aca="false">IF(CI1="","",TEXT(CI1,"ddd"))</f>
        <v>Fri</v>
      </c>
      <c r="CJ2" s="30" t="str">
        <f aca="false">IF(CJ1="","",TEXT(CJ1,"ddd"))</f>
        <v>Sat</v>
      </c>
      <c r="CK2" s="30" t="str">
        <f aca="false">IF(CK1="","",TEXT(CK1,"ddd"))</f>
        <v>Sun</v>
      </c>
      <c r="CL2" s="30" t="str">
        <f aca="false">IF(CL1="","",TEXT(CL1,"ddd"))</f>
        <v>Mon</v>
      </c>
      <c r="CM2" s="30" t="str">
        <f aca="false">IF(CM1="","",TEXT(CM1,"ddd"))</f>
        <v>Tue</v>
      </c>
      <c r="CN2" s="30" t="str">
        <f aca="false">IF(CN1="","",TEXT(CN1,"ddd"))</f>
        <v>Wed</v>
      </c>
      <c r="CO2" s="30" t="str">
        <f aca="false">IF(CO1="","",TEXT(CO1,"ddd"))</f>
        <v>Thu</v>
      </c>
      <c r="CP2" s="30" t="str">
        <f aca="false">IF(CP1="","",TEXT(CP1,"ddd"))</f>
        <v>Fri</v>
      </c>
      <c r="CQ2" s="30" t="str">
        <f aca="false">IF(CQ1="","",TEXT(CQ1,"ddd"))</f>
        <v>Sat</v>
      </c>
      <c r="CR2" s="30" t="str">
        <f aca="false">IF(CR1="","",TEXT(CR1,"ddd"))</f>
        <v>Sun</v>
      </c>
      <c r="CS2" s="30" t="str">
        <f aca="false">IF(CS1="","",TEXT(CS1,"ddd"))</f>
        <v>Mon</v>
      </c>
      <c r="CT2" s="30" t="str">
        <f aca="false">IF(CT1="","",TEXT(CT1,"ddd"))</f>
        <v>Tue</v>
      </c>
      <c r="CU2" s="30" t="str">
        <f aca="false">IF(CU1="","",TEXT(CU1,"ddd"))</f>
        <v>Wed</v>
      </c>
      <c r="CV2" s="30" t="str">
        <f aca="false">IF(CV1="","",TEXT(CV1,"ddd"))</f>
        <v>Thu</v>
      </c>
      <c r="CW2" s="30" t="str">
        <f aca="false">IF(CW1="","",TEXT(CW1,"ddd"))</f>
        <v>Fri</v>
      </c>
      <c r="CX2" s="30" t="str">
        <f aca="false">IF(CX1="","",TEXT(CX1,"ddd"))</f>
        <v>Sat</v>
      </c>
      <c r="CY2" s="30" t="str">
        <f aca="false">IF(CY1="","",TEXT(CY1,"ddd"))</f>
        <v>Sun</v>
      </c>
      <c r="CZ2" s="30" t="str">
        <f aca="false">IF(CZ1="","",TEXT(CZ1,"ddd"))</f>
        <v>Mon</v>
      </c>
      <c r="DA2" s="30" t="str">
        <f aca="false">IF(DA1="","",TEXT(DA1,"ddd"))</f>
        <v>Tue</v>
      </c>
      <c r="DB2" s="30" t="str">
        <f aca="false">IF(DB1="","",TEXT(DB1,"ddd"))</f>
        <v>Wed</v>
      </c>
      <c r="DC2" s="30" t="str">
        <f aca="false">IF(DC1="","",TEXT(DC1,"ddd"))</f>
        <v>Thu</v>
      </c>
      <c r="DD2" s="30" t="str">
        <f aca="false">IF(DD1="","",TEXT(DD1,"ddd"))</f>
        <v>Fri</v>
      </c>
      <c r="DE2" s="30" t="str">
        <f aca="false">IF(DE1="","",TEXT(DE1,"ddd"))</f>
        <v>Sat</v>
      </c>
      <c r="DF2" s="30" t="str">
        <f aca="false">IF(DF1="","",TEXT(DF1,"ddd"))</f>
        <v>Sun</v>
      </c>
      <c r="DG2" s="30" t="str">
        <f aca="false">IF(DG1="","",TEXT(DG1,"ddd"))</f>
        <v>Mon</v>
      </c>
      <c r="DH2" s="30" t="str">
        <f aca="false">IF(DH1="","",TEXT(DH1,"ddd"))</f>
        <v>Tue</v>
      </c>
      <c r="DI2" s="30" t="str">
        <f aca="false">IF(DI1="","",TEXT(DI1,"ddd"))</f>
        <v>Wed</v>
      </c>
      <c r="DJ2" s="30" t="str">
        <f aca="false">IF(DJ1="","",TEXT(DJ1,"ddd"))</f>
        <v>Thu</v>
      </c>
      <c r="DK2" s="30" t="str">
        <f aca="false">IF(DK1="","",TEXT(DK1,"ddd"))</f>
        <v>Fri</v>
      </c>
      <c r="DL2" s="30" t="str">
        <f aca="false">IF(DL1="","",TEXT(DL1,"ddd"))</f>
        <v>Sat</v>
      </c>
      <c r="DM2" s="30" t="str">
        <f aca="false">IF(DM1="","",TEXT(DM1,"ddd"))</f>
        <v>Sun</v>
      </c>
      <c r="DN2" s="30" t="str">
        <f aca="false">IF(DN1="","",TEXT(DN1,"ddd"))</f>
        <v>Mon</v>
      </c>
      <c r="DO2" s="30" t="str">
        <f aca="false">IF(DO1="","",TEXT(DO1,"ddd"))</f>
        <v>Tue</v>
      </c>
      <c r="DP2" s="30" t="str">
        <f aca="false">IF(DP1="","",TEXT(DP1,"ddd"))</f>
        <v>Wed</v>
      </c>
      <c r="DQ2" s="30" t="str">
        <f aca="false">IF(DQ1="","",TEXT(DQ1,"ddd"))</f>
        <v>Thu</v>
      </c>
      <c r="DR2" s="30" t="str">
        <f aca="false">IF(DR1="","",TEXT(DR1,"ddd"))</f>
        <v>Fri</v>
      </c>
      <c r="DS2" s="30" t="str">
        <f aca="false">IF(DS1="","",TEXT(DS1,"ddd"))</f>
        <v>Sat</v>
      </c>
      <c r="DT2" s="30" t="str">
        <f aca="false">IF(DT1="","",TEXT(DT1,"ddd"))</f>
        <v>Sun</v>
      </c>
      <c r="DU2" s="30" t="str">
        <f aca="false">IF(DU1="","",TEXT(DU1,"ddd"))</f>
        <v>Mon</v>
      </c>
      <c r="DV2" s="30" t="str">
        <f aca="false">IF(DV1="","",TEXT(DV1,"ddd"))</f>
        <v>Tue</v>
      </c>
      <c r="DW2" s="30" t="str">
        <f aca="false">IF(DW1="","",TEXT(DW1,"ddd"))</f>
        <v>Wed</v>
      </c>
      <c r="DX2" s="30" t="str">
        <f aca="false">IF(DX1="","",TEXT(DX1,"ddd"))</f>
        <v>Thu</v>
      </c>
      <c r="DY2" s="30" t="str">
        <f aca="false">IF(DY1="","",TEXT(DY1,"ddd"))</f>
        <v>Fri</v>
      </c>
      <c r="DZ2" s="30" t="str">
        <f aca="false">IF(DZ1="","",TEXT(DZ1,"ddd"))</f>
        <v>Sat</v>
      </c>
      <c r="EA2" s="30" t="str">
        <f aca="false">IF(EA1="","",TEXT(EA1,"ddd"))</f>
        <v>Sun</v>
      </c>
      <c r="EB2" s="30" t="str">
        <f aca="false">IF(EB1="","",TEXT(EB1,"ddd"))</f>
        <v>Mon</v>
      </c>
      <c r="EC2" s="30" t="str">
        <f aca="false">IF(EC1="","",TEXT(EC1,"ddd"))</f>
        <v>Tue</v>
      </c>
      <c r="ED2" s="30" t="str">
        <f aca="false">IF(ED1="","",TEXT(ED1,"ddd"))</f>
        <v>Wed</v>
      </c>
      <c r="EE2" s="30" t="str">
        <f aca="false">IF(EE1="","",TEXT(EE1,"ddd"))</f>
        <v>Thu</v>
      </c>
      <c r="EF2" s="30" t="str">
        <f aca="false">IF(EF1="","",TEXT(EF1,"ddd"))</f>
        <v>Fri</v>
      </c>
      <c r="EG2" s="30" t="str">
        <f aca="false">IF(EG1="","",TEXT(EG1,"ddd"))</f>
        <v>Sat</v>
      </c>
      <c r="EH2" s="30" t="str">
        <f aca="false">IF(EH1="","",TEXT(EH1,"ddd"))</f>
        <v>Sun</v>
      </c>
      <c r="EI2" s="30" t="str">
        <f aca="false">IF(EI1="","",TEXT(EI1,"ddd"))</f>
        <v>Mon</v>
      </c>
      <c r="EJ2" s="30" t="str">
        <f aca="false">IF(EJ1="","",TEXT(EJ1,"ddd"))</f>
        <v>Tue</v>
      </c>
      <c r="EK2" s="30" t="str">
        <f aca="false">IF(EK1="","",TEXT(EK1,"ddd"))</f>
        <v>Wed</v>
      </c>
      <c r="EL2" s="30" t="str">
        <f aca="false">IF(EL1="","",TEXT(EL1,"ddd"))</f>
        <v>Thu</v>
      </c>
      <c r="EM2" s="30" t="str">
        <f aca="false">IF(EM1="","",TEXT(EM1,"ddd"))</f>
        <v>Fri</v>
      </c>
      <c r="EN2" s="30" t="str">
        <f aca="false">IF(EN1="","",TEXT(EN1,"ddd"))</f>
        <v>Sat</v>
      </c>
      <c r="EO2" s="30" t="str">
        <f aca="false">IF(EO1="","",TEXT(EO1,"ddd"))</f>
        <v>Sun</v>
      </c>
      <c r="EP2" s="30" t="str">
        <f aca="false">IF(EP1="","",TEXT(EP1,"ddd"))</f>
        <v>Mon</v>
      </c>
      <c r="EQ2" s="30" t="str">
        <f aca="false">IF(EQ1="","",TEXT(EQ1,"ddd"))</f>
        <v>Tue</v>
      </c>
      <c r="ER2" s="30" t="str">
        <f aca="false">IF(ER1="","",TEXT(ER1,"ddd"))</f>
        <v>Wed</v>
      </c>
      <c r="ES2" s="30" t="str">
        <f aca="false">IF(ES1="","",TEXT(ES1,"ddd"))</f>
        <v>Thu</v>
      </c>
      <c r="ET2" s="30" t="str">
        <f aca="false">IF(ET1="","",TEXT(ET1,"ddd"))</f>
        <v>Fri</v>
      </c>
      <c r="EU2" s="30" t="str">
        <f aca="false">IF(EU1="","",TEXT(EU1,"ddd"))</f>
        <v>Sat</v>
      </c>
      <c r="EV2" s="30" t="str">
        <f aca="false">IF(EV1="","",TEXT(EV1,"ddd"))</f>
        <v>Sun</v>
      </c>
      <c r="EW2" s="30" t="str">
        <f aca="false">IF(EW1="","",TEXT(EW1,"ddd"))</f>
        <v>Mon</v>
      </c>
      <c r="EX2" s="30" t="str">
        <f aca="false">IF(EX1="","",TEXT(EX1,"ddd"))</f>
        <v>Tue</v>
      </c>
      <c r="EY2" s="30" t="str">
        <f aca="false">IF(EY1="","",TEXT(EY1,"ddd"))</f>
        <v>Wed</v>
      </c>
      <c r="EZ2" s="30" t="str">
        <f aca="false">IF(EZ1="","",TEXT(EZ1,"ddd"))</f>
        <v>Thu</v>
      </c>
      <c r="FA2" s="30" t="str">
        <f aca="false">IF(FA1="","",TEXT(FA1,"ddd"))</f>
        <v>Fri</v>
      </c>
      <c r="FB2" s="30" t="str">
        <f aca="false">IF(FB1="","",TEXT(FB1,"ddd"))</f>
        <v>Sat</v>
      </c>
      <c r="FC2" s="30" t="str">
        <f aca="false">IF(FC1="","",TEXT(FC1,"ddd"))</f>
        <v>Sun</v>
      </c>
      <c r="FD2" s="30" t="str">
        <f aca="false">IF(FD1="","",TEXT(FD1,"ddd"))</f>
        <v>Mon</v>
      </c>
      <c r="FE2" s="30" t="str">
        <f aca="false">IF(FE1="","",TEXT(FE1,"ddd"))</f>
        <v>Tue</v>
      </c>
      <c r="FF2" s="30" t="str">
        <f aca="false">IF(FF1="","",TEXT(FF1,"ddd"))</f>
        <v>Wed</v>
      </c>
      <c r="FG2" s="30" t="str">
        <f aca="false">IF(FG1="","",TEXT(FG1,"ddd"))</f>
        <v>Thu</v>
      </c>
      <c r="FH2" s="30" t="str">
        <f aca="false">IF(FH1="","",TEXT(FH1,"ddd"))</f>
        <v>Fri</v>
      </c>
      <c r="FI2" s="30" t="str">
        <f aca="false">IF(FI1="","",TEXT(FI1,"ddd"))</f>
        <v>Sat</v>
      </c>
      <c r="FJ2" s="30" t="str">
        <f aca="false">IF(FJ1="","",TEXT(FJ1,"ddd"))</f>
        <v>Sun</v>
      </c>
      <c r="FK2" s="30" t="str">
        <f aca="false">IF(FK1="","",TEXT(FK1,"ddd"))</f>
        <v>Mon</v>
      </c>
      <c r="FL2" s="30" t="str">
        <f aca="false">IF(FL1="","",TEXT(FL1,"ddd"))</f>
        <v>Tue</v>
      </c>
      <c r="FM2" s="30" t="str">
        <f aca="false">IF(FM1="","",TEXT(FM1,"ddd"))</f>
        <v>Wed</v>
      </c>
      <c r="FN2" s="30" t="str">
        <f aca="false">IF(FN1="","",TEXT(FN1,"ddd"))</f>
        <v>Thu</v>
      </c>
      <c r="FO2" s="30" t="str">
        <f aca="false">IF(FO1="","",TEXT(FO1,"ddd"))</f>
        <v>Fri</v>
      </c>
      <c r="FP2" s="30" t="str">
        <f aca="false">IF(FP1="","",TEXT(FP1,"ddd"))</f>
        <v>Sat</v>
      </c>
      <c r="FQ2" s="30" t="str">
        <f aca="false">IF(FQ1="","",TEXT(FQ1,"ddd"))</f>
        <v>Sun</v>
      </c>
    </row>
    <row r="3" customFormat="false" ht="15" hidden="false" customHeight="false" outlineLevel="0" collapsed="false">
      <c r="B3" s="31" t="str">
        <f aca="true">IFERROR("Today: column "&amp;SUBSTITUTE(ADDRESS(1,MATCH(TODAY(),$D$1:$FQ$1,0)+3,4),"1",""),"Today is outside the dates of this sheet")</f>
        <v>Today is outside the dates of this sheet</v>
      </c>
      <c r="C3" s="30" t="s">
        <v>157</v>
      </c>
      <c r="D3" s="30" t="n">
        <f aca="false">IF(OR(D1="",NOT(ISNUMBER(TransDate))),"",D1-TransDate)</f>
        <v>-52</v>
      </c>
      <c r="E3" s="30" t="n">
        <f aca="false">IF(OR(E1="",NOT(ISNUMBER(TransDate))),"",E1-TransDate)</f>
        <v>-51</v>
      </c>
      <c r="F3" s="30" t="n">
        <f aca="false">IF(OR(F1="",NOT(ISNUMBER(TransDate))),"",F1-TransDate)</f>
        <v>-50</v>
      </c>
      <c r="G3" s="30" t="n">
        <f aca="false">IF(OR(G1="",NOT(ISNUMBER(TransDate))),"",G1-TransDate)</f>
        <v>-49</v>
      </c>
      <c r="H3" s="30" t="n">
        <f aca="false">IF(OR(H1="",NOT(ISNUMBER(TransDate))),"",H1-TransDate)</f>
        <v>-48</v>
      </c>
      <c r="I3" s="30" t="n">
        <f aca="false">IF(OR(I1="",NOT(ISNUMBER(TransDate))),"",I1-TransDate)</f>
        <v>-47</v>
      </c>
      <c r="J3" s="30" t="n">
        <f aca="false">IF(OR(J1="",NOT(ISNUMBER(TransDate))),"",J1-TransDate)</f>
        <v>-46</v>
      </c>
      <c r="K3" s="30" t="n">
        <f aca="false">IF(OR(K1="",NOT(ISNUMBER(TransDate))),"",K1-TransDate)</f>
        <v>-45</v>
      </c>
      <c r="L3" s="30" t="n">
        <f aca="false">IF(OR(L1="",NOT(ISNUMBER(TransDate))),"",L1-TransDate)</f>
        <v>-44</v>
      </c>
      <c r="M3" s="30" t="n">
        <f aca="false">IF(OR(M1="",NOT(ISNUMBER(TransDate))),"",M1-TransDate)</f>
        <v>-43</v>
      </c>
      <c r="N3" s="30" t="n">
        <f aca="false">IF(OR(N1="",NOT(ISNUMBER(TransDate))),"",N1-TransDate)</f>
        <v>-42</v>
      </c>
      <c r="O3" s="30" t="n">
        <f aca="false">IF(OR(O1="",NOT(ISNUMBER(TransDate))),"",O1-TransDate)</f>
        <v>-41</v>
      </c>
      <c r="P3" s="30" t="n">
        <f aca="false">IF(OR(P1="",NOT(ISNUMBER(TransDate))),"",P1-TransDate)</f>
        <v>-40</v>
      </c>
      <c r="Q3" s="30" t="n">
        <f aca="false">IF(OR(Q1="",NOT(ISNUMBER(TransDate))),"",Q1-TransDate)</f>
        <v>-39</v>
      </c>
      <c r="R3" s="30" t="n">
        <f aca="false">IF(OR(R1="",NOT(ISNUMBER(TransDate))),"",R1-TransDate)</f>
        <v>-38</v>
      </c>
      <c r="S3" s="30" t="n">
        <f aca="false">IF(OR(S1="",NOT(ISNUMBER(TransDate))),"",S1-TransDate)</f>
        <v>-37</v>
      </c>
      <c r="T3" s="30" t="n">
        <f aca="false">IF(OR(T1="",NOT(ISNUMBER(TransDate))),"",T1-TransDate)</f>
        <v>-36</v>
      </c>
      <c r="U3" s="30" t="n">
        <f aca="false">IF(OR(U1="",NOT(ISNUMBER(TransDate))),"",U1-TransDate)</f>
        <v>-35</v>
      </c>
      <c r="V3" s="30" t="n">
        <f aca="false">IF(OR(V1="",NOT(ISNUMBER(TransDate))),"",V1-TransDate)</f>
        <v>-34</v>
      </c>
      <c r="W3" s="30" t="n">
        <f aca="false">IF(OR(W1="",NOT(ISNUMBER(TransDate))),"",W1-TransDate)</f>
        <v>-33</v>
      </c>
      <c r="X3" s="30" t="n">
        <f aca="false">IF(OR(X1="",NOT(ISNUMBER(TransDate))),"",X1-TransDate)</f>
        <v>-32</v>
      </c>
      <c r="Y3" s="30" t="n">
        <f aca="false">IF(OR(Y1="",NOT(ISNUMBER(TransDate))),"",Y1-TransDate)</f>
        <v>-31</v>
      </c>
      <c r="Z3" s="30" t="n">
        <f aca="false">IF(OR(Z1="",NOT(ISNUMBER(TransDate))),"",Z1-TransDate)</f>
        <v>-30</v>
      </c>
      <c r="AA3" s="30" t="n">
        <f aca="false">IF(OR(AA1="",NOT(ISNUMBER(TransDate))),"",AA1-TransDate)</f>
        <v>-29</v>
      </c>
      <c r="AB3" s="30" t="n">
        <f aca="false">IF(OR(AB1="",NOT(ISNUMBER(TransDate))),"",AB1-TransDate)</f>
        <v>-28</v>
      </c>
      <c r="AC3" s="30" t="n">
        <f aca="false">IF(OR(AC1="",NOT(ISNUMBER(TransDate))),"",AC1-TransDate)</f>
        <v>-27</v>
      </c>
      <c r="AD3" s="30" t="n">
        <f aca="false">IF(OR(AD1="",NOT(ISNUMBER(TransDate))),"",AD1-TransDate)</f>
        <v>-26</v>
      </c>
      <c r="AE3" s="30" t="n">
        <f aca="false">IF(OR(AE1="",NOT(ISNUMBER(TransDate))),"",AE1-TransDate)</f>
        <v>-25</v>
      </c>
      <c r="AF3" s="30" t="n">
        <f aca="false">IF(OR(AF1="",NOT(ISNUMBER(TransDate))),"",AF1-TransDate)</f>
        <v>-24</v>
      </c>
      <c r="AG3" s="30" t="n">
        <f aca="false">IF(OR(AG1="",NOT(ISNUMBER(TransDate))),"",AG1-TransDate)</f>
        <v>-23</v>
      </c>
      <c r="AH3" s="30" t="n">
        <f aca="false">IF(OR(AH1="",NOT(ISNUMBER(TransDate))),"",AH1-TransDate)</f>
        <v>-22</v>
      </c>
      <c r="AI3" s="30" t="n">
        <f aca="false">IF(OR(AI1="",NOT(ISNUMBER(TransDate))),"",AI1-TransDate)</f>
        <v>-21</v>
      </c>
      <c r="AJ3" s="30" t="n">
        <f aca="false">IF(OR(AJ1="",NOT(ISNUMBER(TransDate))),"",AJ1-TransDate)</f>
        <v>-20</v>
      </c>
      <c r="AK3" s="30" t="n">
        <f aca="false">IF(OR(AK1="",NOT(ISNUMBER(TransDate))),"",AK1-TransDate)</f>
        <v>-19</v>
      </c>
      <c r="AL3" s="30" t="n">
        <f aca="false">IF(OR(AL1="",NOT(ISNUMBER(TransDate))),"",AL1-TransDate)</f>
        <v>-18</v>
      </c>
      <c r="AM3" s="30" t="n">
        <f aca="false">IF(OR(AM1="",NOT(ISNUMBER(TransDate))),"",AM1-TransDate)</f>
        <v>-17</v>
      </c>
      <c r="AN3" s="30" t="n">
        <f aca="false">IF(OR(AN1="",NOT(ISNUMBER(TransDate))),"",AN1-TransDate)</f>
        <v>-16</v>
      </c>
      <c r="AO3" s="30" t="n">
        <f aca="false">IF(OR(AO1="",NOT(ISNUMBER(TransDate))),"",AO1-TransDate)</f>
        <v>-15</v>
      </c>
      <c r="AP3" s="30" t="n">
        <f aca="false">IF(OR(AP1="",NOT(ISNUMBER(TransDate))),"",AP1-TransDate)</f>
        <v>-14</v>
      </c>
      <c r="AQ3" s="30" t="n">
        <f aca="false">IF(OR(AQ1="",NOT(ISNUMBER(TransDate))),"",AQ1-TransDate)</f>
        <v>-13</v>
      </c>
      <c r="AR3" s="30" t="n">
        <f aca="false">IF(OR(AR1="",NOT(ISNUMBER(TransDate))),"",AR1-TransDate)</f>
        <v>-12</v>
      </c>
      <c r="AS3" s="30" t="n">
        <f aca="false">IF(OR(AS1="",NOT(ISNUMBER(TransDate))),"",AS1-TransDate)</f>
        <v>-11</v>
      </c>
      <c r="AT3" s="30" t="n">
        <f aca="false">IF(OR(AT1="",NOT(ISNUMBER(TransDate))),"",AT1-TransDate)</f>
        <v>-10</v>
      </c>
      <c r="AU3" s="30" t="n">
        <f aca="false">IF(OR(AU1="",NOT(ISNUMBER(TransDate))),"",AU1-TransDate)</f>
        <v>-9</v>
      </c>
      <c r="AV3" s="30" t="n">
        <f aca="false">IF(OR(AV1="",NOT(ISNUMBER(TransDate))),"",AV1-TransDate)</f>
        <v>-8</v>
      </c>
      <c r="AW3" s="30" t="n">
        <f aca="false">IF(OR(AW1="",NOT(ISNUMBER(TransDate))),"",AW1-TransDate)</f>
        <v>-7</v>
      </c>
      <c r="AX3" s="30" t="n">
        <f aca="false">IF(OR(AX1="",NOT(ISNUMBER(TransDate))),"",AX1-TransDate)</f>
        <v>-6</v>
      </c>
      <c r="AY3" s="30" t="n">
        <f aca="false">IF(OR(AY1="",NOT(ISNUMBER(TransDate))),"",AY1-TransDate)</f>
        <v>-5</v>
      </c>
      <c r="AZ3" s="30" t="n">
        <f aca="false">IF(OR(AZ1="",NOT(ISNUMBER(TransDate))),"",AZ1-TransDate)</f>
        <v>-4</v>
      </c>
      <c r="BA3" s="30" t="n">
        <f aca="false">IF(OR(BA1="",NOT(ISNUMBER(TransDate))),"",BA1-TransDate)</f>
        <v>-3</v>
      </c>
      <c r="BB3" s="30" t="n">
        <f aca="false">IF(OR(BB1="",NOT(ISNUMBER(TransDate))),"",BB1-TransDate)</f>
        <v>-2</v>
      </c>
      <c r="BC3" s="30" t="n">
        <f aca="false">IF(OR(BC1="",NOT(ISNUMBER(TransDate))),"",BC1-TransDate)</f>
        <v>-1</v>
      </c>
      <c r="BD3" s="30" t="n">
        <f aca="false">IF(OR(BD1="",NOT(ISNUMBER(TransDate))),"",BD1-TransDate)</f>
        <v>0</v>
      </c>
      <c r="BE3" s="30" t="n">
        <f aca="false">IF(OR(BE1="",NOT(ISNUMBER(TransDate))),"",BE1-TransDate)</f>
        <v>1</v>
      </c>
      <c r="BF3" s="30" t="n">
        <f aca="false">IF(OR(BF1="",NOT(ISNUMBER(TransDate))),"",BF1-TransDate)</f>
        <v>2</v>
      </c>
      <c r="BG3" s="30" t="n">
        <f aca="false">IF(OR(BG1="",NOT(ISNUMBER(TransDate))),"",BG1-TransDate)</f>
        <v>3</v>
      </c>
      <c r="BH3" s="30" t="n">
        <f aca="false">IF(OR(BH1="",NOT(ISNUMBER(TransDate))),"",BH1-TransDate)</f>
        <v>4</v>
      </c>
      <c r="BI3" s="30" t="n">
        <f aca="false">IF(OR(BI1="",NOT(ISNUMBER(TransDate))),"",BI1-TransDate)</f>
        <v>5</v>
      </c>
      <c r="BJ3" s="30" t="n">
        <f aca="false">IF(OR(BJ1="",NOT(ISNUMBER(TransDate))),"",BJ1-TransDate)</f>
        <v>6</v>
      </c>
      <c r="BK3" s="30" t="n">
        <f aca="false">IF(OR(BK1="",NOT(ISNUMBER(TransDate))),"",BK1-TransDate)</f>
        <v>7</v>
      </c>
      <c r="BL3" s="30" t="n">
        <f aca="false">IF(OR(BL1="",NOT(ISNUMBER(TransDate))),"",BL1-TransDate)</f>
        <v>8</v>
      </c>
      <c r="BM3" s="30" t="n">
        <f aca="false">IF(OR(BM1="",NOT(ISNUMBER(TransDate))),"",BM1-TransDate)</f>
        <v>9</v>
      </c>
      <c r="BN3" s="30" t="n">
        <f aca="false">IF(OR(BN1="",NOT(ISNUMBER(TransDate))),"",BN1-TransDate)</f>
        <v>10</v>
      </c>
      <c r="BO3" s="30" t="n">
        <f aca="false">IF(OR(BO1="",NOT(ISNUMBER(TransDate))),"",BO1-TransDate)</f>
        <v>11</v>
      </c>
      <c r="BP3" s="30" t="n">
        <f aca="false">IF(OR(BP1="",NOT(ISNUMBER(TransDate))),"",BP1-TransDate)</f>
        <v>12</v>
      </c>
      <c r="BQ3" s="30" t="n">
        <f aca="false">IF(OR(BQ1="",NOT(ISNUMBER(TransDate))),"",BQ1-TransDate)</f>
        <v>13</v>
      </c>
      <c r="BR3" s="30" t="n">
        <f aca="false">IF(OR(BR1="",NOT(ISNUMBER(TransDate))),"",BR1-TransDate)</f>
        <v>14</v>
      </c>
      <c r="BS3" s="30" t="n">
        <f aca="false">IF(OR(BS1="",NOT(ISNUMBER(TransDate))),"",BS1-TransDate)</f>
        <v>15</v>
      </c>
      <c r="BT3" s="30" t="n">
        <f aca="false">IF(OR(BT1="",NOT(ISNUMBER(TransDate))),"",BT1-TransDate)</f>
        <v>16</v>
      </c>
      <c r="BU3" s="30" t="n">
        <f aca="false">IF(OR(BU1="",NOT(ISNUMBER(TransDate))),"",BU1-TransDate)</f>
        <v>17</v>
      </c>
      <c r="BV3" s="30" t="n">
        <f aca="false">IF(OR(BV1="",NOT(ISNUMBER(TransDate))),"",BV1-TransDate)</f>
        <v>18</v>
      </c>
      <c r="BW3" s="30" t="n">
        <f aca="false">IF(OR(BW1="",NOT(ISNUMBER(TransDate))),"",BW1-TransDate)</f>
        <v>19</v>
      </c>
      <c r="BX3" s="30" t="n">
        <f aca="false">IF(OR(BX1="",NOT(ISNUMBER(TransDate))),"",BX1-TransDate)</f>
        <v>20</v>
      </c>
      <c r="BY3" s="30" t="n">
        <f aca="false">IF(OR(BY1="",NOT(ISNUMBER(TransDate))),"",BY1-TransDate)</f>
        <v>21</v>
      </c>
      <c r="BZ3" s="30" t="n">
        <f aca="false">IF(OR(BZ1="",NOT(ISNUMBER(TransDate))),"",BZ1-TransDate)</f>
        <v>22</v>
      </c>
      <c r="CA3" s="30" t="n">
        <f aca="false">IF(OR(CA1="",NOT(ISNUMBER(TransDate))),"",CA1-TransDate)</f>
        <v>23</v>
      </c>
      <c r="CB3" s="30" t="n">
        <f aca="false">IF(OR(CB1="",NOT(ISNUMBER(TransDate))),"",CB1-TransDate)</f>
        <v>24</v>
      </c>
      <c r="CC3" s="30" t="n">
        <f aca="false">IF(OR(CC1="",NOT(ISNUMBER(TransDate))),"",CC1-TransDate)</f>
        <v>25</v>
      </c>
      <c r="CD3" s="30" t="n">
        <f aca="false">IF(OR(CD1="",NOT(ISNUMBER(TransDate))),"",CD1-TransDate)</f>
        <v>26</v>
      </c>
      <c r="CE3" s="30" t="n">
        <f aca="false">IF(OR(CE1="",NOT(ISNUMBER(TransDate))),"",CE1-TransDate)</f>
        <v>27</v>
      </c>
      <c r="CF3" s="30" t="n">
        <f aca="false">IF(OR(CF1="",NOT(ISNUMBER(TransDate))),"",CF1-TransDate)</f>
        <v>28</v>
      </c>
      <c r="CG3" s="30" t="n">
        <f aca="false">IF(OR(CG1="",NOT(ISNUMBER(TransDate))),"",CG1-TransDate)</f>
        <v>29</v>
      </c>
      <c r="CH3" s="30" t="n">
        <f aca="false">IF(OR(CH1="",NOT(ISNUMBER(TransDate))),"",CH1-TransDate)</f>
        <v>30</v>
      </c>
      <c r="CI3" s="30" t="n">
        <f aca="false">IF(OR(CI1="",NOT(ISNUMBER(TransDate))),"",CI1-TransDate)</f>
        <v>31</v>
      </c>
      <c r="CJ3" s="30" t="n">
        <f aca="false">IF(OR(CJ1="",NOT(ISNUMBER(TransDate))),"",CJ1-TransDate)</f>
        <v>32</v>
      </c>
      <c r="CK3" s="30" t="n">
        <f aca="false">IF(OR(CK1="",NOT(ISNUMBER(TransDate))),"",CK1-TransDate)</f>
        <v>33</v>
      </c>
      <c r="CL3" s="30" t="n">
        <f aca="false">IF(OR(CL1="",NOT(ISNUMBER(TransDate))),"",CL1-TransDate)</f>
        <v>34</v>
      </c>
      <c r="CM3" s="30" t="n">
        <f aca="false">IF(OR(CM1="",NOT(ISNUMBER(TransDate))),"",CM1-TransDate)</f>
        <v>35</v>
      </c>
      <c r="CN3" s="30" t="n">
        <f aca="false">IF(OR(CN1="",NOT(ISNUMBER(TransDate))),"",CN1-TransDate)</f>
        <v>36</v>
      </c>
      <c r="CO3" s="30" t="n">
        <f aca="false">IF(OR(CO1="",NOT(ISNUMBER(TransDate))),"",CO1-TransDate)</f>
        <v>37</v>
      </c>
      <c r="CP3" s="30" t="n">
        <f aca="false">IF(OR(CP1="",NOT(ISNUMBER(TransDate))),"",CP1-TransDate)</f>
        <v>38</v>
      </c>
      <c r="CQ3" s="30" t="n">
        <f aca="false">IF(OR(CQ1="",NOT(ISNUMBER(TransDate))),"",CQ1-TransDate)</f>
        <v>39</v>
      </c>
      <c r="CR3" s="30" t="n">
        <f aca="false">IF(OR(CR1="",NOT(ISNUMBER(TransDate))),"",CR1-TransDate)</f>
        <v>40</v>
      </c>
      <c r="CS3" s="30" t="n">
        <f aca="false">IF(OR(CS1="",NOT(ISNUMBER(TransDate))),"",CS1-TransDate)</f>
        <v>41</v>
      </c>
      <c r="CT3" s="30" t="n">
        <f aca="false">IF(OR(CT1="",NOT(ISNUMBER(TransDate))),"",CT1-TransDate)</f>
        <v>42</v>
      </c>
      <c r="CU3" s="30" t="n">
        <f aca="false">IF(OR(CU1="",NOT(ISNUMBER(TransDate))),"",CU1-TransDate)</f>
        <v>43</v>
      </c>
      <c r="CV3" s="30" t="n">
        <f aca="false">IF(OR(CV1="",NOT(ISNUMBER(TransDate))),"",CV1-TransDate)</f>
        <v>44</v>
      </c>
      <c r="CW3" s="30" t="n">
        <f aca="false">IF(OR(CW1="",NOT(ISNUMBER(TransDate))),"",CW1-TransDate)</f>
        <v>45</v>
      </c>
      <c r="CX3" s="30" t="n">
        <f aca="false">IF(OR(CX1="",NOT(ISNUMBER(TransDate))),"",CX1-TransDate)</f>
        <v>46</v>
      </c>
      <c r="CY3" s="30" t="n">
        <f aca="false">IF(OR(CY1="",NOT(ISNUMBER(TransDate))),"",CY1-TransDate)</f>
        <v>47</v>
      </c>
      <c r="CZ3" s="30" t="n">
        <f aca="false">IF(OR(CZ1="",NOT(ISNUMBER(TransDate))),"",CZ1-TransDate)</f>
        <v>48</v>
      </c>
      <c r="DA3" s="30" t="n">
        <f aca="false">IF(OR(DA1="",NOT(ISNUMBER(TransDate))),"",DA1-TransDate)</f>
        <v>49</v>
      </c>
      <c r="DB3" s="30" t="n">
        <f aca="false">IF(OR(DB1="",NOT(ISNUMBER(TransDate))),"",DB1-TransDate)</f>
        <v>50</v>
      </c>
      <c r="DC3" s="30" t="n">
        <f aca="false">IF(OR(DC1="",NOT(ISNUMBER(TransDate))),"",DC1-TransDate)</f>
        <v>51</v>
      </c>
      <c r="DD3" s="30" t="n">
        <f aca="false">IF(OR(DD1="",NOT(ISNUMBER(TransDate))),"",DD1-TransDate)</f>
        <v>52</v>
      </c>
      <c r="DE3" s="30" t="n">
        <f aca="false">IF(OR(DE1="",NOT(ISNUMBER(TransDate))),"",DE1-TransDate)</f>
        <v>53</v>
      </c>
      <c r="DF3" s="30" t="n">
        <f aca="false">IF(OR(DF1="",NOT(ISNUMBER(TransDate))),"",DF1-TransDate)</f>
        <v>54</v>
      </c>
      <c r="DG3" s="30" t="n">
        <f aca="false">IF(OR(DG1="",NOT(ISNUMBER(TransDate))),"",DG1-TransDate)</f>
        <v>55</v>
      </c>
      <c r="DH3" s="30" t="n">
        <f aca="false">IF(OR(DH1="",NOT(ISNUMBER(TransDate))),"",DH1-TransDate)</f>
        <v>56</v>
      </c>
      <c r="DI3" s="30" t="n">
        <f aca="false">IF(OR(DI1="",NOT(ISNUMBER(TransDate))),"",DI1-TransDate)</f>
        <v>57</v>
      </c>
      <c r="DJ3" s="30" t="n">
        <f aca="false">IF(OR(DJ1="",NOT(ISNUMBER(TransDate))),"",DJ1-TransDate)</f>
        <v>58</v>
      </c>
      <c r="DK3" s="30" t="n">
        <f aca="false">IF(OR(DK1="",NOT(ISNUMBER(TransDate))),"",DK1-TransDate)</f>
        <v>59</v>
      </c>
      <c r="DL3" s="30" t="n">
        <f aca="false">IF(OR(DL1="",NOT(ISNUMBER(TransDate))),"",DL1-TransDate)</f>
        <v>60</v>
      </c>
      <c r="DM3" s="30" t="n">
        <f aca="false">IF(OR(DM1="",NOT(ISNUMBER(TransDate))),"",DM1-TransDate)</f>
        <v>61</v>
      </c>
      <c r="DN3" s="30" t="n">
        <f aca="false">IF(OR(DN1="",NOT(ISNUMBER(TransDate))),"",DN1-TransDate)</f>
        <v>62</v>
      </c>
      <c r="DO3" s="30" t="n">
        <f aca="false">IF(OR(DO1="",NOT(ISNUMBER(TransDate))),"",DO1-TransDate)</f>
        <v>63</v>
      </c>
      <c r="DP3" s="30" t="n">
        <f aca="false">IF(OR(DP1="",NOT(ISNUMBER(TransDate))),"",DP1-TransDate)</f>
        <v>64</v>
      </c>
      <c r="DQ3" s="30" t="n">
        <f aca="false">IF(OR(DQ1="",NOT(ISNUMBER(TransDate))),"",DQ1-TransDate)</f>
        <v>65</v>
      </c>
      <c r="DR3" s="30" t="n">
        <f aca="false">IF(OR(DR1="",NOT(ISNUMBER(TransDate))),"",DR1-TransDate)</f>
        <v>66</v>
      </c>
      <c r="DS3" s="30" t="n">
        <f aca="false">IF(OR(DS1="",NOT(ISNUMBER(TransDate))),"",DS1-TransDate)</f>
        <v>67</v>
      </c>
      <c r="DT3" s="30" t="n">
        <f aca="false">IF(OR(DT1="",NOT(ISNUMBER(TransDate))),"",DT1-TransDate)</f>
        <v>68</v>
      </c>
      <c r="DU3" s="30" t="n">
        <f aca="false">IF(OR(DU1="",NOT(ISNUMBER(TransDate))),"",DU1-TransDate)</f>
        <v>69</v>
      </c>
      <c r="DV3" s="30" t="n">
        <f aca="false">IF(OR(DV1="",NOT(ISNUMBER(TransDate))),"",DV1-TransDate)</f>
        <v>70</v>
      </c>
      <c r="DW3" s="30" t="n">
        <f aca="false">IF(OR(DW1="",NOT(ISNUMBER(TransDate))),"",DW1-TransDate)</f>
        <v>71</v>
      </c>
      <c r="DX3" s="30" t="n">
        <f aca="false">IF(OR(DX1="",NOT(ISNUMBER(TransDate))),"",DX1-TransDate)</f>
        <v>72</v>
      </c>
      <c r="DY3" s="30" t="n">
        <f aca="false">IF(OR(DY1="",NOT(ISNUMBER(TransDate))),"",DY1-TransDate)</f>
        <v>73</v>
      </c>
      <c r="DZ3" s="30" t="n">
        <f aca="false">IF(OR(DZ1="",NOT(ISNUMBER(TransDate))),"",DZ1-TransDate)</f>
        <v>74</v>
      </c>
      <c r="EA3" s="30" t="n">
        <f aca="false">IF(OR(EA1="",NOT(ISNUMBER(TransDate))),"",EA1-TransDate)</f>
        <v>75</v>
      </c>
      <c r="EB3" s="30" t="n">
        <f aca="false">IF(OR(EB1="",NOT(ISNUMBER(TransDate))),"",EB1-TransDate)</f>
        <v>76</v>
      </c>
      <c r="EC3" s="30" t="n">
        <f aca="false">IF(OR(EC1="",NOT(ISNUMBER(TransDate))),"",EC1-TransDate)</f>
        <v>77</v>
      </c>
      <c r="ED3" s="30" t="n">
        <f aca="false">IF(OR(ED1="",NOT(ISNUMBER(TransDate))),"",ED1-TransDate)</f>
        <v>78</v>
      </c>
      <c r="EE3" s="30" t="n">
        <f aca="false">IF(OR(EE1="",NOT(ISNUMBER(TransDate))),"",EE1-TransDate)</f>
        <v>79</v>
      </c>
      <c r="EF3" s="30" t="n">
        <f aca="false">IF(OR(EF1="",NOT(ISNUMBER(TransDate))),"",EF1-TransDate)</f>
        <v>80</v>
      </c>
      <c r="EG3" s="30" t="n">
        <f aca="false">IF(OR(EG1="",NOT(ISNUMBER(TransDate))),"",EG1-TransDate)</f>
        <v>81</v>
      </c>
      <c r="EH3" s="30" t="n">
        <f aca="false">IF(OR(EH1="",NOT(ISNUMBER(TransDate))),"",EH1-TransDate)</f>
        <v>82</v>
      </c>
      <c r="EI3" s="30" t="n">
        <f aca="false">IF(OR(EI1="",NOT(ISNUMBER(TransDate))),"",EI1-TransDate)</f>
        <v>83</v>
      </c>
      <c r="EJ3" s="30" t="n">
        <f aca="false">IF(OR(EJ1="",NOT(ISNUMBER(TransDate))),"",EJ1-TransDate)</f>
        <v>84</v>
      </c>
      <c r="EK3" s="30" t="n">
        <f aca="false">IF(OR(EK1="",NOT(ISNUMBER(TransDate))),"",EK1-TransDate)</f>
        <v>85</v>
      </c>
      <c r="EL3" s="30" t="n">
        <f aca="false">IF(OR(EL1="",NOT(ISNUMBER(TransDate))),"",EL1-TransDate)</f>
        <v>86</v>
      </c>
      <c r="EM3" s="30" t="n">
        <f aca="false">IF(OR(EM1="",NOT(ISNUMBER(TransDate))),"",EM1-TransDate)</f>
        <v>87</v>
      </c>
      <c r="EN3" s="30" t="n">
        <f aca="false">IF(OR(EN1="",NOT(ISNUMBER(TransDate))),"",EN1-TransDate)</f>
        <v>88</v>
      </c>
      <c r="EO3" s="30" t="n">
        <f aca="false">IF(OR(EO1="",NOT(ISNUMBER(TransDate))),"",EO1-TransDate)</f>
        <v>89</v>
      </c>
      <c r="EP3" s="30" t="n">
        <f aca="false">IF(OR(EP1="",NOT(ISNUMBER(TransDate))),"",EP1-TransDate)</f>
        <v>90</v>
      </c>
      <c r="EQ3" s="30" t="n">
        <f aca="false">IF(OR(EQ1="",NOT(ISNUMBER(TransDate))),"",EQ1-TransDate)</f>
        <v>91</v>
      </c>
      <c r="ER3" s="30" t="n">
        <f aca="false">IF(OR(ER1="",NOT(ISNUMBER(TransDate))),"",ER1-TransDate)</f>
        <v>92</v>
      </c>
      <c r="ES3" s="30" t="n">
        <f aca="false">IF(OR(ES1="",NOT(ISNUMBER(TransDate))),"",ES1-TransDate)</f>
        <v>93</v>
      </c>
      <c r="ET3" s="30" t="n">
        <f aca="false">IF(OR(ET1="",NOT(ISNUMBER(TransDate))),"",ET1-TransDate)</f>
        <v>94</v>
      </c>
      <c r="EU3" s="30" t="n">
        <f aca="false">IF(OR(EU1="",NOT(ISNUMBER(TransDate))),"",EU1-TransDate)</f>
        <v>95</v>
      </c>
      <c r="EV3" s="30" t="n">
        <f aca="false">IF(OR(EV1="",NOT(ISNUMBER(TransDate))),"",EV1-TransDate)</f>
        <v>96</v>
      </c>
      <c r="EW3" s="30" t="n">
        <f aca="false">IF(OR(EW1="",NOT(ISNUMBER(TransDate))),"",EW1-TransDate)</f>
        <v>97</v>
      </c>
      <c r="EX3" s="30" t="n">
        <f aca="false">IF(OR(EX1="",NOT(ISNUMBER(TransDate))),"",EX1-TransDate)</f>
        <v>98</v>
      </c>
      <c r="EY3" s="30" t="n">
        <f aca="false">IF(OR(EY1="",NOT(ISNUMBER(TransDate))),"",EY1-TransDate)</f>
        <v>99</v>
      </c>
      <c r="EZ3" s="30" t="n">
        <f aca="false">IF(OR(EZ1="",NOT(ISNUMBER(TransDate))),"",EZ1-TransDate)</f>
        <v>100</v>
      </c>
      <c r="FA3" s="30" t="n">
        <f aca="false">IF(OR(FA1="",NOT(ISNUMBER(TransDate))),"",FA1-TransDate)</f>
        <v>101</v>
      </c>
      <c r="FB3" s="30" t="n">
        <f aca="false">IF(OR(FB1="",NOT(ISNUMBER(TransDate))),"",FB1-TransDate)</f>
        <v>102</v>
      </c>
      <c r="FC3" s="30" t="n">
        <f aca="false">IF(OR(FC1="",NOT(ISNUMBER(TransDate))),"",FC1-TransDate)</f>
        <v>103</v>
      </c>
      <c r="FD3" s="30" t="n">
        <f aca="false">IF(OR(FD1="",NOT(ISNUMBER(TransDate))),"",FD1-TransDate)</f>
        <v>104</v>
      </c>
      <c r="FE3" s="30" t="n">
        <f aca="false">IF(OR(FE1="",NOT(ISNUMBER(TransDate))),"",FE1-TransDate)</f>
        <v>105</v>
      </c>
      <c r="FF3" s="30" t="n">
        <f aca="false">IF(OR(FF1="",NOT(ISNUMBER(TransDate))),"",FF1-TransDate)</f>
        <v>106</v>
      </c>
      <c r="FG3" s="30" t="n">
        <f aca="false">IF(OR(FG1="",NOT(ISNUMBER(TransDate))),"",FG1-TransDate)</f>
        <v>107</v>
      </c>
      <c r="FH3" s="30" t="n">
        <f aca="false">IF(OR(FH1="",NOT(ISNUMBER(TransDate))),"",FH1-TransDate)</f>
        <v>108</v>
      </c>
      <c r="FI3" s="30" t="n">
        <f aca="false">IF(OR(FI1="",NOT(ISNUMBER(TransDate))),"",FI1-TransDate)</f>
        <v>109</v>
      </c>
      <c r="FJ3" s="30" t="n">
        <f aca="false">IF(OR(FJ1="",NOT(ISNUMBER(TransDate))),"",FJ1-TransDate)</f>
        <v>110</v>
      </c>
      <c r="FK3" s="30" t="n">
        <f aca="false">IF(OR(FK1="",NOT(ISNUMBER(TransDate))),"",FK1-TransDate)</f>
        <v>111</v>
      </c>
      <c r="FL3" s="30" t="n">
        <f aca="false">IF(OR(FL1="",NOT(ISNUMBER(TransDate))),"",FL1-TransDate)</f>
        <v>112</v>
      </c>
      <c r="FM3" s="30" t="n">
        <f aca="false">IF(OR(FM1="",NOT(ISNUMBER(TransDate))),"",FM1-TransDate)</f>
        <v>113</v>
      </c>
      <c r="FN3" s="30" t="n">
        <f aca="false">IF(OR(FN1="",NOT(ISNUMBER(TransDate))),"",FN1-TransDate)</f>
        <v>114</v>
      </c>
      <c r="FO3" s="30" t="n">
        <f aca="false">IF(OR(FO1="",NOT(ISNUMBER(TransDate))),"",FO1-TransDate)</f>
        <v>115</v>
      </c>
      <c r="FP3" s="30" t="n">
        <f aca="false">IF(OR(FP1="",NOT(ISNUMBER(TransDate))),"",FP1-TransDate)</f>
        <v>116</v>
      </c>
      <c r="FQ3" s="30" t="n">
        <f aca="false">IF(OR(FQ1="",NOT(ISNUMBER(TransDate))),"",FQ1-TransDate)</f>
        <v>117</v>
      </c>
    </row>
    <row r="4" customFormat="false" ht="15" hidden="false" customHeight="false" outlineLevel="0" collapsed="false">
      <c r="B4" s="29" t="s">
        <v>158</v>
      </c>
      <c r="C4" s="30" t="s">
        <v>159</v>
      </c>
      <c r="D4" s="32" t="str">
        <f aca="false">Data_Farmer!D6</f>
        <v/>
      </c>
      <c r="E4" s="32" t="str">
        <f aca="false">Data_Farmer!E6</f>
        <v/>
      </c>
      <c r="F4" s="32" t="str">
        <f aca="false">Data_Farmer!F6</f>
        <v/>
      </c>
      <c r="G4" s="32" t="str">
        <f aca="false">Data_Farmer!G6</f>
        <v/>
      </c>
      <c r="H4" s="32" t="str">
        <f aca="false">Data_Farmer!H6</f>
        <v/>
      </c>
      <c r="I4" s="32" t="str">
        <f aca="false">Data_Farmer!I6</f>
        <v/>
      </c>
      <c r="J4" s="32" t="str">
        <f aca="false">Data_Farmer!J6</f>
        <v/>
      </c>
      <c r="K4" s="32" t="str">
        <f aca="false">Data_Farmer!K6</f>
        <v/>
      </c>
      <c r="L4" s="32" t="str">
        <f aca="false">Data_Farmer!L6</f>
        <v/>
      </c>
      <c r="M4" s="32" t="str">
        <f aca="false">Data_Farmer!M6</f>
        <v/>
      </c>
      <c r="N4" s="32" t="str">
        <f aca="false">Data_Farmer!N6</f>
        <v/>
      </c>
      <c r="O4" s="32" t="str">
        <f aca="false">Data_Farmer!O6</f>
        <v/>
      </c>
      <c r="P4" s="32" t="str">
        <f aca="false">Data_Farmer!P6</f>
        <v/>
      </c>
      <c r="Q4" s="32" t="str">
        <f aca="false">Data_Farmer!Q6</f>
        <v/>
      </c>
      <c r="R4" s="32" t="str">
        <f aca="false">Data_Farmer!R6</f>
        <v/>
      </c>
      <c r="S4" s="32" t="str">
        <f aca="false">Data_Farmer!S6</f>
        <v/>
      </c>
      <c r="T4" s="32" t="str">
        <f aca="false">Data_Farmer!T6</f>
        <v/>
      </c>
      <c r="U4" s="32" t="str">
        <f aca="false">Data_Farmer!U6</f>
        <v/>
      </c>
      <c r="V4" s="32" t="str">
        <f aca="false">Data_Farmer!V6</f>
        <v/>
      </c>
      <c r="W4" s="32" t="str">
        <f aca="false">Data_Farmer!W6</f>
        <v/>
      </c>
      <c r="X4" s="32" t="str">
        <f aca="false">Data_Farmer!X6</f>
        <v/>
      </c>
      <c r="Y4" s="32" t="str">
        <f aca="false">Data_Farmer!Y6</f>
        <v/>
      </c>
      <c r="Z4" s="32" t="str">
        <f aca="false">Data_Farmer!Z6</f>
        <v/>
      </c>
      <c r="AA4" s="32" t="str">
        <f aca="false">Data_Farmer!AA6</f>
        <v/>
      </c>
      <c r="AB4" s="32" t="str">
        <f aca="false">Data_Farmer!AB6</f>
        <v/>
      </c>
      <c r="AC4" s="32" t="str">
        <f aca="false">Data_Farmer!AC6</f>
        <v/>
      </c>
      <c r="AD4" s="32" t="str">
        <f aca="false">Data_Farmer!AD6</f>
        <v/>
      </c>
      <c r="AE4" s="32" t="str">
        <f aca="false">Data_Farmer!AE6</f>
        <v/>
      </c>
      <c r="AF4" s="32" t="str">
        <f aca="false">Data_Farmer!AF6</f>
        <v/>
      </c>
      <c r="AG4" s="32" t="str">
        <f aca="false">Data_Farmer!AG6</f>
        <v/>
      </c>
      <c r="AH4" s="32" t="str">
        <f aca="false">Data_Farmer!AH6</f>
        <v/>
      </c>
      <c r="AI4" s="32" t="str">
        <f aca="false">Data_Farmer!AI6</f>
        <v/>
      </c>
      <c r="AJ4" s="32" t="str">
        <f aca="false">Data_Farmer!AJ6</f>
        <v/>
      </c>
      <c r="AK4" s="32" t="str">
        <f aca="false">Data_Farmer!AK6</f>
        <v/>
      </c>
      <c r="AL4" s="32" t="str">
        <f aca="false">Data_Farmer!AL6</f>
        <v/>
      </c>
      <c r="AM4" s="32" t="str">
        <f aca="false">Data_Farmer!AM6</f>
        <v/>
      </c>
      <c r="AN4" s="32" t="str">
        <f aca="false">Data_Farmer!AN6</f>
        <v/>
      </c>
      <c r="AO4" s="32" t="str">
        <f aca="false">Data_Farmer!AO6</f>
        <v/>
      </c>
      <c r="AP4" s="32" t="str">
        <f aca="false">Data_Farmer!AP6</f>
        <v/>
      </c>
      <c r="AQ4" s="32" t="str">
        <f aca="false">Data_Farmer!AQ6</f>
        <v/>
      </c>
      <c r="AR4" s="32" t="str">
        <f aca="false">Data_Farmer!AR6</f>
        <v/>
      </c>
      <c r="AS4" s="32" t="str">
        <f aca="false">Data_Farmer!AS6</f>
        <v/>
      </c>
      <c r="AT4" s="32" t="str">
        <f aca="false">Data_Farmer!AT6</f>
        <v/>
      </c>
      <c r="AU4" s="32" t="str">
        <f aca="false">Data_Farmer!AU6</f>
        <v/>
      </c>
      <c r="AV4" s="32" t="str">
        <f aca="false">Data_Farmer!AV6</f>
        <v/>
      </c>
      <c r="AW4" s="32" t="str">
        <f aca="false">Data_Farmer!AW6</f>
        <v/>
      </c>
      <c r="AX4" s="32" t="str">
        <f aca="false">Data_Farmer!AX6</f>
        <v/>
      </c>
      <c r="AY4" s="32" t="str">
        <f aca="false">Data_Farmer!AY6</f>
        <v/>
      </c>
      <c r="AZ4" s="32" t="str">
        <f aca="false">Data_Farmer!AZ6</f>
        <v/>
      </c>
      <c r="BA4" s="32" t="str">
        <f aca="false">Data_Farmer!BA6</f>
        <v/>
      </c>
      <c r="BB4" s="32" t="str">
        <f aca="false">Data_Farmer!BB6</f>
        <v/>
      </c>
      <c r="BC4" s="32" t="str">
        <f aca="false">Data_Farmer!BC6</f>
        <v/>
      </c>
      <c r="BD4" s="32" t="str">
        <f aca="false">Data_Farmer!BD6</f>
        <v/>
      </c>
      <c r="BE4" s="32" t="str">
        <f aca="false">Data_Farmer!BE6</f>
        <v/>
      </c>
      <c r="BF4" s="32" t="str">
        <f aca="false">Data_Farmer!BF6</f>
        <v/>
      </c>
      <c r="BG4" s="32" t="str">
        <f aca="false">Data_Farmer!BG6</f>
        <v/>
      </c>
      <c r="BH4" s="32" t="str">
        <f aca="false">Data_Farmer!BH6</f>
        <v/>
      </c>
      <c r="BI4" s="32" t="str">
        <f aca="false">Data_Farmer!BI6</f>
        <v/>
      </c>
      <c r="BJ4" s="32" t="str">
        <f aca="false">Data_Farmer!BJ6</f>
        <v/>
      </c>
      <c r="BK4" s="32" t="str">
        <f aca="false">Data_Farmer!BK6</f>
        <v/>
      </c>
      <c r="BL4" s="32" t="str">
        <f aca="false">Data_Farmer!BL6</f>
        <v/>
      </c>
      <c r="BM4" s="32" t="str">
        <f aca="false">Data_Farmer!BM6</f>
        <v/>
      </c>
      <c r="BN4" s="32" t="str">
        <f aca="false">Data_Farmer!BN6</f>
        <v/>
      </c>
      <c r="BO4" s="32" t="str">
        <f aca="false">Data_Farmer!BO6</f>
        <v/>
      </c>
      <c r="BP4" s="32" t="str">
        <f aca="false">Data_Farmer!BP6</f>
        <v/>
      </c>
      <c r="BQ4" s="32" t="str">
        <f aca="false">Data_Farmer!BQ6</f>
        <v/>
      </c>
      <c r="BR4" s="32" t="str">
        <f aca="false">Data_Farmer!BR6</f>
        <v/>
      </c>
      <c r="BS4" s="32" t="str">
        <f aca="false">Data_Farmer!BS6</f>
        <v/>
      </c>
      <c r="BT4" s="32" t="str">
        <f aca="false">Data_Farmer!BT6</f>
        <v/>
      </c>
      <c r="BU4" s="32" t="str">
        <f aca="false">Data_Farmer!BU6</f>
        <v/>
      </c>
      <c r="BV4" s="32" t="str">
        <f aca="false">Data_Farmer!BV6</f>
        <v/>
      </c>
      <c r="BW4" s="32" t="str">
        <f aca="false">Data_Farmer!BW6</f>
        <v/>
      </c>
      <c r="BX4" s="32" t="str">
        <f aca="false">Data_Farmer!BX6</f>
        <v/>
      </c>
      <c r="BY4" s="32" t="str">
        <f aca="false">Data_Farmer!BY6</f>
        <v/>
      </c>
      <c r="BZ4" s="32" t="str">
        <f aca="false">Data_Farmer!BZ6</f>
        <v/>
      </c>
      <c r="CA4" s="32" t="str">
        <f aca="false">Data_Farmer!CA6</f>
        <v/>
      </c>
      <c r="CB4" s="32" t="str">
        <f aca="false">Data_Farmer!CB6</f>
        <v/>
      </c>
      <c r="CC4" s="32" t="str">
        <f aca="false">Data_Farmer!CC6</f>
        <v/>
      </c>
      <c r="CD4" s="32" t="str">
        <f aca="false">Data_Farmer!CD6</f>
        <v/>
      </c>
      <c r="CE4" s="32" t="str">
        <f aca="false">Data_Farmer!CE6</f>
        <v/>
      </c>
      <c r="CF4" s="32" t="str">
        <f aca="false">Data_Farmer!CF6</f>
        <v/>
      </c>
      <c r="CG4" s="32" t="str">
        <f aca="false">Data_Farmer!CG6</f>
        <v/>
      </c>
      <c r="CH4" s="32" t="str">
        <f aca="false">Data_Farmer!CH6</f>
        <v>Pitan</v>
      </c>
      <c r="CI4" s="32" t="str">
        <f aca="false">Data_Farmer!CI6</f>
        <v>Pitan MD</v>
      </c>
      <c r="CJ4" s="32" t="str">
        <f aca="false">Data_Farmer!CJ6</f>
        <v>Pitan MD</v>
      </c>
      <c r="CK4" s="32" t="str">
        <f aca="false">Data_Farmer!CK6</f>
        <v>Pitan MD</v>
      </c>
      <c r="CL4" s="32" t="str">
        <f aca="false">Data_Farmer!CL6</f>
        <v>MD</v>
      </c>
      <c r="CM4" s="32" t="str">
        <f aca="false">Data_Farmer!CM6</f>
        <v>MD</v>
      </c>
      <c r="CN4" s="32" t="str">
        <f aca="false">Data_Farmer!CN6</f>
        <v>MD</v>
      </c>
      <c r="CO4" s="32" t="str">
        <f aca="false">Data_Farmer!CO6</f>
        <v>MD</v>
      </c>
      <c r="CP4" s="32" t="str">
        <f aca="false">Data_Farmer!CP6</f>
        <v>MD</v>
      </c>
      <c r="CQ4" s="32" t="str">
        <f aca="false">Data_Farmer!CQ6</f>
        <v>MD</v>
      </c>
      <c r="CR4" s="32" t="str">
        <f aca="false">Data_Farmer!CR6</f>
        <v/>
      </c>
      <c r="CS4" s="32" t="str">
        <f aca="false">Data_Farmer!CS6</f>
        <v/>
      </c>
      <c r="CT4" s="32" t="str">
        <f aca="false">Data_Farmer!CT6</f>
        <v/>
      </c>
      <c r="CU4" s="32" t="str">
        <f aca="false">Data_Farmer!CU6</f>
        <v/>
      </c>
      <c r="CV4" s="32" t="str">
        <f aca="false">Data_Farmer!CV6</f>
        <v/>
      </c>
      <c r="CW4" s="32" t="str">
        <f aca="false">Data_Farmer!CW6</f>
        <v/>
      </c>
      <c r="CX4" s="32" t="str">
        <f aca="false">Data_Farmer!CX6</f>
        <v/>
      </c>
      <c r="CY4" s="32" t="str">
        <f aca="false">Data_Farmer!CY6</f>
        <v/>
      </c>
      <c r="CZ4" s="32" t="str">
        <f aca="false">Data_Farmer!CZ6</f>
        <v/>
      </c>
      <c r="DA4" s="32" t="str">
        <f aca="false">Data_Farmer!DA6</f>
        <v/>
      </c>
      <c r="DB4" s="32" t="str">
        <f aca="false">Data_Farmer!DB6</f>
        <v/>
      </c>
      <c r="DC4" s="32" t="str">
        <f aca="false">Data_Farmer!DC6</f>
        <v>PI-flood</v>
      </c>
      <c r="DD4" s="32" t="str">
        <f aca="false">Data_Farmer!DD6</f>
        <v>PI-flood</v>
      </c>
      <c r="DE4" s="32" t="str">
        <f aca="false">Data_Farmer!DE6</f>
        <v>PI-flood</v>
      </c>
      <c r="DF4" s="32" t="str">
        <f aca="false">Data_Farmer!DF6</f>
        <v>PI-flood</v>
      </c>
      <c r="DG4" s="32" t="str">
        <f aca="false">Data_Farmer!DG6</f>
        <v>3F4D-1</v>
      </c>
      <c r="DH4" s="32" t="str">
        <f aca="false">Data_Farmer!DH6</f>
        <v>3F4D-1</v>
      </c>
      <c r="DI4" s="32" t="str">
        <f aca="false">Data_Farmer!DI6</f>
        <v>3F4D-1</v>
      </c>
      <c r="DJ4" s="32" t="str">
        <f aca="false">Data_Farmer!DJ6</f>
        <v>3F4D-1</v>
      </c>
      <c r="DK4" s="32" t="str">
        <f aca="false">Data_Farmer!DK6</f>
        <v>3F4D-1</v>
      </c>
      <c r="DL4" s="32" t="str">
        <f aca="false">Data_Farmer!DL6</f>
        <v>3F4D-1</v>
      </c>
      <c r="DM4" s="32" t="str">
        <f aca="false">Data_Farmer!DM6</f>
        <v>3F4D-1</v>
      </c>
      <c r="DN4" s="32" t="str">
        <f aca="false">Data_Farmer!DN6</f>
        <v>3F4D-2</v>
      </c>
      <c r="DO4" s="32" t="str">
        <f aca="false">Data_Farmer!DO6</f>
        <v>3F4D-2</v>
      </c>
      <c r="DP4" s="32" t="str">
        <f aca="false">Data_Farmer!DP6</f>
        <v>3F4D-2</v>
      </c>
      <c r="DQ4" s="32" t="str">
        <f aca="false">Data_Farmer!DQ6</f>
        <v>3F4D-2</v>
      </c>
      <c r="DR4" s="32" t="str">
        <f aca="false">Data_Farmer!DR6</f>
        <v>3F4D-2</v>
      </c>
      <c r="DS4" s="32" t="str">
        <f aca="false">Data_Farmer!DS6</f>
        <v>3F4D-2</v>
      </c>
      <c r="DT4" s="32" t="str">
        <f aca="false">Data_Farmer!DT6</f>
        <v>3F4D-2</v>
      </c>
      <c r="DU4" s="32" t="str">
        <f aca="false">Data_Farmer!DU6</f>
        <v>3F4D-3</v>
      </c>
      <c r="DV4" s="32" t="str">
        <f aca="false">Data_Farmer!DV6</f>
        <v>3F4D-3</v>
      </c>
      <c r="DW4" s="32" t="str">
        <f aca="false">Data_Farmer!DW6</f>
        <v>3F4D-3</v>
      </c>
      <c r="DX4" s="32" t="str">
        <f aca="false">Data_Farmer!DX6</f>
        <v>3F4D-3</v>
      </c>
      <c r="DY4" s="32" t="str">
        <f aca="false">Data_Farmer!DY6</f>
        <v>3F4D-3</v>
      </c>
      <c r="DZ4" s="32" t="str">
        <f aca="false">Data_Farmer!DZ6</f>
        <v>3F4D-3</v>
      </c>
      <c r="EA4" s="32" t="str">
        <f aca="false">Data_Farmer!EA6</f>
        <v>3F4D-3</v>
      </c>
      <c r="EB4" s="32" t="str">
        <f aca="false">Data_Farmer!EB6</f>
        <v>3F4D-4 Heading</v>
      </c>
      <c r="EC4" s="32" t="str">
        <f aca="false">Data_Farmer!EC6</f>
        <v>3F4D-4</v>
      </c>
      <c r="ED4" s="32" t="str">
        <f aca="false">Data_Farmer!ED6</f>
        <v>3F4D-4</v>
      </c>
      <c r="EE4" s="32" t="str">
        <f aca="false">Data_Farmer!EE6</f>
        <v>3F4D-4</v>
      </c>
      <c r="EF4" s="32" t="str">
        <f aca="false">Data_Farmer!EF6</f>
        <v>3F4D-4</v>
      </c>
      <c r="EG4" s="32" t="str">
        <f aca="false">Data_Farmer!EG6</f>
        <v>3F4D-4</v>
      </c>
      <c r="EH4" s="32" t="str">
        <f aca="false">Data_Farmer!EH6</f>
        <v>3F4D-4</v>
      </c>
      <c r="EI4" s="32" t="str">
        <f aca="false">Data_Farmer!EI6</f>
        <v>3F4D-5</v>
      </c>
      <c r="EJ4" s="32" t="str">
        <f aca="false">Data_Farmer!EJ6</f>
        <v>3F4D-5</v>
      </c>
      <c r="EK4" s="32" t="str">
        <f aca="false">Data_Farmer!EK6</f>
        <v>3F4D-5</v>
      </c>
      <c r="EL4" s="32" t="str">
        <f aca="false">Data_Farmer!EL6</f>
        <v>3F4D-5</v>
      </c>
      <c r="EM4" s="32" t="str">
        <f aca="false">Data_Farmer!EM6</f>
        <v>3F4D-5</v>
      </c>
      <c r="EN4" s="32" t="str">
        <f aca="false">Data_Farmer!EN6</f>
        <v>3F4D-5</v>
      </c>
      <c r="EO4" s="32" t="str">
        <f aca="false">Data_Farmer!EO6</f>
        <v>3F4D-5</v>
      </c>
      <c r="EP4" s="32" t="str">
        <f aca="false">Data_Farmer!EP6</f>
        <v>3F4D-6</v>
      </c>
      <c r="EQ4" s="32" t="str">
        <f aca="false">Data_Farmer!EQ6</f>
        <v>3F4D-6</v>
      </c>
      <c r="ER4" s="32" t="str">
        <f aca="false">Data_Farmer!ER6</f>
        <v>3F4D-6</v>
      </c>
      <c r="ES4" s="32" t="str">
        <f aca="false">Data_Farmer!ES6</f>
        <v>3F4D-6</v>
      </c>
      <c r="ET4" s="32" t="str">
        <f aca="false">Data_Farmer!ET6</f>
        <v>3F4D-6</v>
      </c>
      <c r="EU4" s="32" t="str">
        <f aca="false">Data_Farmer!EU6</f>
        <v>3F4D-6</v>
      </c>
      <c r="EV4" s="32" t="str">
        <f aca="false">Data_Farmer!EV6</f>
        <v>3F4D-6</v>
      </c>
      <c r="EW4" s="32" t="str">
        <f aca="false">Data_Farmer!EW6</f>
        <v>3F4D-6</v>
      </c>
      <c r="EX4" s="32" t="str">
        <f aca="false">Data_Farmer!EX6</f>
        <v>3F4D-6</v>
      </c>
      <c r="EY4" s="32" t="str">
        <f aca="false">Data_Farmer!EY6</f>
        <v/>
      </c>
      <c r="EZ4" s="32" t="str">
        <f aca="false">Data_Farmer!EZ6</f>
        <v/>
      </c>
      <c r="FA4" s="32" t="str">
        <f aca="false">Data_Farmer!FA6</f>
        <v/>
      </c>
      <c r="FB4" s="32" t="str">
        <f aca="false">Data_Farmer!FB6</f>
        <v/>
      </c>
      <c r="FC4" s="32" t="str">
        <f aca="false">Data_Farmer!FC6</f>
        <v/>
      </c>
      <c r="FD4" s="32" t="str">
        <f aca="false">Data_Farmer!FD6</f>
        <v/>
      </c>
      <c r="FE4" s="32" t="str">
        <f aca="false">Data_Farmer!FE6</f>
        <v/>
      </c>
      <c r="FF4" s="32" t="str">
        <f aca="false">Data_Farmer!FF6</f>
        <v/>
      </c>
      <c r="FG4" s="32" t="str">
        <f aca="false">Data_Farmer!FG6</f>
        <v/>
      </c>
      <c r="FH4" s="32" t="str">
        <f aca="false">Data_Farmer!FH6</f>
        <v/>
      </c>
      <c r="FI4" s="32" t="str">
        <f aca="false">Data_Farmer!FI6</f>
        <v/>
      </c>
      <c r="FJ4" s="32" t="str">
        <f aca="false">Data_Farmer!FJ6</f>
        <v/>
      </c>
      <c r="FK4" s="32" t="str">
        <f aca="false">Data_Farmer!FK6</f>
        <v/>
      </c>
      <c r="FL4" s="32" t="str">
        <f aca="false">Data_Farmer!FL6</f>
        <v/>
      </c>
      <c r="FM4" s="32" t="str">
        <f aca="false">Data_Farmer!FM6</f>
        <v/>
      </c>
      <c r="FN4" s="32" t="str">
        <f aca="false">Data_Farmer!FN6</f>
        <v/>
      </c>
      <c r="FO4" s="32" t="str">
        <f aca="false">Data_Farmer!FO6</f>
        <v/>
      </c>
      <c r="FP4" s="32" t="str">
        <f aca="false">Data_Farmer!FP6</f>
        <v/>
      </c>
      <c r="FQ4" s="32" t="str">
        <f aca="false">Data_Farmer!FQ6</f>
        <v/>
      </c>
    </row>
    <row r="6" customFormat="false" ht="15" hidden="false" customHeight="false" outlineLevel="0" collapsed="false">
      <c r="A6" s="8"/>
      <c r="B6" s="33" t="s">
        <v>160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4"/>
      <c r="B7" s="17" t="s">
        <v>161</v>
      </c>
      <c r="C7" s="35" t="s">
        <v>162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6"/>
      <c r="B8" s="20" t="s">
        <v>163</v>
      </c>
      <c r="C8" s="37" t="s">
        <v>162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4"/>
      <c r="B9" s="17" t="s">
        <v>164</v>
      </c>
      <c r="C9" s="35" t="s">
        <v>165</v>
      </c>
      <c r="D9" s="38" t="str">
        <f aca="false">IF(Data_Farmer!D13="","",Data_Farmer!D13)</f>
        <v/>
      </c>
      <c r="E9" s="38" t="str">
        <f aca="false">IF(Data_Farmer!E13="","",Data_Farmer!E13)</f>
        <v/>
      </c>
      <c r="F9" s="38" t="str">
        <f aca="false">IF(Data_Farmer!F13="","",Data_Farmer!F13)</f>
        <v/>
      </c>
      <c r="G9" s="38" t="str">
        <f aca="false">IF(Data_Farmer!G13="","",Data_Farmer!G13)</f>
        <v/>
      </c>
      <c r="H9" s="38" t="str">
        <f aca="false">IF(Data_Farmer!H13="","",Data_Farmer!H13)</f>
        <v/>
      </c>
      <c r="I9" s="38" t="str">
        <f aca="false">IF(Data_Farmer!I13="","",Data_Farmer!I13)</f>
        <v/>
      </c>
      <c r="J9" s="38" t="str">
        <f aca="false">IF(Data_Farmer!J13="","",Data_Farmer!J13)</f>
        <v/>
      </c>
      <c r="K9" s="38" t="str">
        <f aca="false">IF(Data_Farmer!K13="","",Data_Farmer!K13)</f>
        <v/>
      </c>
      <c r="L9" s="38" t="str">
        <f aca="false">IF(Data_Farmer!L13="","",Data_Farmer!L13)</f>
        <v/>
      </c>
      <c r="M9" s="38" t="str">
        <f aca="false">IF(Data_Farmer!M13="","",Data_Farmer!M13)</f>
        <v/>
      </c>
      <c r="N9" s="38" t="str">
        <f aca="false">IF(Data_Farmer!N13="","",Data_Farmer!N13)</f>
        <v/>
      </c>
      <c r="O9" s="38" t="str">
        <f aca="false">IF(Data_Farmer!O13="","",Data_Farmer!O13)</f>
        <v/>
      </c>
      <c r="P9" s="38" t="str">
        <f aca="false">IF(Data_Farmer!P13="","",Data_Farmer!P13)</f>
        <v/>
      </c>
      <c r="Q9" s="38" t="str">
        <f aca="false">IF(Data_Farmer!Q13="","",Data_Farmer!Q13)</f>
        <v/>
      </c>
      <c r="R9" s="38" t="str">
        <f aca="false">IF(Data_Farmer!R13="","",Data_Farmer!R13)</f>
        <v/>
      </c>
      <c r="S9" s="38" t="str">
        <f aca="false">IF(Data_Farmer!S13="","",Data_Farmer!S13)</f>
        <v/>
      </c>
      <c r="T9" s="38" t="str">
        <f aca="false">IF(Data_Farmer!T13="","",Data_Farmer!T13)</f>
        <v/>
      </c>
      <c r="U9" s="38" t="str">
        <f aca="false">IF(Data_Farmer!U13="","",Data_Farmer!U13)</f>
        <v/>
      </c>
      <c r="V9" s="38" t="str">
        <f aca="false">IF(Data_Farmer!V13="","",Data_Farmer!V13)</f>
        <v/>
      </c>
      <c r="W9" s="38" t="str">
        <f aca="false">IF(Data_Farmer!W13="","",Data_Farmer!W13)</f>
        <v/>
      </c>
      <c r="X9" s="38" t="str">
        <f aca="false">IF(Data_Farmer!X13="","",Data_Farmer!X13)</f>
        <v/>
      </c>
      <c r="Y9" s="38" t="str">
        <f aca="false">IF(Data_Farmer!Y13="","",Data_Farmer!Y13)</f>
        <v/>
      </c>
      <c r="Z9" s="38" t="str">
        <f aca="false">IF(Data_Farmer!Z13="","",Data_Farmer!Z13)</f>
        <v/>
      </c>
      <c r="AA9" s="38" t="str">
        <f aca="false">IF(Data_Farmer!AA13="","",Data_Farmer!AA13)</f>
        <v/>
      </c>
      <c r="AB9" s="38" t="str">
        <f aca="false">IF(Data_Farmer!AB13="","",Data_Farmer!AB13)</f>
        <v/>
      </c>
      <c r="AC9" s="38" t="str">
        <f aca="false">IF(Data_Farmer!AC13="","",Data_Farmer!AC13)</f>
        <v/>
      </c>
      <c r="AD9" s="38" t="str">
        <f aca="false">IF(Data_Farmer!AD13="","",Data_Farmer!AD13)</f>
        <v/>
      </c>
      <c r="AE9" s="38" t="str">
        <f aca="false">IF(Data_Farmer!AE13="","",Data_Farmer!AE13)</f>
        <v/>
      </c>
      <c r="AF9" s="38" t="str">
        <f aca="false">IF(Data_Farmer!AF13="","",Data_Farmer!AF13)</f>
        <v/>
      </c>
      <c r="AG9" s="38" t="str">
        <f aca="false">IF(Data_Farmer!AG13="","",Data_Farmer!AG13)</f>
        <v/>
      </c>
      <c r="AH9" s="38" t="str">
        <f aca="false">IF(Data_Farmer!AH13="","",Data_Farmer!AH13)</f>
        <v/>
      </c>
      <c r="AI9" s="38" t="str">
        <f aca="false">IF(Data_Farmer!AI13="","",Data_Farmer!AI13)</f>
        <v/>
      </c>
      <c r="AJ9" s="38" t="str">
        <f aca="false">IF(Data_Farmer!AJ13="","",Data_Farmer!AJ13)</f>
        <v/>
      </c>
      <c r="AK9" s="38" t="str">
        <f aca="false">IF(Data_Farmer!AK13="","",Data_Farmer!AK13)</f>
        <v/>
      </c>
      <c r="AL9" s="38" t="str">
        <f aca="false">IF(Data_Farmer!AL13="","",Data_Farmer!AL13)</f>
        <v/>
      </c>
      <c r="AM9" s="38" t="str">
        <f aca="false">IF(Data_Farmer!AM13="","",Data_Farmer!AM13)</f>
        <v/>
      </c>
      <c r="AN9" s="38" t="str">
        <f aca="false">IF(Data_Farmer!AN13="","",Data_Farmer!AN13)</f>
        <v/>
      </c>
      <c r="AO9" s="38" t="str">
        <f aca="false">IF(Data_Farmer!AO13="","",Data_Farmer!AO13)</f>
        <v/>
      </c>
      <c r="AP9" s="38" t="str">
        <f aca="false">IF(Data_Farmer!AP13="","",Data_Farmer!AP13)</f>
        <v/>
      </c>
      <c r="AQ9" s="38" t="str">
        <f aca="false">IF(Data_Farmer!AQ13="","",Data_Farmer!AQ13)</f>
        <v/>
      </c>
      <c r="AR9" s="38" t="str">
        <f aca="false">IF(Data_Farmer!AR13="","",Data_Farmer!AR13)</f>
        <v/>
      </c>
      <c r="AS9" s="38" t="str">
        <f aca="false">IF(Data_Farmer!AS13="","",Data_Farmer!AS13)</f>
        <v/>
      </c>
      <c r="AT9" s="38" t="str">
        <f aca="false">IF(Data_Farmer!AT13="","",Data_Farmer!AT13)</f>
        <v/>
      </c>
      <c r="AU9" s="38" t="str">
        <f aca="false">IF(Data_Farmer!AU13="","",Data_Farmer!AU13)</f>
        <v/>
      </c>
      <c r="AV9" s="38" t="str">
        <f aca="false">IF(Data_Farmer!AV13="","",Data_Farmer!AV13)</f>
        <v/>
      </c>
      <c r="AW9" s="38" t="str">
        <f aca="false">IF(Data_Farmer!AW13="","",Data_Farmer!AW13)</f>
        <v/>
      </c>
      <c r="AX9" s="38" t="str">
        <f aca="false">IF(Data_Farmer!AX13="","",Data_Farmer!AX13)</f>
        <v/>
      </c>
      <c r="AY9" s="38" t="str">
        <f aca="false">IF(Data_Farmer!AY13="","",Data_Farmer!AY13)</f>
        <v/>
      </c>
      <c r="AZ9" s="38" t="str">
        <f aca="false">IF(Data_Farmer!AZ13="","",Data_Farmer!AZ13)</f>
        <v/>
      </c>
      <c r="BA9" s="38" t="str">
        <f aca="false">IF(Data_Farmer!BA13="","",Data_Farmer!BA13)</f>
        <v/>
      </c>
      <c r="BB9" s="38" t="str">
        <f aca="false">IF(Data_Farmer!BB13="","",Data_Farmer!BB13)</f>
        <v/>
      </c>
      <c r="BC9" s="38" t="str">
        <f aca="false">IF(Data_Farmer!BC13="","",Data_Farmer!BC13)</f>
        <v/>
      </c>
      <c r="BD9" s="38" t="n">
        <f aca="false">IF(Data_Farmer!BD13="","",Data_Farmer!BD13)</f>
        <v>1</v>
      </c>
      <c r="BE9" s="38" t="n">
        <f aca="false">IF(Data_Farmer!BE13="","",Data_Farmer!BE13)</f>
        <v>0.9</v>
      </c>
      <c r="BF9" s="38" t="n">
        <f aca="false">IF(Data_Farmer!BF13="","",Data_Farmer!BF13)</f>
        <v>1.5</v>
      </c>
      <c r="BG9" s="38" t="n">
        <f aca="false">IF(Data_Farmer!BG13="","",Data_Farmer!BG13)</f>
        <v>1</v>
      </c>
      <c r="BH9" s="38" t="n">
        <f aca="false">IF(Data_Farmer!BH13="","",Data_Farmer!BH13)</f>
        <v>3.1</v>
      </c>
      <c r="BI9" s="38" t="n">
        <f aca="false">IF(Data_Farmer!BI13="","",Data_Farmer!BI13)</f>
        <v>2.4</v>
      </c>
      <c r="BJ9" s="38" t="n">
        <f aca="false">IF(Data_Farmer!BJ13="","",Data_Farmer!BJ13)</f>
        <v>2.2</v>
      </c>
      <c r="BK9" s="38" t="n">
        <f aca="false">IF(Data_Farmer!BK13="","",Data_Farmer!BK13)</f>
        <v>1.5</v>
      </c>
      <c r="BL9" s="38" t="n">
        <f aca="false">IF(Data_Farmer!BL13="","",Data_Farmer!BL13)</f>
        <v>2.8</v>
      </c>
      <c r="BM9" s="38" t="n">
        <f aca="false">IF(Data_Farmer!BM13="","",Data_Farmer!BM13)</f>
        <v>2.5</v>
      </c>
      <c r="BN9" s="38" t="n">
        <f aca="false">IF(Data_Farmer!BN13="","",Data_Farmer!BN13)</f>
        <v>2.1</v>
      </c>
      <c r="BO9" s="38" t="n">
        <f aca="false">IF(Data_Farmer!BO13="","",Data_Farmer!BO13)</f>
        <v>1.5</v>
      </c>
      <c r="BP9" s="38" t="n">
        <f aca="false">IF(Data_Farmer!BP13="","",Data_Farmer!BP13)</f>
        <v>1.3</v>
      </c>
      <c r="BQ9" s="38" t="n">
        <f aca="false">IF(Data_Farmer!BQ13="","",Data_Farmer!BQ13)</f>
        <v>2.5</v>
      </c>
      <c r="BR9" s="38" t="n">
        <f aca="false">IF(Data_Farmer!BR13="","",Data_Farmer!BR13)</f>
        <v>2.1</v>
      </c>
      <c r="BS9" s="38" t="n">
        <f aca="false">IF(Data_Farmer!BS13="","",Data_Farmer!BS13)</f>
        <v>1.4</v>
      </c>
      <c r="BT9" s="38" t="n">
        <f aca="false">IF(Data_Farmer!BT13="","",Data_Farmer!BT13)</f>
        <v>1.2</v>
      </c>
      <c r="BU9" s="38" t="n">
        <f aca="false">IF(Data_Farmer!BU13="","",Data_Farmer!BU13)</f>
        <v>1</v>
      </c>
      <c r="BV9" s="38" t="n">
        <f aca="false">IF(Data_Farmer!BV13="","",Data_Farmer!BV13)</f>
        <v>0.9</v>
      </c>
      <c r="BW9" s="38" t="n">
        <f aca="false">IF(Data_Farmer!BW13="","",Data_Farmer!BW13)</f>
        <v>0.7</v>
      </c>
      <c r="BX9" s="38" t="n">
        <f aca="false">IF(Data_Farmer!BX13="","",Data_Farmer!BX13)</f>
        <v>2.6</v>
      </c>
      <c r="BY9" s="38" t="n">
        <f aca="false">IF(Data_Farmer!BY13="","",Data_Farmer!BY13)</f>
        <v>2.4</v>
      </c>
      <c r="BZ9" s="38" t="n">
        <f aca="false">IF(Data_Farmer!BZ13="","",Data_Farmer!BZ13)</f>
        <v>1.9</v>
      </c>
      <c r="CA9" s="38" t="str">
        <f aca="false">IF(Data_Farmer!CA13="","",Data_Farmer!CA13)</f>
        <v/>
      </c>
      <c r="CB9" s="38" t="n">
        <f aca="false">IF(Data_Farmer!CB13="","",Data_Farmer!CB13)</f>
        <v>1.1</v>
      </c>
      <c r="CC9" s="38" t="n">
        <f aca="false">IF(Data_Farmer!CC13="","",Data_Farmer!CC13)</f>
        <v>0.5</v>
      </c>
      <c r="CD9" s="38" t="n">
        <f aca="false">IF(Data_Farmer!CD13="","",Data_Farmer!CD13)</f>
        <v>-0.5</v>
      </c>
      <c r="CE9" s="38" t="n">
        <f aca="false">IF(Data_Farmer!CE13="","",Data_Farmer!CE13)</f>
        <v>2</v>
      </c>
      <c r="CF9" s="38" t="n">
        <f aca="false">IF(Data_Farmer!CF13="","",Data_Farmer!CF13)</f>
        <v>1.5</v>
      </c>
      <c r="CG9" s="38" t="n">
        <f aca="false">IF(Data_Farmer!CG13="","",Data_Farmer!CG13)</f>
        <v>1.3</v>
      </c>
      <c r="CH9" s="38" t="n">
        <f aca="false">IF(Data_Farmer!CH13="","",Data_Farmer!CH13)</f>
        <v>0.9</v>
      </c>
      <c r="CI9" s="38" t="n">
        <f aca="false">IF(Data_Farmer!CI13="","",Data_Farmer!CI13)</f>
        <v>3.8</v>
      </c>
      <c r="CJ9" s="38" t="n">
        <f aca="false">IF(Data_Farmer!CJ13="","",Data_Farmer!CJ13)</f>
        <v>3.3</v>
      </c>
      <c r="CK9" s="38" t="n">
        <f aca="false">IF(Data_Farmer!CK13="","",Data_Farmer!CK13)</f>
        <v>1.5</v>
      </c>
      <c r="CL9" s="38" t="n">
        <f aca="false">IF(Data_Farmer!CL13="","",Data_Farmer!CL13)</f>
        <v>0</v>
      </c>
      <c r="CM9" s="38" t="n">
        <f aca="false">IF(Data_Farmer!CM13="","",Data_Farmer!CM13)</f>
        <v>-0.3</v>
      </c>
      <c r="CN9" s="38" t="n">
        <f aca="false">IF(Data_Farmer!CN13="","",Data_Farmer!CN13)</f>
        <v>-1</v>
      </c>
      <c r="CO9" s="38" t="n">
        <f aca="false">IF(Data_Farmer!CO13="","",Data_Farmer!CO13)</f>
        <v>-3</v>
      </c>
      <c r="CP9" s="38" t="n">
        <f aca="false">IF(Data_Farmer!CP13="","",Data_Farmer!CP13)</f>
        <v>-5</v>
      </c>
      <c r="CQ9" s="38" t="n">
        <f aca="false">IF(Data_Farmer!CQ13="","",Data_Farmer!CQ13)</f>
        <v>-8</v>
      </c>
      <c r="CR9" s="38" t="n">
        <f aca="false">IF(Data_Farmer!CR13="","",Data_Farmer!CR13)</f>
        <v>-15</v>
      </c>
      <c r="CS9" s="38" t="n">
        <f aca="false">IF(Data_Farmer!CS13="","",Data_Farmer!CS13)</f>
        <v>-15</v>
      </c>
      <c r="CT9" s="38" t="n">
        <f aca="false">IF(Data_Farmer!CT13="","",Data_Farmer!CT13)</f>
        <v>-15</v>
      </c>
      <c r="CU9" s="38" t="n">
        <f aca="false">IF(Data_Farmer!CU13="","",Data_Farmer!CU13)</f>
        <v>-15</v>
      </c>
      <c r="CV9" s="38" t="n">
        <f aca="false">IF(Data_Farmer!CV13="","",Data_Farmer!CV13)</f>
        <v>-15</v>
      </c>
      <c r="CW9" s="38" t="n">
        <f aca="false">IF(Data_Farmer!CW13="","",Data_Farmer!CW13)</f>
        <v>-15</v>
      </c>
      <c r="CX9" s="38" t="n">
        <f aca="false">IF(Data_Farmer!CX13="","",Data_Farmer!CX13)</f>
        <v>1</v>
      </c>
      <c r="CY9" s="38" t="n">
        <f aca="false">IF(Data_Farmer!CY13="","",Data_Farmer!CY13)</f>
        <v>0.7</v>
      </c>
      <c r="CZ9" s="38" t="n">
        <f aca="false">IF(Data_Farmer!CZ13="","",Data_Farmer!CZ13)</f>
        <v>0.2</v>
      </c>
      <c r="DA9" s="38" t="n">
        <f aca="false">IF(Data_Farmer!DA13="","",Data_Farmer!DA13)</f>
        <v>1.7</v>
      </c>
      <c r="DB9" s="38" t="n">
        <f aca="false">IF(Data_Farmer!DB13="","",Data_Farmer!DB13)</f>
        <v>1</v>
      </c>
      <c r="DC9" s="38" t="n">
        <f aca="false">IF(Data_Farmer!DC13="","",Data_Farmer!DC13)</f>
        <v>0.5</v>
      </c>
      <c r="DD9" s="38" t="n">
        <f aca="false">IF(Data_Farmer!DD13="","",Data_Farmer!DD13)</f>
        <v>2.5</v>
      </c>
      <c r="DE9" s="38" t="n">
        <f aca="false">IF(Data_Farmer!DE13="","",Data_Farmer!DE13)</f>
        <v>2</v>
      </c>
      <c r="DF9" s="38" t="n">
        <f aca="false">IF(Data_Farmer!DF13="","",Data_Farmer!DF13)</f>
        <v>1.5</v>
      </c>
      <c r="DG9" s="38" t="n">
        <f aca="false">IF(Data_Farmer!DG13="","",Data_Farmer!DG13)</f>
        <v>1</v>
      </c>
      <c r="DH9" s="38" t="n">
        <f aca="false">IF(Data_Farmer!DH13="","",Data_Farmer!DH13)</f>
        <v>0.7</v>
      </c>
      <c r="DI9" s="38" t="n">
        <f aca="false">IF(Data_Farmer!DI13="","",Data_Farmer!DI13)</f>
        <v>0.1</v>
      </c>
      <c r="DJ9" s="38" t="n">
        <f aca="false">IF(Data_Farmer!DJ13="","",Data_Farmer!DJ13)</f>
        <v>0</v>
      </c>
      <c r="DK9" s="38" t="n">
        <f aca="false">IF(Data_Farmer!DK13="","",Data_Farmer!DK13)</f>
        <v>1</v>
      </c>
      <c r="DL9" s="38" t="str">
        <f aca="false">IF(Data_Farmer!DL13="","",Data_Farmer!DL13)</f>
        <v/>
      </c>
      <c r="DM9" s="38" t="n">
        <f aca="false">IF(Data_Farmer!DM13="","",Data_Farmer!DM13)</f>
        <v>0.2</v>
      </c>
      <c r="DN9" s="38" t="n">
        <f aca="false">IF(Data_Farmer!DN13="","",Data_Farmer!DN13)</f>
        <v>0.9</v>
      </c>
      <c r="DO9" s="38" t="n">
        <f aca="false">IF(Data_Farmer!DO13="","",Data_Farmer!DO13)</f>
        <v>0</v>
      </c>
      <c r="DP9" s="38" t="n">
        <f aca="false">IF(Data_Farmer!DP13="","",Data_Farmer!DP13)</f>
        <v>1</v>
      </c>
      <c r="DQ9" s="38" t="n">
        <f aca="false">IF(Data_Farmer!DQ13="","",Data_Farmer!DQ13)</f>
        <v>0.7</v>
      </c>
      <c r="DR9" s="38" t="n">
        <f aca="false">IF(Data_Farmer!DR13="","",Data_Farmer!DR13)</f>
        <v>0.3</v>
      </c>
      <c r="DS9" s="38" t="n">
        <f aca="false">IF(Data_Farmer!DS13="","",Data_Farmer!DS13)</f>
        <v>0.5</v>
      </c>
      <c r="DT9" s="38" t="n">
        <f aca="false">IF(Data_Farmer!DT13="","",Data_Farmer!DT13)</f>
        <v>0</v>
      </c>
      <c r="DU9" s="38" t="n">
        <f aca="false">IF(Data_Farmer!DU13="","",Data_Farmer!DU13)</f>
        <v>1</v>
      </c>
      <c r="DV9" s="38" t="n">
        <f aca="false">IF(Data_Farmer!DV13="","",Data_Farmer!DV13)</f>
        <v>0.7</v>
      </c>
      <c r="DW9" s="38" t="n">
        <f aca="false">IF(Data_Farmer!DW13="","",Data_Farmer!DW13)</f>
        <v>0.5</v>
      </c>
      <c r="DX9" s="38" t="n">
        <f aca="false">IF(Data_Farmer!DX13="","",Data_Farmer!DX13)</f>
        <v>1</v>
      </c>
      <c r="DY9" s="38" t="n">
        <f aca="false">IF(Data_Farmer!DY13="","",Data_Farmer!DY13)</f>
        <v>0.7</v>
      </c>
      <c r="DZ9" s="38" t="n">
        <f aca="false">IF(Data_Farmer!DZ13="","",Data_Farmer!DZ13)</f>
        <v>0.5</v>
      </c>
      <c r="EA9" s="38" t="n">
        <f aca="false">IF(Data_Farmer!EA13="","",Data_Farmer!EA13)</f>
        <v>0.1</v>
      </c>
      <c r="EB9" s="38" t="n">
        <f aca="false">IF(Data_Farmer!EB13="","",Data_Farmer!EB13)</f>
        <v>1.5</v>
      </c>
      <c r="EC9" s="38" t="n">
        <f aca="false">IF(Data_Farmer!EC13="","",Data_Farmer!EC13)</f>
        <v>1</v>
      </c>
      <c r="ED9" s="38" t="n">
        <f aca="false">IF(Data_Farmer!ED13="","",Data_Farmer!ED13)</f>
        <v>0.7</v>
      </c>
      <c r="EE9" s="38" t="n">
        <f aca="false">IF(Data_Farmer!EE13="","",Data_Farmer!EE13)</f>
        <v>2</v>
      </c>
      <c r="EF9" s="38" t="n">
        <f aca="false">IF(Data_Farmer!EF13="","",Data_Farmer!EF13)</f>
        <v>1.7</v>
      </c>
      <c r="EG9" s="38" t="n">
        <f aca="false">IF(Data_Farmer!EG13="","",Data_Farmer!EG13)</f>
        <v>1</v>
      </c>
      <c r="EH9" s="38" t="n">
        <f aca="false">IF(Data_Farmer!EH13="","",Data_Farmer!EH13)</f>
        <v>0.6</v>
      </c>
      <c r="EI9" s="38" t="n">
        <f aca="false">IF(Data_Farmer!EI13="","",Data_Farmer!EI13)</f>
        <v>1.5</v>
      </c>
      <c r="EJ9" s="38" t="n">
        <f aca="false">IF(Data_Farmer!EJ13="","",Data_Farmer!EJ13)</f>
        <v>1</v>
      </c>
      <c r="EK9" s="38" t="n">
        <f aca="false">IF(Data_Farmer!EK13="","",Data_Farmer!EK13)</f>
        <v>2.5</v>
      </c>
      <c r="EL9" s="38" t="n">
        <f aca="false">IF(Data_Farmer!EL13="","",Data_Farmer!EL13)</f>
        <v>1.5</v>
      </c>
      <c r="EM9" s="38" t="n">
        <f aca="false">IF(Data_Farmer!EM13="","",Data_Farmer!EM13)</f>
        <v>2.5</v>
      </c>
      <c r="EN9" s="38" t="n">
        <f aca="false">IF(Data_Farmer!EN13="","",Data_Farmer!EN13)</f>
        <v>2</v>
      </c>
      <c r="EO9" s="38" t="n">
        <f aca="false">IF(Data_Farmer!EO13="","",Data_Farmer!EO13)</f>
        <v>1.5</v>
      </c>
      <c r="EP9" s="38" t="n">
        <f aca="false">IF(Data_Farmer!EP13="","",Data_Farmer!EP13)</f>
        <v>0.5</v>
      </c>
      <c r="EQ9" s="38" t="n">
        <f aca="false">IF(Data_Farmer!EQ13="","",Data_Farmer!EQ13)</f>
        <v>1.5</v>
      </c>
      <c r="ER9" s="38" t="n">
        <f aca="false">IF(Data_Farmer!ER13="","",Data_Farmer!ER13)</f>
        <v>0</v>
      </c>
      <c r="ES9" s="38" t="n">
        <f aca="false">IF(Data_Farmer!ES13="","",Data_Farmer!ES13)</f>
        <v>-6.5</v>
      </c>
      <c r="ET9" s="38" t="n">
        <f aca="false">IF(Data_Farmer!ET13="","",Data_Farmer!ET13)</f>
        <v>-15</v>
      </c>
      <c r="EU9" s="38" t="str">
        <f aca="false">IF(Data_Farmer!EU13="","",Data_Farmer!EU13)</f>
        <v/>
      </c>
      <c r="EV9" s="38" t="str">
        <f aca="false">IF(Data_Farmer!EV13="","",Data_Farmer!EV13)</f>
        <v/>
      </c>
      <c r="EW9" s="38" t="str">
        <f aca="false">IF(Data_Farmer!EW13="","",Data_Farmer!EW13)</f>
        <v/>
      </c>
      <c r="EX9" s="38" t="str">
        <f aca="false">IF(Data_Farmer!EX13="","",Data_Farmer!EX13)</f>
        <v/>
      </c>
      <c r="EY9" s="38" t="str">
        <f aca="false">IF(Data_Farmer!EY13="","",Data_Farmer!EY13)</f>
        <v/>
      </c>
      <c r="EZ9" s="38" t="str">
        <f aca="false">IF(Data_Farmer!EZ13="","",Data_Farmer!EZ13)</f>
        <v/>
      </c>
      <c r="FA9" s="38" t="str">
        <f aca="false">IF(Data_Farmer!FA13="","",Data_Farmer!FA13)</f>
        <v/>
      </c>
      <c r="FB9" s="38" t="str">
        <f aca="false">IF(Data_Farmer!FB13="","",Data_Farmer!FB13)</f>
        <v/>
      </c>
      <c r="FC9" s="38" t="str">
        <f aca="false">IF(Data_Farmer!FC13="","",Data_Farmer!FC13)</f>
        <v/>
      </c>
      <c r="FD9" s="38" t="str">
        <f aca="false">IF(Data_Farmer!FD13="","",Data_Farmer!FD13)</f>
        <v/>
      </c>
      <c r="FE9" s="38" t="str">
        <f aca="false">IF(Data_Farmer!FE13="","",Data_Farmer!FE13)</f>
        <v/>
      </c>
      <c r="FF9" s="38" t="str">
        <f aca="false">IF(Data_Farmer!FF13="","",Data_Farmer!FF13)</f>
        <v/>
      </c>
      <c r="FG9" s="38" t="str">
        <f aca="false">IF(Data_Farmer!FG13="","",Data_Farmer!FG13)</f>
        <v/>
      </c>
      <c r="FH9" s="38" t="str">
        <f aca="false">IF(Data_Farmer!FH13="","",Data_Farmer!FH13)</f>
        <v/>
      </c>
      <c r="FI9" s="38" t="str">
        <f aca="false">IF(Data_Farmer!FI13="","",Data_Farmer!FI13)</f>
        <v/>
      </c>
      <c r="FJ9" s="38" t="str">
        <f aca="false">IF(Data_Farmer!FJ13="","",Data_Farmer!FJ13)</f>
        <v/>
      </c>
      <c r="FK9" s="38" t="str">
        <f aca="false">IF(Data_Farmer!FK13="","",Data_Farmer!FK13)</f>
        <v/>
      </c>
      <c r="FL9" s="38" t="str">
        <f aca="false">IF(Data_Farmer!FL13="","",Data_Farmer!FL13)</f>
        <v/>
      </c>
      <c r="FM9" s="38" t="str">
        <f aca="false">IF(Data_Farmer!FM13="","",Data_Farmer!FM13)</f>
        <v/>
      </c>
      <c r="FN9" s="38" t="str">
        <f aca="false">IF(Data_Farmer!FN13="","",Data_Farmer!FN13)</f>
        <v/>
      </c>
      <c r="FO9" s="38" t="str">
        <f aca="false">IF(Data_Farmer!FO13="","",Data_Farmer!FO13)</f>
        <v/>
      </c>
      <c r="FP9" s="38" t="str">
        <f aca="false">IF(Data_Farmer!FP13="","",Data_Farmer!FP13)</f>
        <v/>
      </c>
      <c r="FQ9" s="38" t="str">
        <f aca="false">IF(Data_Farmer!FQ13="","",Data_Farmer!FQ13)</f>
        <v/>
      </c>
    </row>
    <row r="10" customFormat="false" ht="15" hidden="false" customHeight="false" outlineLevel="0" collapsed="false">
      <c r="A10" s="36"/>
      <c r="B10" s="20" t="s">
        <v>166</v>
      </c>
      <c r="C10" s="37" t="s">
        <v>165</v>
      </c>
      <c r="D10" s="38" t="str">
        <f aca="false">IF(Data_Farmer!D38="","",Data_Farmer!D38)</f>
        <v/>
      </c>
      <c r="E10" s="38" t="str">
        <f aca="false">IF(Data_Farmer!E38="","",Data_Farmer!E38)</f>
        <v/>
      </c>
      <c r="F10" s="38" t="str">
        <f aca="false">IF(Data_Farmer!F38="","",Data_Farmer!F38)</f>
        <v/>
      </c>
      <c r="G10" s="38" t="str">
        <f aca="false">IF(Data_Farmer!G38="","",Data_Farmer!G38)</f>
        <v/>
      </c>
      <c r="H10" s="38" t="str">
        <f aca="false">IF(Data_Farmer!H38="","",Data_Farmer!H38)</f>
        <v/>
      </c>
      <c r="I10" s="38" t="str">
        <f aca="false">IF(Data_Farmer!I38="","",Data_Farmer!I38)</f>
        <v/>
      </c>
      <c r="J10" s="38" t="str">
        <f aca="false">IF(Data_Farmer!J38="","",Data_Farmer!J38)</f>
        <v/>
      </c>
      <c r="K10" s="38" t="str">
        <f aca="false">IF(Data_Farmer!K38="","",Data_Farmer!K38)</f>
        <v/>
      </c>
      <c r="L10" s="38" t="str">
        <f aca="false">IF(Data_Farmer!L38="","",Data_Farmer!L38)</f>
        <v/>
      </c>
      <c r="M10" s="38" t="str">
        <f aca="false">IF(Data_Farmer!M38="","",Data_Farmer!M38)</f>
        <v/>
      </c>
      <c r="N10" s="38" t="str">
        <f aca="false">IF(Data_Farmer!N38="","",Data_Farmer!N38)</f>
        <v/>
      </c>
      <c r="O10" s="38" t="str">
        <f aca="false">IF(Data_Farmer!O38="","",Data_Farmer!O38)</f>
        <v/>
      </c>
      <c r="P10" s="38" t="str">
        <f aca="false">IF(Data_Farmer!P38="","",Data_Farmer!P38)</f>
        <v/>
      </c>
      <c r="Q10" s="38" t="str">
        <f aca="false">IF(Data_Farmer!Q38="","",Data_Farmer!Q38)</f>
        <v/>
      </c>
      <c r="R10" s="38" t="str">
        <f aca="false">IF(Data_Farmer!R38="","",Data_Farmer!R38)</f>
        <v/>
      </c>
      <c r="S10" s="38" t="str">
        <f aca="false">IF(Data_Farmer!S38="","",Data_Farmer!S38)</f>
        <v/>
      </c>
      <c r="T10" s="38" t="str">
        <f aca="false">IF(Data_Farmer!T38="","",Data_Farmer!T38)</f>
        <v/>
      </c>
      <c r="U10" s="38" t="str">
        <f aca="false">IF(Data_Farmer!U38="","",Data_Farmer!U38)</f>
        <v/>
      </c>
      <c r="V10" s="38" t="str">
        <f aca="false">IF(Data_Farmer!V38="","",Data_Farmer!V38)</f>
        <v/>
      </c>
      <c r="W10" s="38" t="str">
        <f aca="false">IF(Data_Farmer!W38="","",Data_Farmer!W38)</f>
        <v/>
      </c>
      <c r="X10" s="38" t="str">
        <f aca="false">IF(Data_Farmer!X38="","",Data_Farmer!X38)</f>
        <v/>
      </c>
      <c r="Y10" s="38" t="str">
        <f aca="false">IF(Data_Farmer!Y38="","",Data_Farmer!Y38)</f>
        <v/>
      </c>
      <c r="Z10" s="38" t="str">
        <f aca="false">IF(Data_Farmer!Z38="","",Data_Farmer!Z38)</f>
        <v/>
      </c>
      <c r="AA10" s="38" t="str">
        <f aca="false">IF(Data_Farmer!AA38="","",Data_Farmer!AA38)</f>
        <v/>
      </c>
      <c r="AB10" s="38" t="str">
        <f aca="false">IF(Data_Farmer!AB38="","",Data_Farmer!AB38)</f>
        <v/>
      </c>
      <c r="AC10" s="38" t="str">
        <f aca="false">IF(Data_Farmer!AC38="","",Data_Farmer!AC38)</f>
        <v/>
      </c>
      <c r="AD10" s="38" t="str">
        <f aca="false">IF(Data_Farmer!AD38="","",Data_Farmer!AD38)</f>
        <v/>
      </c>
      <c r="AE10" s="38" t="str">
        <f aca="false">IF(Data_Farmer!AE38="","",Data_Farmer!AE38)</f>
        <v/>
      </c>
      <c r="AF10" s="38" t="str">
        <f aca="false">IF(Data_Farmer!AF38="","",Data_Farmer!AF38)</f>
        <v/>
      </c>
      <c r="AG10" s="38" t="str">
        <f aca="false">IF(Data_Farmer!AG38="","",Data_Farmer!AG38)</f>
        <v/>
      </c>
      <c r="AH10" s="38" t="str">
        <f aca="false">IF(Data_Farmer!AH38="","",Data_Farmer!AH38)</f>
        <v/>
      </c>
      <c r="AI10" s="38" t="str">
        <f aca="false">IF(Data_Farmer!AI38="","",Data_Farmer!AI38)</f>
        <v/>
      </c>
      <c r="AJ10" s="38" t="str">
        <f aca="false">IF(Data_Farmer!AJ38="","",Data_Farmer!AJ38)</f>
        <v/>
      </c>
      <c r="AK10" s="38" t="str">
        <f aca="false">IF(Data_Farmer!AK38="","",Data_Farmer!AK38)</f>
        <v/>
      </c>
      <c r="AL10" s="38" t="str">
        <f aca="false">IF(Data_Farmer!AL38="","",Data_Farmer!AL38)</f>
        <v/>
      </c>
      <c r="AM10" s="38" t="str">
        <f aca="false">IF(Data_Farmer!AM38="","",Data_Farmer!AM38)</f>
        <v/>
      </c>
      <c r="AN10" s="38" t="str">
        <f aca="false">IF(Data_Farmer!AN38="","",Data_Farmer!AN38)</f>
        <v/>
      </c>
      <c r="AO10" s="38" t="str">
        <f aca="false">IF(Data_Farmer!AO38="","",Data_Farmer!AO38)</f>
        <v/>
      </c>
      <c r="AP10" s="38" t="str">
        <f aca="false">IF(Data_Farmer!AP38="","",Data_Farmer!AP38)</f>
        <v/>
      </c>
      <c r="AQ10" s="38" t="str">
        <f aca="false">IF(Data_Farmer!AQ38="","",Data_Farmer!AQ38)</f>
        <v/>
      </c>
      <c r="AR10" s="38" t="str">
        <f aca="false">IF(Data_Farmer!AR38="","",Data_Farmer!AR38)</f>
        <v/>
      </c>
      <c r="AS10" s="38" t="str">
        <f aca="false">IF(Data_Farmer!AS38="","",Data_Farmer!AS38)</f>
        <v/>
      </c>
      <c r="AT10" s="38" t="str">
        <f aca="false">IF(Data_Farmer!AT38="","",Data_Farmer!AT38)</f>
        <v/>
      </c>
      <c r="AU10" s="38" t="str">
        <f aca="false">IF(Data_Farmer!AU38="","",Data_Farmer!AU38)</f>
        <v/>
      </c>
      <c r="AV10" s="38" t="str">
        <f aca="false">IF(Data_Farmer!AV38="","",Data_Farmer!AV38)</f>
        <v/>
      </c>
      <c r="AW10" s="38" t="str">
        <f aca="false">IF(Data_Farmer!AW38="","",Data_Farmer!AW38)</f>
        <v/>
      </c>
      <c r="AX10" s="38" t="str">
        <f aca="false">IF(Data_Farmer!AX38="","",Data_Farmer!AX38)</f>
        <v/>
      </c>
      <c r="AY10" s="38" t="str">
        <f aca="false">IF(Data_Farmer!AY38="","",Data_Farmer!AY38)</f>
        <v/>
      </c>
      <c r="AZ10" s="38" t="str">
        <f aca="false">IF(Data_Farmer!AZ38="","",Data_Farmer!AZ38)</f>
        <v/>
      </c>
      <c r="BA10" s="38" t="str">
        <f aca="false">IF(Data_Farmer!BA38="","",Data_Farmer!BA38)</f>
        <v/>
      </c>
      <c r="BB10" s="38" t="str">
        <f aca="false">IF(Data_Farmer!BB38="","",Data_Farmer!BB38)</f>
        <v/>
      </c>
      <c r="BC10" s="38" t="str">
        <f aca="false">IF(Data_Farmer!BC38="","",Data_Farmer!BC38)</f>
        <v/>
      </c>
      <c r="BD10" s="38" t="n">
        <f aca="false">IF(Data_Farmer!BD38="","",Data_Farmer!BD38)</f>
        <v>1.3</v>
      </c>
      <c r="BE10" s="38" t="n">
        <f aca="false">IF(Data_Farmer!BE38="","",Data_Farmer!BE38)</f>
        <v>1</v>
      </c>
      <c r="BF10" s="38" t="n">
        <f aca="false">IF(Data_Farmer!BF38="","",Data_Farmer!BF38)</f>
        <v>1.3</v>
      </c>
      <c r="BG10" s="38" t="n">
        <f aca="false">IF(Data_Farmer!BG38="","",Data_Farmer!BG38)</f>
        <v>1</v>
      </c>
      <c r="BH10" s="38" t="n">
        <f aca="false">IF(Data_Farmer!BH38="","",Data_Farmer!BH38)</f>
        <v>3.2</v>
      </c>
      <c r="BI10" s="38" t="n">
        <f aca="false">IF(Data_Farmer!BI38="","",Data_Farmer!BI38)</f>
        <v>2.3</v>
      </c>
      <c r="BJ10" s="38" t="n">
        <f aca="false">IF(Data_Farmer!BJ38="","",Data_Farmer!BJ38)</f>
        <v>2.1</v>
      </c>
      <c r="BK10" s="38" t="n">
        <f aca="false">IF(Data_Farmer!BK38="","",Data_Farmer!BK38)</f>
        <v>1.5</v>
      </c>
      <c r="BL10" s="38" t="n">
        <f aca="false">IF(Data_Farmer!BL38="","",Data_Farmer!BL38)</f>
        <v>3</v>
      </c>
      <c r="BM10" s="38" t="n">
        <f aca="false">IF(Data_Farmer!BM38="","",Data_Farmer!BM38)</f>
        <v>2.5</v>
      </c>
      <c r="BN10" s="38" t="n">
        <f aca="false">IF(Data_Farmer!BN38="","",Data_Farmer!BN38)</f>
        <v>2</v>
      </c>
      <c r="BO10" s="38" t="n">
        <f aca="false">IF(Data_Farmer!BO38="","",Data_Farmer!BO38)</f>
        <v>1.5</v>
      </c>
      <c r="BP10" s="38" t="n">
        <f aca="false">IF(Data_Farmer!BP38="","",Data_Farmer!BP38)</f>
        <v>1.3</v>
      </c>
      <c r="BQ10" s="38" t="n">
        <f aca="false">IF(Data_Farmer!BQ38="","",Data_Farmer!BQ38)</f>
        <v>2.5</v>
      </c>
      <c r="BR10" s="38" t="n">
        <f aca="false">IF(Data_Farmer!BR38="","",Data_Farmer!BR38)</f>
        <v>2</v>
      </c>
      <c r="BS10" s="38" t="n">
        <f aca="false">IF(Data_Farmer!BS38="","",Data_Farmer!BS38)</f>
        <v>1.5</v>
      </c>
      <c r="BT10" s="38" t="n">
        <f aca="false">IF(Data_Farmer!BT38="","",Data_Farmer!BT38)</f>
        <v>1.3</v>
      </c>
      <c r="BU10" s="38" t="n">
        <f aca="false">IF(Data_Farmer!BU38="","",Data_Farmer!BU38)</f>
        <v>1.1</v>
      </c>
      <c r="BV10" s="38" t="n">
        <f aca="false">IF(Data_Farmer!BV38="","",Data_Farmer!BV38)</f>
        <v>1</v>
      </c>
      <c r="BW10" s="38" t="n">
        <f aca="false">IF(Data_Farmer!BW38="","",Data_Farmer!BW38)</f>
        <v>0.5</v>
      </c>
      <c r="BX10" s="38" t="n">
        <f aca="false">IF(Data_Farmer!BX38="","",Data_Farmer!BX38)</f>
        <v>2.3</v>
      </c>
      <c r="BY10" s="38" t="n">
        <f aca="false">IF(Data_Farmer!BY38="","",Data_Farmer!BY38)</f>
        <v>2</v>
      </c>
      <c r="BZ10" s="38" t="n">
        <f aca="false">IF(Data_Farmer!BZ38="","",Data_Farmer!BZ38)</f>
        <v>1.5</v>
      </c>
      <c r="CA10" s="38" t="str">
        <f aca="false">IF(Data_Farmer!CA38="","",Data_Farmer!CA38)</f>
        <v/>
      </c>
      <c r="CB10" s="38" t="n">
        <f aca="false">IF(Data_Farmer!CB38="","",Data_Farmer!CB38)</f>
        <v>1</v>
      </c>
      <c r="CC10" s="38" t="n">
        <f aca="false">IF(Data_Farmer!CC38="","",Data_Farmer!CC38)</f>
        <v>-0.2</v>
      </c>
      <c r="CD10" s="38" t="n">
        <f aca="false">IF(Data_Farmer!CD38="","",Data_Farmer!CD38)</f>
        <v>-0.7</v>
      </c>
      <c r="CE10" s="38" t="n">
        <f aca="false">IF(Data_Farmer!CE38="","",Data_Farmer!CE38)</f>
        <v>2</v>
      </c>
      <c r="CF10" s="38" t="n">
        <f aca="false">IF(Data_Farmer!CF38="","",Data_Farmer!CF38)</f>
        <v>1.7</v>
      </c>
      <c r="CG10" s="38" t="n">
        <f aca="false">IF(Data_Farmer!CG38="","",Data_Farmer!CG38)</f>
        <v>1.5</v>
      </c>
      <c r="CH10" s="38" t="n">
        <f aca="false">IF(Data_Farmer!CH38="","",Data_Farmer!CH38)</f>
        <v>1</v>
      </c>
      <c r="CI10" s="38" t="n">
        <f aca="false">IF(Data_Farmer!CI38="","",Data_Farmer!CI38)</f>
        <v>3.8</v>
      </c>
      <c r="CJ10" s="38" t="n">
        <f aca="false">IF(Data_Farmer!CJ38="","",Data_Farmer!CJ38)</f>
        <v>3.2</v>
      </c>
      <c r="CK10" s="38" t="n">
        <f aca="false">IF(Data_Farmer!CK38="","",Data_Farmer!CK38)</f>
        <v>1.5</v>
      </c>
      <c r="CL10" s="38" t="n">
        <f aca="false">IF(Data_Farmer!CL38="","",Data_Farmer!CL38)</f>
        <v>0</v>
      </c>
      <c r="CM10" s="38" t="n">
        <f aca="false">IF(Data_Farmer!CM38="","",Data_Farmer!CM38)</f>
        <v>-0.3</v>
      </c>
      <c r="CN10" s="38" t="n">
        <f aca="false">IF(Data_Farmer!CN38="","",Data_Farmer!CN38)</f>
        <v>-1</v>
      </c>
      <c r="CO10" s="38" t="n">
        <f aca="false">IF(Data_Farmer!CO38="","",Data_Farmer!CO38)</f>
        <v>-5</v>
      </c>
      <c r="CP10" s="38" t="n">
        <f aca="false">IF(Data_Farmer!CP38="","",Data_Farmer!CP38)</f>
        <v>-8</v>
      </c>
      <c r="CQ10" s="38" t="n">
        <f aca="false">IF(Data_Farmer!CQ38="","",Data_Farmer!CQ38)</f>
        <v>-15</v>
      </c>
      <c r="CR10" s="38" t="n">
        <f aca="false">IF(Data_Farmer!CR38="","",Data_Farmer!CR38)</f>
        <v>-15</v>
      </c>
      <c r="CS10" s="38" t="n">
        <f aca="false">IF(Data_Farmer!CS38="","",Data_Farmer!CS38)</f>
        <v>-15</v>
      </c>
      <c r="CT10" s="38" t="n">
        <f aca="false">IF(Data_Farmer!CT38="","",Data_Farmer!CT38)</f>
        <v>-15</v>
      </c>
      <c r="CU10" s="38" t="n">
        <f aca="false">IF(Data_Farmer!CU38="","",Data_Farmer!CU38)</f>
        <v>-15</v>
      </c>
      <c r="CV10" s="38" t="n">
        <f aca="false">IF(Data_Farmer!CV38="","",Data_Farmer!CV38)</f>
        <v>-15</v>
      </c>
      <c r="CW10" s="38" t="n">
        <f aca="false">IF(Data_Farmer!CW38="","",Data_Farmer!CW38)</f>
        <v>-15</v>
      </c>
      <c r="CX10" s="38" t="n">
        <f aca="false">IF(Data_Farmer!CX38="","",Data_Farmer!CX38)</f>
        <v>1</v>
      </c>
      <c r="CY10" s="38" t="n">
        <f aca="false">IF(Data_Farmer!CY38="","",Data_Farmer!CY38)</f>
        <v>0.7</v>
      </c>
      <c r="CZ10" s="38" t="n">
        <f aca="false">IF(Data_Farmer!CZ38="","",Data_Farmer!CZ38)</f>
        <v>0.2</v>
      </c>
      <c r="DA10" s="38" t="n">
        <f aca="false">IF(Data_Farmer!DA38="","",Data_Farmer!DA38)</f>
        <v>1.7</v>
      </c>
      <c r="DB10" s="38" t="n">
        <f aca="false">IF(Data_Farmer!DB38="","",Data_Farmer!DB38)</f>
        <v>1</v>
      </c>
      <c r="DC10" s="38" t="n">
        <f aca="false">IF(Data_Farmer!DC38="","",Data_Farmer!DC38)</f>
        <v>0.5</v>
      </c>
      <c r="DD10" s="38" t="n">
        <f aca="false">IF(Data_Farmer!DD38="","",Data_Farmer!DD38)</f>
        <v>1.6</v>
      </c>
      <c r="DE10" s="38" t="n">
        <f aca="false">IF(Data_Farmer!DE38="","",Data_Farmer!DE38)</f>
        <v>1</v>
      </c>
      <c r="DF10" s="38" t="n">
        <f aca="false">IF(Data_Farmer!DF38="","",Data_Farmer!DF38)</f>
        <v>0.7</v>
      </c>
      <c r="DG10" s="38" t="n">
        <f aca="false">IF(Data_Farmer!DG38="","",Data_Farmer!DG38)</f>
        <v>0.3</v>
      </c>
      <c r="DH10" s="38" t="n">
        <f aca="false">IF(Data_Farmer!DH38="","",Data_Farmer!DH38)</f>
        <v>0.8</v>
      </c>
      <c r="DI10" s="38" t="n">
        <f aca="false">IF(Data_Farmer!DI38="","",Data_Farmer!DI38)</f>
        <v>0.4</v>
      </c>
      <c r="DJ10" s="38" t="n">
        <f aca="false">IF(Data_Farmer!DJ38="","",Data_Farmer!DJ38)</f>
        <v>-3</v>
      </c>
      <c r="DK10" s="38" t="n">
        <f aca="false">IF(Data_Farmer!DK38="","",Data_Farmer!DK38)</f>
        <v>-6</v>
      </c>
      <c r="DL10" s="38" t="str">
        <f aca="false">IF(Data_Farmer!DL38="","",Data_Farmer!DL38)</f>
        <v/>
      </c>
      <c r="DM10" s="38" t="n">
        <f aca="false">IF(Data_Farmer!DM38="","",Data_Farmer!DM38)</f>
        <v>-11</v>
      </c>
      <c r="DN10" s="38" t="n">
        <f aca="false">IF(Data_Farmer!DN38="","",Data_Farmer!DN38)</f>
        <v>-12</v>
      </c>
      <c r="DO10" s="38" t="n">
        <f aca="false">IF(Data_Farmer!DO38="","",Data_Farmer!DO38)</f>
        <v>1</v>
      </c>
      <c r="DP10" s="38" t="n">
        <f aca="false">IF(Data_Farmer!DP38="","",Data_Farmer!DP38)</f>
        <v>0.5</v>
      </c>
      <c r="DQ10" s="38" t="n">
        <f aca="false">IF(Data_Farmer!DQ38="","",Data_Farmer!DQ38)</f>
        <v>-4</v>
      </c>
      <c r="DR10" s="38" t="n">
        <f aca="false">IF(Data_Farmer!DR38="","",Data_Farmer!DR38)</f>
        <v>-9</v>
      </c>
      <c r="DS10" s="38" t="n">
        <f aca="false">IF(Data_Farmer!DS38="","",Data_Farmer!DS38)</f>
        <v>-12</v>
      </c>
      <c r="DT10" s="38" t="n">
        <f aca="false">IF(Data_Farmer!DT38="","",Data_Farmer!DT38)</f>
        <v>-15</v>
      </c>
      <c r="DU10" s="38" t="n">
        <f aca="false">IF(Data_Farmer!DU38="","",Data_Farmer!DU38)</f>
        <v>-15</v>
      </c>
      <c r="DV10" s="38" t="n">
        <f aca="false">IF(Data_Farmer!DV38="","",Data_Farmer!DV38)</f>
        <v>1</v>
      </c>
      <c r="DW10" s="38" t="n">
        <f aca="false">IF(Data_Farmer!DW38="","",Data_Farmer!DW38)</f>
        <v>0.5</v>
      </c>
      <c r="DX10" s="38" t="n">
        <f aca="false">IF(Data_Farmer!DX38="","",Data_Farmer!DX38)</f>
        <v>-2</v>
      </c>
      <c r="DY10" s="38" t="n">
        <f aca="false">IF(Data_Farmer!DY38="","",Data_Farmer!DY38)</f>
        <v>-7</v>
      </c>
      <c r="DZ10" s="38" t="n">
        <f aca="false">IF(Data_Farmer!DZ38="","",Data_Farmer!DZ38)</f>
        <v>-12</v>
      </c>
      <c r="EA10" s="38" t="n">
        <f aca="false">IF(Data_Farmer!EA38="","",Data_Farmer!EA38)</f>
        <v>-15</v>
      </c>
      <c r="EB10" s="38" t="n">
        <f aca="false">IF(Data_Farmer!EB38="","",Data_Farmer!EB38)</f>
        <v>-15</v>
      </c>
      <c r="EC10" s="38" t="n">
        <f aca="false">IF(Data_Farmer!EC38="","",Data_Farmer!EC38)</f>
        <v>1.5</v>
      </c>
      <c r="ED10" s="38" t="n">
        <f aca="false">IF(Data_Farmer!ED38="","",Data_Farmer!ED38)</f>
        <v>0.3</v>
      </c>
      <c r="EE10" s="38" t="n">
        <f aca="false">IF(Data_Farmer!EE38="","",Data_Farmer!EE38)</f>
        <v>2</v>
      </c>
      <c r="EF10" s="38" t="n">
        <f aca="false">IF(Data_Farmer!EF38="","",Data_Farmer!EF38)</f>
        <v>-1</v>
      </c>
      <c r="EG10" s="38" t="n">
        <f aca="false">IF(Data_Farmer!EG38="","",Data_Farmer!EG38)</f>
        <v>-5.7</v>
      </c>
      <c r="EH10" s="38" t="n">
        <f aca="false">IF(Data_Farmer!EH38="","",Data_Farmer!EH38)</f>
        <v>-11</v>
      </c>
      <c r="EI10" s="38" t="n">
        <f aca="false">IF(Data_Farmer!EI38="","",Data_Farmer!EI38)</f>
        <v>-14</v>
      </c>
      <c r="EJ10" s="38" t="n">
        <f aca="false">IF(Data_Farmer!EJ38="","",Data_Farmer!EJ38)</f>
        <v>-15</v>
      </c>
      <c r="EK10" s="38" t="n">
        <f aca="false">IF(Data_Farmer!EK38="","",Data_Farmer!EK38)</f>
        <v>3</v>
      </c>
      <c r="EL10" s="38" t="n">
        <f aca="false">IF(Data_Farmer!EL38="","",Data_Farmer!EL38)</f>
        <v>2</v>
      </c>
      <c r="EM10" s="38" t="n">
        <f aca="false">IF(Data_Farmer!EM38="","",Data_Farmer!EM38)</f>
        <v>3</v>
      </c>
      <c r="EN10" s="38" t="n">
        <f aca="false">IF(Data_Farmer!EN38="","",Data_Farmer!EN38)</f>
        <v>2</v>
      </c>
      <c r="EO10" s="38" t="n">
        <f aca="false">IF(Data_Farmer!EO38="","",Data_Farmer!EO38)</f>
        <v>0</v>
      </c>
      <c r="EP10" s="38" t="n">
        <f aca="false">IF(Data_Farmer!EP38="","",Data_Farmer!EP38)</f>
        <v>-3</v>
      </c>
      <c r="EQ10" s="38" t="n">
        <f aca="false">IF(Data_Farmer!EQ38="","",Data_Farmer!EQ38)</f>
        <v>-10</v>
      </c>
      <c r="ER10" s="38" t="n">
        <f aca="false">IF(Data_Farmer!ER38="","",Data_Farmer!ER38)</f>
        <v>-15</v>
      </c>
      <c r="ES10" s="38" t="n">
        <f aca="false">IF(Data_Farmer!ES38="","",Data_Farmer!ES38)</f>
        <v>-15</v>
      </c>
      <c r="ET10" s="38" t="n">
        <f aca="false">IF(Data_Farmer!ET38="","",Data_Farmer!ET38)</f>
        <v>-15</v>
      </c>
      <c r="EU10" s="38" t="str">
        <f aca="false">IF(Data_Farmer!EU38="","",Data_Farmer!EU38)</f>
        <v/>
      </c>
      <c r="EV10" s="38" t="str">
        <f aca="false">IF(Data_Farmer!EV38="","",Data_Farmer!EV38)</f>
        <v/>
      </c>
      <c r="EW10" s="38" t="str">
        <f aca="false">IF(Data_Farmer!EW38="","",Data_Farmer!EW38)</f>
        <v/>
      </c>
      <c r="EX10" s="38" t="str">
        <f aca="false">IF(Data_Farmer!EX38="","",Data_Farmer!EX38)</f>
        <v/>
      </c>
      <c r="EY10" s="38" t="str">
        <f aca="false">IF(Data_Farmer!EY38="","",Data_Farmer!EY38)</f>
        <v/>
      </c>
      <c r="EZ10" s="38" t="str">
        <f aca="false">IF(Data_Farmer!EZ38="","",Data_Farmer!EZ38)</f>
        <v/>
      </c>
      <c r="FA10" s="38" t="str">
        <f aca="false">IF(Data_Farmer!FA38="","",Data_Farmer!FA38)</f>
        <v/>
      </c>
      <c r="FB10" s="38" t="str">
        <f aca="false">IF(Data_Farmer!FB38="","",Data_Farmer!FB38)</f>
        <v/>
      </c>
      <c r="FC10" s="38" t="str">
        <f aca="false">IF(Data_Farmer!FC38="","",Data_Farmer!FC38)</f>
        <v/>
      </c>
      <c r="FD10" s="38" t="str">
        <f aca="false">IF(Data_Farmer!FD38="","",Data_Farmer!FD38)</f>
        <v/>
      </c>
      <c r="FE10" s="38" t="str">
        <f aca="false">IF(Data_Farmer!FE38="","",Data_Farmer!FE38)</f>
        <v/>
      </c>
      <c r="FF10" s="38" t="str">
        <f aca="false">IF(Data_Farmer!FF38="","",Data_Farmer!FF38)</f>
        <v/>
      </c>
      <c r="FG10" s="38" t="str">
        <f aca="false">IF(Data_Farmer!FG38="","",Data_Farmer!FG38)</f>
        <v/>
      </c>
      <c r="FH10" s="38" t="str">
        <f aca="false">IF(Data_Farmer!FH38="","",Data_Farmer!FH38)</f>
        <v/>
      </c>
      <c r="FI10" s="38" t="str">
        <f aca="false">IF(Data_Farmer!FI38="","",Data_Farmer!FI38)</f>
        <v/>
      </c>
      <c r="FJ10" s="38" t="str">
        <f aca="false">IF(Data_Farmer!FJ38="","",Data_Farmer!FJ38)</f>
        <v/>
      </c>
      <c r="FK10" s="38" t="str">
        <f aca="false">IF(Data_Farmer!FK38="","",Data_Farmer!FK38)</f>
        <v/>
      </c>
      <c r="FL10" s="38" t="str">
        <f aca="false">IF(Data_Farmer!FL38="","",Data_Farmer!FL38)</f>
        <v/>
      </c>
      <c r="FM10" s="38" t="str">
        <f aca="false">IF(Data_Farmer!FM38="","",Data_Farmer!FM38)</f>
        <v/>
      </c>
      <c r="FN10" s="38" t="str">
        <f aca="false">IF(Data_Farmer!FN38="","",Data_Farmer!FN38)</f>
        <v/>
      </c>
      <c r="FO10" s="38" t="str">
        <f aca="false">IF(Data_Farmer!FO38="","",Data_Farmer!FO38)</f>
        <v/>
      </c>
      <c r="FP10" s="38" t="str">
        <f aca="false">IF(Data_Farmer!FP38="","",Data_Farmer!FP38)</f>
        <v/>
      </c>
      <c r="FQ10" s="38" t="str">
        <f aca="false">IF(Data_Farmer!FQ38="","",Data_Farmer!FQ38)</f>
        <v/>
      </c>
    </row>
    <row r="11" customFormat="false" ht="15" hidden="false" customHeight="false" outlineLevel="0" collapsed="false">
      <c r="A11" s="34"/>
      <c r="B11" s="17" t="s">
        <v>167</v>
      </c>
      <c r="C11" s="35" t="s">
        <v>165</v>
      </c>
      <c r="D11" s="39" t="str">
        <f aca="false">IF(Data_Farmer!D30="","",Data_Farmer!D30)</f>
        <v/>
      </c>
      <c r="E11" s="39" t="str">
        <f aca="false">IF(Data_Farmer!E30="","",Data_Farmer!E30)</f>
        <v/>
      </c>
      <c r="F11" s="39" t="str">
        <f aca="false">IF(Data_Farmer!F30="","",Data_Farmer!F30)</f>
        <v/>
      </c>
      <c r="G11" s="39" t="str">
        <f aca="false">IF(Data_Farmer!G30="","",Data_Farmer!G30)</f>
        <v/>
      </c>
      <c r="H11" s="39" t="str">
        <f aca="false">IF(Data_Farmer!H30="","",Data_Farmer!H30)</f>
        <v/>
      </c>
      <c r="I11" s="39" t="str">
        <f aca="false">IF(Data_Farmer!I30="","",Data_Farmer!I30)</f>
        <v/>
      </c>
      <c r="J11" s="39" t="str">
        <f aca="false">IF(Data_Farmer!J30="","",Data_Farmer!J30)</f>
        <v/>
      </c>
      <c r="K11" s="39" t="str">
        <f aca="false">IF(Data_Farmer!K30="","",Data_Farmer!K30)</f>
        <v/>
      </c>
      <c r="L11" s="39" t="str">
        <f aca="false">IF(Data_Farmer!L30="","",Data_Farmer!L30)</f>
        <v/>
      </c>
      <c r="M11" s="39" t="str">
        <f aca="false">IF(Data_Farmer!M30="","",Data_Farmer!M30)</f>
        <v/>
      </c>
      <c r="N11" s="39" t="str">
        <f aca="false">IF(Data_Farmer!N30="","",Data_Farmer!N30)</f>
        <v/>
      </c>
      <c r="O11" s="39" t="str">
        <f aca="false">IF(Data_Farmer!O30="","",Data_Farmer!O30)</f>
        <v/>
      </c>
      <c r="P11" s="39" t="str">
        <f aca="false">IF(Data_Farmer!P30="","",Data_Farmer!P30)</f>
        <v/>
      </c>
      <c r="Q11" s="39" t="str">
        <f aca="false">IF(Data_Farmer!Q30="","",Data_Farmer!Q30)</f>
        <v/>
      </c>
      <c r="R11" s="39" t="str">
        <f aca="false">IF(Data_Farmer!R30="","",Data_Farmer!R30)</f>
        <v/>
      </c>
      <c r="S11" s="39" t="str">
        <f aca="false">IF(Data_Farmer!S30="","",Data_Farmer!S30)</f>
        <v/>
      </c>
      <c r="T11" s="39" t="str">
        <f aca="false">IF(Data_Farmer!T30="","",Data_Farmer!T30)</f>
        <v/>
      </c>
      <c r="U11" s="39" t="str">
        <f aca="false">IF(Data_Farmer!U30="","",Data_Farmer!U30)</f>
        <v/>
      </c>
      <c r="V11" s="39" t="str">
        <f aca="false">IF(Data_Farmer!V30="","",Data_Farmer!V30)</f>
        <v/>
      </c>
      <c r="W11" s="39" t="str">
        <f aca="false">IF(Data_Farmer!W30="","",Data_Farmer!W30)</f>
        <v/>
      </c>
      <c r="X11" s="39" t="str">
        <f aca="false">IF(Data_Farmer!X30="","",Data_Farmer!X30)</f>
        <v/>
      </c>
      <c r="Y11" s="39" t="str">
        <f aca="false">IF(Data_Farmer!Y30="","",Data_Farmer!Y30)</f>
        <v/>
      </c>
      <c r="Z11" s="39" t="str">
        <f aca="false">IF(Data_Farmer!Z30="","",Data_Farmer!Z30)</f>
        <v/>
      </c>
      <c r="AA11" s="39" t="str">
        <f aca="false">IF(Data_Farmer!AA30="","",Data_Farmer!AA30)</f>
        <v/>
      </c>
      <c r="AB11" s="39" t="str">
        <f aca="false">IF(Data_Farmer!AB30="","",Data_Farmer!AB30)</f>
        <v/>
      </c>
      <c r="AC11" s="39" t="str">
        <f aca="false">IF(Data_Farmer!AC30="","",Data_Farmer!AC30)</f>
        <v/>
      </c>
      <c r="AD11" s="39" t="str">
        <f aca="false">IF(Data_Farmer!AD30="","",Data_Farmer!AD30)</f>
        <v/>
      </c>
      <c r="AE11" s="39" t="str">
        <f aca="false">IF(Data_Farmer!AE30="","",Data_Farmer!AE30)</f>
        <v/>
      </c>
      <c r="AF11" s="39" t="str">
        <f aca="false">IF(Data_Farmer!AF30="","",Data_Farmer!AF30)</f>
        <v/>
      </c>
      <c r="AG11" s="39" t="str">
        <f aca="false">IF(Data_Farmer!AG30="","",Data_Farmer!AG30)</f>
        <v/>
      </c>
      <c r="AH11" s="39" t="str">
        <f aca="false">IF(Data_Farmer!AH30="","",Data_Farmer!AH30)</f>
        <v/>
      </c>
      <c r="AI11" s="39" t="str">
        <f aca="false">IF(Data_Farmer!AI30="","",Data_Farmer!AI30)</f>
        <v/>
      </c>
      <c r="AJ11" s="39" t="str">
        <f aca="false">IF(Data_Farmer!AJ30="","",Data_Farmer!AJ30)</f>
        <v/>
      </c>
      <c r="AK11" s="39" t="str">
        <f aca="false">IF(Data_Farmer!AK30="","",Data_Farmer!AK30)</f>
        <v/>
      </c>
      <c r="AL11" s="39" t="str">
        <f aca="false">IF(Data_Farmer!AL30="","",Data_Farmer!AL30)</f>
        <v/>
      </c>
      <c r="AM11" s="39" t="str">
        <f aca="false">IF(Data_Farmer!AM30="","",Data_Farmer!AM30)</f>
        <v/>
      </c>
      <c r="AN11" s="39" t="str">
        <f aca="false">IF(Data_Farmer!AN30="","",Data_Farmer!AN30)</f>
        <v/>
      </c>
      <c r="AO11" s="39" t="str">
        <f aca="false">IF(Data_Farmer!AO30="","",Data_Farmer!AO30)</f>
        <v/>
      </c>
      <c r="AP11" s="39" t="str">
        <f aca="false">IF(Data_Farmer!AP30="","",Data_Farmer!AP30)</f>
        <v/>
      </c>
      <c r="AQ11" s="39" t="str">
        <f aca="false">IF(Data_Farmer!AQ30="","",Data_Farmer!AQ30)</f>
        <v/>
      </c>
      <c r="AR11" s="39" t="str">
        <f aca="false">IF(Data_Farmer!AR30="","",Data_Farmer!AR30)</f>
        <v/>
      </c>
      <c r="AS11" s="39" t="str">
        <f aca="false">IF(Data_Farmer!AS30="","",Data_Farmer!AS30)</f>
        <v/>
      </c>
      <c r="AT11" s="39" t="str">
        <f aca="false">IF(Data_Farmer!AT30="","",Data_Farmer!AT30)</f>
        <v/>
      </c>
      <c r="AU11" s="39" t="str">
        <f aca="false">IF(Data_Farmer!AU30="","",Data_Farmer!AU30)</f>
        <v/>
      </c>
      <c r="AV11" s="39" t="str">
        <f aca="false">IF(Data_Farmer!AV30="","",Data_Farmer!AV30)</f>
        <v/>
      </c>
      <c r="AW11" s="39" t="str">
        <f aca="false">IF(Data_Farmer!AW30="","",Data_Farmer!AW30)</f>
        <v/>
      </c>
      <c r="AX11" s="39" t="str">
        <f aca="false">IF(Data_Farmer!AX30="","",Data_Farmer!AX30)</f>
        <v/>
      </c>
      <c r="AY11" s="39" t="str">
        <f aca="false">IF(Data_Farmer!AY30="","",Data_Farmer!AY30)</f>
        <v/>
      </c>
      <c r="AZ11" s="39" t="str">
        <f aca="false">IF(Data_Farmer!AZ30="","",Data_Farmer!AZ30)</f>
        <v/>
      </c>
      <c r="BA11" s="39" t="str">
        <f aca="false">IF(Data_Farmer!BA30="","",Data_Farmer!BA30)</f>
        <v/>
      </c>
      <c r="BB11" s="39" t="str">
        <f aca="false">IF(Data_Farmer!BB30="","",Data_Farmer!BB30)</f>
        <v/>
      </c>
      <c r="BC11" s="39" t="str">
        <f aca="false">IF(Data_Farmer!BC30="","",Data_Farmer!BC30)</f>
        <v/>
      </c>
      <c r="BD11" s="39" t="str">
        <f aca="false">IF(Data_Farmer!BD30="","",Data_Farmer!BD30)</f>
        <v/>
      </c>
      <c r="BE11" s="39" t="str">
        <f aca="false">IF(Data_Farmer!BE30="","",Data_Farmer!BE30)</f>
        <v/>
      </c>
      <c r="BF11" s="39" t="str">
        <f aca="false">IF(Data_Farmer!BF30="","",Data_Farmer!BF30)</f>
        <v/>
      </c>
      <c r="BG11" s="39" t="str">
        <f aca="false">IF(Data_Farmer!BG30="","",Data_Farmer!BG30)</f>
        <v/>
      </c>
      <c r="BH11" s="39" t="str">
        <f aca="false">IF(Data_Farmer!BH30="","",Data_Farmer!BH30)</f>
        <v/>
      </c>
      <c r="BI11" s="39" t="str">
        <f aca="false">IF(Data_Farmer!BI30="","",Data_Farmer!BI30)</f>
        <v/>
      </c>
      <c r="BJ11" s="39" t="str">
        <f aca="false">IF(Data_Farmer!BJ30="","",Data_Farmer!BJ30)</f>
        <v/>
      </c>
      <c r="BK11" s="39" t="str">
        <f aca="false">IF(Data_Farmer!BK30="","",Data_Farmer!BK30)</f>
        <v/>
      </c>
      <c r="BL11" s="39" t="str">
        <f aca="false">IF(Data_Farmer!BL30="","",Data_Farmer!BL30)</f>
        <v/>
      </c>
      <c r="BM11" s="39" t="str">
        <f aca="false">IF(Data_Farmer!BM30="","",Data_Farmer!BM30)</f>
        <v/>
      </c>
      <c r="BN11" s="39" t="str">
        <f aca="false">IF(Data_Farmer!BN30="","",Data_Farmer!BN30)</f>
        <v/>
      </c>
      <c r="BO11" s="39" t="str">
        <f aca="false">IF(Data_Farmer!BO30="","",Data_Farmer!BO30)</f>
        <v/>
      </c>
      <c r="BP11" s="39" t="str">
        <f aca="false">IF(Data_Farmer!BP30="","",Data_Farmer!BP30)</f>
        <v/>
      </c>
      <c r="BQ11" s="39" t="str">
        <f aca="false">IF(Data_Farmer!BQ30="","",Data_Farmer!BQ30)</f>
        <v/>
      </c>
      <c r="BR11" s="39" t="str">
        <f aca="false">IF(Data_Farmer!BR30="","",Data_Farmer!BR30)</f>
        <v/>
      </c>
      <c r="BS11" s="39" t="str">
        <f aca="false">IF(Data_Farmer!BS30="","",Data_Farmer!BS30)</f>
        <v/>
      </c>
      <c r="BT11" s="39" t="str">
        <f aca="false">IF(Data_Farmer!BT30="","",Data_Farmer!BT30)</f>
        <v/>
      </c>
      <c r="BU11" s="39" t="str">
        <f aca="false">IF(Data_Farmer!BU30="","",Data_Farmer!BU30)</f>
        <v/>
      </c>
      <c r="BV11" s="39" t="str">
        <f aca="false">IF(Data_Farmer!BV30="","",Data_Farmer!BV30)</f>
        <v/>
      </c>
      <c r="BW11" s="39" t="str">
        <f aca="false">IF(Data_Farmer!BW30="","",Data_Farmer!BW30)</f>
        <v/>
      </c>
      <c r="BX11" s="39" t="str">
        <f aca="false">IF(Data_Farmer!BX30="","",Data_Farmer!BX30)</f>
        <v/>
      </c>
      <c r="BY11" s="39" t="str">
        <f aca="false">IF(Data_Farmer!BY30="","",Data_Farmer!BY30)</f>
        <v/>
      </c>
      <c r="BZ11" s="39" t="str">
        <f aca="false">IF(Data_Farmer!BZ30="","",Data_Farmer!BZ30)</f>
        <v/>
      </c>
      <c r="CA11" s="39" t="str">
        <f aca="false">IF(Data_Farmer!CA30="","",Data_Farmer!CA30)</f>
        <v/>
      </c>
      <c r="CB11" s="39" t="str">
        <f aca="false">IF(Data_Farmer!CB30="","",Data_Farmer!CB30)</f>
        <v/>
      </c>
      <c r="CC11" s="39" t="str">
        <f aca="false">IF(Data_Farmer!CC30="","",Data_Farmer!CC30)</f>
        <v/>
      </c>
      <c r="CD11" s="39" t="str">
        <f aca="false">IF(Data_Farmer!CD30="","",Data_Farmer!CD30)</f>
        <v/>
      </c>
      <c r="CE11" s="39" t="str">
        <f aca="false">IF(Data_Farmer!CE30="","",Data_Farmer!CE30)</f>
        <v/>
      </c>
      <c r="CF11" s="39" t="str">
        <f aca="false">IF(Data_Farmer!CF30="","",Data_Farmer!CF30)</f>
        <v/>
      </c>
      <c r="CG11" s="39" t="str">
        <f aca="false">IF(Data_Farmer!CG30="","",Data_Farmer!CG30)</f>
        <v/>
      </c>
      <c r="CH11" s="39" t="str">
        <f aca="false">IF(Data_Farmer!CH30="","",Data_Farmer!CH30)</f>
        <v/>
      </c>
      <c r="CI11" s="39" t="str">
        <f aca="false">IF(Data_Farmer!CI30="","",Data_Farmer!CI30)</f>
        <v/>
      </c>
      <c r="CJ11" s="39" t="str">
        <f aca="false">IF(Data_Farmer!CJ30="","",Data_Farmer!CJ30)</f>
        <v/>
      </c>
      <c r="CK11" s="39" t="str">
        <f aca="false">IF(Data_Farmer!CK30="","",Data_Farmer!CK30)</f>
        <v/>
      </c>
      <c r="CL11" s="39" t="str">
        <f aca="false">IF(Data_Farmer!CL30="","",Data_Farmer!CL30)</f>
        <v/>
      </c>
      <c r="CM11" s="39" t="str">
        <f aca="false">IF(Data_Farmer!CM30="","",Data_Farmer!CM30)</f>
        <v/>
      </c>
      <c r="CN11" s="39" t="str">
        <f aca="false">IF(Data_Farmer!CN30="","",Data_Farmer!CN30)</f>
        <v/>
      </c>
      <c r="CO11" s="39" t="str">
        <f aca="false">IF(Data_Farmer!CO30="","",Data_Farmer!CO30)</f>
        <v/>
      </c>
      <c r="CP11" s="39" t="str">
        <f aca="false">IF(Data_Farmer!CP30="","",Data_Farmer!CP30)</f>
        <v/>
      </c>
      <c r="CQ11" s="39" t="str">
        <f aca="false">IF(Data_Farmer!CQ30="","",Data_Farmer!CQ30)</f>
        <v/>
      </c>
      <c r="CR11" s="39" t="str">
        <f aca="false">IF(Data_Farmer!CR30="","",Data_Farmer!CR30)</f>
        <v>WL jump &gt;5 cm; </v>
      </c>
      <c r="CS11" s="39" t="str">
        <f aca="false">IF(Data_Farmer!CS30="","",Data_Farmer!CS30)</f>
        <v/>
      </c>
      <c r="CT11" s="39" t="str">
        <f aca="false">IF(Data_Farmer!CT30="","",Data_Farmer!CT30)</f>
        <v/>
      </c>
      <c r="CU11" s="39" t="str">
        <f aca="false">IF(Data_Farmer!CU30="","",Data_Farmer!CU30)</f>
        <v/>
      </c>
      <c r="CV11" s="39" t="str">
        <f aca="false">IF(Data_Farmer!CV30="","",Data_Farmer!CV30)</f>
        <v/>
      </c>
      <c r="CW11" s="39" t="str">
        <f aca="false">IF(Data_Farmer!CW30="","",Data_Farmer!CW30)</f>
        <v/>
      </c>
      <c r="CX11" s="39" t="str">
        <f aca="false">IF(Data_Farmer!CX30="","",Data_Farmer!CX30)</f>
        <v/>
      </c>
      <c r="CY11" s="39" t="str">
        <f aca="false">IF(Data_Farmer!CY30="","",Data_Farmer!CY30)</f>
        <v/>
      </c>
      <c r="CZ11" s="39" t="str">
        <f aca="false">IF(Data_Farmer!CZ30="","",Data_Farmer!CZ30)</f>
        <v/>
      </c>
      <c r="DA11" s="39" t="str">
        <f aca="false">IF(Data_Farmer!DA30="","",Data_Farmer!DA30)</f>
        <v/>
      </c>
      <c r="DB11" s="39" t="str">
        <f aca="false">IF(Data_Farmer!DB30="","",Data_Farmer!DB30)</f>
        <v/>
      </c>
      <c r="DC11" s="39" t="str">
        <f aca="false">IF(Data_Farmer!DC30="","",Data_Farmer!DC30)</f>
        <v/>
      </c>
      <c r="DD11" s="39" t="str">
        <f aca="false">IF(Data_Farmer!DD30="","",Data_Farmer!DD30)</f>
        <v/>
      </c>
      <c r="DE11" s="39" t="str">
        <f aca="false">IF(Data_Farmer!DE30="","",Data_Farmer!DE30)</f>
        <v/>
      </c>
      <c r="DF11" s="39" t="str">
        <f aca="false">IF(Data_Farmer!DF30="","",Data_Farmer!DF30)</f>
        <v/>
      </c>
      <c r="DG11" s="39" t="str">
        <f aca="false">IF(Data_Farmer!DG30="","",Data_Farmer!DG30)</f>
        <v/>
      </c>
      <c r="DH11" s="39" t="str">
        <f aca="false">IF(Data_Farmer!DH30="","",Data_Farmer!DH30)</f>
        <v/>
      </c>
      <c r="DI11" s="39" t="str">
        <f aca="false">IF(Data_Farmer!DI30="","",Data_Farmer!DI30)</f>
        <v/>
      </c>
      <c r="DJ11" s="39" t="str">
        <f aca="false">IF(Data_Farmer!DJ30="","",Data_Farmer!DJ30)</f>
        <v/>
      </c>
      <c r="DK11" s="39" t="str">
        <f aca="false">IF(Data_Farmer!DK30="","",Data_Farmer!DK30)</f>
        <v/>
      </c>
      <c r="DL11" s="39" t="str">
        <f aca="false">IF(Data_Farmer!DL30="","",Data_Farmer!DL30)</f>
        <v/>
      </c>
      <c r="DM11" s="39" t="str">
        <f aca="false">IF(Data_Farmer!DM30="","",Data_Farmer!DM30)</f>
        <v/>
      </c>
      <c r="DN11" s="39" t="str">
        <f aca="false">IF(Data_Farmer!DN30="","",Data_Farmer!DN30)</f>
        <v/>
      </c>
      <c r="DO11" s="39" t="str">
        <f aca="false">IF(Data_Farmer!DO30="","",Data_Farmer!DO30)</f>
        <v/>
      </c>
      <c r="DP11" s="39" t="str">
        <f aca="false">IF(Data_Farmer!DP30="","",Data_Farmer!DP30)</f>
        <v/>
      </c>
      <c r="DQ11" s="39" t="str">
        <f aca="false">IF(Data_Farmer!DQ30="","",Data_Farmer!DQ30)</f>
        <v/>
      </c>
      <c r="DR11" s="39" t="str">
        <f aca="false">IF(Data_Farmer!DR30="","",Data_Farmer!DR30)</f>
        <v/>
      </c>
      <c r="DS11" s="39" t="str">
        <f aca="false">IF(Data_Farmer!DS30="","",Data_Farmer!DS30)</f>
        <v/>
      </c>
      <c r="DT11" s="39" t="str">
        <f aca="false">IF(Data_Farmer!DT30="","",Data_Farmer!DT30)</f>
        <v/>
      </c>
      <c r="DU11" s="39" t="str">
        <f aca="false">IF(Data_Farmer!DU30="","",Data_Farmer!DU30)</f>
        <v/>
      </c>
      <c r="DV11" s="39" t="str">
        <f aca="false">IF(Data_Farmer!DV30="","",Data_Farmer!DV30)</f>
        <v/>
      </c>
      <c r="DW11" s="39" t="str">
        <f aca="false">IF(Data_Farmer!DW30="","",Data_Farmer!DW30)</f>
        <v/>
      </c>
      <c r="DX11" s="39" t="str">
        <f aca="false">IF(Data_Farmer!DX30="","",Data_Farmer!DX30)</f>
        <v/>
      </c>
      <c r="DY11" s="39" t="str">
        <f aca="false">IF(Data_Farmer!DY30="","",Data_Farmer!DY30)</f>
        <v/>
      </c>
      <c r="DZ11" s="39" t="str">
        <f aca="false">IF(Data_Farmer!DZ30="","",Data_Farmer!DZ30)</f>
        <v/>
      </c>
      <c r="EA11" s="39" t="str">
        <f aca="false">IF(Data_Farmer!EA30="","",Data_Farmer!EA30)</f>
        <v/>
      </c>
      <c r="EB11" s="39" t="str">
        <f aca="false">IF(Data_Farmer!EB30="","",Data_Farmer!EB30)</f>
        <v/>
      </c>
      <c r="EC11" s="39" t="str">
        <f aca="false">IF(Data_Farmer!EC30="","",Data_Farmer!EC30)</f>
        <v/>
      </c>
      <c r="ED11" s="39" t="str">
        <f aca="false">IF(Data_Farmer!ED30="","",Data_Farmer!ED30)</f>
        <v/>
      </c>
      <c r="EE11" s="39" t="str">
        <f aca="false">IF(Data_Farmer!EE30="","",Data_Farmer!EE30)</f>
        <v/>
      </c>
      <c r="EF11" s="39" t="str">
        <f aca="false">IF(Data_Farmer!EF30="","",Data_Farmer!EF30)</f>
        <v/>
      </c>
      <c r="EG11" s="39" t="str">
        <f aca="false">IF(Data_Farmer!EG30="","",Data_Farmer!EG30)</f>
        <v/>
      </c>
      <c r="EH11" s="39" t="str">
        <f aca="false">IF(Data_Farmer!EH30="","",Data_Farmer!EH30)</f>
        <v/>
      </c>
      <c r="EI11" s="39" t="str">
        <f aca="false">IF(Data_Farmer!EI30="","",Data_Farmer!EI30)</f>
        <v/>
      </c>
      <c r="EJ11" s="39" t="str">
        <f aca="false">IF(Data_Farmer!EJ30="","",Data_Farmer!EJ30)</f>
        <v/>
      </c>
      <c r="EK11" s="39" t="str">
        <f aca="false">IF(Data_Farmer!EK30="","",Data_Farmer!EK30)</f>
        <v/>
      </c>
      <c r="EL11" s="39" t="str">
        <f aca="false">IF(Data_Farmer!EL30="","",Data_Farmer!EL30)</f>
        <v/>
      </c>
      <c r="EM11" s="39" t="str">
        <f aca="false">IF(Data_Farmer!EM30="","",Data_Farmer!EM30)</f>
        <v/>
      </c>
      <c r="EN11" s="39" t="str">
        <f aca="false">IF(Data_Farmer!EN30="","",Data_Farmer!EN30)</f>
        <v/>
      </c>
      <c r="EO11" s="39" t="str">
        <f aca="false">IF(Data_Farmer!EO30="","",Data_Farmer!EO30)</f>
        <v/>
      </c>
      <c r="EP11" s="39" t="str">
        <f aca="false">IF(Data_Farmer!EP30="","",Data_Farmer!EP30)</f>
        <v/>
      </c>
      <c r="EQ11" s="39" t="str">
        <f aca="false">IF(Data_Farmer!EQ30="","",Data_Farmer!EQ30)</f>
        <v/>
      </c>
      <c r="ER11" s="39" t="str">
        <f aca="false">IF(Data_Farmer!ER30="","",Data_Farmer!ER30)</f>
        <v/>
      </c>
      <c r="ES11" s="39" t="str">
        <f aca="false">IF(Data_Farmer!ES30="","",Data_Farmer!ES30)</f>
        <v>WL jump &gt;5 cm; </v>
      </c>
      <c r="ET11" s="39" t="str">
        <f aca="false">IF(Data_Farmer!ET30="","",Data_Farmer!ET30)</f>
        <v>WL jump &gt;5 cm; </v>
      </c>
      <c r="EU11" s="39" t="str">
        <f aca="false">IF(Data_Farmer!EU30="","",Data_Farmer!EU30)</f>
        <v/>
      </c>
      <c r="EV11" s="39" t="str">
        <f aca="false">IF(Data_Farmer!EV30="","",Data_Farmer!EV30)</f>
        <v/>
      </c>
      <c r="EW11" s="39" t="str">
        <f aca="false">IF(Data_Farmer!EW30="","",Data_Farmer!EW30)</f>
        <v/>
      </c>
      <c r="EX11" s="39" t="str">
        <f aca="false">IF(Data_Farmer!EX30="","",Data_Farmer!EX30)</f>
        <v/>
      </c>
      <c r="EY11" s="39" t="str">
        <f aca="false">IF(Data_Farmer!EY30="","",Data_Farmer!EY30)</f>
        <v/>
      </c>
      <c r="EZ11" s="39" t="str">
        <f aca="false">IF(Data_Farmer!EZ30="","",Data_Farmer!EZ30)</f>
        <v/>
      </c>
      <c r="FA11" s="39" t="str">
        <f aca="false">IF(Data_Farmer!FA30="","",Data_Farmer!FA30)</f>
        <v/>
      </c>
      <c r="FB11" s="39" t="str">
        <f aca="false">IF(Data_Farmer!FB30="","",Data_Farmer!FB30)</f>
        <v/>
      </c>
      <c r="FC11" s="39" t="str">
        <f aca="false">IF(Data_Farmer!FC30="","",Data_Farmer!FC30)</f>
        <v/>
      </c>
      <c r="FD11" s="39" t="str">
        <f aca="false">IF(Data_Farmer!FD30="","",Data_Farmer!FD30)</f>
        <v/>
      </c>
      <c r="FE11" s="39" t="str">
        <f aca="false">IF(Data_Farmer!FE30="","",Data_Farmer!FE30)</f>
        <v/>
      </c>
      <c r="FF11" s="39" t="str">
        <f aca="false">IF(Data_Farmer!FF30="","",Data_Farmer!FF30)</f>
        <v/>
      </c>
      <c r="FG11" s="39" t="str">
        <f aca="false">IF(Data_Farmer!FG30="","",Data_Farmer!FG30)</f>
        <v/>
      </c>
      <c r="FH11" s="39" t="str">
        <f aca="false">IF(Data_Farmer!FH30="","",Data_Farmer!FH30)</f>
        <v/>
      </c>
      <c r="FI11" s="39" t="str">
        <f aca="false">IF(Data_Farmer!FI30="","",Data_Farmer!FI30)</f>
        <v/>
      </c>
      <c r="FJ11" s="39" t="str">
        <f aca="false">IF(Data_Farmer!FJ30="","",Data_Farmer!FJ30)</f>
        <v/>
      </c>
      <c r="FK11" s="39" t="str">
        <f aca="false">IF(Data_Farmer!FK30="","",Data_Farmer!FK30)</f>
        <v/>
      </c>
      <c r="FL11" s="39" t="str">
        <f aca="false">IF(Data_Farmer!FL30="","",Data_Farmer!FL30)</f>
        <v/>
      </c>
      <c r="FM11" s="39" t="str">
        <f aca="false">IF(Data_Farmer!FM30="","",Data_Farmer!FM30)</f>
        <v/>
      </c>
      <c r="FN11" s="39" t="str">
        <f aca="false">IF(Data_Farmer!FN30="","",Data_Farmer!FN30)</f>
        <v/>
      </c>
      <c r="FO11" s="39" t="str">
        <f aca="false">IF(Data_Farmer!FO30="","",Data_Farmer!FO30)</f>
        <v/>
      </c>
      <c r="FP11" s="39" t="str">
        <f aca="false">IF(Data_Farmer!FP30="","",Data_Farmer!FP30)</f>
        <v/>
      </c>
      <c r="FQ11" s="39" t="str">
        <f aca="false">IF(Data_Farmer!FQ30="","",Data_Farmer!FQ30)</f>
        <v/>
      </c>
    </row>
    <row r="12" customFormat="false" ht="15" hidden="false" customHeight="false" outlineLevel="0" collapsed="false">
      <c r="A12" s="36"/>
      <c r="B12" s="20" t="s">
        <v>168</v>
      </c>
      <c r="C12" s="37" t="s">
        <v>165</v>
      </c>
      <c r="D12" s="39" t="str">
        <f aca="false">IF(Data_Farmer!D55="","",Data_Farmer!D55)</f>
        <v/>
      </c>
      <c r="E12" s="39" t="str">
        <f aca="false">IF(Data_Farmer!E55="","",Data_Farmer!E55)</f>
        <v/>
      </c>
      <c r="F12" s="39" t="str">
        <f aca="false">IF(Data_Farmer!F55="","",Data_Farmer!F55)</f>
        <v/>
      </c>
      <c r="G12" s="39" t="str">
        <f aca="false">IF(Data_Farmer!G55="","",Data_Farmer!G55)</f>
        <v/>
      </c>
      <c r="H12" s="39" t="str">
        <f aca="false">IF(Data_Farmer!H55="","",Data_Farmer!H55)</f>
        <v/>
      </c>
      <c r="I12" s="39" t="str">
        <f aca="false">IF(Data_Farmer!I55="","",Data_Farmer!I55)</f>
        <v/>
      </c>
      <c r="J12" s="39" t="str">
        <f aca="false">IF(Data_Farmer!J55="","",Data_Farmer!J55)</f>
        <v/>
      </c>
      <c r="K12" s="39" t="str">
        <f aca="false">IF(Data_Farmer!K55="","",Data_Farmer!K55)</f>
        <v/>
      </c>
      <c r="L12" s="39" t="str">
        <f aca="false">IF(Data_Farmer!L55="","",Data_Farmer!L55)</f>
        <v/>
      </c>
      <c r="M12" s="39" t="str">
        <f aca="false">IF(Data_Farmer!M55="","",Data_Farmer!M55)</f>
        <v/>
      </c>
      <c r="N12" s="39" t="str">
        <f aca="false">IF(Data_Farmer!N55="","",Data_Farmer!N55)</f>
        <v/>
      </c>
      <c r="O12" s="39" t="str">
        <f aca="false">IF(Data_Farmer!O55="","",Data_Farmer!O55)</f>
        <v/>
      </c>
      <c r="P12" s="39" t="str">
        <f aca="false">IF(Data_Farmer!P55="","",Data_Farmer!P55)</f>
        <v/>
      </c>
      <c r="Q12" s="39" t="str">
        <f aca="false">IF(Data_Farmer!Q55="","",Data_Farmer!Q55)</f>
        <v/>
      </c>
      <c r="R12" s="39" t="str">
        <f aca="false">IF(Data_Farmer!R55="","",Data_Farmer!R55)</f>
        <v/>
      </c>
      <c r="S12" s="39" t="str">
        <f aca="false">IF(Data_Farmer!S55="","",Data_Farmer!S55)</f>
        <v/>
      </c>
      <c r="T12" s="39" t="str">
        <f aca="false">IF(Data_Farmer!T55="","",Data_Farmer!T55)</f>
        <v/>
      </c>
      <c r="U12" s="39" t="str">
        <f aca="false">IF(Data_Farmer!U55="","",Data_Farmer!U55)</f>
        <v/>
      </c>
      <c r="V12" s="39" t="str">
        <f aca="false">IF(Data_Farmer!V55="","",Data_Farmer!V55)</f>
        <v/>
      </c>
      <c r="W12" s="39" t="str">
        <f aca="false">IF(Data_Farmer!W55="","",Data_Farmer!W55)</f>
        <v/>
      </c>
      <c r="X12" s="39" t="str">
        <f aca="false">IF(Data_Farmer!X55="","",Data_Farmer!X55)</f>
        <v/>
      </c>
      <c r="Y12" s="39" t="str">
        <f aca="false">IF(Data_Farmer!Y55="","",Data_Farmer!Y55)</f>
        <v/>
      </c>
      <c r="Z12" s="39" t="str">
        <f aca="false">IF(Data_Farmer!Z55="","",Data_Farmer!Z55)</f>
        <v/>
      </c>
      <c r="AA12" s="39" t="str">
        <f aca="false">IF(Data_Farmer!AA55="","",Data_Farmer!AA55)</f>
        <v/>
      </c>
      <c r="AB12" s="39" t="str">
        <f aca="false">IF(Data_Farmer!AB55="","",Data_Farmer!AB55)</f>
        <v/>
      </c>
      <c r="AC12" s="39" t="str">
        <f aca="false">IF(Data_Farmer!AC55="","",Data_Farmer!AC55)</f>
        <v/>
      </c>
      <c r="AD12" s="39" t="str">
        <f aca="false">IF(Data_Farmer!AD55="","",Data_Farmer!AD55)</f>
        <v/>
      </c>
      <c r="AE12" s="39" t="str">
        <f aca="false">IF(Data_Farmer!AE55="","",Data_Farmer!AE55)</f>
        <v/>
      </c>
      <c r="AF12" s="39" t="str">
        <f aca="false">IF(Data_Farmer!AF55="","",Data_Farmer!AF55)</f>
        <v/>
      </c>
      <c r="AG12" s="39" t="str">
        <f aca="false">IF(Data_Farmer!AG55="","",Data_Farmer!AG55)</f>
        <v/>
      </c>
      <c r="AH12" s="39" t="str">
        <f aca="false">IF(Data_Farmer!AH55="","",Data_Farmer!AH55)</f>
        <v/>
      </c>
      <c r="AI12" s="39" t="str">
        <f aca="false">IF(Data_Farmer!AI55="","",Data_Farmer!AI55)</f>
        <v/>
      </c>
      <c r="AJ12" s="39" t="str">
        <f aca="false">IF(Data_Farmer!AJ55="","",Data_Farmer!AJ55)</f>
        <v/>
      </c>
      <c r="AK12" s="39" t="str">
        <f aca="false">IF(Data_Farmer!AK55="","",Data_Farmer!AK55)</f>
        <v/>
      </c>
      <c r="AL12" s="39" t="str">
        <f aca="false">IF(Data_Farmer!AL55="","",Data_Farmer!AL55)</f>
        <v/>
      </c>
      <c r="AM12" s="39" t="str">
        <f aca="false">IF(Data_Farmer!AM55="","",Data_Farmer!AM55)</f>
        <v/>
      </c>
      <c r="AN12" s="39" t="str">
        <f aca="false">IF(Data_Farmer!AN55="","",Data_Farmer!AN55)</f>
        <v/>
      </c>
      <c r="AO12" s="39" t="str">
        <f aca="false">IF(Data_Farmer!AO55="","",Data_Farmer!AO55)</f>
        <v/>
      </c>
      <c r="AP12" s="39" t="str">
        <f aca="false">IF(Data_Farmer!AP55="","",Data_Farmer!AP55)</f>
        <v/>
      </c>
      <c r="AQ12" s="39" t="str">
        <f aca="false">IF(Data_Farmer!AQ55="","",Data_Farmer!AQ55)</f>
        <v/>
      </c>
      <c r="AR12" s="39" t="str">
        <f aca="false">IF(Data_Farmer!AR55="","",Data_Farmer!AR55)</f>
        <v/>
      </c>
      <c r="AS12" s="39" t="str">
        <f aca="false">IF(Data_Farmer!AS55="","",Data_Farmer!AS55)</f>
        <v/>
      </c>
      <c r="AT12" s="39" t="str">
        <f aca="false">IF(Data_Farmer!AT55="","",Data_Farmer!AT55)</f>
        <v/>
      </c>
      <c r="AU12" s="39" t="str">
        <f aca="false">IF(Data_Farmer!AU55="","",Data_Farmer!AU55)</f>
        <v/>
      </c>
      <c r="AV12" s="39" t="str">
        <f aca="false">IF(Data_Farmer!AV55="","",Data_Farmer!AV55)</f>
        <v/>
      </c>
      <c r="AW12" s="39" t="str">
        <f aca="false">IF(Data_Farmer!AW55="","",Data_Farmer!AW55)</f>
        <v/>
      </c>
      <c r="AX12" s="39" t="str">
        <f aca="false">IF(Data_Farmer!AX55="","",Data_Farmer!AX55)</f>
        <v/>
      </c>
      <c r="AY12" s="39" t="str">
        <f aca="false">IF(Data_Farmer!AY55="","",Data_Farmer!AY55)</f>
        <v/>
      </c>
      <c r="AZ12" s="39" t="str">
        <f aca="false">IF(Data_Farmer!AZ55="","",Data_Farmer!AZ55)</f>
        <v/>
      </c>
      <c r="BA12" s="39" t="str">
        <f aca="false">IF(Data_Farmer!BA55="","",Data_Farmer!BA55)</f>
        <v/>
      </c>
      <c r="BB12" s="39" t="str">
        <f aca="false">IF(Data_Farmer!BB55="","",Data_Farmer!BB55)</f>
        <v/>
      </c>
      <c r="BC12" s="39" t="str">
        <f aca="false">IF(Data_Farmer!BC55="","",Data_Farmer!BC55)</f>
        <v/>
      </c>
      <c r="BD12" s="39" t="str">
        <f aca="false">IF(Data_Farmer!BD55="","",Data_Farmer!BD55)</f>
        <v/>
      </c>
      <c r="BE12" s="39" t="str">
        <f aca="false">IF(Data_Farmer!BE55="","",Data_Farmer!BE55)</f>
        <v/>
      </c>
      <c r="BF12" s="39" t="str">
        <f aca="false">IF(Data_Farmer!BF55="","",Data_Farmer!BF55)</f>
        <v/>
      </c>
      <c r="BG12" s="39" t="str">
        <f aca="false">IF(Data_Farmer!BG55="","",Data_Farmer!BG55)</f>
        <v/>
      </c>
      <c r="BH12" s="39" t="str">
        <f aca="false">IF(Data_Farmer!BH55="","",Data_Farmer!BH55)</f>
        <v/>
      </c>
      <c r="BI12" s="39" t="str">
        <f aca="false">IF(Data_Farmer!BI55="","",Data_Farmer!BI55)</f>
        <v/>
      </c>
      <c r="BJ12" s="39" t="str">
        <f aca="false">IF(Data_Farmer!BJ55="","",Data_Farmer!BJ55)</f>
        <v/>
      </c>
      <c r="BK12" s="39" t="str">
        <f aca="false">IF(Data_Farmer!BK55="","",Data_Farmer!BK55)</f>
        <v/>
      </c>
      <c r="BL12" s="39" t="str">
        <f aca="false">IF(Data_Farmer!BL55="","",Data_Farmer!BL55)</f>
        <v/>
      </c>
      <c r="BM12" s="39" t="str">
        <f aca="false">IF(Data_Farmer!BM55="","",Data_Farmer!BM55)</f>
        <v/>
      </c>
      <c r="BN12" s="39" t="str">
        <f aca="false">IF(Data_Farmer!BN55="","",Data_Farmer!BN55)</f>
        <v/>
      </c>
      <c r="BO12" s="39" t="str">
        <f aca="false">IF(Data_Farmer!BO55="","",Data_Farmer!BO55)</f>
        <v/>
      </c>
      <c r="BP12" s="39" t="str">
        <f aca="false">IF(Data_Farmer!BP55="","",Data_Farmer!BP55)</f>
        <v/>
      </c>
      <c r="BQ12" s="39" t="str">
        <f aca="false">IF(Data_Farmer!BQ55="","",Data_Farmer!BQ55)</f>
        <v/>
      </c>
      <c r="BR12" s="39" t="str">
        <f aca="false">IF(Data_Farmer!BR55="","",Data_Farmer!BR55)</f>
        <v/>
      </c>
      <c r="BS12" s="39" t="str">
        <f aca="false">IF(Data_Farmer!BS55="","",Data_Farmer!BS55)</f>
        <v/>
      </c>
      <c r="BT12" s="39" t="str">
        <f aca="false">IF(Data_Farmer!BT55="","",Data_Farmer!BT55)</f>
        <v/>
      </c>
      <c r="BU12" s="39" t="str">
        <f aca="false">IF(Data_Farmer!BU55="","",Data_Farmer!BU55)</f>
        <v/>
      </c>
      <c r="BV12" s="39" t="str">
        <f aca="false">IF(Data_Farmer!BV55="","",Data_Farmer!BV55)</f>
        <v/>
      </c>
      <c r="BW12" s="39" t="str">
        <f aca="false">IF(Data_Farmer!BW55="","",Data_Farmer!BW55)</f>
        <v/>
      </c>
      <c r="BX12" s="39" t="str">
        <f aca="false">IF(Data_Farmer!BX55="","",Data_Farmer!BX55)</f>
        <v/>
      </c>
      <c r="BY12" s="39" t="str">
        <f aca="false">IF(Data_Farmer!BY55="","",Data_Farmer!BY55)</f>
        <v/>
      </c>
      <c r="BZ12" s="39" t="str">
        <f aca="false">IF(Data_Farmer!BZ55="","",Data_Farmer!BZ55)</f>
        <v/>
      </c>
      <c r="CA12" s="39" t="str">
        <f aca="false">IF(Data_Farmer!CA55="","",Data_Farmer!CA55)</f>
        <v/>
      </c>
      <c r="CB12" s="39" t="str">
        <f aca="false">IF(Data_Farmer!CB55="","",Data_Farmer!CB55)</f>
        <v/>
      </c>
      <c r="CC12" s="39" t="str">
        <f aca="false">IF(Data_Farmer!CC55="","",Data_Farmer!CC55)</f>
        <v/>
      </c>
      <c r="CD12" s="39" t="str">
        <f aca="false">IF(Data_Farmer!CD55="","",Data_Farmer!CD55)</f>
        <v/>
      </c>
      <c r="CE12" s="39" t="str">
        <f aca="false">IF(Data_Farmer!CE55="","",Data_Farmer!CE55)</f>
        <v/>
      </c>
      <c r="CF12" s="39" t="str">
        <f aca="false">IF(Data_Farmer!CF55="","",Data_Farmer!CF55)</f>
        <v/>
      </c>
      <c r="CG12" s="39" t="str">
        <f aca="false">IF(Data_Farmer!CG55="","",Data_Farmer!CG55)</f>
        <v/>
      </c>
      <c r="CH12" s="39" t="str">
        <f aca="false">IF(Data_Farmer!CH55="","",Data_Farmer!CH55)</f>
        <v/>
      </c>
      <c r="CI12" s="39" t="str">
        <f aca="false">IF(Data_Farmer!CI55="","",Data_Farmer!CI55)</f>
        <v/>
      </c>
      <c r="CJ12" s="39" t="str">
        <f aca="false">IF(Data_Farmer!CJ55="","",Data_Farmer!CJ55)</f>
        <v/>
      </c>
      <c r="CK12" s="39" t="str">
        <f aca="false">IF(Data_Farmer!CK55="","",Data_Farmer!CK55)</f>
        <v/>
      </c>
      <c r="CL12" s="39" t="str">
        <f aca="false">IF(Data_Farmer!CL55="","",Data_Farmer!CL55)</f>
        <v/>
      </c>
      <c r="CM12" s="39" t="str">
        <f aca="false">IF(Data_Farmer!CM55="","",Data_Farmer!CM55)</f>
        <v/>
      </c>
      <c r="CN12" s="39" t="str">
        <f aca="false">IF(Data_Farmer!CN55="","",Data_Farmer!CN55)</f>
        <v/>
      </c>
      <c r="CO12" s="39" t="str">
        <f aca="false">IF(Data_Farmer!CO55="","",Data_Farmer!CO55)</f>
        <v/>
      </c>
      <c r="CP12" s="39" t="str">
        <f aca="false">IF(Data_Farmer!CP55="","",Data_Farmer!CP55)</f>
        <v/>
      </c>
      <c r="CQ12" s="39" t="str">
        <f aca="false">IF(Data_Farmer!CQ55="","",Data_Farmer!CQ55)</f>
        <v>WL jump &gt;5 cm; </v>
      </c>
      <c r="CR12" s="39" t="str">
        <f aca="false">IF(Data_Farmer!CR55="","",Data_Farmer!CR55)</f>
        <v/>
      </c>
      <c r="CS12" s="39" t="str">
        <f aca="false">IF(Data_Farmer!CS55="","",Data_Farmer!CS55)</f>
        <v/>
      </c>
      <c r="CT12" s="39" t="str">
        <f aca="false">IF(Data_Farmer!CT55="","",Data_Farmer!CT55)</f>
        <v/>
      </c>
      <c r="CU12" s="39" t="str">
        <f aca="false">IF(Data_Farmer!CU55="","",Data_Farmer!CU55)</f>
        <v/>
      </c>
      <c r="CV12" s="39" t="str">
        <f aca="false">IF(Data_Farmer!CV55="","",Data_Farmer!CV55)</f>
        <v/>
      </c>
      <c r="CW12" s="39" t="str">
        <f aca="false">IF(Data_Farmer!CW55="","",Data_Farmer!CW55)</f>
        <v/>
      </c>
      <c r="CX12" s="39" t="str">
        <f aca="false">IF(Data_Farmer!CX55="","",Data_Farmer!CX55)</f>
        <v/>
      </c>
      <c r="CY12" s="39" t="str">
        <f aca="false">IF(Data_Farmer!CY55="","",Data_Farmer!CY55)</f>
        <v/>
      </c>
      <c r="CZ12" s="39" t="str">
        <f aca="false">IF(Data_Farmer!CZ55="","",Data_Farmer!CZ55)</f>
        <v/>
      </c>
      <c r="DA12" s="39" t="str">
        <f aca="false">IF(Data_Farmer!DA55="","",Data_Farmer!DA55)</f>
        <v/>
      </c>
      <c r="DB12" s="39" t="str">
        <f aca="false">IF(Data_Farmer!DB55="","",Data_Farmer!DB55)</f>
        <v/>
      </c>
      <c r="DC12" s="39" t="str">
        <f aca="false">IF(Data_Farmer!DC55="","",Data_Farmer!DC55)</f>
        <v/>
      </c>
      <c r="DD12" s="39" t="str">
        <f aca="false">IF(Data_Farmer!DD55="","",Data_Farmer!DD55)</f>
        <v/>
      </c>
      <c r="DE12" s="39" t="str">
        <f aca="false">IF(Data_Farmer!DE55="","",Data_Farmer!DE55)</f>
        <v/>
      </c>
      <c r="DF12" s="39" t="str">
        <f aca="false">IF(Data_Farmer!DF55="","",Data_Farmer!DF55)</f>
        <v/>
      </c>
      <c r="DG12" s="39" t="str">
        <f aca="false">IF(Data_Farmer!DG55="","",Data_Farmer!DG55)</f>
        <v/>
      </c>
      <c r="DH12" s="39" t="str">
        <f aca="false">IF(Data_Farmer!DH55="","",Data_Farmer!DH55)</f>
        <v/>
      </c>
      <c r="DI12" s="39" t="str">
        <f aca="false">IF(Data_Farmer!DI55="","",Data_Farmer!DI55)</f>
        <v/>
      </c>
      <c r="DJ12" s="39" t="str">
        <f aca="false">IF(Data_Farmer!DJ55="","",Data_Farmer!DJ55)</f>
        <v/>
      </c>
      <c r="DK12" s="39" t="str">
        <f aca="false">IF(Data_Farmer!DK55="","",Data_Farmer!DK55)</f>
        <v/>
      </c>
      <c r="DL12" s="39" t="str">
        <f aca="false">IF(Data_Farmer!DL55="","",Data_Farmer!DL55)</f>
        <v/>
      </c>
      <c r="DM12" s="39" t="str">
        <f aca="false">IF(Data_Farmer!DM55="","",Data_Farmer!DM55)</f>
        <v/>
      </c>
      <c r="DN12" s="39" t="str">
        <f aca="false">IF(Data_Farmer!DN55="","",Data_Farmer!DN55)</f>
        <v/>
      </c>
      <c r="DO12" s="39" t="str">
        <f aca="false">IF(Data_Farmer!DO55="","",Data_Farmer!DO55)</f>
        <v/>
      </c>
      <c r="DP12" s="39" t="str">
        <f aca="false">IF(Data_Farmer!DP55="","",Data_Farmer!DP55)</f>
        <v/>
      </c>
      <c r="DQ12" s="39" t="str">
        <f aca="false">IF(Data_Farmer!DQ55="","",Data_Farmer!DQ55)</f>
        <v/>
      </c>
      <c r="DR12" s="39" t="str">
        <f aca="false">IF(Data_Farmer!DR55="","",Data_Farmer!DR55)</f>
        <v/>
      </c>
      <c r="DS12" s="39" t="str">
        <f aca="false">IF(Data_Farmer!DS55="","",Data_Farmer!DS55)</f>
        <v/>
      </c>
      <c r="DT12" s="39" t="str">
        <f aca="false">IF(Data_Farmer!DT55="","",Data_Farmer!DT55)</f>
        <v/>
      </c>
      <c r="DU12" s="39" t="str">
        <f aca="false">IF(Data_Farmer!DU55="","",Data_Farmer!DU55)</f>
        <v/>
      </c>
      <c r="DV12" s="39" t="str">
        <f aca="false">IF(Data_Farmer!DV55="","",Data_Farmer!DV55)</f>
        <v/>
      </c>
      <c r="DW12" s="39" t="str">
        <f aca="false">IF(Data_Farmer!DW55="","",Data_Farmer!DW55)</f>
        <v/>
      </c>
      <c r="DX12" s="39" t="str">
        <f aca="false">IF(Data_Farmer!DX55="","",Data_Farmer!DX55)</f>
        <v/>
      </c>
      <c r="DY12" s="39" t="str">
        <f aca="false">IF(Data_Farmer!DY55="","",Data_Farmer!DY55)</f>
        <v/>
      </c>
      <c r="DZ12" s="39" t="str">
        <f aca="false">IF(Data_Farmer!DZ55="","",Data_Farmer!DZ55)</f>
        <v/>
      </c>
      <c r="EA12" s="39" t="str">
        <f aca="false">IF(Data_Farmer!EA55="","",Data_Farmer!EA55)</f>
        <v/>
      </c>
      <c r="EB12" s="39" t="str">
        <f aca="false">IF(Data_Farmer!EB55="","",Data_Farmer!EB55)</f>
        <v/>
      </c>
      <c r="EC12" s="39" t="str">
        <f aca="false">IF(Data_Farmer!EC55="","",Data_Farmer!EC55)</f>
        <v/>
      </c>
      <c r="ED12" s="39" t="str">
        <f aca="false">IF(Data_Farmer!ED55="","",Data_Farmer!ED55)</f>
        <v/>
      </c>
      <c r="EE12" s="39" t="str">
        <f aca="false">IF(Data_Farmer!EE55="","",Data_Farmer!EE55)</f>
        <v/>
      </c>
      <c r="EF12" s="39" t="str">
        <f aca="false">IF(Data_Farmer!EF55="","",Data_Farmer!EF55)</f>
        <v/>
      </c>
      <c r="EG12" s="39" t="str">
        <f aca="false">IF(Data_Farmer!EG55="","",Data_Farmer!EG55)</f>
        <v/>
      </c>
      <c r="EH12" s="39" t="str">
        <f aca="false">IF(Data_Farmer!EH55="","",Data_Farmer!EH55)</f>
        <v>WL jump &gt;5 cm; </v>
      </c>
      <c r="EI12" s="39" t="str">
        <f aca="false">IF(Data_Farmer!EI55="","",Data_Farmer!EI55)</f>
        <v/>
      </c>
      <c r="EJ12" s="39" t="str">
        <f aca="false">IF(Data_Farmer!EJ55="","",Data_Farmer!EJ55)</f>
        <v/>
      </c>
      <c r="EK12" s="39" t="str">
        <f aca="false">IF(Data_Farmer!EK55="","",Data_Farmer!EK55)</f>
        <v/>
      </c>
      <c r="EL12" s="39" t="str">
        <f aca="false">IF(Data_Farmer!EL55="","",Data_Farmer!EL55)</f>
        <v/>
      </c>
      <c r="EM12" s="39" t="str">
        <f aca="false">IF(Data_Farmer!EM55="","",Data_Farmer!EM55)</f>
        <v/>
      </c>
      <c r="EN12" s="39" t="str">
        <f aca="false">IF(Data_Farmer!EN55="","",Data_Farmer!EN55)</f>
        <v/>
      </c>
      <c r="EO12" s="39" t="str">
        <f aca="false">IF(Data_Farmer!EO55="","",Data_Farmer!EO55)</f>
        <v/>
      </c>
      <c r="EP12" s="39" t="str">
        <f aca="false">IF(Data_Farmer!EP55="","",Data_Farmer!EP55)</f>
        <v/>
      </c>
      <c r="EQ12" s="39" t="str">
        <f aca="false">IF(Data_Farmer!EQ55="","",Data_Farmer!EQ55)</f>
        <v>WL jump &gt;5 cm; </v>
      </c>
      <c r="ER12" s="39" t="str">
        <f aca="false">IF(Data_Farmer!ER55="","",Data_Farmer!ER55)</f>
        <v/>
      </c>
      <c r="ES12" s="39" t="str">
        <f aca="false">IF(Data_Farmer!ES55="","",Data_Farmer!ES55)</f>
        <v/>
      </c>
      <c r="ET12" s="39" t="str">
        <f aca="false">IF(Data_Farmer!ET55="","",Data_Farmer!ET55)</f>
        <v/>
      </c>
      <c r="EU12" s="39" t="str">
        <f aca="false">IF(Data_Farmer!EU55="","",Data_Farmer!EU55)</f>
        <v/>
      </c>
      <c r="EV12" s="39" t="str">
        <f aca="false">IF(Data_Farmer!EV55="","",Data_Farmer!EV55)</f>
        <v/>
      </c>
      <c r="EW12" s="39" t="str">
        <f aca="false">IF(Data_Farmer!EW55="","",Data_Farmer!EW55)</f>
        <v/>
      </c>
      <c r="EX12" s="39" t="str">
        <f aca="false">IF(Data_Farmer!EX55="","",Data_Farmer!EX55)</f>
        <v/>
      </c>
      <c r="EY12" s="39" t="str">
        <f aca="false">IF(Data_Farmer!EY55="","",Data_Farmer!EY55)</f>
        <v/>
      </c>
      <c r="EZ12" s="39" t="str">
        <f aca="false">IF(Data_Farmer!EZ55="","",Data_Farmer!EZ55)</f>
        <v/>
      </c>
      <c r="FA12" s="39" t="str">
        <f aca="false">IF(Data_Farmer!FA55="","",Data_Farmer!FA55)</f>
        <v/>
      </c>
      <c r="FB12" s="39" t="str">
        <f aca="false">IF(Data_Farmer!FB55="","",Data_Farmer!FB55)</f>
        <v/>
      </c>
      <c r="FC12" s="39" t="str">
        <f aca="false">IF(Data_Farmer!FC55="","",Data_Farmer!FC55)</f>
        <v/>
      </c>
      <c r="FD12" s="39" t="str">
        <f aca="false">IF(Data_Farmer!FD55="","",Data_Farmer!FD55)</f>
        <v/>
      </c>
      <c r="FE12" s="39" t="str">
        <f aca="false">IF(Data_Farmer!FE55="","",Data_Farmer!FE55)</f>
        <v/>
      </c>
      <c r="FF12" s="39" t="str">
        <f aca="false">IF(Data_Farmer!FF55="","",Data_Farmer!FF55)</f>
        <v/>
      </c>
      <c r="FG12" s="39" t="str">
        <f aca="false">IF(Data_Farmer!FG55="","",Data_Farmer!FG55)</f>
        <v/>
      </c>
      <c r="FH12" s="39" t="str">
        <f aca="false">IF(Data_Farmer!FH55="","",Data_Farmer!FH55)</f>
        <v/>
      </c>
      <c r="FI12" s="39" t="str">
        <f aca="false">IF(Data_Farmer!FI55="","",Data_Farmer!FI55)</f>
        <v/>
      </c>
      <c r="FJ12" s="39" t="str">
        <f aca="false">IF(Data_Farmer!FJ55="","",Data_Farmer!FJ55)</f>
        <v/>
      </c>
      <c r="FK12" s="39" t="str">
        <f aca="false">IF(Data_Farmer!FK55="","",Data_Farmer!FK55)</f>
        <v/>
      </c>
      <c r="FL12" s="39" t="str">
        <f aca="false">IF(Data_Farmer!FL55="","",Data_Farmer!FL55)</f>
        <v/>
      </c>
      <c r="FM12" s="39" t="str">
        <f aca="false">IF(Data_Farmer!FM55="","",Data_Farmer!FM55)</f>
        <v/>
      </c>
      <c r="FN12" s="39" t="str">
        <f aca="false">IF(Data_Farmer!FN55="","",Data_Farmer!FN55)</f>
        <v/>
      </c>
      <c r="FO12" s="39" t="str">
        <f aca="false">IF(Data_Farmer!FO55="","",Data_Farmer!FO55)</f>
        <v/>
      </c>
      <c r="FP12" s="39" t="str">
        <f aca="false">IF(Data_Farmer!FP55="","",Data_Farmer!FP55)</f>
        <v/>
      </c>
      <c r="FQ12" s="39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3" t="s">
        <v>169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4"/>
      <c r="B15" s="17" t="s">
        <v>170</v>
      </c>
      <c r="C15" s="35" t="s">
        <v>171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4"/>
      <c r="B16" s="17" t="s">
        <v>172</v>
      </c>
      <c r="C16" s="35" t="s">
        <v>171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4"/>
      <c r="B17" s="17" t="s">
        <v>173</v>
      </c>
      <c r="C17" s="35" t="s">
        <v>174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175</v>
      </c>
      <c r="BF17" s="18"/>
      <c r="BG17" s="18" t="s">
        <v>176</v>
      </c>
      <c r="BH17" s="18"/>
      <c r="BI17" s="18"/>
      <c r="BJ17" s="18"/>
      <c r="BK17" s="18" t="s">
        <v>176</v>
      </c>
      <c r="BL17" s="18"/>
      <c r="BM17" s="18"/>
      <c r="BN17" s="18"/>
      <c r="BO17" s="18"/>
      <c r="BP17" s="18" t="s">
        <v>177</v>
      </c>
      <c r="BQ17" s="18"/>
      <c r="BR17" s="18"/>
      <c r="BS17" s="18"/>
      <c r="BT17" s="18"/>
      <c r="BU17" s="18"/>
      <c r="BV17" s="18"/>
      <c r="BW17" s="18" t="s">
        <v>178</v>
      </c>
      <c r="BX17" s="18"/>
      <c r="BY17" s="18"/>
      <c r="BZ17" s="18"/>
      <c r="CA17" s="18"/>
      <c r="CB17" s="18"/>
      <c r="CC17" s="18"/>
      <c r="CD17" s="18" t="s">
        <v>179</v>
      </c>
      <c r="CE17" s="18"/>
      <c r="CF17" s="18"/>
      <c r="CG17" s="18"/>
      <c r="CH17" s="18" t="s">
        <v>176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177</v>
      </c>
      <c r="CX17" s="18"/>
      <c r="CY17" s="18"/>
      <c r="CZ17" s="18" t="s">
        <v>177</v>
      </c>
      <c r="DA17" s="18"/>
      <c r="DB17" s="18"/>
      <c r="DC17" s="18" t="s">
        <v>176</v>
      </c>
      <c r="DD17" s="18"/>
      <c r="DE17" s="18"/>
      <c r="DF17" s="18"/>
      <c r="DG17" s="18"/>
      <c r="DH17" s="18"/>
      <c r="DI17" s="18" t="s">
        <v>178</v>
      </c>
      <c r="DJ17" s="18" t="s">
        <v>178</v>
      </c>
      <c r="DK17" s="18"/>
      <c r="DL17" s="18"/>
      <c r="DM17" s="18" t="s">
        <v>180</v>
      </c>
      <c r="DN17" s="18"/>
      <c r="DO17" s="18" t="s">
        <v>178</v>
      </c>
      <c r="DP17" s="18"/>
      <c r="DQ17" s="18"/>
      <c r="DR17" s="18" t="s">
        <v>178</v>
      </c>
      <c r="DS17" s="18"/>
      <c r="DT17" s="18" t="s">
        <v>177</v>
      </c>
      <c r="DU17" s="18"/>
      <c r="DV17" s="18"/>
      <c r="DW17" s="18" t="s">
        <v>178</v>
      </c>
      <c r="DX17" s="18"/>
      <c r="DY17" s="18"/>
      <c r="DZ17" s="18"/>
      <c r="EA17" s="18" t="s">
        <v>178</v>
      </c>
      <c r="EB17" s="18"/>
      <c r="EC17" s="18"/>
      <c r="ED17" s="18"/>
      <c r="EE17" s="18"/>
      <c r="EF17" s="18"/>
      <c r="EG17" s="18"/>
      <c r="EH17" s="18" t="s">
        <v>179</v>
      </c>
      <c r="EI17" s="18"/>
      <c r="EJ17" s="18" t="s">
        <v>179</v>
      </c>
      <c r="EK17" s="18"/>
      <c r="EL17" s="18"/>
      <c r="EM17" s="18"/>
      <c r="EN17" s="18"/>
      <c r="EO17" s="18"/>
      <c r="EP17" s="18" t="s">
        <v>178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6"/>
      <c r="B18" s="20" t="s">
        <v>181</v>
      </c>
      <c r="C18" s="37" t="s">
        <v>171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6"/>
      <c r="B19" s="20" t="s">
        <v>182</v>
      </c>
      <c r="C19" s="37" t="s">
        <v>171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6"/>
      <c r="B20" s="20" t="s">
        <v>183</v>
      </c>
      <c r="C20" s="37" t="s">
        <v>174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175</v>
      </c>
      <c r="BF20" s="18"/>
      <c r="BG20" s="18" t="s">
        <v>176</v>
      </c>
      <c r="BH20" s="18"/>
      <c r="BI20" s="18"/>
      <c r="BJ20" s="18"/>
      <c r="BK20" s="18" t="s">
        <v>176</v>
      </c>
      <c r="BL20" s="18"/>
      <c r="BM20" s="18"/>
      <c r="BN20" s="18"/>
      <c r="BO20" s="18"/>
      <c r="BP20" s="18" t="s">
        <v>177</v>
      </c>
      <c r="BQ20" s="18"/>
      <c r="BR20" s="18"/>
      <c r="BS20" s="18"/>
      <c r="BT20" s="18"/>
      <c r="BU20" s="18"/>
      <c r="BV20" s="18"/>
      <c r="BW20" s="18" t="s">
        <v>178</v>
      </c>
      <c r="BX20" s="18"/>
      <c r="BY20" s="18"/>
      <c r="BZ20" s="18"/>
      <c r="CA20" s="18"/>
      <c r="CB20" s="18"/>
      <c r="CC20" s="18"/>
      <c r="CD20" s="18" t="s">
        <v>179</v>
      </c>
      <c r="CE20" s="18"/>
      <c r="CF20" s="18"/>
      <c r="CG20" s="18"/>
      <c r="CH20" s="18" t="s">
        <v>176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177</v>
      </c>
      <c r="CX20" s="18"/>
      <c r="CY20" s="18"/>
      <c r="CZ20" s="18" t="s">
        <v>177</v>
      </c>
      <c r="DA20" s="18"/>
      <c r="DB20" s="18"/>
      <c r="DC20" s="18" t="s">
        <v>176</v>
      </c>
      <c r="DD20" s="18"/>
      <c r="DE20" s="18"/>
      <c r="DF20" s="18"/>
      <c r="DG20" s="18" t="s">
        <v>178</v>
      </c>
      <c r="DH20" s="18"/>
      <c r="DI20" s="18"/>
      <c r="DJ20" s="18"/>
      <c r="DK20" s="18"/>
      <c r="DL20" s="18"/>
      <c r="DM20" s="18"/>
      <c r="DN20" s="18" t="s">
        <v>178</v>
      </c>
      <c r="DO20" s="18"/>
      <c r="DP20" s="18"/>
      <c r="DQ20" s="18"/>
      <c r="DR20" s="18"/>
      <c r="DS20" s="18"/>
      <c r="DT20" s="18"/>
      <c r="DU20" s="18" t="s">
        <v>177</v>
      </c>
      <c r="DV20" s="18"/>
      <c r="DW20" s="18"/>
      <c r="DX20" s="18"/>
      <c r="DY20" s="18"/>
      <c r="DZ20" s="18"/>
      <c r="EA20" s="18"/>
      <c r="EB20" s="18" t="s">
        <v>177</v>
      </c>
      <c r="EC20" s="18"/>
      <c r="ED20" s="18"/>
      <c r="EE20" s="18"/>
      <c r="EF20" s="18"/>
      <c r="EG20" s="18"/>
      <c r="EH20" s="18"/>
      <c r="EI20" s="18"/>
      <c r="EJ20" s="18" t="s">
        <v>184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4"/>
      <c r="B21" s="17" t="s">
        <v>185</v>
      </c>
      <c r="C21" s="35" t="s">
        <v>165</v>
      </c>
      <c r="D21" s="38" t="str">
        <f aca="false">IF(Data_Farmer!D21="","",Data_Farmer!D21)</f>
        <v/>
      </c>
      <c r="E21" s="38" t="str">
        <f aca="false">IF(Data_Farmer!E21="","",Data_Farmer!E21)</f>
        <v/>
      </c>
      <c r="F21" s="38" t="str">
        <f aca="false">IF(Data_Farmer!F21="","",Data_Farmer!F21)</f>
        <v/>
      </c>
      <c r="G21" s="38" t="str">
        <f aca="false">IF(Data_Farmer!G21="","",Data_Farmer!G21)</f>
        <v/>
      </c>
      <c r="H21" s="38" t="str">
        <f aca="false">IF(Data_Farmer!H21="","",Data_Farmer!H21)</f>
        <v/>
      </c>
      <c r="I21" s="38" t="str">
        <f aca="false">IF(Data_Farmer!I21="","",Data_Farmer!I21)</f>
        <v/>
      </c>
      <c r="J21" s="38" t="str">
        <f aca="false">IF(Data_Farmer!J21="","",Data_Farmer!J21)</f>
        <v/>
      </c>
      <c r="K21" s="38" t="str">
        <f aca="false">IF(Data_Farmer!K21="","",Data_Farmer!K21)</f>
        <v/>
      </c>
      <c r="L21" s="38" t="str">
        <f aca="false">IF(Data_Farmer!L21="","",Data_Farmer!L21)</f>
        <v/>
      </c>
      <c r="M21" s="38" t="str">
        <f aca="false">IF(Data_Farmer!M21="","",Data_Farmer!M21)</f>
        <v/>
      </c>
      <c r="N21" s="38" t="str">
        <f aca="false">IF(Data_Farmer!N21="","",Data_Farmer!N21)</f>
        <v/>
      </c>
      <c r="O21" s="38" t="str">
        <f aca="false">IF(Data_Farmer!O21="","",Data_Farmer!O21)</f>
        <v/>
      </c>
      <c r="P21" s="38" t="str">
        <f aca="false">IF(Data_Farmer!P21="","",Data_Farmer!P21)</f>
        <v/>
      </c>
      <c r="Q21" s="38" t="str">
        <f aca="false">IF(Data_Farmer!Q21="","",Data_Farmer!Q21)</f>
        <v/>
      </c>
      <c r="R21" s="38" t="str">
        <f aca="false">IF(Data_Farmer!R21="","",Data_Farmer!R21)</f>
        <v/>
      </c>
      <c r="S21" s="38" t="str">
        <f aca="false">IF(Data_Farmer!S21="","",Data_Farmer!S21)</f>
        <v/>
      </c>
      <c r="T21" s="38" t="str">
        <f aca="false">IF(Data_Farmer!T21="","",Data_Farmer!T21)</f>
        <v/>
      </c>
      <c r="U21" s="38" t="str">
        <f aca="false">IF(Data_Farmer!U21="","",Data_Farmer!U21)</f>
        <v/>
      </c>
      <c r="V21" s="38" t="str">
        <f aca="false">IF(Data_Farmer!V21="","",Data_Farmer!V21)</f>
        <v/>
      </c>
      <c r="W21" s="38" t="str">
        <f aca="false">IF(Data_Farmer!W21="","",Data_Farmer!W21)</f>
        <v/>
      </c>
      <c r="X21" s="38" t="str">
        <f aca="false">IF(Data_Farmer!X21="","",Data_Farmer!X21)</f>
        <v/>
      </c>
      <c r="Y21" s="38" t="str">
        <f aca="false">IF(Data_Farmer!Y21="","",Data_Farmer!Y21)</f>
        <v/>
      </c>
      <c r="Z21" s="38" t="str">
        <f aca="false">IF(Data_Farmer!Z21="","",Data_Farmer!Z21)</f>
        <v/>
      </c>
      <c r="AA21" s="38" t="str">
        <f aca="false">IF(Data_Farmer!AA21="","",Data_Farmer!AA21)</f>
        <v/>
      </c>
      <c r="AB21" s="38" t="str">
        <f aca="false">IF(Data_Farmer!AB21="","",Data_Farmer!AB21)</f>
        <v/>
      </c>
      <c r="AC21" s="38" t="str">
        <f aca="false">IF(Data_Farmer!AC21="","",Data_Farmer!AC21)</f>
        <v/>
      </c>
      <c r="AD21" s="38" t="str">
        <f aca="false">IF(Data_Farmer!AD21="","",Data_Farmer!AD21)</f>
        <v/>
      </c>
      <c r="AE21" s="38" t="str">
        <f aca="false">IF(Data_Farmer!AE21="","",Data_Farmer!AE21)</f>
        <v/>
      </c>
      <c r="AF21" s="38" t="str">
        <f aca="false">IF(Data_Farmer!AF21="","",Data_Farmer!AF21)</f>
        <v/>
      </c>
      <c r="AG21" s="38" t="str">
        <f aca="false">IF(Data_Farmer!AG21="","",Data_Farmer!AG21)</f>
        <v/>
      </c>
      <c r="AH21" s="38" t="str">
        <f aca="false">IF(Data_Farmer!AH21="","",Data_Farmer!AH21)</f>
        <v/>
      </c>
      <c r="AI21" s="38" t="str">
        <f aca="false">IF(Data_Farmer!AI21="","",Data_Farmer!AI21)</f>
        <v/>
      </c>
      <c r="AJ21" s="38" t="str">
        <f aca="false">IF(Data_Farmer!AJ21="","",Data_Farmer!AJ21)</f>
        <v/>
      </c>
      <c r="AK21" s="38" t="str">
        <f aca="false">IF(Data_Farmer!AK21="","",Data_Farmer!AK21)</f>
        <v/>
      </c>
      <c r="AL21" s="38" t="str">
        <f aca="false">IF(Data_Farmer!AL21="","",Data_Farmer!AL21)</f>
        <v/>
      </c>
      <c r="AM21" s="38" t="str">
        <f aca="false">IF(Data_Farmer!AM21="","",Data_Farmer!AM21)</f>
        <v/>
      </c>
      <c r="AN21" s="38" t="str">
        <f aca="false">IF(Data_Farmer!AN21="","",Data_Farmer!AN21)</f>
        <v/>
      </c>
      <c r="AO21" s="38" t="str">
        <f aca="false">IF(Data_Farmer!AO21="","",Data_Farmer!AO21)</f>
        <v/>
      </c>
      <c r="AP21" s="38" t="str">
        <f aca="false">IF(Data_Farmer!AP21="","",Data_Farmer!AP21)</f>
        <v/>
      </c>
      <c r="AQ21" s="38" t="str">
        <f aca="false">IF(Data_Farmer!AQ21="","",Data_Farmer!AQ21)</f>
        <v/>
      </c>
      <c r="AR21" s="38" t="str">
        <f aca="false">IF(Data_Farmer!AR21="","",Data_Farmer!AR21)</f>
        <v/>
      </c>
      <c r="AS21" s="38" t="str">
        <f aca="false">IF(Data_Farmer!AS21="","",Data_Farmer!AS21)</f>
        <v/>
      </c>
      <c r="AT21" s="38" t="str">
        <f aca="false">IF(Data_Farmer!AT21="","",Data_Farmer!AT21)</f>
        <v/>
      </c>
      <c r="AU21" s="38" t="str">
        <f aca="false">IF(Data_Farmer!AU21="","",Data_Farmer!AU21)</f>
        <v/>
      </c>
      <c r="AV21" s="38" t="str">
        <f aca="false">IF(Data_Farmer!AV21="","",Data_Farmer!AV21)</f>
        <v/>
      </c>
      <c r="AW21" s="38" t="str">
        <f aca="false">IF(Data_Farmer!AW21="","",Data_Farmer!AW21)</f>
        <v/>
      </c>
      <c r="AX21" s="38" t="str">
        <f aca="false">IF(Data_Farmer!AX21="","",Data_Farmer!AX21)</f>
        <v/>
      </c>
      <c r="AY21" s="38" t="str">
        <f aca="false">IF(Data_Farmer!AY21="","",Data_Farmer!AY21)</f>
        <v/>
      </c>
      <c r="AZ21" s="38" t="str">
        <f aca="false">IF(Data_Farmer!AZ21="","",Data_Farmer!AZ21)</f>
        <v/>
      </c>
      <c r="BA21" s="38" t="str">
        <f aca="false">IF(Data_Farmer!BA21="","",Data_Farmer!BA21)</f>
        <v/>
      </c>
      <c r="BB21" s="38" t="str">
        <f aca="false">IF(Data_Farmer!BB21="","",Data_Farmer!BB21)</f>
        <v/>
      </c>
      <c r="BC21" s="38" t="str">
        <f aca="false">IF(Data_Farmer!BC21="","",Data_Farmer!BC21)</f>
        <v/>
      </c>
      <c r="BD21" s="38" t="str">
        <f aca="false">IF(Data_Farmer!BD21="","",Data_Farmer!BD21)</f>
        <v/>
      </c>
      <c r="BE21" s="38" t="n">
        <f aca="false">IF(Data_Farmer!BE21="","",Data_Farmer!BE21)</f>
        <v>7</v>
      </c>
      <c r="BF21" s="38" t="str">
        <f aca="false">IF(Data_Farmer!BF21="","",Data_Farmer!BF21)</f>
        <v/>
      </c>
      <c r="BG21" s="38" t="n">
        <f aca="false">IF(Data_Farmer!BG21="","",Data_Farmer!BG21)</f>
        <v>25</v>
      </c>
      <c r="BH21" s="38" t="str">
        <f aca="false">IF(Data_Farmer!BH21="","",Data_Farmer!BH21)</f>
        <v/>
      </c>
      <c r="BI21" s="38" t="str">
        <f aca="false">IF(Data_Farmer!BI21="","",Data_Farmer!BI21)</f>
        <v/>
      </c>
      <c r="BJ21" s="38" t="str">
        <f aca="false">IF(Data_Farmer!BJ21="","",Data_Farmer!BJ21)</f>
        <v/>
      </c>
      <c r="BK21" s="38" t="n">
        <f aca="false">IF(Data_Farmer!BK21="","",Data_Farmer!BK21)</f>
        <v>19</v>
      </c>
      <c r="BL21" s="38" t="str">
        <f aca="false">IF(Data_Farmer!BL21="","",Data_Farmer!BL21)</f>
        <v/>
      </c>
      <c r="BM21" s="38" t="str">
        <f aca="false">IF(Data_Farmer!BM21="","",Data_Farmer!BM21)</f>
        <v/>
      </c>
      <c r="BN21" s="38" t="str">
        <f aca="false">IF(Data_Farmer!BN21="","",Data_Farmer!BN21)</f>
        <v/>
      </c>
      <c r="BO21" s="38" t="str">
        <f aca="false">IF(Data_Farmer!BO21="","",Data_Farmer!BO21)</f>
        <v/>
      </c>
      <c r="BP21" s="38" t="n">
        <f aca="false">IF(Data_Farmer!BP21="","",Data_Farmer!BP21)</f>
        <v>17</v>
      </c>
      <c r="BQ21" s="38" t="str">
        <f aca="false">IF(Data_Farmer!BQ21="","",Data_Farmer!BQ21)</f>
        <v/>
      </c>
      <c r="BR21" s="38" t="str">
        <f aca="false">IF(Data_Farmer!BR21="","",Data_Farmer!BR21)</f>
        <v/>
      </c>
      <c r="BS21" s="38" t="str">
        <f aca="false">IF(Data_Farmer!BS21="","",Data_Farmer!BS21)</f>
        <v/>
      </c>
      <c r="BT21" s="38" t="str">
        <f aca="false">IF(Data_Farmer!BT21="","",Data_Farmer!BT21)</f>
        <v/>
      </c>
      <c r="BU21" s="38" t="str">
        <f aca="false">IF(Data_Farmer!BU21="","",Data_Farmer!BU21)</f>
        <v/>
      </c>
      <c r="BV21" s="38" t="str">
        <f aca="false">IF(Data_Farmer!BV21="","",Data_Farmer!BV21)</f>
        <v/>
      </c>
      <c r="BW21" s="38" t="n">
        <f aca="false">IF(Data_Farmer!BW21="","",Data_Farmer!BW21)</f>
        <v>28</v>
      </c>
      <c r="BX21" s="38" t="str">
        <f aca="false">IF(Data_Farmer!BX21="","",Data_Farmer!BX21)</f>
        <v/>
      </c>
      <c r="BY21" s="38" t="str">
        <f aca="false">IF(Data_Farmer!BY21="","",Data_Farmer!BY21)</f>
        <v/>
      </c>
      <c r="BZ21" s="38" t="str">
        <f aca="false">IF(Data_Farmer!BZ21="","",Data_Farmer!BZ21)</f>
        <v/>
      </c>
      <c r="CA21" s="38" t="str">
        <f aca="false">IF(Data_Farmer!CA21="","",Data_Farmer!CA21)</f>
        <v/>
      </c>
      <c r="CB21" s="38" t="str">
        <f aca="false">IF(Data_Farmer!CB21="","",Data_Farmer!CB21)</f>
        <v/>
      </c>
      <c r="CC21" s="38" t="str">
        <f aca="false">IF(Data_Farmer!CC21="","",Data_Farmer!CC21)</f>
        <v/>
      </c>
      <c r="CD21" s="38" t="n">
        <f aca="false">IF(Data_Farmer!CD21="","",Data_Farmer!CD21)</f>
        <v>24</v>
      </c>
      <c r="CE21" s="38" t="str">
        <f aca="false">IF(Data_Farmer!CE21="","",Data_Farmer!CE21)</f>
        <v/>
      </c>
      <c r="CF21" s="38" t="str">
        <f aca="false">IF(Data_Farmer!CF21="","",Data_Farmer!CF21)</f>
        <v/>
      </c>
      <c r="CG21" s="38" t="str">
        <f aca="false">IF(Data_Farmer!CG21="","",Data_Farmer!CG21)</f>
        <v/>
      </c>
      <c r="CH21" s="38" t="n">
        <f aca="false">IF(Data_Farmer!CH21="","",Data_Farmer!CH21)</f>
        <v>31</v>
      </c>
      <c r="CI21" s="38" t="str">
        <f aca="false">IF(Data_Farmer!CI21="","",Data_Farmer!CI21)</f>
        <v/>
      </c>
      <c r="CJ21" s="38" t="str">
        <f aca="false">IF(Data_Farmer!CJ21="","",Data_Farmer!CJ21)</f>
        <v/>
      </c>
      <c r="CK21" s="38" t="str">
        <f aca="false">IF(Data_Farmer!CK21="","",Data_Farmer!CK21)</f>
        <v/>
      </c>
      <c r="CL21" s="38" t="str">
        <f aca="false">IF(Data_Farmer!CL21="","",Data_Farmer!CL21)</f>
        <v/>
      </c>
      <c r="CM21" s="38" t="str">
        <f aca="false">IF(Data_Farmer!CM21="","",Data_Farmer!CM21)</f>
        <v/>
      </c>
      <c r="CN21" s="38" t="str">
        <f aca="false">IF(Data_Farmer!CN21="","",Data_Farmer!CN21)</f>
        <v/>
      </c>
      <c r="CO21" s="38" t="str">
        <f aca="false">IF(Data_Farmer!CO21="","",Data_Farmer!CO21)</f>
        <v/>
      </c>
      <c r="CP21" s="38" t="str">
        <f aca="false">IF(Data_Farmer!CP21="","",Data_Farmer!CP21)</f>
        <v/>
      </c>
      <c r="CQ21" s="38" t="str">
        <f aca="false">IF(Data_Farmer!CQ21="","",Data_Farmer!CQ21)</f>
        <v/>
      </c>
      <c r="CR21" s="38" t="str">
        <f aca="false">IF(Data_Farmer!CR21="","",Data_Farmer!CR21)</f>
        <v/>
      </c>
      <c r="CS21" s="38" t="str">
        <f aca="false">IF(Data_Farmer!CS21="","",Data_Farmer!CS21)</f>
        <v/>
      </c>
      <c r="CT21" s="38" t="str">
        <f aca="false">IF(Data_Farmer!CT21="","",Data_Farmer!CT21)</f>
        <v/>
      </c>
      <c r="CU21" s="38" t="str">
        <f aca="false">IF(Data_Farmer!CU21="","",Data_Farmer!CU21)</f>
        <v/>
      </c>
      <c r="CV21" s="38" t="str">
        <f aca="false">IF(Data_Farmer!CV21="","",Data_Farmer!CV21)</f>
        <v/>
      </c>
      <c r="CW21" s="38" t="n">
        <f aca="false">IF(Data_Farmer!CW21="","",Data_Farmer!CW21)</f>
        <v>15</v>
      </c>
      <c r="CX21" s="38" t="str">
        <f aca="false">IF(Data_Farmer!CX21="","",Data_Farmer!CX21)</f>
        <v/>
      </c>
      <c r="CY21" s="38" t="str">
        <f aca="false">IF(Data_Farmer!CY21="","",Data_Farmer!CY21)</f>
        <v/>
      </c>
      <c r="CZ21" s="38" t="n">
        <f aca="false">IF(Data_Farmer!CZ21="","",Data_Farmer!CZ21)</f>
        <v>18</v>
      </c>
      <c r="DA21" s="38" t="str">
        <f aca="false">IF(Data_Farmer!DA21="","",Data_Farmer!DA21)</f>
        <v/>
      </c>
      <c r="DB21" s="38" t="str">
        <f aca="false">IF(Data_Farmer!DB21="","",Data_Farmer!DB21)</f>
        <v/>
      </c>
      <c r="DC21" s="38" t="n">
        <f aca="false">IF(Data_Farmer!DC21="","",Data_Farmer!DC21)</f>
        <v>30</v>
      </c>
      <c r="DD21" s="38" t="str">
        <f aca="false">IF(Data_Farmer!DD21="","",Data_Farmer!DD21)</f>
        <v/>
      </c>
      <c r="DE21" s="38" t="str">
        <f aca="false">IF(Data_Farmer!DE21="","",Data_Farmer!DE21)</f>
        <v/>
      </c>
      <c r="DF21" s="38" t="str">
        <f aca="false">IF(Data_Farmer!DF21="","",Data_Farmer!DF21)</f>
        <v/>
      </c>
      <c r="DG21" s="38" t="str">
        <f aca="false">IF(Data_Farmer!DG21="","",Data_Farmer!DG21)</f>
        <v/>
      </c>
      <c r="DH21" s="38" t="str">
        <f aca="false">IF(Data_Farmer!DH21="","",Data_Farmer!DH21)</f>
        <v/>
      </c>
      <c r="DI21" s="38" t="n">
        <f aca="false">IF(Data_Farmer!DI21="","",Data_Farmer!DI21)</f>
        <v>24</v>
      </c>
      <c r="DJ21" s="38" t="n">
        <f aca="false">IF(Data_Farmer!DJ21="","",Data_Farmer!DJ21)</f>
        <v>20</v>
      </c>
      <c r="DK21" s="38" t="str">
        <f aca="false">IF(Data_Farmer!DK21="","",Data_Farmer!DK21)</f>
        <v/>
      </c>
      <c r="DL21" s="38" t="str">
        <f aca="false">IF(Data_Farmer!DL21="","",Data_Farmer!DL21)</f>
        <v/>
      </c>
      <c r="DM21" s="38" t="n">
        <f aca="false">IF(Data_Farmer!DM21="","",Data_Farmer!DM21)</f>
        <v>8</v>
      </c>
      <c r="DN21" s="38" t="str">
        <f aca="false">IF(Data_Farmer!DN21="","",Data_Farmer!DN21)</f>
        <v/>
      </c>
      <c r="DO21" s="38" t="n">
        <f aca="false">IF(Data_Farmer!DO21="","",Data_Farmer!DO21)</f>
        <v>20</v>
      </c>
      <c r="DP21" s="38" t="str">
        <f aca="false">IF(Data_Farmer!DP21="","",Data_Farmer!DP21)</f>
        <v/>
      </c>
      <c r="DQ21" s="38" t="str">
        <f aca="false">IF(Data_Farmer!DQ21="","",Data_Farmer!DQ21)</f>
        <v/>
      </c>
      <c r="DR21" s="38" t="n">
        <f aca="false">IF(Data_Farmer!DR21="","",Data_Farmer!DR21)</f>
        <v>7</v>
      </c>
      <c r="DS21" s="38" t="str">
        <f aca="false">IF(Data_Farmer!DS21="","",Data_Farmer!DS21)</f>
        <v/>
      </c>
      <c r="DT21" s="38" t="n">
        <f aca="false">IF(Data_Farmer!DT21="","",Data_Farmer!DT21)</f>
        <v>20</v>
      </c>
      <c r="DU21" s="38" t="str">
        <f aca="false">IF(Data_Farmer!DU21="","",Data_Farmer!DU21)</f>
        <v/>
      </c>
      <c r="DV21" s="38" t="str">
        <f aca="false">IF(Data_Farmer!DV21="","",Data_Farmer!DV21)</f>
        <v/>
      </c>
      <c r="DW21" s="38" t="n">
        <f aca="false">IF(Data_Farmer!DW21="","",Data_Farmer!DW21)</f>
        <v>15</v>
      </c>
      <c r="DX21" s="38" t="str">
        <f aca="false">IF(Data_Farmer!DX21="","",Data_Farmer!DX21)</f>
        <v/>
      </c>
      <c r="DY21" s="38" t="str">
        <f aca="false">IF(Data_Farmer!DY21="","",Data_Farmer!DY21)</f>
        <v/>
      </c>
      <c r="DZ21" s="38" t="str">
        <f aca="false">IF(Data_Farmer!DZ21="","",Data_Farmer!DZ21)</f>
        <v/>
      </c>
      <c r="EA21" s="38" t="n">
        <f aca="false">IF(Data_Farmer!EA21="","",Data_Farmer!EA21)</f>
        <v>21</v>
      </c>
      <c r="EB21" s="38" t="str">
        <f aca="false">IF(Data_Farmer!EB21="","",Data_Farmer!EB21)</f>
        <v/>
      </c>
      <c r="EC21" s="38" t="str">
        <f aca="false">IF(Data_Farmer!EC21="","",Data_Farmer!EC21)</f>
        <v/>
      </c>
      <c r="ED21" s="38" t="str">
        <f aca="false">IF(Data_Farmer!ED21="","",Data_Farmer!ED21)</f>
        <v/>
      </c>
      <c r="EE21" s="38" t="str">
        <f aca="false">IF(Data_Farmer!EE21="","",Data_Farmer!EE21)</f>
        <v/>
      </c>
      <c r="EF21" s="38" t="str">
        <f aca="false">IF(Data_Farmer!EF21="","",Data_Farmer!EF21)</f>
        <v/>
      </c>
      <c r="EG21" s="38" t="str">
        <f aca="false">IF(Data_Farmer!EG21="","",Data_Farmer!EG21)</f>
        <v/>
      </c>
      <c r="EH21" s="38" t="n">
        <f aca="false">IF(Data_Farmer!EH21="","",Data_Farmer!EH21)</f>
        <v>14</v>
      </c>
      <c r="EI21" s="38" t="str">
        <f aca="false">IF(Data_Farmer!EI21="","",Data_Farmer!EI21)</f>
        <v/>
      </c>
      <c r="EJ21" s="38" t="n">
        <f aca="false">IF(Data_Farmer!EJ21="","",Data_Farmer!EJ21)</f>
        <v>25</v>
      </c>
      <c r="EK21" s="38" t="str">
        <f aca="false">IF(Data_Farmer!EK21="","",Data_Farmer!EK21)</f>
        <v/>
      </c>
      <c r="EL21" s="38" t="str">
        <f aca="false">IF(Data_Farmer!EL21="","",Data_Farmer!EL21)</f>
        <v/>
      </c>
      <c r="EM21" s="38" t="str">
        <f aca="false">IF(Data_Farmer!EM21="","",Data_Farmer!EM21)</f>
        <v/>
      </c>
      <c r="EN21" s="38" t="str">
        <f aca="false">IF(Data_Farmer!EN21="","",Data_Farmer!EN21)</f>
        <v/>
      </c>
      <c r="EO21" s="38" t="str">
        <f aca="false">IF(Data_Farmer!EO21="","",Data_Farmer!EO21)</f>
        <v/>
      </c>
      <c r="EP21" s="38" t="n">
        <f aca="false">IF(Data_Farmer!EP21="","",Data_Farmer!EP21)</f>
        <v>15</v>
      </c>
      <c r="EQ21" s="38" t="str">
        <f aca="false">IF(Data_Farmer!EQ21="","",Data_Farmer!EQ21)</f>
        <v/>
      </c>
      <c r="ER21" s="38" t="str">
        <f aca="false">IF(Data_Farmer!ER21="","",Data_Farmer!ER21)</f>
        <v/>
      </c>
      <c r="ES21" s="38" t="str">
        <f aca="false">IF(Data_Farmer!ES21="","",Data_Farmer!ES21)</f>
        <v/>
      </c>
      <c r="ET21" s="38" t="str">
        <f aca="false">IF(Data_Farmer!ET21="","",Data_Farmer!ET21)</f>
        <v/>
      </c>
      <c r="EU21" s="38" t="str">
        <f aca="false">IF(Data_Farmer!EU21="","",Data_Farmer!EU21)</f>
        <v/>
      </c>
      <c r="EV21" s="38" t="str">
        <f aca="false">IF(Data_Farmer!EV21="","",Data_Farmer!EV21)</f>
        <v/>
      </c>
      <c r="EW21" s="38" t="str">
        <f aca="false">IF(Data_Farmer!EW21="","",Data_Farmer!EW21)</f>
        <v/>
      </c>
      <c r="EX21" s="38" t="str">
        <f aca="false">IF(Data_Farmer!EX21="","",Data_Farmer!EX21)</f>
        <v/>
      </c>
      <c r="EY21" s="38" t="str">
        <f aca="false">IF(Data_Farmer!EY21="","",Data_Farmer!EY21)</f>
        <v/>
      </c>
      <c r="EZ21" s="38" t="str">
        <f aca="false">IF(Data_Farmer!EZ21="","",Data_Farmer!EZ21)</f>
        <v/>
      </c>
      <c r="FA21" s="38" t="str">
        <f aca="false">IF(Data_Farmer!FA21="","",Data_Farmer!FA21)</f>
        <v/>
      </c>
      <c r="FB21" s="38" t="str">
        <f aca="false">IF(Data_Farmer!FB21="","",Data_Farmer!FB21)</f>
        <v/>
      </c>
      <c r="FC21" s="38" t="str">
        <f aca="false">IF(Data_Farmer!FC21="","",Data_Farmer!FC21)</f>
        <v/>
      </c>
      <c r="FD21" s="38" t="str">
        <f aca="false">IF(Data_Farmer!FD21="","",Data_Farmer!FD21)</f>
        <v/>
      </c>
      <c r="FE21" s="38" t="str">
        <f aca="false">IF(Data_Farmer!FE21="","",Data_Farmer!FE21)</f>
        <v/>
      </c>
      <c r="FF21" s="38" t="str">
        <f aca="false">IF(Data_Farmer!FF21="","",Data_Farmer!FF21)</f>
        <v/>
      </c>
      <c r="FG21" s="38" t="str">
        <f aca="false">IF(Data_Farmer!FG21="","",Data_Farmer!FG21)</f>
        <v/>
      </c>
      <c r="FH21" s="38" t="str">
        <f aca="false">IF(Data_Farmer!FH21="","",Data_Farmer!FH21)</f>
        <v/>
      </c>
      <c r="FI21" s="38" t="str">
        <f aca="false">IF(Data_Farmer!FI21="","",Data_Farmer!FI21)</f>
        <v/>
      </c>
      <c r="FJ21" s="38" t="str">
        <f aca="false">IF(Data_Farmer!FJ21="","",Data_Farmer!FJ21)</f>
        <v/>
      </c>
      <c r="FK21" s="38" t="str">
        <f aca="false">IF(Data_Farmer!FK21="","",Data_Farmer!FK21)</f>
        <v/>
      </c>
      <c r="FL21" s="38" t="str">
        <f aca="false">IF(Data_Farmer!FL21="","",Data_Farmer!FL21)</f>
        <v/>
      </c>
      <c r="FM21" s="38" t="str">
        <f aca="false">IF(Data_Farmer!FM21="","",Data_Farmer!FM21)</f>
        <v/>
      </c>
      <c r="FN21" s="38" t="str">
        <f aca="false">IF(Data_Farmer!FN21="","",Data_Farmer!FN21)</f>
        <v/>
      </c>
      <c r="FO21" s="38" t="str">
        <f aca="false">IF(Data_Farmer!FO21="","",Data_Farmer!FO21)</f>
        <v/>
      </c>
      <c r="FP21" s="38" t="str">
        <f aca="false">IF(Data_Farmer!FP21="","",Data_Farmer!FP21)</f>
        <v/>
      </c>
      <c r="FQ21" s="38" t="str">
        <f aca="false">IF(Data_Farmer!FQ21="","",Data_Farmer!FQ21)</f>
        <v/>
      </c>
    </row>
    <row r="22" customFormat="false" ht="15" hidden="false" customHeight="false" outlineLevel="0" collapsed="false">
      <c r="A22" s="36"/>
      <c r="B22" s="20" t="s">
        <v>186</v>
      </c>
      <c r="C22" s="37" t="s">
        <v>165</v>
      </c>
      <c r="D22" s="38" t="str">
        <f aca="false">IF(Data_Farmer!D46="","",Data_Farmer!D46)</f>
        <v/>
      </c>
      <c r="E22" s="38" t="str">
        <f aca="false">IF(Data_Farmer!E46="","",Data_Farmer!E46)</f>
        <v/>
      </c>
      <c r="F22" s="38" t="str">
        <f aca="false">IF(Data_Farmer!F46="","",Data_Farmer!F46)</f>
        <v/>
      </c>
      <c r="G22" s="38" t="str">
        <f aca="false">IF(Data_Farmer!G46="","",Data_Farmer!G46)</f>
        <v/>
      </c>
      <c r="H22" s="38" t="str">
        <f aca="false">IF(Data_Farmer!H46="","",Data_Farmer!H46)</f>
        <v/>
      </c>
      <c r="I22" s="38" t="str">
        <f aca="false">IF(Data_Farmer!I46="","",Data_Farmer!I46)</f>
        <v/>
      </c>
      <c r="J22" s="38" t="str">
        <f aca="false">IF(Data_Farmer!J46="","",Data_Farmer!J46)</f>
        <v/>
      </c>
      <c r="K22" s="38" t="str">
        <f aca="false">IF(Data_Farmer!K46="","",Data_Farmer!K46)</f>
        <v/>
      </c>
      <c r="L22" s="38" t="str">
        <f aca="false">IF(Data_Farmer!L46="","",Data_Farmer!L46)</f>
        <v/>
      </c>
      <c r="M22" s="38" t="str">
        <f aca="false">IF(Data_Farmer!M46="","",Data_Farmer!M46)</f>
        <v/>
      </c>
      <c r="N22" s="38" t="str">
        <f aca="false">IF(Data_Farmer!N46="","",Data_Farmer!N46)</f>
        <v/>
      </c>
      <c r="O22" s="38" t="str">
        <f aca="false">IF(Data_Farmer!O46="","",Data_Farmer!O46)</f>
        <v/>
      </c>
      <c r="P22" s="38" t="str">
        <f aca="false">IF(Data_Farmer!P46="","",Data_Farmer!P46)</f>
        <v/>
      </c>
      <c r="Q22" s="38" t="str">
        <f aca="false">IF(Data_Farmer!Q46="","",Data_Farmer!Q46)</f>
        <v/>
      </c>
      <c r="R22" s="38" t="str">
        <f aca="false">IF(Data_Farmer!R46="","",Data_Farmer!R46)</f>
        <v/>
      </c>
      <c r="S22" s="38" t="str">
        <f aca="false">IF(Data_Farmer!S46="","",Data_Farmer!S46)</f>
        <v/>
      </c>
      <c r="T22" s="38" t="str">
        <f aca="false">IF(Data_Farmer!T46="","",Data_Farmer!T46)</f>
        <v/>
      </c>
      <c r="U22" s="38" t="str">
        <f aca="false">IF(Data_Farmer!U46="","",Data_Farmer!U46)</f>
        <v/>
      </c>
      <c r="V22" s="38" t="str">
        <f aca="false">IF(Data_Farmer!V46="","",Data_Farmer!V46)</f>
        <v/>
      </c>
      <c r="W22" s="38" t="str">
        <f aca="false">IF(Data_Farmer!W46="","",Data_Farmer!W46)</f>
        <v/>
      </c>
      <c r="X22" s="38" t="str">
        <f aca="false">IF(Data_Farmer!X46="","",Data_Farmer!X46)</f>
        <v/>
      </c>
      <c r="Y22" s="38" t="str">
        <f aca="false">IF(Data_Farmer!Y46="","",Data_Farmer!Y46)</f>
        <v/>
      </c>
      <c r="Z22" s="38" t="str">
        <f aca="false">IF(Data_Farmer!Z46="","",Data_Farmer!Z46)</f>
        <v/>
      </c>
      <c r="AA22" s="38" t="str">
        <f aca="false">IF(Data_Farmer!AA46="","",Data_Farmer!AA46)</f>
        <v/>
      </c>
      <c r="AB22" s="38" t="str">
        <f aca="false">IF(Data_Farmer!AB46="","",Data_Farmer!AB46)</f>
        <v/>
      </c>
      <c r="AC22" s="38" t="str">
        <f aca="false">IF(Data_Farmer!AC46="","",Data_Farmer!AC46)</f>
        <v/>
      </c>
      <c r="AD22" s="38" t="str">
        <f aca="false">IF(Data_Farmer!AD46="","",Data_Farmer!AD46)</f>
        <v/>
      </c>
      <c r="AE22" s="38" t="str">
        <f aca="false">IF(Data_Farmer!AE46="","",Data_Farmer!AE46)</f>
        <v/>
      </c>
      <c r="AF22" s="38" t="str">
        <f aca="false">IF(Data_Farmer!AF46="","",Data_Farmer!AF46)</f>
        <v/>
      </c>
      <c r="AG22" s="38" t="str">
        <f aca="false">IF(Data_Farmer!AG46="","",Data_Farmer!AG46)</f>
        <v/>
      </c>
      <c r="AH22" s="38" t="str">
        <f aca="false">IF(Data_Farmer!AH46="","",Data_Farmer!AH46)</f>
        <v/>
      </c>
      <c r="AI22" s="38" t="str">
        <f aca="false">IF(Data_Farmer!AI46="","",Data_Farmer!AI46)</f>
        <v/>
      </c>
      <c r="AJ22" s="38" t="str">
        <f aca="false">IF(Data_Farmer!AJ46="","",Data_Farmer!AJ46)</f>
        <v/>
      </c>
      <c r="AK22" s="38" t="str">
        <f aca="false">IF(Data_Farmer!AK46="","",Data_Farmer!AK46)</f>
        <v/>
      </c>
      <c r="AL22" s="38" t="str">
        <f aca="false">IF(Data_Farmer!AL46="","",Data_Farmer!AL46)</f>
        <v/>
      </c>
      <c r="AM22" s="38" t="str">
        <f aca="false">IF(Data_Farmer!AM46="","",Data_Farmer!AM46)</f>
        <v/>
      </c>
      <c r="AN22" s="38" t="str">
        <f aca="false">IF(Data_Farmer!AN46="","",Data_Farmer!AN46)</f>
        <v/>
      </c>
      <c r="AO22" s="38" t="str">
        <f aca="false">IF(Data_Farmer!AO46="","",Data_Farmer!AO46)</f>
        <v/>
      </c>
      <c r="AP22" s="38" t="str">
        <f aca="false">IF(Data_Farmer!AP46="","",Data_Farmer!AP46)</f>
        <v/>
      </c>
      <c r="AQ22" s="38" t="str">
        <f aca="false">IF(Data_Farmer!AQ46="","",Data_Farmer!AQ46)</f>
        <v/>
      </c>
      <c r="AR22" s="38" t="str">
        <f aca="false">IF(Data_Farmer!AR46="","",Data_Farmer!AR46)</f>
        <v/>
      </c>
      <c r="AS22" s="38" t="str">
        <f aca="false">IF(Data_Farmer!AS46="","",Data_Farmer!AS46)</f>
        <v/>
      </c>
      <c r="AT22" s="38" t="str">
        <f aca="false">IF(Data_Farmer!AT46="","",Data_Farmer!AT46)</f>
        <v/>
      </c>
      <c r="AU22" s="38" t="str">
        <f aca="false">IF(Data_Farmer!AU46="","",Data_Farmer!AU46)</f>
        <v/>
      </c>
      <c r="AV22" s="38" t="str">
        <f aca="false">IF(Data_Farmer!AV46="","",Data_Farmer!AV46)</f>
        <v/>
      </c>
      <c r="AW22" s="38" t="str">
        <f aca="false">IF(Data_Farmer!AW46="","",Data_Farmer!AW46)</f>
        <v/>
      </c>
      <c r="AX22" s="38" t="str">
        <f aca="false">IF(Data_Farmer!AX46="","",Data_Farmer!AX46)</f>
        <v/>
      </c>
      <c r="AY22" s="38" t="str">
        <f aca="false">IF(Data_Farmer!AY46="","",Data_Farmer!AY46)</f>
        <v/>
      </c>
      <c r="AZ22" s="38" t="str">
        <f aca="false">IF(Data_Farmer!AZ46="","",Data_Farmer!AZ46)</f>
        <v/>
      </c>
      <c r="BA22" s="38" t="str">
        <f aca="false">IF(Data_Farmer!BA46="","",Data_Farmer!BA46)</f>
        <v/>
      </c>
      <c r="BB22" s="38" t="str">
        <f aca="false">IF(Data_Farmer!BB46="","",Data_Farmer!BB46)</f>
        <v/>
      </c>
      <c r="BC22" s="38" t="str">
        <f aca="false">IF(Data_Farmer!BC46="","",Data_Farmer!BC46)</f>
        <v/>
      </c>
      <c r="BD22" s="38" t="str">
        <f aca="false">IF(Data_Farmer!BD46="","",Data_Farmer!BD46)</f>
        <v/>
      </c>
      <c r="BE22" s="38" t="n">
        <f aca="false">IF(Data_Farmer!BE46="","",Data_Farmer!BE46)</f>
        <v>5</v>
      </c>
      <c r="BF22" s="38" t="str">
        <f aca="false">IF(Data_Farmer!BF46="","",Data_Farmer!BF46)</f>
        <v/>
      </c>
      <c r="BG22" s="38" t="n">
        <f aca="false">IF(Data_Farmer!BG46="","",Data_Farmer!BG46)</f>
        <v>25</v>
      </c>
      <c r="BH22" s="38" t="str">
        <f aca="false">IF(Data_Farmer!BH46="","",Data_Farmer!BH46)</f>
        <v/>
      </c>
      <c r="BI22" s="38" t="str">
        <f aca="false">IF(Data_Farmer!BI46="","",Data_Farmer!BI46)</f>
        <v/>
      </c>
      <c r="BJ22" s="38" t="str">
        <f aca="false">IF(Data_Farmer!BJ46="","",Data_Farmer!BJ46)</f>
        <v/>
      </c>
      <c r="BK22" s="38" t="n">
        <f aca="false">IF(Data_Farmer!BK46="","",Data_Farmer!BK46)</f>
        <v>19</v>
      </c>
      <c r="BL22" s="38" t="str">
        <f aca="false">IF(Data_Farmer!BL46="","",Data_Farmer!BL46)</f>
        <v/>
      </c>
      <c r="BM22" s="38" t="str">
        <f aca="false">IF(Data_Farmer!BM46="","",Data_Farmer!BM46)</f>
        <v/>
      </c>
      <c r="BN22" s="38" t="str">
        <f aca="false">IF(Data_Farmer!BN46="","",Data_Farmer!BN46)</f>
        <v/>
      </c>
      <c r="BO22" s="38" t="str">
        <f aca="false">IF(Data_Farmer!BO46="","",Data_Farmer!BO46)</f>
        <v/>
      </c>
      <c r="BP22" s="38" t="n">
        <f aca="false">IF(Data_Farmer!BP46="","",Data_Farmer!BP46)</f>
        <v>17</v>
      </c>
      <c r="BQ22" s="38" t="str">
        <f aca="false">IF(Data_Farmer!BQ46="","",Data_Farmer!BQ46)</f>
        <v/>
      </c>
      <c r="BR22" s="38" t="str">
        <f aca="false">IF(Data_Farmer!BR46="","",Data_Farmer!BR46)</f>
        <v/>
      </c>
      <c r="BS22" s="38" t="str">
        <f aca="false">IF(Data_Farmer!BS46="","",Data_Farmer!BS46)</f>
        <v/>
      </c>
      <c r="BT22" s="38" t="str">
        <f aca="false">IF(Data_Farmer!BT46="","",Data_Farmer!BT46)</f>
        <v/>
      </c>
      <c r="BU22" s="38" t="str">
        <f aca="false">IF(Data_Farmer!BU46="","",Data_Farmer!BU46)</f>
        <v/>
      </c>
      <c r="BV22" s="38" t="str">
        <f aca="false">IF(Data_Farmer!BV46="","",Data_Farmer!BV46)</f>
        <v/>
      </c>
      <c r="BW22" s="38" t="n">
        <f aca="false">IF(Data_Farmer!BW46="","",Data_Farmer!BW46)</f>
        <v>20</v>
      </c>
      <c r="BX22" s="38" t="str">
        <f aca="false">IF(Data_Farmer!BX46="","",Data_Farmer!BX46)</f>
        <v/>
      </c>
      <c r="BY22" s="38" t="str">
        <f aca="false">IF(Data_Farmer!BY46="","",Data_Farmer!BY46)</f>
        <v/>
      </c>
      <c r="BZ22" s="38" t="str">
        <f aca="false">IF(Data_Farmer!BZ46="","",Data_Farmer!BZ46)</f>
        <v/>
      </c>
      <c r="CA22" s="38" t="str">
        <f aca="false">IF(Data_Farmer!CA46="","",Data_Farmer!CA46)</f>
        <v/>
      </c>
      <c r="CB22" s="38" t="str">
        <f aca="false">IF(Data_Farmer!CB46="","",Data_Farmer!CB46)</f>
        <v/>
      </c>
      <c r="CC22" s="38" t="str">
        <f aca="false">IF(Data_Farmer!CC46="","",Data_Farmer!CC46)</f>
        <v/>
      </c>
      <c r="CD22" s="38" t="n">
        <f aca="false">IF(Data_Farmer!CD46="","",Data_Farmer!CD46)</f>
        <v>23</v>
      </c>
      <c r="CE22" s="38" t="str">
        <f aca="false">IF(Data_Farmer!CE46="","",Data_Farmer!CE46)</f>
        <v/>
      </c>
      <c r="CF22" s="38" t="str">
        <f aca="false">IF(Data_Farmer!CF46="","",Data_Farmer!CF46)</f>
        <v/>
      </c>
      <c r="CG22" s="38" t="str">
        <f aca="false">IF(Data_Farmer!CG46="","",Data_Farmer!CG46)</f>
        <v/>
      </c>
      <c r="CH22" s="38" t="n">
        <f aca="false">IF(Data_Farmer!CH46="","",Data_Farmer!CH46)</f>
        <v>30</v>
      </c>
      <c r="CI22" s="38" t="str">
        <f aca="false">IF(Data_Farmer!CI46="","",Data_Farmer!CI46)</f>
        <v/>
      </c>
      <c r="CJ22" s="38" t="str">
        <f aca="false">IF(Data_Farmer!CJ46="","",Data_Farmer!CJ46)</f>
        <v/>
      </c>
      <c r="CK22" s="38" t="str">
        <f aca="false">IF(Data_Farmer!CK46="","",Data_Farmer!CK46)</f>
        <v/>
      </c>
      <c r="CL22" s="38" t="str">
        <f aca="false">IF(Data_Farmer!CL46="","",Data_Farmer!CL46)</f>
        <v/>
      </c>
      <c r="CM22" s="38" t="str">
        <f aca="false">IF(Data_Farmer!CM46="","",Data_Farmer!CM46)</f>
        <v/>
      </c>
      <c r="CN22" s="38" t="str">
        <f aca="false">IF(Data_Farmer!CN46="","",Data_Farmer!CN46)</f>
        <v/>
      </c>
      <c r="CO22" s="38" t="str">
        <f aca="false">IF(Data_Farmer!CO46="","",Data_Farmer!CO46)</f>
        <v/>
      </c>
      <c r="CP22" s="38" t="str">
        <f aca="false">IF(Data_Farmer!CP46="","",Data_Farmer!CP46)</f>
        <v/>
      </c>
      <c r="CQ22" s="38" t="str">
        <f aca="false">IF(Data_Farmer!CQ46="","",Data_Farmer!CQ46)</f>
        <v/>
      </c>
      <c r="CR22" s="38" t="str">
        <f aca="false">IF(Data_Farmer!CR46="","",Data_Farmer!CR46)</f>
        <v/>
      </c>
      <c r="CS22" s="38" t="str">
        <f aca="false">IF(Data_Farmer!CS46="","",Data_Farmer!CS46)</f>
        <v/>
      </c>
      <c r="CT22" s="38" t="str">
        <f aca="false">IF(Data_Farmer!CT46="","",Data_Farmer!CT46)</f>
        <v/>
      </c>
      <c r="CU22" s="38" t="str">
        <f aca="false">IF(Data_Farmer!CU46="","",Data_Farmer!CU46)</f>
        <v/>
      </c>
      <c r="CV22" s="38" t="str">
        <f aca="false">IF(Data_Farmer!CV46="","",Data_Farmer!CV46)</f>
        <v/>
      </c>
      <c r="CW22" s="38" t="n">
        <f aca="false">IF(Data_Farmer!CW46="","",Data_Farmer!CW46)</f>
        <v>15</v>
      </c>
      <c r="CX22" s="38" t="str">
        <f aca="false">IF(Data_Farmer!CX46="","",Data_Farmer!CX46)</f>
        <v/>
      </c>
      <c r="CY22" s="38" t="str">
        <f aca="false">IF(Data_Farmer!CY46="","",Data_Farmer!CY46)</f>
        <v/>
      </c>
      <c r="CZ22" s="38" t="n">
        <f aca="false">IF(Data_Farmer!CZ46="","",Data_Farmer!CZ46)</f>
        <v>18</v>
      </c>
      <c r="DA22" s="38" t="str">
        <f aca="false">IF(Data_Farmer!DA46="","",Data_Farmer!DA46)</f>
        <v/>
      </c>
      <c r="DB22" s="38" t="str">
        <f aca="false">IF(Data_Farmer!DB46="","",Data_Farmer!DB46)</f>
        <v/>
      </c>
      <c r="DC22" s="38" t="n">
        <f aca="false">IF(Data_Farmer!DC46="","",Data_Farmer!DC46)</f>
        <v>22</v>
      </c>
      <c r="DD22" s="38" t="str">
        <f aca="false">IF(Data_Farmer!DD46="","",Data_Farmer!DD46)</f>
        <v/>
      </c>
      <c r="DE22" s="38" t="str">
        <f aca="false">IF(Data_Farmer!DE46="","",Data_Farmer!DE46)</f>
        <v/>
      </c>
      <c r="DF22" s="38" t="str">
        <f aca="false">IF(Data_Farmer!DF46="","",Data_Farmer!DF46)</f>
        <v/>
      </c>
      <c r="DG22" s="38" t="n">
        <f aca="false">IF(Data_Farmer!DG46="","",Data_Farmer!DG46)</f>
        <v>10</v>
      </c>
      <c r="DH22" s="38" t="str">
        <f aca="false">IF(Data_Farmer!DH46="","",Data_Farmer!DH46)</f>
        <v/>
      </c>
      <c r="DI22" s="38" t="str">
        <f aca="false">IF(Data_Farmer!DI46="","",Data_Farmer!DI46)</f>
        <v/>
      </c>
      <c r="DJ22" s="38" t="str">
        <f aca="false">IF(Data_Farmer!DJ46="","",Data_Farmer!DJ46)</f>
        <v/>
      </c>
      <c r="DK22" s="38" t="str">
        <f aca="false">IF(Data_Farmer!DK46="","",Data_Farmer!DK46)</f>
        <v/>
      </c>
      <c r="DL22" s="38" t="str">
        <f aca="false">IF(Data_Farmer!DL46="","",Data_Farmer!DL46)</f>
        <v/>
      </c>
      <c r="DM22" s="38" t="str">
        <f aca="false">IF(Data_Farmer!DM46="","",Data_Farmer!DM46)</f>
        <v/>
      </c>
      <c r="DN22" s="38" t="n">
        <f aca="false">IF(Data_Farmer!DN46="","",Data_Farmer!DN46)</f>
        <v>15</v>
      </c>
      <c r="DO22" s="38" t="str">
        <f aca="false">IF(Data_Farmer!DO46="","",Data_Farmer!DO46)</f>
        <v/>
      </c>
      <c r="DP22" s="38" t="str">
        <f aca="false">IF(Data_Farmer!DP46="","",Data_Farmer!DP46)</f>
        <v/>
      </c>
      <c r="DQ22" s="38" t="str">
        <f aca="false">IF(Data_Farmer!DQ46="","",Data_Farmer!DQ46)</f>
        <v/>
      </c>
      <c r="DR22" s="38" t="str">
        <f aca="false">IF(Data_Farmer!DR46="","",Data_Farmer!DR46)</f>
        <v/>
      </c>
      <c r="DS22" s="38" t="str">
        <f aca="false">IF(Data_Farmer!DS46="","",Data_Farmer!DS46)</f>
        <v/>
      </c>
      <c r="DT22" s="38" t="str">
        <f aca="false">IF(Data_Farmer!DT46="","",Data_Farmer!DT46)</f>
        <v/>
      </c>
      <c r="DU22" s="38" t="n">
        <f aca="false">IF(Data_Farmer!DU46="","",Data_Farmer!DU46)</f>
        <v>20</v>
      </c>
      <c r="DV22" s="38" t="str">
        <f aca="false">IF(Data_Farmer!DV46="","",Data_Farmer!DV46)</f>
        <v/>
      </c>
      <c r="DW22" s="38" t="str">
        <f aca="false">IF(Data_Farmer!DW46="","",Data_Farmer!DW46)</f>
        <v/>
      </c>
      <c r="DX22" s="38" t="str">
        <f aca="false">IF(Data_Farmer!DX46="","",Data_Farmer!DX46)</f>
        <v/>
      </c>
      <c r="DY22" s="38" t="str">
        <f aca="false">IF(Data_Farmer!DY46="","",Data_Farmer!DY46)</f>
        <v/>
      </c>
      <c r="DZ22" s="38" t="str">
        <f aca="false">IF(Data_Farmer!DZ46="","",Data_Farmer!DZ46)</f>
        <v/>
      </c>
      <c r="EA22" s="38" t="str">
        <f aca="false">IF(Data_Farmer!EA46="","",Data_Farmer!EA46)</f>
        <v/>
      </c>
      <c r="EB22" s="38" t="n">
        <f aca="false">IF(Data_Farmer!EB46="","",Data_Farmer!EB46)</f>
        <v>20</v>
      </c>
      <c r="EC22" s="38" t="str">
        <f aca="false">IF(Data_Farmer!EC46="","",Data_Farmer!EC46)</f>
        <v/>
      </c>
      <c r="ED22" s="38" t="str">
        <f aca="false">IF(Data_Farmer!ED46="","",Data_Farmer!ED46)</f>
        <v/>
      </c>
      <c r="EE22" s="38" t="str">
        <f aca="false">IF(Data_Farmer!EE46="","",Data_Farmer!EE46)</f>
        <v/>
      </c>
      <c r="EF22" s="38" t="str">
        <f aca="false">IF(Data_Farmer!EF46="","",Data_Farmer!EF46)</f>
        <v/>
      </c>
      <c r="EG22" s="38" t="str">
        <f aca="false">IF(Data_Farmer!EG46="","",Data_Farmer!EG46)</f>
        <v/>
      </c>
      <c r="EH22" s="38" t="str">
        <f aca="false">IF(Data_Farmer!EH46="","",Data_Farmer!EH46)</f>
        <v/>
      </c>
      <c r="EI22" s="38" t="str">
        <f aca="false">IF(Data_Farmer!EI46="","",Data_Farmer!EI46)</f>
        <v/>
      </c>
      <c r="EJ22" s="38" t="n">
        <f aca="false">IF(Data_Farmer!EJ46="","",Data_Farmer!EJ46)</f>
        <v>45</v>
      </c>
      <c r="EK22" s="38" t="str">
        <f aca="false">IF(Data_Farmer!EK46="","",Data_Farmer!EK46)</f>
        <v/>
      </c>
      <c r="EL22" s="38" t="str">
        <f aca="false">IF(Data_Farmer!EL46="","",Data_Farmer!EL46)</f>
        <v/>
      </c>
      <c r="EM22" s="38" t="str">
        <f aca="false">IF(Data_Farmer!EM46="","",Data_Farmer!EM46)</f>
        <v/>
      </c>
      <c r="EN22" s="38" t="str">
        <f aca="false">IF(Data_Farmer!EN46="","",Data_Farmer!EN46)</f>
        <v/>
      </c>
      <c r="EO22" s="38" t="str">
        <f aca="false">IF(Data_Farmer!EO46="","",Data_Farmer!EO46)</f>
        <v/>
      </c>
      <c r="EP22" s="38" t="str">
        <f aca="false">IF(Data_Farmer!EP46="","",Data_Farmer!EP46)</f>
        <v/>
      </c>
      <c r="EQ22" s="38" t="str">
        <f aca="false">IF(Data_Farmer!EQ46="","",Data_Farmer!EQ46)</f>
        <v/>
      </c>
      <c r="ER22" s="38" t="str">
        <f aca="false">IF(Data_Farmer!ER46="","",Data_Farmer!ER46)</f>
        <v/>
      </c>
      <c r="ES22" s="38" t="str">
        <f aca="false">IF(Data_Farmer!ES46="","",Data_Farmer!ES46)</f>
        <v/>
      </c>
      <c r="ET22" s="38" t="str">
        <f aca="false">IF(Data_Farmer!ET46="","",Data_Farmer!ET46)</f>
        <v/>
      </c>
      <c r="EU22" s="38" t="str">
        <f aca="false">IF(Data_Farmer!EU46="","",Data_Farmer!EU46)</f>
        <v/>
      </c>
      <c r="EV22" s="38" t="str">
        <f aca="false">IF(Data_Farmer!EV46="","",Data_Farmer!EV46)</f>
        <v/>
      </c>
      <c r="EW22" s="38" t="str">
        <f aca="false">IF(Data_Farmer!EW46="","",Data_Farmer!EW46)</f>
        <v/>
      </c>
      <c r="EX22" s="38" t="str">
        <f aca="false">IF(Data_Farmer!EX46="","",Data_Farmer!EX46)</f>
        <v/>
      </c>
      <c r="EY22" s="38" t="str">
        <f aca="false">IF(Data_Farmer!EY46="","",Data_Farmer!EY46)</f>
        <v/>
      </c>
      <c r="EZ22" s="38" t="str">
        <f aca="false">IF(Data_Farmer!EZ46="","",Data_Farmer!EZ46)</f>
        <v/>
      </c>
      <c r="FA22" s="38" t="str">
        <f aca="false">IF(Data_Farmer!FA46="","",Data_Farmer!FA46)</f>
        <v/>
      </c>
      <c r="FB22" s="38" t="str">
        <f aca="false">IF(Data_Farmer!FB46="","",Data_Farmer!FB46)</f>
        <v/>
      </c>
      <c r="FC22" s="38" t="str">
        <f aca="false">IF(Data_Farmer!FC46="","",Data_Farmer!FC46)</f>
        <v/>
      </c>
      <c r="FD22" s="38" t="str">
        <f aca="false">IF(Data_Farmer!FD46="","",Data_Farmer!FD46)</f>
        <v/>
      </c>
      <c r="FE22" s="38" t="str">
        <f aca="false">IF(Data_Farmer!FE46="","",Data_Farmer!FE46)</f>
        <v/>
      </c>
      <c r="FF22" s="38" t="str">
        <f aca="false">IF(Data_Farmer!FF46="","",Data_Farmer!FF46)</f>
        <v/>
      </c>
      <c r="FG22" s="38" t="str">
        <f aca="false">IF(Data_Farmer!FG46="","",Data_Farmer!FG46)</f>
        <v/>
      </c>
      <c r="FH22" s="38" t="str">
        <f aca="false">IF(Data_Farmer!FH46="","",Data_Farmer!FH46)</f>
        <v/>
      </c>
      <c r="FI22" s="38" t="str">
        <f aca="false">IF(Data_Farmer!FI46="","",Data_Farmer!FI46)</f>
        <v/>
      </c>
      <c r="FJ22" s="38" t="str">
        <f aca="false">IF(Data_Farmer!FJ46="","",Data_Farmer!FJ46)</f>
        <v/>
      </c>
      <c r="FK22" s="38" t="str">
        <f aca="false">IF(Data_Farmer!FK46="","",Data_Farmer!FK46)</f>
        <v/>
      </c>
      <c r="FL22" s="38" t="str">
        <f aca="false">IF(Data_Farmer!FL46="","",Data_Farmer!FL46)</f>
        <v/>
      </c>
      <c r="FM22" s="38" t="str">
        <f aca="false">IF(Data_Farmer!FM46="","",Data_Farmer!FM46)</f>
        <v/>
      </c>
      <c r="FN22" s="38" t="str">
        <f aca="false">IF(Data_Farmer!FN46="","",Data_Farmer!FN46)</f>
        <v/>
      </c>
      <c r="FO22" s="38" t="str">
        <f aca="false">IF(Data_Farmer!FO46="","",Data_Farmer!FO46)</f>
        <v/>
      </c>
      <c r="FP22" s="38" t="str">
        <f aca="false">IF(Data_Farmer!FP46="","",Data_Farmer!FP46)</f>
        <v/>
      </c>
      <c r="FQ22" s="38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3" t="s">
        <v>187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40"/>
      <c r="B25" s="41" t="s">
        <v>188</v>
      </c>
      <c r="C25" s="42" t="s">
        <v>189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40"/>
      <c r="B26" s="41" t="s">
        <v>190</v>
      </c>
      <c r="C26" s="42" t="s">
        <v>174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40"/>
      <c r="B27" s="41" t="s">
        <v>191</v>
      </c>
      <c r="C27" s="42" t="s">
        <v>174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40"/>
      <c r="B28" s="41" t="s">
        <v>192</v>
      </c>
      <c r="C28" s="42" t="s">
        <v>193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40"/>
      <c r="B29" s="41" t="s">
        <v>194</v>
      </c>
      <c r="C29" s="42" t="s">
        <v>195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3"/>
      <c r="B31" s="44" t="s">
        <v>196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</row>
    <row r="32" customFormat="false" ht="15" hidden="false" customHeight="false" outlineLevel="0" collapsed="false">
      <c r="A32" s="34"/>
      <c r="B32" s="17" t="s">
        <v>197</v>
      </c>
      <c r="C32" s="35" t="s">
        <v>193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4"/>
      <c r="B33" s="17" t="s">
        <v>198</v>
      </c>
      <c r="C33" s="35" t="s">
        <v>193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199</v>
      </c>
      <c r="BE33" s="18" t="s">
        <v>199</v>
      </c>
      <c r="BF33" s="18" t="s">
        <v>199</v>
      </c>
      <c r="BG33" s="18" t="s">
        <v>199</v>
      </c>
      <c r="BH33" s="18" t="s">
        <v>199</v>
      </c>
      <c r="BI33" s="18" t="s">
        <v>199</v>
      </c>
      <c r="BJ33" s="18" t="s">
        <v>199</v>
      </c>
      <c r="BK33" s="18" t="s">
        <v>199</v>
      </c>
      <c r="BL33" s="18" t="s">
        <v>199</v>
      </c>
      <c r="BM33" s="18" t="s">
        <v>199</v>
      </c>
      <c r="BN33" s="18" t="s">
        <v>199</v>
      </c>
      <c r="BO33" s="18" t="s">
        <v>199</v>
      </c>
      <c r="BP33" s="18" t="s">
        <v>199</v>
      </c>
      <c r="BQ33" s="18" t="s">
        <v>199</v>
      </c>
      <c r="BR33" s="18" t="s">
        <v>199</v>
      </c>
      <c r="BS33" s="18" t="s">
        <v>199</v>
      </c>
      <c r="BT33" s="18" t="s">
        <v>199</v>
      </c>
      <c r="BU33" s="18" t="s">
        <v>199</v>
      </c>
      <c r="BV33" s="18" t="s">
        <v>199</v>
      </c>
      <c r="BW33" s="18" t="s">
        <v>199</v>
      </c>
      <c r="BX33" s="18" t="s">
        <v>199</v>
      </c>
      <c r="BY33" s="18" t="s">
        <v>199</v>
      </c>
      <c r="BZ33" s="18" t="s">
        <v>199</v>
      </c>
      <c r="CA33" s="18"/>
      <c r="CB33" s="18" t="s">
        <v>199</v>
      </c>
      <c r="CC33" s="18" t="s">
        <v>199</v>
      </c>
      <c r="CD33" s="18" t="s">
        <v>199</v>
      </c>
      <c r="CE33" s="18" t="s">
        <v>199</v>
      </c>
      <c r="CF33" s="18" t="s">
        <v>199</v>
      </c>
      <c r="CG33" s="18" t="s">
        <v>199</v>
      </c>
      <c r="CH33" s="18" t="s">
        <v>199</v>
      </c>
      <c r="CI33" s="18" t="s">
        <v>199</v>
      </c>
      <c r="CJ33" s="18" t="s">
        <v>199</v>
      </c>
      <c r="CK33" s="18" t="s">
        <v>199</v>
      </c>
      <c r="CL33" s="18" t="s">
        <v>199</v>
      </c>
      <c r="CM33" s="18" t="s">
        <v>199</v>
      </c>
      <c r="CN33" s="18" t="s">
        <v>199</v>
      </c>
      <c r="CO33" s="18" t="s">
        <v>199</v>
      </c>
      <c r="CP33" s="18" t="s">
        <v>199</v>
      </c>
      <c r="CQ33" s="18" t="s">
        <v>199</v>
      </c>
      <c r="CR33" s="18" t="s">
        <v>199</v>
      </c>
      <c r="CS33" s="18" t="s">
        <v>199</v>
      </c>
      <c r="CT33" s="18" t="s">
        <v>199</v>
      </c>
      <c r="CU33" s="18" t="s">
        <v>199</v>
      </c>
      <c r="CV33" s="18" t="s">
        <v>199</v>
      </c>
      <c r="CW33" s="18" t="s">
        <v>199</v>
      </c>
      <c r="CX33" s="18" t="s">
        <v>199</v>
      </c>
      <c r="CY33" s="18" t="s">
        <v>199</v>
      </c>
      <c r="CZ33" s="18" t="s">
        <v>199</v>
      </c>
      <c r="DA33" s="18" t="s">
        <v>199</v>
      </c>
      <c r="DB33" s="18" t="s">
        <v>199</v>
      </c>
      <c r="DC33" s="18" t="s">
        <v>199</v>
      </c>
      <c r="DD33" s="18" t="s">
        <v>199</v>
      </c>
      <c r="DE33" s="18" t="s">
        <v>199</v>
      </c>
      <c r="DF33" s="18" t="s">
        <v>199</v>
      </c>
      <c r="DG33" s="18" t="s">
        <v>199</v>
      </c>
      <c r="DH33" s="18" t="s">
        <v>199</v>
      </c>
      <c r="DI33" s="18" t="s">
        <v>199</v>
      </c>
      <c r="DJ33" s="18" t="s">
        <v>199</v>
      </c>
      <c r="DK33" s="18" t="s">
        <v>199</v>
      </c>
      <c r="DL33" s="18"/>
      <c r="DM33" s="18" t="s">
        <v>199</v>
      </c>
      <c r="DN33" s="18" t="s">
        <v>199</v>
      </c>
      <c r="DO33" s="18" t="s">
        <v>199</v>
      </c>
      <c r="DP33" s="18" t="s">
        <v>199</v>
      </c>
      <c r="DQ33" s="18" t="s">
        <v>199</v>
      </c>
      <c r="DR33" s="18" t="s">
        <v>199</v>
      </c>
      <c r="DS33" s="18" t="s">
        <v>199</v>
      </c>
      <c r="DT33" s="18" t="s">
        <v>199</v>
      </c>
      <c r="DU33" s="18" t="s">
        <v>199</v>
      </c>
      <c r="DV33" s="18" t="s">
        <v>199</v>
      </c>
      <c r="DW33" s="18" t="s">
        <v>199</v>
      </c>
      <c r="DX33" s="18" t="s">
        <v>199</v>
      </c>
      <c r="DY33" s="18" t="s">
        <v>199</v>
      </c>
      <c r="DZ33" s="18" t="s">
        <v>199</v>
      </c>
      <c r="EA33" s="18" t="s">
        <v>199</v>
      </c>
      <c r="EB33" s="18" t="s">
        <v>199</v>
      </c>
      <c r="EC33" s="18" t="s">
        <v>199</v>
      </c>
      <c r="ED33" s="18" t="s">
        <v>199</v>
      </c>
      <c r="EE33" s="18" t="s">
        <v>199</v>
      </c>
      <c r="EF33" s="18" t="s">
        <v>199</v>
      </c>
      <c r="EG33" s="18" t="s">
        <v>199</v>
      </c>
      <c r="EH33" s="18" t="s">
        <v>199</v>
      </c>
      <c r="EI33" s="18" t="s">
        <v>199</v>
      </c>
      <c r="EJ33" s="18" t="s">
        <v>199</v>
      </c>
      <c r="EK33" s="18" t="s">
        <v>199</v>
      </c>
      <c r="EL33" s="18" t="s">
        <v>199</v>
      </c>
      <c r="EM33" s="18" t="s">
        <v>199</v>
      </c>
      <c r="EN33" s="18" t="s">
        <v>199</v>
      </c>
      <c r="EO33" s="18" t="s">
        <v>199</v>
      </c>
      <c r="EP33" s="18" t="s">
        <v>199</v>
      </c>
      <c r="EQ33" s="18" t="s">
        <v>199</v>
      </c>
      <c r="ER33" s="18" t="s">
        <v>199</v>
      </c>
      <c r="ES33" s="18" t="s">
        <v>199</v>
      </c>
      <c r="ET33" s="18" t="s">
        <v>199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4"/>
      <c r="B34" s="17" t="s">
        <v>200</v>
      </c>
      <c r="C34" s="35" t="s">
        <v>201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4"/>
      <c r="B35" s="17" t="s">
        <v>202</v>
      </c>
      <c r="C35" s="35" t="s">
        <v>193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203</v>
      </c>
      <c r="BF35" s="18"/>
      <c r="BG35" s="18" t="s">
        <v>203</v>
      </c>
      <c r="BH35" s="18"/>
      <c r="BI35" s="18"/>
      <c r="BJ35" s="18"/>
      <c r="BK35" s="18" t="s">
        <v>203</v>
      </c>
      <c r="BL35" s="18"/>
      <c r="BM35" s="18"/>
      <c r="BN35" s="18"/>
      <c r="BO35" s="18"/>
      <c r="BP35" s="18" t="s">
        <v>203</v>
      </c>
      <c r="BQ35" s="18"/>
      <c r="BR35" s="18"/>
      <c r="BS35" s="18"/>
      <c r="BT35" s="18"/>
      <c r="BU35" s="18"/>
      <c r="BV35" s="18"/>
      <c r="BW35" s="18" t="s">
        <v>203</v>
      </c>
      <c r="BX35" s="18"/>
      <c r="BY35" s="18"/>
      <c r="BZ35" s="18"/>
      <c r="CA35" s="18"/>
      <c r="CB35" s="18"/>
      <c r="CC35" s="18"/>
      <c r="CD35" s="18" t="s">
        <v>203</v>
      </c>
      <c r="CE35" s="18"/>
      <c r="CF35" s="18"/>
      <c r="CG35" s="18"/>
      <c r="CH35" s="18" t="s">
        <v>203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203</v>
      </c>
      <c r="CX35" s="18"/>
      <c r="CY35" s="18"/>
      <c r="CZ35" s="18" t="s">
        <v>203</v>
      </c>
      <c r="DA35" s="18"/>
      <c r="DB35" s="18"/>
      <c r="DC35" s="18" t="s">
        <v>203</v>
      </c>
      <c r="DD35" s="18"/>
      <c r="DE35" s="18"/>
      <c r="DF35" s="18"/>
      <c r="DG35" s="18"/>
      <c r="DH35" s="18"/>
      <c r="DI35" s="18" t="s">
        <v>203</v>
      </c>
      <c r="DJ35" s="18" t="s">
        <v>203</v>
      </c>
      <c r="DK35" s="18"/>
      <c r="DL35" s="18"/>
      <c r="DM35" s="18" t="s">
        <v>203</v>
      </c>
      <c r="DN35" s="18"/>
      <c r="DO35" s="18" t="s">
        <v>203</v>
      </c>
      <c r="DP35" s="18"/>
      <c r="DQ35" s="18"/>
      <c r="DR35" s="18" t="s">
        <v>203</v>
      </c>
      <c r="DS35" s="18"/>
      <c r="DT35" s="18" t="s">
        <v>203</v>
      </c>
      <c r="DU35" s="18"/>
      <c r="DV35" s="18"/>
      <c r="DW35" s="18" t="s">
        <v>203</v>
      </c>
      <c r="DX35" s="18"/>
      <c r="DY35" s="18"/>
      <c r="DZ35" s="18"/>
      <c r="EA35" s="18" t="s">
        <v>203</v>
      </c>
      <c r="EB35" s="18"/>
      <c r="EC35" s="18"/>
      <c r="ED35" s="18"/>
      <c r="EE35" s="18"/>
      <c r="EF35" s="18"/>
      <c r="EG35" s="18"/>
      <c r="EH35" s="18" t="s">
        <v>203</v>
      </c>
      <c r="EI35" s="18"/>
      <c r="EJ35" s="18" t="s">
        <v>203</v>
      </c>
      <c r="EK35" s="18"/>
      <c r="EL35" s="18"/>
      <c r="EM35" s="18"/>
      <c r="EN35" s="18"/>
      <c r="EO35" s="18"/>
      <c r="EP35" s="18" t="s">
        <v>203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4"/>
      <c r="B36" s="17" t="s">
        <v>204</v>
      </c>
      <c r="C36" s="35" t="s">
        <v>201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4"/>
      <c r="B37" s="17" t="s">
        <v>205</v>
      </c>
      <c r="C37" s="35" t="s">
        <v>193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5"/>
      <c r="B39" s="46" t="s">
        <v>206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45"/>
      <c r="EE39" s="45"/>
      <c r="EF39" s="45"/>
      <c r="EG39" s="45"/>
      <c r="EH39" s="45"/>
      <c r="EI39" s="45"/>
      <c r="EJ39" s="45"/>
      <c r="EK39" s="45"/>
      <c r="EL39" s="45"/>
      <c r="EM39" s="45"/>
      <c r="EN39" s="45"/>
      <c r="EO39" s="45"/>
      <c r="EP39" s="45"/>
      <c r="EQ39" s="45"/>
      <c r="ER39" s="45"/>
      <c r="ES39" s="45"/>
      <c r="ET39" s="45"/>
      <c r="EU39" s="45"/>
      <c r="EV39" s="45"/>
      <c r="EW39" s="45"/>
      <c r="EX39" s="45"/>
      <c r="EY39" s="45"/>
      <c r="EZ39" s="45"/>
      <c r="FA39" s="45"/>
      <c r="FB39" s="45"/>
      <c r="FC39" s="45"/>
      <c r="FD39" s="45"/>
      <c r="FE39" s="45"/>
      <c r="FF39" s="45"/>
      <c r="FG39" s="45"/>
      <c r="FH39" s="45"/>
      <c r="FI39" s="45"/>
      <c r="FJ39" s="45"/>
      <c r="FK39" s="45"/>
      <c r="FL39" s="45"/>
      <c r="FM39" s="45"/>
      <c r="FN39" s="45"/>
      <c r="FO39" s="45"/>
      <c r="FP39" s="45"/>
      <c r="FQ39" s="45"/>
    </row>
    <row r="40" customFormat="false" ht="15" hidden="false" customHeight="false" outlineLevel="0" collapsed="false">
      <c r="A40" s="36"/>
      <c r="B40" s="20" t="s">
        <v>197</v>
      </c>
      <c r="C40" s="37" t="s">
        <v>193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6"/>
      <c r="B41" s="20" t="s">
        <v>198</v>
      </c>
      <c r="C41" s="37" t="s">
        <v>193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199</v>
      </c>
      <c r="BE41" s="18" t="s">
        <v>199</v>
      </c>
      <c r="BF41" s="18" t="s">
        <v>199</v>
      </c>
      <c r="BG41" s="18" t="s">
        <v>199</v>
      </c>
      <c r="BH41" s="18" t="s">
        <v>199</v>
      </c>
      <c r="BI41" s="18" t="s">
        <v>199</v>
      </c>
      <c r="BJ41" s="18" t="s">
        <v>199</v>
      </c>
      <c r="BK41" s="18" t="s">
        <v>199</v>
      </c>
      <c r="BL41" s="18" t="s">
        <v>199</v>
      </c>
      <c r="BM41" s="18" t="s">
        <v>199</v>
      </c>
      <c r="BN41" s="18" t="s">
        <v>199</v>
      </c>
      <c r="BO41" s="18" t="s">
        <v>199</v>
      </c>
      <c r="BP41" s="18" t="s">
        <v>199</v>
      </c>
      <c r="BQ41" s="18" t="s">
        <v>199</v>
      </c>
      <c r="BR41" s="18" t="s">
        <v>199</v>
      </c>
      <c r="BS41" s="18" t="s">
        <v>199</v>
      </c>
      <c r="BT41" s="18" t="s">
        <v>199</v>
      </c>
      <c r="BU41" s="18" t="s">
        <v>199</v>
      </c>
      <c r="BV41" s="18" t="s">
        <v>199</v>
      </c>
      <c r="BW41" s="18" t="s">
        <v>199</v>
      </c>
      <c r="BX41" s="18" t="s">
        <v>199</v>
      </c>
      <c r="BY41" s="18" t="s">
        <v>199</v>
      </c>
      <c r="BZ41" s="18" t="s">
        <v>199</v>
      </c>
      <c r="CA41" s="18"/>
      <c r="CB41" s="18" t="s">
        <v>199</v>
      </c>
      <c r="CC41" s="18" t="s">
        <v>199</v>
      </c>
      <c r="CD41" s="18" t="s">
        <v>199</v>
      </c>
      <c r="CE41" s="18" t="s">
        <v>199</v>
      </c>
      <c r="CF41" s="18" t="s">
        <v>199</v>
      </c>
      <c r="CG41" s="18" t="s">
        <v>199</v>
      </c>
      <c r="CH41" s="18" t="s">
        <v>199</v>
      </c>
      <c r="CI41" s="18" t="s">
        <v>199</v>
      </c>
      <c r="CJ41" s="18" t="s">
        <v>199</v>
      </c>
      <c r="CK41" s="18" t="s">
        <v>199</v>
      </c>
      <c r="CL41" s="18" t="s">
        <v>199</v>
      </c>
      <c r="CM41" s="18" t="s">
        <v>199</v>
      </c>
      <c r="CN41" s="18" t="s">
        <v>199</v>
      </c>
      <c r="CO41" s="18" t="s">
        <v>199</v>
      </c>
      <c r="CP41" s="18" t="s">
        <v>199</v>
      </c>
      <c r="CQ41" s="18" t="s">
        <v>199</v>
      </c>
      <c r="CR41" s="18" t="s">
        <v>199</v>
      </c>
      <c r="CS41" s="18" t="s">
        <v>199</v>
      </c>
      <c r="CT41" s="18" t="s">
        <v>199</v>
      </c>
      <c r="CU41" s="18" t="s">
        <v>199</v>
      </c>
      <c r="CV41" s="18" t="s">
        <v>199</v>
      </c>
      <c r="CW41" s="18" t="s">
        <v>199</v>
      </c>
      <c r="CX41" s="18" t="s">
        <v>199</v>
      </c>
      <c r="CY41" s="18" t="s">
        <v>199</v>
      </c>
      <c r="CZ41" s="18" t="s">
        <v>199</v>
      </c>
      <c r="DA41" s="18" t="s">
        <v>199</v>
      </c>
      <c r="DB41" s="18" t="s">
        <v>199</v>
      </c>
      <c r="DC41" s="18" t="s">
        <v>199</v>
      </c>
      <c r="DD41" s="18" t="s">
        <v>199</v>
      </c>
      <c r="DE41" s="18" t="s">
        <v>199</v>
      </c>
      <c r="DF41" s="18" t="s">
        <v>199</v>
      </c>
      <c r="DG41" s="18" t="s">
        <v>199</v>
      </c>
      <c r="DH41" s="18" t="s">
        <v>199</v>
      </c>
      <c r="DI41" s="18" t="s">
        <v>199</v>
      </c>
      <c r="DJ41" s="18" t="s">
        <v>199</v>
      </c>
      <c r="DK41" s="18" t="s">
        <v>199</v>
      </c>
      <c r="DL41" s="18"/>
      <c r="DM41" s="18" t="s">
        <v>199</v>
      </c>
      <c r="DN41" s="18" t="s">
        <v>199</v>
      </c>
      <c r="DO41" s="18" t="s">
        <v>199</v>
      </c>
      <c r="DP41" s="18" t="s">
        <v>199</v>
      </c>
      <c r="DQ41" s="18" t="s">
        <v>199</v>
      </c>
      <c r="DR41" s="18" t="s">
        <v>199</v>
      </c>
      <c r="DS41" s="18" t="s">
        <v>199</v>
      </c>
      <c r="DT41" s="18" t="s">
        <v>199</v>
      </c>
      <c r="DU41" s="18" t="s">
        <v>199</v>
      </c>
      <c r="DV41" s="18" t="s">
        <v>199</v>
      </c>
      <c r="DW41" s="18" t="s">
        <v>199</v>
      </c>
      <c r="DX41" s="18" t="s">
        <v>199</v>
      </c>
      <c r="DY41" s="18" t="s">
        <v>199</v>
      </c>
      <c r="DZ41" s="18" t="s">
        <v>199</v>
      </c>
      <c r="EA41" s="18" t="s">
        <v>199</v>
      </c>
      <c r="EB41" s="18" t="s">
        <v>199</v>
      </c>
      <c r="EC41" s="18" t="s">
        <v>199</v>
      </c>
      <c r="ED41" s="18" t="s">
        <v>199</v>
      </c>
      <c r="EE41" s="18" t="s">
        <v>199</v>
      </c>
      <c r="EF41" s="18" t="s">
        <v>199</v>
      </c>
      <c r="EG41" s="18" t="s">
        <v>199</v>
      </c>
      <c r="EH41" s="18" t="s">
        <v>199</v>
      </c>
      <c r="EI41" s="18" t="s">
        <v>199</v>
      </c>
      <c r="EJ41" s="18" t="s">
        <v>199</v>
      </c>
      <c r="EK41" s="18" t="s">
        <v>199</v>
      </c>
      <c r="EL41" s="18" t="s">
        <v>199</v>
      </c>
      <c r="EM41" s="18" t="s">
        <v>199</v>
      </c>
      <c r="EN41" s="18" t="s">
        <v>199</v>
      </c>
      <c r="EO41" s="18" t="s">
        <v>199</v>
      </c>
      <c r="EP41" s="18" t="s">
        <v>199</v>
      </c>
      <c r="EQ41" s="18" t="s">
        <v>199</v>
      </c>
      <c r="ER41" s="18" t="s">
        <v>199</v>
      </c>
      <c r="ES41" s="18" t="s">
        <v>199</v>
      </c>
      <c r="ET41" s="18" t="s">
        <v>199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6"/>
      <c r="B42" s="20" t="s">
        <v>200</v>
      </c>
      <c r="C42" s="37" t="s">
        <v>201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6"/>
      <c r="B43" s="20" t="s">
        <v>202</v>
      </c>
      <c r="C43" s="37" t="s">
        <v>193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203</v>
      </c>
      <c r="BF43" s="18"/>
      <c r="BG43" s="18" t="s">
        <v>203</v>
      </c>
      <c r="BH43" s="18"/>
      <c r="BI43" s="18"/>
      <c r="BJ43" s="18"/>
      <c r="BK43" s="18" t="s">
        <v>203</v>
      </c>
      <c r="BL43" s="18"/>
      <c r="BM43" s="18"/>
      <c r="BN43" s="18"/>
      <c r="BO43" s="18"/>
      <c r="BP43" s="18" t="s">
        <v>203</v>
      </c>
      <c r="BQ43" s="18"/>
      <c r="BR43" s="18"/>
      <c r="BS43" s="18"/>
      <c r="BT43" s="18"/>
      <c r="BU43" s="18"/>
      <c r="BV43" s="18"/>
      <c r="BW43" s="18" t="s">
        <v>203</v>
      </c>
      <c r="BX43" s="18"/>
      <c r="BY43" s="18"/>
      <c r="BZ43" s="18"/>
      <c r="CA43" s="18"/>
      <c r="CB43" s="18"/>
      <c r="CC43" s="18"/>
      <c r="CD43" s="18" t="s">
        <v>203</v>
      </c>
      <c r="CE43" s="18"/>
      <c r="CF43" s="18"/>
      <c r="CG43" s="18"/>
      <c r="CH43" s="18" t="s">
        <v>203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203</v>
      </c>
      <c r="CX43" s="18"/>
      <c r="CY43" s="18"/>
      <c r="CZ43" s="18" t="s">
        <v>203</v>
      </c>
      <c r="DA43" s="18"/>
      <c r="DB43" s="18"/>
      <c r="DC43" s="18" t="s">
        <v>203</v>
      </c>
      <c r="DD43" s="18"/>
      <c r="DE43" s="18"/>
      <c r="DF43" s="18"/>
      <c r="DG43" s="18" t="s">
        <v>203</v>
      </c>
      <c r="DH43" s="18"/>
      <c r="DI43" s="18"/>
      <c r="DJ43" s="18"/>
      <c r="DK43" s="18"/>
      <c r="DL43" s="18"/>
      <c r="DM43" s="18"/>
      <c r="DN43" s="18" t="s">
        <v>203</v>
      </c>
      <c r="DO43" s="18"/>
      <c r="DP43" s="18"/>
      <c r="DQ43" s="18"/>
      <c r="DR43" s="18"/>
      <c r="DS43" s="18"/>
      <c r="DT43" s="18"/>
      <c r="DU43" s="18" t="s">
        <v>203</v>
      </c>
      <c r="DV43" s="18"/>
      <c r="DW43" s="18"/>
      <c r="DX43" s="18"/>
      <c r="DY43" s="18"/>
      <c r="DZ43" s="18"/>
      <c r="EA43" s="18"/>
      <c r="EB43" s="18" t="s">
        <v>203</v>
      </c>
      <c r="EC43" s="18"/>
      <c r="ED43" s="18"/>
      <c r="EE43" s="18"/>
      <c r="EF43" s="18"/>
      <c r="EG43" s="18"/>
      <c r="EH43" s="18"/>
      <c r="EI43" s="18"/>
      <c r="EJ43" s="18" t="s">
        <v>203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6"/>
      <c r="B44" s="20" t="s">
        <v>204</v>
      </c>
      <c r="C44" s="37" t="s">
        <v>201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6"/>
      <c r="B45" s="20" t="s">
        <v>205</v>
      </c>
      <c r="C45" s="37" t="s">
        <v>193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3" t="s">
        <v>207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40"/>
      <c r="B48" s="41" t="s">
        <v>208</v>
      </c>
      <c r="C48" s="42" t="s">
        <v>209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210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211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3" t="s">
        <v>212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4"/>
      <c r="B51" s="17" t="s">
        <v>213</v>
      </c>
      <c r="C51" s="35" t="s">
        <v>214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4"/>
      <c r="B52" s="17" t="s">
        <v>215</v>
      </c>
      <c r="C52" s="35" t="s">
        <v>214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4"/>
      <c r="B53" s="17" t="s">
        <v>216</v>
      </c>
      <c r="C53" s="35" t="s">
        <v>214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4"/>
      <c r="B54" s="17" t="s">
        <v>217</v>
      </c>
      <c r="C54" s="35" t="s">
        <v>214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4"/>
      <c r="B55" s="17" t="s">
        <v>218</v>
      </c>
      <c r="C55" s="35" t="s">
        <v>214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4"/>
      <c r="B56" s="17" t="s">
        <v>219</v>
      </c>
      <c r="C56" s="35" t="s">
        <v>165</v>
      </c>
      <c r="D56" s="38" t="str">
        <f aca="false">IF(Data_Farmer!D66="","",Data_Farmer!D66)</f>
        <v/>
      </c>
      <c r="E56" s="38" t="str">
        <f aca="false">IF(Data_Farmer!E66="","",Data_Farmer!E66)</f>
        <v/>
      </c>
      <c r="F56" s="38" t="str">
        <f aca="false">IF(Data_Farmer!F66="","",Data_Farmer!F66)</f>
        <v/>
      </c>
      <c r="G56" s="38" t="str">
        <f aca="false">IF(Data_Farmer!G66="","",Data_Farmer!G66)</f>
        <v/>
      </c>
      <c r="H56" s="38" t="str">
        <f aca="false">IF(Data_Farmer!H66="","",Data_Farmer!H66)</f>
        <v/>
      </c>
      <c r="I56" s="38" t="str">
        <f aca="false">IF(Data_Farmer!I66="","",Data_Farmer!I66)</f>
        <v/>
      </c>
      <c r="J56" s="38" t="str">
        <f aca="false">IF(Data_Farmer!J66="","",Data_Farmer!J66)</f>
        <v/>
      </c>
      <c r="K56" s="38" t="str">
        <f aca="false">IF(Data_Farmer!K66="","",Data_Farmer!K66)</f>
        <v/>
      </c>
      <c r="L56" s="38" t="str">
        <f aca="false">IF(Data_Farmer!L66="","",Data_Farmer!L66)</f>
        <v/>
      </c>
      <c r="M56" s="38" t="str">
        <f aca="false">IF(Data_Farmer!M66="","",Data_Farmer!M66)</f>
        <v/>
      </c>
      <c r="N56" s="38" t="str">
        <f aca="false">IF(Data_Farmer!N66="","",Data_Farmer!N66)</f>
        <v/>
      </c>
      <c r="O56" s="38" t="str">
        <f aca="false">IF(Data_Farmer!O66="","",Data_Farmer!O66)</f>
        <v/>
      </c>
      <c r="P56" s="38" t="str">
        <f aca="false">IF(Data_Farmer!P66="","",Data_Farmer!P66)</f>
        <v/>
      </c>
      <c r="Q56" s="38" t="str">
        <f aca="false">IF(Data_Farmer!Q66="","",Data_Farmer!Q66)</f>
        <v/>
      </c>
      <c r="R56" s="38" t="str">
        <f aca="false">IF(Data_Farmer!R66="","",Data_Farmer!R66)</f>
        <v/>
      </c>
      <c r="S56" s="38" t="str">
        <f aca="false">IF(Data_Farmer!S66="","",Data_Farmer!S66)</f>
        <v/>
      </c>
      <c r="T56" s="38" t="str">
        <f aca="false">IF(Data_Farmer!T66="","",Data_Farmer!T66)</f>
        <v/>
      </c>
      <c r="U56" s="38" t="str">
        <f aca="false">IF(Data_Farmer!U66="","",Data_Farmer!U66)</f>
        <v/>
      </c>
      <c r="V56" s="38" t="str">
        <f aca="false">IF(Data_Farmer!V66="","",Data_Farmer!V66)</f>
        <v/>
      </c>
      <c r="W56" s="38" t="str">
        <f aca="false">IF(Data_Farmer!W66="","",Data_Farmer!W66)</f>
        <v/>
      </c>
      <c r="X56" s="38" t="str">
        <f aca="false">IF(Data_Farmer!X66="","",Data_Farmer!X66)</f>
        <v/>
      </c>
      <c r="Y56" s="38" t="str">
        <f aca="false">IF(Data_Farmer!Y66="","",Data_Farmer!Y66)</f>
        <v/>
      </c>
      <c r="Z56" s="38" t="str">
        <f aca="false">IF(Data_Farmer!Z66="","",Data_Farmer!Z66)</f>
        <v/>
      </c>
      <c r="AA56" s="38" t="str">
        <f aca="false">IF(Data_Farmer!AA66="","",Data_Farmer!AA66)</f>
        <v/>
      </c>
      <c r="AB56" s="38" t="str">
        <f aca="false">IF(Data_Farmer!AB66="","",Data_Farmer!AB66)</f>
        <v/>
      </c>
      <c r="AC56" s="38" t="str">
        <f aca="false">IF(Data_Farmer!AC66="","",Data_Farmer!AC66)</f>
        <v/>
      </c>
      <c r="AD56" s="38" t="str">
        <f aca="false">IF(Data_Farmer!AD66="","",Data_Farmer!AD66)</f>
        <v/>
      </c>
      <c r="AE56" s="38" t="str">
        <f aca="false">IF(Data_Farmer!AE66="","",Data_Farmer!AE66)</f>
        <v/>
      </c>
      <c r="AF56" s="38" t="str">
        <f aca="false">IF(Data_Farmer!AF66="","",Data_Farmer!AF66)</f>
        <v/>
      </c>
      <c r="AG56" s="38" t="str">
        <f aca="false">IF(Data_Farmer!AG66="","",Data_Farmer!AG66)</f>
        <v/>
      </c>
      <c r="AH56" s="38" t="str">
        <f aca="false">IF(Data_Farmer!AH66="","",Data_Farmer!AH66)</f>
        <v/>
      </c>
      <c r="AI56" s="38" t="str">
        <f aca="false">IF(Data_Farmer!AI66="","",Data_Farmer!AI66)</f>
        <v/>
      </c>
      <c r="AJ56" s="38" t="str">
        <f aca="false">IF(Data_Farmer!AJ66="","",Data_Farmer!AJ66)</f>
        <v/>
      </c>
      <c r="AK56" s="38" t="str">
        <f aca="false">IF(Data_Farmer!AK66="","",Data_Farmer!AK66)</f>
        <v/>
      </c>
      <c r="AL56" s="38" t="str">
        <f aca="false">IF(Data_Farmer!AL66="","",Data_Farmer!AL66)</f>
        <v/>
      </c>
      <c r="AM56" s="38" t="str">
        <f aca="false">IF(Data_Farmer!AM66="","",Data_Farmer!AM66)</f>
        <v/>
      </c>
      <c r="AN56" s="38" t="str">
        <f aca="false">IF(Data_Farmer!AN66="","",Data_Farmer!AN66)</f>
        <v/>
      </c>
      <c r="AO56" s="38" t="str">
        <f aca="false">IF(Data_Farmer!AO66="","",Data_Farmer!AO66)</f>
        <v/>
      </c>
      <c r="AP56" s="38" t="str">
        <f aca="false">IF(Data_Farmer!AP66="","",Data_Farmer!AP66)</f>
        <v/>
      </c>
      <c r="AQ56" s="38" t="str">
        <f aca="false">IF(Data_Farmer!AQ66="","",Data_Farmer!AQ66)</f>
        <v/>
      </c>
      <c r="AR56" s="38" t="str">
        <f aca="false">IF(Data_Farmer!AR66="","",Data_Farmer!AR66)</f>
        <v/>
      </c>
      <c r="AS56" s="38" t="str">
        <f aca="false">IF(Data_Farmer!AS66="","",Data_Farmer!AS66)</f>
        <v/>
      </c>
      <c r="AT56" s="38" t="str">
        <f aca="false">IF(Data_Farmer!AT66="","",Data_Farmer!AT66)</f>
        <v/>
      </c>
      <c r="AU56" s="38" t="str">
        <f aca="false">IF(Data_Farmer!AU66="","",Data_Farmer!AU66)</f>
        <v/>
      </c>
      <c r="AV56" s="38" t="str">
        <f aca="false">IF(Data_Farmer!AV66="","",Data_Farmer!AV66)</f>
        <v/>
      </c>
      <c r="AW56" s="38" t="str">
        <f aca="false">IF(Data_Farmer!AW66="","",Data_Farmer!AW66)</f>
        <v/>
      </c>
      <c r="AX56" s="38" t="str">
        <f aca="false">IF(Data_Farmer!AX66="","",Data_Farmer!AX66)</f>
        <v/>
      </c>
      <c r="AY56" s="38" t="str">
        <f aca="false">IF(Data_Farmer!AY66="","",Data_Farmer!AY66)</f>
        <v/>
      </c>
      <c r="AZ56" s="38" t="str">
        <f aca="false">IF(Data_Farmer!AZ66="","",Data_Farmer!AZ66)</f>
        <v/>
      </c>
      <c r="BA56" s="38" t="str">
        <f aca="false">IF(Data_Farmer!BA66="","",Data_Farmer!BA66)</f>
        <v/>
      </c>
      <c r="BB56" s="38" t="str">
        <f aca="false">IF(Data_Farmer!BB66="","",Data_Farmer!BB66)</f>
        <v/>
      </c>
      <c r="BC56" s="38" t="str">
        <f aca="false">IF(Data_Farmer!BC66="","",Data_Farmer!BC66)</f>
        <v/>
      </c>
      <c r="BD56" s="38" t="str">
        <f aca="false">IF(Data_Farmer!BD66="","",Data_Farmer!BD66)</f>
        <v/>
      </c>
      <c r="BE56" s="38" t="str">
        <f aca="false">IF(Data_Farmer!BE66="","",Data_Farmer!BE66)</f>
        <v/>
      </c>
      <c r="BF56" s="38" t="str">
        <f aca="false">IF(Data_Farmer!BF66="","",Data_Farmer!BF66)</f>
        <v/>
      </c>
      <c r="BG56" s="38" t="str">
        <f aca="false">IF(Data_Farmer!BG66="","",Data_Farmer!BG66)</f>
        <v/>
      </c>
      <c r="BH56" s="38" t="str">
        <f aca="false">IF(Data_Farmer!BH66="","",Data_Farmer!BH66)</f>
        <v/>
      </c>
      <c r="BI56" s="38" t="str">
        <f aca="false">IF(Data_Farmer!BI66="","",Data_Farmer!BI66)</f>
        <v/>
      </c>
      <c r="BJ56" s="38" t="str">
        <f aca="false">IF(Data_Farmer!BJ66="","",Data_Farmer!BJ66)</f>
        <v/>
      </c>
      <c r="BK56" s="38" t="str">
        <f aca="false">IF(Data_Farmer!BK66="","",Data_Farmer!BK66)</f>
        <v/>
      </c>
      <c r="BL56" s="38" t="str">
        <f aca="false">IF(Data_Farmer!BL66="","",Data_Farmer!BL66)</f>
        <v/>
      </c>
      <c r="BM56" s="38" t="str">
        <f aca="false">IF(Data_Farmer!BM66="","",Data_Farmer!BM66)</f>
        <v/>
      </c>
      <c r="BN56" s="38" t="str">
        <f aca="false">IF(Data_Farmer!BN66="","",Data_Farmer!BN66)</f>
        <v/>
      </c>
      <c r="BO56" s="38" t="str">
        <f aca="false">IF(Data_Farmer!BO66="","",Data_Farmer!BO66)</f>
        <v/>
      </c>
      <c r="BP56" s="38" t="str">
        <f aca="false">IF(Data_Farmer!BP66="","",Data_Farmer!BP66)</f>
        <v/>
      </c>
      <c r="BQ56" s="38" t="str">
        <f aca="false">IF(Data_Farmer!BQ66="","",Data_Farmer!BQ66)</f>
        <v/>
      </c>
      <c r="BR56" s="38" t="str">
        <f aca="false">IF(Data_Farmer!BR66="","",Data_Farmer!BR66)</f>
        <v/>
      </c>
      <c r="BS56" s="38" t="str">
        <f aca="false">IF(Data_Farmer!BS66="","",Data_Farmer!BS66)</f>
        <v/>
      </c>
      <c r="BT56" s="38" t="str">
        <f aca="false">IF(Data_Farmer!BT66="","",Data_Farmer!BT66)</f>
        <v/>
      </c>
      <c r="BU56" s="38" t="str">
        <f aca="false">IF(Data_Farmer!BU66="","",Data_Farmer!BU66)</f>
        <v/>
      </c>
      <c r="BV56" s="38" t="str">
        <f aca="false">IF(Data_Farmer!BV66="","",Data_Farmer!BV66)</f>
        <v/>
      </c>
      <c r="BW56" s="38" t="str">
        <f aca="false">IF(Data_Farmer!BW66="","",Data_Farmer!BW66)</f>
        <v/>
      </c>
      <c r="BX56" s="38" t="str">
        <f aca="false">IF(Data_Farmer!BX66="","",Data_Farmer!BX66)</f>
        <v/>
      </c>
      <c r="BY56" s="38" t="n">
        <f aca="false">IF(Data_Farmer!BY66="","",Data_Farmer!BY66)</f>
        <v>7.3</v>
      </c>
      <c r="BZ56" s="38" t="str">
        <f aca="false">IF(Data_Farmer!BZ66="","",Data_Farmer!BZ66)</f>
        <v/>
      </c>
      <c r="CA56" s="38" t="str">
        <f aca="false">IF(Data_Farmer!CA66="","",Data_Farmer!CA66)</f>
        <v/>
      </c>
      <c r="CB56" s="38" t="str">
        <f aca="false">IF(Data_Farmer!CB66="","",Data_Farmer!CB66)</f>
        <v/>
      </c>
      <c r="CC56" s="38" t="str">
        <f aca="false">IF(Data_Farmer!CC66="","",Data_Farmer!CC66)</f>
        <v/>
      </c>
      <c r="CD56" s="38" t="str">
        <f aca="false">IF(Data_Farmer!CD66="","",Data_Farmer!CD66)</f>
        <v/>
      </c>
      <c r="CE56" s="38" t="str">
        <f aca="false">IF(Data_Farmer!CE66="","",Data_Farmer!CE66)</f>
        <v/>
      </c>
      <c r="CF56" s="38" t="str">
        <f aca="false">IF(Data_Farmer!CF66="","",Data_Farmer!CF66)</f>
        <v/>
      </c>
      <c r="CG56" s="38" t="str">
        <f aca="false">IF(Data_Farmer!CG66="","",Data_Farmer!CG66)</f>
        <v/>
      </c>
      <c r="CH56" s="38" t="str">
        <f aca="false">IF(Data_Farmer!CH66="","",Data_Farmer!CH66)</f>
        <v/>
      </c>
      <c r="CI56" s="38" t="str">
        <f aca="false">IF(Data_Farmer!CI66="","",Data_Farmer!CI66)</f>
        <v/>
      </c>
      <c r="CJ56" s="38" t="str">
        <f aca="false">IF(Data_Farmer!CJ66="","",Data_Farmer!CJ66)</f>
        <v/>
      </c>
      <c r="CK56" s="38" t="str">
        <f aca="false">IF(Data_Farmer!CK66="","",Data_Farmer!CK66)</f>
        <v/>
      </c>
      <c r="CL56" s="38" t="str">
        <f aca="false">IF(Data_Farmer!CL66="","",Data_Farmer!CL66)</f>
        <v/>
      </c>
      <c r="CM56" s="38" t="str">
        <f aca="false">IF(Data_Farmer!CM66="","",Data_Farmer!CM66)</f>
        <v/>
      </c>
      <c r="CN56" s="38" t="n">
        <f aca="false">IF(Data_Farmer!CN66="","",Data_Farmer!CN66)</f>
        <v>13</v>
      </c>
      <c r="CO56" s="38" t="str">
        <f aca="false">IF(Data_Farmer!CO66="","",Data_Farmer!CO66)</f>
        <v/>
      </c>
      <c r="CP56" s="38" t="str">
        <f aca="false">IF(Data_Farmer!CP66="","",Data_Farmer!CP66)</f>
        <v/>
      </c>
      <c r="CQ56" s="38" t="str">
        <f aca="false">IF(Data_Farmer!CQ66="","",Data_Farmer!CQ66)</f>
        <v/>
      </c>
      <c r="CR56" s="38" t="str">
        <f aca="false">IF(Data_Farmer!CR66="","",Data_Farmer!CR66)</f>
        <v/>
      </c>
      <c r="CS56" s="38" t="str">
        <f aca="false">IF(Data_Farmer!CS66="","",Data_Farmer!CS66)</f>
        <v/>
      </c>
      <c r="CT56" s="38" t="str">
        <f aca="false">IF(Data_Farmer!CT66="","",Data_Farmer!CT66)</f>
        <v/>
      </c>
      <c r="CU56" s="38" t="str">
        <f aca="false">IF(Data_Farmer!CU66="","",Data_Farmer!CU66)</f>
        <v/>
      </c>
      <c r="CV56" s="38" t="str">
        <f aca="false">IF(Data_Farmer!CV66="","",Data_Farmer!CV66)</f>
        <v/>
      </c>
      <c r="CW56" s="38" t="str">
        <f aca="false">IF(Data_Farmer!CW66="","",Data_Farmer!CW66)</f>
        <v/>
      </c>
      <c r="CX56" s="38" t="str">
        <f aca="false">IF(Data_Farmer!CX66="","",Data_Farmer!CX66)</f>
        <v/>
      </c>
      <c r="CY56" s="38" t="str">
        <f aca="false">IF(Data_Farmer!CY66="","",Data_Farmer!CY66)</f>
        <v/>
      </c>
      <c r="CZ56" s="38" t="str">
        <f aca="false">IF(Data_Farmer!CZ66="","",Data_Farmer!CZ66)</f>
        <v/>
      </c>
      <c r="DA56" s="38" t="str">
        <f aca="false">IF(Data_Farmer!DA66="","",Data_Farmer!DA66)</f>
        <v/>
      </c>
      <c r="DB56" s="38" t="str">
        <f aca="false">IF(Data_Farmer!DB66="","",Data_Farmer!DB66)</f>
        <v/>
      </c>
      <c r="DC56" s="38" t="n">
        <f aca="false">IF(Data_Farmer!DC66="","",Data_Farmer!DC66)</f>
        <v>17</v>
      </c>
      <c r="DD56" s="38" t="str">
        <f aca="false">IF(Data_Farmer!DD66="","",Data_Farmer!DD66)</f>
        <v/>
      </c>
      <c r="DE56" s="38" t="str">
        <f aca="false">IF(Data_Farmer!DE66="","",Data_Farmer!DE66)</f>
        <v/>
      </c>
      <c r="DF56" s="38" t="str">
        <f aca="false">IF(Data_Farmer!DF66="","",Data_Farmer!DF66)</f>
        <v/>
      </c>
      <c r="DG56" s="38" t="str">
        <f aca="false">IF(Data_Farmer!DG66="","",Data_Farmer!DG66)</f>
        <v/>
      </c>
      <c r="DH56" s="38" t="str">
        <f aca="false">IF(Data_Farmer!DH66="","",Data_Farmer!DH66)</f>
        <v/>
      </c>
      <c r="DI56" s="38" t="str">
        <f aca="false">IF(Data_Farmer!DI66="","",Data_Farmer!DI66)</f>
        <v/>
      </c>
      <c r="DJ56" s="38" t="str">
        <f aca="false">IF(Data_Farmer!DJ66="","",Data_Farmer!DJ66)</f>
        <v/>
      </c>
      <c r="DK56" s="38" t="str">
        <f aca="false">IF(Data_Farmer!DK66="","",Data_Farmer!DK66)</f>
        <v/>
      </c>
      <c r="DL56" s="38" t="str">
        <f aca="false">IF(Data_Farmer!DL66="","",Data_Farmer!DL66)</f>
        <v/>
      </c>
      <c r="DM56" s="38" t="str">
        <f aca="false">IF(Data_Farmer!DM66="","",Data_Farmer!DM66)</f>
        <v/>
      </c>
      <c r="DN56" s="38" t="str">
        <f aca="false">IF(Data_Farmer!DN66="","",Data_Farmer!DN66)</f>
        <v/>
      </c>
      <c r="DO56" s="38" t="str">
        <f aca="false">IF(Data_Farmer!DO66="","",Data_Farmer!DO66)</f>
        <v/>
      </c>
      <c r="DP56" s="38" t="str">
        <f aca="false">IF(Data_Farmer!DP66="","",Data_Farmer!DP66)</f>
        <v/>
      </c>
      <c r="DQ56" s="38" t="str">
        <f aca="false">IF(Data_Farmer!DQ66="","",Data_Farmer!DQ66)</f>
        <v/>
      </c>
      <c r="DR56" s="38" t="n">
        <f aca="false">IF(Data_Farmer!DR66="","",Data_Farmer!DR66)</f>
        <v>16</v>
      </c>
      <c r="DS56" s="38" t="str">
        <f aca="false">IF(Data_Farmer!DS66="","",Data_Farmer!DS66)</f>
        <v/>
      </c>
      <c r="DT56" s="38" t="str">
        <f aca="false">IF(Data_Farmer!DT66="","",Data_Farmer!DT66)</f>
        <v/>
      </c>
      <c r="DU56" s="38" t="str">
        <f aca="false">IF(Data_Farmer!DU66="","",Data_Farmer!DU66)</f>
        <v/>
      </c>
      <c r="DV56" s="38" t="str">
        <f aca="false">IF(Data_Farmer!DV66="","",Data_Farmer!DV66)</f>
        <v/>
      </c>
      <c r="DW56" s="38" t="str">
        <f aca="false">IF(Data_Farmer!DW66="","",Data_Farmer!DW66)</f>
        <v/>
      </c>
      <c r="DX56" s="38" t="str">
        <f aca="false">IF(Data_Farmer!DX66="","",Data_Farmer!DX66)</f>
        <v/>
      </c>
      <c r="DY56" s="38" t="str">
        <f aca="false">IF(Data_Farmer!DY66="","",Data_Farmer!DY66)</f>
        <v/>
      </c>
      <c r="DZ56" s="38" t="str">
        <f aca="false">IF(Data_Farmer!DZ66="","",Data_Farmer!DZ66)</f>
        <v/>
      </c>
      <c r="EA56" s="38" t="str">
        <f aca="false">IF(Data_Farmer!EA66="","",Data_Farmer!EA66)</f>
        <v/>
      </c>
      <c r="EB56" s="38" t="str">
        <f aca="false">IF(Data_Farmer!EB66="","",Data_Farmer!EB66)</f>
        <v/>
      </c>
      <c r="EC56" s="38" t="str">
        <f aca="false">IF(Data_Farmer!EC66="","",Data_Farmer!EC66)</f>
        <v/>
      </c>
      <c r="ED56" s="38" t="str">
        <f aca="false">IF(Data_Farmer!ED66="","",Data_Farmer!ED66)</f>
        <v/>
      </c>
      <c r="EE56" s="38" t="str">
        <f aca="false">IF(Data_Farmer!EE66="","",Data_Farmer!EE66)</f>
        <v/>
      </c>
      <c r="EF56" s="38" t="str">
        <f aca="false">IF(Data_Farmer!EF66="","",Data_Farmer!EF66)</f>
        <v/>
      </c>
      <c r="EG56" s="38" t="str">
        <f aca="false">IF(Data_Farmer!EG66="","",Data_Farmer!EG66)</f>
        <v/>
      </c>
      <c r="EH56" s="38" t="str">
        <f aca="false">IF(Data_Farmer!EH66="","",Data_Farmer!EH66)</f>
        <v/>
      </c>
      <c r="EI56" s="38" t="str">
        <f aca="false">IF(Data_Farmer!EI66="","",Data_Farmer!EI66)</f>
        <v/>
      </c>
      <c r="EJ56" s="38" t="str">
        <f aca="false">IF(Data_Farmer!EJ66="","",Data_Farmer!EJ66)</f>
        <v/>
      </c>
      <c r="EK56" s="38" t="str">
        <f aca="false">IF(Data_Farmer!EK66="","",Data_Farmer!EK66)</f>
        <v/>
      </c>
      <c r="EL56" s="38" t="str">
        <f aca="false">IF(Data_Farmer!EL66="","",Data_Farmer!EL66)</f>
        <v/>
      </c>
      <c r="EM56" s="38" t="str">
        <f aca="false">IF(Data_Farmer!EM66="","",Data_Farmer!EM66)</f>
        <v/>
      </c>
      <c r="EN56" s="38" t="str">
        <f aca="false">IF(Data_Farmer!EN66="","",Data_Farmer!EN66)</f>
        <v/>
      </c>
      <c r="EO56" s="38" t="str">
        <f aca="false">IF(Data_Farmer!EO66="","",Data_Farmer!EO66)</f>
        <v/>
      </c>
      <c r="EP56" s="38" t="str">
        <f aca="false">IF(Data_Farmer!EP66="","",Data_Farmer!EP66)</f>
        <v/>
      </c>
      <c r="EQ56" s="38" t="str">
        <f aca="false">IF(Data_Farmer!EQ66="","",Data_Farmer!EQ66)</f>
        <v/>
      </c>
      <c r="ER56" s="38" t="str">
        <f aca="false">IF(Data_Farmer!ER66="","",Data_Farmer!ER66)</f>
        <v/>
      </c>
      <c r="ES56" s="38" t="str">
        <f aca="false">IF(Data_Farmer!ES66="","",Data_Farmer!ES66)</f>
        <v/>
      </c>
      <c r="ET56" s="38" t="str">
        <f aca="false">IF(Data_Farmer!ET66="","",Data_Farmer!ET66)</f>
        <v/>
      </c>
      <c r="EU56" s="38" t="str">
        <f aca="false">IF(Data_Farmer!EU66="","",Data_Farmer!EU66)</f>
        <v/>
      </c>
      <c r="EV56" s="38" t="str">
        <f aca="false">IF(Data_Farmer!EV66="","",Data_Farmer!EV66)</f>
        <v/>
      </c>
      <c r="EW56" s="38" t="str">
        <f aca="false">IF(Data_Farmer!EW66="","",Data_Farmer!EW66)</f>
        <v/>
      </c>
      <c r="EX56" s="38" t="str">
        <f aca="false">IF(Data_Farmer!EX66="","",Data_Farmer!EX66)</f>
        <v/>
      </c>
      <c r="EY56" s="38" t="str">
        <f aca="false">IF(Data_Farmer!EY66="","",Data_Farmer!EY66)</f>
        <v/>
      </c>
      <c r="EZ56" s="38" t="str">
        <f aca="false">IF(Data_Farmer!EZ66="","",Data_Farmer!EZ66)</f>
        <v/>
      </c>
      <c r="FA56" s="38" t="str">
        <f aca="false">IF(Data_Farmer!FA66="","",Data_Farmer!FA66)</f>
        <v/>
      </c>
      <c r="FB56" s="38" t="str">
        <f aca="false">IF(Data_Farmer!FB66="","",Data_Farmer!FB66)</f>
        <v/>
      </c>
      <c r="FC56" s="38" t="str">
        <f aca="false">IF(Data_Farmer!FC66="","",Data_Farmer!FC66)</f>
        <v/>
      </c>
      <c r="FD56" s="38" t="str">
        <f aca="false">IF(Data_Farmer!FD66="","",Data_Farmer!FD66)</f>
        <v/>
      </c>
      <c r="FE56" s="38" t="str">
        <f aca="false">IF(Data_Farmer!FE66="","",Data_Farmer!FE66)</f>
        <v/>
      </c>
      <c r="FF56" s="38" t="str">
        <f aca="false">IF(Data_Farmer!FF66="","",Data_Farmer!FF66)</f>
        <v/>
      </c>
      <c r="FG56" s="38" t="str">
        <f aca="false">IF(Data_Farmer!FG66="","",Data_Farmer!FG66)</f>
        <v/>
      </c>
      <c r="FH56" s="38" t="str">
        <f aca="false">IF(Data_Farmer!FH66="","",Data_Farmer!FH66)</f>
        <v/>
      </c>
      <c r="FI56" s="38" t="str">
        <f aca="false">IF(Data_Farmer!FI66="","",Data_Farmer!FI66)</f>
        <v/>
      </c>
      <c r="FJ56" s="38" t="str">
        <f aca="false">IF(Data_Farmer!FJ66="","",Data_Farmer!FJ66)</f>
        <v/>
      </c>
      <c r="FK56" s="38" t="str">
        <f aca="false">IF(Data_Farmer!FK66="","",Data_Farmer!FK66)</f>
        <v/>
      </c>
      <c r="FL56" s="38" t="str">
        <f aca="false">IF(Data_Farmer!FL66="","",Data_Farmer!FL66)</f>
        <v/>
      </c>
      <c r="FM56" s="38" t="str">
        <f aca="false">IF(Data_Farmer!FM66="","",Data_Farmer!FM66)</f>
        <v/>
      </c>
      <c r="FN56" s="38" t="str">
        <f aca="false">IF(Data_Farmer!FN66="","",Data_Farmer!FN66)</f>
        <v/>
      </c>
      <c r="FO56" s="38" t="str">
        <f aca="false">IF(Data_Farmer!FO66="","",Data_Farmer!FO66)</f>
        <v/>
      </c>
      <c r="FP56" s="38" t="str">
        <f aca="false">IF(Data_Farmer!FP66="","",Data_Farmer!FP66)</f>
        <v/>
      </c>
      <c r="FQ56" s="38" t="str">
        <f aca="false">IF(Data_Farmer!FQ66="","",Data_Farmer!FQ66)</f>
        <v/>
      </c>
    </row>
    <row r="57" customFormat="false" ht="15" hidden="false" customHeight="false" outlineLevel="0" collapsed="false">
      <c r="A57" s="36"/>
      <c r="B57" s="20" t="s">
        <v>220</v>
      </c>
      <c r="C57" s="37" t="s">
        <v>214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6"/>
      <c r="B58" s="20" t="s">
        <v>221</v>
      </c>
      <c r="C58" s="37" t="s">
        <v>214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6"/>
      <c r="B59" s="20" t="s">
        <v>222</v>
      </c>
      <c r="C59" s="37" t="s">
        <v>214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6"/>
      <c r="B60" s="20" t="s">
        <v>223</v>
      </c>
      <c r="C60" s="37" t="s">
        <v>214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6"/>
      <c r="B61" s="20" t="s">
        <v>224</v>
      </c>
      <c r="C61" s="37" t="s">
        <v>214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6"/>
      <c r="B62" s="20" t="s">
        <v>225</v>
      </c>
      <c r="C62" s="37" t="s">
        <v>165</v>
      </c>
      <c r="D62" s="38" t="str">
        <f aca="false">IF(Data_Farmer!D73="","",Data_Farmer!D73)</f>
        <v/>
      </c>
      <c r="E62" s="38" t="str">
        <f aca="false">IF(Data_Farmer!E73="","",Data_Farmer!E73)</f>
        <v/>
      </c>
      <c r="F62" s="38" t="str">
        <f aca="false">IF(Data_Farmer!F73="","",Data_Farmer!F73)</f>
        <v/>
      </c>
      <c r="G62" s="38" t="str">
        <f aca="false">IF(Data_Farmer!G73="","",Data_Farmer!G73)</f>
        <v/>
      </c>
      <c r="H62" s="38" t="str">
        <f aca="false">IF(Data_Farmer!H73="","",Data_Farmer!H73)</f>
        <v/>
      </c>
      <c r="I62" s="38" t="str">
        <f aca="false">IF(Data_Farmer!I73="","",Data_Farmer!I73)</f>
        <v/>
      </c>
      <c r="J62" s="38" t="str">
        <f aca="false">IF(Data_Farmer!J73="","",Data_Farmer!J73)</f>
        <v/>
      </c>
      <c r="K62" s="38" t="str">
        <f aca="false">IF(Data_Farmer!K73="","",Data_Farmer!K73)</f>
        <v/>
      </c>
      <c r="L62" s="38" t="str">
        <f aca="false">IF(Data_Farmer!L73="","",Data_Farmer!L73)</f>
        <v/>
      </c>
      <c r="M62" s="38" t="str">
        <f aca="false">IF(Data_Farmer!M73="","",Data_Farmer!M73)</f>
        <v/>
      </c>
      <c r="N62" s="38" t="str">
        <f aca="false">IF(Data_Farmer!N73="","",Data_Farmer!N73)</f>
        <v/>
      </c>
      <c r="O62" s="38" t="str">
        <f aca="false">IF(Data_Farmer!O73="","",Data_Farmer!O73)</f>
        <v/>
      </c>
      <c r="P62" s="38" t="str">
        <f aca="false">IF(Data_Farmer!P73="","",Data_Farmer!P73)</f>
        <v/>
      </c>
      <c r="Q62" s="38" t="str">
        <f aca="false">IF(Data_Farmer!Q73="","",Data_Farmer!Q73)</f>
        <v/>
      </c>
      <c r="R62" s="38" t="str">
        <f aca="false">IF(Data_Farmer!R73="","",Data_Farmer!R73)</f>
        <v/>
      </c>
      <c r="S62" s="38" t="str">
        <f aca="false">IF(Data_Farmer!S73="","",Data_Farmer!S73)</f>
        <v/>
      </c>
      <c r="T62" s="38" t="str">
        <f aca="false">IF(Data_Farmer!T73="","",Data_Farmer!T73)</f>
        <v/>
      </c>
      <c r="U62" s="38" t="str">
        <f aca="false">IF(Data_Farmer!U73="","",Data_Farmer!U73)</f>
        <v/>
      </c>
      <c r="V62" s="38" t="str">
        <f aca="false">IF(Data_Farmer!V73="","",Data_Farmer!V73)</f>
        <v/>
      </c>
      <c r="W62" s="38" t="str">
        <f aca="false">IF(Data_Farmer!W73="","",Data_Farmer!W73)</f>
        <v/>
      </c>
      <c r="X62" s="38" t="str">
        <f aca="false">IF(Data_Farmer!X73="","",Data_Farmer!X73)</f>
        <v/>
      </c>
      <c r="Y62" s="38" t="str">
        <f aca="false">IF(Data_Farmer!Y73="","",Data_Farmer!Y73)</f>
        <v/>
      </c>
      <c r="Z62" s="38" t="str">
        <f aca="false">IF(Data_Farmer!Z73="","",Data_Farmer!Z73)</f>
        <v/>
      </c>
      <c r="AA62" s="38" t="str">
        <f aca="false">IF(Data_Farmer!AA73="","",Data_Farmer!AA73)</f>
        <v/>
      </c>
      <c r="AB62" s="38" t="str">
        <f aca="false">IF(Data_Farmer!AB73="","",Data_Farmer!AB73)</f>
        <v/>
      </c>
      <c r="AC62" s="38" t="str">
        <f aca="false">IF(Data_Farmer!AC73="","",Data_Farmer!AC73)</f>
        <v/>
      </c>
      <c r="AD62" s="38" t="str">
        <f aca="false">IF(Data_Farmer!AD73="","",Data_Farmer!AD73)</f>
        <v/>
      </c>
      <c r="AE62" s="38" t="str">
        <f aca="false">IF(Data_Farmer!AE73="","",Data_Farmer!AE73)</f>
        <v/>
      </c>
      <c r="AF62" s="38" t="str">
        <f aca="false">IF(Data_Farmer!AF73="","",Data_Farmer!AF73)</f>
        <v/>
      </c>
      <c r="AG62" s="38" t="str">
        <f aca="false">IF(Data_Farmer!AG73="","",Data_Farmer!AG73)</f>
        <v/>
      </c>
      <c r="AH62" s="38" t="str">
        <f aca="false">IF(Data_Farmer!AH73="","",Data_Farmer!AH73)</f>
        <v/>
      </c>
      <c r="AI62" s="38" t="str">
        <f aca="false">IF(Data_Farmer!AI73="","",Data_Farmer!AI73)</f>
        <v/>
      </c>
      <c r="AJ62" s="38" t="str">
        <f aca="false">IF(Data_Farmer!AJ73="","",Data_Farmer!AJ73)</f>
        <v/>
      </c>
      <c r="AK62" s="38" t="str">
        <f aca="false">IF(Data_Farmer!AK73="","",Data_Farmer!AK73)</f>
        <v/>
      </c>
      <c r="AL62" s="38" t="str">
        <f aca="false">IF(Data_Farmer!AL73="","",Data_Farmer!AL73)</f>
        <v/>
      </c>
      <c r="AM62" s="38" t="str">
        <f aca="false">IF(Data_Farmer!AM73="","",Data_Farmer!AM73)</f>
        <v/>
      </c>
      <c r="AN62" s="38" t="str">
        <f aca="false">IF(Data_Farmer!AN73="","",Data_Farmer!AN73)</f>
        <v/>
      </c>
      <c r="AO62" s="38" t="str">
        <f aca="false">IF(Data_Farmer!AO73="","",Data_Farmer!AO73)</f>
        <v/>
      </c>
      <c r="AP62" s="38" t="str">
        <f aca="false">IF(Data_Farmer!AP73="","",Data_Farmer!AP73)</f>
        <v/>
      </c>
      <c r="AQ62" s="38" t="str">
        <f aca="false">IF(Data_Farmer!AQ73="","",Data_Farmer!AQ73)</f>
        <v/>
      </c>
      <c r="AR62" s="38" t="str">
        <f aca="false">IF(Data_Farmer!AR73="","",Data_Farmer!AR73)</f>
        <v/>
      </c>
      <c r="AS62" s="38" t="str">
        <f aca="false">IF(Data_Farmer!AS73="","",Data_Farmer!AS73)</f>
        <v/>
      </c>
      <c r="AT62" s="38" t="str">
        <f aca="false">IF(Data_Farmer!AT73="","",Data_Farmer!AT73)</f>
        <v/>
      </c>
      <c r="AU62" s="38" t="str">
        <f aca="false">IF(Data_Farmer!AU73="","",Data_Farmer!AU73)</f>
        <v/>
      </c>
      <c r="AV62" s="38" t="str">
        <f aca="false">IF(Data_Farmer!AV73="","",Data_Farmer!AV73)</f>
        <v/>
      </c>
      <c r="AW62" s="38" t="str">
        <f aca="false">IF(Data_Farmer!AW73="","",Data_Farmer!AW73)</f>
        <v/>
      </c>
      <c r="AX62" s="38" t="str">
        <f aca="false">IF(Data_Farmer!AX73="","",Data_Farmer!AX73)</f>
        <v/>
      </c>
      <c r="AY62" s="38" t="str">
        <f aca="false">IF(Data_Farmer!AY73="","",Data_Farmer!AY73)</f>
        <v/>
      </c>
      <c r="AZ62" s="38" t="str">
        <f aca="false">IF(Data_Farmer!AZ73="","",Data_Farmer!AZ73)</f>
        <v/>
      </c>
      <c r="BA62" s="38" t="str">
        <f aca="false">IF(Data_Farmer!BA73="","",Data_Farmer!BA73)</f>
        <v/>
      </c>
      <c r="BB62" s="38" t="str">
        <f aca="false">IF(Data_Farmer!BB73="","",Data_Farmer!BB73)</f>
        <v/>
      </c>
      <c r="BC62" s="38" t="str">
        <f aca="false">IF(Data_Farmer!BC73="","",Data_Farmer!BC73)</f>
        <v/>
      </c>
      <c r="BD62" s="38" t="str">
        <f aca="false">IF(Data_Farmer!BD73="","",Data_Farmer!BD73)</f>
        <v/>
      </c>
      <c r="BE62" s="38" t="str">
        <f aca="false">IF(Data_Farmer!BE73="","",Data_Farmer!BE73)</f>
        <v/>
      </c>
      <c r="BF62" s="38" t="str">
        <f aca="false">IF(Data_Farmer!BF73="","",Data_Farmer!BF73)</f>
        <v/>
      </c>
      <c r="BG62" s="38" t="str">
        <f aca="false">IF(Data_Farmer!BG73="","",Data_Farmer!BG73)</f>
        <v/>
      </c>
      <c r="BH62" s="38" t="str">
        <f aca="false">IF(Data_Farmer!BH73="","",Data_Farmer!BH73)</f>
        <v/>
      </c>
      <c r="BI62" s="38" t="str">
        <f aca="false">IF(Data_Farmer!BI73="","",Data_Farmer!BI73)</f>
        <v/>
      </c>
      <c r="BJ62" s="38" t="str">
        <f aca="false">IF(Data_Farmer!BJ73="","",Data_Farmer!BJ73)</f>
        <v/>
      </c>
      <c r="BK62" s="38" t="str">
        <f aca="false">IF(Data_Farmer!BK73="","",Data_Farmer!BK73)</f>
        <v/>
      </c>
      <c r="BL62" s="38" t="str">
        <f aca="false">IF(Data_Farmer!BL73="","",Data_Farmer!BL73)</f>
        <v/>
      </c>
      <c r="BM62" s="38" t="str">
        <f aca="false">IF(Data_Farmer!BM73="","",Data_Farmer!BM73)</f>
        <v/>
      </c>
      <c r="BN62" s="38" t="str">
        <f aca="false">IF(Data_Farmer!BN73="","",Data_Farmer!BN73)</f>
        <v/>
      </c>
      <c r="BO62" s="38" t="str">
        <f aca="false">IF(Data_Farmer!BO73="","",Data_Farmer!BO73)</f>
        <v/>
      </c>
      <c r="BP62" s="38" t="str">
        <f aca="false">IF(Data_Farmer!BP73="","",Data_Farmer!BP73)</f>
        <v/>
      </c>
      <c r="BQ62" s="38" t="str">
        <f aca="false">IF(Data_Farmer!BQ73="","",Data_Farmer!BQ73)</f>
        <v/>
      </c>
      <c r="BR62" s="38" t="str">
        <f aca="false">IF(Data_Farmer!BR73="","",Data_Farmer!BR73)</f>
        <v/>
      </c>
      <c r="BS62" s="38" t="str">
        <f aca="false">IF(Data_Farmer!BS73="","",Data_Farmer!BS73)</f>
        <v/>
      </c>
      <c r="BT62" s="38" t="str">
        <f aca="false">IF(Data_Farmer!BT73="","",Data_Farmer!BT73)</f>
        <v/>
      </c>
      <c r="BU62" s="38" t="str">
        <f aca="false">IF(Data_Farmer!BU73="","",Data_Farmer!BU73)</f>
        <v/>
      </c>
      <c r="BV62" s="38" t="str">
        <f aca="false">IF(Data_Farmer!BV73="","",Data_Farmer!BV73)</f>
        <v/>
      </c>
      <c r="BW62" s="38" t="str">
        <f aca="false">IF(Data_Farmer!BW73="","",Data_Farmer!BW73)</f>
        <v/>
      </c>
      <c r="BX62" s="38" t="str">
        <f aca="false">IF(Data_Farmer!BX73="","",Data_Farmer!BX73)</f>
        <v/>
      </c>
      <c r="BY62" s="38" t="n">
        <f aca="false">IF(Data_Farmer!BY73="","",Data_Farmer!BY73)</f>
        <v>6.7</v>
      </c>
      <c r="BZ62" s="38" t="str">
        <f aca="false">IF(Data_Farmer!BZ73="","",Data_Farmer!BZ73)</f>
        <v/>
      </c>
      <c r="CA62" s="38" t="str">
        <f aca="false">IF(Data_Farmer!CA73="","",Data_Farmer!CA73)</f>
        <v/>
      </c>
      <c r="CB62" s="38" t="str">
        <f aca="false">IF(Data_Farmer!CB73="","",Data_Farmer!CB73)</f>
        <v/>
      </c>
      <c r="CC62" s="38" t="str">
        <f aca="false">IF(Data_Farmer!CC73="","",Data_Farmer!CC73)</f>
        <v/>
      </c>
      <c r="CD62" s="38" t="str">
        <f aca="false">IF(Data_Farmer!CD73="","",Data_Farmer!CD73)</f>
        <v/>
      </c>
      <c r="CE62" s="38" t="str">
        <f aca="false">IF(Data_Farmer!CE73="","",Data_Farmer!CE73)</f>
        <v/>
      </c>
      <c r="CF62" s="38" t="str">
        <f aca="false">IF(Data_Farmer!CF73="","",Data_Farmer!CF73)</f>
        <v/>
      </c>
      <c r="CG62" s="38" t="str">
        <f aca="false">IF(Data_Farmer!CG73="","",Data_Farmer!CG73)</f>
        <v/>
      </c>
      <c r="CH62" s="38" t="str">
        <f aca="false">IF(Data_Farmer!CH73="","",Data_Farmer!CH73)</f>
        <v/>
      </c>
      <c r="CI62" s="38" t="str">
        <f aca="false">IF(Data_Farmer!CI73="","",Data_Farmer!CI73)</f>
        <v/>
      </c>
      <c r="CJ62" s="38" t="str">
        <f aca="false">IF(Data_Farmer!CJ73="","",Data_Farmer!CJ73)</f>
        <v/>
      </c>
      <c r="CK62" s="38" t="str">
        <f aca="false">IF(Data_Farmer!CK73="","",Data_Farmer!CK73)</f>
        <v/>
      </c>
      <c r="CL62" s="38" t="str">
        <f aca="false">IF(Data_Farmer!CL73="","",Data_Farmer!CL73)</f>
        <v/>
      </c>
      <c r="CM62" s="38" t="str">
        <f aca="false">IF(Data_Farmer!CM73="","",Data_Farmer!CM73)</f>
        <v/>
      </c>
      <c r="CN62" s="38" t="n">
        <f aca="false">IF(Data_Farmer!CN73="","",Data_Farmer!CN73)</f>
        <v>12.7</v>
      </c>
      <c r="CO62" s="38" t="str">
        <f aca="false">IF(Data_Farmer!CO73="","",Data_Farmer!CO73)</f>
        <v/>
      </c>
      <c r="CP62" s="38" t="str">
        <f aca="false">IF(Data_Farmer!CP73="","",Data_Farmer!CP73)</f>
        <v/>
      </c>
      <c r="CQ62" s="38" t="str">
        <f aca="false">IF(Data_Farmer!CQ73="","",Data_Farmer!CQ73)</f>
        <v/>
      </c>
      <c r="CR62" s="38" t="str">
        <f aca="false">IF(Data_Farmer!CR73="","",Data_Farmer!CR73)</f>
        <v/>
      </c>
      <c r="CS62" s="38" t="str">
        <f aca="false">IF(Data_Farmer!CS73="","",Data_Farmer!CS73)</f>
        <v/>
      </c>
      <c r="CT62" s="38" t="str">
        <f aca="false">IF(Data_Farmer!CT73="","",Data_Farmer!CT73)</f>
        <v/>
      </c>
      <c r="CU62" s="38" t="str">
        <f aca="false">IF(Data_Farmer!CU73="","",Data_Farmer!CU73)</f>
        <v/>
      </c>
      <c r="CV62" s="38" t="str">
        <f aca="false">IF(Data_Farmer!CV73="","",Data_Farmer!CV73)</f>
        <v/>
      </c>
      <c r="CW62" s="38" t="str">
        <f aca="false">IF(Data_Farmer!CW73="","",Data_Farmer!CW73)</f>
        <v/>
      </c>
      <c r="CX62" s="38" t="str">
        <f aca="false">IF(Data_Farmer!CX73="","",Data_Farmer!CX73)</f>
        <v/>
      </c>
      <c r="CY62" s="38" t="str">
        <f aca="false">IF(Data_Farmer!CY73="","",Data_Farmer!CY73)</f>
        <v/>
      </c>
      <c r="CZ62" s="38" t="str">
        <f aca="false">IF(Data_Farmer!CZ73="","",Data_Farmer!CZ73)</f>
        <v/>
      </c>
      <c r="DA62" s="38" t="str">
        <f aca="false">IF(Data_Farmer!DA73="","",Data_Farmer!DA73)</f>
        <v/>
      </c>
      <c r="DB62" s="38" t="str">
        <f aca="false">IF(Data_Farmer!DB73="","",Data_Farmer!DB73)</f>
        <v/>
      </c>
      <c r="DC62" s="38" t="n">
        <f aca="false">IF(Data_Farmer!DC73="","",Data_Farmer!DC73)</f>
        <v>19</v>
      </c>
      <c r="DD62" s="38" t="str">
        <f aca="false">IF(Data_Farmer!DD73="","",Data_Farmer!DD73)</f>
        <v/>
      </c>
      <c r="DE62" s="38" t="str">
        <f aca="false">IF(Data_Farmer!DE73="","",Data_Farmer!DE73)</f>
        <v/>
      </c>
      <c r="DF62" s="38" t="str">
        <f aca="false">IF(Data_Farmer!DF73="","",Data_Farmer!DF73)</f>
        <v/>
      </c>
      <c r="DG62" s="38" t="str">
        <f aca="false">IF(Data_Farmer!DG73="","",Data_Farmer!DG73)</f>
        <v/>
      </c>
      <c r="DH62" s="38" t="str">
        <f aca="false">IF(Data_Farmer!DH73="","",Data_Farmer!DH73)</f>
        <v/>
      </c>
      <c r="DI62" s="38" t="str">
        <f aca="false">IF(Data_Farmer!DI73="","",Data_Farmer!DI73)</f>
        <v/>
      </c>
      <c r="DJ62" s="38" t="str">
        <f aca="false">IF(Data_Farmer!DJ73="","",Data_Farmer!DJ73)</f>
        <v/>
      </c>
      <c r="DK62" s="38" t="str">
        <f aca="false">IF(Data_Farmer!DK73="","",Data_Farmer!DK73)</f>
        <v/>
      </c>
      <c r="DL62" s="38" t="str">
        <f aca="false">IF(Data_Farmer!DL73="","",Data_Farmer!DL73)</f>
        <v/>
      </c>
      <c r="DM62" s="38" t="str">
        <f aca="false">IF(Data_Farmer!DM73="","",Data_Farmer!DM73)</f>
        <v/>
      </c>
      <c r="DN62" s="38" t="str">
        <f aca="false">IF(Data_Farmer!DN73="","",Data_Farmer!DN73)</f>
        <v/>
      </c>
      <c r="DO62" s="38" t="str">
        <f aca="false">IF(Data_Farmer!DO73="","",Data_Farmer!DO73)</f>
        <v/>
      </c>
      <c r="DP62" s="38" t="str">
        <f aca="false">IF(Data_Farmer!DP73="","",Data_Farmer!DP73)</f>
        <v/>
      </c>
      <c r="DQ62" s="38" t="str">
        <f aca="false">IF(Data_Farmer!DQ73="","",Data_Farmer!DQ73)</f>
        <v/>
      </c>
      <c r="DR62" s="38" t="n">
        <f aca="false">IF(Data_Farmer!DR73="","",Data_Farmer!DR73)</f>
        <v>20</v>
      </c>
      <c r="DS62" s="38" t="str">
        <f aca="false">IF(Data_Farmer!DS73="","",Data_Farmer!DS73)</f>
        <v/>
      </c>
      <c r="DT62" s="38" t="str">
        <f aca="false">IF(Data_Farmer!DT73="","",Data_Farmer!DT73)</f>
        <v/>
      </c>
      <c r="DU62" s="38" t="str">
        <f aca="false">IF(Data_Farmer!DU73="","",Data_Farmer!DU73)</f>
        <v/>
      </c>
      <c r="DV62" s="38" t="str">
        <f aca="false">IF(Data_Farmer!DV73="","",Data_Farmer!DV73)</f>
        <v/>
      </c>
      <c r="DW62" s="38" t="str">
        <f aca="false">IF(Data_Farmer!DW73="","",Data_Farmer!DW73)</f>
        <v/>
      </c>
      <c r="DX62" s="38" t="str">
        <f aca="false">IF(Data_Farmer!DX73="","",Data_Farmer!DX73)</f>
        <v/>
      </c>
      <c r="DY62" s="38" t="str">
        <f aca="false">IF(Data_Farmer!DY73="","",Data_Farmer!DY73)</f>
        <v/>
      </c>
      <c r="DZ62" s="38" t="str">
        <f aca="false">IF(Data_Farmer!DZ73="","",Data_Farmer!DZ73)</f>
        <v/>
      </c>
      <c r="EA62" s="38" t="str">
        <f aca="false">IF(Data_Farmer!EA73="","",Data_Farmer!EA73)</f>
        <v/>
      </c>
      <c r="EB62" s="38" t="str">
        <f aca="false">IF(Data_Farmer!EB73="","",Data_Farmer!EB73)</f>
        <v/>
      </c>
      <c r="EC62" s="38" t="str">
        <f aca="false">IF(Data_Farmer!EC73="","",Data_Farmer!EC73)</f>
        <v/>
      </c>
      <c r="ED62" s="38" t="str">
        <f aca="false">IF(Data_Farmer!ED73="","",Data_Farmer!ED73)</f>
        <v/>
      </c>
      <c r="EE62" s="38" t="str">
        <f aca="false">IF(Data_Farmer!EE73="","",Data_Farmer!EE73)</f>
        <v/>
      </c>
      <c r="EF62" s="38" t="str">
        <f aca="false">IF(Data_Farmer!EF73="","",Data_Farmer!EF73)</f>
        <v/>
      </c>
      <c r="EG62" s="38" t="str">
        <f aca="false">IF(Data_Farmer!EG73="","",Data_Farmer!EG73)</f>
        <v/>
      </c>
      <c r="EH62" s="38" t="str">
        <f aca="false">IF(Data_Farmer!EH73="","",Data_Farmer!EH73)</f>
        <v/>
      </c>
      <c r="EI62" s="38" t="str">
        <f aca="false">IF(Data_Farmer!EI73="","",Data_Farmer!EI73)</f>
        <v/>
      </c>
      <c r="EJ62" s="38" t="str">
        <f aca="false">IF(Data_Farmer!EJ73="","",Data_Farmer!EJ73)</f>
        <v/>
      </c>
      <c r="EK62" s="38" t="str">
        <f aca="false">IF(Data_Farmer!EK73="","",Data_Farmer!EK73)</f>
        <v/>
      </c>
      <c r="EL62" s="38" t="str">
        <f aca="false">IF(Data_Farmer!EL73="","",Data_Farmer!EL73)</f>
        <v/>
      </c>
      <c r="EM62" s="38" t="str">
        <f aca="false">IF(Data_Farmer!EM73="","",Data_Farmer!EM73)</f>
        <v/>
      </c>
      <c r="EN62" s="38" t="str">
        <f aca="false">IF(Data_Farmer!EN73="","",Data_Farmer!EN73)</f>
        <v/>
      </c>
      <c r="EO62" s="38" t="str">
        <f aca="false">IF(Data_Farmer!EO73="","",Data_Farmer!EO73)</f>
        <v/>
      </c>
      <c r="EP62" s="38" t="str">
        <f aca="false">IF(Data_Farmer!EP73="","",Data_Farmer!EP73)</f>
        <v/>
      </c>
      <c r="EQ62" s="38" t="str">
        <f aca="false">IF(Data_Farmer!EQ73="","",Data_Farmer!EQ73)</f>
        <v/>
      </c>
      <c r="ER62" s="38" t="str">
        <f aca="false">IF(Data_Farmer!ER73="","",Data_Farmer!ER73)</f>
        <v/>
      </c>
      <c r="ES62" s="38" t="str">
        <f aca="false">IF(Data_Farmer!ES73="","",Data_Farmer!ES73)</f>
        <v/>
      </c>
      <c r="ET62" s="38" t="str">
        <f aca="false">IF(Data_Farmer!ET73="","",Data_Farmer!ET73)</f>
        <v/>
      </c>
      <c r="EU62" s="38" t="str">
        <f aca="false">IF(Data_Farmer!EU73="","",Data_Farmer!EU73)</f>
        <v/>
      </c>
      <c r="EV62" s="38" t="str">
        <f aca="false">IF(Data_Farmer!EV73="","",Data_Farmer!EV73)</f>
        <v/>
      </c>
      <c r="EW62" s="38" t="str">
        <f aca="false">IF(Data_Farmer!EW73="","",Data_Farmer!EW73)</f>
        <v/>
      </c>
      <c r="EX62" s="38" t="str">
        <f aca="false">IF(Data_Farmer!EX73="","",Data_Farmer!EX73)</f>
        <v/>
      </c>
      <c r="EY62" s="38" t="str">
        <f aca="false">IF(Data_Farmer!EY73="","",Data_Farmer!EY73)</f>
        <v/>
      </c>
      <c r="EZ62" s="38" t="str">
        <f aca="false">IF(Data_Farmer!EZ73="","",Data_Farmer!EZ73)</f>
        <v/>
      </c>
      <c r="FA62" s="38" t="str">
        <f aca="false">IF(Data_Farmer!FA73="","",Data_Farmer!FA73)</f>
        <v/>
      </c>
      <c r="FB62" s="38" t="str">
        <f aca="false">IF(Data_Farmer!FB73="","",Data_Farmer!FB73)</f>
        <v/>
      </c>
      <c r="FC62" s="38" t="str">
        <f aca="false">IF(Data_Farmer!FC73="","",Data_Farmer!FC73)</f>
        <v/>
      </c>
      <c r="FD62" s="38" t="str">
        <f aca="false">IF(Data_Farmer!FD73="","",Data_Farmer!FD73)</f>
        <v/>
      </c>
      <c r="FE62" s="38" t="str">
        <f aca="false">IF(Data_Farmer!FE73="","",Data_Farmer!FE73)</f>
        <v/>
      </c>
      <c r="FF62" s="38" t="str">
        <f aca="false">IF(Data_Farmer!FF73="","",Data_Farmer!FF73)</f>
        <v/>
      </c>
      <c r="FG62" s="38" t="str">
        <f aca="false">IF(Data_Farmer!FG73="","",Data_Farmer!FG73)</f>
        <v/>
      </c>
      <c r="FH62" s="38" t="str">
        <f aca="false">IF(Data_Farmer!FH73="","",Data_Farmer!FH73)</f>
        <v/>
      </c>
      <c r="FI62" s="38" t="str">
        <f aca="false">IF(Data_Farmer!FI73="","",Data_Farmer!FI73)</f>
        <v/>
      </c>
      <c r="FJ62" s="38" t="str">
        <f aca="false">IF(Data_Farmer!FJ73="","",Data_Farmer!FJ73)</f>
        <v/>
      </c>
      <c r="FK62" s="38" t="str">
        <f aca="false">IF(Data_Farmer!FK73="","",Data_Farmer!FK73)</f>
        <v/>
      </c>
      <c r="FL62" s="38" t="str">
        <f aca="false">IF(Data_Farmer!FL73="","",Data_Farmer!FL73)</f>
        <v/>
      </c>
      <c r="FM62" s="38" t="str">
        <f aca="false">IF(Data_Farmer!FM73="","",Data_Farmer!FM73)</f>
        <v/>
      </c>
      <c r="FN62" s="38" t="str">
        <f aca="false">IF(Data_Farmer!FN73="","",Data_Farmer!FN73)</f>
        <v/>
      </c>
      <c r="FO62" s="38" t="str">
        <f aca="false">IF(Data_Farmer!FO73="","",Data_Farmer!FO73)</f>
        <v/>
      </c>
      <c r="FP62" s="38" t="str">
        <f aca="false">IF(Data_Farmer!FP73="","",Data_Farmer!FP73)</f>
        <v/>
      </c>
      <c r="FQ62" s="38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3" t="s">
        <v>226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4"/>
      <c r="B65" s="17" t="s">
        <v>227</v>
      </c>
      <c r="C65" s="35" t="s">
        <v>228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4"/>
      <c r="B66" s="17" t="s">
        <v>229</v>
      </c>
      <c r="C66" s="35" t="s">
        <v>230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6"/>
      <c r="B67" s="20" t="s">
        <v>231</v>
      </c>
      <c r="C67" s="37" t="s">
        <v>228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6"/>
      <c r="B68" s="20" t="s">
        <v>232</v>
      </c>
      <c r="C68" s="37" t="s">
        <v>230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3" t="s">
        <v>233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6"/>
      <c r="B71" s="20" t="s">
        <v>234</v>
      </c>
      <c r="C71" s="37" t="s">
        <v>235</v>
      </c>
      <c r="D71" s="18" t="s">
        <v>236</v>
      </c>
      <c r="E71" s="18"/>
      <c r="F71" s="18"/>
      <c r="G71" s="18" t="s">
        <v>237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238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239</v>
      </c>
      <c r="EK71" s="18"/>
      <c r="EL71" s="18"/>
      <c r="EM71" s="18"/>
      <c r="EN71" s="18"/>
      <c r="EO71" s="18"/>
      <c r="EP71" s="18"/>
      <c r="EQ71" s="18" t="s">
        <v>240</v>
      </c>
      <c r="ER71" s="18"/>
      <c r="ES71" s="18"/>
      <c r="ET71" s="18"/>
      <c r="EU71" s="18"/>
      <c r="EV71" s="18"/>
      <c r="EW71" s="18"/>
      <c r="EX71" s="18" t="s">
        <v>241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6"/>
      <c r="B72" s="20" t="s">
        <v>242</v>
      </c>
      <c r="C72" s="37" t="s">
        <v>243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4"/>
      <c r="B73" s="17" t="s">
        <v>244</v>
      </c>
      <c r="C73" s="35" t="s">
        <v>235</v>
      </c>
      <c r="D73" s="18" t="s">
        <v>236</v>
      </c>
      <c r="E73" s="18"/>
      <c r="F73" s="18"/>
      <c r="G73" s="18" t="s">
        <v>237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238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4"/>
      <c r="B74" s="17" t="s">
        <v>245</v>
      </c>
      <c r="C74" s="35" t="s">
        <v>243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3" t="s">
        <v>246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40"/>
      <c r="B77" s="41" t="s">
        <v>247</v>
      </c>
      <c r="C77" s="42" t="s">
        <v>193</v>
      </c>
      <c r="D77" s="18" t="s">
        <v>236</v>
      </c>
      <c r="E77" s="18"/>
      <c r="F77" s="18"/>
      <c r="G77" s="18" t="s">
        <v>248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40"/>
      <c r="B78" s="41" t="s">
        <v>249</v>
      </c>
      <c r="C78" s="42" t="s">
        <v>250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40"/>
      <c r="B79" s="41" t="s">
        <v>251</v>
      </c>
      <c r="C79" s="42" t="s">
        <v>250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40"/>
      <c r="B80" s="41" t="s">
        <v>252</v>
      </c>
      <c r="C80" s="42" t="s">
        <v>250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40"/>
      <c r="B81" s="41" t="s">
        <v>253</v>
      </c>
      <c r="C81" s="42" t="s">
        <v>250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40"/>
      <c r="B82" s="41" t="s">
        <v>254</v>
      </c>
      <c r="C82" s="42" t="s">
        <v>250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40"/>
      <c r="B83" s="41" t="s">
        <v>255</v>
      </c>
      <c r="C83" s="42" t="s">
        <v>250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40"/>
      <c r="B84" s="41" t="s">
        <v>256</v>
      </c>
      <c r="C84" s="42" t="s">
        <v>250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40"/>
      <c r="B85" s="41" t="s">
        <v>257</v>
      </c>
      <c r="C85" s="42" t="s">
        <v>250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40"/>
      <c r="B86" s="41" t="s">
        <v>258</v>
      </c>
      <c r="C86" s="42" t="s">
        <v>250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40"/>
      <c r="B87" s="41" t="s">
        <v>259</v>
      </c>
      <c r="C87" s="42" t="s">
        <v>193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40"/>
      <c r="B88" s="41" t="s">
        <v>260</v>
      </c>
      <c r="C88" s="42" t="s">
        <v>261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40"/>
      <c r="B89" s="41" t="s">
        <v>262</v>
      </c>
      <c r="C89" s="42" t="s">
        <v>261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3"/>
      <c r="B91" s="44" t="s">
        <v>263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  <c r="ET91" s="43"/>
      <c r="EU91" s="43"/>
      <c r="EV91" s="43"/>
      <c r="EW91" s="43"/>
      <c r="EX91" s="43"/>
      <c r="EY91" s="43"/>
      <c r="EZ91" s="43"/>
      <c r="FA91" s="43"/>
      <c r="FB91" s="43"/>
      <c r="FC91" s="43"/>
      <c r="FD91" s="43"/>
      <c r="FE91" s="43"/>
      <c r="FF91" s="43"/>
      <c r="FG91" s="43"/>
      <c r="FH91" s="43"/>
      <c r="FI91" s="43"/>
      <c r="FJ91" s="43"/>
      <c r="FK91" s="43"/>
      <c r="FL91" s="43"/>
      <c r="FM91" s="43"/>
      <c r="FN91" s="43"/>
      <c r="FO91" s="43"/>
      <c r="FP91" s="43"/>
      <c r="FQ91" s="43"/>
    </row>
    <row r="92" customFormat="false" ht="15" hidden="false" customHeight="false" outlineLevel="0" collapsed="false">
      <c r="A92" s="34"/>
      <c r="B92" s="17" t="s">
        <v>264</v>
      </c>
      <c r="C92" s="35" t="s">
        <v>193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103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103</v>
      </c>
      <c r="CB92" s="18"/>
      <c r="CC92" s="18"/>
      <c r="CD92" s="18"/>
      <c r="CE92" s="18"/>
      <c r="CF92" s="18"/>
      <c r="CG92" s="18"/>
      <c r="CH92" s="18"/>
      <c r="CI92" s="18" t="s">
        <v>265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103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265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4"/>
      <c r="B93" s="17" t="s">
        <v>266</v>
      </c>
      <c r="C93" s="35" t="s">
        <v>250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4"/>
      <c r="B94" s="17" t="s">
        <v>267</v>
      </c>
      <c r="C94" s="35" t="s">
        <v>250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4"/>
      <c r="B95" s="17" t="s">
        <v>268</v>
      </c>
      <c r="C95" s="35" t="s">
        <v>250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4"/>
      <c r="B96" s="17" t="s">
        <v>269</v>
      </c>
      <c r="C96" s="35" t="s">
        <v>250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4"/>
      <c r="B97" s="17" t="s">
        <v>270</v>
      </c>
      <c r="C97" s="35" t="s">
        <v>250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4"/>
      <c r="B98" s="17" t="s">
        <v>271</v>
      </c>
      <c r="C98" s="35" t="s">
        <v>250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4"/>
      <c r="B99" s="17" t="s">
        <v>272</v>
      </c>
      <c r="C99" s="35" t="s">
        <v>250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4"/>
      <c r="B100" s="17" t="s">
        <v>273</v>
      </c>
      <c r="C100" s="35" t="s">
        <v>250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4"/>
      <c r="B101" s="17" t="s">
        <v>274</v>
      </c>
      <c r="C101" s="35" t="s">
        <v>250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4"/>
      <c r="B102" s="17" t="s">
        <v>275</v>
      </c>
      <c r="C102" s="35" t="s">
        <v>250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4"/>
      <c r="B103" s="17" t="s">
        <v>276</v>
      </c>
      <c r="C103" s="35" t="s">
        <v>250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4"/>
      <c r="B104" s="17" t="s">
        <v>277</v>
      </c>
      <c r="C104" s="35" t="s">
        <v>250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4"/>
      <c r="B105" s="17" t="s">
        <v>278</v>
      </c>
      <c r="C105" s="35" t="s">
        <v>193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279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280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4"/>
      <c r="B106" s="17" t="s">
        <v>281</v>
      </c>
      <c r="C106" s="35" t="s">
        <v>261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282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283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4"/>
      <c r="B107" s="17" t="s">
        <v>284</v>
      </c>
      <c r="C107" s="35" t="s">
        <v>261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285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286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4"/>
      <c r="B108" s="17" t="s">
        <v>287</v>
      </c>
      <c r="C108" s="35" t="s">
        <v>201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4"/>
      <c r="B109" s="17" t="s">
        <v>288</v>
      </c>
      <c r="C109" s="35" t="s">
        <v>201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4"/>
      <c r="B110" s="17" t="s">
        <v>289</v>
      </c>
      <c r="C110" s="35" t="s">
        <v>261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290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291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292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5"/>
      <c r="B112" s="46" t="s">
        <v>293</v>
      </c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45"/>
      <c r="BS112" s="45"/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5"/>
      <c r="CG112" s="45"/>
      <c r="CH112" s="45"/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5"/>
      <c r="CV112" s="45"/>
      <c r="CW112" s="45"/>
      <c r="CX112" s="45"/>
      <c r="CY112" s="45"/>
      <c r="CZ112" s="45"/>
      <c r="DA112" s="45"/>
      <c r="DB112" s="45"/>
      <c r="DC112" s="45"/>
      <c r="DD112" s="45"/>
      <c r="DE112" s="45"/>
      <c r="DF112" s="45"/>
      <c r="DG112" s="45"/>
      <c r="DH112" s="45"/>
      <c r="DI112" s="45"/>
      <c r="DJ112" s="45"/>
      <c r="DK112" s="45"/>
      <c r="DL112" s="45"/>
      <c r="DM112" s="45"/>
      <c r="DN112" s="45"/>
      <c r="DO112" s="45"/>
      <c r="DP112" s="45"/>
      <c r="DQ112" s="45"/>
      <c r="DR112" s="45"/>
      <c r="DS112" s="45"/>
      <c r="DT112" s="45"/>
      <c r="DU112" s="45"/>
      <c r="DV112" s="45"/>
      <c r="DW112" s="45"/>
      <c r="DX112" s="45"/>
      <c r="DY112" s="45"/>
      <c r="DZ112" s="45"/>
      <c r="EA112" s="45"/>
      <c r="EB112" s="45"/>
      <c r="EC112" s="45"/>
      <c r="ED112" s="45"/>
      <c r="EE112" s="45"/>
      <c r="EF112" s="45"/>
      <c r="EG112" s="45"/>
      <c r="EH112" s="45"/>
      <c r="EI112" s="45"/>
      <c r="EJ112" s="45"/>
      <c r="EK112" s="45"/>
      <c r="EL112" s="45"/>
      <c r="EM112" s="45"/>
      <c r="EN112" s="45"/>
      <c r="EO112" s="45"/>
      <c r="EP112" s="45"/>
      <c r="EQ112" s="45"/>
      <c r="ER112" s="45"/>
      <c r="ES112" s="45"/>
      <c r="ET112" s="45"/>
      <c r="EU112" s="45"/>
      <c r="EV112" s="45"/>
      <c r="EW112" s="45"/>
      <c r="EX112" s="45"/>
      <c r="EY112" s="45"/>
      <c r="EZ112" s="45"/>
      <c r="FA112" s="45"/>
      <c r="FB112" s="45"/>
      <c r="FC112" s="45"/>
      <c r="FD112" s="45"/>
      <c r="FE112" s="45"/>
      <c r="FF112" s="45"/>
      <c r="FG112" s="45"/>
      <c r="FH112" s="45"/>
      <c r="FI112" s="45"/>
      <c r="FJ112" s="45"/>
      <c r="FK112" s="45"/>
      <c r="FL112" s="45"/>
      <c r="FM112" s="45"/>
      <c r="FN112" s="45"/>
      <c r="FO112" s="45"/>
      <c r="FP112" s="45"/>
      <c r="FQ112" s="45"/>
    </row>
    <row r="113" customFormat="false" ht="15" hidden="false" customHeight="false" outlineLevel="0" collapsed="false">
      <c r="A113" s="36"/>
      <c r="B113" s="20" t="s">
        <v>294</v>
      </c>
      <c r="C113" s="37" t="s">
        <v>193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103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103</v>
      </c>
      <c r="CB113" s="18"/>
      <c r="CC113" s="18"/>
      <c r="CD113" s="18"/>
      <c r="CE113" s="18"/>
      <c r="CF113" s="18"/>
      <c r="CG113" s="18"/>
      <c r="CH113" s="18"/>
      <c r="CI113" s="18" t="s">
        <v>265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103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6"/>
      <c r="B114" s="20" t="s">
        <v>295</v>
      </c>
      <c r="C114" s="37" t="s">
        <v>250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6"/>
      <c r="B115" s="20" t="s">
        <v>296</v>
      </c>
      <c r="C115" s="37" t="s">
        <v>250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6"/>
      <c r="B116" s="20" t="s">
        <v>297</v>
      </c>
      <c r="C116" s="37" t="s">
        <v>250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6"/>
      <c r="B117" s="20" t="s">
        <v>298</v>
      </c>
      <c r="C117" s="37" t="s">
        <v>250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6"/>
      <c r="B118" s="20" t="s">
        <v>299</v>
      </c>
      <c r="C118" s="37" t="s">
        <v>250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6"/>
      <c r="B119" s="20" t="s">
        <v>300</v>
      </c>
      <c r="C119" s="37" t="s">
        <v>250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6"/>
      <c r="B120" s="20" t="s">
        <v>301</v>
      </c>
      <c r="C120" s="37" t="s">
        <v>250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6"/>
      <c r="B121" s="20" t="s">
        <v>302</v>
      </c>
      <c r="C121" s="37" t="s">
        <v>250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6"/>
      <c r="B122" s="20" t="s">
        <v>303</v>
      </c>
      <c r="C122" s="37" t="s">
        <v>250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6"/>
      <c r="B123" s="20" t="s">
        <v>304</v>
      </c>
      <c r="C123" s="37" t="s">
        <v>250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6"/>
      <c r="B124" s="20" t="s">
        <v>305</v>
      </c>
      <c r="C124" s="37" t="s">
        <v>250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6"/>
      <c r="B125" s="20" t="s">
        <v>306</v>
      </c>
      <c r="C125" s="37" t="s">
        <v>250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6"/>
      <c r="B126" s="20" t="s">
        <v>307</v>
      </c>
      <c r="C126" s="37" t="s">
        <v>193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279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6"/>
      <c r="B127" s="20" t="s">
        <v>308</v>
      </c>
      <c r="C127" s="37" t="s">
        <v>261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282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6"/>
      <c r="B128" s="20" t="s">
        <v>309</v>
      </c>
      <c r="C128" s="37" t="s">
        <v>261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285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6"/>
      <c r="B129" s="20" t="s">
        <v>310</v>
      </c>
      <c r="C129" s="37" t="s">
        <v>201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6"/>
      <c r="B130" s="20" t="s">
        <v>311</v>
      </c>
      <c r="C130" s="37" t="s">
        <v>201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6"/>
      <c r="B131" s="20" t="s">
        <v>312</v>
      </c>
      <c r="C131" s="37" t="s">
        <v>261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290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291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292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313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157</v>
      </c>
      <c r="B4" s="48" t="n">
        <f aca="true">IF(ISNUMBER(TransDate),TODAY()-TransDate,"")</f>
        <v>271</v>
      </c>
    </row>
    <row r="5" customFormat="false" ht="15" hidden="false" customHeight="false" outlineLevel="0" collapsed="false">
      <c r="A5" s="10" t="s">
        <v>314</v>
      </c>
      <c r="B5" s="49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315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316</v>
      </c>
      <c r="B7" s="48" t="n">
        <f aca="true">IF(B6="","",MAX(0,TODAY()-B6-1))</f>
        <v>176</v>
      </c>
    </row>
    <row r="8" customFormat="false" ht="15" hidden="false" customHeight="false" outlineLevel="0" collapsed="false">
      <c r="A8" s="10" t="s">
        <v>317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318</v>
      </c>
      <c r="C10" s="15" t="s">
        <v>74</v>
      </c>
    </row>
    <row r="11" customFormat="false" ht="15" hidden="false" customHeight="false" outlineLevel="0" collapsed="false">
      <c r="A11" s="10" t="s">
        <v>319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320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321</v>
      </c>
      <c r="B13" s="48" t="str">
        <f aca="false">IF(B12="","",IF(B12&gt;0,"water above the soil surface",IF(B12&lt;0,"water below the soil surface","at the soil surface")))</f>
        <v>water below the soil surface</v>
      </c>
      <c r="C13" s="48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322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323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324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325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326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327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328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329</v>
      </c>
      <c r="C22" s="15" t="s">
        <v>147</v>
      </c>
    </row>
    <row r="23" customFormat="false" ht="15" hidden="false" customHeight="false" outlineLevel="0" collapsed="false">
      <c r="A23" s="10" t="s">
        <v>330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331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332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333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334</v>
      </c>
      <c r="B28" s="48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336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23.85" hidden="false" customHeight="false" outlineLevel="0" collapsed="false">
      <c r="A3" s="15" t="s">
        <v>337</v>
      </c>
      <c r="B3" s="15" t="s">
        <v>338</v>
      </c>
      <c r="C3" s="15" t="s">
        <v>339</v>
      </c>
      <c r="D3" s="15" t="s">
        <v>340</v>
      </c>
      <c r="E3" s="15" t="s">
        <v>341</v>
      </c>
      <c r="F3" s="15" t="s">
        <v>342</v>
      </c>
      <c r="G3" s="15" t="s">
        <v>343</v>
      </c>
      <c r="H3" s="15" t="s">
        <v>344</v>
      </c>
      <c r="I3" s="15" t="s">
        <v>345</v>
      </c>
      <c r="J3" s="15" t="s">
        <v>346</v>
      </c>
      <c r="K3" s="15" t="s">
        <v>347</v>
      </c>
      <c r="L3" s="15" t="s">
        <v>348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7" t="s">
        <v>349</v>
      </c>
    </row>
    <row r="5" customFormat="false" ht="15" hidden="false" customHeight="false" outlineLevel="0" collapsed="false">
      <c r="A5" s="54" t="s">
        <v>236</v>
      </c>
      <c r="B5" s="21" t="s">
        <v>350</v>
      </c>
      <c r="C5" s="21" t="s">
        <v>74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45990</v>
      </c>
      <c r="G5" s="51" t="str">
        <f aca="false">""</f>
        <v/>
      </c>
      <c r="H5" s="50" t="str">
        <f aca="true">IF(D5="","no plan",IF(F5&lt;&gt;"",IF(F5-D5&gt;=2,"LATE","OK"),IF(TODAY()&gt;D5+2,"OVERDUE","upcoming")))</f>
        <v>OK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237</v>
      </c>
      <c r="B6" s="21" t="s">
        <v>351</v>
      </c>
      <c r="C6" s="21" t="s">
        <v>74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45993</v>
      </c>
      <c r="G6" s="51" t="str">
        <f aca="false">""</f>
        <v/>
      </c>
      <c r="H6" s="50" t="str">
        <f aca="true">IF(D6="","no plan",IF(F6&lt;&gt;"",IF(F6-D6&gt;=2,"LATE","OK"),IF(TODAY()&gt;D6+2,"OVERDUE","upcoming")))</f>
        <v>OK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352</v>
      </c>
      <c r="B7" s="21" t="s">
        <v>353</v>
      </c>
      <c r="C7" s="21" t="s">
        <v>74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1" t="str">
        <f aca="false">""</f>
        <v/>
      </c>
      <c r="H7" s="50" t="str">
        <f aca="true">IF(D7="","no plan",IF(F7&lt;&gt;"",IF(F7-D7&gt;=2,"LATE","OK"),IF(TODAY()&gt;D7+2,"OVERDUE","upcoming")))</f>
        <v>OVERDUE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354</v>
      </c>
      <c r="B8" s="21" t="s">
        <v>355</v>
      </c>
      <c r="C8" s="21" t="s">
        <v>74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1" t="str">
        <f aca="false">""</f>
        <v/>
      </c>
      <c r="H8" s="50" t="str">
        <f aca="true">IF(D8="","no plan",IF(F8&lt;&gt;"",IF(F8-D8&gt;=2,"LATE","OK"),IF(TODAY()&gt;D8+2,"OVERDUE","upcoming")))</f>
        <v>OVERDUE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238</v>
      </c>
      <c r="B9" s="21" t="s">
        <v>356</v>
      </c>
      <c r="C9" s="21" t="s">
        <v>74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46042</v>
      </c>
      <c r="G9" s="51" t="str">
        <f aca="false">""</f>
        <v/>
      </c>
      <c r="H9" s="50" t="str">
        <f aca="true">IF(D9="","no plan",IF(F9&lt;&gt;"",IF(F9-D9&gt;=2,"LATE","OK"),IF(TODAY()&gt;D9+2,"OVERDUE","upcoming")))</f>
        <v>OK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357</v>
      </c>
      <c r="B10" s="21" t="s">
        <v>358</v>
      </c>
      <c r="C10" s="21" t="s">
        <v>74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1" t="str">
        <f aca="false">""</f>
        <v/>
      </c>
      <c r="H10" s="50" t="str">
        <f aca="true">IF(D10="","no plan",IF(F10&lt;&gt;"",IF(F10-D10&gt;=2,"LATE","OK"),IF(TODAY()&gt;D10+2,"OVERDUE","upcoming")))</f>
        <v>OVERDUE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359</v>
      </c>
      <c r="B11" s="21" t="s">
        <v>360</v>
      </c>
      <c r="C11" s="21" t="s">
        <v>74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1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0" t="str">
        <f aca="true">IF(D11="","no plan",IF(F11&lt;&gt;"",IF(F11-D11&gt;=2,"LATE","OK"),IF(TODAY()&gt;D11+2,"OVERDUE","upcoming")))</f>
        <v>OVERDUE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361</v>
      </c>
      <c r="B12" s="21" t="s">
        <v>362</v>
      </c>
      <c r="C12" s="21" t="s">
        <v>74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1" t="str">
        <f aca="false">""</f>
        <v/>
      </c>
      <c r="H12" s="50" t="str">
        <f aca="true">IF(D12="","no plan",IF(F12&lt;&gt;"",IF(F12-D12&gt;=2,"LATE","OK"),IF(TODAY()&gt;D12+2,"OVERDUE","upcoming")))</f>
        <v>OVERDUE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363</v>
      </c>
      <c r="B13" s="21" t="s">
        <v>364</v>
      </c>
      <c r="C13" s="21" t="s">
        <v>74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1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0" t="str">
        <f aca="true">IF(D13="","no plan",IF(F13&lt;&gt;"",IF(F13-D13&gt;=2,"LATE","OK"),IF(TODAY()&gt;D13+2,"OVERDUE","upcoming")))</f>
        <v>OVERDUE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365</v>
      </c>
      <c r="B14" s="21" t="s">
        <v>366</v>
      </c>
      <c r="C14" s="21" t="s">
        <v>74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1" t="str">
        <f aca="false">""</f>
        <v/>
      </c>
      <c r="H14" s="50" t="str">
        <f aca="true">IF(D14="","no plan",IF(F14&lt;&gt;"",IF(F14-D14&gt;=2,"LATE","OK"),IF(TODAY()&gt;D14+2,"OVERDUE","upcoming")))</f>
        <v>OVERDUE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367</v>
      </c>
      <c r="B15" s="21" t="s">
        <v>368</v>
      </c>
      <c r="C15" s="21" t="s">
        <v>74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1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0" t="str">
        <f aca="true">IF(D15="","no plan",IF(F15&lt;&gt;"",IF(F15-D15&gt;=2,"LATE","OK"),IF(TODAY()&gt;D15+2,"OVERDUE","upcoming")))</f>
        <v>OVERDUE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369</v>
      </c>
      <c r="B16" s="21" t="s">
        <v>370</v>
      </c>
      <c r="C16" s="21" t="s">
        <v>74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1" t="str">
        <f aca="false">""</f>
        <v/>
      </c>
      <c r="H16" s="50" t="str">
        <f aca="true">IF(D16="","no plan",IF(F16&lt;&gt;"",IF(F16-D16&gt;=2,"LATE","OK"),IF(TODAY()&gt;D16+2,"OVERDUE","upcoming")))</f>
        <v>OVERDUE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371</v>
      </c>
      <c r="B17" s="21" t="s">
        <v>372</v>
      </c>
      <c r="C17" s="21" t="s">
        <v>74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1" t="str">
        <f aca="false">""</f>
        <v/>
      </c>
      <c r="H17" s="50" t="str">
        <f aca="true">IF(D17="","no plan",IF(F17&lt;&gt;"",IF(F17-D17&gt;=2,"LATE","OK"),IF(TODAY()&gt;D17+2,"OVERDUE","upcoming")))</f>
        <v>OVERDUE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373</v>
      </c>
      <c r="B18" s="21" t="s">
        <v>374</v>
      </c>
      <c r="C18" s="21" t="s">
        <v>74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1" t="str">
        <f aca="false">""</f>
        <v/>
      </c>
      <c r="H18" s="50" t="str">
        <f aca="true">IF(D18="","no plan",IF(F18&lt;&gt;"",IF(F18-D18&gt;=2,"LATE","OK"),IF(TODAY()&gt;D18+2,"OVERDUE","upcoming")))</f>
        <v>OVERDUE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375</v>
      </c>
      <c r="B19" s="21" t="s">
        <v>376</v>
      </c>
      <c r="C19" s="21" t="s">
        <v>74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1" t="str">
        <f aca="false">""</f>
        <v/>
      </c>
      <c r="H19" s="50" t="str">
        <f aca="true">IF(D19="","no plan",IF(F19&lt;&gt;"",IF(F19-D19&gt;=2,"LATE","OK"),IF(TODAY()&gt;D19+2,"OVERDUE","upcoming")))</f>
        <v>OVERDUE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377</v>
      </c>
      <c r="B20" s="21" t="s">
        <v>378</v>
      </c>
      <c r="C20" s="21" t="s">
        <v>74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1" t="str">
        <f aca="false">""</f>
        <v/>
      </c>
      <c r="H20" s="50" t="str">
        <f aca="true">IF(D20="","no plan",IF(F20&lt;&gt;"",IF(F20-D20&gt;=2,"LATE","OK"),IF(TODAY()&gt;D20+2,"OVERDUE","upcoming")))</f>
        <v>OVERDUE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379</v>
      </c>
      <c r="B21" s="21" t="s">
        <v>380</v>
      </c>
      <c r="C21" s="21" t="s">
        <v>74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46126</v>
      </c>
      <c r="G21" s="51" t="str">
        <f aca="false">""</f>
        <v/>
      </c>
      <c r="H21" s="50" t="str">
        <f aca="true">IF(D21="","no plan",IF(F21&lt;&gt;"",IF(F21-D21&gt;=2,"LATE","OK"),IF(TODAY()&gt;D21+2,"OVERDUE","upcoming")))</f>
        <v>OK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381</v>
      </c>
      <c r="B22" s="21" t="s">
        <v>382</v>
      </c>
      <c r="C22" s="21" t="s">
        <v>74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46133</v>
      </c>
      <c r="G22" s="51" t="str">
        <f aca="false">""</f>
        <v/>
      </c>
      <c r="H22" s="50" t="str">
        <f aca="true">IF(D22="","no plan",IF(F22&lt;&gt;"",IF(F22-D22&gt;=2,"LATE","OK"),IF(TODAY()&gt;D22+2,"OVERDUE","upcoming")))</f>
        <v>OK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241</v>
      </c>
      <c r="B23" s="21" t="s">
        <v>383</v>
      </c>
      <c r="C23" s="21" t="s">
        <v>74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46140</v>
      </c>
      <c r="G23" s="51" t="str">
        <f aca="false">""</f>
        <v/>
      </c>
      <c r="H23" s="50" t="str">
        <f aca="true">IF(D23="","no plan",IF(F23&lt;&gt;"",IF(F23-D23&gt;=2,"LATE","OK"),IF(TODAY()&gt;D23+2,"OVERDUE","upcoming")))</f>
        <v>OK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384</v>
      </c>
      <c r="B24" s="21" t="s">
        <v>385</v>
      </c>
      <c r="C24" s="21" t="s">
        <v>74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1" t="str">
        <f aca="false">""</f>
        <v/>
      </c>
      <c r="H24" s="50" t="str">
        <f aca="true">IF(D24="","no plan",IF(F24&lt;&gt;"",IF(F24-D24&gt;=2,"LATE","OK"),IF(TODAY()&gt;D24+2,"OVERDUE","upcoming")))</f>
        <v>OVERDUE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386</v>
      </c>
      <c r="B25" s="21" t="s">
        <v>387</v>
      </c>
      <c r="C25" s="21" t="s">
        <v>74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1" t="str">
        <f aca="false">""</f>
        <v/>
      </c>
      <c r="H25" s="50" t="str">
        <f aca="true">IF(D25="","no plan",IF(F25&lt;&gt;"",IF(F25-D25&gt;=2,"LATE","OK"),IF(TODAY()&gt;D25+2,"OVERDUE","upcoming")))</f>
        <v>OVERDUE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7" t="s">
        <v>388</v>
      </c>
    </row>
    <row r="28" customFormat="false" ht="15" hidden="false" customHeight="false" outlineLevel="0" collapsed="false">
      <c r="A28" s="54" t="s">
        <v>236</v>
      </c>
      <c r="B28" s="21" t="s">
        <v>350</v>
      </c>
      <c r="C28" s="21" t="s">
        <v>318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45990</v>
      </c>
      <c r="G28" s="51" t="str">
        <f aca="false">""</f>
        <v/>
      </c>
      <c r="H28" s="50" t="str">
        <f aca="true">IF(D28="","no plan",IF(F28&lt;&gt;"",IF(F28-D28&gt;=2,"LATE","OK"),IF(TODAY()&gt;D28+2,"OVERDUE","upcoming")))</f>
        <v>OK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237</v>
      </c>
      <c r="B29" s="21" t="s">
        <v>351</v>
      </c>
      <c r="C29" s="21" t="s">
        <v>318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45993</v>
      </c>
      <c r="G29" s="51" t="str">
        <f aca="false">""</f>
        <v/>
      </c>
      <c r="H29" s="50" t="str">
        <f aca="true">IF(D29="","no plan",IF(F29&lt;&gt;"",IF(F29-D29&gt;=2,"LATE","OK"),IF(TODAY()&gt;D29+2,"OVERDUE","upcoming")))</f>
        <v>OK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352</v>
      </c>
      <c r="B30" s="21" t="s">
        <v>353</v>
      </c>
      <c r="C30" s="21" t="s">
        <v>318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1" t="str">
        <f aca="false">""</f>
        <v/>
      </c>
      <c r="H30" s="50" t="str">
        <f aca="true">IF(D30="","no plan",IF(F30&lt;&gt;"",IF(F30-D30&gt;=2,"LATE","OK"),IF(TODAY()&gt;D30+2,"OVERDUE","upcoming")))</f>
        <v>OVERDUE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354</v>
      </c>
      <c r="B31" s="21" t="s">
        <v>355</v>
      </c>
      <c r="C31" s="21" t="s">
        <v>318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1" t="str">
        <f aca="false">""</f>
        <v/>
      </c>
      <c r="H31" s="50" t="str">
        <f aca="true">IF(D31="","no plan",IF(F31&lt;&gt;"",IF(F31-D31&gt;=2,"LATE","OK"),IF(TODAY()&gt;D31+2,"OVERDUE","upcoming")))</f>
        <v>OVERDUE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238</v>
      </c>
      <c r="B32" s="21" t="s">
        <v>356</v>
      </c>
      <c r="C32" s="21" t="s">
        <v>318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46042</v>
      </c>
      <c r="G32" s="51" t="str">
        <f aca="false">""</f>
        <v/>
      </c>
      <c r="H32" s="50" t="str">
        <f aca="true">IF(D32="","no plan",IF(F32&lt;&gt;"",IF(F32-D32&gt;=2,"LATE","OK"),IF(TODAY()&gt;D32+2,"OVERDUE","upcoming")))</f>
        <v>OK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357</v>
      </c>
      <c r="B33" s="21" t="s">
        <v>358</v>
      </c>
      <c r="C33" s="21" t="s">
        <v>318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1" t="str">
        <f aca="false">""</f>
        <v/>
      </c>
      <c r="H33" s="50" t="str">
        <f aca="true">IF(D33="","no plan",IF(F33&lt;&gt;"",IF(F33-D33&gt;=2,"LATE","OK"),IF(TODAY()&gt;D33+2,"OVERDUE","upcoming")))</f>
        <v>OVERDUE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389</v>
      </c>
      <c r="B34" s="21" t="s">
        <v>360</v>
      </c>
      <c r="C34" s="21" t="s">
        <v>318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1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0" t="str">
        <f aca="true">IF(D34="","no plan",IF(F34&lt;&gt;"",IF(F34-D34&gt;=2,"LATE","OK"),IF(TODAY()&gt;D34+2,"OVERDUE","upcoming")))</f>
        <v>OVERDUE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390</v>
      </c>
      <c r="B35" s="21" t="s">
        <v>368</v>
      </c>
      <c r="C35" s="21" t="s">
        <v>318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1" t="str">
        <f aca="false">""</f>
        <v/>
      </c>
      <c r="H35" s="50" t="str">
        <f aca="true">IF(D35="","no plan",IF(F35&lt;&gt;"",IF(F35-D35&gt;=2,"LATE","OK"),IF(TODAY()&gt;D35+2,"OVERDUE","upcoming")))</f>
        <v>OVERDUE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375</v>
      </c>
      <c r="B36" s="21" t="s">
        <v>376</v>
      </c>
      <c r="C36" s="21" t="s">
        <v>318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1" t="str">
        <f aca="false">""</f>
        <v/>
      </c>
      <c r="H36" s="50" t="str">
        <f aca="true">IF(D36="","no plan",IF(F36&lt;&gt;"",IF(F36-D36&gt;=2,"LATE","OK"),IF(TODAY()&gt;D36+2,"OVERDUE","upcoming")))</f>
        <v>OVERDUE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384</v>
      </c>
      <c r="B37" s="21" t="s">
        <v>385</v>
      </c>
      <c r="C37" s="21" t="s">
        <v>318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1" t="str">
        <f aca="false">""</f>
        <v/>
      </c>
      <c r="H37" s="50" t="str">
        <f aca="true">IF(D37="","no plan",IF(F37&lt;&gt;"",IF(F37-D37&gt;=2,"LATE","OK"),IF(TODAY()&gt;D37+2,"OVERDUE","upcoming")))</f>
        <v>OVERDUE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386</v>
      </c>
      <c r="B38" s="21" t="s">
        <v>387</v>
      </c>
      <c r="C38" s="21" t="s">
        <v>318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1" t="str">
        <f aca="false">""</f>
        <v/>
      </c>
      <c r="H38" s="50" t="str">
        <f aca="true">IF(D38="","no plan",IF(F38&lt;&gt;"",IF(F38-D38&gt;=2,"LATE","OK"),IF(TODAY()&gt;D38+2,"OVERDUE","upcoming")))</f>
        <v>OVERDUE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391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7" t="s">
        <v>392</v>
      </c>
      <c r="C1" s="27" t="s">
        <v>393</v>
      </c>
      <c r="D1" s="28" t="n">
        <f aca="false">IF(ISNUMBER(DataStart),DataStart+0,"")</f>
        <v>45990</v>
      </c>
      <c r="E1" s="28" t="n">
        <f aca="false">IF(ISNUMBER(DataStart),DataStart+1,"")</f>
        <v>45991</v>
      </c>
      <c r="F1" s="28" t="n">
        <f aca="false">IF(ISNUMBER(DataStart),DataStart+2,"")</f>
        <v>45992</v>
      </c>
      <c r="G1" s="28" t="n">
        <f aca="false">IF(ISNUMBER(DataStart),DataStart+3,"")</f>
        <v>45993</v>
      </c>
      <c r="H1" s="28" t="n">
        <f aca="false">IF(ISNUMBER(DataStart),DataStart+4,"")</f>
        <v>45994</v>
      </c>
      <c r="I1" s="28" t="n">
        <f aca="false">IF(ISNUMBER(DataStart),DataStart+5,"")</f>
        <v>45995</v>
      </c>
      <c r="J1" s="28" t="n">
        <f aca="false">IF(ISNUMBER(DataStart),DataStart+6,"")</f>
        <v>45996</v>
      </c>
      <c r="K1" s="28" t="n">
        <f aca="false">IF(ISNUMBER(DataStart),DataStart+7,"")</f>
        <v>45997</v>
      </c>
      <c r="L1" s="28" t="n">
        <f aca="false">IF(ISNUMBER(DataStart),DataStart+8,"")</f>
        <v>45998</v>
      </c>
      <c r="M1" s="28" t="n">
        <f aca="false">IF(ISNUMBER(DataStart),DataStart+9,"")</f>
        <v>45999</v>
      </c>
      <c r="N1" s="28" t="n">
        <f aca="false">IF(ISNUMBER(DataStart),DataStart+10,"")</f>
        <v>46000</v>
      </c>
      <c r="O1" s="28" t="n">
        <f aca="false">IF(ISNUMBER(DataStart),DataStart+11,"")</f>
        <v>46001</v>
      </c>
      <c r="P1" s="28" t="n">
        <f aca="false">IF(ISNUMBER(DataStart),DataStart+12,"")</f>
        <v>46002</v>
      </c>
      <c r="Q1" s="28" t="n">
        <f aca="false">IF(ISNUMBER(DataStart),DataStart+13,"")</f>
        <v>46003</v>
      </c>
      <c r="R1" s="28" t="n">
        <f aca="false">IF(ISNUMBER(DataStart),DataStart+14,"")</f>
        <v>46004</v>
      </c>
      <c r="S1" s="28" t="n">
        <f aca="false">IF(ISNUMBER(DataStart),DataStart+15,"")</f>
        <v>46005</v>
      </c>
      <c r="T1" s="28" t="n">
        <f aca="false">IF(ISNUMBER(DataStart),DataStart+16,"")</f>
        <v>46006</v>
      </c>
      <c r="U1" s="28" t="n">
        <f aca="false">IF(ISNUMBER(DataStart),DataStart+17,"")</f>
        <v>46007</v>
      </c>
      <c r="V1" s="28" t="n">
        <f aca="false">IF(ISNUMBER(DataStart),DataStart+18,"")</f>
        <v>46008</v>
      </c>
      <c r="W1" s="28" t="n">
        <f aca="false">IF(ISNUMBER(DataStart),DataStart+19,"")</f>
        <v>46009</v>
      </c>
      <c r="X1" s="28" t="n">
        <f aca="false">IF(ISNUMBER(DataStart),DataStart+20,"")</f>
        <v>46010</v>
      </c>
      <c r="Y1" s="28" t="n">
        <f aca="false">IF(ISNUMBER(DataStart),DataStart+21,"")</f>
        <v>46011</v>
      </c>
      <c r="Z1" s="28" t="n">
        <f aca="false">IF(ISNUMBER(DataStart),DataStart+22,"")</f>
        <v>46012</v>
      </c>
      <c r="AA1" s="28" t="n">
        <f aca="false">IF(ISNUMBER(DataStart),DataStart+23,"")</f>
        <v>46013</v>
      </c>
      <c r="AB1" s="28" t="n">
        <f aca="false">IF(ISNUMBER(DataStart),DataStart+24,"")</f>
        <v>46014</v>
      </c>
      <c r="AC1" s="28" t="n">
        <f aca="false">IF(ISNUMBER(DataStart),DataStart+25,"")</f>
        <v>46015</v>
      </c>
      <c r="AD1" s="28" t="n">
        <f aca="false">IF(ISNUMBER(DataStart),DataStart+26,"")</f>
        <v>46016</v>
      </c>
      <c r="AE1" s="28" t="n">
        <f aca="false">IF(ISNUMBER(DataStart),DataStart+27,"")</f>
        <v>46017</v>
      </c>
      <c r="AF1" s="28" t="n">
        <f aca="false">IF(ISNUMBER(DataStart),DataStart+28,"")</f>
        <v>46018</v>
      </c>
      <c r="AG1" s="28" t="n">
        <f aca="false">IF(ISNUMBER(DataStart),DataStart+29,"")</f>
        <v>46019</v>
      </c>
      <c r="AH1" s="28" t="n">
        <f aca="false">IF(ISNUMBER(DataStart),DataStart+30,"")</f>
        <v>46020</v>
      </c>
      <c r="AI1" s="28" t="n">
        <f aca="false">IF(ISNUMBER(DataStart),DataStart+31,"")</f>
        <v>46021</v>
      </c>
      <c r="AJ1" s="28" t="n">
        <f aca="false">IF(ISNUMBER(DataStart),DataStart+32,"")</f>
        <v>46022</v>
      </c>
      <c r="AK1" s="28" t="n">
        <f aca="false">IF(ISNUMBER(DataStart),DataStart+33,"")</f>
        <v>46023</v>
      </c>
      <c r="AL1" s="28" t="n">
        <f aca="false">IF(ISNUMBER(DataStart),DataStart+34,"")</f>
        <v>46024</v>
      </c>
      <c r="AM1" s="28" t="n">
        <f aca="false">IF(ISNUMBER(DataStart),DataStart+35,"")</f>
        <v>46025</v>
      </c>
      <c r="AN1" s="28" t="n">
        <f aca="false">IF(ISNUMBER(DataStart),DataStart+36,"")</f>
        <v>46026</v>
      </c>
      <c r="AO1" s="28" t="n">
        <f aca="false">IF(ISNUMBER(DataStart),DataStart+37,"")</f>
        <v>46027</v>
      </c>
      <c r="AP1" s="28" t="n">
        <f aca="false">IF(ISNUMBER(DataStart),DataStart+38,"")</f>
        <v>46028</v>
      </c>
      <c r="AQ1" s="28" t="n">
        <f aca="false">IF(ISNUMBER(DataStart),DataStart+39,"")</f>
        <v>46029</v>
      </c>
      <c r="AR1" s="28" t="n">
        <f aca="false">IF(ISNUMBER(DataStart),DataStart+40,"")</f>
        <v>46030</v>
      </c>
      <c r="AS1" s="28" t="n">
        <f aca="false">IF(ISNUMBER(DataStart),DataStart+41,"")</f>
        <v>46031</v>
      </c>
      <c r="AT1" s="28" t="n">
        <f aca="false">IF(ISNUMBER(DataStart),DataStart+42,"")</f>
        <v>46032</v>
      </c>
      <c r="AU1" s="28" t="n">
        <f aca="false">IF(ISNUMBER(DataStart),DataStart+43,"")</f>
        <v>46033</v>
      </c>
      <c r="AV1" s="28" t="n">
        <f aca="false">IF(ISNUMBER(DataStart),DataStart+44,"")</f>
        <v>46034</v>
      </c>
      <c r="AW1" s="28" t="n">
        <f aca="false">IF(ISNUMBER(DataStart),DataStart+45,"")</f>
        <v>46035</v>
      </c>
      <c r="AX1" s="28" t="n">
        <f aca="false">IF(ISNUMBER(DataStart),DataStart+46,"")</f>
        <v>46036</v>
      </c>
      <c r="AY1" s="28" t="n">
        <f aca="false">IF(ISNUMBER(DataStart),DataStart+47,"")</f>
        <v>46037</v>
      </c>
      <c r="AZ1" s="28" t="n">
        <f aca="false">IF(ISNUMBER(DataStart),DataStart+48,"")</f>
        <v>46038</v>
      </c>
      <c r="BA1" s="28" t="n">
        <f aca="false">IF(ISNUMBER(DataStart),DataStart+49,"")</f>
        <v>46039</v>
      </c>
      <c r="BB1" s="28" t="n">
        <f aca="false">IF(ISNUMBER(DataStart),DataStart+50,"")</f>
        <v>46040</v>
      </c>
      <c r="BC1" s="28" t="n">
        <f aca="false">IF(ISNUMBER(DataStart),DataStart+51,"")</f>
        <v>46041</v>
      </c>
      <c r="BD1" s="28" t="n">
        <f aca="false">IF(ISNUMBER(DataStart),DataStart+52,"")</f>
        <v>46042</v>
      </c>
      <c r="BE1" s="28" t="n">
        <f aca="false">IF(ISNUMBER(DataStart),DataStart+53,"")</f>
        <v>46043</v>
      </c>
      <c r="BF1" s="28" t="n">
        <f aca="false">IF(ISNUMBER(DataStart),DataStart+54,"")</f>
        <v>46044</v>
      </c>
      <c r="BG1" s="28" t="n">
        <f aca="false">IF(ISNUMBER(DataStart),DataStart+55,"")</f>
        <v>46045</v>
      </c>
      <c r="BH1" s="28" t="n">
        <f aca="false">IF(ISNUMBER(DataStart),DataStart+56,"")</f>
        <v>46046</v>
      </c>
      <c r="BI1" s="28" t="n">
        <f aca="false">IF(ISNUMBER(DataStart),DataStart+57,"")</f>
        <v>46047</v>
      </c>
      <c r="BJ1" s="28" t="n">
        <f aca="false">IF(ISNUMBER(DataStart),DataStart+58,"")</f>
        <v>46048</v>
      </c>
      <c r="BK1" s="28" t="n">
        <f aca="false">IF(ISNUMBER(DataStart),DataStart+59,"")</f>
        <v>46049</v>
      </c>
      <c r="BL1" s="28" t="n">
        <f aca="false">IF(ISNUMBER(DataStart),DataStart+60,"")</f>
        <v>46050</v>
      </c>
      <c r="BM1" s="28" t="n">
        <f aca="false">IF(ISNUMBER(DataStart),DataStart+61,"")</f>
        <v>46051</v>
      </c>
      <c r="BN1" s="28" t="n">
        <f aca="false">IF(ISNUMBER(DataStart),DataStart+62,"")</f>
        <v>46052</v>
      </c>
      <c r="BO1" s="28" t="n">
        <f aca="false">IF(ISNUMBER(DataStart),DataStart+63,"")</f>
        <v>46053</v>
      </c>
      <c r="BP1" s="28" t="n">
        <f aca="false">IF(ISNUMBER(DataStart),DataStart+64,"")</f>
        <v>46054</v>
      </c>
      <c r="BQ1" s="28" t="n">
        <f aca="false">IF(ISNUMBER(DataStart),DataStart+65,"")</f>
        <v>46055</v>
      </c>
      <c r="BR1" s="28" t="n">
        <f aca="false">IF(ISNUMBER(DataStart),DataStart+66,"")</f>
        <v>46056</v>
      </c>
      <c r="BS1" s="28" t="n">
        <f aca="false">IF(ISNUMBER(DataStart),DataStart+67,"")</f>
        <v>46057</v>
      </c>
      <c r="BT1" s="28" t="n">
        <f aca="false">IF(ISNUMBER(DataStart),DataStart+68,"")</f>
        <v>46058</v>
      </c>
      <c r="BU1" s="28" t="n">
        <f aca="false">IF(ISNUMBER(DataStart),DataStart+69,"")</f>
        <v>46059</v>
      </c>
      <c r="BV1" s="28" t="n">
        <f aca="false">IF(ISNUMBER(DataStart),DataStart+70,"")</f>
        <v>46060</v>
      </c>
      <c r="BW1" s="28" t="n">
        <f aca="false">IF(ISNUMBER(DataStart),DataStart+71,"")</f>
        <v>46061</v>
      </c>
      <c r="BX1" s="28" t="n">
        <f aca="false">IF(ISNUMBER(DataStart),DataStart+72,"")</f>
        <v>46062</v>
      </c>
      <c r="BY1" s="28" t="n">
        <f aca="false">IF(ISNUMBER(DataStart),DataStart+73,"")</f>
        <v>46063</v>
      </c>
      <c r="BZ1" s="28" t="n">
        <f aca="false">IF(ISNUMBER(DataStart),DataStart+74,"")</f>
        <v>46064</v>
      </c>
      <c r="CA1" s="28" t="n">
        <f aca="false">IF(ISNUMBER(DataStart),DataStart+75,"")</f>
        <v>46065</v>
      </c>
      <c r="CB1" s="28" t="n">
        <f aca="false">IF(ISNUMBER(DataStart),DataStart+76,"")</f>
        <v>46066</v>
      </c>
      <c r="CC1" s="28" t="n">
        <f aca="false">IF(ISNUMBER(DataStart),DataStart+77,"")</f>
        <v>46067</v>
      </c>
      <c r="CD1" s="28" t="n">
        <f aca="false">IF(ISNUMBER(DataStart),DataStart+78,"")</f>
        <v>46068</v>
      </c>
      <c r="CE1" s="28" t="n">
        <f aca="false">IF(ISNUMBER(DataStart),DataStart+79,"")</f>
        <v>46069</v>
      </c>
      <c r="CF1" s="28" t="n">
        <f aca="false">IF(ISNUMBER(DataStart),DataStart+80,"")</f>
        <v>46070</v>
      </c>
      <c r="CG1" s="28" t="n">
        <f aca="false">IF(ISNUMBER(DataStart),DataStart+81,"")</f>
        <v>46071</v>
      </c>
      <c r="CH1" s="28" t="n">
        <f aca="false">IF(ISNUMBER(DataStart),DataStart+82,"")</f>
        <v>46072</v>
      </c>
      <c r="CI1" s="28" t="n">
        <f aca="false">IF(ISNUMBER(DataStart),DataStart+83,"")</f>
        <v>46073</v>
      </c>
      <c r="CJ1" s="28" t="n">
        <f aca="false">IF(ISNUMBER(DataStart),DataStart+84,"")</f>
        <v>46074</v>
      </c>
      <c r="CK1" s="28" t="n">
        <f aca="false">IF(ISNUMBER(DataStart),DataStart+85,"")</f>
        <v>46075</v>
      </c>
      <c r="CL1" s="28" t="n">
        <f aca="false">IF(ISNUMBER(DataStart),DataStart+86,"")</f>
        <v>46076</v>
      </c>
      <c r="CM1" s="28" t="n">
        <f aca="false">IF(ISNUMBER(DataStart),DataStart+87,"")</f>
        <v>46077</v>
      </c>
      <c r="CN1" s="28" t="n">
        <f aca="false">IF(ISNUMBER(DataStart),DataStart+88,"")</f>
        <v>46078</v>
      </c>
      <c r="CO1" s="28" t="n">
        <f aca="false">IF(ISNUMBER(DataStart),DataStart+89,"")</f>
        <v>46079</v>
      </c>
      <c r="CP1" s="28" t="n">
        <f aca="false">IF(ISNUMBER(DataStart),DataStart+90,"")</f>
        <v>46080</v>
      </c>
      <c r="CQ1" s="28" t="n">
        <f aca="false">IF(ISNUMBER(DataStart),DataStart+91,"")</f>
        <v>46081</v>
      </c>
      <c r="CR1" s="28" t="n">
        <f aca="false">IF(ISNUMBER(DataStart),DataStart+92,"")</f>
        <v>46082</v>
      </c>
      <c r="CS1" s="28" t="n">
        <f aca="false">IF(ISNUMBER(DataStart),DataStart+93,"")</f>
        <v>46083</v>
      </c>
      <c r="CT1" s="28" t="n">
        <f aca="false">IF(ISNUMBER(DataStart),DataStart+94,"")</f>
        <v>46084</v>
      </c>
      <c r="CU1" s="28" t="n">
        <f aca="false">IF(ISNUMBER(DataStart),DataStart+95,"")</f>
        <v>46085</v>
      </c>
      <c r="CV1" s="28" t="n">
        <f aca="false">IF(ISNUMBER(DataStart),DataStart+96,"")</f>
        <v>46086</v>
      </c>
      <c r="CW1" s="28" t="n">
        <f aca="false">IF(ISNUMBER(DataStart),DataStart+97,"")</f>
        <v>46087</v>
      </c>
      <c r="CX1" s="28" t="n">
        <f aca="false">IF(ISNUMBER(DataStart),DataStart+98,"")</f>
        <v>46088</v>
      </c>
      <c r="CY1" s="28" t="n">
        <f aca="false">IF(ISNUMBER(DataStart),DataStart+99,"")</f>
        <v>46089</v>
      </c>
      <c r="CZ1" s="28" t="n">
        <f aca="false">IF(ISNUMBER(DataStart),DataStart+100,"")</f>
        <v>46090</v>
      </c>
      <c r="DA1" s="28" t="n">
        <f aca="false">IF(ISNUMBER(DataStart),DataStart+101,"")</f>
        <v>46091</v>
      </c>
      <c r="DB1" s="28" t="n">
        <f aca="false">IF(ISNUMBER(DataStart),DataStart+102,"")</f>
        <v>46092</v>
      </c>
      <c r="DC1" s="28" t="n">
        <f aca="false">IF(ISNUMBER(DataStart),DataStart+103,"")</f>
        <v>46093</v>
      </c>
      <c r="DD1" s="28" t="n">
        <f aca="false">IF(ISNUMBER(DataStart),DataStart+104,"")</f>
        <v>46094</v>
      </c>
      <c r="DE1" s="28" t="n">
        <f aca="false">IF(ISNUMBER(DataStart),DataStart+105,"")</f>
        <v>46095</v>
      </c>
      <c r="DF1" s="28" t="n">
        <f aca="false">IF(ISNUMBER(DataStart),DataStart+106,"")</f>
        <v>46096</v>
      </c>
      <c r="DG1" s="28" t="n">
        <f aca="false">IF(ISNUMBER(DataStart),DataStart+107,"")</f>
        <v>46097</v>
      </c>
      <c r="DH1" s="28" t="n">
        <f aca="false">IF(ISNUMBER(DataStart),DataStart+108,"")</f>
        <v>46098</v>
      </c>
      <c r="DI1" s="28" t="n">
        <f aca="false">IF(ISNUMBER(DataStart),DataStart+109,"")</f>
        <v>46099</v>
      </c>
      <c r="DJ1" s="28" t="n">
        <f aca="false">IF(ISNUMBER(DataStart),DataStart+110,"")</f>
        <v>46100</v>
      </c>
      <c r="DK1" s="28" t="n">
        <f aca="false">IF(ISNUMBER(DataStart),DataStart+111,"")</f>
        <v>46101</v>
      </c>
      <c r="DL1" s="28" t="n">
        <f aca="false">IF(ISNUMBER(DataStart),DataStart+112,"")</f>
        <v>46102</v>
      </c>
      <c r="DM1" s="28" t="n">
        <f aca="false">IF(ISNUMBER(DataStart),DataStart+113,"")</f>
        <v>46103</v>
      </c>
      <c r="DN1" s="28" t="n">
        <f aca="false">IF(ISNUMBER(DataStart),DataStart+114,"")</f>
        <v>46104</v>
      </c>
      <c r="DO1" s="28" t="n">
        <f aca="false">IF(ISNUMBER(DataStart),DataStart+115,"")</f>
        <v>46105</v>
      </c>
      <c r="DP1" s="28" t="n">
        <f aca="false">IF(ISNUMBER(DataStart),DataStart+116,"")</f>
        <v>46106</v>
      </c>
      <c r="DQ1" s="28" t="n">
        <f aca="false">IF(ISNUMBER(DataStart),DataStart+117,"")</f>
        <v>46107</v>
      </c>
      <c r="DR1" s="28" t="n">
        <f aca="false">IF(ISNUMBER(DataStart),DataStart+118,"")</f>
        <v>46108</v>
      </c>
      <c r="DS1" s="28" t="n">
        <f aca="false">IF(ISNUMBER(DataStart),DataStart+119,"")</f>
        <v>46109</v>
      </c>
      <c r="DT1" s="28" t="n">
        <f aca="false">IF(ISNUMBER(DataStart),DataStart+120,"")</f>
        <v>46110</v>
      </c>
      <c r="DU1" s="28" t="n">
        <f aca="false">IF(ISNUMBER(DataStart),DataStart+121,"")</f>
        <v>46111</v>
      </c>
      <c r="DV1" s="28" t="n">
        <f aca="false">IF(ISNUMBER(DataStart),DataStart+122,"")</f>
        <v>46112</v>
      </c>
      <c r="DW1" s="28" t="n">
        <f aca="false">IF(ISNUMBER(DataStart),DataStart+123,"")</f>
        <v>46113</v>
      </c>
      <c r="DX1" s="28" t="n">
        <f aca="false">IF(ISNUMBER(DataStart),DataStart+124,"")</f>
        <v>46114</v>
      </c>
      <c r="DY1" s="28" t="n">
        <f aca="false">IF(ISNUMBER(DataStart),DataStart+125,"")</f>
        <v>46115</v>
      </c>
      <c r="DZ1" s="28" t="n">
        <f aca="false">IF(ISNUMBER(DataStart),DataStart+126,"")</f>
        <v>46116</v>
      </c>
      <c r="EA1" s="28" t="n">
        <f aca="false">IF(ISNUMBER(DataStart),DataStart+127,"")</f>
        <v>46117</v>
      </c>
      <c r="EB1" s="28" t="n">
        <f aca="false">IF(ISNUMBER(DataStart),DataStart+128,"")</f>
        <v>46118</v>
      </c>
      <c r="EC1" s="28" t="n">
        <f aca="false">IF(ISNUMBER(DataStart),DataStart+129,"")</f>
        <v>46119</v>
      </c>
      <c r="ED1" s="28" t="n">
        <f aca="false">IF(ISNUMBER(DataStart),DataStart+130,"")</f>
        <v>46120</v>
      </c>
      <c r="EE1" s="28" t="n">
        <f aca="false">IF(ISNUMBER(DataStart),DataStart+131,"")</f>
        <v>46121</v>
      </c>
      <c r="EF1" s="28" t="n">
        <f aca="false">IF(ISNUMBER(DataStart),DataStart+132,"")</f>
        <v>46122</v>
      </c>
      <c r="EG1" s="28" t="n">
        <f aca="false">IF(ISNUMBER(DataStart),DataStart+133,"")</f>
        <v>46123</v>
      </c>
      <c r="EH1" s="28" t="n">
        <f aca="false">IF(ISNUMBER(DataStart),DataStart+134,"")</f>
        <v>46124</v>
      </c>
      <c r="EI1" s="28" t="n">
        <f aca="false">IF(ISNUMBER(DataStart),DataStart+135,"")</f>
        <v>46125</v>
      </c>
      <c r="EJ1" s="28" t="n">
        <f aca="false">IF(ISNUMBER(DataStart),DataStart+136,"")</f>
        <v>46126</v>
      </c>
      <c r="EK1" s="28" t="n">
        <f aca="false">IF(ISNUMBER(DataStart),DataStart+137,"")</f>
        <v>46127</v>
      </c>
      <c r="EL1" s="28" t="n">
        <f aca="false">IF(ISNUMBER(DataStart),DataStart+138,"")</f>
        <v>46128</v>
      </c>
      <c r="EM1" s="28" t="n">
        <f aca="false">IF(ISNUMBER(DataStart),DataStart+139,"")</f>
        <v>46129</v>
      </c>
      <c r="EN1" s="28" t="n">
        <f aca="false">IF(ISNUMBER(DataStart),DataStart+140,"")</f>
        <v>46130</v>
      </c>
      <c r="EO1" s="28" t="n">
        <f aca="false">IF(ISNUMBER(DataStart),DataStart+141,"")</f>
        <v>46131</v>
      </c>
      <c r="EP1" s="28" t="n">
        <f aca="false">IF(ISNUMBER(DataStart),DataStart+142,"")</f>
        <v>46132</v>
      </c>
      <c r="EQ1" s="28" t="n">
        <f aca="false">IF(ISNUMBER(DataStart),DataStart+143,"")</f>
        <v>46133</v>
      </c>
      <c r="ER1" s="28" t="n">
        <f aca="false">IF(ISNUMBER(DataStart),DataStart+144,"")</f>
        <v>46134</v>
      </c>
      <c r="ES1" s="28" t="n">
        <f aca="false">IF(ISNUMBER(DataStart),DataStart+145,"")</f>
        <v>46135</v>
      </c>
      <c r="ET1" s="28" t="n">
        <f aca="false">IF(ISNUMBER(DataStart),DataStart+146,"")</f>
        <v>46136</v>
      </c>
      <c r="EU1" s="28" t="n">
        <f aca="false">IF(ISNUMBER(DataStart),DataStart+147,"")</f>
        <v>46137</v>
      </c>
      <c r="EV1" s="28" t="n">
        <f aca="false">IF(ISNUMBER(DataStart),DataStart+148,"")</f>
        <v>46138</v>
      </c>
      <c r="EW1" s="28" t="n">
        <f aca="false">IF(ISNUMBER(DataStart),DataStart+149,"")</f>
        <v>46139</v>
      </c>
      <c r="EX1" s="28" t="n">
        <f aca="false">IF(ISNUMBER(DataStart),DataStart+150,"")</f>
        <v>46140</v>
      </c>
      <c r="EY1" s="28" t="n">
        <f aca="false">IF(ISNUMBER(DataStart),DataStart+151,"")</f>
        <v>46141</v>
      </c>
      <c r="EZ1" s="28" t="n">
        <f aca="false">IF(ISNUMBER(DataStart),DataStart+152,"")</f>
        <v>46142</v>
      </c>
      <c r="FA1" s="28" t="n">
        <f aca="false">IF(ISNUMBER(DataStart),DataStart+153,"")</f>
        <v>46143</v>
      </c>
      <c r="FB1" s="28" t="n">
        <f aca="false">IF(ISNUMBER(DataStart),DataStart+154,"")</f>
        <v>46144</v>
      </c>
      <c r="FC1" s="28" t="n">
        <f aca="false">IF(ISNUMBER(DataStart),DataStart+155,"")</f>
        <v>46145</v>
      </c>
      <c r="FD1" s="28" t="n">
        <f aca="false">IF(ISNUMBER(DataStart),DataStart+156,"")</f>
        <v>46146</v>
      </c>
      <c r="FE1" s="28" t="n">
        <f aca="false">IF(ISNUMBER(DataStart),DataStart+157,"")</f>
        <v>46147</v>
      </c>
      <c r="FF1" s="28" t="n">
        <f aca="false">IF(ISNUMBER(DataStart),DataStart+158,"")</f>
        <v>46148</v>
      </c>
      <c r="FG1" s="28" t="n">
        <f aca="false">IF(ISNUMBER(DataStart),DataStart+159,"")</f>
        <v>46149</v>
      </c>
      <c r="FH1" s="28" t="n">
        <f aca="false">IF(ISNUMBER(DataStart),DataStart+160,"")</f>
        <v>46150</v>
      </c>
      <c r="FI1" s="28" t="n">
        <f aca="false">IF(ISNUMBER(DataStart),DataStart+161,"")</f>
        <v>46151</v>
      </c>
      <c r="FJ1" s="28" t="n">
        <f aca="false">IF(ISNUMBER(DataStart),DataStart+162,"")</f>
        <v>46152</v>
      </c>
      <c r="FK1" s="28" t="n">
        <f aca="false">IF(ISNUMBER(DataStart),DataStart+163,"")</f>
        <v>46153</v>
      </c>
      <c r="FL1" s="28" t="n">
        <f aca="false">IF(ISNUMBER(DataStart),DataStart+164,"")</f>
        <v>46154</v>
      </c>
      <c r="FM1" s="28" t="n">
        <f aca="false">IF(ISNUMBER(DataStart),DataStart+165,"")</f>
        <v>46155</v>
      </c>
      <c r="FN1" s="28" t="n">
        <f aca="false">IF(ISNUMBER(DataStart),DataStart+166,"")</f>
        <v>46156</v>
      </c>
      <c r="FO1" s="28" t="n">
        <f aca="false">IF(ISNUMBER(DataStart),DataStart+167,"")</f>
        <v>46157</v>
      </c>
      <c r="FP1" s="28" t="n">
        <f aca="false">IF(ISNUMBER(DataStart),DataStart+168,"")</f>
        <v>46158</v>
      </c>
      <c r="FQ1" s="28" t="n">
        <f aca="false">IF(ISNUMBER(DataStart),DataStart+169,"")</f>
        <v>46159</v>
      </c>
    </row>
    <row r="2" customFormat="false" ht="15" hidden="false" customHeight="false" outlineLevel="0" collapsed="false">
      <c r="B2" s="48" t="s">
        <v>156</v>
      </c>
      <c r="D2" s="30" t="str">
        <f aca="false">IF(D1="","",TEXT(D1,"ddd"))</f>
        <v>Sat</v>
      </c>
      <c r="E2" s="30" t="str">
        <f aca="false">IF(E1="","",TEXT(E1,"ddd"))</f>
        <v>Sun</v>
      </c>
      <c r="F2" s="30" t="str">
        <f aca="false">IF(F1="","",TEXT(F1,"ddd"))</f>
        <v>Mon</v>
      </c>
      <c r="G2" s="30" t="str">
        <f aca="false">IF(G1="","",TEXT(G1,"ddd"))</f>
        <v>Tue</v>
      </c>
      <c r="H2" s="30" t="str">
        <f aca="false">IF(H1="","",TEXT(H1,"ddd"))</f>
        <v>Wed</v>
      </c>
      <c r="I2" s="30" t="str">
        <f aca="false">IF(I1="","",TEXT(I1,"ddd"))</f>
        <v>Thu</v>
      </c>
      <c r="J2" s="30" t="str">
        <f aca="false">IF(J1="","",TEXT(J1,"ddd"))</f>
        <v>Fri</v>
      </c>
      <c r="K2" s="30" t="str">
        <f aca="false">IF(K1="","",TEXT(K1,"ddd"))</f>
        <v>Sat</v>
      </c>
      <c r="L2" s="30" t="str">
        <f aca="false">IF(L1="","",TEXT(L1,"ddd"))</f>
        <v>Sun</v>
      </c>
      <c r="M2" s="30" t="str">
        <f aca="false">IF(M1="","",TEXT(M1,"ddd"))</f>
        <v>Mon</v>
      </c>
      <c r="N2" s="30" t="str">
        <f aca="false">IF(N1="","",TEXT(N1,"ddd"))</f>
        <v>Tue</v>
      </c>
      <c r="O2" s="30" t="str">
        <f aca="false">IF(O1="","",TEXT(O1,"ddd"))</f>
        <v>Wed</v>
      </c>
      <c r="P2" s="30" t="str">
        <f aca="false">IF(P1="","",TEXT(P1,"ddd"))</f>
        <v>Thu</v>
      </c>
      <c r="Q2" s="30" t="str">
        <f aca="false">IF(Q1="","",TEXT(Q1,"ddd"))</f>
        <v>Fri</v>
      </c>
      <c r="R2" s="30" t="str">
        <f aca="false">IF(R1="","",TEXT(R1,"ddd"))</f>
        <v>Sat</v>
      </c>
      <c r="S2" s="30" t="str">
        <f aca="false">IF(S1="","",TEXT(S1,"ddd"))</f>
        <v>Sun</v>
      </c>
      <c r="T2" s="30" t="str">
        <f aca="false">IF(T1="","",TEXT(T1,"ddd"))</f>
        <v>Mon</v>
      </c>
      <c r="U2" s="30" t="str">
        <f aca="false">IF(U1="","",TEXT(U1,"ddd"))</f>
        <v>Tue</v>
      </c>
      <c r="V2" s="30" t="str">
        <f aca="false">IF(V1="","",TEXT(V1,"ddd"))</f>
        <v>Wed</v>
      </c>
      <c r="W2" s="30" t="str">
        <f aca="false">IF(W1="","",TEXT(W1,"ddd"))</f>
        <v>Thu</v>
      </c>
      <c r="X2" s="30" t="str">
        <f aca="false">IF(X1="","",TEXT(X1,"ddd"))</f>
        <v>Fri</v>
      </c>
      <c r="Y2" s="30" t="str">
        <f aca="false">IF(Y1="","",TEXT(Y1,"ddd"))</f>
        <v>Sat</v>
      </c>
      <c r="Z2" s="30" t="str">
        <f aca="false">IF(Z1="","",TEXT(Z1,"ddd"))</f>
        <v>Sun</v>
      </c>
      <c r="AA2" s="30" t="str">
        <f aca="false">IF(AA1="","",TEXT(AA1,"ddd"))</f>
        <v>Mon</v>
      </c>
      <c r="AB2" s="30" t="str">
        <f aca="false">IF(AB1="","",TEXT(AB1,"ddd"))</f>
        <v>Tue</v>
      </c>
      <c r="AC2" s="30" t="str">
        <f aca="false">IF(AC1="","",TEXT(AC1,"ddd"))</f>
        <v>Wed</v>
      </c>
      <c r="AD2" s="30" t="str">
        <f aca="false">IF(AD1="","",TEXT(AD1,"ddd"))</f>
        <v>Thu</v>
      </c>
      <c r="AE2" s="30" t="str">
        <f aca="false">IF(AE1="","",TEXT(AE1,"ddd"))</f>
        <v>Fri</v>
      </c>
      <c r="AF2" s="30" t="str">
        <f aca="false">IF(AF1="","",TEXT(AF1,"ddd"))</f>
        <v>Sat</v>
      </c>
      <c r="AG2" s="30" t="str">
        <f aca="false">IF(AG1="","",TEXT(AG1,"ddd"))</f>
        <v>Sun</v>
      </c>
      <c r="AH2" s="30" t="str">
        <f aca="false">IF(AH1="","",TEXT(AH1,"ddd"))</f>
        <v>Mon</v>
      </c>
      <c r="AI2" s="30" t="str">
        <f aca="false">IF(AI1="","",TEXT(AI1,"ddd"))</f>
        <v>Tue</v>
      </c>
      <c r="AJ2" s="30" t="str">
        <f aca="false">IF(AJ1="","",TEXT(AJ1,"ddd"))</f>
        <v>Wed</v>
      </c>
      <c r="AK2" s="30" t="str">
        <f aca="false">IF(AK1="","",TEXT(AK1,"ddd"))</f>
        <v>Thu</v>
      </c>
      <c r="AL2" s="30" t="str">
        <f aca="false">IF(AL1="","",TEXT(AL1,"ddd"))</f>
        <v>Fri</v>
      </c>
      <c r="AM2" s="30" t="str">
        <f aca="false">IF(AM1="","",TEXT(AM1,"ddd"))</f>
        <v>Sat</v>
      </c>
      <c r="AN2" s="30" t="str">
        <f aca="false">IF(AN1="","",TEXT(AN1,"ddd"))</f>
        <v>Sun</v>
      </c>
      <c r="AO2" s="30" t="str">
        <f aca="false">IF(AO1="","",TEXT(AO1,"ddd"))</f>
        <v>Mon</v>
      </c>
      <c r="AP2" s="30" t="str">
        <f aca="false">IF(AP1="","",TEXT(AP1,"ddd"))</f>
        <v>Tue</v>
      </c>
      <c r="AQ2" s="30" t="str">
        <f aca="false">IF(AQ1="","",TEXT(AQ1,"ddd"))</f>
        <v>Wed</v>
      </c>
      <c r="AR2" s="30" t="str">
        <f aca="false">IF(AR1="","",TEXT(AR1,"ddd"))</f>
        <v>Thu</v>
      </c>
      <c r="AS2" s="30" t="str">
        <f aca="false">IF(AS1="","",TEXT(AS1,"ddd"))</f>
        <v>Fri</v>
      </c>
      <c r="AT2" s="30" t="str">
        <f aca="false">IF(AT1="","",TEXT(AT1,"ddd"))</f>
        <v>Sat</v>
      </c>
      <c r="AU2" s="30" t="str">
        <f aca="false">IF(AU1="","",TEXT(AU1,"ddd"))</f>
        <v>Sun</v>
      </c>
      <c r="AV2" s="30" t="str">
        <f aca="false">IF(AV1="","",TEXT(AV1,"ddd"))</f>
        <v>Mon</v>
      </c>
      <c r="AW2" s="30" t="str">
        <f aca="false">IF(AW1="","",TEXT(AW1,"ddd"))</f>
        <v>Tue</v>
      </c>
      <c r="AX2" s="30" t="str">
        <f aca="false">IF(AX1="","",TEXT(AX1,"ddd"))</f>
        <v>Wed</v>
      </c>
      <c r="AY2" s="30" t="str">
        <f aca="false">IF(AY1="","",TEXT(AY1,"ddd"))</f>
        <v>Thu</v>
      </c>
      <c r="AZ2" s="30" t="str">
        <f aca="false">IF(AZ1="","",TEXT(AZ1,"ddd"))</f>
        <v>Fri</v>
      </c>
      <c r="BA2" s="30" t="str">
        <f aca="false">IF(BA1="","",TEXT(BA1,"ddd"))</f>
        <v>Sat</v>
      </c>
      <c r="BB2" s="30" t="str">
        <f aca="false">IF(BB1="","",TEXT(BB1,"ddd"))</f>
        <v>Sun</v>
      </c>
      <c r="BC2" s="30" t="str">
        <f aca="false">IF(BC1="","",TEXT(BC1,"ddd"))</f>
        <v>Mon</v>
      </c>
      <c r="BD2" s="30" t="str">
        <f aca="false">IF(BD1="","",TEXT(BD1,"ddd"))</f>
        <v>Tue</v>
      </c>
      <c r="BE2" s="30" t="str">
        <f aca="false">IF(BE1="","",TEXT(BE1,"ddd"))</f>
        <v>Wed</v>
      </c>
      <c r="BF2" s="30" t="str">
        <f aca="false">IF(BF1="","",TEXT(BF1,"ddd"))</f>
        <v>Thu</v>
      </c>
      <c r="BG2" s="30" t="str">
        <f aca="false">IF(BG1="","",TEXT(BG1,"ddd"))</f>
        <v>Fri</v>
      </c>
      <c r="BH2" s="30" t="str">
        <f aca="false">IF(BH1="","",TEXT(BH1,"ddd"))</f>
        <v>Sat</v>
      </c>
      <c r="BI2" s="30" t="str">
        <f aca="false">IF(BI1="","",TEXT(BI1,"ddd"))</f>
        <v>Sun</v>
      </c>
      <c r="BJ2" s="30" t="str">
        <f aca="false">IF(BJ1="","",TEXT(BJ1,"ddd"))</f>
        <v>Mon</v>
      </c>
      <c r="BK2" s="30" t="str">
        <f aca="false">IF(BK1="","",TEXT(BK1,"ddd"))</f>
        <v>Tue</v>
      </c>
      <c r="BL2" s="30" t="str">
        <f aca="false">IF(BL1="","",TEXT(BL1,"ddd"))</f>
        <v>Wed</v>
      </c>
      <c r="BM2" s="30" t="str">
        <f aca="false">IF(BM1="","",TEXT(BM1,"ddd"))</f>
        <v>Thu</v>
      </c>
      <c r="BN2" s="30" t="str">
        <f aca="false">IF(BN1="","",TEXT(BN1,"ddd"))</f>
        <v>Fri</v>
      </c>
      <c r="BO2" s="30" t="str">
        <f aca="false">IF(BO1="","",TEXT(BO1,"ddd"))</f>
        <v>Sat</v>
      </c>
      <c r="BP2" s="30" t="str">
        <f aca="false">IF(BP1="","",TEXT(BP1,"ddd"))</f>
        <v>Sun</v>
      </c>
      <c r="BQ2" s="30" t="str">
        <f aca="false">IF(BQ1="","",TEXT(BQ1,"ddd"))</f>
        <v>Mon</v>
      </c>
      <c r="BR2" s="30" t="str">
        <f aca="false">IF(BR1="","",TEXT(BR1,"ddd"))</f>
        <v>Tue</v>
      </c>
      <c r="BS2" s="30" t="str">
        <f aca="false">IF(BS1="","",TEXT(BS1,"ddd"))</f>
        <v>Wed</v>
      </c>
      <c r="BT2" s="30" t="str">
        <f aca="false">IF(BT1="","",TEXT(BT1,"ddd"))</f>
        <v>Thu</v>
      </c>
      <c r="BU2" s="30" t="str">
        <f aca="false">IF(BU1="","",TEXT(BU1,"ddd"))</f>
        <v>Fri</v>
      </c>
      <c r="BV2" s="30" t="str">
        <f aca="false">IF(BV1="","",TEXT(BV1,"ddd"))</f>
        <v>Sat</v>
      </c>
      <c r="BW2" s="30" t="str">
        <f aca="false">IF(BW1="","",TEXT(BW1,"ddd"))</f>
        <v>Sun</v>
      </c>
      <c r="BX2" s="30" t="str">
        <f aca="false">IF(BX1="","",TEXT(BX1,"ddd"))</f>
        <v>Mon</v>
      </c>
      <c r="BY2" s="30" t="str">
        <f aca="false">IF(BY1="","",TEXT(BY1,"ddd"))</f>
        <v>Tue</v>
      </c>
      <c r="BZ2" s="30" t="str">
        <f aca="false">IF(BZ1="","",TEXT(BZ1,"ddd"))</f>
        <v>Wed</v>
      </c>
      <c r="CA2" s="30" t="str">
        <f aca="false">IF(CA1="","",TEXT(CA1,"ddd"))</f>
        <v>Thu</v>
      </c>
      <c r="CB2" s="30" t="str">
        <f aca="false">IF(CB1="","",TEXT(CB1,"ddd"))</f>
        <v>Fri</v>
      </c>
      <c r="CC2" s="30" t="str">
        <f aca="false">IF(CC1="","",TEXT(CC1,"ddd"))</f>
        <v>Sat</v>
      </c>
      <c r="CD2" s="30" t="str">
        <f aca="false">IF(CD1="","",TEXT(CD1,"ddd"))</f>
        <v>Sun</v>
      </c>
      <c r="CE2" s="30" t="str">
        <f aca="false">IF(CE1="","",TEXT(CE1,"ddd"))</f>
        <v>Mon</v>
      </c>
      <c r="CF2" s="30" t="str">
        <f aca="false">IF(CF1="","",TEXT(CF1,"ddd"))</f>
        <v>Tue</v>
      </c>
      <c r="CG2" s="30" t="str">
        <f aca="false">IF(CG1="","",TEXT(CG1,"ddd"))</f>
        <v>Wed</v>
      </c>
      <c r="CH2" s="30" t="str">
        <f aca="false">IF(CH1="","",TEXT(CH1,"ddd"))</f>
        <v>Thu</v>
      </c>
      <c r="CI2" s="30" t="str">
        <f aca="false">IF(CI1="","",TEXT(CI1,"ddd"))</f>
        <v>Fri</v>
      </c>
      <c r="CJ2" s="30" t="str">
        <f aca="false">IF(CJ1="","",TEXT(CJ1,"ddd"))</f>
        <v>Sat</v>
      </c>
      <c r="CK2" s="30" t="str">
        <f aca="false">IF(CK1="","",TEXT(CK1,"ddd"))</f>
        <v>Sun</v>
      </c>
      <c r="CL2" s="30" t="str">
        <f aca="false">IF(CL1="","",TEXT(CL1,"ddd"))</f>
        <v>Mon</v>
      </c>
      <c r="CM2" s="30" t="str">
        <f aca="false">IF(CM1="","",TEXT(CM1,"ddd"))</f>
        <v>Tue</v>
      </c>
      <c r="CN2" s="30" t="str">
        <f aca="false">IF(CN1="","",TEXT(CN1,"ddd"))</f>
        <v>Wed</v>
      </c>
      <c r="CO2" s="30" t="str">
        <f aca="false">IF(CO1="","",TEXT(CO1,"ddd"))</f>
        <v>Thu</v>
      </c>
      <c r="CP2" s="30" t="str">
        <f aca="false">IF(CP1="","",TEXT(CP1,"ddd"))</f>
        <v>Fri</v>
      </c>
      <c r="CQ2" s="30" t="str">
        <f aca="false">IF(CQ1="","",TEXT(CQ1,"ddd"))</f>
        <v>Sat</v>
      </c>
      <c r="CR2" s="30" t="str">
        <f aca="false">IF(CR1="","",TEXT(CR1,"ddd"))</f>
        <v>Sun</v>
      </c>
      <c r="CS2" s="30" t="str">
        <f aca="false">IF(CS1="","",TEXT(CS1,"ddd"))</f>
        <v>Mon</v>
      </c>
      <c r="CT2" s="30" t="str">
        <f aca="false">IF(CT1="","",TEXT(CT1,"ddd"))</f>
        <v>Tue</v>
      </c>
      <c r="CU2" s="30" t="str">
        <f aca="false">IF(CU1="","",TEXT(CU1,"ddd"))</f>
        <v>Wed</v>
      </c>
      <c r="CV2" s="30" t="str">
        <f aca="false">IF(CV1="","",TEXT(CV1,"ddd"))</f>
        <v>Thu</v>
      </c>
      <c r="CW2" s="30" t="str">
        <f aca="false">IF(CW1="","",TEXT(CW1,"ddd"))</f>
        <v>Fri</v>
      </c>
      <c r="CX2" s="30" t="str">
        <f aca="false">IF(CX1="","",TEXT(CX1,"ddd"))</f>
        <v>Sat</v>
      </c>
      <c r="CY2" s="30" t="str">
        <f aca="false">IF(CY1="","",TEXT(CY1,"ddd"))</f>
        <v>Sun</v>
      </c>
      <c r="CZ2" s="30" t="str">
        <f aca="false">IF(CZ1="","",TEXT(CZ1,"ddd"))</f>
        <v>Mon</v>
      </c>
      <c r="DA2" s="30" t="str">
        <f aca="false">IF(DA1="","",TEXT(DA1,"ddd"))</f>
        <v>Tue</v>
      </c>
      <c r="DB2" s="30" t="str">
        <f aca="false">IF(DB1="","",TEXT(DB1,"ddd"))</f>
        <v>Wed</v>
      </c>
      <c r="DC2" s="30" t="str">
        <f aca="false">IF(DC1="","",TEXT(DC1,"ddd"))</f>
        <v>Thu</v>
      </c>
      <c r="DD2" s="30" t="str">
        <f aca="false">IF(DD1="","",TEXT(DD1,"ddd"))</f>
        <v>Fri</v>
      </c>
      <c r="DE2" s="30" t="str">
        <f aca="false">IF(DE1="","",TEXT(DE1,"ddd"))</f>
        <v>Sat</v>
      </c>
      <c r="DF2" s="30" t="str">
        <f aca="false">IF(DF1="","",TEXT(DF1,"ddd"))</f>
        <v>Sun</v>
      </c>
      <c r="DG2" s="30" t="str">
        <f aca="false">IF(DG1="","",TEXT(DG1,"ddd"))</f>
        <v>Mon</v>
      </c>
      <c r="DH2" s="30" t="str">
        <f aca="false">IF(DH1="","",TEXT(DH1,"ddd"))</f>
        <v>Tue</v>
      </c>
      <c r="DI2" s="30" t="str">
        <f aca="false">IF(DI1="","",TEXT(DI1,"ddd"))</f>
        <v>Wed</v>
      </c>
      <c r="DJ2" s="30" t="str">
        <f aca="false">IF(DJ1="","",TEXT(DJ1,"ddd"))</f>
        <v>Thu</v>
      </c>
      <c r="DK2" s="30" t="str">
        <f aca="false">IF(DK1="","",TEXT(DK1,"ddd"))</f>
        <v>Fri</v>
      </c>
      <c r="DL2" s="30" t="str">
        <f aca="false">IF(DL1="","",TEXT(DL1,"ddd"))</f>
        <v>Sat</v>
      </c>
      <c r="DM2" s="30" t="str">
        <f aca="false">IF(DM1="","",TEXT(DM1,"ddd"))</f>
        <v>Sun</v>
      </c>
      <c r="DN2" s="30" t="str">
        <f aca="false">IF(DN1="","",TEXT(DN1,"ddd"))</f>
        <v>Mon</v>
      </c>
      <c r="DO2" s="30" t="str">
        <f aca="false">IF(DO1="","",TEXT(DO1,"ddd"))</f>
        <v>Tue</v>
      </c>
      <c r="DP2" s="30" t="str">
        <f aca="false">IF(DP1="","",TEXT(DP1,"ddd"))</f>
        <v>Wed</v>
      </c>
      <c r="DQ2" s="30" t="str">
        <f aca="false">IF(DQ1="","",TEXT(DQ1,"ddd"))</f>
        <v>Thu</v>
      </c>
      <c r="DR2" s="30" t="str">
        <f aca="false">IF(DR1="","",TEXT(DR1,"ddd"))</f>
        <v>Fri</v>
      </c>
      <c r="DS2" s="30" t="str">
        <f aca="false">IF(DS1="","",TEXT(DS1,"ddd"))</f>
        <v>Sat</v>
      </c>
      <c r="DT2" s="30" t="str">
        <f aca="false">IF(DT1="","",TEXT(DT1,"ddd"))</f>
        <v>Sun</v>
      </c>
      <c r="DU2" s="30" t="str">
        <f aca="false">IF(DU1="","",TEXT(DU1,"ddd"))</f>
        <v>Mon</v>
      </c>
      <c r="DV2" s="30" t="str">
        <f aca="false">IF(DV1="","",TEXT(DV1,"ddd"))</f>
        <v>Tue</v>
      </c>
      <c r="DW2" s="30" t="str">
        <f aca="false">IF(DW1="","",TEXT(DW1,"ddd"))</f>
        <v>Wed</v>
      </c>
      <c r="DX2" s="30" t="str">
        <f aca="false">IF(DX1="","",TEXT(DX1,"ddd"))</f>
        <v>Thu</v>
      </c>
      <c r="DY2" s="30" t="str">
        <f aca="false">IF(DY1="","",TEXT(DY1,"ddd"))</f>
        <v>Fri</v>
      </c>
      <c r="DZ2" s="30" t="str">
        <f aca="false">IF(DZ1="","",TEXT(DZ1,"ddd"))</f>
        <v>Sat</v>
      </c>
      <c r="EA2" s="30" t="str">
        <f aca="false">IF(EA1="","",TEXT(EA1,"ddd"))</f>
        <v>Sun</v>
      </c>
      <c r="EB2" s="30" t="str">
        <f aca="false">IF(EB1="","",TEXT(EB1,"ddd"))</f>
        <v>Mon</v>
      </c>
      <c r="EC2" s="30" t="str">
        <f aca="false">IF(EC1="","",TEXT(EC1,"ddd"))</f>
        <v>Tue</v>
      </c>
      <c r="ED2" s="30" t="str">
        <f aca="false">IF(ED1="","",TEXT(ED1,"ddd"))</f>
        <v>Wed</v>
      </c>
      <c r="EE2" s="30" t="str">
        <f aca="false">IF(EE1="","",TEXT(EE1,"ddd"))</f>
        <v>Thu</v>
      </c>
      <c r="EF2" s="30" t="str">
        <f aca="false">IF(EF1="","",TEXT(EF1,"ddd"))</f>
        <v>Fri</v>
      </c>
      <c r="EG2" s="30" t="str">
        <f aca="false">IF(EG1="","",TEXT(EG1,"ddd"))</f>
        <v>Sat</v>
      </c>
      <c r="EH2" s="30" t="str">
        <f aca="false">IF(EH1="","",TEXT(EH1,"ddd"))</f>
        <v>Sun</v>
      </c>
      <c r="EI2" s="30" t="str">
        <f aca="false">IF(EI1="","",TEXT(EI1,"ddd"))</f>
        <v>Mon</v>
      </c>
      <c r="EJ2" s="30" t="str">
        <f aca="false">IF(EJ1="","",TEXT(EJ1,"ddd"))</f>
        <v>Tue</v>
      </c>
      <c r="EK2" s="30" t="str">
        <f aca="false">IF(EK1="","",TEXT(EK1,"ddd"))</f>
        <v>Wed</v>
      </c>
      <c r="EL2" s="30" t="str">
        <f aca="false">IF(EL1="","",TEXT(EL1,"ddd"))</f>
        <v>Thu</v>
      </c>
      <c r="EM2" s="30" t="str">
        <f aca="false">IF(EM1="","",TEXT(EM1,"ddd"))</f>
        <v>Fri</v>
      </c>
      <c r="EN2" s="30" t="str">
        <f aca="false">IF(EN1="","",TEXT(EN1,"ddd"))</f>
        <v>Sat</v>
      </c>
      <c r="EO2" s="30" t="str">
        <f aca="false">IF(EO1="","",TEXT(EO1,"ddd"))</f>
        <v>Sun</v>
      </c>
      <c r="EP2" s="30" t="str">
        <f aca="false">IF(EP1="","",TEXT(EP1,"ddd"))</f>
        <v>Mon</v>
      </c>
      <c r="EQ2" s="30" t="str">
        <f aca="false">IF(EQ1="","",TEXT(EQ1,"ddd"))</f>
        <v>Tue</v>
      </c>
      <c r="ER2" s="30" t="str">
        <f aca="false">IF(ER1="","",TEXT(ER1,"ddd"))</f>
        <v>Wed</v>
      </c>
      <c r="ES2" s="30" t="str">
        <f aca="false">IF(ES1="","",TEXT(ES1,"ddd"))</f>
        <v>Thu</v>
      </c>
      <c r="ET2" s="30" t="str">
        <f aca="false">IF(ET1="","",TEXT(ET1,"ddd"))</f>
        <v>Fri</v>
      </c>
      <c r="EU2" s="30" t="str">
        <f aca="false">IF(EU1="","",TEXT(EU1,"ddd"))</f>
        <v>Sat</v>
      </c>
      <c r="EV2" s="30" t="str">
        <f aca="false">IF(EV1="","",TEXT(EV1,"ddd"))</f>
        <v>Sun</v>
      </c>
      <c r="EW2" s="30" t="str">
        <f aca="false">IF(EW1="","",TEXT(EW1,"ddd"))</f>
        <v>Mon</v>
      </c>
      <c r="EX2" s="30" t="str">
        <f aca="false">IF(EX1="","",TEXT(EX1,"ddd"))</f>
        <v>Tue</v>
      </c>
      <c r="EY2" s="30" t="str">
        <f aca="false">IF(EY1="","",TEXT(EY1,"ddd"))</f>
        <v>Wed</v>
      </c>
      <c r="EZ2" s="30" t="str">
        <f aca="false">IF(EZ1="","",TEXT(EZ1,"ddd"))</f>
        <v>Thu</v>
      </c>
      <c r="FA2" s="30" t="str">
        <f aca="false">IF(FA1="","",TEXT(FA1,"ddd"))</f>
        <v>Fri</v>
      </c>
      <c r="FB2" s="30" t="str">
        <f aca="false">IF(FB1="","",TEXT(FB1,"ddd"))</f>
        <v>Sat</v>
      </c>
      <c r="FC2" s="30" t="str">
        <f aca="false">IF(FC1="","",TEXT(FC1,"ddd"))</f>
        <v>Sun</v>
      </c>
      <c r="FD2" s="30" t="str">
        <f aca="false">IF(FD1="","",TEXT(FD1,"ddd"))</f>
        <v>Mon</v>
      </c>
      <c r="FE2" s="30" t="str">
        <f aca="false">IF(FE1="","",TEXT(FE1,"ddd"))</f>
        <v>Tue</v>
      </c>
      <c r="FF2" s="30" t="str">
        <f aca="false">IF(FF1="","",TEXT(FF1,"ddd"))</f>
        <v>Wed</v>
      </c>
      <c r="FG2" s="30" t="str">
        <f aca="false">IF(FG1="","",TEXT(FG1,"ddd"))</f>
        <v>Thu</v>
      </c>
      <c r="FH2" s="30" t="str">
        <f aca="false">IF(FH1="","",TEXT(FH1,"ddd"))</f>
        <v>Fri</v>
      </c>
      <c r="FI2" s="30" t="str">
        <f aca="false">IF(FI1="","",TEXT(FI1,"ddd"))</f>
        <v>Sat</v>
      </c>
      <c r="FJ2" s="30" t="str">
        <f aca="false">IF(FJ1="","",TEXT(FJ1,"ddd"))</f>
        <v>Sun</v>
      </c>
      <c r="FK2" s="30" t="str">
        <f aca="false">IF(FK1="","",TEXT(FK1,"ddd"))</f>
        <v>Mon</v>
      </c>
      <c r="FL2" s="30" t="str">
        <f aca="false">IF(FL1="","",TEXT(FL1,"ddd"))</f>
        <v>Tue</v>
      </c>
      <c r="FM2" s="30" t="str">
        <f aca="false">IF(FM1="","",TEXT(FM1,"ddd"))</f>
        <v>Wed</v>
      </c>
      <c r="FN2" s="30" t="str">
        <f aca="false">IF(FN1="","",TEXT(FN1,"ddd"))</f>
        <v>Thu</v>
      </c>
      <c r="FO2" s="30" t="str">
        <f aca="false">IF(FO1="","",TEXT(FO1,"ddd"))</f>
        <v>Fri</v>
      </c>
      <c r="FP2" s="30" t="str">
        <f aca="false">IF(FP1="","",TEXT(FP1,"ddd"))</f>
        <v>Sat</v>
      </c>
      <c r="FQ2" s="30" t="str">
        <f aca="false">IF(FQ1="","",TEXT(FQ1,"ddd"))</f>
        <v>Sun</v>
      </c>
    </row>
    <row r="3" customFormat="false" ht="15" hidden="false" customHeight="false" outlineLevel="0" collapsed="false">
      <c r="B3" s="48" t="s">
        <v>157</v>
      </c>
      <c r="D3" s="30" t="n">
        <f aca="false">IF(D1="","",D1-TransDate)</f>
        <v>-52</v>
      </c>
      <c r="E3" s="30" t="n">
        <f aca="false">IF(E1="","",E1-TransDate)</f>
        <v>-51</v>
      </c>
      <c r="F3" s="30" t="n">
        <f aca="false">IF(F1="","",F1-TransDate)</f>
        <v>-50</v>
      </c>
      <c r="G3" s="30" t="n">
        <f aca="false">IF(G1="","",G1-TransDate)</f>
        <v>-49</v>
      </c>
      <c r="H3" s="30" t="n">
        <f aca="false">IF(H1="","",H1-TransDate)</f>
        <v>-48</v>
      </c>
      <c r="I3" s="30" t="n">
        <f aca="false">IF(I1="","",I1-TransDate)</f>
        <v>-47</v>
      </c>
      <c r="J3" s="30" t="n">
        <f aca="false">IF(J1="","",J1-TransDate)</f>
        <v>-46</v>
      </c>
      <c r="K3" s="30" t="n">
        <f aca="false">IF(K1="","",K1-TransDate)</f>
        <v>-45</v>
      </c>
      <c r="L3" s="30" t="n">
        <f aca="false">IF(L1="","",L1-TransDate)</f>
        <v>-44</v>
      </c>
      <c r="M3" s="30" t="n">
        <f aca="false">IF(M1="","",M1-TransDate)</f>
        <v>-43</v>
      </c>
      <c r="N3" s="30" t="n">
        <f aca="false">IF(N1="","",N1-TransDate)</f>
        <v>-42</v>
      </c>
      <c r="O3" s="30" t="n">
        <f aca="false">IF(O1="","",O1-TransDate)</f>
        <v>-41</v>
      </c>
      <c r="P3" s="30" t="n">
        <f aca="false">IF(P1="","",P1-TransDate)</f>
        <v>-40</v>
      </c>
      <c r="Q3" s="30" t="n">
        <f aca="false">IF(Q1="","",Q1-TransDate)</f>
        <v>-39</v>
      </c>
      <c r="R3" s="30" t="n">
        <f aca="false">IF(R1="","",R1-TransDate)</f>
        <v>-38</v>
      </c>
      <c r="S3" s="30" t="n">
        <f aca="false">IF(S1="","",S1-TransDate)</f>
        <v>-37</v>
      </c>
      <c r="T3" s="30" t="n">
        <f aca="false">IF(T1="","",T1-TransDate)</f>
        <v>-36</v>
      </c>
      <c r="U3" s="30" t="n">
        <f aca="false">IF(U1="","",U1-TransDate)</f>
        <v>-35</v>
      </c>
      <c r="V3" s="30" t="n">
        <f aca="false">IF(V1="","",V1-TransDate)</f>
        <v>-34</v>
      </c>
      <c r="W3" s="30" t="n">
        <f aca="false">IF(W1="","",W1-TransDate)</f>
        <v>-33</v>
      </c>
      <c r="X3" s="30" t="n">
        <f aca="false">IF(X1="","",X1-TransDate)</f>
        <v>-32</v>
      </c>
      <c r="Y3" s="30" t="n">
        <f aca="false">IF(Y1="","",Y1-TransDate)</f>
        <v>-31</v>
      </c>
      <c r="Z3" s="30" t="n">
        <f aca="false">IF(Z1="","",Z1-TransDate)</f>
        <v>-30</v>
      </c>
      <c r="AA3" s="30" t="n">
        <f aca="false">IF(AA1="","",AA1-TransDate)</f>
        <v>-29</v>
      </c>
      <c r="AB3" s="30" t="n">
        <f aca="false">IF(AB1="","",AB1-TransDate)</f>
        <v>-28</v>
      </c>
      <c r="AC3" s="30" t="n">
        <f aca="false">IF(AC1="","",AC1-TransDate)</f>
        <v>-27</v>
      </c>
      <c r="AD3" s="30" t="n">
        <f aca="false">IF(AD1="","",AD1-TransDate)</f>
        <v>-26</v>
      </c>
      <c r="AE3" s="30" t="n">
        <f aca="false">IF(AE1="","",AE1-TransDate)</f>
        <v>-25</v>
      </c>
      <c r="AF3" s="30" t="n">
        <f aca="false">IF(AF1="","",AF1-TransDate)</f>
        <v>-24</v>
      </c>
      <c r="AG3" s="30" t="n">
        <f aca="false">IF(AG1="","",AG1-TransDate)</f>
        <v>-23</v>
      </c>
      <c r="AH3" s="30" t="n">
        <f aca="false">IF(AH1="","",AH1-TransDate)</f>
        <v>-22</v>
      </c>
      <c r="AI3" s="30" t="n">
        <f aca="false">IF(AI1="","",AI1-TransDate)</f>
        <v>-21</v>
      </c>
      <c r="AJ3" s="30" t="n">
        <f aca="false">IF(AJ1="","",AJ1-TransDate)</f>
        <v>-20</v>
      </c>
      <c r="AK3" s="30" t="n">
        <f aca="false">IF(AK1="","",AK1-TransDate)</f>
        <v>-19</v>
      </c>
      <c r="AL3" s="30" t="n">
        <f aca="false">IF(AL1="","",AL1-TransDate)</f>
        <v>-18</v>
      </c>
      <c r="AM3" s="30" t="n">
        <f aca="false">IF(AM1="","",AM1-TransDate)</f>
        <v>-17</v>
      </c>
      <c r="AN3" s="30" t="n">
        <f aca="false">IF(AN1="","",AN1-TransDate)</f>
        <v>-16</v>
      </c>
      <c r="AO3" s="30" t="n">
        <f aca="false">IF(AO1="","",AO1-TransDate)</f>
        <v>-15</v>
      </c>
      <c r="AP3" s="30" t="n">
        <f aca="false">IF(AP1="","",AP1-TransDate)</f>
        <v>-14</v>
      </c>
      <c r="AQ3" s="30" t="n">
        <f aca="false">IF(AQ1="","",AQ1-TransDate)</f>
        <v>-13</v>
      </c>
      <c r="AR3" s="30" t="n">
        <f aca="false">IF(AR1="","",AR1-TransDate)</f>
        <v>-12</v>
      </c>
      <c r="AS3" s="30" t="n">
        <f aca="false">IF(AS1="","",AS1-TransDate)</f>
        <v>-11</v>
      </c>
      <c r="AT3" s="30" t="n">
        <f aca="false">IF(AT1="","",AT1-TransDate)</f>
        <v>-10</v>
      </c>
      <c r="AU3" s="30" t="n">
        <f aca="false">IF(AU1="","",AU1-TransDate)</f>
        <v>-9</v>
      </c>
      <c r="AV3" s="30" t="n">
        <f aca="false">IF(AV1="","",AV1-TransDate)</f>
        <v>-8</v>
      </c>
      <c r="AW3" s="30" t="n">
        <f aca="false">IF(AW1="","",AW1-TransDate)</f>
        <v>-7</v>
      </c>
      <c r="AX3" s="30" t="n">
        <f aca="false">IF(AX1="","",AX1-TransDate)</f>
        <v>-6</v>
      </c>
      <c r="AY3" s="30" t="n">
        <f aca="false">IF(AY1="","",AY1-TransDate)</f>
        <v>-5</v>
      </c>
      <c r="AZ3" s="30" t="n">
        <f aca="false">IF(AZ1="","",AZ1-TransDate)</f>
        <v>-4</v>
      </c>
      <c r="BA3" s="30" t="n">
        <f aca="false">IF(BA1="","",BA1-TransDate)</f>
        <v>-3</v>
      </c>
      <c r="BB3" s="30" t="n">
        <f aca="false">IF(BB1="","",BB1-TransDate)</f>
        <v>-2</v>
      </c>
      <c r="BC3" s="30" t="n">
        <f aca="false">IF(BC1="","",BC1-TransDate)</f>
        <v>-1</v>
      </c>
      <c r="BD3" s="30" t="n">
        <f aca="false">IF(BD1="","",BD1-TransDate)</f>
        <v>0</v>
      </c>
      <c r="BE3" s="30" t="n">
        <f aca="false">IF(BE1="","",BE1-TransDate)</f>
        <v>1</v>
      </c>
      <c r="BF3" s="30" t="n">
        <f aca="false">IF(BF1="","",BF1-TransDate)</f>
        <v>2</v>
      </c>
      <c r="BG3" s="30" t="n">
        <f aca="false">IF(BG1="","",BG1-TransDate)</f>
        <v>3</v>
      </c>
      <c r="BH3" s="30" t="n">
        <f aca="false">IF(BH1="","",BH1-TransDate)</f>
        <v>4</v>
      </c>
      <c r="BI3" s="30" t="n">
        <f aca="false">IF(BI1="","",BI1-TransDate)</f>
        <v>5</v>
      </c>
      <c r="BJ3" s="30" t="n">
        <f aca="false">IF(BJ1="","",BJ1-TransDate)</f>
        <v>6</v>
      </c>
      <c r="BK3" s="30" t="n">
        <f aca="false">IF(BK1="","",BK1-TransDate)</f>
        <v>7</v>
      </c>
      <c r="BL3" s="30" t="n">
        <f aca="false">IF(BL1="","",BL1-TransDate)</f>
        <v>8</v>
      </c>
      <c r="BM3" s="30" t="n">
        <f aca="false">IF(BM1="","",BM1-TransDate)</f>
        <v>9</v>
      </c>
      <c r="BN3" s="30" t="n">
        <f aca="false">IF(BN1="","",BN1-TransDate)</f>
        <v>10</v>
      </c>
      <c r="BO3" s="30" t="n">
        <f aca="false">IF(BO1="","",BO1-TransDate)</f>
        <v>11</v>
      </c>
      <c r="BP3" s="30" t="n">
        <f aca="false">IF(BP1="","",BP1-TransDate)</f>
        <v>12</v>
      </c>
      <c r="BQ3" s="30" t="n">
        <f aca="false">IF(BQ1="","",BQ1-TransDate)</f>
        <v>13</v>
      </c>
      <c r="BR3" s="30" t="n">
        <f aca="false">IF(BR1="","",BR1-TransDate)</f>
        <v>14</v>
      </c>
      <c r="BS3" s="30" t="n">
        <f aca="false">IF(BS1="","",BS1-TransDate)</f>
        <v>15</v>
      </c>
      <c r="BT3" s="30" t="n">
        <f aca="false">IF(BT1="","",BT1-TransDate)</f>
        <v>16</v>
      </c>
      <c r="BU3" s="30" t="n">
        <f aca="false">IF(BU1="","",BU1-TransDate)</f>
        <v>17</v>
      </c>
      <c r="BV3" s="30" t="n">
        <f aca="false">IF(BV1="","",BV1-TransDate)</f>
        <v>18</v>
      </c>
      <c r="BW3" s="30" t="n">
        <f aca="false">IF(BW1="","",BW1-TransDate)</f>
        <v>19</v>
      </c>
      <c r="BX3" s="30" t="n">
        <f aca="false">IF(BX1="","",BX1-TransDate)</f>
        <v>20</v>
      </c>
      <c r="BY3" s="30" t="n">
        <f aca="false">IF(BY1="","",BY1-TransDate)</f>
        <v>21</v>
      </c>
      <c r="BZ3" s="30" t="n">
        <f aca="false">IF(BZ1="","",BZ1-TransDate)</f>
        <v>22</v>
      </c>
      <c r="CA3" s="30" t="n">
        <f aca="false">IF(CA1="","",CA1-TransDate)</f>
        <v>23</v>
      </c>
      <c r="CB3" s="30" t="n">
        <f aca="false">IF(CB1="","",CB1-TransDate)</f>
        <v>24</v>
      </c>
      <c r="CC3" s="30" t="n">
        <f aca="false">IF(CC1="","",CC1-TransDate)</f>
        <v>25</v>
      </c>
      <c r="CD3" s="30" t="n">
        <f aca="false">IF(CD1="","",CD1-TransDate)</f>
        <v>26</v>
      </c>
      <c r="CE3" s="30" t="n">
        <f aca="false">IF(CE1="","",CE1-TransDate)</f>
        <v>27</v>
      </c>
      <c r="CF3" s="30" t="n">
        <f aca="false">IF(CF1="","",CF1-TransDate)</f>
        <v>28</v>
      </c>
      <c r="CG3" s="30" t="n">
        <f aca="false">IF(CG1="","",CG1-TransDate)</f>
        <v>29</v>
      </c>
      <c r="CH3" s="30" t="n">
        <f aca="false">IF(CH1="","",CH1-TransDate)</f>
        <v>30</v>
      </c>
      <c r="CI3" s="30" t="n">
        <f aca="false">IF(CI1="","",CI1-TransDate)</f>
        <v>31</v>
      </c>
      <c r="CJ3" s="30" t="n">
        <f aca="false">IF(CJ1="","",CJ1-TransDate)</f>
        <v>32</v>
      </c>
      <c r="CK3" s="30" t="n">
        <f aca="false">IF(CK1="","",CK1-TransDate)</f>
        <v>33</v>
      </c>
      <c r="CL3" s="30" t="n">
        <f aca="false">IF(CL1="","",CL1-TransDate)</f>
        <v>34</v>
      </c>
      <c r="CM3" s="30" t="n">
        <f aca="false">IF(CM1="","",CM1-TransDate)</f>
        <v>35</v>
      </c>
      <c r="CN3" s="30" t="n">
        <f aca="false">IF(CN1="","",CN1-TransDate)</f>
        <v>36</v>
      </c>
      <c r="CO3" s="30" t="n">
        <f aca="false">IF(CO1="","",CO1-TransDate)</f>
        <v>37</v>
      </c>
      <c r="CP3" s="30" t="n">
        <f aca="false">IF(CP1="","",CP1-TransDate)</f>
        <v>38</v>
      </c>
      <c r="CQ3" s="30" t="n">
        <f aca="false">IF(CQ1="","",CQ1-TransDate)</f>
        <v>39</v>
      </c>
      <c r="CR3" s="30" t="n">
        <f aca="false">IF(CR1="","",CR1-TransDate)</f>
        <v>40</v>
      </c>
      <c r="CS3" s="30" t="n">
        <f aca="false">IF(CS1="","",CS1-TransDate)</f>
        <v>41</v>
      </c>
      <c r="CT3" s="30" t="n">
        <f aca="false">IF(CT1="","",CT1-TransDate)</f>
        <v>42</v>
      </c>
      <c r="CU3" s="30" t="n">
        <f aca="false">IF(CU1="","",CU1-TransDate)</f>
        <v>43</v>
      </c>
      <c r="CV3" s="30" t="n">
        <f aca="false">IF(CV1="","",CV1-TransDate)</f>
        <v>44</v>
      </c>
      <c r="CW3" s="30" t="n">
        <f aca="false">IF(CW1="","",CW1-TransDate)</f>
        <v>45</v>
      </c>
      <c r="CX3" s="30" t="n">
        <f aca="false">IF(CX1="","",CX1-TransDate)</f>
        <v>46</v>
      </c>
      <c r="CY3" s="30" t="n">
        <f aca="false">IF(CY1="","",CY1-TransDate)</f>
        <v>47</v>
      </c>
      <c r="CZ3" s="30" t="n">
        <f aca="false">IF(CZ1="","",CZ1-TransDate)</f>
        <v>48</v>
      </c>
      <c r="DA3" s="30" t="n">
        <f aca="false">IF(DA1="","",DA1-TransDate)</f>
        <v>49</v>
      </c>
      <c r="DB3" s="30" t="n">
        <f aca="false">IF(DB1="","",DB1-TransDate)</f>
        <v>50</v>
      </c>
      <c r="DC3" s="30" t="n">
        <f aca="false">IF(DC1="","",DC1-TransDate)</f>
        <v>51</v>
      </c>
      <c r="DD3" s="30" t="n">
        <f aca="false">IF(DD1="","",DD1-TransDate)</f>
        <v>52</v>
      </c>
      <c r="DE3" s="30" t="n">
        <f aca="false">IF(DE1="","",DE1-TransDate)</f>
        <v>53</v>
      </c>
      <c r="DF3" s="30" t="n">
        <f aca="false">IF(DF1="","",DF1-TransDate)</f>
        <v>54</v>
      </c>
      <c r="DG3" s="30" t="n">
        <f aca="false">IF(DG1="","",DG1-TransDate)</f>
        <v>55</v>
      </c>
      <c r="DH3" s="30" t="n">
        <f aca="false">IF(DH1="","",DH1-TransDate)</f>
        <v>56</v>
      </c>
      <c r="DI3" s="30" t="n">
        <f aca="false">IF(DI1="","",DI1-TransDate)</f>
        <v>57</v>
      </c>
      <c r="DJ3" s="30" t="n">
        <f aca="false">IF(DJ1="","",DJ1-TransDate)</f>
        <v>58</v>
      </c>
      <c r="DK3" s="30" t="n">
        <f aca="false">IF(DK1="","",DK1-TransDate)</f>
        <v>59</v>
      </c>
      <c r="DL3" s="30" t="n">
        <f aca="false">IF(DL1="","",DL1-TransDate)</f>
        <v>60</v>
      </c>
      <c r="DM3" s="30" t="n">
        <f aca="false">IF(DM1="","",DM1-TransDate)</f>
        <v>61</v>
      </c>
      <c r="DN3" s="30" t="n">
        <f aca="false">IF(DN1="","",DN1-TransDate)</f>
        <v>62</v>
      </c>
      <c r="DO3" s="30" t="n">
        <f aca="false">IF(DO1="","",DO1-TransDate)</f>
        <v>63</v>
      </c>
      <c r="DP3" s="30" t="n">
        <f aca="false">IF(DP1="","",DP1-TransDate)</f>
        <v>64</v>
      </c>
      <c r="DQ3" s="30" t="n">
        <f aca="false">IF(DQ1="","",DQ1-TransDate)</f>
        <v>65</v>
      </c>
      <c r="DR3" s="30" t="n">
        <f aca="false">IF(DR1="","",DR1-TransDate)</f>
        <v>66</v>
      </c>
      <c r="DS3" s="30" t="n">
        <f aca="false">IF(DS1="","",DS1-TransDate)</f>
        <v>67</v>
      </c>
      <c r="DT3" s="30" t="n">
        <f aca="false">IF(DT1="","",DT1-TransDate)</f>
        <v>68</v>
      </c>
      <c r="DU3" s="30" t="n">
        <f aca="false">IF(DU1="","",DU1-TransDate)</f>
        <v>69</v>
      </c>
      <c r="DV3" s="30" t="n">
        <f aca="false">IF(DV1="","",DV1-TransDate)</f>
        <v>70</v>
      </c>
      <c r="DW3" s="30" t="n">
        <f aca="false">IF(DW1="","",DW1-TransDate)</f>
        <v>71</v>
      </c>
      <c r="DX3" s="30" t="n">
        <f aca="false">IF(DX1="","",DX1-TransDate)</f>
        <v>72</v>
      </c>
      <c r="DY3" s="30" t="n">
        <f aca="false">IF(DY1="","",DY1-TransDate)</f>
        <v>73</v>
      </c>
      <c r="DZ3" s="30" t="n">
        <f aca="false">IF(DZ1="","",DZ1-TransDate)</f>
        <v>74</v>
      </c>
      <c r="EA3" s="30" t="n">
        <f aca="false">IF(EA1="","",EA1-TransDate)</f>
        <v>75</v>
      </c>
      <c r="EB3" s="30" t="n">
        <f aca="false">IF(EB1="","",EB1-TransDate)</f>
        <v>76</v>
      </c>
      <c r="EC3" s="30" t="n">
        <f aca="false">IF(EC1="","",EC1-TransDate)</f>
        <v>77</v>
      </c>
      <c r="ED3" s="30" t="n">
        <f aca="false">IF(ED1="","",ED1-TransDate)</f>
        <v>78</v>
      </c>
      <c r="EE3" s="30" t="n">
        <f aca="false">IF(EE1="","",EE1-TransDate)</f>
        <v>79</v>
      </c>
      <c r="EF3" s="30" t="n">
        <f aca="false">IF(EF1="","",EF1-TransDate)</f>
        <v>80</v>
      </c>
      <c r="EG3" s="30" t="n">
        <f aca="false">IF(EG1="","",EG1-TransDate)</f>
        <v>81</v>
      </c>
      <c r="EH3" s="30" t="n">
        <f aca="false">IF(EH1="","",EH1-TransDate)</f>
        <v>82</v>
      </c>
      <c r="EI3" s="30" t="n">
        <f aca="false">IF(EI1="","",EI1-TransDate)</f>
        <v>83</v>
      </c>
      <c r="EJ3" s="30" t="n">
        <f aca="false">IF(EJ1="","",EJ1-TransDate)</f>
        <v>84</v>
      </c>
      <c r="EK3" s="30" t="n">
        <f aca="false">IF(EK1="","",EK1-TransDate)</f>
        <v>85</v>
      </c>
      <c r="EL3" s="30" t="n">
        <f aca="false">IF(EL1="","",EL1-TransDate)</f>
        <v>86</v>
      </c>
      <c r="EM3" s="30" t="n">
        <f aca="false">IF(EM1="","",EM1-TransDate)</f>
        <v>87</v>
      </c>
      <c r="EN3" s="30" t="n">
        <f aca="false">IF(EN1="","",EN1-TransDate)</f>
        <v>88</v>
      </c>
      <c r="EO3" s="30" t="n">
        <f aca="false">IF(EO1="","",EO1-TransDate)</f>
        <v>89</v>
      </c>
      <c r="EP3" s="30" t="n">
        <f aca="false">IF(EP1="","",EP1-TransDate)</f>
        <v>90</v>
      </c>
      <c r="EQ3" s="30" t="n">
        <f aca="false">IF(EQ1="","",EQ1-TransDate)</f>
        <v>91</v>
      </c>
      <c r="ER3" s="30" t="n">
        <f aca="false">IF(ER1="","",ER1-TransDate)</f>
        <v>92</v>
      </c>
      <c r="ES3" s="30" t="n">
        <f aca="false">IF(ES1="","",ES1-TransDate)</f>
        <v>93</v>
      </c>
      <c r="ET3" s="30" t="n">
        <f aca="false">IF(ET1="","",ET1-TransDate)</f>
        <v>94</v>
      </c>
      <c r="EU3" s="30" t="n">
        <f aca="false">IF(EU1="","",EU1-TransDate)</f>
        <v>95</v>
      </c>
      <c r="EV3" s="30" t="n">
        <f aca="false">IF(EV1="","",EV1-TransDate)</f>
        <v>96</v>
      </c>
      <c r="EW3" s="30" t="n">
        <f aca="false">IF(EW1="","",EW1-TransDate)</f>
        <v>97</v>
      </c>
      <c r="EX3" s="30" t="n">
        <f aca="false">IF(EX1="","",EX1-TransDate)</f>
        <v>98</v>
      </c>
      <c r="EY3" s="30" t="n">
        <f aca="false">IF(EY1="","",EY1-TransDate)</f>
        <v>99</v>
      </c>
      <c r="EZ3" s="30" t="n">
        <f aca="false">IF(EZ1="","",EZ1-TransDate)</f>
        <v>100</v>
      </c>
      <c r="FA3" s="30" t="n">
        <f aca="false">IF(FA1="","",FA1-TransDate)</f>
        <v>101</v>
      </c>
      <c r="FB3" s="30" t="n">
        <f aca="false">IF(FB1="","",FB1-TransDate)</f>
        <v>102</v>
      </c>
      <c r="FC3" s="30" t="n">
        <f aca="false">IF(FC1="","",FC1-TransDate)</f>
        <v>103</v>
      </c>
      <c r="FD3" s="30" t="n">
        <f aca="false">IF(FD1="","",FD1-TransDate)</f>
        <v>104</v>
      </c>
      <c r="FE3" s="30" t="n">
        <f aca="false">IF(FE1="","",FE1-TransDate)</f>
        <v>105</v>
      </c>
      <c r="FF3" s="30" t="n">
        <f aca="false">IF(FF1="","",FF1-TransDate)</f>
        <v>106</v>
      </c>
      <c r="FG3" s="30" t="n">
        <f aca="false">IF(FG1="","",FG1-TransDate)</f>
        <v>107</v>
      </c>
      <c r="FH3" s="30" t="n">
        <f aca="false">IF(FH1="","",FH1-TransDate)</f>
        <v>108</v>
      </c>
      <c r="FI3" s="30" t="n">
        <f aca="false">IF(FI1="","",FI1-TransDate)</f>
        <v>109</v>
      </c>
      <c r="FJ3" s="30" t="n">
        <f aca="false">IF(FJ1="","",FJ1-TransDate)</f>
        <v>110</v>
      </c>
      <c r="FK3" s="30" t="n">
        <f aca="false">IF(FK1="","",FK1-TransDate)</f>
        <v>111</v>
      </c>
      <c r="FL3" s="30" t="n">
        <f aca="false">IF(FL1="","",FL1-TransDate)</f>
        <v>112</v>
      </c>
      <c r="FM3" s="30" t="n">
        <f aca="false">IF(FM1="","",FM1-TransDate)</f>
        <v>113</v>
      </c>
      <c r="FN3" s="30" t="n">
        <f aca="false">IF(FN1="","",FN1-TransDate)</f>
        <v>114</v>
      </c>
      <c r="FO3" s="30" t="n">
        <f aca="false">IF(FO1="","",FO1-TransDate)</f>
        <v>115</v>
      </c>
      <c r="FP3" s="30" t="n">
        <f aca="false">IF(FP1="","",FP1-TransDate)</f>
        <v>116</v>
      </c>
      <c r="FQ3" s="30" t="n">
        <f aca="false">IF(FQ1="","",FQ1-TransDate)</f>
        <v>117</v>
      </c>
    </row>
    <row r="4" customFormat="false" ht="15" hidden="false" customHeight="false" outlineLevel="0" collapsed="false">
      <c r="B4" s="48" t="s">
        <v>394</v>
      </c>
      <c r="D4" s="30" t="n">
        <f aca="false">IF(OR(D1="",NOT(ISNUMBER(SowDate))),"",D1-SowDate)</f>
        <v>-3</v>
      </c>
      <c r="E4" s="30" t="n">
        <f aca="false">IF(OR(E1="",NOT(ISNUMBER(SowDate))),"",E1-SowDate)</f>
        <v>-2</v>
      </c>
      <c r="F4" s="30" t="n">
        <f aca="false">IF(OR(F1="",NOT(ISNUMBER(SowDate))),"",F1-SowDate)</f>
        <v>-1</v>
      </c>
      <c r="G4" s="30" t="n">
        <f aca="false">IF(OR(G1="",NOT(ISNUMBER(SowDate))),"",G1-SowDate)</f>
        <v>0</v>
      </c>
      <c r="H4" s="30" t="n">
        <f aca="false">IF(OR(H1="",NOT(ISNUMBER(SowDate))),"",H1-SowDate)</f>
        <v>1</v>
      </c>
      <c r="I4" s="30" t="n">
        <f aca="false">IF(OR(I1="",NOT(ISNUMBER(SowDate))),"",I1-SowDate)</f>
        <v>2</v>
      </c>
      <c r="J4" s="30" t="n">
        <f aca="false">IF(OR(J1="",NOT(ISNUMBER(SowDate))),"",J1-SowDate)</f>
        <v>3</v>
      </c>
      <c r="K4" s="30" t="n">
        <f aca="false">IF(OR(K1="",NOT(ISNUMBER(SowDate))),"",K1-SowDate)</f>
        <v>4</v>
      </c>
      <c r="L4" s="30" t="n">
        <f aca="false">IF(OR(L1="",NOT(ISNUMBER(SowDate))),"",L1-SowDate)</f>
        <v>5</v>
      </c>
      <c r="M4" s="30" t="n">
        <f aca="false">IF(OR(M1="",NOT(ISNUMBER(SowDate))),"",M1-SowDate)</f>
        <v>6</v>
      </c>
      <c r="N4" s="30" t="n">
        <f aca="false">IF(OR(N1="",NOT(ISNUMBER(SowDate))),"",N1-SowDate)</f>
        <v>7</v>
      </c>
      <c r="O4" s="30" t="n">
        <f aca="false">IF(OR(O1="",NOT(ISNUMBER(SowDate))),"",O1-SowDate)</f>
        <v>8</v>
      </c>
      <c r="P4" s="30" t="n">
        <f aca="false">IF(OR(P1="",NOT(ISNUMBER(SowDate))),"",P1-SowDate)</f>
        <v>9</v>
      </c>
      <c r="Q4" s="30" t="n">
        <f aca="false">IF(OR(Q1="",NOT(ISNUMBER(SowDate))),"",Q1-SowDate)</f>
        <v>10</v>
      </c>
      <c r="R4" s="30" t="n">
        <f aca="false">IF(OR(R1="",NOT(ISNUMBER(SowDate))),"",R1-SowDate)</f>
        <v>11</v>
      </c>
      <c r="S4" s="30" t="n">
        <f aca="false">IF(OR(S1="",NOT(ISNUMBER(SowDate))),"",S1-SowDate)</f>
        <v>12</v>
      </c>
      <c r="T4" s="30" t="n">
        <f aca="false">IF(OR(T1="",NOT(ISNUMBER(SowDate))),"",T1-SowDate)</f>
        <v>13</v>
      </c>
      <c r="U4" s="30" t="n">
        <f aca="false">IF(OR(U1="",NOT(ISNUMBER(SowDate))),"",U1-SowDate)</f>
        <v>14</v>
      </c>
      <c r="V4" s="30" t="n">
        <f aca="false">IF(OR(V1="",NOT(ISNUMBER(SowDate))),"",V1-SowDate)</f>
        <v>15</v>
      </c>
      <c r="W4" s="30" t="n">
        <f aca="false">IF(OR(W1="",NOT(ISNUMBER(SowDate))),"",W1-SowDate)</f>
        <v>16</v>
      </c>
      <c r="X4" s="30" t="n">
        <f aca="false">IF(OR(X1="",NOT(ISNUMBER(SowDate))),"",X1-SowDate)</f>
        <v>17</v>
      </c>
      <c r="Y4" s="30" t="n">
        <f aca="false">IF(OR(Y1="",NOT(ISNUMBER(SowDate))),"",Y1-SowDate)</f>
        <v>18</v>
      </c>
      <c r="Z4" s="30" t="n">
        <f aca="false">IF(OR(Z1="",NOT(ISNUMBER(SowDate))),"",Z1-SowDate)</f>
        <v>19</v>
      </c>
      <c r="AA4" s="30" t="n">
        <f aca="false">IF(OR(AA1="",NOT(ISNUMBER(SowDate))),"",AA1-SowDate)</f>
        <v>20</v>
      </c>
      <c r="AB4" s="30" t="n">
        <f aca="false">IF(OR(AB1="",NOT(ISNUMBER(SowDate))),"",AB1-SowDate)</f>
        <v>21</v>
      </c>
      <c r="AC4" s="30" t="n">
        <f aca="false">IF(OR(AC1="",NOT(ISNUMBER(SowDate))),"",AC1-SowDate)</f>
        <v>22</v>
      </c>
      <c r="AD4" s="30" t="n">
        <f aca="false">IF(OR(AD1="",NOT(ISNUMBER(SowDate))),"",AD1-SowDate)</f>
        <v>23</v>
      </c>
      <c r="AE4" s="30" t="n">
        <f aca="false">IF(OR(AE1="",NOT(ISNUMBER(SowDate))),"",AE1-SowDate)</f>
        <v>24</v>
      </c>
      <c r="AF4" s="30" t="n">
        <f aca="false">IF(OR(AF1="",NOT(ISNUMBER(SowDate))),"",AF1-SowDate)</f>
        <v>25</v>
      </c>
      <c r="AG4" s="30" t="n">
        <f aca="false">IF(OR(AG1="",NOT(ISNUMBER(SowDate))),"",AG1-SowDate)</f>
        <v>26</v>
      </c>
      <c r="AH4" s="30" t="n">
        <f aca="false">IF(OR(AH1="",NOT(ISNUMBER(SowDate))),"",AH1-SowDate)</f>
        <v>27</v>
      </c>
      <c r="AI4" s="30" t="n">
        <f aca="false">IF(OR(AI1="",NOT(ISNUMBER(SowDate))),"",AI1-SowDate)</f>
        <v>28</v>
      </c>
      <c r="AJ4" s="30" t="n">
        <f aca="false">IF(OR(AJ1="",NOT(ISNUMBER(SowDate))),"",AJ1-SowDate)</f>
        <v>29</v>
      </c>
      <c r="AK4" s="30" t="n">
        <f aca="false">IF(OR(AK1="",NOT(ISNUMBER(SowDate))),"",AK1-SowDate)</f>
        <v>30</v>
      </c>
      <c r="AL4" s="30" t="n">
        <f aca="false">IF(OR(AL1="",NOT(ISNUMBER(SowDate))),"",AL1-SowDate)</f>
        <v>31</v>
      </c>
      <c r="AM4" s="30" t="n">
        <f aca="false">IF(OR(AM1="",NOT(ISNUMBER(SowDate))),"",AM1-SowDate)</f>
        <v>32</v>
      </c>
      <c r="AN4" s="30" t="n">
        <f aca="false">IF(OR(AN1="",NOT(ISNUMBER(SowDate))),"",AN1-SowDate)</f>
        <v>33</v>
      </c>
      <c r="AO4" s="30" t="n">
        <f aca="false">IF(OR(AO1="",NOT(ISNUMBER(SowDate))),"",AO1-SowDate)</f>
        <v>34</v>
      </c>
      <c r="AP4" s="30" t="n">
        <f aca="false">IF(OR(AP1="",NOT(ISNUMBER(SowDate))),"",AP1-SowDate)</f>
        <v>35</v>
      </c>
      <c r="AQ4" s="30" t="n">
        <f aca="false">IF(OR(AQ1="",NOT(ISNUMBER(SowDate))),"",AQ1-SowDate)</f>
        <v>36</v>
      </c>
      <c r="AR4" s="30" t="n">
        <f aca="false">IF(OR(AR1="",NOT(ISNUMBER(SowDate))),"",AR1-SowDate)</f>
        <v>37</v>
      </c>
      <c r="AS4" s="30" t="n">
        <f aca="false">IF(OR(AS1="",NOT(ISNUMBER(SowDate))),"",AS1-SowDate)</f>
        <v>38</v>
      </c>
      <c r="AT4" s="30" t="n">
        <f aca="false">IF(OR(AT1="",NOT(ISNUMBER(SowDate))),"",AT1-SowDate)</f>
        <v>39</v>
      </c>
      <c r="AU4" s="30" t="n">
        <f aca="false">IF(OR(AU1="",NOT(ISNUMBER(SowDate))),"",AU1-SowDate)</f>
        <v>40</v>
      </c>
      <c r="AV4" s="30" t="n">
        <f aca="false">IF(OR(AV1="",NOT(ISNUMBER(SowDate))),"",AV1-SowDate)</f>
        <v>41</v>
      </c>
      <c r="AW4" s="30" t="n">
        <f aca="false">IF(OR(AW1="",NOT(ISNUMBER(SowDate))),"",AW1-SowDate)</f>
        <v>42</v>
      </c>
      <c r="AX4" s="30" t="n">
        <f aca="false">IF(OR(AX1="",NOT(ISNUMBER(SowDate))),"",AX1-SowDate)</f>
        <v>43</v>
      </c>
      <c r="AY4" s="30" t="n">
        <f aca="false">IF(OR(AY1="",NOT(ISNUMBER(SowDate))),"",AY1-SowDate)</f>
        <v>44</v>
      </c>
      <c r="AZ4" s="30" t="n">
        <f aca="false">IF(OR(AZ1="",NOT(ISNUMBER(SowDate))),"",AZ1-SowDate)</f>
        <v>45</v>
      </c>
      <c r="BA4" s="30" t="n">
        <f aca="false">IF(OR(BA1="",NOT(ISNUMBER(SowDate))),"",BA1-SowDate)</f>
        <v>46</v>
      </c>
      <c r="BB4" s="30" t="n">
        <f aca="false">IF(OR(BB1="",NOT(ISNUMBER(SowDate))),"",BB1-SowDate)</f>
        <v>47</v>
      </c>
      <c r="BC4" s="30" t="n">
        <f aca="false">IF(OR(BC1="",NOT(ISNUMBER(SowDate))),"",BC1-SowDate)</f>
        <v>48</v>
      </c>
      <c r="BD4" s="30" t="n">
        <f aca="false">IF(OR(BD1="",NOT(ISNUMBER(SowDate))),"",BD1-SowDate)</f>
        <v>49</v>
      </c>
      <c r="BE4" s="30" t="n">
        <f aca="false">IF(OR(BE1="",NOT(ISNUMBER(SowDate))),"",BE1-SowDate)</f>
        <v>50</v>
      </c>
      <c r="BF4" s="30" t="n">
        <f aca="false">IF(OR(BF1="",NOT(ISNUMBER(SowDate))),"",BF1-SowDate)</f>
        <v>51</v>
      </c>
      <c r="BG4" s="30" t="n">
        <f aca="false">IF(OR(BG1="",NOT(ISNUMBER(SowDate))),"",BG1-SowDate)</f>
        <v>52</v>
      </c>
      <c r="BH4" s="30" t="n">
        <f aca="false">IF(OR(BH1="",NOT(ISNUMBER(SowDate))),"",BH1-SowDate)</f>
        <v>53</v>
      </c>
      <c r="BI4" s="30" t="n">
        <f aca="false">IF(OR(BI1="",NOT(ISNUMBER(SowDate))),"",BI1-SowDate)</f>
        <v>54</v>
      </c>
      <c r="BJ4" s="30" t="n">
        <f aca="false">IF(OR(BJ1="",NOT(ISNUMBER(SowDate))),"",BJ1-SowDate)</f>
        <v>55</v>
      </c>
      <c r="BK4" s="30" t="n">
        <f aca="false">IF(OR(BK1="",NOT(ISNUMBER(SowDate))),"",BK1-SowDate)</f>
        <v>56</v>
      </c>
      <c r="BL4" s="30" t="n">
        <f aca="false">IF(OR(BL1="",NOT(ISNUMBER(SowDate))),"",BL1-SowDate)</f>
        <v>57</v>
      </c>
      <c r="BM4" s="30" t="n">
        <f aca="false">IF(OR(BM1="",NOT(ISNUMBER(SowDate))),"",BM1-SowDate)</f>
        <v>58</v>
      </c>
      <c r="BN4" s="30" t="n">
        <f aca="false">IF(OR(BN1="",NOT(ISNUMBER(SowDate))),"",BN1-SowDate)</f>
        <v>59</v>
      </c>
      <c r="BO4" s="30" t="n">
        <f aca="false">IF(OR(BO1="",NOT(ISNUMBER(SowDate))),"",BO1-SowDate)</f>
        <v>60</v>
      </c>
      <c r="BP4" s="30" t="n">
        <f aca="false">IF(OR(BP1="",NOT(ISNUMBER(SowDate))),"",BP1-SowDate)</f>
        <v>61</v>
      </c>
      <c r="BQ4" s="30" t="n">
        <f aca="false">IF(OR(BQ1="",NOT(ISNUMBER(SowDate))),"",BQ1-SowDate)</f>
        <v>62</v>
      </c>
      <c r="BR4" s="30" t="n">
        <f aca="false">IF(OR(BR1="",NOT(ISNUMBER(SowDate))),"",BR1-SowDate)</f>
        <v>63</v>
      </c>
      <c r="BS4" s="30" t="n">
        <f aca="false">IF(OR(BS1="",NOT(ISNUMBER(SowDate))),"",BS1-SowDate)</f>
        <v>64</v>
      </c>
      <c r="BT4" s="30" t="n">
        <f aca="false">IF(OR(BT1="",NOT(ISNUMBER(SowDate))),"",BT1-SowDate)</f>
        <v>65</v>
      </c>
      <c r="BU4" s="30" t="n">
        <f aca="false">IF(OR(BU1="",NOT(ISNUMBER(SowDate))),"",BU1-SowDate)</f>
        <v>66</v>
      </c>
      <c r="BV4" s="30" t="n">
        <f aca="false">IF(OR(BV1="",NOT(ISNUMBER(SowDate))),"",BV1-SowDate)</f>
        <v>67</v>
      </c>
      <c r="BW4" s="30" t="n">
        <f aca="false">IF(OR(BW1="",NOT(ISNUMBER(SowDate))),"",BW1-SowDate)</f>
        <v>68</v>
      </c>
      <c r="BX4" s="30" t="n">
        <f aca="false">IF(OR(BX1="",NOT(ISNUMBER(SowDate))),"",BX1-SowDate)</f>
        <v>69</v>
      </c>
      <c r="BY4" s="30" t="n">
        <f aca="false">IF(OR(BY1="",NOT(ISNUMBER(SowDate))),"",BY1-SowDate)</f>
        <v>70</v>
      </c>
      <c r="BZ4" s="30" t="n">
        <f aca="false">IF(OR(BZ1="",NOT(ISNUMBER(SowDate))),"",BZ1-SowDate)</f>
        <v>71</v>
      </c>
      <c r="CA4" s="30" t="n">
        <f aca="false">IF(OR(CA1="",NOT(ISNUMBER(SowDate))),"",CA1-SowDate)</f>
        <v>72</v>
      </c>
      <c r="CB4" s="30" t="n">
        <f aca="false">IF(OR(CB1="",NOT(ISNUMBER(SowDate))),"",CB1-SowDate)</f>
        <v>73</v>
      </c>
      <c r="CC4" s="30" t="n">
        <f aca="false">IF(OR(CC1="",NOT(ISNUMBER(SowDate))),"",CC1-SowDate)</f>
        <v>74</v>
      </c>
      <c r="CD4" s="30" t="n">
        <f aca="false">IF(OR(CD1="",NOT(ISNUMBER(SowDate))),"",CD1-SowDate)</f>
        <v>75</v>
      </c>
      <c r="CE4" s="30" t="n">
        <f aca="false">IF(OR(CE1="",NOT(ISNUMBER(SowDate))),"",CE1-SowDate)</f>
        <v>76</v>
      </c>
      <c r="CF4" s="30" t="n">
        <f aca="false">IF(OR(CF1="",NOT(ISNUMBER(SowDate))),"",CF1-SowDate)</f>
        <v>77</v>
      </c>
      <c r="CG4" s="30" t="n">
        <f aca="false">IF(OR(CG1="",NOT(ISNUMBER(SowDate))),"",CG1-SowDate)</f>
        <v>78</v>
      </c>
      <c r="CH4" s="30" t="n">
        <f aca="false">IF(OR(CH1="",NOT(ISNUMBER(SowDate))),"",CH1-SowDate)</f>
        <v>79</v>
      </c>
      <c r="CI4" s="30" t="n">
        <f aca="false">IF(OR(CI1="",NOT(ISNUMBER(SowDate))),"",CI1-SowDate)</f>
        <v>80</v>
      </c>
      <c r="CJ4" s="30" t="n">
        <f aca="false">IF(OR(CJ1="",NOT(ISNUMBER(SowDate))),"",CJ1-SowDate)</f>
        <v>81</v>
      </c>
      <c r="CK4" s="30" t="n">
        <f aca="false">IF(OR(CK1="",NOT(ISNUMBER(SowDate))),"",CK1-SowDate)</f>
        <v>82</v>
      </c>
      <c r="CL4" s="30" t="n">
        <f aca="false">IF(OR(CL1="",NOT(ISNUMBER(SowDate))),"",CL1-SowDate)</f>
        <v>83</v>
      </c>
      <c r="CM4" s="30" t="n">
        <f aca="false">IF(OR(CM1="",NOT(ISNUMBER(SowDate))),"",CM1-SowDate)</f>
        <v>84</v>
      </c>
      <c r="CN4" s="30" t="n">
        <f aca="false">IF(OR(CN1="",NOT(ISNUMBER(SowDate))),"",CN1-SowDate)</f>
        <v>85</v>
      </c>
      <c r="CO4" s="30" t="n">
        <f aca="false">IF(OR(CO1="",NOT(ISNUMBER(SowDate))),"",CO1-SowDate)</f>
        <v>86</v>
      </c>
      <c r="CP4" s="30" t="n">
        <f aca="false">IF(OR(CP1="",NOT(ISNUMBER(SowDate))),"",CP1-SowDate)</f>
        <v>87</v>
      </c>
      <c r="CQ4" s="30" t="n">
        <f aca="false">IF(OR(CQ1="",NOT(ISNUMBER(SowDate))),"",CQ1-SowDate)</f>
        <v>88</v>
      </c>
      <c r="CR4" s="30" t="n">
        <f aca="false">IF(OR(CR1="",NOT(ISNUMBER(SowDate))),"",CR1-SowDate)</f>
        <v>89</v>
      </c>
      <c r="CS4" s="30" t="n">
        <f aca="false">IF(OR(CS1="",NOT(ISNUMBER(SowDate))),"",CS1-SowDate)</f>
        <v>90</v>
      </c>
      <c r="CT4" s="30" t="n">
        <f aca="false">IF(OR(CT1="",NOT(ISNUMBER(SowDate))),"",CT1-SowDate)</f>
        <v>91</v>
      </c>
      <c r="CU4" s="30" t="n">
        <f aca="false">IF(OR(CU1="",NOT(ISNUMBER(SowDate))),"",CU1-SowDate)</f>
        <v>92</v>
      </c>
      <c r="CV4" s="30" t="n">
        <f aca="false">IF(OR(CV1="",NOT(ISNUMBER(SowDate))),"",CV1-SowDate)</f>
        <v>93</v>
      </c>
      <c r="CW4" s="30" t="n">
        <f aca="false">IF(OR(CW1="",NOT(ISNUMBER(SowDate))),"",CW1-SowDate)</f>
        <v>94</v>
      </c>
      <c r="CX4" s="30" t="n">
        <f aca="false">IF(OR(CX1="",NOT(ISNUMBER(SowDate))),"",CX1-SowDate)</f>
        <v>95</v>
      </c>
      <c r="CY4" s="30" t="n">
        <f aca="false">IF(OR(CY1="",NOT(ISNUMBER(SowDate))),"",CY1-SowDate)</f>
        <v>96</v>
      </c>
      <c r="CZ4" s="30" t="n">
        <f aca="false">IF(OR(CZ1="",NOT(ISNUMBER(SowDate))),"",CZ1-SowDate)</f>
        <v>97</v>
      </c>
      <c r="DA4" s="30" t="n">
        <f aca="false">IF(OR(DA1="",NOT(ISNUMBER(SowDate))),"",DA1-SowDate)</f>
        <v>98</v>
      </c>
      <c r="DB4" s="30" t="n">
        <f aca="false">IF(OR(DB1="",NOT(ISNUMBER(SowDate))),"",DB1-SowDate)</f>
        <v>99</v>
      </c>
      <c r="DC4" s="30" t="n">
        <f aca="false">IF(OR(DC1="",NOT(ISNUMBER(SowDate))),"",DC1-SowDate)</f>
        <v>100</v>
      </c>
      <c r="DD4" s="30" t="n">
        <f aca="false">IF(OR(DD1="",NOT(ISNUMBER(SowDate))),"",DD1-SowDate)</f>
        <v>101</v>
      </c>
      <c r="DE4" s="30" t="n">
        <f aca="false">IF(OR(DE1="",NOT(ISNUMBER(SowDate))),"",DE1-SowDate)</f>
        <v>102</v>
      </c>
      <c r="DF4" s="30" t="n">
        <f aca="false">IF(OR(DF1="",NOT(ISNUMBER(SowDate))),"",DF1-SowDate)</f>
        <v>103</v>
      </c>
      <c r="DG4" s="30" t="n">
        <f aca="false">IF(OR(DG1="",NOT(ISNUMBER(SowDate))),"",DG1-SowDate)</f>
        <v>104</v>
      </c>
      <c r="DH4" s="30" t="n">
        <f aca="false">IF(OR(DH1="",NOT(ISNUMBER(SowDate))),"",DH1-SowDate)</f>
        <v>105</v>
      </c>
      <c r="DI4" s="30" t="n">
        <f aca="false">IF(OR(DI1="",NOT(ISNUMBER(SowDate))),"",DI1-SowDate)</f>
        <v>106</v>
      </c>
      <c r="DJ4" s="30" t="n">
        <f aca="false">IF(OR(DJ1="",NOT(ISNUMBER(SowDate))),"",DJ1-SowDate)</f>
        <v>107</v>
      </c>
      <c r="DK4" s="30" t="n">
        <f aca="false">IF(OR(DK1="",NOT(ISNUMBER(SowDate))),"",DK1-SowDate)</f>
        <v>108</v>
      </c>
      <c r="DL4" s="30" t="n">
        <f aca="false">IF(OR(DL1="",NOT(ISNUMBER(SowDate))),"",DL1-SowDate)</f>
        <v>109</v>
      </c>
      <c r="DM4" s="30" t="n">
        <f aca="false">IF(OR(DM1="",NOT(ISNUMBER(SowDate))),"",DM1-SowDate)</f>
        <v>110</v>
      </c>
      <c r="DN4" s="30" t="n">
        <f aca="false">IF(OR(DN1="",NOT(ISNUMBER(SowDate))),"",DN1-SowDate)</f>
        <v>111</v>
      </c>
      <c r="DO4" s="30" t="n">
        <f aca="false">IF(OR(DO1="",NOT(ISNUMBER(SowDate))),"",DO1-SowDate)</f>
        <v>112</v>
      </c>
      <c r="DP4" s="30" t="n">
        <f aca="false">IF(OR(DP1="",NOT(ISNUMBER(SowDate))),"",DP1-SowDate)</f>
        <v>113</v>
      </c>
      <c r="DQ4" s="30" t="n">
        <f aca="false">IF(OR(DQ1="",NOT(ISNUMBER(SowDate))),"",DQ1-SowDate)</f>
        <v>114</v>
      </c>
      <c r="DR4" s="30" t="n">
        <f aca="false">IF(OR(DR1="",NOT(ISNUMBER(SowDate))),"",DR1-SowDate)</f>
        <v>115</v>
      </c>
      <c r="DS4" s="30" t="n">
        <f aca="false">IF(OR(DS1="",NOT(ISNUMBER(SowDate))),"",DS1-SowDate)</f>
        <v>116</v>
      </c>
      <c r="DT4" s="30" t="n">
        <f aca="false">IF(OR(DT1="",NOT(ISNUMBER(SowDate))),"",DT1-SowDate)</f>
        <v>117</v>
      </c>
      <c r="DU4" s="30" t="n">
        <f aca="false">IF(OR(DU1="",NOT(ISNUMBER(SowDate))),"",DU1-SowDate)</f>
        <v>118</v>
      </c>
      <c r="DV4" s="30" t="n">
        <f aca="false">IF(OR(DV1="",NOT(ISNUMBER(SowDate))),"",DV1-SowDate)</f>
        <v>119</v>
      </c>
      <c r="DW4" s="30" t="n">
        <f aca="false">IF(OR(DW1="",NOT(ISNUMBER(SowDate))),"",DW1-SowDate)</f>
        <v>120</v>
      </c>
      <c r="DX4" s="30" t="n">
        <f aca="false">IF(OR(DX1="",NOT(ISNUMBER(SowDate))),"",DX1-SowDate)</f>
        <v>121</v>
      </c>
      <c r="DY4" s="30" t="n">
        <f aca="false">IF(OR(DY1="",NOT(ISNUMBER(SowDate))),"",DY1-SowDate)</f>
        <v>122</v>
      </c>
      <c r="DZ4" s="30" t="n">
        <f aca="false">IF(OR(DZ1="",NOT(ISNUMBER(SowDate))),"",DZ1-SowDate)</f>
        <v>123</v>
      </c>
      <c r="EA4" s="30" t="n">
        <f aca="false">IF(OR(EA1="",NOT(ISNUMBER(SowDate))),"",EA1-SowDate)</f>
        <v>124</v>
      </c>
      <c r="EB4" s="30" t="n">
        <f aca="false">IF(OR(EB1="",NOT(ISNUMBER(SowDate))),"",EB1-SowDate)</f>
        <v>125</v>
      </c>
      <c r="EC4" s="30" t="n">
        <f aca="false">IF(OR(EC1="",NOT(ISNUMBER(SowDate))),"",EC1-SowDate)</f>
        <v>126</v>
      </c>
      <c r="ED4" s="30" t="n">
        <f aca="false">IF(OR(ED1="",NOT(ISNUMBER(SowDate))),"",ED1-SowDate)</f>
        <v>127</v>
      </c>
      <c r="EE4" s="30" t="n">
        <f aca="false">IF(OR(EE1="",NOT(ISNUMBER(SowDate))),"",EE1-SowDate)</f>
        <v>128</v>
      </c>
      <c r="EF4" s="30" t="n">
        <f aca="false">IF(OR(EF1="",NOT(ISNUMBER(SowDate))),"",EF1-SowDate)</f>
        <v>129</v>
      </c>
      <c r="EG4" s="30" t="n">
        <f aca="false">IF(OR(EG1="",NOT(ISNUMBER(SowDate))),"",EG1-SowDate)</f>
        <v>130</v>
      </c>
      <c r="EH4" s="30" t="n">
        <f aca="false">IF(OR(EH1="",NOT(ISNUMBER(SowDate))),"",EH1-SowDate)</f>
        <v>131</v>
      </c>
      <c r="EI4" s="30" t="n">
        <f aca="false">IF(OR(EI1="",NOT(ISNUMBER(SowDate))),"",EI1-SowDate)</f>
        <v>132</v>
      </c>
      <c r="EJ4" s="30" t="n">
        <f aca="false">IF(OR(EJ1="",NOT(ISNUMBER(SowDate))),"",EJ1-SowDate)</f>
        <v>133</v>
      </c>
      <c r="EK4" s="30" t="n">
        <f aca="false">IF(OR(EK1="",NOT(ISNUMBER(SowDate))),"",EK1-SowDate)</f>
        <v>134</v>
      </c>
      <c r="EL4" s="30" t="n">
        <f aca="false">IF(OR(EL1="",NOT(ISNUMBER(SowDate))),"",EL1-SowDate)</f>
        <v>135</v>
      </c>
      <c r="EM4" s="30" t="n">
        <f aca="false">IF(OR(EM1="",NOT(ISNUMBER(SowDate))),"",EM1-SowDate)</f>
        <v>136</v>
      </c>
      <c r="EN4" s="30" t="n">
        <f aca="false">IF(OR(EN1="",NOT(ISNUMBER(SowDate))),"",EN1-SowDate)</f>
        <v>137</v>
      </c>
      <c r="EO4" s="30" t="n">
        <f aca="false">IF(OR(EO1="",NOT(ISNUMBER(SowDate))),"",EO1-SowDate)</f>
        <v>138</v>
      </c>
      <c r="EP4" s="30" t="n">
        <f aca="false">IF(OR(EP1="",NOT(ISNUMBER(SowDate))),"",EP1-SowDate)</f>
        <v>139</v>
      </c>
      <c r="EQ4" s="30" t="n">
        <f aca="false">IF(OR(EQ1="",NOT(ISNUMBER(SowDate))),"",EQ1-SowDate)</f>
        <v>140</v>
      </c>
      <c r="ER4" s="30" t="n">
        <f aca="false">IF(OR(ER1="",NOT(ISNUMBER(SowDate))),"",ER1-SowDate)</f>
        <v>141</v>
      </c>
      <c r="ES4" s="30" t="n">
        <f aca="false">IF(OR(ES1="",NOT(ISNUMBER(SowDate))),"",ES1-SowDate)</f>
        <v>142</v>
      </c>
      <c r="ET4" s="30" t="n">
        <f aca="false">IF(OR(ET1="",NOT(ISNUMBER(SowDate))),"",ET1-SowDate)</f>
        <v>143</v>
      </c>
      <c r="EU4" s="30" t="n">
        <f aca="false">IF(OR(EU1="",NOT(ISNUMBER(SowDate))),"",EU1-SowDate)</f>
        <v>144</v>
      </c>
      <c r="EV4" s="30" t="n">
        <f aca="false">IF(OR(EV1="",NOT(ISNUMBER(SowDate))),"",EV1-SowDate)</f>
        <v>145</v>
      </c>
      <c r="EW4" s="30" t="n">
        <f aca="false">IF(OR(EW1="",NOT(ISNUMBER(SowDate))),"",EW1-SowDate)</f>
        <v>146</v>
      </c>
      <c r="EX4" s="30" t="n">
        <f aca="false">IF(OR(EX1="",NOT(ISNUMBER(SowDate))),"",EX1-SowDate)</f>
        <v>147</v>
      </c>
      <c r="EY4" s="30" t="n">
        <f aca="false">IF(OR(EY1="",NOT(ISNUMBER(SowDate))),"",EY1-SowDate)</f>
        <v>148</v>
      </c>
      <c r="EZ4" s="30" t="n">
        <f aca="false">IF(OR(EZ1="",NOT(ISNUMBER(SowDate))),"",EZ1-SowDate)</f>
        <v>149</v>
      </c>
      <c r="FA4" s="30" t="n">
        <f aca="false">IF(OR(FA1="",NOT(ISNUMBER(SowDate))),"",FA1-SowDate)</f>
        <v>150</v>
      </c>
      <c r="FB4" s="30" t="n">
        <f aca="false">IF(OR(FB1="",NOT(ISNUMBER(SowDate))),"",FB1-SowDate)</f>
        <v>151</v>
      </c>
      <c r="FC4" s="30" t="n">
        <f aca="false">IF(OR(FC1="",NOT(ISNUMBER(SowDate))),"",FC1-SowDate)</f>
        <v>152</v>
      </c>
      <c r="FD4" s="30" t="n">
        <f aca="false">IF(OR(FD1="",NOT(ISNUMBER(SowDate))),"",FD1-SowDate)</f>
        <v>153</v>
      </c>
      <c r="FE4" s="30" t="n">
        <f aca="false">IF(OR(FE1="",NOT(ISNUMBER(SowDate))),"",FE1-SowDate)</f>
        <v>154</v>
      </c>
      <c r="FF4" s="30" t="n">
        <f aca="false">IF(OR(FF1="",NOT(ISNUMBER(SowDate))),"",FF1-SowDate)</f>
        <v>155</v>
      </c>
      <c r="FG4" s="30" t="n">
        <f aca="false">IF(OR(FG1="",NOT(ISNUMBER(SowDate))),"",FG1-SowDate)</f>
        <v>156</v>
      </c>
      <c r="FH4" s="30" t="n">
        <f aca="false">IF(OR(FH1="",NOT(ISNUMBER(SowDate))),"",FH1-SowDate)</f>
        <v>157</v>
      </c>
      <c r="FI4" s="30" t="n">
        <f aca="false">IF(OR(FI1="",NOT(ISNUMBER(SowDate))),"",FI1-SowDate)</f>
        <v>158</v>
      </c>
      <c r="FJ4" s="30" t="n">
        <f aca="false">IF(OR(FJ1="",NOT(ISNUMBER(SowDate))),"",FJ1-SowDate)</f>
        <v>159</v>
      </c>
      <c r="FK4" s="30" t="n">
        <f aca="false">IF(OR(FK1="",NOT(ISNUMBER(SowDate))),"",FK1-SowDate)</f>
        <v>160</v>
      </c>
      <c r="FL4" s="30" t="n">
        <f aca="false">IF(OR(FL1="",NOT(ISNUMBER(SowDate))),"",FL1-SowDate)</f>
        <v>161</v>
      </c>
      <c r="FM4" s="30" t="n">
        <f aca="false">IF(OR(FM1="",NOT(ISNUMBER(SowDate))),"",FM1-SowDate)</f>
        <v>162</v>
      </c>
      <c r="FN4" s="30" t="n">
        <f aca="false">IF(OR(FN1="",NOT(ISNUMBER(SowDate))),"",FN1-SowDate)</f>
        <v>163</v>
      </c>
      <c r="FO4" s="30" t="n">
        <f aca="false">IF(OR(FO1="",NOT(ISNUMBER(SowDate))),"",FO1-SowDate)</f>
        <v>164</v>
      </c>
      <c r="FP4" s="30" t="n">
        <f aca="false">IF(OR(FP1="",NOT(ISNUMBER(SowDate))),"",FP1-SowDate)</f>
        <v>165</v>
      </c>
      <c r="FQ4" s="30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395</v>
      </c>
      <c r="D5" s="30" t="n">
        <f aca="false">IF(OR(D1="",NOT(ISNUMBER(HeadD))),"",D1-HeadD)</f>
        <v>-128</v>
      </c>
      <c r="E5" s="30" t="n">
        <f aca="false">IF(OR(E1="",NOT(ISNUMBER(HeadD))),"",E1-HeadD)</f>
        <v>-127</v>
      </c>
      <c r="F5" s="30" t="n">
        <f aca="false">IF(OR(F1="",NOT(ISNUMBER(HeadD))),"",F1-HeadD)</f>
        <v>-126</v>
      </c>
      <c r="G5" s="30" t="n">
        <f aca="false">IF(OR(G1="",NOT(ISNUMBER(HeadD))),"",G1-HeadD)</f>
        <v>-125</v>
      </c>
      <c r="H5" s="30" t="n">
        <f aca="false">IF(OR(H1="",NOT(ISNUMBER(HeadD))),"",H1-HeadD)</f>
        <v>-124</v>
      </c>
      <c r="I5" s="30" t="n">
        <f aca="false">IF(OR(I1="",NOT(ISNUMBER(HeadD))),"",I1-HeadD)</f>
        <v>-123</v>
      </c>
      <c r="J5" s="30" t="n">
        <f aca="false">IF(OR(J1="",NOT(ISNUMBER(HeadD))),"",J1-HeadD)</f>
        <v>-122</v>
      </c>
      <c r="K5" s="30" t="n">
        <f aca="false">IF(OR(K1="",NOT(ISNUMBER(HeadD))),"",K1-HeadD)</f>
        <v>-121</v>
      </c>
      <c r="L5" s="30" t="n">
        <f aca="false">IF(OR(L1="",NOT(ISNUMBER(HeadD))),"",L1-HeadD)</f>
        <v>-120</v>
      </c>
      <c r="M5" s="30" t="n">
        <f aca="false">IF(OR(M1="",NOT(ISNUMBER(HeadD))),"",M1-HeadD)</f>
        <v>-119</v>
      </c>
      <c r="N5" s="30" t="n">
        <f aca="false">IF(OR(N1="",NOT(ISNUMBER(HeadD))),"",N1-HeadD)</f>
        <v>-118</v>
      </c>
      <c r="O5" s="30" t="n">
        <f aca="false">IF(OR(O1="",NOT(ISNUMBER(HeadD))),"",O1-HeadD)</f>
        <v>-117</v>
      </c>
      <c r="P5" s="30" t="n">
        <f aca="false">IF(OR(P1="",NOT(ISNUMBER(HeadD))),"",P1-HeadD)</f>
        <v>-116</v>
      </c>
      <c r="Q5" s="30" t="n">
        <f aca="false">IF(OR(Q1="",NOT(ISNUMBER(HeadD))),"",Q1-HeadD)</f>
        <v>-115</v>
      </c>
      <c r="R5" s="30" t="n">
        <f aca="false">IF(OR(R1="",NOT(ISNUMBER(HeadD))),"",R1-HeadD)</f>
        <v>-114</v>
      </c>
      <c r="S5" s="30" t="n">
        <f aca="false">IF(OR(S1="",NOT(ISNUMBER(HeadD))),"",S1-HeadD)</f>
        <v>-113</v>
      </c>
      <c r="T5" s="30" t="n">
        <f aca="false">IF(OR(T1="",NOT(ISNUMBER(HeadD))),"",T1-HeadD)</f>
        <v>-112</v>
      </c>
      <c r="U5" s="30" t="n">
        <f aca="false">IF(OR(U1="",NOT(ISNUMBER(HeadD))),"",U1-HeadD)</f>
        <v>-111</v>
      </c>
      <c r="V5" s="30" t="n">
        <f aca="false">IF(OR(V1="",NOT(ISNUMBER(HeadD))),"",V1-HeadD)</f>
        <v>-110</v>
      </c>
      <c r="W5" s="30" t="n">
        <f aca="false">IF(OR(W1="",NOT(ISNUMBER(HeadD))),"",W1-HeadD)</f>
        <v>-109</v>
      </c>
      <c r="X5" s="30" t="n">
        <f aca="false">IF(OR(X1="",NOT(ISNUMBER(HeadD))),"",X1-HeadD)</f>
        <v>-108</v>
      </c>
      <c r="Y5" s="30" t="n">
        <f aca="false">IF(OR(Y1="",NOT(ISNUMBER(HeadD))),"",Y1-HeadD)</f>
        <v>-107</v>
      </c>
      <c r="Z5" s="30" t="n">
        <f aca="false">IF(OR(Z1="",NOT(ISNUMBER(HeadD))),"",Z1-HeadD)</f>
        <v>-106</v>
      </c>
      <c r="AA5" s="30" t="n">
        <f aca="false">IF(OR(AA1="",NOT(ISNUMBER(HeadD))),"",AA1-HeadD)</f>
        <v>-105</v>
      </c>
      <c r="AB5" s="30" t="n">
        <f aca="false">IF(OR(AB1="",NOT(ISNUMBER(HeadD))),"",AB1-HeadD)</f>
        <v>-104</v>
      </c>
      <c r="AC5" s="30" t="n">
        <f aca="false">IF(OR(AC1="",NOT(ISNUMBER(HeadD))),"",AC1-HeadD)</f>
        <v>-103</v>
      </c>
      <c r="AD5" s="30" t="n">
        <f aca="false">IF(OR(AD1="",NOT(ISNUMBER(HeadD))),"",AD1-HeadD)</f>
        <v>-102</v>
      </c>
      <c r="AE5" s="30" t="n">
        <f aca="false">IF(OR(AE1="",NOT(ISNUMBER(HeadD))),"",AE1-HeadD)</f>
        <v>-101</v>
      </c>
      <c r="AF5" s="30" t="n">
        <f aca="false">IF(OR(AF1="",NOT(ISNUMBER(HeadD))),"",AF1-HeadD)</f>
        <v>-100</v>
      </c>
      <c r="AG5" s="30" t="n">
        <f aca="false">IF(OR(AG1="",NOT(ISNUMBER(HeadD))),"",AG1-HeadD)</f>
        <v>-99</v>
      </c>
      <c r="AH5" s="30" t="n">
        <f aca="false">IF(OR(AH1="",NOT(ISNUMBER(HeadD))),"",AH1-HeadD)</f>
        <v>-98</v>
      </c>
      <c r="AI5" s="30" t="n">
        <f aca="false">IF(OR(AI1="",NOT(ISNUMBER(HeadD))),"",AI1-HeadD)</f>
        <v>-97</v>
      </c>
      <c r="AJ5" s="30" t="n">
        <f aca="false">IF(OR(AJ1="",NOT(ISNUMBER(HeadD))),"",AJ1-HeadD)</f>
        <v>-96</v>
      </c>
      <c r="AK5" s="30" t="n">
        <f aca="false">IF(OR(AK1="",NOT(ISNUMBER(HeadD))),"",AK1-HeadD)</f>
        <v>-95</v>
      </c>
      <c r="AL5" s="30" t="n">
        <f aca="false">IF(OR(AL1="",NOT(ISNUMBER(HeadD))),"",AL1-HeadD)</f>
        <v>-94</v>
      </c>
      <c r="AM5" s="30" t="n">
        <f aca="false">IF(OR(AM1="",NOT(ISNUMBER(HeadD))),"",AM1-HeadD)</f>
        <v>-93</v>
      </c>
      <c r="AN5" s="30" t="n">
        <f aca="false">IF(OR(AN1="",NOT(ISNUMBER(HeadD))),"",AN1-HeadD)</f>
        <v>-92</v>
      </c>
      <c r="AO5" s="30" t="n">
        <f aca="false">IF(OR(AO1="",NOT(ISNUMBER(HeadD))),"",AO1-HeadD)</f>
        <v>-91</v>
      </c>
      <c r="AP5" s="30" t="n">
        <f aca="false">IF(OR(AP1="",NOT(ISNUMBER(HeadD))),"",AP1-HeadD)</f>
        <v>-90</v>
      </c>
      <c r="AQ5" s="30" t="n">
        <f aca="false">IF(OR(AQ1="",NOT(ISNUMBER(HeadD))),"",AQ1-HeadD)</f>
        <v>-89</v>
      </c>
      <c r="AR5" s="30" t="n">
        <f aca="false">IF(OR(AR1="",NOT(ISNUMBER(HeadD))),"",AR1-HeadD)</f>
        <v>-88</v>
      </c>
      <c r="AS5" s="30" t="n">
        <f aca="false">IF(OR(AS1="",NOT(ISNUMBER(HeadD))),"",AS1-HeadD)</f>
        <v>-87</v>
      </c>
      <c r="AT5" s="30" t="n">
        <f aca="false">IF(OR(AT1="",NOT(ISNUMBER(HeadD))),"",AT1-HeadD)</f>
        <v>-86</v>
      </c>
      <c r="AU5" s="30" t="n">
        <f aca="false">IF(OR(AU1="",NOT(ISNUMBER(HeadD))),"",AU1-HeadD)</f>
        <v>-85</v>
      </c>
      <c r="AV5" s="30" t="n">
        <f aca="false">IF(OR(AV1="",NOT(ISNUMBER(HeadD))),"",AV1-HeadD)</f>
        <v>-84</v>
      </c>
      <c r="AW5" s="30" t="n">
        <f aca="false">IF(OR(AW1="",NOT(ISNUMBER(HeadD))),"",AW1-HeadD)</f>
        <v>-83</v>
      </c>
      <c r="AX5" s="30" t="n">
        <f aca="false">IF(OR(AX1="",NOT(ISNUMBER(HeadD))),"",AX1-HeadD)</f>
        <v>-82</v>
      </c>
      <c r="AY5" s="30" t="n">
        <f aca="false">IF(OR(AY1="",NOT(ISNUMBER(HeadD))),"",AY1-HeadD)</f>
        <v>-81</v>
      </c>
      <c r="AZ5" s="30" t="n">
        <f aca="false">IF(OR(AZ1="",NOT(ISNUMBER(HeadD))),"",AZ1-HeadD)</f>
        <v>-80</v>
      </c>
      <c r="BA5" s="30" t="n">
        <f aca="false">IF(OR(BA1="",NOT(ISNUMBER(HeadD))),"",BA1-HeadD)</f>
        <v>-79</v>
      </c>
      <c r="BB5" s="30" t="n">
        <f aca="false">IF(OR(BB1="",NOT(ISNUMBER(HeadD))),"",BB1-HeadD)</f>
        <v>-78</v>
      </c>
      <c r="BC5" s="30" t="n">
        <f aca="false">IF(OR(BC1="",NOT(ISNUMBER(HeadD))),"",BC1-HeadD)</f>
        <v>-77</v>
      </c>
      <c r="BD5" s="30" t="n">
        <f aca="false">IF(OR(BD1="",NOT(ISNUMBER(HeadD))),"",BD1-HeadD)</f>
        <v>-76</v>
      </c>
      <c r="BE5" s="30" t="n">
        <f aca="false">IF(OR(BE1="",NOT(ISNUMBER(HeadD))),"",BE1-HeadD)</f>
        <v>-75</v>
      </c>
      <c r="BF5" s="30" t="n">
        <f aca="false">IF(OR(BF1="",NOT(ISNUMBER(HeadD))),"",BF1-HeadD)</f>
        <v>-74</v>
      </c>
      <c r="BG5" s="30" t="n">
        <f aca="false">IF(OR(BG1="",NOT(ISNUMBER(HeadD))),"",BG1-HeadD)</f>
        <v>-73</v>
      </c>
      <c r="BH5" s="30" t="n">
        <f aca="false">IF(OR(BH1="",NOT(ISNUMBER(HeadD))),"",BH1-HeadD)</f>
        <v>-72</v>
      </c>
      <c r="BI5" s="30" t="n">
        <f aca="false">IF(OR(BI1="",NOT(ISNUMBER(HeadD))),"",BI1-HeadD)</f>
        <v>-71</v>
      </c>
      <c r="BJ5" s="30" t="n">
        <f aca="false">IF(OR(BJ1="",NOT(ISNUMBER(HeadD))),"",BJ1-HeadD)</f>
        <v>-70</v>
      </c>
      <c r="BK5" s="30" t="n">
        <f aca="false">IF(OR(BK1="",NOT(ISNUMBER(HeadD))),"",BK1-HeadD)</f>
        <v>-69</v>
      </c>
      <c r="BL5" s="30" t="n">
        <f aca="false">IF(OR(BL1="",NOT(ISNUMBER(HeadD))),"",BL1-HeadD)</f>
        <v>-68</v>
      </c>
      <c r="BM5" s="30" t="n">
        <f aca="false">IF(OR(BM1="",NOT(ISNUMBER(HeadD))),"",BM1-HeadD)</f>
        <v>-67</v>
      </c>
      <c r="BN5" s="30" t="n">
        <f aca="false">IF(OR(BN1="",NOT(ISNUMBER(HeadD))),"",BN1-HeadD)</f>
        <v>-66</v>
      </c>
      <c r="BO5" s="30" t="n">
        <f aca="false">IF(OR(BO1="",NOT(ISNUMBER(HeadD))),"",BO1-HeadD)</f>
        <v>-65</v>
      </c>
      <c r="BP5" s="30" t="n">
        <f aca="false">IF(OR(BP1="",NOT(ISNUMBER(HeadD))),"",BP1-HeadD)</f>
        <v>-64</v>
      </c>
      <c r="BQ5" s="30" t="n">
        <f aca="false">IF(OR(BQ1="",NOT(ISNUMBER(HeadD))),"",BQ1-HeadD)</f>
        <v>-63</v>
      </c>
      <c r="BR5" s="30" t="n">
        <f aca="false">IF(OR(BR1="",NOT(ISNUMBER(HeadD))),"",BR1-HeadD)</f>
        <v>-62</v>
      </c>
      <c r="BS5" s="30" t="n">
        <f aca="false">IF(OR(BS1="",NOT(ISNUMBER(HeadD))),"",BS1-HeadD)</f>
        <v>-61</v>
      </c>
      <c r="BT5" s="30" t="n">
        <f aca="false">IF(OR(BT1="",NOT(ISNUMBER(HeadD))),"",BT1-HeadD)</f>
        <v>-60</v>
      </c>
      <c r="BU5" s="30" t="n">
        <f aca="false">IF(OR(BU1="",NOT(ISNUMBER(HeadD))),"",BU1-HeadD)</f>
        <v>-59</v>
      </c>
      <c r="BV5" s="30" t="n">
        <f aca="false">IF(OR(BV1="",NOT(ISNUMBER(HeadD))),"",BV1-HeadD)</f>
        <v>-58</v>
      </c>
      <c r="BW5" s="30" t="n">
        <f aca="false">IF(OR(BW1="",NOT(ISNUMBER(HeadD))),"",BW1-HeadD)</f>
        <v>-57</v>
      </c>
      <c r="BX5" s="30" t="n">
        <f aca="false">IF(OR(BX1="",NOT(ISNUMBER(HeadD))),"",BX1-HeadD)</f>
        <v>-56</v>
      </c>
      <c r="BY5" s="30" t="n">
        <f aca="false">IF(OR(BY1="",NOT(ISNUMBER(HeadD))),"",BY1-HeadD)</f>
        <v>-55</v>
      </c>
      <c r="BZ5" s="30" t="n">
        <f aca="false">IF(OR(BZ1="",NOT(ISNUMBER(HeadD))),"",BZ1-HeadD)</f>
        <v>-54</v>
      </c>
      <c r="CA5" s="30" t="n">
        <f aca="false">IF(OR(CA1="",NOT(ISNUMBER(HeadD))),"",CA1-HeadD)</f>
        <v>-53</v>
      </c>
      <c r="CB5" s="30" t="n">
        <f aca="false">IF(OR(CB1="",NOT(ISNUMBER(HeadD))),"",CB1-HeadD)</f>
        <v>-52</v>
      </c>
      <c r="CC5" s="30" t="n">
        <f aca="false">IF(OR(CC1="",NOT(ISNUMBER(HeadD))),"",CC1-HeadD)</f>
        <v>-51</v>
      </c>
      <c r="CD5" s="30" t="n">
        <f aca="false">IF(OR(CD1="",NOT(ISNUMBER(HeadD))),"",CD1-HeadD)</f>
        <v>-50</v>
      </c>
      <c r="CE5" s="30" t="n">
        <f aca="false">IF(OR(CE1="",NOT(ISNUMBER(HeadD))),"",CE1-HeadD)</f>
        <v>-49</v>
      </c>
      <c r="CF5" s="30" t="n">
        <f aca="false">IF(OR(CF1="",NOT(ISNUMBER(HeadD))),"",CF1-HeadD)</f>
        <v>-48</v>
      </c>
      <c r="CG5" s="30" t="n">
        <f aca="false">IF(OR(CG1="",NOT(ISNUMBER(HeadD))),"",CG1-HeadD)</f>
        <v>-47</v>
      </c>
      <c r="CH5" s="30" t="n">
        <f aca="false">IF(OR(CH1="",NOT(ISNUMBER(HeadD))),"",CH1-HeadD)</f>
        <v>-46</v>
      </c>
      <c r="CI5" s="30" t="n">
        <f aca="false">IF(OR(CI1="",NOT(ISNUMBER(HeadD))),"",CI1-HeadD)</f>
        <v>-45</v>
      </c>
      <c r="CJ5" s="30" t="n">
        <f aca="false">IF(OR(CJ1="",NOT(ISNUMBER(HeadD))),"",CJ1-HeadD)</f>
        <v>-44</v>
      </c>
      <c r="CK5" s="30" t="n">
        <f aca="false">IF(OR(CK1="",NOT(ISNUMBER(HeadD))),"",CK1-HeadD)</f>
        <v>-43</v>
      </c>
      <c r="CL5" s="30" t="n">
        <f aca="false">IF(OR(CL1="",NOT(ISNUMBER(HeadD))),"",CL1-HeadD)</f>
        <v>-42</v>
      </c>
      <c r="CM5" s="30" t="n">
        <f aca="false">IF(OR(CM1="",NOT(ISNUMBER(HeadD))),"",CM1-HeadD)</f>
        <v>-41</v>
      </c>
      <c r="CN5" s="30" t="n">
        <f aca="false">IF(OR(CN1="",NOT(ISNUMBER(HeadD))),"",CN1-HeadD)</f>
        <v>-40</v>
      </c>
      <c r="CO5" s="30" t="n">
        <f aca="false">IF(OR(CO1="",NOT(ISNUMBER(HeadD))),"",CO1-HeadD)</f>
        <v>-39</v>
      </c>
      <c r="CP5" s="30" t="n">
        <f aca="false">IF(OR(CP1="",NOT(ISNUMBER(HeadD))),"",CP1-HeadD)</f>
        <v>-38</v>
      </c>
      <c r="CQ5" s="30" t="n">
        <f aca="false">IF(OR(CQ1="",NOT(ISNUMBER(HeadD))),"",CQ1-HeadD)</f>
        <v>-37</v>
      </c>
      <c r="CR5" s="30" t="n">
        <f aca="false">IF(OR(CR1="",NOT(ISNUMBER(HeadD))),"",CR1-HeadD)</f>
        <v>-36</v>
      </c>
      <c r="CS5" s="30" t="n">
        <f aca="false">IF(OR(CS1="",NOT(ISNUMBER(HeadD))),"",CS1-HeadD)</f>
        <v>-35</v>
      </c>
      <c r="CT5" s="30" t="n">
        <f aca="false">IF(OR(CT1="",NOT(ISNUMBER(HeadD))),"",CT1-HeadD)</f>
        <v>-34</v>
      </c>
      <c r="CU5" s="30" t="n">
        <f aca="false">IF(OR(CU1="",NOT(ISNUMBER(HeadD))),"",CU1-HeadD)</f>
        <v>-33</v>
      </c>
      <c r="CV5" s="30" t="n">
        <f aca="false">IF(OR(CV1="",NOT(ISNUMBER(HeadD))),"",CV1-HeadD)</f>
        <v>-32</v>
      </c>
      <c r="CW5" s="30" t="n">
        <f aca="false">IF(OR(CW1="",NOT(ISNUMBER(HeadD))),"",CW1-HeadD)</f>
        <v>-31</v>
      </c>
      <c r="CX5" s="30" t="n">
        <f aca="false">IF(OR(CX1="",NOT(ISNUMBER(HeadD))),"",CX1-HeadD)</f>
        <v>-30</v>
      </c>
      <c r="CY5" s="30" t="n">
        <f aca="false">IF(OR(CY1="",NOT(ISNUMBER(HeadD))),"",CY1-HeadD)</f>
        <v>-29</v>
      </c>
      <c r="CZ5" s="30" t="n">
        <f aca="false">IF(OR(CZ1="",NOT(ISNUMBER(HeadD))),"",CZ1-HeadD)</f>
        <v>-28</v>
      </c>
      <c r="DA5" s="30" t="n">
        <f aca="false">IF(OR(DA1="",NOT(ISNUMBER(HeadD))),"",DA1-HeadD)</f>
        <v>-27</v>
      </c>
      <c r="DB5" s="30" t="n">
        <f aca="false">IF(OR(DB1="",NOT(ISNUMBER(HeadD))),"",DB1-HeadD)</f>
        <v>-26</v>
      </c>
      <c r="DC5" s="30" t="n">
        <f aca="false">IF(OR(DC1="",NOT(ISNUMBER(HeadD))),"",DC1-HeadD)</f>
        <v>-25</v>
      </c>
      <c r="DD5" s="30" t="n">
        <f aca="false">IF(OR(DD1="",NOT(ISNUMBER(HeadD))),"",DD1-HeadD)</f>
        <v>-24</v>
      </c>
      <c r="DE5" s="30" t="n">
        <f aca="false">IF(OR(DE1="",NOT(ISNUMBER(HeadD))),"",DE1-HeadD)</f>
        <v>-23</v>
      </c>
      <c r="DF5" s="30" t="n">
        <f aca="false">IF(OR(DF1="",NOT(ISNUMBER(HeadD))),"",DF1-HeadD)</f>
        <v>-22</v>
      </c>
      <c r="DG5" s="30" t="n">
        <f aca="false">IF(OR(DG1="",NOT(ISNUMBER(HeadD))),"",DG1-HeadD)</f>
        <v>-21</v>
      </c>
      <c r="DH5" s="30" t="n">
        <f aca="false">IF(OR(DH1="",NOT(ISNUMBER(HeadD))),"",DH1-HeadD)</f>
        <v>-20</v>
      </c>
      <c r="DI5" s="30" t="n">
        <f aca="false">IF(OR(DI1="",NOT(ISNUMBER(HeadD))),"",DI1-HeadD)</f>
        <v>-19</v>
      </c>
      <c r="DJ5" s="30" t="n">
        <f aca="false">IF(OR(DJ1="",NOT(ISNUMBER(HeadD))),"",DJ1-HeadD)</f>
        <v>-18</v>
      </c>
      <c r="DK5" s="30" t="n">
        <f aca="false">IF(OR(DK1="",NOT(ISNUMBER(HeadD))),"",DK1-HeadD)</f>
        <v>-17</v>
      </c>
      <c r="DL5" s="30" t="n">
        <f aca="false">IF(OR(DL1="",NOT(ISNUMBER(HeadD))),"",DL1-HeadD)</f>
        <v>-16</v>
      </c>
      <c r="DM5" s="30" t="n">
        <f aca="false">IF(OR(DM1="",NOT(ISNUMBER(HeadD))),"",DM1-HeadD)</f>
        <v>-15</v>
      </c>
      <c r="DN5" s="30" t="n">
        <f aca="false">IF(OR(DN1="",NOT(ISNUMBER(HeadD))),"",DN1-HeadD)</f>
        <v>-14</v>
      </c>
      <c r="DO5" s="30" t="n">
        <f aca="false">IF(OR(DO1="",NOT(ISNUMBER(HeadD))),"",DO1-HeadD)</f>
        <v>-13</v>
      </c>
      <c r="DP5" s="30" t="n">
        <f aca="false">IF(OR(DP1="",NOT(ISNUMBER(HeadD))),"",DP1-HeadD)</f>
        <v>-12</v>
      </c>
      <c r="DQ5" s="30" t="n">
        <f aca="false">IF(OR(DQ1="",NOT(ISNUMBER(HeadD))),"",DQ1-HeadD)</f>
        <v>-11</v>
      </c>
      <c r="DR5" s="30" t="n">
        <f aca="false">IF(OR(DR1="",NOT(ISNUMBER(HeadD))),"",DR1-HeadD)</f>
        <v>-10</v>
      </c>
      <c r="DS5" s="30" t="n">
        <f aca="false">IF(OR(DS1="",NOT(ISNUMBER(HeadD))),"",DS1-HeadD)</f>
        <v>-9</v>
      </c>
      <c r="DT5" s="30" t="n">
        <f aca="false">IF(OR(DT1="",NOT(ISNUMBER(HeadD))),"",DT1-HeadD)</f>
        <v>-8</v>
      </c>
      <c r="DU5" s="30" t="n">
        <f aca="false">IF(OR(DU1="",NOT(ISNUMBER(HeadD))),"",DU1-HeadD)</f>
        <v>-7</v>
      </c>
      <c r="DV5" s="30" t="n">
        <f aca="false">IF(OR(DV1="",NOT(ISNUMBER(HeadD))),"",DV1-HeadD)</f>
        <v>-6</v>
      </c>
      <c r="DW5" s="30" t="n">
        <f aca="false">IF(OR(DW1="",NOT(ISNUMBER(HeadD))),"",DW1-HeadD)</f>
        <v>-5</v>
      </c>
      <c r="DX5" s="30" t="n">
        <f aca="false">IF(OR(DX1="",NOT(ISNUMBER(HeadD))),"",DX1-HeadD)</f>
        <v>-4</v>
      </c>
      <c r="DY5" s="30" t="n">
        <f aca="false">IF(OR(DY1="",NOT(ISNUMBER(HeadD))),"",DY1-HeadD)</f>
        <v>-3</v>
      </c>
      <c r="DZ5" s="30" t="n">
        <f aca="false">IF(OR(DZ1="",NOT(ISNUMBER(HeadD))),"",DZ1-HeadD)</f>
        <v>-2</v>
      </c>
      <c r="EA5" s="30" t="n">
        <f aca="false">IF(OR(EA1="",NOT(ISNUMBER(HeadD))),"",EA1-HeadD)</f>
        <v>-1</v>
      </c>
      <c r="EB5" s="30" t="n">
        <f aca="false">IF(OR(EB1="",NOT(ISNUMBER(HeadD))),"",EB1-HeadD)</f>
        <v>0</v>
      </c>
      <c r="EC5" s="30" t="n">
        <f aca="false">IF(OR(EC1="",NOT(ISNUMBER(HeadD))),"",EC1-HeadD)</f>
        <v>1</v>
      </c>
      <c r="ED5" s="30" t="n">
        <f aca="false">IF(OR(ED1="",NOT(ISNUMBER(HeadD))),"",ED1-HeadD)</f>
        <v>2</v>
      </c>
      <c r="EE5" s="30" t="n">
        <f aca="false">IF(OR(EE1="",NOT(ISNUMBER(HeadD))),"",EE1-HeadD)</f>
        <v>3</v>
      </c>
      <c r="EF5" s="30" t="n">
        <f aca="false">IF(OR(EF1="",NOT(ISNUMBER(HeadD))),"",EF1-HeadD)</f>
        <v>4</v>
      </c>
      <c r="EG5" s="30" t="n">
        <f aca="false">IF(OR(EG1="",NOT(ISNUMBER(HeadD))),"",EG1-HeadD)</f>
        <v>5</v>
      </c>
      <c r="EH5" s="30" t="n">
        <f aca="false">IF(OR(EH1="",NOT(ISNUMBER(HeadD))),"",EH1-HeadD)</f>
        <v>6</v>
      </c>
      <c r="EI5" s="30" t="n">
        <f aca="false">IF(OR(EI1="",NOT(ISNUMBER(HeadD))),"",EI1-HeadD)</f>
        <v>7</v>
      </c>
      <c r="EJ5" s="30" t="n">
        <f aca="false">IF(OR(EJ1="",NOT(ISNUMBER(HeadD))),"",EJ1-HeadD)</f>
        <v>8</v>
      </c>
      <c r="EK5" s="30" t="n">
        <f aca="false">IF(OR(EK1="",NOT(ISNUMBER(HeadD))),"",EK1-HeadD)</f>
        <v>9</v>
      </c>
      <c r="EL5" s="30" t="n">
        <f aca="false">IF(OR(EL1="",NOT(ISNUMBER(HeadD))),"",EL1-HeadD)</f>
        <v>10</v>
      </c>
      <c r="EM5" s="30" t="n">
        <f aca="false">IF(OR(EM1="",NOT(ISNUMBER(HeadD))),"",EM1-HeadD)</f>
        <v>11</v>
      </c>
      <c r="EN5" s="30" t="n">
        <f aca="false">IF(OR(EN1="",NOT(ISNUMBER(HeadD))),"",EN1-HeadD)</f>
        <v>12</v>
      </c>
      <c r="EO5" s="30" t="n">
        <f aca="false">IF(OR(EO1="",NOT(ISNUMBER(HeadD))),"",EO1-HeadD)</f>
        <v>13</v>
      </c>
      <c r="EP5" s="30" t="n">
        <f aca="false">IF(OR(EP1="",NOT(ISNUMBER(HeadD))),"",EP1-HeadD)</f>
        <v>14</v>
      </c>
      <c r="EQ5" s="30" t="n">
        <f aca="false">IF(OR(EQ1="",NOT(ISNUMBER(HeadD))),"",EQ1-HeadD)</f>
        <v>15</v>
      </c>
      <c r="ER5" s="30" t="n">
        <f aca="false">IF(OR(ER1="",NOT(ISNUMBER(HeadD))),"",ER1-HeadD)</f>
        <v>16</v>
      </c>
      <c r="ES5" s="30" t="n">
        <f aca="false">IF(OR(ES1="",NOT(ISNUMBER(HeadD))),"",ES1-HeadD)</f>
        <v>17</v>
      </c>
      <c r="ET5" s="30" t="n">
        <f aca="false">IF(OR(ET1="",NOT(ISNUMBER(HeadD))),"",ET1-HeadD)</f>
        <v>18</v>
      </c>
      <c r="EU5" s="30" t="n">
        <f aca="false">IF(OR(EU1="",NOT(ISNUMBER(HeadD))),"",EU1-HeadD)</f>
        <v>19</v>
      </c>
      <c r="EV5" s="30" t="n">
        <f aca="false">IF(OR(EV1="",NOT(ISNUMBER(HeadD))),"",EV1-HeadD)</f>
        <v>20</v>
      </c>
      <c r="EW5" s="30" t="n">
        <f aca="false">IF(OR(EW1="",NOT(ISNUMBER(HeadD))),"",EW1-HeadD)</f>
        <v>21</v>
      </c>
      <c r="EX5" s="30" t="n">
        <f aca="false">IF(OR(EX1="",NOT(ISNUMBER(HeadD))),"",EX1-HeadD)</f>
        <v>22</v>
      </c>
      <c r="EY5" s="30" t="n">
        <f aca="false">IF(OR(EY1="",NOT(ISNUMBER(HeadD))),"",EY1-HeadD)</f>
        <v>23</v>
      </c>
      <c r="EZ5" s="30" t="n">
        <f aca="false">IF(OR(EZ1="",NOT(ISNUMBER(HeadD))),"",EZ1-HeadD)</f>
        <v>24</v>
      </c>
      <c r="FA5" s="30" t="n">
        <f aca="false">IF(OR(FA1="",NOT(ISNUMBER(HeadD))),"",FA1-HeadD)</f>
        <v>25</v>
      </c>
      <c r="FB5" s="30" t="n">
        <f aca="false">IF(OR(FB1="",NOT(ISNUMBER(HeadD))),"",FB1-HeadD)</f>
        <v>26</v>
      </c>
      <c r="FC5" s="30" t="n">
        <f aca="false">IF(OR(FC1="",NOT(ISNUMBER(HeadD))),"",FC1-HeadD)</f>
        <v>27</v>
      </c>
      <c r="FD5" s="30" t="n">
        <f aca="false">IF(OR(FD1="",NOT(ISNUMBER(HeadD))),"",FD1-HeadD)</f>
        <v>28</v>
      </c>
      <c r="FE5" s="30" t="n">
        <f aca="false">IF(OR(FE1="",NOT(ISNUMBER(HeadD))),"",FE1-HeadD)</f>
        <v>29</v>
      </c>
      <c r="FF5" s="30" t="n">
        <f aca="false">IF(OR(FF1="",NOT(ISNUMBER(HeadD))),"",FF1-HeadD)</f>
        <v>30</v>
      </c>
      <c r="FG5" s="30" t="n">
        <f aca="false">IF(OR(FG1="",NOT(ISNUMBER(HeadD))),"",FG1-HeadD)</f>
        <v>31</v>
      </c>
      <c r="FH5" s="30" t="n">
        <f aca="false">IF(OR(FH1="",NOT(ISNUMBER(HeadD))),"",FH1-HeadD)</f>
        <v>32</v>
      </c>
      <c r="FI5" s="30" t="n">
        <f aca="false">IF(OR(FI1="",NOT(ISNUMBER(HeadD))),"",FI1-HeadD)</f>
        <v>33</v>
      </c>
      <c r="FJ5" s="30" t="n">
        <f aca="false">IF(OR(FJ1="",NOT(ISNUMBER(HeadD))),"",FJ1-HeadD)</f>
        <v>34</v>
      </c>
      <c r="FK5" s="30" t="n">
        <f aca="false">IF(OR(FK1="",NOT(ISNUMBER(HeadD))),"",FK1-HeadD)</f>
        <v>35</v>
      </c>
      <c r="FL5" s="30" t="n">
        <f aca="false">IF(OR(FL1="",NOT(ISNUMBER(HeadD))),"",FL1-HeadD)</f>
        <v>36</v>
      </c>
      <c r="FM5" s="30" t="n">
        <f aca="false">IF(OR(FM1="",NOT(ISNUMBER(HeadD))),"",FM1-HeadD)</f>
        <v>37</v>
      </c>
      <c r="FN5" s="30" t="n">
        <f aca="false">IF(OR(FN1="",NOT(ISNUMBER(HeadD))),"",FN1-HeadD)</f>
        <v>38</v>
      </c>
      <c r="FO5" s="30" t="n">
        <f aca="false">IF(OR(FO1="",NOT(ISNUMBER(HeadD))),"",FO1-HeadD)</f>
        <v>39</v>
      </c>
      <c r="FP5" s="30" t="n">
        <f aca="false">IF(OR(FP1="",NOT(ISNUMBER(HeadD))),"",FP1-HeadD)</f>
        <v>40</v>
      </c>
      <c r="FQ5" s="30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159</v>
      </c>
      <c r="D6" s="32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32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32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32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32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32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32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32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32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32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32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32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32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32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32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32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32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32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32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32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32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32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32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32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32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32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32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32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32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32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32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32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32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32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32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32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32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32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32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32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32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32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32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32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32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32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32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32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32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32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32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32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32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32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32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32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32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32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32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32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32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32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32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32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32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32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32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32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32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32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32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32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32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32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32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32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32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32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32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32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32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32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32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32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32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32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32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32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32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32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32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32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32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32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32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32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32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32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32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32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32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32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32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32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32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32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32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32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32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32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32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32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32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32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32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32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32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32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32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32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32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32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32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32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32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32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32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32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32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32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32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32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32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32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32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32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32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32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32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32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32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32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32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32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32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32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32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32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32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32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32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32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32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32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32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32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32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32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32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32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32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32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32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32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32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32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32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32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32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32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41" t="s">
        <v>396</v>
      </c>
      <c r="B7" s="41" t="s">
        <v>397</v>
      </c>
    </row>
    <row r="8" customFormat="false" ht="15" hidden="false" customHeight="false" outlineLevel="0" collapsed="false">
      <c r="A8" s="40" t="s">
        <v>396</v>
      </c>
      <c r="B8" s="41" t="s">
        <v>188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40" t="s">
        <v>396</v>
      </c>
      <c r="B9" s="41" t="s">
        <v>398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40" t="s">
        <v>396</v>
      </c>
      <c r="B10" s="41" t="s">
        <v>399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318</v>
      </c>
      <c r="B11" s="17" t="s">
        <v>400</v>
      </c>
    </row>
    <row r="12" customFormat="false" ht="15" hidden="false" customHeight="false" outlineLevel="0" collapsed="false">
      <c r="A12" s="34" t="s">
        <v>318</v>
      </c>
      <c r="B12" s="17" t="s">
        <v>401</v>
      </c>
      <c r="C12" s="30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4" t="s">
        <v>318</v>
      </c>
      <c r="B13" s="17" t="s">
        <v>402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4" t="s">
        <v>318</v>
      </c>
      <c r="B14" s="17" t="s">
        <v>403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4" t="s">
        <v>318</v>
      </c>
      <c r="B15" s="17" t="s">
        <v>404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4" t="s">
        <v>318</v>
      </c>
      <c r="B16" s="17" t="s">
        <v>405</v>
      </c>
      <c r="C16" s="30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4" t="s">
        <v>318</v>
      </c>
      <c r="B17" s="17" t="s">
        <v>406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4" t="s">
        <v>318</v>
      </c>
      <c r="B18" s="17" t="s">
        <v>407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4" t="s">
        <v>318</v>
      </c>
      <c r="B19" s="17" t="s">
        <v>408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4" t="s">
        <v>318</v>
      </c>
      <c r="B20" s="17" t="s">
        <v>409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4" t="s">
        <v>318</v>
      </c>
      <c r="B21" s="17" t="s">
        <v>410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4" t="s">
        <v>318</v>
      </c>
      <c r="B22" s="17" t="s">
        <v>411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4" t="s">
        <v>318</v>
      </c>
      <c r="B23" s="17" t="s">
        <v>412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4" t="s">
        <v>318</v>
      </c>
      <c r="B24" s="17" t="s">
        <v>413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4" t="s">
        <v>318</v>
      </c>
      <c r="B25" s="17" t="s">
        <v>414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4" t="s">
        <v>318</v>
      </c>
      <c r="B26" s="17" t="s">
        <v>415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4" t="s">
        <v>318</v>
      </c>
      <c r="B27" s="17" t="s">
        <v>416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4" t="s">
        <v>318</v>
      </c>
      <c r="B28" s="17" t="s">
        <v>417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4" t="s">
        <v>318</v>
      </c>
      <c r="B29" s="17" t="s">
        <v>418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4" t="s">
        <v>318</v>
      </c>
      <c r="B30" s="17" t="s">
        <v>419</v>
      </c>
      <c r="D30" s="39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9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9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9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9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9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9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9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9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9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9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9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9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9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9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9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9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9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9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9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9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9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9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9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9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9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9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9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9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9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9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9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9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9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9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9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9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9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9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9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9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9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9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9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9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9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9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9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9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9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9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9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9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9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9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9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9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9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9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9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9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9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9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9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9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9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9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9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9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9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9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9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9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9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9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9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9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9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9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9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9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9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9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9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9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9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9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9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9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9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9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9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9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9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9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9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9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9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9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9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9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9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9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9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9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9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9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9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9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9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9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9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9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9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9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9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9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9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9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9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9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9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9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9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9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9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9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9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9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9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9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9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9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9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9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9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9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9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9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9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9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9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9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9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9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9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9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9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9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9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9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9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9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9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9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9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9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9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9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9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9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9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9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9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9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9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9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9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9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9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4" t="s">
        <v>318</v>
      </c>
      <c r="B31" s="59" t="s">
        <v>420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4" t="s">
        <v>318</v>
      </c>
      <c r="B32" s="59" t="s">
        <v>421</v>
      </c>
      <c r="D32" s="30" t="str">
        <f aca="false">IF(D13="","",IF(ISNUMBER(D20),D20,D13))</f>
        <v/>
      </c>
      <c r="E32" s="30" t="str">
        <f aca="false">IF(E13="","",IF(ISNUMBER(E20),E20,E13))</f>
        <v/>
      </c>
      <c r="F32" s="30" t="str">
        <f aca="false">IF(F13="","",IF(ISNUMBER(F20),F20,F13))</f>
        <v/>
      </c>
      <c r="G32" s="30" t="str">
        <f aca="false">IF(G13="","",IF(ISNUMBER(G20),G20,G13))</f>
        <v/>
      </c>
      <c r="H32" s="30" t="str">
        <f aca="false">IF(H13="","",IF(ISNUMBER(H20),H20,H13))</f>
        <v/>
      </c>
      <c r="I32" s="30" t="str">
        <f aca="false">IF(I13="","",IF(ISNUMBER(I20),I20,I13))</f>
        <v/>
      </c>
      <c r="J32" s="30" t="str">
        <f aca="false">IF(J13="","",IF(ISNUMBER(J20),J20,J13))</f>
        <v/>
      </c>
      <c r="K32" s="30" t="str">
        <f aca="false">IF(K13="","",IF(ISNUMBER(K20),K20,K13))</f>
        <v/>
      </c>
      <c r="L32" s="30" t="str">
        <f aca="false">IF(L13="","",IF(ISNUMBER(L20),L20,L13))</f>
        <v/>
      </c>
      <c r="M32" s="30" t="str">
        <f aca="false">IF(M13="","",IF(ISNUMBER(M20),M20,M13))</f>
        <v/>
      </c>
      <c r="N32" s="30" t="str">
        <f aca="false">IF(N13="","",IF(ISNUMBER(N20),N20,N13))</f>
        <v/>
      </c>
      <c r="O32" s="30" t="str">
        <f aca="false">IF(O13="","",IF(ISNUMBER(O20),O20,O13))</f>
        <v/>
      </c>
      <c r="P32" s="30" t="str">
        <f aca="false">IF(P13="","",IF(ISNUMBER(P20),P20,P13))</f>
        <v/>
      </c>
      <c r="Q32" s="30" t="str">
        <f aca="false">IF(Q13="","",IF(ISNUMBER(Q20),Q20,Q13))</f>
        <v/>
      </c>
      <c r="R32" s="30" t="str">
        <f aca="false">IF(R13="","",IF(ISNUMBER(R20),R20,R13))</f>
        <v/>
      </c>
      <c r="S32" s="30" t="str">
        <f aca="false">IF(S13="","",IF(ISNUMBER(S20),S20,S13))</f>
        <v/>
      </c>
      <c r="T32" s="30" t="str">
        <f aca="false">IF(T13="","",IF(ISNUMBER(T20),T20,T13))</f>
        <v/>
      </c>
      <c r="U32" s="30" t="str">
        <f aca="false">IF(U13="","",IF(ISNUMBER(U20),U20,U13))</f>
        <v/>
      </c>
      <c r="V32" s="30" t="str">
        <f aca="false">IF(V13="","",IF(ISNUMBER(V20),V20,V13))</f>
        <v/>
      </c>
      <c r="W32" s="30" t="str">
        <f aca="false">IF(W13="","",IF(ISNUMBER(W20),W20,W13))</f>
        <v/>
      </c>
      <c r="X32" s="30" t="str">
        <f aca="false">IF(X13="","",IF(ISNUMBER(X20),X20,X13))</f>
        <v/>
      </c>
      <c r="Y32" s="30" t="str">
        <f aca="false">IF(Y13="","",IF(ISNUMBER(Y20),Y20,Y13))</f>
        <v/>
      </c>
      <c r="Z32" s="30" t="str">
        <f aca="false">IF(Z13="","",IF(ISNUMBER(Z20),Z20,Z13))</f>
        <v/>
      </c>
      <c r="AA32" s="30" t="str">
        <f aca="false">IF(AA13="","",IF(ISNUMBER(AA20),AA20,AA13))</f>
        <v/>
      </c>
      <c r="AB32" s="30" t="str">
        <f aca="false">IF(AB13="","",IF(ISNUMBER(AB20),AB20,AB13))</f>
        <v/>
      </c>
      <c r="AC32" s="30" t="str">
        <f aca="false">IF(AC13="","",IF(ISNUMBER(AC20),AC20,AC13))</f>
        <v/>
      </c>
      <c r="AD32" s="30" t="str">
        <f aca="false">IF(AD13="","",IF(ISNUMBER(AD20),AD20,AD13))</f>
        <v/>
      </c>
      <c r="AE32" s="30" t="str">
        <f aca="false">IF(AE13="","",IF(ISNUMBER(AE20),AE20,AE13))</f>
        <v/>
      </c>
      <c r="AF32" s="30" t="str">
        <f aca="false">IF(AF13="","",IF(ISNUMBER(AF20),AF20,AF13))</f>
        <v/>
      </c>
      <c r="AG32" s="30" t="str">
        <f aca="false">IF(AG13="","",IF(ISNUMBER(AG20),AG20,AG13))</f>
        <v/>
      </c>
      <c r="AH32" s="30" t="str">
        <f aca="false">IF(AH13="","",IF(ISNUMBER(AH20),AH20,AH13))</f>
        <v/>
      </c>
      <c r="AI32" s="30" t="str">
        <f aca="false">IF(AI13="","",IF(ISNUMBER(AI20),AI20,AI13))</f>
        <v/>
      </c>
      <c r="AJ32" s="30" t="str">
        <f aca="false">IF(AJ13="","",IF(ISNUMBER(AJ20),AJ20,AJ13))</f>
        <v/>
      </c>
      <c r="AK32" s="30" t="str">
        <f aca="false">IF(AK13="","",IF(ISNUMBER(AK20),AK20,AK13))</f>
        <v/>
      </c>
      <c r="AL32" s="30" t="str">
        <f aca="false">IF(AL13="","",IF(ISNUMBER(AL20),AL20,AL13))</f>
        <v/>
      </c>
      <c r="AM32" s="30" t="str">
        <f aca="false">IF(AM13="","",IF(ISNUMBER(AM20),AM20,AM13))</f>
        <v/>
      </c>
      <c r="AN32" s="30" t="str">
        <f aca="false">IF(AN13="","",IF(ISNUMBER(AN20),AN20,AN13))</f>
        <v/>
      </c>
      <c r="AO32" s="30" t="str">
        <f aca="false">IF(AO13="","",IF(ISNUMBER(AO20),AO20,AO13))</f>
        <v/>
      </c>
      <c r="AP32" s="30" t="str">
        <f aca="false">IF(AP13="","",IF(ISNUMBER(AP20),AP20,AP13))</f>
        <v/>
      </c>
      <c r="AQ32" s="30" t="str">
        <f aca="false">IF(AQ13="","",IF(ISNUMBER(AQ20),AQ20,AQ13))</f>
        <v/>
      </c>
      <c r="AR32" s="30" t="str">
        <f aca="false">IF(AR13="","",IF(ISNUMBER(AR20),AR20,AR13))</f>
        <v/>
      </c>
      <c r="AS32" s="30" t="str">
        <f aca="false">IF(AS13="","",IF(ISNUMBER(AS20),AS20,AS13))</f>
        <v/>
      </c>
      <c r="AT32" s="30" t="str">
        <f aca="false">IF(AT13="","",IF(ISNUMBER(AT20),AT20,AT13))</f>
        <v/>
      </c>
      <c r="AU32" s="30" t="str">
        <f aca="false">IF(AU13="","",IF(ISNUMBER(AU20),AU20,AU13))</f>
        <v/>
      </c>
      <c r="AV32" s="30" t="str">
        <f aca="false">IF(AV13="","",IF(ISNUMBER(AV20),AV20,AV13))</f>
        <v/>
      </c>
      <c r="AW32" s="30" t="str">
        <f aca="false">IF(AW13="","",IF(ISNUMBER(AW20),AW20,AW13))</f>
        <v/>
      </c>
      <c r="AX32" s="30" t="str">
        <f aca="false">IF(AX13="","",IF(ISNUMBER(AX20),AX20,AX13))</f>
        <v/>
      </c>
      <c r="AY32" s="30" t="str">
        <f aca="false">IF(AY13="","",IF(ISNUMBER(AY20),AY20,AY13))</f>
        <v/>
      </c>
      <c r="AZ32" s="30" t="str">
        <f aca="false">IF(AZ13="","",IF(ISNUMBER(AZ20),AZ20,AZ13))</f>
        <v/>
      </c>
      <c r="BA32" s="30" t="str">
        <f aca="false">IF(BA13="","",IF(ISNUMBER(BA20),BA20,BA13))</f>
        <v/>
      </c>
      <c r="BB32" s="30" t="str">
        <f aca="false">IF(BB13="","",IF(ISNUMBER(BB20),BB20,BB13))</f>
        <v/>
      </c>
      <c r="BC32" s="30" t="str">
        <f aca="false">IF(BC13="","",IF(ISNUMBER(BC20),BC20,BC13))</f>
        <v/>
      </c>
      <c r="BD32" s="30" t="n">
        <f aca="false">IF(BD13="","",IF(ISNUMBER(BD20),BD20,BD13))</f>
        <v>1</v>
      </c>
      <c r="BE32" s="30" t="n">
        <f aca="false">IF(BE13="","",IF(ISNUMBER(BE20),BE20,BE13))</f>
        <v>1.6</v>
      </c>
      <c r="BF32" s="30" t="n">
        <f aca="false">IF(BF13="","",IF(ISNUMBER(BF20),BF20,BF13))</f>
        <v>1.5</v>
      </c>
      <c r="BG32" s="30" t="n">
        <f aca="false">IF(BG13="","",IF(ISNUMBER(BG20),BG20,BG13))</f>
        <v>3.5</v>
      </c>
      <c r="BH32" s="30" t="n">
        <f aca="false">IF(BH13="","",IF(ISNUMBER(BH20),BH20,BH13))</f>
        <v>3.1</v>
      </c>
      <c r="BI32" s="30" t="n">
        <f aca="false">IF(BI13="","",IF(ISNUMBER(BI20),BI20,BI13))</f>
        <v>2.4</v>
      </c>
      <c r="BJ32" s="30" t="n">
        <f aca="false">IF(BJ13="","",IF(ISNUMBER(BJ20),BJ20,BJ13))</f>
        <v>2.2</v>
      </c>
      <c r="BK32" s="30" t="n">
        <f aca="false">IF(BK13="","",IF(ISNUMBER(BK20),BK20,BK13))</f>
        <v>3.4</v>
      </c>
      <c r="BL32" s="30" t="n">
        <f aca="false">IF(BL13="","",IF(ISNUMBER(BL20),BL20,BL13))</f>
        <v>2.8</v>
      </c>
      <c r="BM32" s="30" t="n">
        <f aca="false">IF(BM13="","",IF(ISNUMBER(BM20),BM20,BM13))</f>
        <v>2.5</v>
      </c>
      <c r="BN32" s="30" t="n">
        <f aca="false">IF(BN13="","",IF(ISNUMBER(BN20),BN20,BN13))</f>
        <v>2.1</v>
      </c>
      <c r="BO32" s="30" t="n">
        <f aca="false">IF(BO13="","",IF(ISNUMBER(BO20),BO20,BO13))</f>
        <v>1.5</v>
      </c>
      <c r="BP32" s="30" t="n">
        <f aca="false">IF(BP13="","",IF(ISNUMBER(BP20),BP20,BP13))</f>
        <v>3</v>
      </c>
      <c r="BQ32" s="30" t="n">
        <f aca="false">IF(BQ13="","",IF(ISNUMBER(BQ20),BQ20,BQ13))</f>
        <v>2.5</v>
      </c>
      <c r="BR32" s="30" t="n">
        <f aca="false">IF(BR13="","",IF(ISNUMBER(BR20),BR20,BR13))</f>
        <v>2.1</v>
      </c>
      <c r="BS32" s="30" t="n">
        <f aca="false">IF(BS13="","",IF(ISNUMBER(BS20),BS20,BS13))</f>
        <v>1.4</v>
      </c>
      <c r="BT32" s="30" t="n">
        <f aca="false">IF(BT13="","",IF(ISNUMBER(BT20),BT20,BT13))</f>
        <v>1.2</v>
      </c>
      <c r="BU32" s="30" t="n">
        <f aca="false">IF(BU13="","",IF(ISNUMBER(BU20),BU20,BU13))</f>
        <v>1</v>
      </c>
      <c r="BV32" s="30" t="n">
        <f aca="false">IF(BV13="","",IF(ISNUMBER(BV20),BV20,BV13))</f>
        <v>0.9</v>
      </c>
      <c r="BW32" s="30" t="n">
        <f aca="false">IF(BW13="","",IF(ISNUMBER(BW20),BW20,BW13))</f>
        <v>3.5</v>
      </c>
      <c r="BX32" s="30" t="n">
        <f aca="false">IF(BX13="","",IF(ISNUMBER(BX20),BX20,BX13))</f>
        <v>2.6</v>
      </c>
      <c r="BY32" s="30" t="n">
        <f aca="false">IF(BY13="","",IF(ISNUMBER(BY20),BY20,BY13))</f>
        <v>2.4</v>
      </c>
      <c r="BZ32" s="30" t="n">
        <f aca="false">IF(BZ13="","",IF(ISNUMBER(BZ20),BZ20,BZ13))</f>
        <v>1.9</v>
      </c>
      <c r="CA32" s="30" t="str">
        <f aca="false">IF(CA13="","",IF(ISNUMBER(CA20),CA20,CA13))</f>
        <v/>
      </c>
      <c r="CB32" s="30" t="n">
        <f aca="false">IF(CB13="","",IF(ISNUMBER(CB20),CB20,CB13))</f>
        <v>1.1</v>
      </c>
      <c r="CC32" s="30" t="n">
        <f aca="false">IF(CC13="","",IF(ISNUMBER(CC20),CC20,CC13))</f>
        <v>0.5</v>
      </c>
      <c r="CD32" s="30" t="n">
        <f aca="false">IF(CD13="","",IF(ISNUMBER(CD20),CD20,CD13))</f>
        <v>2.4</v>
      </c>
      <c r="CE32" s="30" t="n">
        <f aca="false">IF(CE13="","",IF(ISNUMBER(CE20),CE20,CE13))</f>
        <v>2</v>
      </c>
      <c r="CF32" s="30" t="n">
        <f aca="false">IF(CF13="","",IF(ISNUMBER(CF20),CF20,CF13))</f>
        <v>1.5</v>
      </c>
      <c r="CG32" s="30" t="n">
        <f aca="false">IF(CG13="","",IF(ISNUMBER(CG20),CG20,CG13))</f>
        <v>1.3</v>
      </c>
      <c r="CH32" s="30" t="n">
        <f aca="false">IF(CH13="","",IF(ISNUMBER(CH20),CH20,CH13))</f>
        <v>4</v>
      </c>
      <c r="CI32" s="30" t="n">
        <f aca="false">IF(CI13="","",IF(ISNUMBER(CI20),CI20,CI13))</f>
        <v>3.8</v>
      </c>
      <c r="CJ32" s="30" t="n">
        <f aca="false">IF(CJ13="","",IF(ISNUMBER(CJ20),CJ20,CJ13))</f>
        <v>3.3</v>
      </c>
      <c r="CK32" s="30" t="n">
        <f aca="false">IF(CK13="","",IF(ISNUMBER(CK20),CK20,CK13))</f>
        <v>1.5</v>
      </c>
      <c r="CL32" s="30" t="n">
        <f aca="false">IF(CL13="","",IF(ISNUMBER(CL20),CL20,CL13))</f>
        <v>0</v>
      </c>
      <c r="CM32" s="30" t="n">
        <f aca="false">IF(CM13="","",IF(ISNUMBER(CM20),CM20,CM13))</f>
        <v>-0.3</v>
      </c>
      <c r="CN32" s="30" t="n">
        <f aca="false">IF(CN13="","",IF(ISNUMBER(CN20),CN20,CN13))</f>
        <v>-1</v>
      </c>
      <c r="CO32" s="30" t="n">
        <f aca="false">IF(CO13="","",IF(ISNUMBER(CO20),CO20,CO13))</f>
        <v>-3</v>
      </c>
      <c r="CP32" s="30" t="n">
        <f aca="false">IF(CP13="","",IF(ISNUMBER(CP20),CP20,CP13))</f>
        <v>-5</v>
      </c>
      <c r="CQ32" s="30" t="n">
        <f aca="false">IF(CQ13="","",IF(ISNUMBER(CQ20),CQ20,CQ13))</f>
        <v>-8</v>
      </c>
      <c r="CR32" s="30" t="n">
        <f aca="false">IF(CR13="","",IF(ISNUMBER(CR20),CR20,CR13))</f>
        <v>-15</v>
      </c>
      <c r="CS32" s="30" t="n">
        <f aca="false">IF(CS13="","",IF(ISNUMBER(CS20),CS20,CS13))</f>
        <v>-15</v>
      </c>
      <c r="CT32" s="30" t="n">
        <f aca="false">IF(CT13="","",IF(ISNUMBER(CT20),CT20,CT13))</f>
        <v>-15</v>
      </c>
      <c r="CU32" s="30" t="n">
        <f aca="false">IF(CU13="","",IF(ISNUMBER(CU20),CU20,CU13))</f>
        <v>-15</v>
      </c>
      <c r="CV32" s="30" t="n">
        <f aca="false">IF(CV13="","",IF(ISNUMBER(CV20),CV20,CV13))</f>
        <v>-15</v>
      </c>
      <c r="CW32" s="30" t="n">
        <f aca="false">IF(CW13="","",IF(ISNUMBER(CW20),CW20,CW13))</f>
        <v>1.5</v>
      </c>
      <c r="CX32" s="30" t="n">
        <f aca="false">IF(CX13="","",IF(ISNUMBER(CX20),CX20,CX13))</f>
        <v>1</v>
      </c>
      <c r="CY32" s="30" t="n">
        <f aca="false">IF(CY13="","",IF(ISNUMBER(CY20),CY20,CY13))</f>
        <v>0.7</v>
      </c>
      <c r="CZ32" s="30" t="n">
        <f aca="false">IF(CZ13="","",IF(ISNUMBER(CZ20),CZ20,CZ13))</f>
        <v>2</v>
      </c>
      <c r="DA32" s="30" t="n">
        <f aca="false">IF(DA13="","",IF(ISNUMBER(DA20),DA20,DA13))</f>
        <v>1.7</v>
      </c>
      <c r="DB32" s="30" t="n">
        <f aca="false">IF(DB13="","",IF(ISNUMBER(DB20),DB20,DB13))</f>
        <v>1</v>
      </c>
      <c r="DC32" s="30" t="n">
        <f aca="false">IF(DC13="","",IF(ISNUMBER(DC20),DC20,DC13))</f>
        <v>3.5</v>
      </c>
      <c r="DD32" s="30" t="n">
        <f aca="false">IF(DD13="","",IF(ISNUMBER(DD20),DD20,DD13))</f>
        <v>2.5</v>
      </c>
      <c r="DE32" s="30" t="n">
        <f aca="false">IF(DE13="","",IF(ISNUMBER(DE20),DE20,DE13))</f>
        <v>2</v>
      </c>
      <c r="DF32" s="30" t="n">
        <f aca="false">IF(DF13="","",IF(ISNUMBER(DF20),DF20,DF13))</f>
        <v>1.5</v>
      </c>
      <c r="DG32" s="30" t="n">
        <f aca="false">IF(DG13="","",IF(ISNUMBER(DG20),DG20,DG13))</f>
        <v>1</v>
      </c>
      <c r="DH32" s="30" t="n">
        <f aca="false">IF(DH13="","",IF(ISNUMBER(DH20),DH20,DH13))</f>
        <v>0.7</v>
      </c>
      <c r="DI32" s="30" t="n">
        <f aca="false">IF(DI13="","",IF(ISNUMBER(DI20),DI20,DI13))</f>
        <v>2.5</v>
      </c>
      <c r="DJ32" s="30" t="n">
        <f aca="false">IF(DJ13="","",IF(ISNUMBER(DJ20),DJ20,DJ13))</f>
        <v>2</v>
      </c>
      <c r="DK32" s="30" t="n">
        <f aca="false">IF(DK13="","",IF(ISNUMBER(DK20),DK20,DK13))</f>
        <v>1</v>
      </c>
      <c r="DL32" s="30" t="str">
        <f aca="false">IF(DL13="","",IF(ISNUMBER(DL20),DL20,DL13))</f>
        <v/>
      </c>
      <c r="DM32" s="30" t="n">
        <f aca="false">IF(DM13="","",IF(ISNUMBER(DM20),DM20,DM13))</f>
        <v>1</v>
      </c>
      <c r="DN32" s="30" t="n">
        <f aca="false">IF(DN13="","",IF(ISNUMBER(DN20),DN20,DN13))</f>
        <v>0.9</v>
      </c>
      <c r="DO32" s="30" t="n">
        <f aca="false">IF(DO13="","",IF(ISNUMBER(DO20),DO20,DO13))</f>
        <v>2</v>
      </c>
      <c r="DP32" s="30" t="n">
        <f aca="false">IF(DP13="","",IF(ISNUMBER(DP20),DP20,DP13))</f>
        <v>1</v>
      </c>
      <c r="DQ32" s="30" t="n">
        <f aca="false">IF(DQ13="","",IF(ISNUMBER(DQ20),DQ20,DQ13))</f>
        <v>0.7</v>
      </c>
      <c r="DR32" s="30" t="n">
        <f aca="false">IF(DR13="","",IF(ISNUMBER(DR20),DR20,DR13))</f>
        <v>1</v>
      </c>
      <c r="DS32" s="30" t="n">
        <f aca="false">IF(DS13="","",IF(ISNUMBER(DS20),DS20,DS13))</f>
        <v>0.5</v>
      </c>
      <c r="DT32" s="30" t="n">
        <f aca="false">IF(DT13="","",IF(ISNUMBER(DT20),DT20,DT13))</f>
        <v>2</v>
      </c>
      <c r="DU32" s="30" t="n">
        <f aca="false">IF(DU13="","",IF(ISNUMBER(DU20),DU20,DU13))</f>
        <v>1</v>
      </c>
      <c r="DV32" s="30" t="n">
        <f aca="false">IF(DV13="","",IF(ISNUMBER(DV20),DV20,DV13))</f>
        <v>0.7</v>
      </c>
      <c r="DW32" s="30" t="n">
        <f aca="false">IF(DW13="","",IF(ISNUMBER(DW20),DW20,DW13))</f>
        <v>2</v>
      </c>
      <c r="DX32" s="30" t="n">
        <f aca="false">IF(DX13="","",IF(ISNUMBER(DX20),DX20,DX13))</f>
        <v>1</v>
      </c>
      <c r="DY32" s="30" t="n">
        <f aca="false">IF(DY13="","",IF(ISNUMBER(DY20),DY20,DY13))</f>
        <v>0.7</v>
      </c>
      <c r="DZ32" s="30" t="n">
        <f aca="false">IF(DZ13="","",IF(ISNUMBER(DZ20),DZ20,DZ13))</f>
        <v>0.5</v>
      </c>
      <c r="EA32" s="30" t="n">
        <f aca="false">IF(EA13="","",IF(ISNUMBER(EA20),EA20,EA13))</f>
        <v>2.2</v>
      </c>
      <c r="EB32" s="30" t="n">
        <f aca="false">IF(EB13="","",IF(ISNUMBER(EB20),EB20,EB13))</f>
        <v>1.5</v>
      </c>
      <c r="EC32" s="30" t="n">
        <f aca="false">IF(EC13="","",IF(ISNUMBER(EC20),EC20,EC13))</f>
        <v>1</v>
      </c>
      <c r="ED32" s="30" t="n">
        <f aca="false">IF(ED13="","",IF(ISNUMBER(ED20),ED20,ED13))</f>
        <v>0.7</v>
      </c>
      <c r="EE32" s="30" t="n">
        <f aca="false">IF(EE13="","",IF(ISNUMBER(EE20),EE20,EE13))</f>
        <v>2</v>
      </c>
      <c r="EF32" s="30" t="n">
        <f aca="false">IF(EF13="","",IF(ISNUMBER(EF20),EF20,EF13))</f>
        <v>1.7</v>
      </c>
      <c r="EG32" s="30" t="n">
        <f aca="false">IF(EG13="","",IF(ISNUMBER(EG20),EG20,EG13))</f>
        <v>1</v>
      </c>
      <c r="EH32" s="30" t="n">
        <f aca="false">IF(EH13="","",IF(ISNUMBER(EH20),EH20,EH13))</f>
        <v>2</v>
      </c>
      <c r="EI32" s="30" t="n">
        <f aca="false">IF(EI13="","",IF(ISNUMBER(EI20),EI20,EI13))</f>
        <v>1.5</v>
      </c>
      <c r="EJ32" s="30" t="n">
        <f aca="false">IF(EJ13="","",IF(ISNUMBER(EJ20),EJ20,EJ13))</f>
        <v>3.5</v>
      </c>
      <c r="EK32" s="30" t="n">
        <f aca="false">IF(EK13="","",IF(ISNUMBER(EK20),EK20,EK13))</f>
        <v>2.5</v>
      </c>
      <c r="EL32" s="30" t="n">
        <f aca="false">IF(EL13="","",IF(ISNUMBER(EL20),EL20,EL13))</f>
        <v>1.5</v>
      </c>
      <c r="EM32" s="30" t="n">
        <f aca="false">IF(EM13="","",IF(ISNUMBER(EM20),EM20,EM13))</f>
        <v>2.5</v>
      </c>
      <c r="EN32" s="30" t="n">
        <f aca="false">IF(EN13="","",IF(ISNUMBER(EN20),EN20,EN13))</f>
        <v>2</v>
      </c>
      <c r="EO32" s="30" t="n">
        <f aca="false">IF(EO13="","",IF(ISNUMBER(EO20),EO20,EO13))</f>
        <v>1.5</v>
      </c>
      <c r="EP32" s="30" t="n">
        <f aca="false">IF(EP13="","",IF(ISNUMBER(EP20),EP20,EP13))</f>
        <v>2</v>
      </c>
      <c r="EQ32" s="30" t="n">
        <f aca="false">IF(EQ13="","",IF(ISNUMBER(EQ20),EQ20,EQ13))</f>
        <v>1.5</v>
      </c>
      <c r="ER32" s="30" t="n">
        <f aca="false">IF(ER13="","",IF(ISNUMBER(ER20),ER20,ER13))</f>
        <v>0</v>
      </c>
      <c r="ES32" s="30" t="n">
        <f aca="false">IF(ES13="","",IF(ISNUMBER(ES20),ES20,ES13))</f>
        <v>-6.5</v>
      </c>
      <c r="ET32" s="30" t="n">
        <f aca="false">IF(ET13="","",IF(ISNUMBER(ET20),ET20,ET13))</f>
        <v>-15</v>
      </c>
      <c r="EU32" s="30" t="str">
        <f aca="false">IF(EU13="","",IF(ISNUMBER(EU20),EU20,EU13))</f>
        <v/>
      </c>
      <c r="EV32" s="30" t="str">
        <f aca="false">IF(EV13="","",IF(ISNUMBER(EV20),EV20,EV13))</f>
        <v/>
      </c>
      <c r="EW32" s="30" t="str">
        <f aca="false">IF(EW13="","",IF(ISNUMBER(EW20),EW20,EW13))</f>
        <v/>
      </c>
      <c r="EX32" s="30" t="str">
        <f aca="false">IF(EX13="","",IF(ISNUMBER(EX20),EX20,EX13))</f>
        <v/>
      </c>
      <c r="EY32" s="30" t="str">
        <f aca="false">IF(EY13="","",IF(ISNUMBER(EY20),EY20,EY13))</f>
        <v/>
      </c>
      <c r="EZ32" s="30" t="str">
        <f aca="false">IF(EZ13="","",IF(ISNUMBER(EZ20),EZ20,EZ13))</f>
        <v/>
      </c>
      <c r="FA32" s="30" t="str">
        <f aca="false">IF(FA13="","",IF(ISNUMBER(FA20),FA20,FA13))</f>
        <v/>
      </c>
      <c r="FB32" s="30" t="str">
        <f aca="false">IF(FB13="","",IF(ISNUMBER(FB20),FB20,FB13))</f>
        <v/>
      </c>
      <c r="FC32" s="30" t="str">
        <f aca="false">IF(FC13="","",IF(ISNUMBER(FC20),FC20,FC13))</f>
        <v/>
      </c>
      <c r="FD32" s="30" t="str">
        <f aca="false">IF(FD13="","",IF(ISNUMBER(FD20),FD20,FD13))</f>
        <v/>
      </c>
      <c r="FE32" s="30" t="str">
        <f aca="false">IF(FE13="","",IF(ISNUMBER(FE20),FE20,FE13))</f>
        <v/>
      </c>
      <c r="FF32" s="30" t="str">
        <f aca="false">IF(FF13="","",IF(ISNUMBER(FF20),FF20,FF13))</f>
        <v/>
      </c>
      <c r="FG32" s="30" t="str">
        <f aca="false">IF(FG13="","",IF(ISNUMBER(FG20),FG20,FG13))</f>
        <v/>
      </c>
      <c r="FH32" s="30" t="str">
        <f aca="false">IF(FH13="","",IF(ISNUMBER(FH20),FH20,FH13))</f>
        <v/>
      </c>
      <c r="FI32" s="30" t="str">
        <f aca="false">IF(FI13="","",IF(ISNUMBER(FI20),FI20,FI13))</f>
        <v/>
      </c>
      <c r="FJ32" s="30" t="str">
        <f aca="false">IF(FJ13="","",IF(ISNUMBER(FJ20),FJ20,FJ13))</f>
        <v/>
      </c>
      <c r="FK32" s="30" t="str">
        <f aca="false">IF(FK13="","",IF(ISNUMBER(FK20),FK20,FK13))</f>
        <v/>
      </c>
      <c r="FL32" s="30" t="str">
        <f aca="false">IF(FL13="","",IF(ISNUMBER(FL20),FL20,FL13))</f>
        <v/>
      </c>
      <c r="FM32" s="30" t="str">
        <f aca="false">IF(FM13="","",IF(ISNUMBER(FM20),FM20,FM13))</f>
        <v/>
      </c>
      <c r="FN32" s="30" t="str">
        <f aca="false">IF(FN13="","",IF(ISNUMBER(FN20),FN20,FN13))</f>
        <v/>
      </c>
      <c r="FO32" s="30" t="str">
        <f aca="false">IF(FO13="","",IF(ISNUMBER(FO20),FO20,FO13))</f>
        <v/>
      </c>
      <c r="FP32" s="30" t="str">
        <f aca="false">IF(FP13="","",IF(ISNUMBER(FP20),FP20,FP13))</f>
        <v/>
      </c>
      <c r="FQ32" s="30" t="str">
        <f aca="false">IF(FQ13="","",IF(ISNUMBER(FQ20),FQ20,FQ13))</f>
        <v/>
      </c>
    </row>
    <row r="33" customFormat="false" ht="15" hidden="true" customHeight="false" outlineLevel="0" collapsed="false">
      <c r="A33" s="34" t="s">
        <v>318</v>
      </c>
      <c r="B33" s="59" t="s">
        <v>422</v>
      </c>
      <c r="D33" s="30" t="n">
        <f aca="false">IF(ISNUMBER(D13),1,0)</f>
        <v>0</v>
      </c>
      <c r="E33" s="30" t="n">
        <f aca="false">IF(ISNUMBER(E13),1,0)</f>
        <v>0</v>
      </c>
      <c r="F33" s="30" t="n">
        <f aca="false">IF(ISNUMBER(F13),1,0)</f>
        <v>0</v>
      </c>
      <c r="G33" s="30" t="n">
        <f aca="false">IF(ISNUMBER(G13),1,0)</f>
        <v>0</v>
      </c>
      <c r="H33" s="30" t="n">
        <f aca="false">IF(ISNUMBER(H13),1,0)</f>
        <v>0</v>
      </c>
      <c r="I33" s="30" t="n">
        <f aca="false">IF(ISNUMBER(I13),1,0)</f>
        <v>0</v>
      </c>
      <c r="J33" s="30" t="n">
        <f aca="false">IF(ISNUMBER(J13),1,0)</f>
        <v>0</v>
      </c>
      <c r="K33" s="30" t="n">
        <f aca="false">IF(ISNUMBER(K13),1,0)</f>
        <v>0</v>
      </c>
      <c r="L33" s="30" t="n">
        <f aca="false">IF(ISNUMBER(L13),1,0)</f>
        <v>0</v>
      </c>
      <c r="M33" s="30" t="n">
        <f aca="false">IF(ISNUMBER(M13),1,0)</f>
        <v>0</v>
      </c>
      <c r="N33" s="30" t="n">
        <f aca="false">IF(ISNUMBER(N13),1,0)</f>
        <v>0</v>
      </c>
      <c r="O33" s="30" t="n">
        <f aca="false">IF(ISNUMBER(O13),1,0)</f>
        <v>0</v>
      </c>
      <c r="P33" s="30" t="n">
        <f aca="false">IF(ISNUMBER(P13),1,0)</f>
        <v>0</v>
      </c>
      <c r="Q33" s="30" t="n">
        <f aca="false">IF(ISNUMBER(Q13),1,0)</f>
        <v>0</v>
      </c>
      <c r="R33" s="30" t="n">
        <f aca="false">IF(ISNUMBER(R13),1,0)</f>
        <v>0</v>
      </c>
      <c r="S33" s="30" t="n">
        <f aca="false">IF(ISNUMBER(S13),1,0)</f>
        <v>0</v>
      </c>
      <c r="T33" s="30" t="n">
        <f aca="false">IF(ISNUMBER(T13),1,0)</f>
        <v>0</v>
      </c>
      <c r="U33" s="30" t="n">
        <f aca="false">IF(ISNUMBER(U13),1,0)</f>
        <v>0</v>
      </c>
      <c r="V33" s="30" t="n">
        <f aca="false">IF(ISNUMBER(V13),1,0)</f>
        <v>0</v>
      </c>
      <c r="W33" s="30" t="n">
        <f aca="false">IF(ISNUMBER(W13),1,0)</f>
        <v>0</v>
      </c>
      <c r="X33" s="30" t="n">
        <f aca="false">IF(ISNUMBER(X13),1,0)</f>
        <v>0</v>
      </c>
      <c r="Y33" s="30" t="n">
        <f aca="false">IF(ISNUMBER(Y13),1,0)</f>
        <v>0</v>
      </c>
      <c r="Z33" s="30" t="n">
        <f aca="false">IF(ISNUMBER(Z13),1,0)</f>
        <v>0</v>
      </c>
      <c r="AA33" s="30" t="n">
        <f aca="false">IF(ISNUMBER(AA13),1,0)</f>
        <v>0</v>
      </c>
      <c r="AB33" s="30" t="n">
        <f aca="false">IF(ISNUMBER(AB13),1,0)</f>
        <v>0</v>
      </c>
      <c r="AC33" s="30" t="n">
        <f aca="false">IF(ISNUMBER(AC13),1,0)</f>
        <v>0</v>
      </c>
      <c r="AD33" s="30" t="n">
        <f aca="false">IF(ISNUMBER(AD13),1,0)</f>
        <v>0</v>
      </c>
      <c r="AE33" s="30" t="n">
        <f aca="false">IF(ISNUMBER(AE13),1,0)</f>
        <v>0</v>
      </c>
      <c r="AF33" s="30" t="n">
        <f aca="false">IF(ISNUMBER(AF13),1,0)</f>
        <v>0</v>
      </c>
      <c r="AG33" s="30" t="n">
        <f aca="false">IF(ISNUMBER(AG13),1,0)</f>
        <v>0</v>
      </c>
      <c r="AH33" s="30" t="n">
        <f aca="false">IF(ISNUMBER(AH13),1,0)</f>
        <v>0</v>
      </c>
      <c r="AI33" s="30" t="n">
        <f aca="false">IF(ISNUMBER(AI13),1,0)</f>
        <v>0</v>
      </c>
      <c r="AJ33" s="30" t="n">
        <f aca="false">IF(ISNUMBER(AJ13),1,0)</f>
        <v>0</v>
      </c>
      <c r="AK33" s="30" t="n">
        <f aca="false">IF(ISNUMBER(AK13),1,0)</f>
        <v>0</v>
      </c>
      <c r="AL33" s="30" t="n">
        <f aca="false">IF(ISNUMBER(AL13),1,0)</f>
        <v>0</v>
      </c>
      <c r="AM33" s="30" t="n">
        <f aca="false">IF(ISNUMBER(AM13),1,0)</f>
        <v>0</v>
      </c>
      <c r="AN33" s="30" t="n">
        <f aca="false">IF(ISNUMBER(AN13),1,0)</f>
        <v>0</v>
      </c>
      <c r="AO33" s="30" t="n">
        <f aca="false">IF(ISNUMBER(AO13),1,0)</f>
        <v>0</v>
      </c>
      <c r="AP33" s="30" t="n">
        <f aca="false">IF(ISNUMBER(AP13),1,0)</f>
        <v>0</v>
      </c>
      <c r="AQ33" s="30" t="n">
        <f aca="false">IF(ISNUMBER(AQ13),1,0)</f>
        <v>0</v>
      </c>
      <c r="AR33" s="30" t="n">
        <f aca="false">IF(ISNUMBER(AR13),1,0)</f>
        <v>0</v>
      </c>
      <c r="AS33" s="30" t="n">
        <f aca="false">IF(ISNUMBER(AS13),1,0)</f>
        <v>0</v>
      </c>
      <c r="AT33" s="30" t="n">
        <f aca="false">IF(ISNUMBER(AT13),1,0)</f>
        <v>0</v>
      </c>
      <c r="AU33" s="30" t="n">
        <f aca="false">IF(ISNUMBER(AU13),1,0)</f>
        <v>0</v>
      </c>
      <c r="AV33" s="30" t="n">
        <f aca="false">IF(ISNUMBER(AV13),1,0)</f>
        <v>0</v>
      </c>
      <c r="AW33" s="30" t="n">
        <f aca="false">IF(ISNUMBER(AW13),1,0)</f>
        <v>0</v>
      </c>
      <c r="AX33" s="30" t="n">
        <f aca="false">IF(ISNUMBER(AX13),1,0)</f>
        <v>0</v>
      </c>
      <c r="AY33" s="30" t="n">
        <f aca="false">IF(ISNUMBER(AY13),1,0)</f>
        <v>0</v>
      </c>
      <c r="AZ33" s="30" t="n">
        <f aca="false">IF(ISNUMBER(AZ13),1,0)</f>
        <v>0</v>
      </c>
      <c r="BA33" s="30" t="n">
        <f aca="false">IF(ISNUMBER(BA13),1,0)</f>
        <v>0</v>
      </c>
      <c r="BB33" s="30" t="n">
        <f aca="false">IF(ISNUMBER(BB13),1,0)</f>
        <v>0</v>
      </c>
      <c r="BC33" s="30" t="n">
        <f aca="false">IF(ISNUMBER(BC13),1,0)</f>
        <v>0</v>
      </c>
      <c r="BD33" s="30" t="n">
        <f aca="false">IF(ISNUMBER(BD13),1,0)</f>
        <v>1</v>
      </c>
      <c r="BE33" s="30" t="n">
        <f aca="false">IF(ISNUMBER(BE13),1,0)</f>
        <v>1</v>
      </c>
      <c r="BF33" s="30" t="n">
        <f aca="false">IF(ISNUMBER(BF13),1,0)</f>
        <v>1</v>
      </c>
      <c r="BG33" s="30" t="n">
        <f aca="false">IF(ISNUMBER(BG13),1,0)</f>
        <v>1</v>
      </c>
      <c r="BH33" s="30" t="n">
        <f aca="false">IF(ISNUMBER(BH13),1,0)</f>
        <v>1</v>
      </c>
      <c r="BI33" s="30" t="n">
        <f aca="false">IF(ISNUMBER(BI13),1,0)</f>
        <v>1</v>
      </c>
      <c r="BJ33" s="30" t="n">
        <f aca="false">IF(ISNUMBER(BJ13),1,0)</f>
        <v>1</v>
      </c>
      <c r="BK33" s="30" t="n">
        <f aca="false">IF(ISNUMBER(BK13),1,0)</f>
        <v>1</v>
      </c>
      <c r="BL33" s="30" t="n">
        <f aca="false">IF(ISNUMBER(BL13),1,0)</f>
        <v>1</v>
      </c>
      <c r="BM33" s="30" t="n">
        <f aca="false">IF(ISNUMBER(BM13),1,0)</f>
        <v>1</v>
      </c>
      <c r="BN33" s="30" t="n">
        <f aca="false">IF(ISNUMBER(BN13),1,0)</f>
        <v>1</v>
      </c>
      <c r="BO33" s="30" t="n">
        <f aca="false">IF(ISNUMBER(BO13),1,0)</f>
        <v>1</v>
      </c>
      <c r="BP33" s="30" t="n">
        <f aca="false">IF(ISNUMBER(BP13),1,0)</f>
        <v>1</v>
      </c>
      <c r="BQ33" s="30" t="n">
        <f aca="false">IF(ISNUMBER(BQ13),1,0)</f>
        <v>1</v>
      </c>
      <c r="BR33" s="30" t="n">
        <f aca="false">IF(ISNUMBER(BR13),1,0)</f>
        <v>1</v>
      </c>
      <c r="BS33" s="30" t="n">
        <f aca="false">IF(ISNUMBER(BS13),1,0)</f>
        <v>1</v>
      </c>
      <c r="BT33" s="30" t="n">
        <f aca="false">IF(ISNUMBER(BT13),1,0)</f>
        <v>1</v>
      </c>
      <c r="BU33" s="30" t="n">
        <f aca="false">IF(ISNUMBER(BU13),1,0)</f>
        <v>1</v>
      </c>
      <c r="BV33" s="30" t="n">
        <f aca="false">IF(ISNUMBER(BV13),1,0)</f>
        <v>1</v>
      </c>
      <c r="BW33" s="30" t="n">
        <f aca="false">IF(ISNUMBER(BW13),1,0)</f>
        <v>1</v>
      </c>
      <c r="BX33" s="30" t="n">
        <f aca="false">IF(ISNUMBER(BX13),1,0)</f>
        <v>1</v>
      </c>
      <c r="BY33" s="30" t="n">
        <f aca="false">IF(ISNUMBER(BY13),1,0)</f>
        <v>1</v>
      </c>
      <c r="BZ33" s="30" t="n">
        <f aca="false">IF(ISNUMBER(BZ13),1,0)</f>
        <v>1</v>
      </c>
      <c r="CA33" s="30" t="n">
        <f aca="false">IF(ISNUMBER(CA13),1,0)</f>
        <v>0</v>
      </c>
      <c r="CB33" s="30" t="n">
        <f aca="false">IF(ISNUMBER(CB13),1,0)</f>
        <v>1</v>
      </c>
      <c r="CC33" s="30" t="n">
        <f aca="false">IF(ISNUMBER(CC13),1,0)</f>
        <v>1</v>
      </c>
      <c r="CD33" s="30" t="n">
        <f aca="false">IF(ISNUMBER(CD13),1,0)</f>
        <v>1</v>
      </c>
      <c r="CE33" s="30" t="n">
        <f aca="false">IF(ISNUMBER(CE13),1,0)</f>
        <v>1</v>
      </c>
      <c r="CF33" s="30" t="n">
        <f aca="false">IF(ISNUMBER(CF13),1,0)</f>
        <v>1</v>
      </c>
      <c r="CG33" s="30" t="n">
        <f aca="false">IF(ISNUMBER(CG13),1,0)</f>
        <v>1</v>
      </c>
      <c r="CH33" s="30" t="n">
        <f aca="false">IF(ISNUMBER(CH13),1,0)</f>
        <v>1</v>
      </c>
      <c r="CI33" s="30" t="n">
        <f aca="false">IF(ISNUMBER(CI13),1,0)</f>
        <v>1</v>
      </c>
      <c r="CJ33" s="30" t="n">
        <f aca="false">IF(ISNUMBER(CJ13),1,0)</f>
        <v>1</v>
      </c>
      <c r="CK33" s="30" t="n">
        <f aca="false">IF(ISNUMBER(CK13),1,0)</f>
        <v>1</v>
      </c>
      <c r="CL33" s="30" t="n">
        <f aca="false">IF(ISNUMBER(CL13),1,0)</f>
        <v>1</v>
      </c>
      <c r="CM33" s="30" t="n">
        <f aca="false">IF(ISNUMBER(CM13),1,0)</f>
        <v>1</v>
      </c>
      <c r="CN33" s="30" t="n">
        <f aca="false">IF(ISNUMBER(CN13),1,0)</f>
        <v>1</v>
      </c>
      <c r="CO33" s="30" t="n">
        <f aca="false">IF(ISNUMBER(CO13),1,0)</f>
        <v>1</v>
      </c>
      <c r="CP33" s="30" t="n">
        <f aca="false">IF(ISNUMBER(CP13),1,0)</f>
        <v>1</v>
      </c>
      <c r="CQ33" s="30" t="n">
        <f aca="false">IF(ISNUMBER(CQ13),1,0)</f>
        <v>1</v>
      </c>
      <c r="CR33" s="30" t="n">
        <f aca="false">IF(ISNUMBER(CR13),1,0)</f>
        <v>1</v>
      </c>
      <c r="CS33" s="30" t="n">
        <f aca="false">IF(ISNUMBER(CS13),1,0)</f>
        <v>1</v>
      </c>
      <c r="CT33" s="30" t="n">
        <f aca="false">IF(ISNUMBER(CT13),1,0)</f>
        <v>1</v>
      </c>
      <c r="CU33" s="30" t="n">
        <f aca="false">IF(ISNUMBER(CU13),1,0)</f>
        <v>1</v>
      </c>
      <c r="CV33" s="30" t="n">
        <f aca="false">IF(ISNUMBER(CV13),1,0)</f>
        <v>1</v>
      </c>
      <c r="CW33" s="30" t="n">
        <f aca="false">IF(ISNUMBER(CW13),1,0)</f>
        <v>1</v>
      </c>
      <c r="CX33" s="30" t="n">
        <f aca="false">IF(ISNUMBER(CX13),1,0)</f>
        <v>1</v>
      </c>
      <c r="CY33" s="30" t="n">
        <f aca="false">IF(ISNUMBER(CY13),1,0)</f>
        <v>1</v>
      </c>
      <c r="CZ33" s="30" t="n">
        <f aca="false">IF(ISNUMBER(CZ13),1,0)</f>
        <v>1</v>
      </c>
      <c r="DA33" s="30" t="n">
        <f aca="false">IF(ISNUMBER(DA13),1,0)</f>
        <v>1</v>
      </c>
      <c r="DB33" s="30" t="n">
        <f aca="false">IF(ISNUMBER(DB13),1,0)</f>
        <v>1</v>
      </c>
      <c r="DC33" s="30" t="n">
        <f aca="false">IF(ISNUMBER(DC13),1,0)</f>
        <v>1</v>
      </c>
      <c r="DD33" s="30" t="n">
        <f aca="false">IF(ISNUMBER(DD13),1,0)</f>
        <v>1</v>
      </c>
      <c r="DE33" s="30" t="n">
        <f aca="false">IF(ISNUMBER(DE13),1,0)</f>
        <v>1</v>
      </c>
      <c r="DF33" s="30" t="n">
        <f aca="false">IF(ISNUMBER(DF13),1,0)</f>
        <v>1</v>
      </c>
      <c r="DG33" s="30" t="n">
        <f aca="false">IF(ISNUMBER(DG13),1,0)</f>
        <v>1</v>
      </c>
      <c r="DH33" s="30" t="n">
        <f aca="false">IF(ISNUMBER(DH13),1,0)</f>
        <v>1</v>
      </c>
      <c r="DI33" s="30" t="n">
        <f aca="false">IF(ISNUMBER(DI13),1,0)</f>
        <v>1</v>
      </c>
      <c r="DJ33" s="30" t="n">
        <f aca="false">IF(ISNUMBER(DJ13),1,0)</f>
        <v>1</v>
      </c>
      <c r="DK33" s="30" t="n">
        <f aca="false">IF(ISNUMBER(DK13),1,0)</f>
        <v>1</v>
      </c>
      <c r="DL33" s="30" t="n">
        <f aca="false">IF(ISNUMBER(DL13),1,0)</f>
        <v>0</v>
      </c>
      <c r="DM33" s="30" t="n">
        <f aca="false">IF(ISNUMBER(DM13),1,0)</f>
        <v>1</v>
      </c>
      <c r="DN33" s="30" t="n">
        <f aca="false">IF(ISNUMBER(DN13),1,0)</f>
        <v>1</v>
      </c>
      <c r="DO33" s="30" t="n">
        <f aca="false">IF(ISNUMBER(DO13),1,0)</f>
        <v>1</v>
      </c>
      <c r="DP33" s="30" t="n">
        <f aca="false">IF(ISNUMBER(DP13),1,0)</f>
        <v>1</v>
      </c>
      <c r="DQ33" s="30" t="n">
        <f aca="false">IF(ISNUMBER(DQ13),1,0)</f>
        <v>1</v>
      </c>
      <c r="DR33" s="30" t="n">
        <f aca="false">IF(ISNUMBER(DR13),1,0)</f>
        <v>1</v>
      </c>
      <c r="DS33" s="30" t="n">
        <f aca="false">IF(ISNUMBER(DS13),1,0)</f>
        <v>1</v>
      </c>
      <c r="DT33" s="30" t="n">
        <f aca="false">IF(ISNUMBER(DT13),1,0)</f>
        <v>1</v>
      </c>
      <c r="DU33" s="30" t="n">
        <f aca="false">IF(ISNUMBER(DU13),1,0)</f>
        <v>1</v>
      </c>
      <c r="DV33" s="30" t="n">
        <f aca="false">IF(ISNUMBER(DV13),1,0)</f>
        <v>1</v>
      </c>
      <c r="DW33" s="30" t="n">
        <f aca="false">IF(ISNUMBER(DW13),1,0)</f>
        <v>1</v>
      </c>
      <c r="DX33" s="30" t="n">
        <f aca="false">IF(ISNUMBER(DX13),1,0)</f>
        <v>1</v>
      </c>
      <c r="DY33" s="30" t="n">
        <f aca="false">IF(ISNUMBER(DY13),1,0)</f>
        <v>1</v>
      </c>
      <c r="DZ33" s="30" t="n">
        <f aca="false">IF(ISNUMBER(DZ13),1,0)</f>
        <v>1</v>
      </c>
      <c r="EA33" s="30" t="n">
        <f aca="false">IF(ISNUMBER(EA13),1,0)</f>
        <v>1</v>
      </c>
      <c r="EB33" s="30" t="n">
        <f aca="false">IF(ISNUMBER(EB13),1,0)</f>
        <v>1</v>
      </c>
      <c r="EC33" s="30" t="n">
        <f aca="false">IF(ISNUMBER(EC13),1,0)</f>
        <v>1</v>
      </c>
      <c r="ED33" s="30" t="n">
        <f aca="false">IF(ISNUMBER(ED13),1,0)</f>
        <v>1</v>
      </c>
      <c r="EE33" s="30" t="n">
        <f aca="false">IF(ISNUMBER(EE13),1,0)</f>
        <v>1</v>
      </c>
      <c r="EF33" s="30" t="n">
        <f aca="false">IF(ISNUMBER(EF13),1,0)</f>
        <v>1</v>
      </c>
      <c r="EG33" s="30" t="n">
        <f aca="false">IF(ISNUMBER(EG13),1,0)</f>
        <v>1</v>
      </c>
      <c r="EH33" s="30" t="n">
        <f aca="false">IF(ISNUMBER(EH13),1,0)</f>
        <v>1</v>
      </c>
      <c r="EI33" s="30" t="n">
        <f aca="false">IF(ISNUMBER(EI13),1,0)</f>
        <v>1</v>
      </c>
      <c r="EJ33" s="30" t="n">
        <f aca="false">IF(ISNUMBER(EJ13),1,0)</f>
        <v>1</v>
      </c>
      <c r="EK33" s="30" t="n">
        <f aca="false">IF(ISNUMBER(EK13),1,0)</f>
        <v>1</v>
      </c>
      <c r="EL33" s="30" t="n">
        <f aca="false">IF(ISNUMBER(EL13),1,0)</f>
        <v>1</v>
      </c>
      <c r="EM33" s="30" t="n">
        <f aca="false">IF(ISNUMBER(EM13),1,0)</f>
        <v>1</v>
      </c>
      <c r="EN33" s="30" t="n">
        <f aca="false">IF(ISNUMBER(EN13),1,0)</f>
        <v>1</v>
      </c>
      <c r="EO33" s="30" t="n">
        <f aca="false">IF(ISNUMBER(EO13),1,0)</f>
        <v>1</v>
      </c>
      <c r="EP33" s="30" t="n">
        <f aca="false">IF(ISNUMBER(EP13),1,0)</f>
        <v>1</v>
      </c>
      <c r="EQ33" s="30" t="n">
        <f aca="false">IF(ISNUMBER(EQ13),1,0)</f>
        <v>1</v>
      </c>
      <c r="ER33" s="30" t="n">
        <f aca="false">IF(ISNUMBER(ER13),1,0)</f>
        <v>1</v>
      </c>
      <c r="ES33" s="30" t="n">
        <f aca="false">IF(ISNUMBER(ES13),1,0)</f>
        <v>1</v>
      </c>
      <c r="ET33" s="30" t="n">
        <f aca="false">IF(ISNUMBER(ET13),1,0)</f>
        <v>1</v>
      </c>
      <c r="EU33" s="30" t="n">
        <f aca="false">IF(ISNUMBER(EU13),1,0)</f>
        <v>0</v>
      </c>
      <c r="EV33" s="30" t="n">
        <f aca="false">IF(ISNUMBER(EV13),1,0)</f>
        <v>0</v>
      </c>
      <c r="EW33" s="30" t="n">
        <f aca="false">IF(ISNUMBER(EW13),1,0)</f>
        <v>0</v>
      </c>
      <c r="EX33" s="30" t="n">
        <f aca="false">IF(ISNUMBER(EX13),1,0)</f>
        <v>0</v>
      </c>
      <c r="EY33" s="30" t="n">
        <f aca="false">IF(ISNUMBER(EY13),1,0)</f>
        <v>0</v>
      </c>
      <c r="EZ33" s="30" t="n">
        <f aca="false">IF(ISNUMBER(EZ13),1,0)</f>
        <v>0</v>
      </c>
      <c r="FA33" s="30" t="n">
        <f aca="false">IF(ISNUMBER(FA13),1,0)</f>
        <v>0</v>
      </c>
      <c r="FB33" s="30" t="n">
        <f aca="false">IF(ISNUMBER(FB13),1,0)</f>
        <v>0</v>
      </c>
      <c r="FC33" s="30" t="n">
        <f aca="false">IF(ISNUMBER(FC13),1,0)</f>
        <v>0</v>
      </c>
      <c r="FD33" s="30" t="n">
        <f aca="false">IF(ISNUMBER(FD13),1,0)</f>
        <v>0</v>
      </c>
      <c r="FE33" s="30" t="n">
        <f aca="false">IF(ISNUMBER(FE13),1,0)</f>
        <v>0</v>
      </c>
      <c r="FF33" s="30" t="n">
        <f aca="false">IF(ISNUMBER(FF13),1,0)</f>
        <v>0</v>
      </c>
      <c r="FG33" s="30" t="n">
        <f aca="false">IF(ISNUMBER(FG13),1,0)</f>
        <v>0</v>
      </c>
      <c r="FH33" s="30" t="n">
        <f aca="false">IF(ISNUMBER(FH13),1,0)</f>
        <v>0</v>
      </c>
      <c r="FI33" s="30" t="n">
        <f aca="false">IF(ISNUMBER(FI13),1,0)</f>
        <v>0</v>
      </c>
      <c r="FJ33" s="30" t="n">
        <f aca="false">IF(ISNUMBER(FJ13),1,0)</f>
        <v>0</v>
      </c>
      <c r="FK33" s="30" t="n">
        <f aca="false">IF(ISNUMBER(FK13),1,0)</f>
        <v>0</v>
      </c>
      <c r="FL33" s="30" t="n">
        <f aca="false">IF(ISNUMBER(FL13),1,0)</f>
        <v>0</v>
      </c>
      <c r="FM33" s="30" t="n">
        <f aca="false">IF(ISNUMBER(FM13),1,0)</f>
        <v>0</v>
      </c>
      <c r="FN33" s="30" t="n">
        <f aca="false">IF(ISNUMBER(FN13),1,0)</f>
        <v>0</v>
      </c>
      <c r="FO33" s="30" t="n">
        <f aca="false">IF(ISNUMBER(FO13),1,0)</f>
        <v>0</v>
      </c>
      <c r="FP33" s="30" t="n">
        <f aca="false">IF(ISNUMBER(FP13),1,0)</f>
        <v>0</v>
      </c>
      <c r="FQ33" s="30" t="n">
        <f aca="false">IF(ISNUMBER(FQ13),1,0)</f>
        <v>0</v>
      </c>
    </row>
    <row r="36" customFormat="false" ht="15" hidden="false" customHeight="false" outlineLevel="0" collapsed="false">
      <c r="A36" s="61" t="s">
        <v>74</v>
      </c>
      <c r="B36" s="20" t="s">
        <v>349</v>
      </c>
    </row>
    <row r="37" customFormat="false" ht="15" hidden="false" customHeight="false" outlineLevel="0" collapsed="false">
      <c r="A37" s="36" t="s">
        <v>74</v>
      </c>
      <c r="B37" s="20" t="s">
        <v>401</v>
      </c>
      <c r="C37" s="30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6" t="s">
        <v>74</v>
      </c>
      <c r="B38" s="20" t="s">
        <v>402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6" t="s">
        <v>74</v>
      </c>
      <c r="B39" s="20" t="s">
        <v>403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6" t="s">
        <v>74</v>
      </c>
      <c r="B40" s="20" t="s">
        <v>404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6" t="s">
        <v>74</v>
      </c>
      <c r="B41" s="20" t="s">
        <v>405</v>
      </c>
      <c r="C41" s="30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6" t="s">
        <v>74</v>
      </c>
      <c r="B42" s="20" t="s">
        <v>406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6" t="s">
        <v>74</v>
      </c>
      <c r="B43" s="20" t="s">
        <v>407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6" t="s">
        <v>74</v>
      </c>
      <c r="B44" s="20" t="s">
        <v>408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6" t="s">
        <v>74</v>
      </c>
      <c r="B45" s="20" t="s">
        <v>409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6" t="s">
        <v>74</v>
      </c>
      <c r="B46" s="20" t="s">
        <v>410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6" t="s">
        <v>74</v>
      </c>
      <c r="B47" s="20" t="s">
        <v>411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6" t="s">
        <v>74</v>
      </c>
      <c r="B48" s="20" t="s">
        <v>412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6" t="s">
        <v>74</v>
      </c>
      <c r="B49" s="20" t="s">
        <v>413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6" t="s">
        <v>74</v>
      </c>
      <c r="B50" s="20" t="s">
        <v>414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6" t="s">
        <v>74</v>
      </c>
      <c r="B51" s="20" t="s">
        <v>415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6" t="s">
        <v>74</v>
      </c>
      <c r="B52" s="20" t="s">
        <v>416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6" t="s">
        <v>74</v>
      </c>
      <c r="B53" s="20" t="s">
        <v>417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6" t="s">
        <v>74</v>
      </c>
      <c r="B54" s="20" t="s">
        <v>418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6" t="s">
        <v>74</v>
      </c>
      <c r="B55" s="20" t="s">
        <v>419</v>
      </c>
      <c r="D55" s="39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9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9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9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9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9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9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9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9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9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9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9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9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9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9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9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9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9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9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9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9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9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9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9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9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9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9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9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9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9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9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9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9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9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9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9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9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9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9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9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9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9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9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9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9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9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9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9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9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9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9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9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9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9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9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9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9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9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9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9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9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9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9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9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9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9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9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9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9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9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9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9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9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9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9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9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9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9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9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9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9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9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9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9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9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9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9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9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9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9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9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9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9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9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9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9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9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9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9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9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9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9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9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9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9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9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9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9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9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9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9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9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9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9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9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9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9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9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9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9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9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9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9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9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9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9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9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9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9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9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9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9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9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9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9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9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9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9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9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9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9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9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9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9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9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9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9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9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9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9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9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9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9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9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9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9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9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9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9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9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9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9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9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9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9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9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9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9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9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9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6" t="s">
        <v>74</v>
      </c>
      <c r="B56" s="62" t="s">
        <v>420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6" t="s">
        <v>74</v>
      </c>
      <c r="B57" s="62" t="s">
        <v>421</v>
      </c>
      <c r="D57" s="30" t="str">
        <f aca="false">IF(D38="","",IF(ISNUMBER(D45),D45,D38))</f>
        <v/>
      </c>
      <c r="E57" s="30" t="str">
        <f aca="false">IF(E38="","",IF(ISNUMBER(E45),E45,E38))</f>
        <v/>
      </c>
      <c r="F57" s="30" t="str">
        <f aca="false">IF(F38="","",IF(ISNUMBER(F45),F45,F38))</f>
        <v/>
      </c>
      <c r="G57" s="30" t="str">
        <f aca="false">IF(G38="","",IF(ISNUMBER(G45),G45,G38))</f>
        <v/>
      </c>
      <c r="H57" s="30" t="str">
        <f aca="false">IF(H38="","",IF(ISNUMBER(H45),H45,H38))</f>
        <v/>
      </c>
      <c r="I57" s="30" t="str">
        <f aca="false">IF(I38="","",IF(ISNUMBER(I45),I45,I38))</f>
        <v/>
      </c>
      <c r="J57" s="30" t="str">
        <f aca="false">IF(J38="","",IF(ISNUMBER(J45),J45,J38))</f>
        <v/>
      </c>
      <c r="K57" s="30" t="str">
        <f aca="false">IF(K38="","",IF(ISNUMBER(K45),K45,K38))</f>
        <v/>
      </c>
      <c r="L57" s="30" t="str">
        <f aca="false">IF(L38="","",IF(ISNUMBER(L45),L45,L38))</f>
        <v/>
      </c>
      <c r="M57" s="30" t="str">
        <f aca="false">IF(M38="","",IF(ISNUMBER(M45),M45,M38))</f>
        <v/>
      </c>
      <c r="N57" s="30" t="str">
        <f aca="false">IF(N38="","",IF(ISNUMBER(N45),N45,N38))</f>
        <v/>
      </c>
      <c r="O57" s="30" t="str">
        <f aca="false">IF(O38="","",IF(ISNUMBER(O45),O45,O38))</f>
        <v/>
      </c>
      <c r="P57" s="30" t="str">
        <f aca="false">IF(P38="","",IF(ISNUMBER(P45),P45,P38))</f>
        <v/>
      </c>
      <c r="Q57" s="30" t="str">
        <f aca="false">IF(Q38="","",IF(ISNUMBER(Q45),Q45,Q38))</f>
        <v/>
      </c>
      <c r="R57" s="30" t="str">
        <f aca="false">IF(R38="","",IF(ISNUMBER(R45),R45,R38))</f>
        <v/>
      </c>
      <c r="S57" s="30" t="str">
        <f aca="false">IF(S38="","",IF(ISNUMBER(S45),S45,S38))</f>
        <v/>
      </c>
      <c r="T57" s="30" t="str">
        <f aca="false">IF(T38="","",IF(ISNUMBER(T45),T45,T38))</f>
        <v/>
      </c>
      <c r="U57" s="30" t="str">
        <f aca="false">IF(U38="","",IF(ISNUMBER(U45),U45,U38))</f>
        <v/>
      </c>
      <c r="V57" s="30" t="str">
        <f aca="false">IF(V38="","",IF(ISNUMBER(V45),V45,V38))</f>
        <v/>
      </c>
      <c r="W57" s="30" t="str">
        <f aca="false">IF(W38="","",IF(ISNUMBER(W45),W45,W38))</f>
        <v/>
      </c>
      <c r="X57" s="30" t="str">
        <f aca="false">IF(X38="","",IF(ISNUMBER(X45),X45,X38))</f>
        <v/>
      </c>
      <c r="Y57" s="30" t="str">
        <f aca="false">IF(Y38="","",IF(ISNUMBER(Y45),Y45,Y38))</f>
        <v/>
      </c>
      <c r="Z57" s="30" t="str">
        <f aca="false">IF(Z38="","",IF(ISNUMBER(Z45),Z45,Z38))</f>
        <v/>
      </c>
      <c r="AA57" s="30" t="str">
        <f aca="false">IF(AA38="","",IF(ISNUMBER(AA45),AA45,AA38))</f>
        <v/>
      </c>
      <c r="AB57" s="30" t="str">
        <f aca="false">IF(AB38="","",IF(ISNUMBER(AB45),AB45,AB38))</f>
        <v/>
      </c>
      <c r="AC57" s="30" t="str">
        <f aca="false">IF(AC38="","",IF(ISNUMBER(AC45),AC45,AC38))</f>
        <v/>
      </c>
      <c r="AD57" s="30" t="str">
        <f aca="false">IF(AD38="","",IF(ISNUMBER(AD45),AD45,AD38))</f>
        <v/>
      </c>
      <c r="AE57" s="30" t="str">
        <f aca="false">IF(AE38="","",IF(ISNUMBER(AE45),AE45,AE38))</f>
        <v/>
      </c>
      <c r="AF57" s="30" t="str">
        <f aca="false">IF(AF38="","",IF(ISNUMBER(AF45),AF45,AF38))</f>
        <v/>
      </c>
      <c r="AG57" s="30" t="str">
        <f aca="false">IF(AG38="","",IF(ISNUMBER(AG45),AG45,AG38))</f>
        <v/>
      </c>
      <c r="AH57" s="30" t="str">
        <f aca="false">IF(AH38="","",IF(ISNUMBER(AH45),AH45,AH38))</f>
        <v/>
      </c>
      <c r="AI57" s="30" t="str">
        <f aca="false">IF(AI38="","",IF(ISNUMBER(AI45),AI45,AI38))</f>
        <v/>
      </c>
      <c r="AJ57" s="30" t="str">
        <f aca="false">IF(AJ38="","",IF(ISNUMBER(AJ45),AJ45,AJ38))</f>
        <v/>
      </c>
      <c r="AK57" s="30" t="str">
        <f aca="false">IF(AK38="","",IF(ISNUMBER(AK45),AK45,AK38))</f>
        <v/>
      </c>
      <c r="AL57" s="30" t="str">
        <f aca="false">IF(AL38="","",IF(ISNUMBER(AL45),AL45,AL38))</f>
        <v/>
      </c>
      <c r="AM57" s="30" t="str">
        <f aca="false">IF(AM38="","",IF(ISNUMBER(AM45),AM45,AM38))</f>
        <v/>
      </c>
      <c r="AN57" s="30" t="str">
        <f aca="false">IF(AN38="","",IF(ISNUMBER(AN45),AN45,AN38))</f>
        <v/>
      </c>
      <c r="AO57" s="30" t="str">
        <f aca="false">IF(AO38="","",IF(ISNUMBER(AO45),AO45,AO38))</f>
        <v/>
      </c>
      <c r="AP57" s="30" t="str">
        <f aca="false">IF(AP38="","",IF(ISNUMBER(AP45),AP45,AP38))</f>
        <v/>
      </c>
      <c r="AQ57" s="30" t="str">
        <f aca="false">IF(AQ38="","",IF(ISNUMBER(AQ45),AQ45,AQ38))</f>
        <v/>
      </c>
      <c r="AR57" s="30" t="str">
        <f aca="false">IF(AR38="","",IF(ISNUMBER(AR45),AR45,AR38))</f>
        <v/>
      </c>
      <c r="AS57" s="30" t="str">
        <f aca="false">IF(AS38="","",IF(ISNUMBER(AS45),AS45,AS38))</f>
        <v/>
      </c>
      <c r="AT57" s="30" t="str">
        <f aca="false">IF(AT38="","",IF(ISNUMBER(AT45),AT45,AT38))</f>
        <v/>
      </c>
      <c r="AU57" s="30" t="str">
        <f aca="false">IF(AU38="","",IF(ISNUMBER(AU45),AU45,AU38))</f>
        <v/>
      </c>
      <c r="AV57" s="30" t="str">
        <f aca="false">IF(AV38="","",IF(ISNUMBER(AV45),AV45,AV38))</f>
        <v/>
      </c>
      <c r="AW57" s="30" t="str">
        <f aca="false">IF(AW38="","",IF(ISNUMBER(AW45),AW45,AW38))</f>
        <v/>
      </c>
      <c r="AX57" s="30" t="str">
        <f aca="false">IF(AX38="","",IF(ISNUMBER(AX45),AX45,AX38))</f>
        <v/>
      </c>
      <c r="AY57" s="30" t="str">
        <f aca="false">IF(AY38="","",IF(ISNUMBER(AY45),AY45,AY38))</f>
        <v/>
      </c>
      <c r="AZ57" s="30" t="str">
        <f aca="false">IF(AZ38="","",IF(ISNUMBER(AZ45),AZ45,AZ38))</f>
        <v/>
      </c>
      <c r="BA57" s="30" t="str">
        <f aca="false">IF(BA38="","",IF(ISNUMBER(BA45),BA45,BA38))</f>
        <v/>
      </c>
      <c r="BB57" s="30" t="str">
        <f aca="false">IF(BB38="","",IF(ISNUMBER(BB45),BB45,BB38))</f>
        <v/>
      </c>
      <c r="BC57" s="30" t="str">
        <f aca="false">IF(BC38="","",IF(ISNUMBER(BC45),BC45,BC38))</f>
        <v/>
      </c>
      <c r="BD57" s="30" t="n">
        <f aca="false">IF(BD38="","",IF(ISNUMBER(BD45),BD45,BD38))</f>
        <v>1.3</v>
      </c>
      <c r="BE57" s="30" t="n">
        <f aca="false">IF(BE38="","",IF(ISNUMBER(BE45),BE45,BE38))</f>
        <v>1.5</v>
      </c>
      <c r="BF57" s="30" t="n">
        <f aca="false">IF(BF38="","",IF(ISNUMBER(BF45),BF45,BF38))</f>
        <v>1.3</v>
      </c>
      <c r="BG57" s="30" t="n">
        <f aca="false">IF(BG38="","",IF(ISNUMBER(BG45),BG45,BG38))</f>
        <v>3.5</v>
      </c>
      <c r="BH57" s="30" t="n">
        <f aca="false">IF(BH38="","",IF(ISNUMBER(BH45),BH45,BH38))</f>
        <v>3.2</v>
      </c>
      <c r="BI57" s="30" t="n">
        <f aca="false">IF(BI38="","",IF(ISNUMBER(BI45),BI45,BI38))</f>
        <v>2.3</v>
      </c>
      <c r="BJ57" s="30" t="n">
        <f aca="false">IF(BJ38="","",IF(ISNUMBER(BJ45),BJ45,BJ38))</f>
        <v>2.1</v>
      </c>
      <c r="BK57" s="30" t="n">
        <f aca="false">IF(BK38="","",IF(ISNUMBER(BK45),BK45,BK38))</f>
        <v>3.4</v>
      </c>
      <c r="BL57" s="30" t="n">
        <f aca="false">IF(BL38="","",IF(ISNUMBER(BL45),BL45,BL38))</f>
        <v>3</v>
      </c>
      <c r="BM57" s="30" t="n">
        <f aca="false">IF(BM38="","",IF(ISNUMBER(BM45),BM45,BM38))</f>
        <v>2.5</v>
      </c>
      <c r="BN57" s="30" t="n">
        <f aca="false">IF(BN38="","",IF(ISNUMBER(BN45),BN45,BN38))</f>
        <v>2</v>
      </c>
      <c r="BO57" s="30" t="n">
        <f aca="false">IF(BO38="","",IF(ISNUMBER(BO45),BO45,BO38))</f>
        <v>1.5</v>
      </c>
      <c r="BP57" s="30" t="n">
        <f aca="false">IF(BP38="","",IF(ISNUMBER(BP45),BP45,BP38))</f>
        <v>3</v>
      </c>
      <c r="BQ57" s="30" t="n">
        <f aca="false">IF(BQ38="","",IF(ISNUMBER(BQ45),BQ45,BQ38))</f>
        <v>2.5</v>
      </c>
      <c r="BR57" s="30" t="n">
        <f aca="false">IF(BR38="","",IF(ISNUMBER(BR45),BR45,BR38))</f>
        <v>2</v>
      </c>
      <c r="BS57" s="30" t="n">
        <f aca="false">IF(BS38="","",IF(ISNUMBER(BS45),BS45,BS38))</f>
        <v>1.5</v>
      </c>
      <c r="BT57" s="30" t="n">
        <f aca="false">IF(BT38="","",IF(ISNUMBER(BT45),BT45,BT38))</f>
        <v>1.3</v>
      </c>
      <c r="BU57" s="30" t="n">
        <f aca="false">IF(BU38="","",IF(ISNUMBER(BU45),BU45,BU38))</f>
        <v>1.1</v>
      </c>
      <c r="BV57" s="30" t="n">
        <f aca="false">IF(BV38="","",IF(ISNUMBER(BV45),BV45,BV38))</f>
        <v>1</v>
      </c>
      <c r="BW57" s="30" t="n">
        <f aca="false">IF(BW38="","",IF(ISNUMBER(BW45),BW45,BW38))</f>
        <v>2.5</v>
      </c>
      <c r="BX57" s="30" t="n">
        <f aca="false">IF(BX38="","",IF(ISNUMBER(BX45),BX45,BX38))</f>
        <v>2.3</v>
      </c>
      <c r="BY57" s="30" t="n">
        <f aca="false">IF(BY38="","",IF(ISNUMBER(BY45),BY45,BY38))</f>
        <v>2</v>
      </c>
      <c r="BZ57" s="30" t="n">
        <f aca="false">IF(BZ38="","",IF(ISNUMBER(BZ45),BZ45,BZ38))</f>
        <v>1.5</v>
      </c>
      <c r="CA57" s="30" t="str">
        <f aca="false">IF(CA38="","",IF(ISNUMBER(CA45),CA45,CA38))</f>
        <v/>
      </c>
      <c r="CB57" s="30" t="n">
        <f aca="false">IF(CB38="","",IF(ISNUMBER(CB45),CB45,CB38))</f>
        <v>1</v>
      </c>
      <c r="CC57" s="30" t="n">
        <f aca="false">IF(CC38="","",IF(ISNUMBER(CC45),CC45,CC38))</f>
        <v>-0.2</v>
      </c>
      <c r="CD57" s="30" t="n">
        <f aca="false">IF(CD38="","",IF(ISNUMBER(CD45),CD45,CD38))</f>
        <v>2.3</v>
      </c>
      <c r="CE57" s="30" t="n">
        <f aca="false">IF(CE38="","",IF(ISNUMBER(CE45),CE45,CE38))</f>
        <v>2</v>
      </c>
      <c r="CF57" s="30" t="n">
        <f aca="false">IF(CF38="","",IF(ISNUMBER(CF45),CF45,CF38))</f>
        <v>1.7</v>
      </c>
      <c r="CG57" s="30" t="n">
        <f aca="false">IF(CG38="","",IF(ISNUMBER(CG45),CG45,CG38))</f>
        <v>1.5</v>
      </c>
      <c r="CH57" s="30" t="n">
        <f aca="false">IF(CH38="","",IF(ISNUMBER(CH45),CH45,CH38))</f>
        <v>4</v>
      </c>
      <c r="CI57" s="30" t="n">
        <f aca="false">IF(CI38="","",IF(ISNUMBER(CI45),CI45,CI38))</f>
        <v>3.8</v>
      </c>
      <c r="CJ57" s="30" t="n">
        <f aca="false">IF(CJ38="","",IF(ISNUMBER(CJ45),CJ45,CJ38))</f>
        <v>3.2</v>
      </c>
      <c r="CK57" s="30" t="n">
        <f aca="false">IF(CK38="","",IF(ISNUMBER(CK45),CK45,CK38))</f>
        <v>1.5</v>
      </c>
      <c r="CL57" s="30" t="n">
        <f aca="false">IF(CL38="","",IF(ISNUMBER(CL45),CL45,CL38))</f>
        <v>0</v>
      </c>
      <c r="CM57" s="30" t="n">
        <f aca="false">IF(CM38="","",IF(ISNUMBER(CM45),CM45,CM38))</f>
        <v>-0.3</v>
      </c>
      <c r="CN57" s="30" t="n">
        <f aca="false">IF(CN38="","",IF(ISNUMBER(CN45),CN45,CN38))</f>
        <v>-1</v>
      </c>
      <c r="CO57" s="30" t="n">
        <f aca="false">IF(CO38="","",IF(ISNUMBER(CO45),CO45,CO38))</f>
        <v>-5</v>
      </c>
      <c r="CP57" s="30" t="n">
        <f aca="false">IF(CP38="","",IF(ISNUMBER(CP45),CP45,CP38))</f>
        <v>-8</v>
      </c>
      <c r="CQ57" s="30" t="n">
        <f aca="false">IF(CQ38="","",IF(ISNUMBER(CQ45),CQ45,CQ38))</f>
        <v>-15</v>
      </c>
      <c r="CR57" s="30" t="n">
        <f aca="false">IF(CR38="","",IF(ISNUMBER(CR45),CR45,CR38))</f>
        <v>-15</v>
      </c>
      <c r="CS57" s="30" t="n">
        <f aca="false">IF(CS38="","",IF(ISNUMBER(CS45),CS45,CS38))</f>
        <v>-15</v>
      </c>
      <c r="CT57" s="30" t="n">
        <f aca="false">IF(CT38="","",IF(ISNUMBER(CT45),CT45,CT38))</f>
        <v>-15</v>
      </c>
      <c r="CU57" s="30" t="n">
        <f aca="false">IF(CU38="","",IF(ISNUMBER(CU45),CU45,CU38))</f>
        <v>-15</v>
      </c>
      <c r="CV57" s="30" t="n">
        <f aca="false">IF(CV38="","",IF(ISNUMBER(CV45),CV45,CV38))</f>
        <v>-15</v>
      </c>
      <c r="CW57" s="30" t="n">
        <f aca="false">IF(CW38="","",IF(ISNUMBER(CW45),CW45,CW38))</f>
        <v>1.5</v>
      </c>
      <c r="CX57" s="30" t="n">
        <f aca="false">IF(CX38="","",IF(ISNUMBER(CX45),CX45,CX38))</f>
        <v>1</v>
      </c>
      <c r="CY57" s="30" t="n">
        <f aca="false">IF(CY38="","",IF(ISNUMBER(CY45),CY45,CY38))</f>
        <v>0.7</v>
      </c>
      <c r="CZ57" s="30" t="n">
        <f aca="false">IF(CZ38="","",IF(ISNUMBER(CZ45),CZ45,CZ38))</f>
        <v>2</v>
      </c>
      <c r="DA57" s="30" t="n">
        <f aca="false">IF(DA38="","",IF(ISNUMBER(DA45),DA45,DA38))</f>
        <v>1.7</v>
      </c>
      <c r="DB57" s="30" t="n">
        <f aca="false">IF(DB38="","",IF(ISNUMBER(DB45),DB45,DB38))</f>
        <v>1</v>
      </c>
      <c r="DC57" s="30" t="n">
        <f aca="false">IF(DC38="","",IF(ISNUMBER(DC45),DC45,DC38))</f>
        <v>2.7</v>
      </c>
      <c r="DD57" s="30" t="n">
        <f aca="false">IF(DD38="","",IF(ISNUMBER(DD45),DD45,DD38))</f>
        <v>1.6</v>
      </c>
      <c r="DE57" s="30" t="n">
        <f aca="false">IF(DE38="","",IF(ISNUMBER(DE45),DE45,DE38))</f>
        <v>1</v>
      </c>
      <c r="DF57" s="30" t="n">
        <f aca="false">IF(DF38="","",IF(ISNUMBER(DF45),DF45,DF38))</f>
        <v>0.7</v>
      </c>
      <c r="DG57" s="30" t="n">
        <f aca="false">IF(DG38="","",IF(ISNUMBER(DG45),DG45,DG38))</f>
        <v>1.3</v>
      </c>
      <c r="DH57" s="30" t="n">
        <f aca="false">IF(DH38="","",IF(ISNUMBER(DH45),DH45,DH38))</f>
        <v>0.8</v>
      </c>
      <c r="DI57" s="30" t="n">
        <f aca="false">IF(DI38="","",IF(ISNUMBER(DI45),DI45,DI38))</f>
        <v>0.4</v>
      </c>
      <c r="DJ57" s="30" t="n">
        <f aca="false">IF(DJ38="","",IF(ISNUMBER(DJ45),DJ45,DJ38))</f>
        <v>-3</v>
      </c>
      <c r="DK57" s="30" t="n">
        <f aca="false">IF(DK38="","",IF(ISNUMBER(DK45),DK45,DK38))</f>
        <v>-6</v>
      </c>
      <c r="DL57" s="30" t="str">
        <f aca="false">IF(DL38="","",IF(ISNUMBER(DL45),DL45,DL38))</f>
        <v/>
      </c>
      <c r="DM57" s="30" t="n">
        <f aca="false">IF(DM38="","",IF(ISNUMBER(DM45),DM45,DM38))</f>
        <v>-11</v>
      </c>
      <c r="DN57" s="30" t="n">
        <f aca="false">IF(DN38="","",IF(ISNUMBER(DN45),DN45,DN38))</f>
        <v>1.5</v>
      </c>
      <c r="DO57" s="30" t="n">
        <f aca="false">IF(DO38="","",IF(ISNUMBER(DO45),DO45,DO38))</f>
        <v>1</v>
      </c>
      <c r="DP57" s="30" t="n">
        <f aca="false">IF(DP38="","",IF(ISNUMBER(DP45),DP45,DP38))</f>
        <v>0.5</v>
      </c>
      <c r="DQ57" s="30" t="n">
        <f aca="false">IF(DQ38="","",IF(ISNUMBER(DQ45),DQ45,DQ38))</f>
        <v>-4</v>
      </c>
      <c r="DR57" s="30" t="n">
        <f aca="false">IF(DR38="","",IF(ISNUMBER(DR45),DR45,DR38))</f>
        <v>-9</v>
      </c>
      <c r="DS57" s="30" t="n">
        <f aca="false">IF(DS38="","",IF(ISNUMBER(DS45),DS45,DS38))</f>
        <v>-12</v>
      </c>
      <c r="DT57" s="30" t="n">
        <f aca="false">IF(DT38="","",IF(ISNUMBER(DT45),DT45,DT38))</f>
        <v>-15</v>
      </c>
      <c r="DU57" s="30" t="n">
        <f aca="false">IF(DU38="","",IF(ISNUMBER(DU45),DU45,DU38))</f>
        <v>2</v>
      </c>
      <c r="DV57" s="30" t="n">
        <f aca="false">IF(DV38="","",IF(ISNUMBER(DV45),DV45,DV38))</f>
        <v>1</v>
      </c>
      <c r="DW57" s="30" t="n">
        <f aca="false">IF(DW38="","",IF(ISNUMBER(DW45),DW45,DW38))</f>
        <v>0.5</v>
      </c>
      <c r="DX57" s="30" t="n">
        <f aca="false">IF(DX38="","",IF(ISNUMBER(DX45),DX45,DX38))</f>
        <v>-2</v>
      </c>
      <c r="DY57" s="30" t="n">
        <f aca="false">IF(DY38="","",IF(ISNUMBER(DY45),DY45,DY38))</f>
        <v>-7</v>
      </c>
      <c r="DZ57" s="30" t="n">
        <f aca="false">IF(DZ38="","",IF(ISNUMBER(DZ45),DZ45,DZ38))</f>
        <v>-12</v>
      </c>
      <c r="EA57" s="30" t="n">
        <f aca="false">IF(EA38="","",IF(ISNUMBER(EA45),EA45,EA38))</f>
        <v>-15</v>
      </c>
      <c r="EB57" s="30" t="n">
        <f aca="false">IF(EB38="","",IF(ISNUMBER(EB45),EB45,EB38))</f>
        <v>2</v>
      </c>
      <c r="EC57" s="30" t="n">
        <f aca="false">IF(EC38="","",IF(ISNUMBER(EC45),EC45,EC38))</f>
        <v>1.5</v>
      </c>
      <c r="ED57" s="30" t="n">
        <f aca="false">IF(ED38="","",IF(ISNUMBER(ED45),ED45,ED38))</f>
        <v>0.3</v>
      </c>
      <c r="EE57" s="30" t="n">
        <f aca="false">IF(EE38="","",IF(ISNUMBER(EE45),EE45,EE38))</f>
        <v>2</v>
      </c>
      <c r="EF57" s="30" t="n">
        <f aca="false">IF(EF38="","",IF(ISNUMBER(EF45),EF45,EF38))</f>
        <v>-1</v>
      </c>
      <c r="EG57" s="30" t="n">
        <f aca="false">IF(EG38="","",IF(ISNUMBER(EG45),EG45,EG38))</f>
        <v>-5.7</v>
      </c>
      <c r="EH57" s="30" t="n">
        <f aca="false">IF(EH38="","",IF(ISNUMBER(EH45),EH45,EH38))</f>
        <v>-11</v>
      </c>
      <c r="EI57" s="30" t="n">
        <f aca="false">IF(EI38="","",IF(ISNUMBER(EI45),EI45,EI38))</f>
        <v>-14</v>
      </c>
      <c r="EJ57" s="30" t="n">
        <f aca="false">IF(EJ38="","",IF(ISNUMBER(EJ45),EJ45,EJ38))</f>
        <v>4.5</v>
      </c>
      <c r="EK57" s="30" t="n">
        <f aca="false">IF(EK38="","",IF(ISNUMBER(EK45),EK45,EK38))</f>
        <v>3</v>
      </c>
      <c r="EL57" s="30" t="n">
        <f aca="false">IF(EL38="","",IF(ISNUMBER(EL45),EL45,EL38))</f>
        <v>2</v>
      </c>
      <c r="EM57" s="30" t="n">
        <f aca="false">IF(EM38="","",IF(ISNUMBER(EM45),EM45,EM38))</f>
        <v>3</v>
      </c>
      <c r="EN57" s="30" t="n">
        <f aca="false">IF(EN38="","",IF(ISNUMBER(EN45),EN45,EN38))</f>
        <v>2</v>
      </c>
      <c r="EO57" s="30" t="n">
        <f aca="false">IF(EO38="","",IF(ISNUMBER(EO45),EO45,EO38))</f>
        <v>0</v>
      </c>
      <c r="EP57" s="30" t="n">
        <f aca="false">IF(EP38="","",IF(ISNUMBER(EP45),EP45,EP38))</f>
        <v>-3</v>
      </c>
      <c r="EQ57" s="30" t="n">
        <f aca="false">IF(EQ38="","",IF(ISNUMBER(EQ45),EQ45,EQ38))</f>
        <v>-10</v>
      </c>
      <c r="ER57" s="30" t="n">
        <f aca="false">IF(ER38="","",IF(ISNUMBER(ER45),ER45,ER38))</f>
        <v>-15</v>
      </c>
      <c r="ES57" s="30" t="n">
        <f aca="false">IF(ES38="","",IF(ISNUMBER(ES45),ES45,ES38))</f>
        <v>-15</v>
      </c>
      <c r="ET57" s="30" t="n">
        <f aca="false">IF(ET38="","",IF(ISNUMBER(ET45),ET45,ET38))</f>
        <v>-15</v>
      </c>
      <c r="EU57" s="30" t="str">
        <f aca="false">IF(EU38="","",IF(ISNUMBER(EU45),EU45,EU38))</f>
        <v/>
      </c>
      <c r="EV57" s="30" t="str">
        <f aca="false">IF(EV38="","",IF(ISNUMBER(EV45),EV45,EV38))</f>
        <v/>
      </c>
      <c r="EW57" s="30" t="str">
        <f aca="false">IF(EW38="","",IF(ISNUMBER(EW45),EW45,EW38))</f>
        <v/>
      </c>
      <c r="EX57" s="30" t="str">
        <f aca="false">IF(EX38="","",IF(ISNUMBER(EX45),EX45,EX38))</f>
        <v/>
      </c>
      <c r="EY57" s="30" t="str">
        <f aca="false">IF(EY38="","",IF(ISNUMBER(EY45),EY45,EY38))</f>
        <v/>
      </c>
      <c r="EZ57" s="30" t="str">
        <f aca="false">IF(EZ38="","",IF(ISNUMBER(EZ45),EZ45,EZ38))</f>
        <v/>
      </c>
      <c r="FA57" s="30" t="str">
        <f aca="false">IF(FA38="","",IF(ISNUMBER(FA45),FA45,FA38))</f>
        <v/>
      </c>
      <c r="FB57" s="30" t="str">
        <f aca="false">IF(FB38="","",IF(ISNUMBER(FB45),FB45,FB38))</f>
        <v/>
      </c>
      <c r="FC57" s="30" t="str">
        <f aca="false">IF(FC38="","",IF(ISNUMBER(FC45),FC45,FC38))</f>
        <v/>
      </c>
      <c r="FD57" s="30" t="str">
        <f aca="false">IF(FD38="","",IF(ISNUMBER(FD45),FD45,FD38))</f>
        <v/>
      </c>
      <c r="FE57" s="30" t="str">
        <f aca="false">IF(FE38="","",IF(ISNUMBER(FE45),FE45,FE38))</f>
        <v/>
      </c>
      <c r="FF57" s="30" t="str">
        <f aca="false">IF(FF38="","",IF(ISNUMBER(FF45),FF45,FF38))</f>
        <v/>
      </c>
      <c r="FG57" s="30" t="str">
        <f aca="false">IF(FG38="","",IF(ISNUMBER(FG45),FG45,FG38))</f>
        <v/>
      </c>
      <c r="FH57" s="30" t="str">
        <f aca="false">IF(FH38="","",IF(ISNUMBER(FH45),FH45,FH38))</f>
        <v/>
      </c>
      <c r="FI57" s="30" t="str">
        <f aca="false">IF(FI38="","",IF(ISNUMBER(FI45),FI45,FI38))</f>
        <v/>
      </c>
      <c r="FJ57" s="30" t="str">
        <f aca="false">IF(FJ38="","",IF(ISNUMBER(FJ45),FJ45,FJ38))</f>
        <v/>
      </c>
      <c r="FK57" s="30" t="str">
        <f aca="false">IF(FK38="","",IF(ISNUMBER(FK45),FK45,FK38))</f>
        <v/>
      </c>
      <c r="FL57" s="30" t="str">
        <f aca="false">IF(FL38="","",IF(ISNUMBER(FL45),FL45,FL38))</f>
        <v/>
      </c>
      <c r="FM57" s="30" t="str">
        <f aca="false">IF(FM38="","",IF(ISNUMBER(FM45),FM45,FM38))</f>
        <v/>
      </c>
      <c r="FN57" s="30" t="str">
        <f aca="false">IF(FN38="","",IF(ISNUMBER(FN45),FN45,FN38))</f>
        <v/>
      </c>
      <c r="FO57" s="30" t="str">
        <f aca="false">IF(FO38="","",IF(ISNUMBER(FO45),FO45,FO38))</f>
        <v/>
      </c>
      <c r="FP57" s="30" t="str">
        <f aca="false">IF(FP38="","",IF(ISNUMBER(FP45),FP45,FP38))</f>
        <v/>
      </c>
      <c r="FQ57" s="30" t="str">
        <f aca="false">IF(FQ38="","",IF(ISNUMBER(FQ45),FQ45,FQ38))</f>
        <v/>
      </c>
    </row>
    <row r="58" customFormat="false" ht="15" hidden="true" customHeight="false" outlineLevel="0" collapsed="false">
      <c r="A58" s="36" t="s">
        <v>74</v>
      </c>
      <c r="B58" s="62" t="s">
        <v>422</v>
      </c>
      <c r="D58" s="30" t="n">
        <f aca="false">IF(ISNUMBER(D38),1,0)</f>
        <v>0</v>
      </c>
      <c r="E58" s="30" t="n">
        <f aca="false">IF(ISNUMBER(E38),1,0)</f>
        <v>0</v>
      </c>
      <c r="F58" s="30" t="n">
        <f aca="false">IF(ISNUMBER(F38),1,0)</f>
        <v>0</v>
      </c>
      <c r="G58" s="30" t="n">
        <f aca="false">IF(ISNUMBER(G38),1,0)</f>
        <v>0</v>
      </c>
      <c r="H58" s="30" t="n">
        <f aca="false">IF(ISNUMBER(H38),1,0)</f>
        <v>0</v>
      </c>
      <c r="I58" s="30" t="n">
        <f aca="false">IF(ISNUMBER(I38),1,0)</f>
        <v>0</v>
      </c>
      <c r="J58" s="30" t="n">
        <f aca="false">IF(ISNUMBER(J38),1,0)</f>
        <v>0</v>
      </c>
      <c r="K58" s="30" t="n">
        <f aca="false">IF(ISNUMBER(K38),1,0)</f>
        <v>0</v>
      </c>
      <c r="L58" s="30" t="n">
        <f aca="false">IF(ISNUMBER(L38),1,0)</f>
        <v>0</v>
      </c>
      <c r="M58" s="30" t="n">
        <f aca="false">IF(ISNUMBER(M38),1,0)</f>
        <v>0</v>
      </c>
      <c r="N58" s="30" t="n">
        <f aca="false">IF(ISNUMBER(N38),1,0)</f>
        <v>0</v>
      </c>
      <c r="O58" s="30" t="n">
        <f aca="false">IF(ISNUMBER(O38),1,0)</f>
        <v>0</v>
      </c>
      <c r="P58" s="30" t="n">
        <f aca="false">IF(ISNUMBER(P38),1,0)</f>
        <v>0</v>
      </c>
      <c r="Q58" s="30" t="n">
        <f aca="false">IF(ISNUMBER(Q38),1,0)</f>
        <v>0</v>
      </c>
      <c r="R58" s="30" t="n">
        <f aca="false">IF(ISNUMBER(R38),1,0)</f>
        <v>0</v>
      </c>
      <c r="S58" s="30" t="n">
        <f aca="false">IF(ISNUMBER(S38),1,0)</f>
        <v>0</v>
      </c>
      <c r="T58" s="30" t="n">
        <f aca="false">IF(ISNUMBER(T38),1,0)</f>
        <v>0</v>
      </c>
      <c r="U58" s="30" t="n">
        <f aca="false">IF(ISNUMBER(U38),1,0)</f>
        <v>0</v>
      </c>
      <c r="V58" s="30" t="n">
        <f aca="false">IF(ISNUMBER(V38),1,0)</f>
        <v>0</v>
      </c>
      <c r="W58" s="30" t="n">
        <f aca="false">IF(ISNUMBER(W38),1,0)</f>
        <v>0</v>
      </c>
      <c r="X58" s="30" t="n">
        <f aca="false">IF(ISNUMBER(X38),1,0)</f>
        <v>0</v>
      </c>
      <c r="Y58" s="30" t="n">
        <f aca="false">IF(ISNUMBER(Y38),1,0)</f>
        <v>0</v>
      </c>
      <c r="Z58" s="30" t="n">
        <f aca="false">IF(ISNUMBER(Z38),1,0)</f>
        <v>0</v>
      </c>
      <c r="AA58" s="30" t="n">
        <f aca="false">IF(ISNUMBER(AA38),1,0)</f>
        <v>0</v>
      </c>
      <c r="AB58" s="30" t="n">
        <f aca="false">IF(ISNUMBER(AB38),1,0)</f>
        <v>0</v>
      </c>
      <c r="AC58" s="30" t="n">
        <f aca="false">IF(ISNUMBER(AC38),1,0)</f>
        <v>0</v>
      </c>
      <c r="AD58" s="30" t="n">
        <f aca="false">IF(ISNUMBER(AD38),1,0)</f>
        <v>0</v>
      </c>
      <c r="AE58" s="30" t="n">
        <f aca="false">IF(ISNUMBER(AE38),1,0)</f>
        <v>0</v>
      </c>
      <c r="AF58" s="30" t="n">
        <f aca="false">IF(ISNUMBER(AF38),1,0)</f>
        <v>0</v>
      </c>
      <c r="AG58" s="30" t="n">
        <f aca="false">IF(ISNUMBER(AG38),1,0)</f>
        <v>0</v>
      </c>
      <c r="AH58" s="30" t="n">
        <f aca="false">IF(ISNUMBER(AH38),1,0)</f>
        <v>0</v>
      </c>
      <c r="AI58" s="30" t="n">
        <f aca="false">IF(ISNUMBER(AI38),1,0)</f>
        <v>0</v>
      </c>
      <c r="AJ58" s="30" t="n">
        <f aca="false">IF(ISNUMBER(AJ38),1,0)</f>
        <v>0</v>
      </c>
      <c r="AK58" s="30" t="n">
        <f aca="false">IF(ISNUMBER(AK38),1,0)</f>
        <v>0</v>
      </c>
      <c r="AL58" s="30" t="n">
        <f aca="false">IF(ISNUMBER(AL38),1,0)</f>
        <v>0</v>
      </c>
      <c r="AM58" s="30" t="n">
        <f aca="false">IF(ISNUMBER(AM38),1,0)</f>
        <v>0</v>
      </c>
      <c r="AN58" s="30" t="n">
        <f aca="false">IF(ISNUMBER(AN38),1,0)</f>
        <v>0</v>
      </c>
      <c r="AO58" s="30" t="n">
        <f aca="false">IF(ISNUMBER(AO38),1,0)</f>
        <v>0</v>
      </c>
      <c r="AP58" s="30" t="n">
        <f aca="false">IF(ISNUMBER(AP38),1,0)</f>
        <v>0</v>
      </c>
      <c r="AQ58" s="30" t="n">
        <f aca="false">IF(ISNUMBER(AQ38),1,0)</f>
        <v>0</v>
      </c>
      <c r="AR58" s="30" t="n">
        <f aca="false">IF(ISNUMBER(AR38),1,0)</f>
        <v>0</v>
      </c>
      <c r="AS58" s="30" t="n">
        <f aca="false">IF(ISNUMBER(AS38),1,0)</f>
        <v>0</v>
      </c>
      <c r="AT58" s="30" t="n">
        <f aca="false">IF(ISNUMBER(AT38),1,0)</f>
        <v>0</v>
      </c>
      <c r="AU58" s="30" t="n">
        <f aca="false">IF(ISNUMBER(AU38),1,0)</f>
        <v>0</v>
      </c>
      <c r="AV58" s="30" t="n">
        <f aca="false">IF(ISNUMBER(AV38),1,0)</f>
        <v>0</v>
      </c>
      <c r="AW58" s="30" t="n">
        <f aca="false">IF(ISNUMBER(AW38),1,0)</f>
        <v>0</v>
      </c>
      <c r="AX58" s="30" t="n">
        <f aca="false">IF(ISNUMBER(AX38),1,0)</f>
        <v>0</v>
      </c>
      <c r="AY58" s="30" t="n">
        <f aca="false">IF(ISNUMBER(AY38),1,0)</f>
        <v>0</v>
      </c>
      <c r="AZ58" s="30" t="n">
        <f aca="false">IF(ISNUMBER(AZ38),1,0)</f>
        <v>0</v>
      </c>
      <c r="BA58" s="30" t="n">
        <f aca="false">IF(ISNUMBER(BA38),1,0)</f>
        <v>0</v>
      </c>
      <c r="BB58" s="30" t="n">
        <f aca="false">IF(ISNUMBER(BB38),1,0)</f>
        <v>0</v>
      </c>
      <c r="BC58" s="30" t="n">
        <f aca="false">IF(ISNUMBER(BC38),1,0)</f>
        <v>0</v>
      </c>
      <c r="BD58" s="30" t="n">
        <f aca="false">IF(ISNUMBER(BD38),1,0)</f>
        <v>1</v>
      </c>
      <c r="BE58" s="30" t="n">
        <f aca="false">IF(ISNUMBER(BE38),1,0)</f>
        <v>1</v>
      </c>
      <c r="BF58" s="30" t="n">
        <f aca="false">IF(ISNUMBER(BF38),1,0)</f>
        <v>1</v>
      </c>
      <c r="BG58" s="30" t="n">
        <f aca="false">IF(ISNUMBER(BG38),1,0)</f>
        <v>1</v>
      </c>
      <c r="BH58" s="30" t="n">
        <f aca="false">IF(ISNUMBER(BH38),1,0)</f>
        <v>1</v>
      </c>
      <c r="BI58" s="30" t="n">
        <f aca="false">IF(ISNUMBER(BI38),1,0)</f>
        <v>1</v>
      </c>
      <c r="BJ58" s="30" t="n">
        <f aca="false">IF(ISNUMBER(BJ38),1,0)</f>
        <v>1</v>
      </c>
      <c r="BK58" s="30" t="n">
        <f aca="false">IF(ISNUMBER(BK38),1,0)</f>
        <v>1</v>
      </c>
      <c r="BL58" s="30" t="n">
        <f aca="false">IF(ISNUMBER(BL38),1,0)</f>
        <v>1</v>
      </c>
      <c r="BM58" s="30" t="n">
        <f aca="false">IF(ISNUMBER(BM38),1,0)</f>
        <v>1</v>
      </c>
      <c r="BN58" s="30" t="n">
        <f aca="false">IF(ISNUMBER(BN38),1,0)</f>
        <v>1</v>
      </c>
      <c r="BO58" s="30" t="n">
        <f aca="false">IF(ISNUMBER(BO38),1,0)</f>
        <v>1</v>
      </c>
      <c r="BP58" s="30" t="n">
        <f aca="false">IF(ISNUMBER(BP38),1,0)</f>
        <v>1</v>
      </c>
      <c r="BQ58" s="30" t="n">
        <f aca="false">IF(ISNUMBER(BQ38),1,0)</f>
        <v>1</v>
      </c>
      <c r="BR58" s="30" t="n">
        <f aca="false">IF(ISNUMBER(BR38),1,0)</f>
        <v>1</v>
      </c>
      <c r="BS58" s="30" t="n">
        <f aca="false">IF(ISNUMBER(BS38),1,0)</f>
        <v>1</v>
      </c>
      <c r="BT58" s="30" t="n">
        <f aca="false">IF(ISNUMBER(BT38),1,0)</f>
        <v>1</v>
      </c>
      <c r="BU58" s="30" t="n">
        <f aca="false">IF(ISNUMBER(BU38),1,0)</f>
        <v>1</v>
      </c>
      <c r="BV58" s="30" t="n">
        <f aca="false">IF(ISNUMBER(BV38),1,0)</f>
        <v>1</v>
      </c>
      <c r="BW58" s="30" t="n">
        <f aca="false">IF(ISNUMBER(BW38),1,0)</f>
        <v>1</v>
      </c>
      <c r="BX58" s="30" t="n">
        <f aca="false">IF(ISNUMBER(BX38),1,0)</f>
        <v>1</v>
      </c>
      <c r="BY58" s="30" t="n">
        <f aca="false">IF(ISNUMBER(BY38),1,0)</f>
        <v>1</v>
      </c>
      <c r="BZ58" s="30" t="n">
        <f aca="false">IF(ISNUMBER(BZ38),1,0)</f>
        <v>1</v>
      </c>
      <c r="CA58" s="30" t="n">
        <f aca="false">IF(ISNUMBER(CA38),1,0)</f>
        <v>0</v>
      </c>
      <c r="CB58" s="30" t="n">
        <f aca="false">IF(ISNUMBER(CB38),1,0)</f>
        <v>1</v>
      </c>
      <c r="CC58" s="30" t="n">
        <f aca="false">IF(ISNUMBER(CC38),1,0)</f>
        <v>1</v>
      </c>
      <c r="CD58" s="30" t="n">
        <f aca="false">IF(ISNUMBER(CD38),1,0)</f>
        <v>1</v>
      </c>
      <c r="CE58" s="30" t="n">
        <f aca="false">IF(ISNUMBER(CE38),1,0)</f>
        <v>1</v>
      </c>
      <c r="CF58" s="30" t="n">
        <f aca="false">IF(ISNUMBER(CF38),1,0)</f>
        <v>1</v>
      </c>
      <c r="CG58" s="30" t="n">
        <f aca="false">IF(ISNUMBER(CG38),1,0)</f>
        <v>1</v>
      </c>
      <c r="CH58" s="30" t="n">
        <f aca="false">IF(ISNUMBER(CH38),1,0)</f>
        <v>1</v>
      </c>
      <c r="CI58" s="30" t="n">
        <f aca="false">IF(ISNUMBER(CI38),1,0)</f>
        <v>1</v>
      </c>
      <c r="CJ58" s="30" t="n">
        <f aca="false">IF(ISNUMBER(CJ38),1,0)</f>
        <v>1</v>
      </c>
      <c r="CK58" s="30" t="n">
        <f aca="false">IF(ISNUMBER(CK38),1,0)</f>
        <v>1</v>
      </c>
      <c r="CL58" s="30" t="n">
        <f aca="false">IF(ISNUMBER(CL38),1,0)</f>
        <v>1</v>
      </c>
      <c r="CM58" s="30" t="n">
        <f aca="false">IF(ISNUMBER(CM38),1,0)</f>
        <v>1</v>
      </c>
      <c r="CN58" s="30" t="n">
        <f aca="false">IF(ISNUMBER(CN38),1,0)</f>
        <v>1</v>
      </c>
      <c r="CO58" s="30" t="n">
        <f aca="false">IF(ISNUMBER(CO38),1,0)</f>
        <v>1</v>
      </c>
      <c r="CP58" s="30" t="n">
        <f aca="false">IF(ISNUMBER(CP38),1,0)</f>
        <v>1</v>
      </c>
      <c r="CQ58" s="30" t="n">
        <f aca="false">IF(ISNUMBER(CQ38),1,0)</f>
        <v>1</v>
      </c>
      <c r="CR58" s="30" t="n">
        <f aca="false">IF(ISNUMBER(CR38),1,0)</f>
        <v>1</v>
      </c>
      <c r="CS58" s="30" t="n">
        <f aca="false">IF(ISNUMBER(CS38),1,0)</f>
        <v>1</v>
      </c>
      <c r="CT58" s="30" t="n">
        <f aca="false">IF(ISNUMBER(CT38),1,0)</f>
        <v>1</v>
      </c>
      <c r="CU58" s="30" t="n">
        <f aca="false">IF(ISNUMBER(CU38),1,0)</f>
        <v>1</v>
      </c>
      <c r="CV58" s="30" t="n">
        <f aca="false">IF(ISNUMBER(CV38),1,0)</f>
        <v>1</v>
      </c>
      <c r="CW58" s="30" t="n">
        <f aca="false">IF(ISNUMBER(CW38),1,0)</f>
        <v>1</v>
      </c>
      <c r="CX58" s="30" t="n">
        <f aca="false">IF(ISNUMBER(CX38),1,0)</f>
        <v>1</v>
      </c>
      <c r="CY58" s="30" t="n">
        <f aca="false">IF(ISNUMBER(CY38),1,0)</f>
        <v>1</v>
      </c>
      <c r="CZ58" s="30" t="n">
        <f aca="false">IF(ISNUMBER(CZ38),1,0)</f>
        <v>1</v>
      </c>
      <c r="DA58" s="30" t="n">
        <f aca="false">IF(ISNUMBER(DA38),1,0)</f>
        <v>1</v>
      </c>
      <c r="DB58" s="30" t="n">
        <f aca="false">IF(ISNUMBER(DB38),1,0)</f>
        <v>1</v>
      </c>
      <c r="DC58" s="30" t="n">
        <f aca="false">IF(ISNUMBER(DC38),1,0)</f>
        <v>1</v>
      </c>
      <c r="DD58" s="30" t="n">
        <f aca="false">IF(ISNUMBER(DD38),1,0)</f>
        <v>1</v>
      </c>
      <c r="DE58" s="30" t="n">
        <f aca="false">IF(ISNUMBER(DE38),1,0)</f>
        <v>1</v>
      </c>
      <c r="DF58" s="30" t="n">
        <f aca="false">IF(ISNUMBER(DF38),1,0)</f>
        <v>1</v>
      </c>
      <c r="DG58" s="30" t="n">
        <f aca="false">IF(ISNUMBER(DG38),1,0)</f>
        <v>1</v>
      </c>
      <c r="DH58" s="30" t="n">
        <f aca="false">IF(ISNUMBER(DH38),1,0)</f>
        <v>1</v>
      </c>
      <c r="DI58" s="30" t="n">
        <f aca="false">IF(ISNUMBER(DI38),1,0)</f>
        <v>1</v>
      </c>
      <c r="DJ58" s="30" t="n">
        <f aca="false">IF(ISNUMBER(DJ38),1,0)</f>
        <v>1</v>
      </c>
      <c r="DK58" s="30" t="n">
        <f aca="false">IF(ISNUMBER(DK38),1,0)</f>
        <v>1</v>
      </c>
      <c r="DL58" s="30" t="n">
        <f aca="false">IF(ISNUMBER(DL38),1,0)</f>
        <v>0</v>
      </c>
      <c r="DM58" s="30" t="n">
        <f aca="false">IF(ISNUMBER(DM38),1,0)</f>
        <v>1</v>
      </c>
      <c r="DN58" s="30" t="n">
        <f aca="false">IF(ISNUMBER(DN38),1,0)</f>
        <v>1</v>
      </c>
      <c r="DO58" s="30" t="n">
        <f aca="false">IF(ISNUMBER(DO38),1,0)</f>
        <v>1</v>
      </c>
      <c r="DP58" s="30" t="n">
        <f aca="false">IF(ISNUMBER(DP38),1,0)</f>
        <v>1</v>
      </c>
      <c r="DQ58" s="30" t="n">
        <f aca="false">IF(ISNUMBER(DQ38),1,0)</f>
        <v>1</v>
      </c>
      <c r="DR58" s="30" t="n">
        <f aca="false">IF(ISNUMBER(DR38),1,0)</f>
        <v>1</v>
      </c>
      <c r="DS58" s="30" t="n">
        <f aca="false">IF(ISNUMBER(DS38),1,0)</f>
        <v>1</v>
      </c>
      <c r="DT58" s="30" t="n">
        <f aca="false">IF(ISNUMBER(DT38),1,0)</f>
        <v>1</v>
      </c>
      <c r="DU58" s="30" t="n">
        <f aca="false">IF(ISNUMBER(DU38),1,0)</f>
        <v>1</v>
      </c>
      <c r="DV58" s="30" t="n">
        <f aca="false">IF(ISNUMBER(DV38),1,0)</f>
        <v>1</v>
      </c>
      <c r="DW58" s="30" t="n">
        <f aca="false">IF(ISNUMBER(DW38),1,0)</f>
        <v>1</v>
      </c>
      <c r="DX58" s="30" t="n">
        <f aca="false">IF(ISNUMBER(DX38),1,0)</f>
        <v>1</v>
      </c>
      <c r="DY58" s="30" t="n">
        <f aca="false">IF(ISNUMBER(DY38),1,0)</f>
        <v>1</v>
      </c>
      <c r="DZ58" s="30" t="n">
        <f aca="false">IF(ISNUMBER(DZ38),1,0)</f>
        <v>1</v>
      </c>
      <c r="EA58" s="30" t="n">
        <f aca="false">IF(ISNUMBER(EA38),1,0)</f>
        <v>1</v>
      </c>
      <c r="EB58" s="30" t="n">
        <f aca="false">IF(ISNUMBER(EB38),1,0)</f>
        <v>1</v>
      </c>
      <c r="EC58" s="30" t="n">
        <f aca="false">IF(ISNUMBER(EC38),1,0)</f>
        <v>1</v>
      </c>
      <c r="ED58" s="30" t="n">
        <f aca="false">IF(ISNUMBER(ED38),1,0)</f>
        <v>1</v>
      </c>
      <c r="EE58" s="30" t="n">
        <f aca="false">IF(ISNUMBER(EE38),1,0)</f>
        <v>1</v>
      </c>
      <c r="EF58" s="30" t="n">
        <f aca="false">IF(ISNUMBER(EF38),1,0)</f>
        <v>1</v>
      </c>
      <c r="EG58" s="30" t="n">
        <f aca="false">IF(ISNUMBER(EG38),1,0)</f>
        <v>1</v>
      </c>
      <c r="EH58" s="30" t="n">
        <f aca="false">IF(ISNUMBER(EH38),1,0)</f>
        <v>1</v>
      </c>
      <c r="EI58" s="30" t="n">
        <f aca="false">IF(ISNUMBER(EI38),1,0)</f>
        <v>1</v>
      </c>
      <c r="EJ58" s="30" t="n">
        <f aca="false">IF(ISNUMBER(EJ38),1,0)</f>
        <v>1</v>
      </c>
      <c r="EK58" s="30" t="n">
        <f aca="false">IF(ISNUMBER(EK38),1,0)</f>
        <v>1</v>
      </c>
      <c r="EL58" s="30" t="n">
        <f aca="false">IF(ISNUMBER(EL38),1,0)</f>
        <v>1</v>
      </c>
      <c r="EM58" s="30" t="n">
        <f aca="false">IF(ISNUMBER(EM38),1,0)</f>
        <v>1</v>
      </c>
      <c r="EN58" s="30" t="n">
        <f aca="false">IF(ISNUMBER(EN38),1,0)</f>
        <v>1</v>
      </c>
      <c r="EO58" s="30" t="n">
        <f aca="false">IF(ISNUMBER(EO38),1,0)</f>
        <v>1</v>
      </c>
      <c r="EP58" s="30" t="n">
        <f aca="false">IF(ISNUMBER(EP38),1,0)</f>
        <v>1</v>
      </c>
      <c r="EQ58" s="30" t="n">
        <f aca="false">IF(ISNUMBER(EQ38),1,0)</f>
        <v>1</v>
      </c>
      <c r="ER58" s="30" t="n">
        <f aca="false">IF(ISNUMBER(ER38),1,0)</f>
        <v>1</v>
      </c>
      <c r="ES58" s="30" t="n">
        <f aca="false">IF(ISNUMBER(ES38),1,0)</f>
        <v>1</v>
      </c>
      <c r="ET58" s="30" t="n">
        <f aca="false">IF(ISNUMBER(ET38),1,0)</f>
        <v>1</v>
      </c>
      <c r="EU58" s="30" t="n">
        <f aca="false">IF(ISNUMBER(EU38),1,0)</f>
        <v>0</v>
      </c>
      <c r="EV58" s="30" t="n">
        <f aca="false">IF(ISNUMBER(EV38),1,0)</f>
        <v>0</v>
      </c>
      <c r="EW58" s="30" t="n">
        <f aca="false">IF(ISNUMBER(EW38),1,0)</f>
        <v>0</v>
      </c>
      <c r="EX58" s="30" t="n">
        <f aca="false">IF(ISNUMBER(EX38),1,0)</f>
        <v>0</v>
      </c>
      <c r="EY58" s="30" t="n">
        <f aca="false">IF(ISNUMBER(EY38),1,0)</f>
        <v>0</v>
      </c>
      <c r="EZ58" s="30" t="n">
        <f aca="false">IF(ISNUMBER(EZ38),1,0)</f>
        <v>0</v>
      </c>
      <c r="FA58" s="30" t="n">
        <f aca="false">IF(ISNUMBER(FA38),1,0)</f>
        <v>0</v>
      </c>
      <c r="FB58" s="30" t="n">
        <f aca="false">IF(ISNUMBER(FB38),1,0)</f>
        <v>0</v>
      </c>
      <c r="FC58" s="30" t="n">
        <f aca="false">IF(ISNUMBER(FC38),1,0)</f>
        <v>0</v>
      </c>
      <c r="FD58" s="30" t="n">
        <f aca="false">IF(ISNUMBER(FD38),1,0)</f>
        <v>0</v>
      </c>
      <c r="FE58" s="30" t="n">
        <f aca="false">IF(ISNUMBER(FE38),1,0)</f>
        <v>0</v>
      </c>
      <c r="FF58" s="30" t="n">
        <f aca="false">IF(ISNUMBER(FF38),1,0)</f>
        <v>0</v>
      </c>
      <c r="FG58" s="30" t="n">
        <f aca="false">IF(ISNUMBER(FG38),1,0)</f>
        <v>0</v>
      </c>
      <c r="FH58" s="30" t="n">
        <f aca="false">IF(ISNUMBER(FH38),1,0)</f>
        <v>0</v>
      </c>
      <c r="FI58" s="30" t="n">
        <f aca="false">IF(ISNUMBER(FI38),1,0)</f>
        <v>0</v>
      </c>
      <c r="FJ58" s="30" t="n">
        <f aca="false">IF(ISNUMBER(FJ38),1,0)</f>
        <v>0</v>
      </c>
      <c r="FK58" s="30" t="n">
        <f aca="false">IF(ISNUMBER(FK38),1,0)</f>
        <v>0</v>
      </c>
      <c r="FL58" s="30" t="n">
        <f aca="false">IF(ISNUMBER(FL38),1,0)</f>
        <v>0</v>
      </c>
      <c r="FM58" s="30" t="n">
        <f aca="false">IF(ISNUMBER(FM38),1,0)</f>
        <v>0</v>
      </c>
      <c r="FN58" s="30" t="n">
        <f aca="false">IF(ISNUMBER(FN38),1,0)</f>
        <v>0</v>
      </c>
      <c r="FO58" s="30" t="n">
        <f aca="false">IF(ISNUMBER(FO38),1,0)</f>
        <v>0</v>
      </c>
      <c r="FP58" s="30" t="n">
        <f aca="false">IF(ISNUMBER(FP38),1,0)</f>
        <v>0</v>
      </c>
      <c r="FQ58" s="30" t="n">
        <f aca="false">IF(ISNUMBER(FQ38),1,0)</f>
        <v>0</v>
      </c>
    </row>
    <row r="60" customFormat="false" ht="15" hidden="false" customHeight="false" outlineLevel="0" collapsed="false">
      <c r="A60" s="58" t="s">
        <v>318</v>
      </c>
      <c r="B60" s="17" t="s">
        <v>423</v>
      </c>
    </row>
    <row r="61" customFormat="false" ht="15" hidden="false" customHeight="false" outlineLevel="0" collapsed="false">
      <c r="A61" s="34" t="s">
        <v>318</v>
      </c>
      <c r="B61" s="34" t="s">
        <v>424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4" t="s">
        <v>318</v>
      </c>
      <c r="B62" s="34" t="s">
        <v>425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4" t="s">
        <v>318</v>
      </c>
      <c r="B63" s="34" t="s">
        <v>426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4" t="s">
        <v>318</v>
      </c>
      <c r="B64" s="34" t="s">
        <v>427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4" t="s">
        <v>318</v>
      </c>
      <c r="B65" s="34" t="s">
        <v>428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4" t="s">
        <v>318</v>
      </c>
      <c r="B66" s="17" t="s">
        <v>429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74</v>
      </c>
      <c r="B67" s="20" t="s">
        <v>423</v>
      </c>
    </row>
    <row r="68" customFormat="false" ht="15" hidden="false" customHeight="false" outlineLevel="0" collapsed="false">
      <c r="A68" s="36" t="s">
        <v>74</v>
      </c>
      <c r="B68" s="36" t="s">
        <v>424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6" t="s">
        <v>74</v>
      </c>
      <c r="B69" s="36" t="s">
        <v>425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6" t="s">
        <v>74</v>
      </c>
      <c r="B70" s="36" t="s">
        <v>426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6" t="s">
        <v>74</v>
      </c>
      <c r="B71" s="36" t="s">
        <v>427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6" t="s">
        <v>74</v>
      </c>
      <c r="B72" s="36" t="s">
        <v>428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6" t="s">
        <v>74</v>
      </c>
      <c r="B73" s="20" t="s">
        <v>429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396</v>
      </c>
      <c r="B74" s="41" t="s">
        <v>430</v>
      </c>
    </row>
    <row r="75" customFormat="false" ht="15" hidden="false" customHeight="false" outlineLevel="0" collapsed="false">
      <c r="A75" s="40" t="s">
        <v>396</v>
      </c>
      <c r="B75" s="41" t="s">
        <v>192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40" t="s">
        <v>396</v>
      </c>
      <c r="B76" s="41" t="s">
        <v>194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40" t="s">
        <v>396</v>
      </c>
      <c r="B77" s="41" t="s">
        <v>208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40" t="s">
        <v>396</v>
      </c>
      <c r="B78" s="41" t="s">
        <v>431</v>
      </c>
      <c r="D78" s="39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9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9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9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9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9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9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9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9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9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9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9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9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9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9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9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9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9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9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9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9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9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9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9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9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9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9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9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9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9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9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9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9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9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9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9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9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9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9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9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9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9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9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9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9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9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9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9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9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9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9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9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9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9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9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9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9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9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9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9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9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9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9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9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9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9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9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9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9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9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9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9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9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9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9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9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9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9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9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9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9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9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9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9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9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9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9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9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9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9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9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9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9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9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9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9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9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9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9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9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9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9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9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9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9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9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9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9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9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9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9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9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9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9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9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9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9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9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9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9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9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9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9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9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9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9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9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9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9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9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9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9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9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9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9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9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9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9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9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9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9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9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9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9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9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9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9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9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9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9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9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9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9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9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9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9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9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9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9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9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9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9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9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9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9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9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9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9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9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9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432</v>
      </c>
    </row>
    <row r="81" customFormat="false" ht="15" hidden="true" customHeight="false" outlineLevel="0" collapsed="false">
      <c r="B81" s="25" t="s">
        <v>433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25" t="s">
        <v>434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25" t="s">
        <v>435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436</v>
      </c>
      <c r="B85" s="22" t="s">
        <v>437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438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439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440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441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442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443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444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445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446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447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448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449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450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451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452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453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454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455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456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457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458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459</v>
      </c>
      <c r="B108" s="65" t="s">
        <v>460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461</v>
      </c>
    </row>
    <row r="3" customFormat="false" ht="15" hidden="false" customHeight="false" outlineLevel="0" collapsed="false">
      <c r="A3" s="15" t="s">
        <v>103</v>
      </c>
      <c r="B3" s="15" t="s">
        <v>462</v>
      </c>
      <c r="C3" s="15" t="s">
        <v>463</v>
      </c>
      <c r="D3" s="15" t="s">
        <v>464</v>
      </c>
      <c r="E3" s="15" t="s">
        <v>104</v>
      </c>
      <c r="F3" s="15" t="s">
        <v>105</v>
      </c>
    </row>
    <row r="4" customFormat="false" ht="15" hidden="false" customHeight="false" outlineLevel="0" collapsed="false">
      <c r="A4" s="54" t="s">
        <v>106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107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108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109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110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111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112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113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114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115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116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117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465</v>
      </c>
      <c r="B17" s="15" t="s">
        <v>466</v>
      </c>
      <c r="C17" s="15" t="s">
        <v>467</v>
      </c>
      <c r="D17" s="15" t="s">
        <v>468</v>
      </c>
      <c r="E17" s="15" t="s">
        <v>469</v>
      </c>
    </row>
    <row r="18" customFormat="false" ht="15" hidden="false" customHeight="false" outlineLevel="0" collapsed="false">
      <c r="A18" s="17" t="s">
        <v>318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74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B3" s="27" t="s">
        <v>472</v>
      </c>
      <c r="C3" s="27" t="s">
        <v>473</v>
      </c>
    </row>
    <row r="4" customFormat="false" ht="15" hidden="false" customHeight="false" outlineLevel="0" collapsed="false">
      <c r="B4" s="21" t="s">
        <v>474</v>
      </c>
      <c r="C4" s="18" t="n">
        <v>50</v>
      </c>
    </row>
    <row r="5" customFormat="false" ht="15" hidden="false" customHeight="false" outlineLevel="0" collapsed="false">
      <c r="B5" s="21" t="s">
        <v>475</v>
      </c>
      <c r="C5" s="18" t="n">
        <v>13</v>
      </c>
    </row>
    <row r="6" customFormat="false" ht="15" hidden="false" customHeight="false" outlineLevel="0" collapsed="false">
      <c r="B6" s="21" t="s">
        <v>476</v>
      </c>
      <c r="C6" s="18" t="n">
        <v>5</v>
      </c>
    </row>
    <row r="7" customFormat="false" ht="15" hidden="false" customHeight="false" outlineLevel="0" collapsed="false">
      <c r="B7" s="21" t="s">
        <v>477</v>
      </c>
      <c r="C7" s="18" t="n">
        <v>29.5</v>
      </c>
    </row>
    <row r="8" customFormat="false" ht="15" hidden="false" customHeight="false" outlineLevel="0" collapsed="false">
      <c r="B8" s="21" t="s">
        <v>478</v>
      </c>
      <c r="C8" s="18" t="n">
        <v>45</v>
      </c>
    </row>
    <row r="9" customFormat="false" ht="15" hidden="false" customHeight="false" outlineLevel="0" collapsed="false">
      <c r="B9" s="54" t="s">
        <v>479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480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481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482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483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484</v>
      </c>
    </row>
    <row r="2" customFormat="false" ht="15" hidden="false" customHeight="false" outlineLevel="0" collapsed="false">
      <c r="A2" s="15" t="s">
        <v>485</v>
      </c>
      <c r="B2" s="15" t="s">
        <v>486</v>
      </c>
      <c r="C2" s="15" t="s">
        <v>487</v>
      </c>
      <c r="D2" s="15" t="s">
        <v>488</v>
      </c>
      <c r="E2" s="15" t="s">
        <v>489</v>
      </c>
      <c r="F2" s="15" t="s">
        <v>490</v>
      </c>
      <c r="G2" s="15" t="s">
        <v>491</v>
      </c>
      <c r="H2" s="15" t="s">
        <v>339</v>
      </c>
      <c r="I2" s="15" t="s">
        <v>492</v>
      </c>
      <c r="J2" s="15" t="s">
        <v>493</v>
      </c>
    </row>
    <row r="3" customFormat="false" ht="15" hidden="false" customHeight="false" outlineLevel="0" collapsed="false">
      <c r="A3" s="18" t="s">
        <v>494</v>
      </c>
      <c r="B3" s="18" t="s">
        <v>495</v>
      </c>
      <c r="C3" s="18" t="s">
        <v>496</v>
      </c>
      <c r="D3" s="18" t="s">
        <v>199</v>
      </c>
      <c r="E3" s="18" t="s">
        <v>203</v>
      </c>
      <c r="F3" s="18" t="s">
        <v>236</v>
      </c>
      <c r="G3" s="18" t="s">
        <v>279</v>
      </c>
      <c r="H3" s="18" t="s">
        <v>318</v>
      </c>
      <c r="I3" s="18" t="s">
        <v>236</v>
      </c>
      <c r="J3" s="18" t="s">
        <v>236</v>
      </c>
    </row>
    <row r="4" customFormat="false" ht="15" hidden="false" customHeight="false" outlineLevel="0" collapsed="false">
      <c r="A4" s="18" t="s">
        <v>497</v>
      </c>
      <c r="B4" s="18" t="s">
        <v>498</v>
      </c>
      <c r="C4" s="18" t="s">
        <v>499</v>
      </c>
      <c r="D4" s="18" t="s">
        <v>500</v>
      </c>
      <c r="E4" s="18" t="s">
        <v>501</v>
      </c>
      <c r="F4" s="18" t="s">
        <v>248</v>
      </c>
      <c r="G4" s="18" t="s">
        <v>280</v>
      </c>
      <c r="H4" s="18" t="s">
        <v>74</v>
      </c>
      <c r="I4" s="18" t="s">
        <v>237</v>
      </c>
      <c r="J4" s="18" t="s">
        <v>237</v>
      </c>
    </row>
    <row r="5" customFormat="false" ht="15" hidden="false" customHeight="false" outlineLevel="0" collapsed="false">
      <c r="A5" s="18" t="s">
        <v>502</v>
      </c>
      <c r="B5" s="18" t="s">
        <v>503</v>
      </c>
      <c r="C5" s="18" t="s">
        <v>504</v>
      </c>
      <c r="D5" s="18" t="s">
        <v>505</v>
      </c>
      <c r="E5" s="18" t="s">
        <v>506</v>
      </c>
      <c r="F5" s="18" t="s">
        <v>507</v>
      </c>
      <c r="G5" s="18" t="s">
        <v>508</v>
      </c>
      <c r="H5" s="18" t="s">
        <v>396</v>
      </c>
      <c r="I5" s="18" t="s">
        <v>352</v>
      </c>
      <c r="J5" s="18" t="s">
        <v>352</v>
      </c>
    </row>
    <row r="6" customFormat="false" ht="15" hidden="false" customHeight="false" outlineLevel="0" collapsed="false">
      <c r="A6" s="18" t="s">
        <v>509</v>
      </c>
      <c r="B6" s="18" t="s">
        <v>510</v>
      </c>
      <c r="C6" s="18" t="s">
        <v>511</v>
      </c>
      <c r="D6" s="18"/>
      <c r="E6" s="18" t="s">
        <v>512</v>
      </c>
      <c r="F6" s="18" t="s">
        <v>513</v>
      </c>
      <c r="G6" s="18" t="s">
        <v>514</v>
      </c>
      <c r="H6" s="18"/>
      <c r="I6" s="18" t="s">
        <v>354</v>
      </c>
      <c r="J6" s="18" t="s">
        <v>354</v>
      </c>
    </row>
    <row r="7" customFormat="false" ht="15" hidden="false" customHeight="false" outlineLevel="0" collapsed="false">
      <c r="A7" s="18" t="s">
        <v>515</v>
      </c>
      <c r="B7" s="18" t="s">
        <v>516</v>
      </c>
      <c r="C7" s="18"/>
      <c r="D7" s="18"/>
      <c r="E7" s="18" t="s">
        <v>517</v>
      </c>
      <c r="F7" s="18" t="s">
        <v>203</v>
      </c>
      <c r="G7" s="18"/>
      <c r="H7" s="18"/>
      <c r="I7" s="18" t="s">
        <v>238</v>
      </c>
      <c r="J7" s="18" t="s">
        <v>238</v>
      </c>
    </row>
    <row r="8" customFormat="false" ht="15" hidden="false" customHeight="false" outlineLevel="0" collapsed="false">
      <c r="A8" s="18" t="s">
        <v>518</v>
      </c>
      <c r="B8" s="18" t="s">
        <v>519</v>
      </c>
      <c r="C8" s="18"/>
      <c r="D8" s="18"/>
      <c r="E8" s="18" t="s">
        <v>520</v>
      </c>
      <c r="F8" s="18" t="s">
        <v>103</v>
      </c>
      <c r="G8" s="18"/>
      <c r="H8" s="18"/>
      <c r="I8" s="18" t="s">
        <v>357</v>
      </c>
      <c r="J8" s="18" t="s">
        <v>357</v>
      </c>
    </row>
    <row r="9" customFormat="false" ht="15" hidden="false" customHeight="false" outlineLevel="0" collapsed="false">
      <c r="A9" s="18" t="s">
        <v>521</v>
      </c>
      <c r="B9" s="18" t="s">
        <v>522</v>
      </c>
      <c r="C9" s="18"/>
      <c r="D9" s="18"/>
      <c r="E9" s="18" t="s">
        <v>523</v>
      </c>
      <c r="F9" s="18" t="s">
        <v>265</v>
      </c>
      <c r="G9" s="18"/>
      <c r="H9" s="18"/>
      <c r="I9" s="18" t="s">
        <v>524</v>
      </c>
      <c r="J9" s="18" t="s">
        <v>524</v>
      </c>
    </row>
    <row r="10" customFormat="false" ht="15" hidden="false" customHeight="false" outlineLevel="0" collapsed="false">
      <c r="A10" s="18" t="s">
        <v>511</v>
      </c>
      <c r="B10" s="18" t="s">
        <v>525</v>
      </c>
      <c r="C10" s="18"/>
      <c r="D10" s="18"/>
      <c r="E10" s="18" t="s">
        <v>352</v>
      </c>
      <c r="F10" s="18" t="s">
        <v>352</v>
      </c>
      <c r="G10" s="18"/>
      <c r="H10" s="18"/>
      <c r="I10" s="18" t="s">
        <v>526</v>
      </c>
      <c r="J10" s="18" t="s">
        <v>526</v>
      </c>
    </row>
    <row r="11" customFormat="false" ht="15" hidden="false" customHeight="false" outlineLevel="0" collapsed="false">
      <c r="A11" s="18"/>
      <c r="B11" s="18" t="s">
        <v>527</v>
      </c>
      <c r="C11" s="18"/>
      <c r="D11" s="18"/>
      <c r="E11" s="18" t="s">
        <v>528</v>
      </c>
      <c r="F11" s="18" t="s">
        <v>354</v>
      </c>
      <c r="G11" s="18"/>
      <c r="H11" s="18"/>
      <c r="I11" s="18" t="s">
        <v>361</v>
      </c>
      <c r="J11" s="18" t="s">
        <v>390</v>
      </c>
    </row>
    <row r="12" customFormat="false" ht="15" hidden="false" customHeight="false" outlineLevel="0" collapsed="false">
      <c r="A12" s="18"/>
      <c r="B12" s="18" t="s">
        <v>529</v>
      </c>
      <c r="C12" s="18"/>
      <c r="D12" s="18"/>
      <c r="E12" s="18" t="s">
        <v>530</v>
      </c>
      <c r="F12" s="18" t="s">
        <v>238</v>
      </c>
      <c r="G12" s="18"/>
      <c r="H12" s="18"/>
      <c r="I12" s="18" t="s">
        <v>531</v>
      </c>
      <c r="J12" s="18" t="s">
        <v>375</v>
      </c>
    </row>
    <row r="13" customFormat="false" ht="15" hidden="false" customHeight="false" outlineLevel="0" collapsed="false">
      <c r="A13" s="18"/>
      <c r="B13" s="18" t="s">
        <v>532</v>
      </c>
      <c r="C13" s="18"/>
      <c r="D13" s="18"/>
      <c r="E13" s="18" t="s">
        <v>533</v>
      </c>
      <c r="F13" s="18" t="s">
        <v>501</v>
      </c>
      <c r="G13" s="18"/>
      <c r="H13" s="18"/>
      <c r="I13" s="18" t="s">
        <v>534</v>
      </c>
      <c r="J13" s="18" t="s">
        <v>384</v>
      </c>
    </row>
    <row r="14" customFormat="false" ht="15" hidden="false" customHeight="false" outlineLevel="0" collapsed="false">
      <c r="A14" s="18"/>
      <c r="B14" s="18" t="s">
        <v>535</v>
      </c>
      <c r="C14" s="18"/>
      <c r="D14" s="18"/>
      <c r="E14" s="18" t="s">
        <v>536</v>
      </c>
      <c r="F14" s="18" t="s">
        <v>511</v>
      </c>
      <c r="G14" s="18"/>
      <c r="H14" s="18"/>
      <c r="I14" s="18" t="s">
        <v>537</v>
      </c>
      <c r="J14" s="18" t="s">
        <v>386</v>
      </c>
    </row>
    <row r="15" customFormat="false" ht="15" hidden="false" customHeight="false" outlineLevel="0" collapsed="false">
      <c r="A15" s="18"/>
      <c r="B15" s="18" t="s">
        <v>538</v>
      </c>
      <c r="C15" s="18"/>
      <c r="D15" s="18"/>
      <c r="E15" s="18" t="s">
        <v>539</v>
      </c>
      <c r="F15" s="18"/>
      <c r="G15" s="18"/>
      <c r="H15" s="18"/>
      <c r="I15" s="18" t="s">
        <v>540</v>
      </c>
      <c r="J15" s="18"/>
    </row>
    <row r="16" customFormat="false" ht="15" hidden="false" customHeight="false" outlineLevel="0" collapsed="false">
      <c r="A16" s="18"/>
      <c r="B16" s="18" t="s">
        <v>511</v>
      </c>
      <c r="C16" s="18"/>
      <c r="D16" s="18"/>
      <c r="E16" s="18" t="s">
        <v>541</v>
      </c>
      <c r="F16" s="18"/>
      <c r="G16" s="18"/>
      <c r="H16" s="18"/>
      <c r="I16" s="18" t="s">
        <v>542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543</v>
      </c>
      <c r="F17" s="18"/>
      <c r="G17" s="18"/>
      <c r="H17" s="18"/>
      <c r="I17" s="18" t="s">
        <v>544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511</v>
      </c>
      <c r="F18" s="18"/>
      <c r="G18" s="18"/>
      <c r="H18" s="18"/>
      <c r="I18" s="18" t="s">
        <v>545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546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547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239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240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241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375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384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386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548</v>
      </c>
      <c r="B1" s="67" t="s">
        <v>549</v>
      </c>
      <c r="C1" s="67" t="s">
        <v>550</v>
      </c>
      <c r="D1" s="67" t="s">
        <v>551</v>
      </c>
      <c r="E1" s="67" t="s">
        <v>552</v>
      </c>
      <c r="F1" s="67" t="s">
        <v>553</v>
      </c>
      <c r="G1" s="67" t="s">
        <v>554</v>
      </c>
      <c r="H1" s="67" t="s">
        <v>555</v>
      </c>
      <c r="I1" s="67" t="s">
        <v>556</v>
      </c>
      <c r="J1" s="67" t="s">
        <v>557</v>
      </c>
      <c r="K1" s="67" t="s">
        <v>558</v>
      </c>
      <c r="L1" s="67" t="s">
        <v>559</v>
      </c>
      <c r="M1" s="67" t="s">
        <v>560</v>
      </c>
      <c r="N1" s="67" t="s">
        <v>561</v>
      </c>
      <c r="O1" s="67" t="s">
        <v>562</v>
      </c>
      <c r="P1" s="67" t="s">
        <v>563</v>
      </c>
      <c r="Q1" s="67" t="s">
        <v>564</v>
      </c>
      <c r="R1" s="67" t="s">
        <v>565</v>
      </c>
      <c r="T1" s="67" t="s">
        <v>566</v>
      </c>
      <c r="U1" s="67" t="s">
        <v>567</v>
      </c>
      <c r="W1" s="68" t="s">
        <v>568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569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570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571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572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573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574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575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576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577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578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579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580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581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582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583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584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585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586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587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588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589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590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2026-10-18T06:16:16Z</dcterms:created>
  <dc:creator>openpyxl</dc:creator>
  <dc:description/>
  <dc:language>en-US</dc:language>
  <cp:lastModifiedBy/>
  <dcterms:modified xsi:type="dcterms:W3CDTF">2026-10-18T12:16:29Z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