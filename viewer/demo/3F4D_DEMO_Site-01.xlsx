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<sst xmlns="http://schemas.openxmlformats.org/spreadsheetml/2006/main" count="1202" uniqueCount="601">
  <si>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</si>
  <si>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</si>
  <si>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</si>
  <si>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</si>
  <si>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</si>
  <si>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</si>
  <si>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</si>
  <si>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</si>
  <si>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</si>
  <si>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</si>
  <si>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</si>
  <si>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</si>
  <si>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</si>
  <si>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</si>
  <si>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</si>
  <si>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</si>
  <si>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</si>
  <si>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</si>
  <si>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</si>
  <si>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</si>
  <si>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</si>
  <si>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</si>
  <si>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Input check (automatic) - what the warnings mean / ইনপুট পরীক্ষা</t>
  </si>
  <si>
    <t xml:space="preserve">The rows "FP: input check (automatic)" and "3F4D+MD: input check (automatic)" in 2_Daily_input stay empty when everything is fine. A warning appears in orange when something looks wrong (several warnings are separated by ";").</t>
  </si>
  <si>
    <t xml:space="preserve">WL out of range = the water level is below -30 cm or above +20 cm: check m (typing error) and TP / b.</t>
  </si>
  <si>
    <t xml:space="preserve">no TP/b = m is entered but TP and b are missing, so the water level cannot be calculated: enter TP and b in 1_Settings.</t>
  </si>
  <si>
    <t xml:space="preserve">After&lt;Before = the level after irrigation is lower than before: check that "m before" and "m after" are not swapped.</t>
  </si>
  <si>
    <t xml:space="preserve">irrigation readings missing = only one of "m before" and "m after" irrigation is entered: enter the other one (the empty cell is red).</t>
  </si>
  <si>
    <t xml:space="preserve">WL jump &gt;5 cm = the water level changed by more than 5 cm from the previous day without rain: check m, or enter the rain.</t>
  </si>
  <si>
    <t xml:space="preserve">re-measure TP/b after Pitan (3F4D+MD only) = Pitan has ended but TP and b were not measured again: measure them and enter them in "TP AND b MEASURED AGAIN".</t>
  </si>
  <si>
    <t xml:space="preserve">Weather: rain, temperature or humidity out of range (rain 0-300 mm, temperature 0-45 °C, humidity 0-100 %) is shown in Data_Farmer, row "Input check, weather (automatic)".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</si>
  <si>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</si>
  <si>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</si>
  <si>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</si>
  <si>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</si>
  <si>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</si>
  <si>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</si>
  <si>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</si>
  <si>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</si>
  <si>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</si>
  <si>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Site-01</t>
  </si>
  <si>
    <t xml:space="preserve">e.g. Chougachha-01</t>
  </si>
  <si>
    <t xml:space="preserve">2</t>
  </si>
  <si>
    <t xml:space="preserve">Place (district / upazila) * / স্থান</t>
  </si>
  <si>
    <t xml:space="preserve">Chougachha, Jashore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</si>
  <si>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</si>
  <si>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</si>
  <si>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</si>
  <si>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</si>
  <si>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</si>
  <si>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</si>
  <si>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</si>
  <si>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</si>
  <si>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</si>
  <si>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BRRI dhan29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</si>
  <si>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</si>
  <si>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</si>
  <si>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</si>
  <si>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</si>
  <si>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</si>
  <si>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</si>
  <si>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</si>
  <si>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</si>
  <si>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</si>
  <si>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</si>
  <si>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</si>
  <si>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</si>
  <si>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</si>
  <si>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</si>
  <si>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</si>
  <si>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</si>
  <si>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</si>
  <si>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</si>
  <si>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</si>
  <si>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</si>
  <si>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</si>
  <si>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</si>
  <si>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</si>
  <si>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</si>
  <si>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</si>
  <si>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</si>
  <si>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</si>
  <si>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</si>
  <si>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</si>
  <si>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</si>
  <si>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</si>
  <si>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</si>
  <si>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</si>
  <si>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</si>
  <si>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</si>
  <si>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</si>
  <si>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</si>
  <si>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</si>
  <si>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</si>
  <si>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</si>
  <si>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</si>
  <si>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</si>
  <si>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</si>
  <si>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</si>
  <si>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</si>
  <si>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</si>
  <si>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</si>
  <si>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</si>
  <si>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</si>
  <si>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</si>
  <si>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</si>
  <si>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</si>
  <si>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</si>
  <si>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</si>
  <si>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</si>
  <si>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</si>
  <si>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</si>
  <si>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</si>
  <si>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</si>
  <si>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</si>
  <si>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</si>
  <si>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</si>
  <si>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</si>
  <si>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</si>
  <si>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</si>
  <si>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</si>
  <si>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</si>
  <si>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</si>
  <si>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</si>
  <si>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</si>
  <si>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</si>
  <si>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</si>
  <si>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</si>
  <si>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</si>
  <si>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</si>
  <si>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</si>
  <si>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</si>
  <si>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</si>
  <si>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</si>
  <si>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</si>
  <si>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</si>
  <si>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</si>
  <si>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</si>
  <si>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</si>
  <si>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</si>
  <si>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</si>
  <si>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</si>
  <si>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input check (automatic)</t>
  </si>
  <si>
    <t xml:space="preserve">warnings, see Guide</t>
  </si>
  <si>
    <t xml:space="preserve">3F4D+MD: input check (automatic)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</si>
  <si>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</si>
  <si>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</si>
  <si>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</si>
  <si>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</si>
  <si>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</si>
  <si>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</si>
  <si>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</si>
  <si>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</si>
  <si>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</si>
  <si>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</si>
  <si>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</si>
  <si>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</si>
  <si>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</si>
  <si>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</si>
  <si>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</si>
  <si>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</si>
  <si>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</si>
  <si>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</si>
  <si>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</si>
  <si>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</si>
  <si>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</si>
  <si>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</si>
  <si>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</si>
  <si>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</si>
  <si>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</si>
  <si>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</si>
  <si>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</si>
  <si>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</si>
  <si>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</si>
  <si>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</si>
  <si>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</si>
  <si>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</si>
  <si>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</si>
  <si>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</si>
  <si>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</si>
  <si>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</si>
  <si>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</si>
  <si>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</si>
  <si>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</si>
  <si>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</si>
  <si>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</si>
  <si>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</si>
  <si>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</si>
  <si>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</si>
  <si>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</si>
  <si>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</si>
  <si>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</si>
  <si>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</si>
  <si>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</si>
  <si>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</si>
  <si>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</si>
  <si>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</si>
  <si>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</si>
  <si>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</si>
  <si>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</si>
  <si>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</si>
  <si>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</si>
  <si>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</si>
  <si>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</si>
  <si>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</si>
  <si>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</si>
  <si>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</si>
  <si>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</si>
  <si>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</si>
  <si>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</si>
  <si>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</si>
  <si>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</si>
  <si>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</si>
  <si>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</si>
  <si>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</si>
  <si>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</si>
  <si>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</si>
  <si>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</si>
  <si>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</si>
  <si>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</si>
  <si>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</si>
  <si>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</si>
  <si>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</si>
  <si>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</si>
  <si>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</si>
  <si>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</si>
  <si>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</si>
  <si>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</si>
  <si>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</si>
  <si>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</si>
  <si>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</si>
  <si>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</si>
  <si>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</si>
  <si>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</si>
  <si>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</si>
  <si>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</si>
  <si>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</si>
  <si>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</si>
  <si>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</si>
  <si>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</si>
  <si>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</si>
  <si>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</si>
  <si>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</si>
  <si>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</si>
  <si>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</si>
  <si>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</si>
  <si>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</si>
  <si>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</si>
  <si>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</si>
  <si>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</si>
  <si>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</si>
  <si>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</si>
  <si>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</si>
  <si>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</si>
  <si>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</si>
  <si>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</si>
  <si>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</si>
  <si>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</si>
  <si>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</si>
  <si>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</si>
  <si>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</si>
  <si>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</si>
  <si>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</si>
  <si>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</si>
  <si>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</si>
  <si>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</si>
  <si>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</si>
  <si>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</si>
  <si>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</si>
  <si>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</si>
  <si>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</si>
  <si>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</si>
  <si>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</si>
  <si>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</si>
  <si>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</si>
  <si>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</si>
  <si>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</si>
  <si>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</si>
  <si>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</si>
  <si>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</si>
  <si>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</si>
  <si>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</si>
  <si>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</si>
  <si>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</si>
  <si>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</si>
  <si>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</si>
  <si>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</si>
  <si>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</si>
  <si>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</si>
  <si>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</si>
  <si>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</si>
  <si>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</si>
  <si>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</si>
  <si>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</si>
  <si>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</si>
  <si>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</si>
  <si>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</si>
  <si>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</si>
  <si>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</si>
  <si>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</si>
  <si>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</si>
  <si>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</si>
  <si>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</si>
  <si>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</si>
  <si>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</si>
  <si>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</si>
  <si>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</si>
  <si>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</si>
  <si>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</si>
  <si>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</si>
  <si>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</si>
  <si>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</si>
  <si>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</si>
  <si>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</si>
  <si>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</si>
  <si>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</si>
  <si>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</si>
  <si>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</si>
  <si>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</si>
  <si>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</si>
  <si>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</si>
  <si>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</si>
  <si>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</si>
  <si>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</si>
  <si>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</si>
  <si>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</si>
  <si>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</si>
  <si>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</si>
  <si>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</si>
  <si>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</si>
  <si>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</si>
  <si>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</si>
  <si>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</si>
  <si>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</si>
  <si>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</si>
  <si>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</si>
  <si>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</si>
  <si>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</si>
  <si>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</si>
  <si>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</si>
  <si>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</si>
  <si>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</si>
  <si>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</si>
  <si>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</si>
  <si>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</si>
  <si>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</si>
  <si>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</si>
  <si>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</si>
  <si>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</si>
  <si>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</si>
  <si>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</si>
  <si>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</si>
  <si>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</si>
  <si>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</si>
  <si>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</si>
  <si>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</si>
  <si>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</si>
  <si>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</si>
  <si>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</si>
  <si>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</si>
  <si>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</si>
  <si>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</si>
  <si>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</si>
  <si>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</si>
  <si>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</si>
  <si>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</si>
  <si>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</si>
  <si>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</si>
  <si>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</si>
  <si>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</si>
  <si>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</si>
  <si>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</si>
  <si>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</si>
  <si>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</si>
  <si>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</si>
  <si>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</si>
  <si>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</si>
  <si>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</si>
  <si>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</si>
  <si>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</si>
  <si>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</si>
  <si>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</si>
  <si>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</si>
  <si>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</si>
  <si>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</si>
  <si>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</si>
  <si>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</si>
  <si>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</si>
  <si>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</si>
  <si>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</si>
  <si>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</si>
  <si>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</si>
  <si>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</si>
  <si>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</si>
  <si>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</si>
  <si>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</si>
  <si>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</si>
  <si>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</si>
  <si>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</si>
  <si>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</si>
  <si>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</si>
  <si>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</si>
  <si>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</si>
  <si>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</si>
  <si>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</si>
  <si>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</si>
  <si>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</si>
  <si>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</si>
  <si>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</si>
  <si>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</si>
  <si>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</si>
  <si>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</si>
  <si>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</si>
  <si>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</si>
  <si>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</si>
  <si>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</si>
  <si>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</si>
  <si>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</si>
  <si>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</si>
  <si>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</si>
  <si>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</si>
  <si>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</si>
  <si>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</si>
  <si>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</si>
  <si>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</si>
  <si>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</si>
  <si>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</si>
  <si>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</si>
  <si>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</si>
  <si>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Input check (automatic) / ইনপুট পরীক্ষা (স্বয়ংক্রিয়)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</si>
  <si>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</si>
  <si>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</si>
  <si>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</si>
  <si>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</si>
  <si>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</si>
  <si>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</si>
  <si>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</si>
  <si>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</si>
  <si>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</si>
  <si>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</si>
  <si>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</si>
  <si>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Input check, weather (automatic)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</si>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</sst>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8106342"/>
        <c:axId val="98819024"/>
      </c:scatterChart>
      <c:valAx>
        <c:axId val="810634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19024"/>
        <c:crosses val="autoZero"/>
        <c:crossBetween val="midCat"/>
      </c:valAx>
      <c:valAx>
        <c:axId val="98819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634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10485366"/>
        <c:axId val="54990732"/>
      </c:scatterChart>
      <c:valAx>
        <c:axId val="1048536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90732"/>
        <c:crosses val="autoZero"/>
        <c:crossBetween val="midCat"/>
      </c:valAx>
      <c:valAx>
        <c:axId val="549907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8536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47762083"/>
        <c:axId val="83845149"/>
      </c:scatterChart>
      <c:valAx>
        <c:axId val="477620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45149"/>
        <c:crosses val="autoZero"/>
        <c:crossBetween val="midCat"/>
      </c:valAx>
      <c:valAx>
        <c:axId val="838451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6208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9532355"/>
        <c:axId val="55169921"/>
      </c:scatterChart>
      <c:valAx>
        <c:axId val="953235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69921"/>
        <c:crosses val="autoZero"/>
        <c:crossBetween val="midCat"/>
      </c:valAx>
      <c:valAx>
        <c:axId val="551699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3235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46564462"/>
        <c:axId val="34028525"/>
      </c:scatterChart>
      <c:valAx>
        <c:axId val="4656446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028525"/>
        <c:crosses val="autoZero"/>
        <c:crossBetween val="midCat"/>
      </c:valAx>
      <c:valAx>
        <c:axId val="340285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6446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26.85" hidden="false" customHeight="false" outlineLevel="0" collapsed="false">
      <c r="A36" s="2" t="s">
        <v>29</v>
      </c>
    </row>
    <row r="37" customFormat="false" ht="26.8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3" t="s">
        <v>31</v>
      </c>
    </row>
    <row r="40" customFormat="false" ht="26.85" hidden="false" customHeight="false" outlineLevel="0" collapsed="false">
      <c r="A40" s="2" t="s">
        <v>32</v>
      </c>
    </row>
    <row r="41" customFormat="false" ht="26.85" hidden="false" customHeight="false" outlineLevel="0" collapsed="false">
      <c r="A41" s="2" t="s">
        <v>33</v>
      </c>
    </row>
    <row r="42" customFormat="false" ht="26.85" hidden="false" customHeight="false" outlineLevel="0" collapsed="false">
      <c r="A42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35</v>
      </c>
    </row>
    <row r="2" customFormat="false" ht="27.75" hidden="false" customHeight="true" outlineLevel="0" collapsed="false">
      <c r="A2" s="6" t="s">
        <v>36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37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38</v>
      </c>
      <c r="B5" s="10" t="s">
        <v>39</v>
      </c>
      <c r="C5" s="11" t="s">
        <v>40</v>
      </c>
      <c r="D5" s="12" t="s">
        <v>41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42</v>
      </c>
      <c r="B6" s="10" t="s">
        <v>43</v>
      </c>
      <c r="C6" s="11" t="s">
        <v>44</v>
      </c>
      <c r="D6" s="12" t="s">
        <v>45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46</v>
      </c>
      <c r="B7" s="10" t="s">
        <v>47</v>
      </c>
      <c r="C7" s="11" t="n">
        <v>23.1</v>
      </c>
      <c r="D7" s="12" t="s">
        <v>48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49</v>
      </c>
      <c r="B8" s="10" t="s">
        <v>50</v>
      </c>
      <c r="C8" s="11" t="n">
        <v>89</v>
      </c>
      <c r="D8" s="12" t="s">
        <v>51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52</v>
      </c>
      <c r="B9" s="10" t="s">
        <v>53</v>
      </c>
      <c r="C9" s="11" t="s">
        <v>54</v>
      </c>
      <c r="D9" s="12" t="s">
        <v>55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56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57</v>
      </c>
      <c r="B12" s="10" t="s">
        <v>58</v>
      </c>
      <c r="C12" s="13" t="n">
        <v>45993</v>
      </c>
      <c r="D12" s="12" t="s">
        <v>59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60</v>
      </c>
      <c r="B13" s="10" t="s">
        <v>61</v>
      </c>
      <c r="C13" s="11" t="n">
        <v>49</v>
      </c>
      <c r="D13" s="12" t="s">
        <v>62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63</v>
      </c>
      <c r="C14" s="14" t="n">
        <f aca="false">IF(AND(ISNUMBER(C12),ISNUMBER(C13)),C12+C13,"")</f>
        <v>46042</v>
      </c>
      <c r="D14" s="12" t="s">
        <v>64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65</v>
      </c>
      <c r="C15" s="14" t="n">
        <f aca="false">IF(C14="","",C14-35)</f>
        <v>46007</v>
      </c>
      <c r="D15" s="12" t="s">
        <v>66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67</v>
      </c>
      <c r="B16" s="10" t="s">
        <v>68</v>
      </c>
      <c r="C16" s="13"/>
      <c r="D16" s="12" t="s">
        <v>69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70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71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72</v>
      </c>
      <c r="C20" s="15" t="s">
        <v>73</v>
      </c>
      <c r="D20" s="15" t="s">
        <v>74</v>
      </c>
      <c r="E20" s="15" t="s">
        <v>75</v>
      </c>
      <c r="F20" s="15" t="s">
        <v>76</v>
      </c>
      <c r="G20" s="15" t="s">
        <v>77</v>
      </c>
      <c r="H20" s="16" t="s">
        <v>78</v>
      </c>
    </row>
    <row r="21" customFormat="false" ht="15" hidden="false" customHeight="false" outlineLevel="0" collapsed="false">
      <c r="A21" s="9" t="s">
        <v>79</v>
      </c>
      <c r="B21" s="17" t="s">
        <v>80</v>
      </c>
      <c r="C21" s="18" t="s">
        <v>81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82</v>
      </c>
      <c r="B22" s="20" t="s">
        <v>83</v>
      </c>
      <c r="C22" s="18" t="s">
        <v>84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85</v>
      </c>
      <c r="B23" s="10" t="s">
        <v>86</v>
      </c>
      <c r="C23" s="13" t="n">
        <v>46042</v>
      </c>
      <c r="D23" s="12" t="s">
        <v>87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88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89</v>
      </c>
      <c r="B26" s="10" t="s">
        <v>90</v>
      </c>
      <c r="C26" s="13" t="n">
        <v>45990</v>
      </c>
      <c r="D26" s="12" t="s">
        <v>91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92</v>
      </c>
      <c r="B27" s="10" t="s">
        <v>93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94</v>
      </c>
      <c r="B28" s="10" t="s">
        <v>95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96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97</v>
      </c>
      <c r="C31" s="18" t="n">
        <v>35</v>
      </c>
    </row>
    <row r="32" customFormat="false" ht="15" hidden="false" customHeight="false" outlineLevel="0" collapsed="false">
      <c r="A32" s="10"/>
      <c r="B32" s="10" t="s">
        <v>98</v>
      </c>
      <c r="C32" s="18" t="n">
        <v>30</v>
      </c>
    </row>
    <row r="33" customFormat="false" ht="15" hidden="false" customHeight="false" outlineLevel="0" collapsed="false">
      <c r="A33" s="10"/>
      <c r="B33" s="10" t="s">
        <v>99</v>
      </c>
      <c r="C33" s="18" t="n">
        <v>3</v>
      </c>
    </row>
    <row r="34" customFormat="false" ht="15" hidden="false" customHeight="false" outlineLevel="0" collapsed="false">
      <c r="A34" s="10"/>
      <c r="B34" s="10" t="s">
        <v>100</v>
      </c>
      <c r="C34" s="18" t="n">
        <v>66</v>
      </c>
    </row>
    <row r="35" customFormat="false" ht="15" hidden="false" customHeight="false" outlineLevel="0" collapsed="false">
      <c r="A35" s="10"/>
      <c r="B35" s="10" t="s">
        <v>101</v>
      </c>
      <c r="C35" s="18" t="n">
        <v>8</v>
      </c>
    </row>
    <row r="36" customFormat="false" ht="15" hidden="false" customHeight="false" outlineLevel="0" collapsed="false">
      <c r="A36" s="10"/>
      <c r="B36" s="10" t="s">
        <v>102</v>
      </c>
      <c r="C36" s="18" t="n">
        <v>6</v>
      </c>
    </row>
    <row r="37" customFormat="false" ht="15" hidden="false" customHeight="false" outlineLevel="0" collapsed="false">
      <c r="A37" s="10"/>
      <c r="B37" s="10" t="s">
        <v>103</v>
      </c>
      <c r="C37" s="18" t="n">
        <v>111</v>
      </c>
    </row>
    <row r="38" customFormat="false" ht="15" hidden="false" customHeight="false" outlineLevel="0" collapsed="false">
      <c r="A38" s="10"/>
      <c r="B38" s="10" t="s">
        <v>104</v>
      </c>
      <c r="C38" s="18" t="n">
        <v>25</v>
      </c>
    </row>
    <row r="39" customFormat="false" ht="15" hidden="false" customHeight="false" outlineLevel="0" collapsed="false">
      <c r="A39" s="10"/>
      <c r="B39" s="10" t="s">
        <v>105</v>
      </c>
      <c r="C39" s="18" t="n">
        <v>21</v>
      </c>
    </row>
    <row r="40" customFormat="false" ht="15" hidden="false" customHeight="false" outlineLevel="0" collapsed="false">
      <c r="A40" s="10"/>
      <c r="B40" s="10" t="s">
        <v>106</v>
      </c>
      <c r="C40" s="18" t="n">
        <v>28</v>
      </c>
    </row>
    <row r="41" customFormat="false" ht="15" hidden="false" customHeight="false" outlineLevel="0" collapsed="false">
      <c r="A41" s="10"/>
      <c r="B41" s="10" t="s">
        <v>107</v>
      </c>
      <c r="C41" s="18" t="n">
        <v>8</v>
      </c>
    </row>
    <row r="42" customFormat="false" ht="15" hidden="false" customHeight="false" outlineLevel="0" collapsed="false">
      <c r="A42" s="10"/>
      <c r="B42" s="10" t="s">
        <v>108</v>
      </c>
      <c r="C42" s="18" t="n">
        <v>15</v>
      </c>
    </row>
    <row r="43" customFormat="false" ht="15" hidden="false" customHeight="false" outlineLevel="0" collapsed="false">
      <c r="A43" s="10"/>
      <c r="B43" s="10" t="s">
        <v>109</v>
      </c>
      <c r="C43" s="18" t="n">
        <v>4</v>
      </c>
    </row>
    <row r="44" customFormat="false" ht="15" hidden="false" customHeight="false" outlineLevel="0" collapsed="false">
      <c r="A44" s="10"/>
      <c r="B44" s="10" t="s">
        <v>110</v>
      </c>
      <c r="C44" s="18" t="n">
        <v>7</v>
      </c>
    </row>
    <row r="46" customFormat="false" ht="15" hidden="false" customHeight="false" outlineLevel="0" collapsed="false">
      <c r="A46" s="7" t="s">
        <v>111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112</v>
      </c>
      <c r="C47" s="15" t="s">
        <v>113</v>
      </c>
      <c r="D47" s="15" t="s">
        <v>114</v>
      </c>
    </row>
    <row r="48" customFormat="false" ht="15" hidden="false" customHeight="false" outlineLevel="0" collapsed="false">
      <c r="B48" s="21" t="s">
        <v>115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116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117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118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119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120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121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122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123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124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125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126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127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128</v>
      </c>
      <c r="C1" s="24" t="s">
        <v>129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26" t="s">
        <v>130</v>
      </c>
      <c r="C2" s="27" t="s">
        <v>131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132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133</v>
      </c>
      <c r="C4" s="27" t="s">
        <v>134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Heading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136</v>
      </c>
      <c r="C7" s="32" t="s">
        <v>137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138</v>
      </c>
      <c r="C8" s="34" t="s">
        <v>137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139</v>
      </c>
      <c r="C9" s="32" t="s">
        <v>140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141</v>
      </c>
      <c r="C10" s="34" t="s">
        <v>140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142</v>
      </c>
      <c r="C11" s="32" t="s">
        <v>143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WL jump &gt;5 cm;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WL jump &gt;5 cm; </v>
      </c>
      <c r="ET11" s="36" t="str">
        <f aca="false">IF(Data_Farmer!ET30="","",Data_Farmer!ET30)</f>
        <v>WL jump &gt;5 cm;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144</v>
      </c>
      <c r="C12" s="34" t="s">
        <v>143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WL jump &gt;5 cm;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WL jump &gt;5 cm;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WL jump &gt;5 cm;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145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146</v>
      </c>
      <c r="C15" s="32" t="s">
        <v>147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148</v>
      </c>
      <c r="C16" s="32" t="s">
        <v>147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149</v>
      </c>
      <c r="C17" s="32" t="s">
        <v>150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151</v>
      </c>
      <c r="BF17" s="18"/>
      <c r="BG17" s="18" t="s">
        <v>152</v>
      </c>
      <c r="BH17" s="18"/>
      <c r="BI17" s="18"/>
      <c r="BJ17" s="18"/>
      <c r="BK17" s="18" t="s">
        <v>152</v>
      </c>
      <c r="BL17" s="18"/>
      <c r="BM17" s="18"/>
      <c r="BN17" s="18"/>
      <c r="BO17" s="18"/>
      <c r="BP17" s="18" t="s">
        <v>153</v>
      </c>
      <c r="BQ17" s="18"/>
      <c r="BR17" s="18"/>
      <c r="BS17" s="18"/>
      <c r="BT17" s="18"/>
      <c r="BU17" s="18"/>
      <c r="BV17" s="18"/>
      <c r="BW17" s="18" t="s">
        <v>154</v>
      </c>
      <c r="BX17" s="18"/>
      <c r="BY17" s="18"/>
      <c r="BZ17" s="18"/>
      <c r="CA17" s="18"/>
      <c r="CB17" s="18"/>
      <c r="CC17" s="18"/>
      <c r="CD17" s="18" t="s">
        <v>155</v>
      </c>
      <c r="CE17" s="18"/>
      <c r="CF17" s="18"/>
      <c r="CG17" s="18"/>
      <c r="CH17" s="18" t="s">
        <v>152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153</v>
      </c>
      <c r="CX17" s="18"/>
      <c r="CY17" s="18"/>
      <c r="CZ17" s="18" t="s">
        <v>153</v>
      </c>
      <c r="DA17" s="18"/>
      <c r="DB17" s="18"/>
      <c r="DC17" s="18" t="s">
        <v>152</v>
      </c>
      <c r="DD17" s="18"/>
      <c r="DE17" s="18"/>
      <c r="DF17" s="18"/>
      <c r="DG17" s="18"/>
      <c r="DH17" s="18"/>
      <c r="DI17" s="18" t="s">
        <v>154</v>
      </c>
      <c r="DJ17" s="18" t="s">
        <v>154</v>
      </c>
      <c r="DK17" s="18"/>
      <c r="DL17" s="18"/>
      <c r="DM17" s="18" t="s">
        <v>156</v>
      </c>
      <c r="DN17" s="18"/>
      <c r="DO17" s="18" t="s">
        <v>154</v>
      </c>
      <c r="DP17" s="18"/>
      <c r="DQ17" s="18"/>
      <c r="DR17" s="18" t="s">
        <v>154</v>
      </c>
      <c r="DS17" s="18"/>
      <c r="DT17" s="18" t="s">
        <v>153</v>
      </c>
      <c r="DU17" s="18"/>
      <c r="DV17" s="18"/>
      <c r="DW17" s="18" t="s">
        <v>154</v>
      </c>
      <c r="DX17" s="18"/>
      <c r="DY17" s="18"/>
      <c r="DZ17" s="18"/>
      <c r="EA17" s="18" t="s">
        <v>154</v>
      </c>
      <c r="EB17" s="18"/>
      <c r="EC17" s="18"/>
      <c r="ED17" s="18"/>
      <c r="EE17" s="18"/>
      <c r="EF17" s="18"/>
      <c r="EG17" s="18"/>
      <c r="EH17" s="18" t="s">
        <v>155</v>
      </c>
      <c r="EI17" s="18"/>
      <c r="EJ17" s="18" t="s">
        <v>155</v>
      </c>
      <c r="EK17" s="18"/>
      <c r="EL17" s="18"/>
      <c r="EM17" s="18"/>
      <c r="EN17" s="18"/>
      <c r="EO17" s="18"/>
      <c r="EP17" s="18" t="s">
        <v>154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157</v>
      </c>
      <c r="C18" s="34" t="s">
        <v>147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158</v>
      </c>
      <c r="C19" s="34" t="s">
        <v>147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159</v>
      </c>
      <c r="C20" s="34" t="s">
        <v>150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151</v>
      </c>
      <c r="BF20" s="18"/>
      <c r="BG20" s="18" t="s">
        <v>152</v>
      </c>
      <c r="BH20" s="18"/>
      <c r="BI20" s="18"/>
      <c r="BJ20" s="18"/>
      <c r="BK20" s="18" t="s">
        <v>152</v>
      </c>
      <c r="BL20" s="18"/>
      <c r="BM20" s="18"/>
      <c r="BN20" s="18"/>
      <c r="BO20" s="18"/>
      <c r="BP20" s="18" t="s">
        <v>153</v>
      </c>
      <c r="BQ20" s="18"/>
      <c r="BR20" s="18"/>
      <c r="BS20" s="18"/>
      <c r="BT20" s="18"/>
      <c r="BU20" s="18"/>
      <c r="BV20" s="18"/>
      <c r="BW20" s="18" t="s">
        <v>154</v>
      </c>
      <c r="BX20" s="18"/>
      <c r="BY20" s="18"/>
      <c r="BZ20" s="18"/>
      <c r="CA20" s="18"/>
      <c r="CB20" s="18"/>
      <c r="CC20" s="18"/>
      <c r="CD20" s="18" t="s">
        <v>155</v>
      </c>
      <c r="CE20" s="18"/>
      <c r="CF20" s="18"/>
      <c r="CG20" s="18"/>
      <c r="CH20" s="18" t="s">
        <v>152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153</v>
      </c>
      <c r="CX20" s="18"/>
      <c r="CY20" s="18"/>
      <c r="CZ20" s="18" t="s">
        <v>153</v>
      </c>
      <c r="DA20" s="18"/>
      <c r="DB20" s="18"/>
      <c r="DC20" s="18" t="s">
        <v>152</v>
      </c>
      <c r="DD20" s="18"/>
      <c r="DE20" s="18"/>
      <c r="DF20" s="18"/>
      <c r="DG20" s="18" t="s">
        <v>154</v>
      </c>
      <c r="DH20" s="18"/>
      <c r="DI20" s="18"/>
      <c r="DJ20" s="18"/>
      <c r="DK20" s="18"/>
      <c r="DL20" s="18"/>
      <c r="DM20" s="18"/>
      <c r="DN20" s="18" t="s">
        <v>154</v>
      </c>
      <c r="DO20" s="18"/>
      <c r="DP20" s="18"/>
      <c r="DQ20" s="18"/>
      <c r="DR20" s="18"/>
      <c r="DS20" s="18"/>
      <c r="DT20" s="18"/>
      <c r="DU20" s="18" t="s">
        <v>153</v>
      </c>
      <c r="DV20" s="18"/>
      <c r="DW20" s="18"/>
      <c r="DX20" s="18"/>
      <c r="DY20" s="18"/>
      <c r="DZ20" s="18"/>
      <c r="EA20" s="18"/>
      <c r="EB20" s="18" t="s">
        <v>153</v>
      </c>
      <c r="EC20" s="18"/>
      <c r="ED20" s="18"/>
      <c r="EE20" s="18"/>
      <c r="EF20" s="18"/>
      <c r="EG20" s="18"/>
      <c r="EH20" s="18"/>
      <c r="EI20" s="18"/>
      <c r="EJ20" s="18" t="s">
        <v>160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161</v>
      </c>
      <c r="C21" s="32" t="s">
        <v>140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7</v>
      </c>
      <c r="BF21" s="35" t="str">
        <f aca="false">IF(Data_Farmer!BF21="","",Data_Farmer!BF21)</f>
        <v/>
      </c>
      <c r="BG21" s="35" t="n">
        <f aca="false">IF(Data_Farmer!BG21="","",Data_Farmer!BG21)</f>
        <v>25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19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17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28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24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31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15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18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30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24</v>
      </c>
      <c r="DJ21" s="35" t="n">
        <f aca="false">IF(Data_Farmer!DJ21="","",Data_Farmer!DJ21)</f>
        <v>20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8</v>
      </c>
      <c r="DN21" s="35" t="str">
        <f aca="false">IF(Data_Farmer!DN21="","",Data_Farmer!DN21)</f>
        <v/>
      </c>
      <c r="DO21" s="35" t="n">
        <f aca="false">IF(Data_Farmer!DO21="","",Data_Farmer!DO21)</f>
        <v>20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7</v>
      </c>
      <c r="DS21" s="35" t="str">
        <f aca="false">IF(Data_Farmer!DS21="","",Data_Farmer!DS21)</f>
        <v/>
      </c>
      <c r="DT21" s="35" t="n">
        <f aca="false">IF(Data_Farmer!DT21="","",Data_Farmer!DT21)</f>
        <v>20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15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21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14</v>
      </c>
      <c r="EI21" s="35" t="str">
        <f aca="false">IF(Data_Farmer!EI21="","",Data_Farmer!EI21)</f>
        <v/>
      </c>
      <c r="EJ21" s="35" t="n">
        <f aca="false">IF(Data_Farmer!EJ21="","",Data_Farmer!EJ21)</f>
        <v>25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15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162</v>
      </c>
      <c r="C22" s="34" t="s">
        <v>140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5</v>
      </c>
      <c r="BF22" s="35" t="str">
        <f aca="false">IF(Data_Farmer!BF46="","",Data_Farmer!BF46)</f>
        <v/>
      </c>
      <c r="BG22" s="35" t="n">
        <f aca="false">IF(Data_Farmer!BG46="","",Data_Farmer!BG46)</f>
        <v>25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19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17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20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23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30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15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18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22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10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15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20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20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45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163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164</v>
      </c>
      <c r="C25" s="39" t="s">
        <v>165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166</v>
      </c>
      <c r="C26" s="39" t="s">
        <v>150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167</v>
      </c>
      <c r="C27" s="39" t="s">
        <v>150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168</v>
      </c>
      <c r="C28" s="39" t="s">
        <v>169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170</v>
      </c>
      <c r="C29" s="39" t="s">
        <v>171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172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173</v>
      </c>
      <c r="C32" s="32" t="s">
        <v>169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174</v>
      </c>
      <c r="C33" s="32" t="s">
        <v>169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175</v>
      </c>
      <c r="BE33" s="18" t="s">
        <v>175</v>
      </c>
      <c r="BF33" s="18" t="s">
        <v>175</v>
      </c>
      <c r="BG33" s="18" t="s">
        <v>175</v>
      </c>
      <c r="BH33" s="18" t="s">
        <v>175</v>
      </c>
      <c r="BI33" s="18" t="s">
        <v>175</v>
      </c>
      <c r="BJ33" s="18" t="s">
        <v>175</v>
      </c>
      <c r="BK33" s="18" t="s">
        <v>175</v>
      </c>
      <c r="BL33" s="18" t="s">
        <v>175</v>
      </c>
      <c r="BM33" s="18" t="s">
        <v>175</v>
      </c>
      <c r="BN33" s="18" t="s">
        <v>175</v>
      </c>
      <c r="BO33" s="18" t="s">
        <v>175</v>
      </c>
      <c r="BP33" s="18" t="s">
        <v>175</v>
      </c>
      <c r="BQ33" s="18" t="s">
        <v>175</v>
      </c>
      <c r="BR33" s="18" t="s">
        <v>175</v>
      </c>
      <c r="BS33" s="18" t="s">
        <v>175</v>
      </c>
      <c r="BT33" s="18" t="s">
        <v>175</v>
      </c>
      <c r="BU33" s="18" t="s">
        <v>175</v>
      </c>
      <c r="BV33" s="18" t="s">
        <v>175</v>
      </c>
      <c r="BW33" s="18" t="s">
        <v>175</v>
      </c>
      <c r="BX33" s="18" t="s">
        <v>175</v>
      </c>
      <c r="BY33" s="18" t="s">
        <v>175</v>
      </c>
      <c r="BZ33" s="18" t="s">
        <v>175</v>
      </c>
      <c r="CA33" s="18"/>
      <c r="CB33" s="18" t="s">
        <v>175</v>
      </c>
      <c r="CC33" s="18" t="s">
        <v>175</v>
      </c>
      <c r="CD33" s="18" t="s">
        <v>175</v>
      </c>
      <c r="CE33" s="18" t="s">
        <v>175</v>
      </c>
      <c r="CF33" s="18" t="s">
        <v>175</v>
      </c>
      <c r="CG33" s="18" t="s">
        <v>175</v>
      </c>
      <c r="CH33" s="18" t="s">
        <v>175</v>
      </c>
      <c r="CI33" s="18" t="s">
        <v>175</v>
      </c>
      <c r="CJ33" s="18" t="s">
        <v>175</v>
      </c>
      <c r="CK33" s="18" t="s">
        <v>175</v>
      </c>
      <c r="CL33" s="18" t="s">
        <v>175</v>
      </c>
      <c r="CM33" s="18" t="s">
        <v>175</v>
      </c>
      <c r="CN33" s="18" t="s">
        <v>175</v>
      </c>
      <c r="CO33" s="18" t="s">
        <v>175</v>
      </c>
      <c r="CP33" s="18" t="s">
        <v>175</v>
      </c>
      <c r="CQ33" s="18" t="s">
        <v>175</v>
      </c>
      <c r="CR33" s="18" t="s">
        <v>175</v>
      </c>
      <c r="CS33" s="18" t="s">
        <v>175</v>
      </c>
      <c r="CT33" s="18" t="s">
        <v>175</v>
      </c>
      <c r="CU33" s="18" t="s">
        <v>175</v>
      </c>
      <c r="CV33" s="18" t="s">
        <v>175</v>
      </c>
      <c r="CW33" s="18" t="s">
        <v>175</v>
      </c>
      <c r="CX33" s="18" t="s">
        <v>175</v>
      </c>
      <c r="CY33" s="18" t="s">
        <v>175</v>
      </c>
      <c r="CZ33" s="18" t="s">
        <v>175</v>
      </c>
      <c r="DA33" s="18" t="s">
        <v>175</v>
      </c>
      <c r="DB33" s="18" t="s">
        <v>175</v>
      </c>
      <c r="DC33" s="18" t="s">
        <v>175</v>
      </c>
      <c r="DD33" s="18" t="s">
        <v>175</v>
      </c>
      <c r="DE33" s="18" t="s">
        <v>175</v>
      </c>
      <c r="DF33" s="18" t="s">
        <v>175</v>
      </c>
      <c r="DG33" s="18" t="s">
        <v>175</v>
      </c>
      <c r="DH33" s="18" t="s">
        <v>175</v>
      </c>
      <c r="DI33" s="18" t="s">
        <v>175</v>
      </c>
      <c r="DJ33" s="18" t="s">
        <v>175</v>
      </c>
      <c r="DK33" s="18" t="s">
        <v>175</v>
      </c>
      <c r="DL33" s="18"/>
      <c r="DM33" s="18" t="s">
        <v>175</v>
      </c>
      <c r="DN33" s="18" t="s">
        <v>175</v>
      </c>
      <c r="DO33" s="18" t="s">
        <v>175</v>
      </c>
      <c r="DP33" s="18" t="s">
        <v>175</v>
      </c>
      <c r="DQ33" s="18" t="s">
        <v>175</v>
      </c>
      <c r="DR33" s="18" t="s">
        <v>175</v>
      </c>
      <c r="DS33" s="18" t="s">
        <v>175</v>
      </c>
      <c r="DT33" s="18" t="s">
        <v>175</v>
      </c>
      <c r="DU33" s="18" t="s">
        <v>175</v>
      </c>
      <c r="DV33" s="18" t="s">
        <v>175</v>
      </c>
      <c r="DW33" s="18" t="s">
        <v>175</v>
      </c>
      <c r="DX33" s="18" t="s">
        <v>175</v>
      </c>
      <c r="DY33" s="18" t="s">
        <v>175</v>
      </c>
      <c r="DZ33" s="18" t="s">
        <v>175</v>
      </c>
      <c r="EA33" s="18" t="s">
        <v>175</v>
      </c>
      <c r="EB33" s="18" t="s">
        <v>175</v>
      </c>
      <c r="EC33" s="18" t="s">
        <v>175</v>
      </c>
      <c r="ED33" s="18" t="s">
        <v>175</v>
      </c>
      <c r="EE33" s="18" t="s">
        <v>175</v>
      </c>
      <c r="EF33" s="18" t="s">
        <v>175</v>
      </c>
      <c r="EG33" s="18" t="s">
        <v>175</v>
      </c>
      <c r="EH33" s="18" t="s">
        <v>175</v>
      </c>
      <c r="EI33" s="18" t="s">
        <v>175</v>
      </c>
      <c r="EJ33" s="18" t="s">
        <v>175</v>
      </c>
      <c r="EK33" s="18" t="s">
        <v>175</v>
      </c>
      <c r="EL33" s="18" t="s">
        <v>175</v>
      </c>
      <c r="EM33" s="18" t="s">
        <v>175</v>
      </c>
      <c r="EN33" s="18" t="s">
        <v>175</v>
      </c>
      <c r="EO33" s="18" t="s">
        <v>175</v>
      </c>
      <c r="EP33" s="18" t="s">
        <v>175</v>
      </c>
      <c r="EQ33" s="18" t="s">
        <v>175</v>
      </c>
      <c r="ER33" s="18" t="s">
        <v>175</v>
      </c>
      <c r="ES33" s="18" t="s">
        <v>175</v>
      </c>
      <c r="ET33" s="18" t="s">
        <v>175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176</v>
      </c>
      <c r="C34" s="32" t="s">
        <v>177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178</v>
      </c>
      <c r="C35" s="32" t="s">
        <v>169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179</v>
      </c>
      <c r="BF35" s="18"/>
      <c r="BG35" s="18" t="s">
        <v>179</v>
      </c>
      <c r="BH35" s="18"/>
      <c r="BI35" s="18"/>
      <c r="BJ35" s="18"/>
      <c r="BK35" s="18" t="s">
        <v>179</v>
      </c>
      <c r="BL35" s="18"/>
      <c r="BM35" s="18"/>
      <c r="BN35" s="18"/>
      <c r="BO35" s="18"/>
      <c r="BP35" s="18" t="s">
        <v>179</v>
      </c>
      <c r="BQ35" s="18"/>
      <c r="BR35" s="18"/>
      <c r="BS35" s="18"/>
      <c r="BT35" s="18"/>
      <c r="BU35" s="18"/>
      <c r="BV35" s="18"/>
      <c r="BW35" s="18" t="s">
        <v>179</v>
      </c>
      <c r="BX35" s="18"/>
      <c r="BY35" s="18"/>
      <c r="BZ35" s="18"/>
      <c r="CA35" s="18"/>
      <c r="CB35" s="18"/>
      <c r="CC35" s="18"/>
      <c r="CD35" s="18" t="s">
        <v>179</v>
      </c>
      <c r="CE35" s="18"/>
      <c r="CF35" s="18"/>
      <c r="CG35" s="18"/>
      <c r="CH35" s="18" t="s">
        <v>179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179</v>
      </c>
      <c r="CX35" s="18"/>
      <c r="CY35" s="18"/>
      <c r="CZ35" s="18" t="s">
        <v>179</v>
      </c>
      <c r="DA35" s="18"/>
      <c r="DB35" s="18"/>
      <c r="DC35" s="18" t="s">
        <v>179</v>
      </c>
      <c r="DD35" s="18"/>
      <c r="DE35" s="18"/>
      <c r="DF35" s="18"/>
      <c r="DG35" s="18"/>
      <c r="DH35" s="18"/>
      <c r="DI35" s="18" t="s">
        <v>179</v>
      </c>
      <c r="DJ35" s="18" t="s">
        <v>179</v>
      </c>
      <c r="DK35" s="18"/>
      <c r="DL35" s="18"/>
      <c r="DM35" s="18" t="s">
        <v>179</v>
      </c>
      <c r="DN35" s="18"/>
      <c r="DO35" s="18" t="s">
        <v>179</v>
      </c>
      <c r="DP35" s="18"/>
      <c r="DQ35" s="18"/>
      <c r="DR35" s="18" t="s">
        <v>179</v>
      </c>
      <c r="DS35" s="18"/>
      <c r="DT35" s="18" t="s">
        <v>179</v>
      </c>
      <c r="DU35" s="18"/>
      <c r="DV35" s="18"/>
      <c r="DW35" s="18" t="s">
        <v>179</v>
      </c>
      <c r="DX35" s="18"/>
      <c r="DY35" s="18"/>
      <c r="DZ35" s="18"/>
      <c r="EA35" s="18" t="s">
        <v>179</v>
      </c>
      <c r="EB35" s="18"/>
      <c r="EC35" s="18"/>
      <c r="ED35" s="18"/>
      <c r="EE35" s="18"/>
      <c r="EF35" s="18"/>
      <c r="EG35" s="18"/>
      <c r="EH35" s="18" t="s">
        <v>179</v>
      </c>
      <c r="EI35" s="18"/>
      <c r="EJ35" s="18" t="s">
        <v>179</v>
      </c>
      <c r="EK35" s="18"/>
      <c r="EL35" s="18"/>
      <c r="EM35" s="18"/>
      <c r="EN35" s="18"/>
      <c r="EO35" s="18"/>
      <c r="EP35" s="18" t="s">
        <v>179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180</v>
      </c>
      <c r="C36" s="32" t="s">
        <v>177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181</v>
      </c>
      <c r="C37" s="32" t="s">
        <v>169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182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173</v>
      </c>
      <c r="C40" s="34" t="s">
        <v>169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174</v>
      </c>
      <c r="C41" s="34" t="s">
        <v>169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175</v>
      </c>
      <c r="BE41" s="18" t="s">
        <v>175</v>
      </c>
      <c r="BF41" s="18" t="s">
        <v>175</v>
      </c>
      <c r="BG41" s="18" t="s">
        <v>175</v>
      </c>
      <c r="BH41" s="18" t="s">
        <v>175</v>
      </c>
      <c r="BI41" s="18" t="s">
        <v>175</v>
      </c>
      <c r="BJ41" s="18" t="s">
        <v>175</v>
      </c>
      <c r="BK41" s="18" t="s">
        <v>175</v>
      </c>
      <c r="BL41" s="18" t="s">
        <v>175</v>
      </c>
      <c r="BM41" s="18" t="s">
        <v>175</v>
      </c>
      <c r="BN41" s="18" t="s">
        <v>175</v>
      </c>
      <c r="BO41" s="18" t="s">
        <v>175</v>
      </c>
      <c r="BP41" s="18" t="s">
        <v>175</v>
      </c>
      <c r="BQ41" s="18" t="s">
        <v>175</v>
      </c>
      <c r="BR41" s="18" t="s">
        <v>175</v>
      </c>
      <c r="BS41" s="18" t="s">
        <v>175</v>
      </c>
      <c r="BT41" s="18" t="s">
        <v>175</v>
      </c>
      <c r="BU41" s="18" t="s">
        <v>175</v>
      </c>
      <c r="BV41" s="18" t="s">
        <v>175</v>
      </c>
      <c r="BW41" s="18" t="s">
        <v>175</v>
      </c>
      <c r="BX41" s="18" t="s">
        <v>175</v>
      </c>
      <c r="BY41" s="18" t="s">
        <v>175</v>
      </c>
      <c r="BZ41" s="18" t="s">
        <v>175</v>
      </c>
      <c r="CA41" s="18"/>
      <c r="CB41" s="18" t="s">
        <v>175</v>
      </c>
      <c r="CC41" s="18" t="s">
        <v>175</v>
      </c>
      <c r="CD41" s="18" t="s">
        <v>175</v>
      </c>
      <c r="CE41" s="18" t="s">
        <v>175</v>
      </c>
      <c r="CF41" s="18" t="s">
        <v>175</v>
      </c>
      <c r="CG41" s="18" t="s">
        <v>175</v>
      </c>
      <c r="CH41" s="18" t="s">
        <v>175</v>
      </c>
      <c r="CI41" s="18" t="s">
        <v>175</v>
      </c>
      <c r="CJ41" s="18" t="s">
        <v>175</v>
      </c>
      <c r="CK41" s="18" t="s">
        <v>175</v>
      </c>
      <c r="CL41" s="18" t="s">
        <v>175</v>
      </c>
      <c r="CM41" s="18" t="s">
        <v>175</v>
      </c>
      <c r="CN41" s="18" t="s">
        <v>175</v>
      </c>
      <c r="CO41" s="18" t="s">
        <v>175</v>
      </c>
      <c r="CP41" s="18" t="s">
        <v>175</v>
      </c>
      <c r="CQ41" s="18" t="s">
        <v>175</v>
      </c>
      <c r="CR41" s="18" t="s">
        <v>175</v>
      </c>
      <c r="CS41" s="18" t="s">
        <v>175</v>
      </c>
      <c r="CT41" s="18" t="s">
        <v>175</v>
      </c>
      <c r="CU41" s="18" t="s">
        <v>175</v>
      </c>
      <c r="CV41" s="18" t="s">
        <v>175</v>
      </c>
      <c r="CW41" s="18" t="s">
        <v>175</v>
      </c>
      <c r="CX41" s="18" t="s">
        <v>175</v>
      </c>
      <c r="CY41" s="18" t="s">
        <v>175</v>
      </c>
      <c r="CZ41" s="18" t="s">
        <v>175</v>
      </c>
      <c r="DA41" s="18" t="s">
        <v>175</v>
      </c>
      <c r="DB41" s="18" t="s">
        <v>175</v>
      </c>
      <c r="DC41" s="18" t="s">
        <v>175</v>
      </c>
      <c r="DD41" s="18" t="s">
        <v>175</v>
      </c>
      <c r="DE41" s="18" t="s">
        <v>175</v>
      </c>
      <c r="DF41" s="18" t="s">
        <v>175</v>
      </c>
      <c r="DG41" s="18" t="s">
        <v>175</v>
      </c>
      <c r="DH41" s="18" t="s">
        <v>175</v>
      </c>
      <c r="DI41" s="18" t="s">
        <v>175</v>
      </c>
      <c r="DJ41" s="18" t="s">
        <v>175</v>
      </c>
      <c r="DK41" s="18" t="s">
        <v>175</v>
      </c>
      <c r="DL41" s="18"/>
      <c r="DM41" s="18" t="s">
        <v>175</v>
      </c>
      <c r="DN41" s="18" t="s">
        <v>175</v>
      </c>
      <c r="DO41" s="18" t="s">
        <v>175</v>
      </c>
      <c r="DP41" s="18" t="s">
        <v>175</v>
      </c>
      <c r="DQ41" s="18" t="s">
        <v>175</v>
      </c>
      <c r="DR41" s="18" t="s">
        <v>175</v>
      </c>
      <c r="DS41" s="18" t="s">
        <v>175</v>
      </c>
      <c r="DT41" s="18" t="s">
        <v>175</v>
      </c>
      <c r="DU41" s="18" t="s">
        <v>175</v>
      </c>
      <c r="DV41" s="18" t="s">
        <v>175</v>
      </c>
      <c r="DW41" s="18" t="s">
        <v>175</v>
      </c>
      <c r="DX41" s="18" t="s">
        <v>175</v>
      </c>
      <c r="DY41" s="18" t="s">
        <v>175</v>
      </c>
      <c r="DZ41" s="18" t="s">
        <v>175</v>
      </c>
      <c r="EA41" s="18" t="s">
        <v>175</v>
      </c>
      <c r="EB41" s="18" t="s">
        <v>175</v>
      </c>
      <c r="EC41" s="18" t="s">
        <v>175</v>
      </c>
      <c r="ED41" s="18" t="s">
        <v>175</v>
      </c>
      <c r="EE41" s="18" t="s">
        <v>175</v>
      </c>
      <c r="EF41" s="18" t="s">
        <v>175</v>
      </c>
      <c r="EG41" s="18" t="s">
        <v>175</v>
      </c>
      <c r="EH41" s="18" t="s">
        <v>175</v>
      </c>
      <c r="EI41" s="18" t="s">
        <v>175</v>
      </c>
      <c r="EJ41" s="18" t="s">
        <v>175</v>
      </c>
      <c r="EK41" s="18" t="s">
        <v>175</v>
      </c>
      <c r="EL41" s="18" t="s">
        <v>175</v>
      </c>
      <c r="EM41" s="18" t="s">
        <v>175</v>
      </c>
      <c r="EN41" s="18" t="s">
        <v>175</v>
      </c>
      <c r="EO41" s="18" t="s">
        <v>175</v>
      </c>
      <c r="EP41" s="18" t="s">
        <v>175</v>
      </c>
      <c r="EQ41" s="18" t="s">
        <v>175</v>
      </c>
      <c r="ER41" s="18" t="s">
        <v>175</v>
      </c>
      <c r="ES41" s="18" t="s">
        <v>175</v>
      </c>
      <c r="ET41" s="18" t="s">
        <v>175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176</v>
      </c>
      <c r="C42" s="34" t="s">
        <v>177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178</v>
      </c>
      <c r="C43" s="34" t="s">
        <v>169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179</v>
      </c>
      <c r="BF43" s="18"/>
      <c r="BG43" s="18" t="s">
        <v>179</v>
      </c>
      <c r="BH43" s="18"/>
      <c r="BI43" s="18"/>
      <c r="BJ43" s="18"/>
      <c r="BK43" s="18" t="s">
        <v>179</v>
      </c>
      <c r="BL43" s="18"/>
      <c r="BM43" s="18"/>
      <c r="BN43" s="18"/>
      <c r="BO43" s="18"/>
      <c r="BP43" s="18" t="s">
        <v>179</v>
      </c>
      <c r="BQ43" s="18"/>
      <c r="BR43" s="18"/>
      <c r="BS43" s="18"/>
      <c r="BT43" s="18"/>
      <c r="BU43" s="18"/>
      <c r="BV43" s="18"/>
      <c r="BW43" s="18" t="s">
        <v>179</v>
      </c>
      <c r="BX43" s="18"/>
      <c r="BY43" s="18"/>
      <c r="BZ43" s="18"/>
      <c r="CA43" s="18"/>
      <c r="CB43" s="18"/>
      <c r="CC43" s="18"/>
      <c r="CD43" s="18" t="s">
        <v>179</v>
      </c>
      <c r="CE43" s="18"/>
      <c r="CF43" s="18"/>
      <c r="CG43" s="18"/>
      <c r="CH43" s="18" t="s">
        <v>179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179</v>
      </c>
      <c r="CX43" s="18"/>
      <c r="CY43" s="18"/>
      <c r="CZ43" s="18" t="s">
        <v>179</v>
      </c>
      <c r="DA43" s="18"/>
      <c r="DB43" s="18"/>
      <c r="DC43" s="18" t="s">
        <v>179</v>
      </c>
      <c r="DD43" s="18"/>
      <c r="DE43" s="18"/>
      <c r="DF43" s="18"/>
      <c r="DG43" s="18" t="s">
        <v>179</v>
      </c>
      <c r="DH43" s="18"/>
      <c r="DI43" s="18"/>
      <c r="DJ43" s="18"/>
      <c r="DK43" s="18"/>
      <c r="DL43" s="18"/>
      <c r="DM43" s="18"/>
      <c r="DN43" s="18" t="s">
        <v>179</v>
      </c>
      <c r="DO43" s="18"/>
      <c r="DP43" s="18"/>
      <c r="DQ43" s="18"/>
      <c r="DR43" s="18"/>
      <c r="DS43" s="18"/>
      <c r="DT43" s="18"/>
      <c r="DU43" s="18" t="s">
        <v>179</v>
      </c>
      <c r="DV43" s="18"/>
      <c r="DW43" s="18"/>
      <c r="DX43" s="18"/>
      <c r="DY43" s="18"/>
      <c r="DZ43" s="18"/>
      <c r="EA43" s="18"/>
      <c r="EB43" s="18" t="s">
        <v>179</v>
      </c>
      <c r="EC43" s="18"/>
      <c r="ED43" s="18"/>
      <c r="EE43" s="18"/>
      <c r="EF43" s="18"/>
      <c r="EG43" s="18"/>
      <c r="EH43" s="18"/>
      <c r="EI43" s="18"/>
      <c r="EJ43" s="18" t="s">
        <v>179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180</v>
      </c>
      <c r="C44" s="34" t="s">
        <v>177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181</v>
      </c>
      <c r="C45" s="34" t="s">
        <v>169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183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184</v>
      </c>
      <c r="C48" s="39" t="s">
        <v>185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186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187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188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189</v>
      </c>
      <c r="C51" s="32" t="s">
        <v>190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191</v>
      </c>
      <c r="C52" s="32" t="s">
        <v>190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192</v>
      </c>
      <c r="C53" s="32" t="s">
        <v>190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193</v>
      </c>
      <c r="C54" s="32" t="s">
        <v>190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194</v>
      </c>
      <c r="C55" s="32" t="s">
        <v>190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195</v>
      </c>
      <c r="C56" s="32" t="s">
        <v>140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7.3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13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17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16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196</v>
      </c>
      <c r="C57" s="34" t="s">
        <v>190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197</v>
      </c>
      <c r="C58" s="34" t="s">
        <v>190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198</v>
      </c>
      <c r="C59" s="34" t="s">
        <v>190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199</v>
      </c>
      <c r="C60" s="34" t="s">
        <v>190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200</v>
      </c>
      <c r="C61" s="34" t="s">
        <v>190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201</v>
      </c>
      <c r="C62" s="34" t="s">
        <v>140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6.7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12.7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19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20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202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203</v>
      </c>
      <c r="C65" s="32" t="s">
        <v>204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205</v>
      </c>
      <c r="C66" s="32" t="s">
        <v>206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207</v>
      </c>
      <c r="C67" s="34" t="s">
        <v>204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208</v>
      </c>
      <c r="C68" s="34" t="s">
        <v>206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209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210</v>
      </c>
      <c r="C71" s="34" t="s">
        <v>211</v>
      </c>
      <c r="D71" s="18" t="s">
        <v>212</v>
      </c>
      <c r="E71" s="18"/>
      <c r="F71" s="18"/>
      <c r="G71" s="18" t="s">
        <v>213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214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215</v>
      </c>
      <c r="EK71" s="18"/>
      <c r="EL71" s="18"/>
      <c r="EM71" s="18"/>
      <c r="EN71" s="18"/>
      <c r="EO71" s="18"/>
      <c r="EP71" s="18"/>
      <c r="EQ71" s="18" t="s">
        <v>216</v>
      </c>
      <c r="ER71" s="18"/>
      <c r="ES71" s="18"/>
      <c r="ET71" s="18"/>
      <c r="EU71" s="18"/>
      <c r="EV71" s="18"/>
      <c r="EW71" s="18"/>
      <c r="EX71" s="18" t="s">
        <v>217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218</v>
      </c>
      <c r="C72" s="34" t="s">
        <v>219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220</v>
      </c>
      <c r="C73" s="32" t="s">
        <v>211</v>
      </c>
      <c r="D73" s="18" t="s">
        <v>212</v>
      </c>
      <c r="E73" s="18"/>
      <c r="F73" s="18"/>
      <c r="G73" s="18" t="s">
        <v>213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214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221</v>
      </c>
      <c r="C74" s="32" t="s">
        <v>219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222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223</v>
      </c>
      <c r="C77" s="39" t="s">
        <v>169</v>
      </c>
      <c r="D77" s="18" t="s">
        <v>212</v>
      </c>
      <c r="E77" s="18"/>
      <c r="F77" s="18"/>
      <c r="G77" s="18" t="s">
        <v>224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225</v>
      </c>
      <c r="C78" s="39" t="s">
        <v>226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227</v>
      </c>
      <c r="C79" s="39" t="s">
        <v>226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228</v>
      </c>
      <c r="C80" s="39" t="s">
        <v>226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229</v>
      </c>
      <c r="C81" s="39" t="s">
        <v>226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230</v>
      </c>
      <c r="C82" s="39" t="s">
        <v>226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231</v>
      </c>
      <c r="C83" s="39" t="s">
        <v>226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232</v>
      </c>
      <c r="C84" s="39" t="s">
        <v>226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233</v>
      </c>
      <c r="C85" s="39" t="s">
        <v>226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234</v>
      </c>
      <c r="C86" s="39" t="s">
        <v>226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235</v>
      </c>
      <c r="C87" s="39" t="s">
        <v>169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236</v>
      </c>
      <c r="C88" s="39" t="s">
        <v>237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238</v>
      </c>
      <c r="C89" s="39" t="s">
        <v>237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239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240</v>
      </c>
      <c r="C92" s="32" t="s">
        <v>169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112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112</v>
      </c>
      <c r="CB92" s="18"/>
      <c r="CC92" s="18"/>
      <c r="CD92" s="18"/>
      <c r="CE92" s="18"/>
      <c r="CF92" s="18"/>
      <c r="CG92" s="18"/>
      <c r="CH92" s="18"/>
      <c r="CI92" s="18" t="s">
        <v>241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112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241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242</v>
      </c>
      <c r="C93" s="32" t="s">
        <v>226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243</v>
      </c>
      <c r="C94" s="32" t="s">
        <v>226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244</v>
      </c>
      <c r="C95" s="32" t="s">
        <v>226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245</v>
      </c>
      <c r="C96" s="32" t="s">
        <v>226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246</v>
      </c>
      <c r="C97" s="32" t="s">
        <v>226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247</v>
      </c>
      <c r="C98" s="32" t="s">
        <v>226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248</v>
      </c>
      <c r="C99" s="32" t="s">
        <v>226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249</v>
      </c>
      <c r="C100" s="32" t="s">
        <v>226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250</v>
      </c>
      <c r="C101" s="32" t="s">
        <v>226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251</v>
      </c>
      <c r="C102" s="32" t="s">
        <v>226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252</v>
      </c>
      <c r="C103" s="32" t="s">
        <v>226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253</v>
      </c>
      <c r="C104" s="32" t="s">
        <v>226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254</v>
      </c>
      <c r="C105" s="32" t="s">
        <v>169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255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256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257</v>
      </c>
      <c r="C106" s="32" t="s">
        <v>237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258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259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260</v>
      </c>
      <c r="C107" s="32" t="s">
        <v>237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261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262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263</v>
      </c>
      <c r="C108" s="32" t="s">
        <v>177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264</v>
      </c>
      <c r="C109" s="32" t="s">
        <v>177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265</v>
      </c>
      <c r="C110" s="32" t="s">
        <v>237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266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267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268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269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270</v>
      </c>
      <c r="C113" s="34" t="s">
        <v>169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112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112</v>
      </c>
      <c r="CB113" s="18"/>
      <c r="CC113" s="18"/>
      <c r="CD113" s="18"/>
      <c r="CE113" s="18"/>
      <c r="CF113" s="18"/>
      <c r="CG113" s="18"/>
      <c r="CH113" s="18"/>
      <c r="CI113" s="18" t="s">
        <v>241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112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271</v>
      </c>
      <c r="C114" s="34" t="s">
        <v>226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272</v>
      </c>
      <c r="C115" s="34" t="s">
        <v>226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273</v>
      </c>
      <c r="C116" s="34" t="s">
        <v>226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274</v>
      </c>
      <c r="C117" s="34" t="s">
        <v>226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275</v>
      </c>
      <c r="C118" s="34" t="s">
        <v>226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276</v>
      </c>
      <c r="C119" s="34" t="s">
        <v>226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277</v>
      </c>
      <c r="C120" s="34" t="s">
        <v>226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278</v>
      </c>
      <c r="C121" s="34" t="s">
        <v>226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279</v>
      </c>
      <c r="C122" s="34" t="s">
        <v>226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280</v>
      </c>
      <c r="C123" s="34" t="s">
        <v>226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281</v>
      </c>
      <c r="C124" s="34" t="s">
        <v>226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282</v>
      </c>
      <c r="C125" s="34" t="s">
        <v>226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283</v>
      </c>
      <c r="C126" s="34" t="s">
        <v>169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255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284</v>
      </c>
      <c r="C127" s="34" t="s">
        <v>237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258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285</v>
      </c>
      <c r="C128" s="34" t="s">
        <v>237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261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286</v>
      </c>
      <c r="C129" s="34" t="s">
        <v>177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287</v>
      </c>
      <c r="C130" s="34" t="s">
        <v>177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288</v>
      </c>
      <c r="C131" s="34" t="s">
        <v>237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266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267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268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289</v>
      </c>
    </row>
    <row r="2" customFormat="false" ht="15" hidden="false" customHeight="false" outlineLevel="0" collapsed="false">
      <c r="A2" s="4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BRRI dhan29</v>
      </c>
    </row>
    <row r="4" customFormat="false" ht="15" hidden="false" customHeight="false" outlineLevel="0" collapsed="false">
      <c r="B4" s="15" t="s">
        <v>290</v>
      </c>
      <c r="C4" s="15" t="s">
        <v>291</v>
      </c>
      <c r="D4" s="15" t="s">
        <v>292</v>
      </c>
      <c r="G4" s="15" t="s">
        <v>293</v>
      </c>
      <c r="H4" s="15" t="s">
        <v>291</v>
      </c>
      <c r="I4" s="15" t="s">
        <v>292</v>
      </c>
    </row>
    <row r="5" customFormat="false" ht="15" hidden="false" customHeight="false" outlineLevel="0" collapsed="false">
      <c r="A5" s="45" t="s">
        <v>294</v>
      </c>
      <c r="B5" s="21" t="str">
        <f aca="false">Schedule_Farmer!A5&amp;IF(Schedule_Farmer!E5&lt;&gt;Schedule_Farmer!D5,"  (to "&amp;TEXT(Schedule_Farmer!E5,"dd mmm")&amp;")","")</f>
        <v>Seed wetting</v>
      </c>
      <c r="C5" s="46" t="n">
        <f aca="false">IF(Schedule_Farmer!D5="","",Schedule_Farmer!D5)</f>
        <v>45990</v>
      </c>
      <c r="D5" s="46" t="n">
        <f aca="false">IF(Schedule_Farmer!F5="","",Schedule_Farmer!F5)</f>
        <v>45990</v>
      </c>
      <c r="F5" s="45" t="s">
        <v>294</v>
      </c>
      <c r="G5" s="21" t="str">
        <f aca="false">Schedule_Farmer!A28&amp;IF(Schedule_Farmer!E28&lt;&gt;Schedule_Farmer!D28,"  (to "&amp;TEXT(Schedule_Farmer!E28,"dd mmm")&amp;")","")</f>
        <v>Seed wetting</v>
      </c>
      <c r="H5" s="46" t="n">
        <f aca="false">IF(Schedule_Farmer!D28="","",Schedule_Farmer!D28)</f>
        <v>45990</v>
      </c>
      <c r="I5" s="46" t="n">
        <f aca="false">IF(Schedule_Farmer!F28="","",Schedule_Farmer!F28)</f>
        <v>45990</v>
      </c>
    </row>
    <row r="6" customFormat="false" ht="15" hidden="false" customHeight="false" outlineLevel="0" collapsed="false">
      <c r="A6" s="45" t="s">
        <v>295</v>
      </c>
      <c r="B6" s="21" t="str">
        <f aca="false">Schedule_Farmer!A6&amp;IF(Schedule_Farmer!E6&lt;&gt;Schedule_Farmer!D6,"  (to "&amp;TEXT(Schedule_Farmer!E6,"dd mmm")&amp;")","")</f>
        <v>Sowing</v>
      </c>
      <c r="C6" s="46" t="n">
        <f aca="false">IF(Schedule_Farmer!D6="","",Schedule_Farmer!D6)</f>
        <v>45993</v>
      </c>
      <c r="D6" s="46" t="n">
        <f aca="false">IF(Schedule_Farmer!F6="","",Schedule_Farmer!F6)</f>
        <v>45993</v>
      </c>
      <c r="F6" s="45" t="s">
        <v>295</v>
      </c>
      <c r="G6" s="21" t="str">
        <f aca="false">Schedule_Farmer!A29&amp;IF(Schedule_Farmer!E29&lt;&gt;Schedule_Farmer!D29,"  (to "&amp;TEXT(Schedule_Farmer!E29,"dd mmm")&amp;")","")</f>
        <v>Sowing</v>
      </c>
      <c r="H6" s="46" t="n">
        <f aca="false">IF(Schedule_Farmer!D29="","",Schedule_Farmer!D29)</f>
        <v>45993</v>
      </c>
      <c r="I6" s="46" t="n">
        <f aca="false">IF(Schedule_Farmer!F29="","",Schedule_Farmer!F29)</f>
        <v>45993</v>
      </c>
    </row>
    <row r="7" customFormat="false" ht="15" hidden="false" customHeight="false" outlineLevel="0" collapsed="false">
      <c r="A7" s="45" t="s">
        <v>296</v>
      </c>
      <c r="B7" s="21" t="str">
        <f aca="false">Schedule_Farmer!A7&amp;IF(Schedule_Farmer!E7&lt;&gt;Schedule_Farmer!D7,"  (to "&amp;TEXT(Schedule_Farmer!E7,"dd mmm")&amp;")","")</f>
        <v>Plowing</v>
      </c>
      <c r="C7" s="46" t="n">
        <f aca="false">IF(Schedule_Farmer!D7="","",Schedule_Farmer!D7)</f>
        <v>45999</v>
      </c>
      <c r="D7" s="46" t="str">
        <f aca="false">IF(Schedule_Farmer!F7="","",Schedule_Farmer!F7)</f>
        <v/>
      </c>
      <c r="F7" s="45" t="s">
        <v>296</v>
      </c>
      <c r="G7" s="21" t="str">
        <f aca="false">Schedule_Farmer!A30&amp;IF(Schedule_Farmer!E30&lt;&gt;Schedule_Farmer!D30,"  (to "&amp;TEXT(Schedule_Farmer!E30,"dd mmm")&amp;")","")</f>
        <v>Plowing</v>
      </c>
      <c r="H7" s="46" t="n">
        <f aca="false">IF(Schedule_Farmer!D30="","",Schedule_Farmer!D30)</f>
        <v>45999</v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297</v>
      </c>
      <c r="B8" s="21" t="str">
        <f aca="false">Schedule_Farmer!A8&amp;IF(Schedule_Farmer!E8&lt;&gt;Schedule_Farmer!D8,"  (to "&amp;TEXT(Schedule_Farmer!E8,"dd mmm")&amp;")","")</f>
        <v>Puddling</v>
      </c>
      <c r="C8" s="46" t="n">
        <f aca="false">IF(Schedule_Farmer!D8="","",Schedule_Farmer!D8)</f>
        <v>46029</v>
      </c>
      <c r="D8" s="46" t="str">
        <f aca="false">IF(Schedule_Farmer!F8="","",Schedule_Farmer!F8)</f>
        <v/>
      </c>
      <c r="F8" s="45" t="s">
        <v>297</v>
      </c>
      <c r="G8" s="21" t="str">
        <f aca="false">Schedule_Farmer!A31&amp;IF(Schedule_Farmer!E31&lt;&gt;Schedule_Farmer!D31,"  (to "&amp;TEXT(Schedule_Farmer!E31,"dd mmm")&amp;")","")</f>
        <v>Puddling</v>
      </c>
      <c r="H8" s="46" t="n">
        <f aca="false">IF(Schedule_Farmer!D31="","",Schedule_Farmer!D31)</f>
        <v>46029</v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298</v>
      </c>
      <c r="B9" s="21" t="str">
        <f aca="false">Schedule_Farmer!A9&amp;IF(Schedule_Farmer!E9&lt;&gt;Schedule_Farmer!D9,"  (to "&amp;TEXT(Schedule_Farmer!E9,"dd mmm")&amp;")","")</f>
        <v>Transplanting</v>
      </c>
      <c r="C9" s="46" t="n">
        <f aca="false">IF(Schedule_Farmer!D9="","",Schedule_Farmer!D9)</f>
        <v>46042</v>
      </c>
      <c r="D9" s="46" t="n">
        <f aca="false">IF(Schedule_Farmer!F9="","",Schedule_Farmer!F9)</f>
        <v>46042</v>
      </c>
      <c r="F9" s="45" t="s">
        <v>298</v>
      </c>
      <c r="G9" s="21" t="str">
        <f aca="false">Schedule_Farmer!A32&amp;IF(Schedule_Farmer!E32&lt;&gt;Schedule_Farmer!D32,"  (to "&amp;TEXT(Schedule_Farmer!E32,"dd mmm")&amp;")","")</f>
        <v>Transplanting</v>
      </c>
      <c r="H9" s="46" t="n">
        <f aca="false">IF(Schedule_Farmer!D32="","",Schedule_Farmer!D32)</f>
        <v>46042</v>
      </c>
      <c r="I9" s="46" t="n">
        <f aca="false">IF(Schedule_Farmer!F32="","",Schedule_Farmer!F32)</f>
        <v>46042</v>
      </c>
    </row>
    <row r="10" customFormat="false" ht="15" hidden="false" customHeight="false" outlineLevel="0" collapsed="false">
      <c r="A10" s="45" t="s">
        <v>299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46" t="n">
        <f aca="false">IF(Schedule_Farmer!D10="","",Schedule_Farmer!D10)</f>
        <v>46068</v>
      </c>
      <c r="D10" s="46" t="str">
        <f aca="false">IF(Schedule_Farmer!F10="","",Schedule_Farmer!F10)</f>
        <v/>
      </c>
      <c r="F10" s="45" t="s">
        <v>299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46" t="n">
        <f aca="false">IF(Schedule_Farmer!D33="","",Schedule_Farmer!D33)</f>
        <v>46068</v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300</v>
      </c>
      <c r="B11" s="21" t="str">
        <f aca="false">Schedule_Farmer!A11&amp;IF(Schedule_Farmer!E11&lt;&gt;Schedule_Farmer!D11,"  (to "&amp;TEXT(Schedule_Farmer!E11,"dd mmm")&amp;")","")</f>
        <v>Pitan (conventional mid-season drainage)  (to 22 Feb)</v>
      </c>
      <c r="C11" s="46" t="n">
        <f aca="false">IF(Schedule_Farmer!D11="","",Schedule_Farmer!D11)</f>
        <v>46072</v>
      </c>
      <c r="D11" s="46" t="str">
        <f aca="false">IF(Schedule_Farmer!F11="","",Schedule_Farmer!F11)</f>
        <v/>
      </c>
      <c r="F11" s="45" t="s">
        <v>300</v>
      </c>
      <c r="G11" s="21" t="str">
        <f aca="false">Schedule_Farmer!A34&amp;IF(Schedule_Farmer!E34&lt;&gt;Schedule_Farmer!D34,"  (to "&amp;TEXT(Schedule_Farmer!E34,"dd mmm")&amp;")","")</f>
        <v>Pitan (FP)  (to 27 Feb)</v>
      </c>
      <c r="H11" s="46" t="n">
        <f aca="false">IF(Schedule_Farmer!D34="","",Schedule_Farmer!D34)</f>
        <v>46072</v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301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46" t="n">
        <f aca="false">IF(Schedule_Farmer!D12="","",Schedule_Farmer!D12)</f>
        <v>46069</v>
      </c>
      <c r="D12" s="46" t="str">
        <f aca="false">IF(Schedule_Farmer!F12="","",Schedule_Farmer!F12)</f>
        <v/>
      </c>
      <c r="F12" s="45" t="s">
        <v>301</v>
      </c>
      <c r="G12" s="21" t="str">
        <f aca="false">Schedule_Farmer!A35&amp;IF(Schedule_Farmer!E35&lt;&gt;Schedule_Farmer!D35,"  (to "&amp;TEXT(Schedule_Farmer!E35,"dd mmm")&amp;")","")</f>
        <v>Flooding after Pitan</v>
      </c>
      <c r="H12" s="46" t="n">
        <f aca="false">IF(Schedule_Farmer!D35="","",Schedule_Farmer!D35)</f>
        <v>46080</v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302</v>
      </c>
      <c r="B13" s="21" t="str">
        <f aca="false">Schedule_Farmer!A13&amp;IF(Schedule_Farmer!E13&lt;&gt;Schedule_Farmer!D13,"  (to "&amp;TEXT(Schedule_Farmer!E13,"dd mmm")&amp;")","")</f>
        <v>Mid-season drainage (MD; start = surface water disappears)  (to 28 Feb)</v>
      </c>
      <c r="C13" s="46" t="n">
        <f aca="false">IF(Schedule_Farmer!D13="","",Schedule_Farmer!D13)</f>
        <v>46073</v>
      </c>
      <c r="D13" s="46" t="str">
        <f aca="false">IF(Schedule_Farmer!F13="","",Schedule_Farmer!F13)</f>
        <v/>
      </c>
      <c r="F13" s="45" t="s">
        <v>302</v>
      </c>
      <c r="G13" s="21" t="str">
        <f aca="false">Schedule_Farmer!A36&amp;IF(Schedule_Farmer!E36&lt;&gt;Schedule_Farmer!D36,"  (to "&amp;TEXT(Schedule_Farmer!E36,"dd mmm")&amp;")","")</f>
        <v>Heading</v>
      </c>
      <c r="H13" s="46" t="n">
        <f aca="false">IF(Schedule_Farmer!D36="","",Schedule_Farmer!D36)</f>
        <v>46118</v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303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46" t="n">
        <f aca="false">IF(Schedule_Farmer!D14="","",Schedule_Farmer!D14)</f>
        <v>46079</v>
      </c>
      <c r="D14" s="46" t="str">
        <f aca="false">IF(Schedule_Farmer!F14="","",Schedule_Farmer!F14)</f>
        <v/>
      </c>
      <c r="F14" s="45" t="s">
        <v>303</v>
      </c>
      <c r="G14" s="21" t="str">
        <f aca="false">Schedule_Farmer!A37&amp;IF(Schedule_Farmer!E37&lt;&gt;Schedule_Farmer!D37,"  (to "&amp;TEXT(Schedule_Farmer!E37,"dd mmm")&amp;")","")</f>
        <v>Last irrigation</v>
      </c>
      <c r="H14" s="46" t="n">
        <f aca="false">IF(Schedule_Farmer!D37="","",Schedule_Farmer!D37)</f>
        <v>46131</v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304</v>
      </c>
      <c r="B15" s="21" t="str">
        <f aca="false">Schedule_Farmer!A15&amp;IF(Schedule_Farmer!E15&lt;&gt;Schedule_Farmer!D15,"  (to "&amp;TEXT(Schedule_Farmer!E15,"dd mmm")&amp;")","")</f>
        <v>Flooding (panicle initiation)  (to 16 Mar)</v>
      </c>
      <c r="C15" s="46" t="n">
        <f aca="false">IF(Schedule_Farmer!D15="","",Schedule_Farmer!D15)</f>
        <v>46093</v>
      </c>
      <c r="D15" s="46" t="str">
        <f aca="false">IF(Schedule_Farmer!F15="","",Schedule_Farmer!F15)</f>
        <v/>
      </c>
      <c r="F15" s="45" t="s">
        <v>304</v>
      </c>
      <c r="G15" s="21" t="str">
        <f aca="false">Schedule_Farmer!A38&amp;IF(Schedule_Farmer!E38&lt;&gt;Schedule_Farmer!D38,"  (to "&amp;TEXT(Schedule_Farmer!E38,"dd mmm")&amp;")","")</f>
        <v>Harvest</v>
      </c>
      <c r="H15" s="46" t="n">
        <f aca="false">IF(Schedule_Farmer!D38="","",Schedule_Farmer!D38)</f>
        <v>46146</v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305</v>
      </c>
      <c r="B16" s="21" t="str">
        <f aca="false">Schedule_Farmer!A16&amp;IF(Schedule_Farmer!E16&lt;&gt;Schedule_Farmer!D16,"  (to "&amp;TEXT(Schedule_Farmer!E16,"dd mmm")&amp;")","")</f>
        <v>3F4D-1  (to 23 Mar)</v>
      </c>
      <c r="C16" s="46" t="n">
        <f aca="false">IF(Schedule_Farmer!D16="","",Schedule_Farmer!D16)</f>
        <v>46097</v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306</v>
      </c>
      <c r="B17" s="21" t="str">
        <f aca="false">Schedule_Farmer!A17&amp;IF(Schedule_Farmer!E17&lt;&gt;Schedule_Farmer!D17,"  (to "&amp;TEXT(Schedule_Farmer!E17,"dd mmm")&amp;")","")</f>
        <v>3F4D-2  (to 30 Mar)</v>
      </c>
      <c r="C17" s="46" t="n">
        <f aca="false">IF(Schedule_Farmer!D17="","",Schedule_Farmer!D17)</f>
        <v>46104</v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307</v>
      </c>
      <c r="B18" s="21" t="str">
        <f aca="false">Schedule_Farmer!A18&amp;IF(Schedule_Farmer!E18&lt;&gt;Schedule_Farmer!D18,"  (to "&amp;TEXT(Schedule_Farmer!E18,"dd mmm")&amp;")","")</f>
        <v>3F4D-3  (to 06 Apr)</v>
      </c>
      <c r="C18" s="46" t="n">
        <f aca="false">IF(Schedule_Farmer!D18="","",Schedule_Farmer!D18)</f>
        <v>46111</v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308</v>
      </c>
      <c r="B19" s="21" t="str">
        <f aca="false">Schedule_Farmer!A19&amp;IF(Schedule_Farmer!E19&lt;&gt;Schedule_Farmer!D19,"  (to "&amp;TEXT(Schedule_Farmer!E19,"dd mmm")&amp;")","")</f>
        <v>Heading</v>
      </c>
      <c r="C19" s="46" t="n">
        <f aca="false">IF(Schedule_Farmer!D19="","",Schedule_Farmer!D19)</f>
        <v>46118</v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309</v>
      </c>
      <c r="B20" s="21" t="str">
        <f aca="false">Schedule_Farmer!A20&amp;IF(Schedule_Farmer!E20&lt;&gt;Schedule_Farmer!D20,"  (to "&amp;TEXT(Schedule_Farmer!E20,"dd mmm")&amp;")","")</f>
        <v>3F4D-4  (to 13 Apr)</v>
      </c>
      <c r="C20" s="46" t="n">
        <f aca="false">IF(Schedule_Farmer!D20="","",Schedule_Farmer!D20)</f>
        <v>46118</v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310</v>
      </c>
      <c r="B21" s="21" t="str">
        <f aca="false">Schedule_Farmer!A21&amp;IF(Schedule_Farmer!E21&lt;&gt;Schedule_Farmer!D21,"  (to "&amp;TEXT(Schedule_Farmer!E21,"dd mmm")&amp;")","")</f>
        <v>3F4D-5  (to 20 Apr)</v>
      </c>
      <c r="C21" s="46" t="n">
        <f aca="false">IF(Schedule_Farmer!D21="","",Schedule_Farmer!D21)</f>
        <v>46125</v>
      </c>
      <c r="D21" s="46" t="n">
        <f aca="false">IF(Schedule_Farmer!F21="","",Schedule_Farmer!F21)</f>
        <v>46126</v>
      </c>
    </row>
    <row r="22" customFormat="false" ht="15" hidden="false" customHeight="false" outlineLevel="0" collapsed="false">
      <c r="A22" s="45" t="s">
        <v>311</v>
      </c>
      <c r="B22" s="21" t="str">
        <f aca="false">Schedule_Farmer!A22&amp;IF(Schedule_Farmer!E22&lt;&gt;Schedule_Farmer!D22,"  (to "&amp;TEXT(Schedule_Farmer!E22,"dd mmm")&amp;")","")</f>
        <v>3F4D-6  (to 27 Apr)</v>
      </c>
      <c r="C22" s="46" t="n">
        <f aca="false">IF(Schedule_Farmer!D22="","",Schedule_Farmer!D22)</f>
        <v>46132</v>
      </c>
      <c r="D22" s="46" t="n">
        <f aca="false">IF(Schedule_Farmer!F22="","",Schedule_Farmer!F22)</f>
        <v>46133</v>
      </c>
    </row>
    <row r="23" customFormat="false" ht="15" hidden="false" customHeight="false" outlineLevel="0" collapsed="false">
      <c r="A23" s="45" t="s">
        <v>312</v>
      </c>
      <c r="B23" s="21" t="str">
        <f aca="false">Schedule_Farmer!A23&amp;IF(Schedule_Farmer!E23&lt;&gt;Schedule_Farmer!D23,"  (to "&amp;TEXT(Schedule_Farmer!E23,"dd mmm")&amp;")","")</f>
        <v>3F4D end</v>
      </c>
      <c r="C23" s="46" t="n">
        <f aca="false">IF(Schedule_Farmer!D23="","",Schedule_Farmer!D23)</f>
        <v>46139</v>
      </c>
      <c r="D23" s="46" t="n">
        <f aca="false">IF(Schedule_Farmer!F23="","",Schedule_Farmer!F23)</f>
        <v>46140</v>
      </c>
    </row>
    <row r="24" customFormat="false" ht="15" hidden="false" customHeight="false" outlineLevel="0" collapsed="false">
      <c r="A24" s="45" t="s">
        <v>313</v>
      </c>
      <c r="B24" s="21" t="str">
        <f aca="false">Schedule_Farmer!A24&amp;IF(Schedule_Farmer!E24&lt;&gt;Schedule_Farmer!D24,"  (to "&amp;TEXT(Schedule_Farmer!E24,"dd mmm")&amp;")","")</f>
        <v>Last irrigation</v>
      </c>
      <c r="C24" s="46" t="n">
        <f aca="false">IF(Schedule_Farmer!D24="","",Schedule_Farmer!D24)</f>
        <v>46140</v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314</v>
      </c>
      <c r="B25" s="21" t="str">
        <f aca="false">Schedule_Farmer!A25&amp;IF(Schedule_Farmer!E25&lt;&gt;Schedule_Farmer!D25,"  (to "&amp;TEXT(Schedule_Farmer!E25,"dd mmm")&amp;")","")</f>
        <v>Harvest</v>
      </c>
      <c r="C25" s="46" t="n">
        <f aca="false">IF(Schedule_Farmer!D25="","",Schedule_Farmer!D25)</f>
        <v>46146</v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315</v>
      </c>
    </row>
    <row r="29" customFormat="false" ht="15" hidden="false" customHeight="false" outlineLevel="0" collapsed="false">
      <c r="B29" s="24" t="s">
        <v>316</v>
      </c>
      <c r="C29" s="24" t="s">
        <v>129</v>
      </c>
    </row>
    <row r="30" customFormat="false" ht="15" hidden="false" customHeight="false" outlineLevel="0" collapsed="false">
      <c r="B30" s="21" t="s">
        <v>317</v>
      </c>
      <c r="C30" s="46" t="n">
        <f aca="false">IF(ISNUMBER(SowDate),SowDate+50,"")</f>
        <v>46043</v>
      </c>
    </row>
    <row r="31" customFormat="false" ht="15" hidden="false" customHeight="false" outlineLevel="0" collapsed="false">
      <c r="B31" s="21" t="s">
        <v>318</v>
      </c>
      <c r="C31" s="46" t="n">
        <f aca="false">IF(ISNUMBER(SowDate),SowDate+60,"")</f>
        <v>46053</v>
      </c>
    </row>
    <row r="32" customFormat="false" ht="15" hidden="false" customHeight="false" outlineLevel="0" collapsed="false">
      <c r="B32" s="21" t="s">
        <v>319</v>
      </c>
      <c r="C32" s="46" t="n">
        <f aca="false">IF(ISNUMBER(SowDate),SowDate+70,"")</f>
        <v>46063</v>
      </c>
    </row>
    <row r="33" customFormat="false" ht="15" hidden="false" customHeight="false" outlineLevel="0" collapsed="false">
      <c r="B33" s="21" t="s">
        <v>320</v>
      </c>
      <c r="C33" s="46" t="n">
        <f aca="false">IF(ISNUMBER(SowDate),SowDate+80,"")</f>
        <v>46073</v>
      </c>
    </row>
    <row r="34" customFormat="false" ht="15" hidden="false" customHeight="false" outlineLevel="0" collapsed="false">
      <c r="B34" s="21" t="s">
        <v>321</v>
      </c>
      <c r="C34" s="46" t="n">
        <f aca="false">IF(ISNUMBER(SowDate),SowDate+90,"")</f>
        <v>46083</v>
      </c>
    </row>
    <row r="36" customFormat="false" ht="15" hidden="false" customHeight="false" outlineLevel="0" collapsed="false">
      <c r="B36" s="9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323</v>
      </c>
      <c r="B3" s="14" t="n">
        <f aca="true">TODAY()</f>
        <v>46314</v>
      </c>
    </row>
    <row r="4" customFormat="false" ht="15" hidden="false" customHeight="false" outlineLevel="0" collapsed="false">
      <c r="A4" s="10" t="s">
        <v>132</v>
      </c>
      <c r="B4" s="48" t="n">
        <f aca="true">IF(ISNUMBER(TransDate),TODAY()-TransDate,"")</f>
        <v>272</v>
      </c>
    </row>
    <row r="5" customFormat="false" ht="15" hidden="false" customHeight="false" outlineLevel="0" collapsed="false">
      <c r="A5" s="10" t="s">
        <v>324</v>
      </c>
      <c r="B5" s="49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325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326</v>
      </c>
      <c r="B7" s="48" t="n">
        <f aca="true">IF(B6="","",MAX(0,TODAY()-B6-1))</f>
        <v>177</v>
      </c>
    </row>
    <row r="8" customFormat="false" ht="15" hidden="false" customHeight="false" outlineLevel="0" collapsed="false">
      <c r="A8" s="10" t="s">
        <v>327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328</v>
      </c>
      <c r="C10" s="15" t="s">
        <v>83</v>
      </c>
    </row>
    <row r="11" customFormat="false" ht="15" hidden="false" customHeight="false" outlineLevel="0" collapsed="false">
      <c r="A11" s="10" t="s">
        <v>329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330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331</v>
      </c>
      <c r="B13" s="48" t="str">
        <f aca="false">IF(B12="","",IF(B12&gt;0,"water above the soil surface",IF(B12&lt;0,"water below the soil surface","at the soil surface")))</f>
        <v>water below the soil surface</v>
      </c>
      <c r="C13" s="48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10" t="s">
        <v>332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333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334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335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336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337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338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339</v>
      </c>
      <c r="C22" s="15" t="s">
        <v>129</v>
      </c>
    </row>
    <row r="23" customFormat="false" ht="15" hidden="false" customHeight="false" outlineLevel="0" collapsed="false">
      <c r="A23" s="10" t="s">
        <v>340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341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342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343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344</v>
      </c>
      <c r="B28" s="48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346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23.85" hidden="false" customHeight="false" outlineLevel="0" collapsed="false">
      <c r="A3" s="15" t="s">
        <v>347</v>
      </c>
      <c r="B3" s="15" t="s">
        <v>348</v>
      </c>
      <c r="C3" s="15" t="s">
        <v>349</v>
      </c>
      <c r="D3" s="15" t="s">
        <v>350</v>
      </c>
      <c r="E3" s="15" t="s">
        <v>351</v>
      </c>
      <c r="F3" s="15" t="s">
        <v>352</v>
      </c>
      <c r="G3" s="15" t="s">
        <v>353</v>
      </c>
      <c r="H3" s="15" t="s">
        <v>354</v>
      </c>
      <c r="I3" s="15" t="s">
        <v>355</v>
      </c>
      <c r="J3" s="15" t="s">
        <v>356</v>
      </c>
      <c r="K3" s="15" t="s">
        <v>357</v>
      </c>
      <c r="L3" s="15" t="s">
        <v>358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359</v>
      </c>
    </row>
    <row r="5" customFormat="false" ht="15" hidden="false" customHeight="false" outlineLevel="0" collapsed="false">
      <c r="A5" s="54" t="s">
        <v>212</v>
      </c>
      <c r="B5" s="21" t="s">
        <v>360</v>
      </c>
      <c r="C5" s="21" t="s">
        <v>83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45990</v>
      </c>
      <c r="G5" s="51" t="str">
        <f aca="false">""</f>
        <v/>
      </c>
      <c r="H5" s="50" t="str">
        <f aca="true">IF(D5="","no plan",IF(F5&lt;&gt;"",IF(F5-D5&gt;=2,"LATE","OK"),IF(TODAY()&gt;D5+2,"OVERDUE","upcoming")))</f>
        <v>OK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213</v>
      </c>
      <c r="B6" s="21" t="s">
        <v>361</v>
      </c>
      <c r="C6" s="21" t="s">
        <v>83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45993</v>
      </c>
      <c r="G6" s="51" t="str">
        <f aca="false">""</f>
        <v/>
      </c>
      <c r="H6" s="50" t="str">
        <f aca="true">IF(D6="","no plan",IF(F6&lt;&gt;"",IF(F6-D6&gt;=2,"LATE","OK"),IF(TODAY()&gt;D6+2,"OVERDUE","upcoming")))</f>
        <v>OK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362</v>
      </c>
      <c r="B7" s="21" t="s">
        <v>363</v>
      </c>
      <c r="C7" s="21" t="s">
        <v>83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1" t="str">
        <f aca="false">""</f>
        <v/>
      </c>
      <c r="H7" s="50" t="str">
        <f aca="true">IF(D7="","no plan",IF(F7&lt;&gt;"",IF(F7-D7&gt;=2,"LATE","OK"),IF(TODAY()&gt;D7+2,"OVERDUE","upcoming")))</f>
        <v>OVERDUE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364</v>
      </c>
      <c r="B8" s="21" t="s">
        <v>365</v>
      </c>
      <c r="C8" s="21" t="s">
        <v>83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1" t="str">
        <f aca="false">""</f>
        <v/>
      </c>
      <c r="H8" s="50" t="str">
        <f aca="true">IF(D8="","no plan",IF(F8&lt;&gt;"",IF(F8-D8&gt;=2,"LATE","OK"),IF(TODAY()&gt;D8+2,"OVERDUE","upcoming")))</f>
        <v>OVERDUE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214</v>
      </c>
      <c r="B9" s="21" t="s">
        <v>366</v>
      </c>
      <c r="C9" s="21" t="s">
        <v>83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46042</v>
      </c>
      <c r="G9" s="51" t="str">
        <f aca="false">""</f>
        <v/>
      </c>
      <c r="H9" s="50" t="str">
        <f aca="true">IF(D9="","no plan",IF(F9&lt;&gt;"",IF(F9-D9&gt;=2,"LATE","OK"),IF(TODAY()&gt;D9+2,"OVERDUE","upcoming")))</f>
        <v>OK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367</v>
      </c>
      <c r="B10" s="21" t="s">
        <v>368</v>
      </c>
      <c r="C10" s="21" t="s">
        <v>83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1" t="str">
        <f aca="false">""</f>
        <v/>
      </c>
      <c r="H10" s="50" t="str">
        <f aca="true">IF(D10="","no plan",IF(F10&lt;&gt;"",IF(F10-D10&gt;=2,"LATE","OK"),IF(TODAY()&gt;D10+2,"OVERDUE","upcoming")))</f>
        <v>OVERDUE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369</v>
      </c>
      <c r="B11" s="21" t="s">
        <v>370</v>
      </c>
      <c r="C11" s="21" t="s">
        <v>83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1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50" t="str">
        <f aca="true">IF(D11="","no plan",IF(F11&lt;&gt;"",IF(F11-D11&gt;=2,"LATE","OK"),IF(TODAY()&gt;D11+2,"OVERDUE","upcoming")))</f>
        <v>OVERDUE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371</v>
      </c>
      <c r="B12" s="21" t="s">
        <v>372</v>
      </c>
      <c r="C12" s="21" t="s">
        <v>83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1" t="str">
        <f aca="false">""</f>
        <v/>
      </c>
      <c r="H12" s="50" t="str">
        <f aca="true">IF(D12="","no plan",IF(F12&lt;&gt;"",IF(F12-D12&gt;=2,"LATE","OK"),IF(TODAY()&gt;D12+2,"OVERDUE","upcoming")))</f>
        <v>OVERDUE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373</v>
      </c>
      <c r="B13" s="21" t="s">
        <v>374</v>
      </c>
      <c r="C13" s="21" t="s">
        <v>83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1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50" t="str">
        <f aca="true">IF(D13="","no plan",IF(F13&lt;&gt;"",IF(F13-D13&gt;=2,"LATE","OK"),IF(TODAY()&gt;D13+2,"OVERDUE","upcoming")))</f>
        <v>OVERDUE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375</v>
      </c>
      <c r="B14" s="21" t="s">
        <v>376</v>
      </c>
      <c r="C14" s="21" t="s">
        <v>83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1" t="str">
        <f aca="false">""</f>
        <v/>
      </c>
      <c r="H14" s="50" t="str">
        <f aca="true">IF(D14="","no plan",IF(F14&lt;&gt;"",IF(F14-D14&gt;=2,"LATE","OK"),IF(TODAY()&gt;D14+2,"OVERDUE","upcoming")))</f>
        <v>OVERDUE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377</v>
      </c>
      <c r="B15" s="21" t="s">
        <v>378</v>
      </c>
      <c r="C15" s="21" t="s">
        <v>83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1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50" t="str">
        <f aca="true">IF(D15="","no plan",IF(F15&lt;&gt;"",IF(F15-D15&gt;=2,"LATE","OK"),IF(TODAY()&gt;D15+2,"OVERDUE","upcoming")))</f>
        <v>OVERDUE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379</v>
      </c>
      <c r="B16" s="21" t="s">
        <v>380</v>
      </c>
      <c r="C16" s="21" t="s">
        <v>83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1" t="str">
        <f aca="false">""</f>
        <v/>
      </c>
      <c r="H16" s="50" t="str">
        <f aca="true">IF(D16="","no plan",IF(F16&lt;&gt;"",IF(F16-D16&gt;=2,"LATE","OK"),IF(TODAY()&gt;D16+2,"OVERDUE","upcoming")))</f>
        <v>OVERDUE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381</v>
      </c>
      <c r="B17" s="21" t="s">
        <v>382</v>
      </c>
      <c r="C17" s="21" t="s">
        <v>83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1" t="str">
        <f aca="false">""</f>
        <v/>
      </c>
      <c r="H17" s="50" t="str">
        <f aca="true">IF(D17="","no plan",IF(F17&lt;&gt;"",IF(F17-D17&gt;=2,"LATE","OK"),IF(TODAY()&gt;D17+2,"OVERDUE","upcoming")))</f>
        <v>OVERDUE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383</v>
      </c>
      <c r="B18" s="21" t="s">
        <v>384</v>
      </c>
      <c r="C18" s="21" t="s">
        <v>83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1" t="str">
        <f aca="false">""</f>
        <v/>
      </c>
      <c r="H18" s="50" t="str">
        <f aca="true">IF(D18="","no plan",IF(F18&lt;&gt;"",IF(F18-D18&gt;=2,"LATE","OK"),IF(TODAY()&gt;D18+2,"OVERDUE","upcoming")))</f>
        <v>OVERDUE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385</v>
      </c>
      <c r="B19" s="21" t="s">
        <v>386</v>
      </c>
      <c r="C19" s="21" t="s">
        <v>83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1" t="str">
        <f aca="false">""</f>
        <v/>
      </c>
      <c r="H19" s="50" t="str">
        <f aca="true">IF(D19="","no plan",IF(F19&lt;&gt;"",IF(F19-D19&gt;=2,"LATE","OK"),IF(TODAY()&gt;D19+2,"OVERDUE","upcoming")))</f>
        <v>OVERDUE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387</v>
      </c>
      <c r="B20" s="21" t="s">
        <v>388</v>
      </c>
      <c r="C20" s="21" t="s">
        <v>83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1" t="str">
        <f aca="false">""</f>
        <v/>
      </c>
      <c r="H20" s="50" t="str">
        <f aca="true">IF(D20="","no plan",IF(F20&lt;&gt;"",IF(F20-D20&gt;=2,"LATE","OK"),IF(TODAY()&gt;D20+2,"OVERDUE","upcoming")))</f>
        <v>OVERDUE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389</v>
      </c>
      <c r="B21" s="21" t="s">
        <v>390</v>
      </c>
      <c r="C21" s="21" t="s">
        <v>83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46126</v>
      </c>
      <c r="G21" s="51" t="str">
        <f aca="false">""</f>
        <v/>
      </c>
      <c r="H21" s="50" t="str">
        <f aca="true">IF(D21="","no plan",IF(F21&lt;&gt;"",IF(F21-D21&gt;=2,"LATE","OK"),IF(TODAY()&gt;D21+2,"OVERDUE","upcoming")))</f>
        <v>OK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391</v>
      </c>
      <c r="B22" s="21" t="s">
        <v>392</v>
      </c>
      <c r="C22" s="21" t="s">
        <v>83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46133</v>
      </c>
      <c r="G22" s="51" t="str">
        <f aca="false">""</f>
        <v/>
      </c>
      <c r="H22" s="50" t="str">
        <f aca="true">IF(D22="","no plan",IF(F22&lt;&gt;"",IF(F22-D22&gt;=2,"LATE","OK"),IF(TODAY()&gt;D22+2,"OVERDUE","upcoming")))</f>
        <v>OK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217</v>
      </c>
      <c r="B23" s="21" t="s">
        <v>393</v>
      </c>
      <c r="C23" s="21" t="s">
        <v>83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46140</v>
      </c>
      <c r="G23" s="51" t="str">
        <f aca="false">""</f>
        <v/>
      </c>
      <c r="H23" s="50" t="str">
        <f aca="true">IF(D23="","no plan",IF(F23&lt;&gt;"",IF(F23-D23&gt;=2,"LATE","OK"),IF(TODAY()&gt;D23+2,"OVERDUE","upcoming")))</f>
        <v>OK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394</v>
      </c>
      <c r="B24" s="21" t="s">
        <v>395</v>
      </c>
      <c r="C24" s="21" t="s">
        <v>83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1" t="str">
        <f aca="false">""</f>
        <v/>
      </c>
      <c r="H24" s="50" t="str">
        <f aca="true">IF(D24="","no plan",IF(F24&lt;&gt;"",IF(F24-D24&gt;=2,"LATE","OK"),IF(TODAY()&gt;D24+2,"OVERDUE","upcoming")))</f>
        <v>OVERDUE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396</v>
      </c>
      <c r="B25" s="21" t="s">
        <v>397</v>
      </c>
      <c r="C25" s="21" t="s">
        <v>83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1" t="str">
        <f aca="false">""</f>
        <v/>
      </c>
      <c r="H25" s="50" t="str">
        <f aca="true">IF(D25="","no plan",IF(F25&lt;&gt;"",IF(F25-D25&gt;=2,"LATE","OK"),IF(TODAY()&gt;D25+2,"OVERDUE","upcoming")))</f>
        <v>OVERDUE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398</v>
      </c>
    </row>
    <row r="28" customFormat="false" ht="15" hidden="false" customHeight="false" outlineLevel="0" collapsed="false">
      <c r="A28" s="54" t="s">
        <v>212</v>
      </c>
      <c r="B28" s="21" t="s">
        <v>360</v>
      </c>
      <c r="C28" s="21" t="s">
        <v>328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45990</v>
      </c>
      <c r="G28" s="51" t="str">
        <f aca="false">""</f>
        <v/>
      </c>
      <c r="H28" s="50" t="str">
        <f aca="true">IF(D28="","no plan",IF(F28&lt;&gt;"",IF(F28-D28&gt;=2,"LATE","OK"),IF(TODAY()&gt;D28+2,"OVERDUE","upcoming")))</f>
        <v>OK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213</v>
      </c>
      <c r="B29" s="21" t="s">
        <v>361</v>
      </c>
      <c r="C29" s="21" t="s">
        <v>328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45993</v>
      </c>
      <c r="G29" s="51" t="str">
        <f aca="false">""</f>
        <v/>
      </c>
      <c r="H29" s="50" t="str">
        <f aca="true">IF(D29="","no plan",IF(F29&lt;&gt;"",IF(F29-D29&gt;=2,"LATE","OK"),IF(TODAY()&gt;D29+2,"OVERDUE","upcoming")))</f>
        <v>OK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362</v>
      </c>
      <c r="B30" s="21" t="s">
        <v>363</v>
      </c>
      <c r="C30" s="21" t="s">
        <v>328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1" t="str">
        <f aca="false">""</f>
        <v/>
      </c>
      <c r="H30" s="50" t="str">
        <f aca="true">IF(D30="","no plan",IF(F30&lt;&gt;"",IF(F30-D30&gt;=2,"LATE","OK"),IF(TODAY()&gt;D30+2,"OVERDUE","upcoming")))</f>
        <v>OVERDUE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364</v>
      </c>
      <c r="B31" s="21" t="s">
        <v>365</v>
      </c>
      <c r="C31" s="21" t="s">
        <v>328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1" t="str">
        <f aca="false">""</f>
        <v/>
      </c>
      <c r="H31" s="50" t="str">
        <f aca="true">IF(D31="","no plan",IF(F31&lt;&gt;"",IF(F31-D31&gt;=2,"LATE","OK"),IF(TODAY()&gt;D31+2,"OVERDUE","upcoming")))</f>
        <v>OVERDUE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214</v>
      </c>
      <c r="B32" s="21" t="s">
        <v>366</v>
      </c>
      <c r="C32" s="21" t="s">
        <v>328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46042</v>
      </c>
      <c r="G32" s="51" t="str">
        <f aca="false">""</f>
        <v/>
      </c>
      <c r="H32" s="50" t="str">
        <f aca="true">IF(D32="","no plan",IF(F32&lt;&gt;"",IF(F32-D32&gt;=2,"LATE","OK"),IF(TODAY()&gt;D32+2,"OVERDUE","upcoming")))</f>
        <v>OK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367</v>
      </c>
      <c r="B33" s="21" t="s">
        <v>368</v>
      </c>
      <c r="C33" s="21" t="s">
        <v>328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1" t="str">
        <f aca="false">""</f>
        <v/>
      </c>
      <c r="H33" s="50" t="str">
        <f aca="true">IF(D33="","no plan",IF(F33&lt;&gt;"",IF(F33-D33&gt;=2,"LATE","OK"),IF(TODAY()&gt;D33+2,"OVERDUE","upcoming")))</f>
        <v>OVERDUE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399</v>
      </c>
      <c r="B34" s="21" t="s">
        <v>370</v>
      </c>
      <c r="C34" s="21" t="s">
        <v>328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1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50" t="str">
        <f aca="true">IF(D34="","no plan",IF(F34&lt;&gt;"",IF(F34-D34&gt;=2,"LATE","OK"),IF(TODAY()&gt;D34+2,"OVERDUE","upcoming")))</f>
        <v>OVERDUE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400</v>
      </c>
      <c r="B35" s="21" t="s">
        <v>378</v>
      </c>
      <c r="C35" s="21" t="s">
        <v>328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1" t="str">
        <f aca="false">""</f>
        <v/>
      </c>
      <c r="H35" s="50" t="str">
        <f aca="true">IF(D35="","no plan",IF(F35&lt;&gt;"",IF(F35-D35&gt;=2,"LATE","OK"),IF(TODAY()&gt;D35+2,"OVERDUE","upcoming")))</f>
        <v>OVERDUE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385</v>
      </c>
      <c r="B36" s="21" t="s">
        <v>386</v>
      </c>
      <c r="C36" s="21" t="s">
        <v>328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1" t="str">
        <f aca="false">""</f>
        <v/>
      </c>
      <c r="H36" s="50" t="str">
        <f aca="true">IF(D36="","no plan",IF(F36&lt;&gt;"",IF(F36-D36&gt;=2,"LATE","OK"),IF(TODAY()&gt;D36+2,"OVERDUE","upcoming")))</f>
        <v>OVERDUE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394</v>
      </c>
      <c r="B37" s="21" t="s">
        <v>395</v>
      </c>
      <c r="C37" s="21" t="s">
        <v>328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1" t="str">
        <f aca="false">""</f>
        <v/>
      </c>
      <c r="H37" s="50" t="str">
        <f aca="true">IF(D37="","no plan",IF(F37&lt;&gt;"",IF(F37-D37&gt;=2,"LATE","OK"),IF(TODAY()&gt;D37+2,"OVERDUE","upcoming")))</f>
        <v>OVERDUE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396</v>
      </c>
      <c r="B38" s="21" t="s">
        <v>397</v>
      </c>
      <c r="C38" s="21" t="s">
        <v>328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1" t="str">
        <f aca="false">""</f>
        <v/>
      </c>
      <c r="H38" s="50" t="str">
        <f aca="true">IF(D38="","no plan",IF(F38&lt;&gt;"",IF(F38-D38&gt;=2,"LATE","OK"),IF(TODAY()&gt;D38+2,"OVERDUE","upcoming")))</f>
        <v>OVERDUE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401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4" t="s">
        <v>402</v>
      </c>
      <c r="C1" s="24" t="s">
        <v>403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48" t="s">
        <v>131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48" t="s">
        <v>132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8" t="s">
        <v>404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405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134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406</v>
      </c>
      <c r="B7" s="38" t="s">
        <v>407</v>
      </c>
    </row>
    <row r="8" customFormat="false" ht="15" hidden="false" customHeight="false" outlineLevel="0" collapsed="false">
      <c r="A8" s="37" t="s">
        <v>406</v>
      </c>
      <c r="B8" s="38" t="s">
        <v>164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406</v>
      </c>
      <c r="B9" s="38" t="s">
        <v>408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406</v>
      </c>
      <c r="B10" s="38" t="s">
        <v>409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328</v>
      </c>
      <c r="B11" s="17" t="s">
        <v>410</v>
      </c>
    </row>
    <row r="12" customFormat="false" ht="15" hidden="false" customHeight="false" outlineLevel="0" collapsed="false">
      <c r="A12" s="31" t="s">
        <v>328</v>
      </c>
      <c r="B12" s="17" t="s">
        <v>411</v>
      </c>
      <c r="C12" s="27" t="str">
        <f aca="false">COUNT($D$12:$FQ$12)&amp;" days"</f>
        <v>93 days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328</v>
      </c>
      <c r="B13" s="17" t="s">
        <v>412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328</v>
      </c>
      <c r="B14" s="17" t="s">
        <v>413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328</v>
      </c>
      <c r="B15" s="17" t="s">
        <v>414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328</v>
      </c>
      <c r="B16" s="17" t="s">
        <v>415</v>
      </c>
      <c r="C16" s="27" t="str">
        <f aca="false">COUNT($D$21:$FQ$21)&amp;" irrig."</f>
        <v>21 irrig.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328</v>
      </c>
      <c r="B17" s="17" t="s">
        <v>416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328</v>
      </c>
      <c r="B18" s="17" t="s">
        <v>417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328</v>
      </c>
      <c r="B19" s="17" t="s">
        <v>418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328</v>
      </c>
      <c r="B20" s="17" t="s">
        <v>419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328</v>
      </c>
      <c r="B21" s="17" t="s">
        <v>420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328</v>
      </c>
      <c r="B22" s="17" t="s">
        <v>421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1" t="s">
        <v>328</v>
      </c>
      <c r="B23" s="17" t="s">
        <v>422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328</v>
      </c>
      <c r="B24" s="17" t="s">
        <v>423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328</v>
      </c>
      <c r="B25" s="17" t="s">
        <v>424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Good</v>
      </c>
      <c r="BE25" s="57" t="str">
        <f aca="false">IF(2_Daily_input!BE33="","",2_Daily_input!BE33)</f>
        <v>Good</v>
      </c>
      <c r="BF25" s="57" t="str">
        <f aca="false">IF(2_Daily_input!BF33="","",2_Daily_input!BF33)</f>
        <v>Good</v>
      </c>
      <c r="BG25" s="57" t="str">
        <f aca="false">IF(2_Daily_input!BG33="","",2_Daily_input!BG33)</f>
        <v>Good</v>
      </c>
      <c r="BH25" s="57" t="str">
        <f aca="false">IF(2_Daily_input!BH33="","",2_Daily_input!BH33)</f>
        <v>Good</v>
      </c>
      <c r="BI25" s="57" t="str">
        <f aca="false">IF(2_Daily_input!BI33="","",2_Daily_input!BI33)</f>
        <v>Good</v>
      </c>
      <c r="BJ25" s="57" t="str">
        <f aca="false">IF(2_Daily_input!BJ33="","",2_Daily_input!BJ33)</f>
        <v>Good</v>
      </c>
      <c r="BK25" s="57" t="str">
        <f aca="false">IF(2_Daily_input!BK33="","",2_Daily_input!BK33)</f>
        <v>Good</v>
      </c>
      <c r="BL25" s="57" t="str">
        <f aca="false">IF(2_Daily_input!BL33="","",2_Daily_input!BL33)</f>
        <v>Good</v>
      </c>
      <c r="BM25" s="57" t="str">
        <f aca="false">IF(2_Daily_input!BM33="","",2_Daily_input!BM33)</f>
        <v>Good</v>
      </c>
      <c r="BN25" s="57" t="str">
        <f aca="false">IF(2_Daily_input!BN33="","",2_Daily_input!BN33)</f>
        <v>Good</v>
      </c>
      <c r="BO25" s="57" t="str">
        <f aca="false">IF(2_Daily_input!BO33="","",2_Daily_input!BO33)</f>
        <v>Good</v>
      </c>
      <c r="BP25" s="57" t="str">
        <f aca="false">IF(2_Daily_input!BP33="","",2_Daily_input!BP33)</f>
        <v>Good</v>
      </c>
      <c r="BQ25" s="57" t="str">
        <f aca="false">IF(2_Daily_input!BQ33="","",2_Daily_input!BQ33)</f>
        <v>Good</v>
      </c>
      <c r="BR25" s="57" t="str">
        <f aca="false">IF(2_Daily_input!BR33="","",2_Daily_input!BR33)</f>
        <v>Good</v>
      </c>
      <c r="BS25" s="57" t="str">
        <f aca="false">IF(2_Daily_input!BS33="","",2_Daily_input!BS33)</f>
        <v>Good</v>
      </c>
      <c r="BT25" s="57" t="str">
        <f aca="false">IF(2_Daily_input!BT33="","",2_Daily_input!BT33)</f>
        <v>Good</v>
      </c>
      <c r="BU25" s="57" t="str">
        <f aca="false">IF(2_Daily_input!BU33="","",2_Daily_input!BU33)</f>
        <v>Good</v>
      </c>
      <c r="BV25" s="57" t="str">
        <f aca="false">IF(2_Daily_input!BV33="","",2_Daily_input!BV33)</f>
        <v>Good</v>
      </c>
      <c r="BW25" s="57" t="str">
        <f aca="false">IF(2_Daily_input!BW33="","",2_Daily_input!BW33)</f>
        <v>Good</v>
      </c>
      <c r="BX25" s="57" t="str">
        <f aca="false">IF(2_Daily_input!BX33="","",2_Daily_input!BX33)</f>
        <v>Good</v>
      </c>
      <c r="BY25" s="57" t="str">
        <f aca="false">IF(2_Daily_input!BY33="","",2_Daily_input!BY33)</f>
        <v>Good</v>
      </c>
      <c r="BZ25" s="57" t="str">
        <f aca="false">IF(2_Daily_input!BZ33="","",2_Daily_input!BZ33)</f>
        <v>Good</v>
      </c>
      <c r="CA25" s="57" t="str">
        <f aca="false">IF(2_Daily_input!CA33="","",2_Daily_input!CA33)</f>
        <v/>
      </c>
      <c r="CB25" s="57" t="str">
        <f aca="false">IF(2_Daily_input!CB33="","",2_Daily_input!CB33)</f>
        <v>Good</v>
      </c>
      <c r="CC25" s="57" t="str">
        <f aca="false">IF(2_Daily_input!CC33="","",2_Daily_input!CC33)</f>
        <v>Good</v>
      </c>
      <c r="CD25" s="57" t="str">
        <f aca="false">IF(2_Daily_input!CD33="","",2_Daily_input!CD33)</f>
        <v>Good</v>
      </c>
      <c r="CE25" s="57" t="str">
        <f aca="false">IF(2_Daily_input!CE33="","",2_Daily_input!CE33)</f>
        <v>Good</v>
      </c>
      <c r="CF25" s="57" t="str">
        <f aca="false">IF(2_Daily_input!CF33="","",2_Daily_input!CF33)</f>
        <v>Good</v>
      </c>
      <c r="CG25" s="57" t="str">
        <f aca="false">IF(2_Daily_input!CG33="","",2_Daily_input!CG33)</f>
        <v>Good</v>
      </c>
      <c r="CH25" s="57" t="str">
        <f aca="false">IF(2_Daily_input!CH33="","",2_Daily_input!CH33)</f>
        <v>Good</v>
      </c>
      <c r="CI25" s="57" t="str">
        <f aca="false">IF(2_Daily_input!CI33="","",2_Daily_input!CI33)</f>
        <v>Good</v>
      </c>
      <c r="CJ25" s="57" t="str">
        <f aca="false">IF(2_Daily_input!CJ33="","",2_Daily_input!CJ33)</f>
        <v>Good</v>
      </c>
      <c r="CK25" s="57" t="str">
        <f aca="false">IF(2_Daily_input!CK33="","",2_Daily_input!CK33)</f>
        <v>Good</v>
      </c>
      <c r="CL25" s="57" t="str">
        <f aca="false">IF(2_Daily_input!CL33="","",2_Daily_input!CL33)</f>
        <v>Good</v>
      </c>
      <c r="CM25" s="57" t="str">
        <f aca="false">IF(2_Daily_input!CM33="","",2_Daily_input!CM33)</f>
        <v>Good</v>
      </c>
      <c r="CN25" s="57" t="str">
        <f aca="false">IF(2_Daily_input!CN33="","",2_Daily_input!CN33)</f>
        <v>Good</v>
      </c>
      <c r="CO25" s="57" t="str">
        <f aca="false">IF(2_Daily_input!CO33="","",2_Daily_input!CO33)</f>
        <v>Good</v>
      </c>
      <c r="CP25" s="57" t="str">
        <f aca="false">IF(2_Daily_input!CP33="","",2_Daily_input!CP33)</f>
        <v>Good</v>
      </c>
      <c r="CQ25" s="57" t="str">
        <f aca="false">IF(2_Daily_input!CQ33="","",2_Daily_input!CQ33)</f>
        <v>Good</v>
      </c>
      <c r="CR25" s="57" t="str">
        <f aca="false">IF(2_Daily_input!CR33="","",2_Daily_input!CR33)</f>
        <v>Good</v>
      </c>
      <c r="CS25" s="57" t="str">
        <f aca="false">IF(2_Daily_input!CS33="","",2_Daily_input!CS33)</f>
        <v>Good</v>
      </c>
      <c r="CT25" s="57" t="str">
        <f aca="false">IF(2_Daily_input!CT33="","",2_Daily_input!CT33)</f>
        <v>Good</v>
      </c>
      <c r="CU25" s="57" t="str">
        <f aca="false">IF(2_Daily_input!CU33="","",2_Daily_input!CU33)</f>
        <v>Good</v>
      </c>
      <c r="CV25" s="57" t="str">
        <f aca="false">IF(2_Daily_input!CV33="","",2_Daily_input!CV33)</f>
        <v>Good</v>
      </c>
      <c r="CW25" s="57" t="str">
        <f aca="false">IF(2_Daily_input!CW33="","",2_Daily_input!CW33)</f>
        <v>Good</v>
      </c>
      <c r="CX25" s="57" t="str">
        <f aca="false">IF(2_Daily_input!CX33="","",2_Daily_input!CX33)</f>
        <v>Good</v>
      </c>
      <c r="CY25" s="57" t="str">
        <f aca="false">IF(2_Daily_input!CY33="","",2_Daily_input!CY33)</f>
        <v>Good</v>
      </c>
      <c r="CZ25" s="57" t="str">
        <f aca="false">IF(2_Daily_input!CZ33="","",2_Daily_input!CZ33)</f>
        <v>Good</v>
      </c>
      <c r="DA25" s="57" t="str">
        <f aca="false">IF(2_Daily_input!DA33="","",2_Daily_input!DA33)</f>
        <v>Good</v>
      </c>
      <c r="DB25" s="57" t="str">
        <f aca="false">IF(2_Daily_input!DB33="","",2_Daily_input!DB33)</f>
        <v>Good</v>
      </c>
      <c r="DC25" s="57" t="str">
        <f aca="false">IF(2_Daily_input!DC33="","",2_Daily_input!DC33)</f>
        <v>Good</v>
      </c>
      <c r="DD25" s="57" t="str">
        <f aca="false">IF(2_Daily_input!DD33="","",2_Daily_input!DD33)</f>
        <v>Good</v>
      </c>
      <c r="DE25" s="57" t="str">
        <f aca="false">IF(2_Daily_input!DE33="","",2_Daily_input!DE33)</f>
        <v>Good</v>
      </c>
      <c r="DF25" s="57" t="str">
        <f aca="false">IF(2_Daily_input!DF33="","",2_Daily_input!DF33)</f>
        <v>Good</v>
      </c>
      <c r="DG25" s="57" t="str">
        <f aca="false">IF(2_Daily_input!DG33="","",2_Daily_input!DG33)</f>
        <v>Good</v>
      </c>
      <c r="DH25" s="57" t="str">
        <f aca="false">IF(2_Daily_input!DH33="","",2_Daily_input!DH33)</f>
        <v>Good</v>
      </c>
      <c r="DI25" s="57" t="str">
        <f aca="false">IF(2_Daily_input!DI33="","",2_Daily_input!DI33)</f>
        <v>Good</v>
      </c>
      <c r="DJ25" s="57" t="str">
        <f aca="false">IF(2_Daily_input!DJ33="","",2_Daily_input!DJ33)</f>
        <v>Good</v>
      </c>
      <c r="DK25" s="57" t="str">
        <f aca="false">IF(2_Daily_input!DK33="","",2_Daily_input!DK33)</f>
        <v>Good</v>
      </c>
      <c r="DL25" s="57" t="str">
        <f aca="false">IF(2_Daily_input!DL33="","",2_Daily_input!DL33)</f>
        <v/>
      </c>
      <c r="DM25" s="57" t="str">
        <f aca="false">IF(2_Daily_input!DM33="","",2_Daily_input!DM33)</f>
        <v>Good</v>
      </c>
      <c r="DN25" s="57" t="str">
        <f aca="false">IF(2_Daily_input!DN33="","",2_Daily_input!DN33)</f>
        <v>Good</v>
      </c>
      <c r="DO25" s="57" t="str">
        <f aca="false">IF(2_Daily_input!DO33="","",2_Daily_input!DO33)</f>
        <v>Good</v>
      </c>
      <c r="DP25" s="57" t="str">
        <f aca="false">IF(2_Daily_input!DP33="","",2_Daily_input!DP33)</f>
        <v>Good</v>
      </c>
      <c r="DQ25" s="57" t="str">
        <f aca="false">IF(2_Daily_input!DQ33="","",2_Daily_input!DQ33)</f>
        <v>Good</v>
      </c>
      <c r="DR25" s="57" t="str">
        <f aca="false">IF(2_Daily_input!DR33="","",2_Daily_input!DR33)</f>
        <v>Good</v>
      </c>
      <c r="DS25" s="57" t="str">
        <f aca="false">IF(2_Daily_input!DS33="","",2_Daily_input!DS33)</f>
        <v>Good</v>
      </c>
      <c r="DT25" s="57" t="str">
        <f aca="false">IF(2_Daily_input!DT33="","",2_Daily_input!DT33)</f>
        <v>Good</v>
      </c>
      <c r="DU25" s="57" t="str">
        <f aca="false">IF(2_Daily_input!DU33="","",2_Daily_input!DU33)</f>
        <v>Good</v>
      </c>
      <c r="DV25" s="57" t="str">
        <f aca="false">IF(2_Daily_input!DV33="","",2_Daily_input!DV33)</f>
        <v>Good</v>
      </c>
      <c r="DW25" s="57" t="str">
        <f aca="false">IF(2_Daily_input!DW33="","",2_Daily_input!DW33)</f>
        <v>Good</v>
      </c>
      <c r="DX25" s="57" t="str">
        <f aca="false">IF(2_Daily_input!DX33="","",2_Daily_input!DX33)</f>
        <v>Good</v>
      </c>
      <c r="DY25" s="57" t="str">
        <f aca="false">IF(2_Daily_input!DY33="","",2_Daily_input!DY33)</f>
        <v>Good</v>
      </c>
      <c r="DZ25" s="57" t="str">
        <f aca="false">IF(2_Daily_input!DZ33="","",2_Daily_input!DZ33)</f>
        <v>Good</v>
      </c>
      <c r="EA25" s="57" t="str">
        <f aca="false">IF(2_Daily_input!EA33="","",2_Daily_input!EA33)</f>
        <v>Good</v>
      </c>
      <c r="EB25" s="57" t="str">
        <f aca="false">IF(2_Daily_input!EB33="","",2_Daily_input!EB33)</f>
        <v>Good</v>
      </c>
      <c r="EC25" s="57" t="str">
        <f aca="false">IF(2_Daily_input!EC33="","",2_Daily_input!EC33)</f>
        <v>Good</v>
      </c>
      <c r="ED25" s="57" t="str">
        <f aca="false">IF(2_Daily_input!ED33="","",2_Daily_input!ED33)</f>
        <v>Good</v>
      </c>
      <c r="EE25" s="57" t="str">
        <f aca="false">IF(2_Daily_input!EE33="","",2_Daily_input!EE33)</f>
        <v>Good</v>
      </c>
      <c r="EF25" s="57" t="str">
        <f aca="false">IF(2_Daily_input!EF33="","",2_Daily_input!EF33)</f>
        <v>Good</v>
      </c>
      <c r="EG25" s="57" t="str">
        <f aca="false">IF(2_Daily_input!EG33="","",2_Daily_input!EG33)</f>
        <v>Good</v>
      </c>
      <c r="EH25" s="57" t="str">
        <f aca="false">IF(2_Daily_input!EH33="","",2_Daily_input!EH33)</f>
        <v>Good</v>
      </c>
      <c r="EI25" s="57" t="str">
        <f aca="false">IF(2_Daily_input!EI33="","",2_Daily_input!EI33)</f>
        <v>Good</v>
      </c>
      <c r="EJ25" s="57" t="str">
        <f aca="false">IF(2_Daily_input!EJ33="","",2_Daily_input!EJ33)</f>
        <v>Good</v>
      </c>
      <c r="EK25" s="57" t="str">
        <f aca="false">IF(2_Daily_input!EK33="","",2_Daily_input!EK33)</f>
        <v>Good</v>
      </c>
      <c r="EL25" s="57" t="str">
        <f aca="false">IF(2_Daily_input!EL33="","",2_Daily_input!EL33)</f>
        <v>Good</v>
      </c>
      <c r="EM25" s="57" t="str">
        <f aca="false">IF(2_Daily_input!EM33="","",2_Daily_input!EM33)</f>
        <v>Good</v>
      </c>
      <c r="EN25" s="57" t="str">
        <f aca="false">IF(2_Daily_input!EN33="","",2_Daily_input!EN33)</f>
        <v>Good</v>
      </c>
      <c r="EO25" s="57" t="str">
        <f aca="false">IF(2_Daily_input!EO33="","",2_Daily_input!EO33)</f>
        <v>Good</v>
      </c>
      <c r="EP25" s="57" t="str">
        <f aca="false">IF(2_Daily_input!EP33="","",2_Daily_input!EP33)</f>
        <v>Good</v>
      </c>
      <c r="EQ25" s="57" t="str">
        <f aca="false">IF(2_Daily_input!EQ33="","",2_Daily_input!EQ33)</f>
        <v>Good</v>
      </c>
      <c r="ER25" s="57" t="str">
        <f aca="false">IF(2_Daily_input!ER33="","",2_Daily_input!ER33)</f>
        <v>Good</v>
      </c>
      <c r="ES25" s="57" t="str">
        <f aca="false">IF(2_Daily_input!ES33="","",2_Daily_input!ES33)</f>
        <v>Good</v>
      </c>
      <c r="ET25" s="57" t="str">
        <f aca="false">IF(2_Daily_input!ET33="","",2_Daily_input!ET33)</f>
        <v>Good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328</v>
      </c>
      <c r="B26" s="17" t="s">
        <v>425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328</v>
      </c>
      <c r="B27" s="17" t="s">
        <v>426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Irrigation</v>
      </c>
      <c r="BF27" s="57" t="str">
        <f aca="false">IF(2_Daily_input!BF35="","",2_Daily_input!BF35)</f>
        <v/>
      </c>
      <c r="BG27" s="57" t="str">
        <f aca="false">IF(2_Daily_input!BG35="","",2_Daily_input!BG35)</f>
        <v>Irrigation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Irrigation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Irrigation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Irrigation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Irrigation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Irrigation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Irrigation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Irrigation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Irrigation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Irrigation</v>
      </c>
      <c r="DJ27" s="57" t="str">
        <f aca="false">IF(2_Daily_input!DJ35="","",2_Daily_input!DJ35)</f>
        <v>Irrigation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Irrigation</v>
      </c>
      <c r="DN27" s="57" t="str">
        <f aca="false">IF(2_Daily_input!DN35="","",2_Daily_input!DN35)</f>
        <v/>
      </c>
      <c r="DO27" s="57" t="str">
        <f aca="false">IF(2_Daily_input!DO35="","",2_Daily_input!DO35)</f>
        <v>Irrigation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Irrigation</v>
      </c>
      <c r="DS27" s="57" t="str">
        <f aca="false">IF(2_Daily_input!DS35="","",2_Daily_input!DS35)</f>
        <v/>
      </c>
      <c r="DT27" s="57" t="str">
        <f aca="false">IF(2_Daily_input!DT35="","",2_Daily_input!DT35)</f>
        <v>Irrigation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Irrigation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Irrigation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Irrigation</v>
      </c>
      <c r="EI27" s="57" t="str">
        <f aca="false">IF(2_Daily_input!EI35="","",2_Daily_input!EI35)</f>
        <v/>
      </c>
      <c r="EJ27" s="57" t="str">
        <f aca="false">IF(2_Daily_input!EJ35="","",2_Daily_input!EJ35)</f>
        <v>Irrigation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Irrigation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328</v>
      </c>
      <c r="B28" s="17" t="s">
        <v>427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328</v>
      </c>
      <c r="B29" s="17" t="s">
        <v>428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328</v>
      </c>
      <c r="B30" s="17" t="s">
        <v>429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328</v>
      </c>
      <c r="B31" s="59" t="s">
        <v>430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1" t="s">
        <v>328</v>
      </c>
      <c r="B32" s="59" t="s">
        <v>431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1.6</v>
      </c>
      <c r="BF32" s="27" t="n">
        <f aca="false">IF(BF13="","",IF(ISNUMBER(BF20),BF20,BF13))</f>
        <v>1.5</v>
      </c>
      <c r="BG32" s="27" t="n">
        <f aca="false">IF(BG13="","",IF(ISNUMBER(BG20),BG20,BG13))</f>
        <v>3.5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3.4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3.5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2.4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1.5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3.5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2.5</v>
      </c>
      <c r="DJ32" s="27" t="n">
        <f aca="false">IF(DJ13="","",IF(ISNUMBER(DJ20),DJ20,DJ13))</f>
        <v>2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</v>
      </c>
      <c r="DN32" s="27" t="n">
        <f aca="false">IF(DN13="","",IF(ISNUMBER(DN20),DN20,DN13))</f>
        <v>0.9</v>
      </c>
      <c r="DO32" s="27" t="n">
        <f aca="false">IF(DO13="","",IF(ISNUMBER(DO20),DO20,DO13))</f>
        <v>2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</v>
      </c>
      <c r="DS32" s="27" t="n">
        <f aca="false">IF(DS13="","",IF(ISNUMBER(DS20),DS20,DS13))</f>
        <v>0.5</v>
      </c>
      <c r="DT32" s="27" t="n">
        <f aca="false">IF(DT13="","",IF(ISNUMBER(DT20),DT20,DT13))</f>
        <v>2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2.2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</v>
      </c>
      <c r="EI32" s="27" t="n">
        <f aca="false">IF(EI13="","",IF(ISNUMBER(EI20),EI20,EI13))</f>
        <v>1.5</v>
      </c>
      <c r="EJ32" s="27" t="n">
        <f aca="false">IF(EJ13="","",IF(ISNUMBER(EJ20),EJ20,EJ13))</f>
        <v>3.5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328</v>
      </c>
      <c r="B33" s="59" t="s">
        <v>432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83</v>
      </c>
      <c r="B36" s="20" t="s">
        <v>359</v>
      </c>
    </row>
    <row r="37" customFormat="false" ht="15" hidden="false" customHeight="false" outlineLevel="0" collapsed="false">
      <c r="A37" s="33" t="s">
        <v>83</v>
      </c>
      <c r="B37" s="20" t="s">
        <v>411</v>
      </c>
      <c r="C37" s="27" t="str">
        <f aca="false">COUNT($D$37:$FQ$37)&amp;" days"</f>
        <v>93 days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83</v>
      </c>
      <c r="B38" s="20" t="s">
        <v>412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83</v>
      </c>
      <c r="B39" s="20" t="s">
        <v>413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83</v>
      </c>
      <c r="B40" s="20" t="s">
        <v>414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83</v>
      </c>
      <c r="B41" s="20" t="s">
        <v>415</v>
      </c>
      <c r="C41" s="27" t="str">
        <f aca="false">COUNT($D$46:$FQ$46)&amp;" irrig."</f>
        <v>15 irrig.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83</v>
      </c>
      <c r="B42" s="20" t="s">
        <v>416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83</v>
      </c>
      <c r="B43" s="20" t="s">
        <v>417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83</v>
      </c>
      <c r="B44" s="20" t="s">
        <v>418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83</v>
      </c>
      <c r="B45" s="20" t="s">
        <v>419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83</v>
      </c>
      <c r="B46" s="20" t="s">
        <v>420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83</v>
      </c>
      <c r="B47" s="20" t="s">
        <v>421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3" t="s">
        <v>83</v>
      </c>
      <c r="B48" s="20" t="s">
        <v>422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83</v>
      </c>
      <c r="B49" s="20" t="s">
        <v>423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83</v>
      </c>
      <c r="B50" s="20" t="s">
        <v>424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Good</v>
      </c>
      <c r="BE50" s="57" t="str">
        <f aca="false">IF(2_Daily_input!BE41="","",2_Daily_input!BE41)</f>
        <v>Good</v>
      </c>
      <c r="BF50" s="57" t="str">
        <f aca="false">IF(2_Daily_input!BF41="","",2_Daily_input!BF41)</f>
        <v>Good</v>
      </c>
      <c r="BG50" s="57" t="str">
        <f aca="false">IF(2_Daily_input!BG41="","",2_Daily_input!BG41)</f>
        <v>Good</v>
      </c>
      <c r="BH50" s="57" t="str">
        <f aca="false">IF(2_Daily_input!BH41="","",2_Daily_input!BH41)</f>
        <v>Good</v>
      </c>
      <c r="BI50" s="57" t="str">
        <f aca="false">IF(2_Daily_input!BI41="","",2_Daily_input!BI41)</f>
        <v>Good</v>
      </c>
      <c r="BJ50" s="57" t="str">
        <f aca="false">IF(2_Daily_input!BJ41="","",2_Daily_input!BJ41)</f>
        <v>Good</v>
      </c>
      <c r="BK50" s="57" t="str">
        <f aca="false">IF(2_Daily_input!BK41="","",2_Daily_input!BK41)</f>
        <v>Good</v>
      </c>
      <c r="BL50" s="57" t="str">
        <f aca="false">IF(2_Daily_input!BL41="","",2_Daily_input!BL41)</f>
        <v>Good</v>
      </c>
      <c r="BM50" s="57" t="str">
        <f aca="false">IF(2_Daily_input!BM41="","",2_Daily_input!BM41)</f>
        <v>Good</v>
      </c>
      <c r="BN50" s="57" t="str">
        <f aca="false">IF(2_Daily_input!BN41="","",2_Daily_input!BN41)</f>
        <v>Good</v>
      </c>
      <c r="BO50" s="57" t="str">
        <f aca="false">IF(2_Daily_input!BO41="","",2_Daily_input!BO41)</f>
        <v>Good</v>
      </c>
      <c r="BP50" s="57" t="str">
        <f aca="false">IF(2_Daily_input!BP41="","",2_Daily_input!BP41)</f>
        <v>Good</v>
      </c>
      <c r="BQ50" s="57" t="str">
        <f aca="false">IF(2_Daily_input!BQ41="","",2_Daily_input!BQ41)</f>
        <v>Good</v>
      </c>
      <c r="BR50" s="57" t="str">
        <f aca="false">IF(2_Daily_input!BR41="","",2_Daily_input!BR41)</f>
        <v>Good</v>
      </c>
      <c r="BS50" s="57" t="str">
        <f aca="false">IF(2_Daily_input!BS41="","",2_Daily_input!BS41)</f>
        <v>Good</v>
      </c>
      <c r="BT50" s="57" t="str">
        <f aca="false">IF(2_Daily_input!BT41="","",2_Daily_input!BT41)</f>
        <v>Good</v>
      </c>
      <c r="BU50" s="57" t="str">
        <f aca="false">IF(2_Daily_input!BU41="","",2_Daily_input!BU41)</f>
        <v>Good</v>
      </c>
      <c r="BV50" s="57" t="str">
        <f aca="false">IF(2_Daily_input!BV41="","",2_Daily_input!BV41)</f>
        <v>Good</v>
      </c>
      <c r="BW50" s="57" t="str">
        <f aca="false">IF(2_Daily_input!BW41="","",2_Daily_input!BW41)</f>
        <v>Good</v>
      </c>
      <c r="BX50" s="57" t="str">
        <f aca="false">IF(2_Daily_input!BX41="","",2_Daily_input!BX41)</f>
        <v>Good</v>
      </c>
      <c r="BY50" s="57" t="str">
        <f aca="false">IF(2_Daily_input!BY41="","",2_Daily_input!BY41)</f>
        <v>Good</v>
      </c>
      <c r="BZ50" s="57" t="str">
        <f aca="false">IF(2_Daily_input!BZ41="","",2_Daily_input!BZ41)</f>
        <v>Good</v>
      </c>
      <c r="CA50" s="57" t="str">
        <f aca="false">IF(2_Daily_input!CA41="","",2_Daily_input!CA41)</f>
        <v/>
      </c>
      <c r="CB50" s="57" t="str">
        <f aca="false">IF(2_Daily_input!CB41="","",2_Daily_input!CB41)</f>
        <v>Good</v>
      </c>
      <c r="CC50" s="57" t="str">
        <f aca="false">IF(2_Daily_input!CC41="","",2_Daily_input!CC41)</f>
        <v>Good</v>
      </c>
      <c r="CD50" s="57" t="str">
        <f aca="false">IF(2_Daily_input!CD41="","",2_Daily_input!CD41)</f>
        <v>Good</v>
      </c>
      <c r="CE50" s="57" t="str">
        <f aca="false">IF(2_Daily_input!CE41="","",2_Daily_input!CE41)</f>
        <v>Good</v>
      </c>
      <c r="CF50" s="57" t="str">
        <f aca="false">IF(2_Daily_input!CF41="","",2_Daily_input!CF41)</f>
        <v>Good</v>
      </c>
      <c r="CG50" s="57" t="str">
        <f aca="false">IF(2_Daily_input!CG41="","",2_Daily_input!CG41)</f>
        <v>Good</v>
      </c>
      <c r="CH50" s="57" t="str">
        <f aca="false">IF(2_Daily_input!CH41="","",2_Daily_input!CH41)</f>
        <v>Good</v>
      </c>
      <c r="CI50" s="57" t="str">
        <f aca="false">IF(2_Daily_input!CI41="","",2_Daily_input!CI41)</f>
        <v>Good</v>
      </c>
      <c r="CJ50" s="57" t="str">
        <f aca="false">IF(2_Daily_input!CJ41="","",2_Daily_input!CJ41)</f>
        <v>Good</v>
      </c>
      <c r="CK50" s="57" t="str">
        <f aca="false">IF(2_Daily_input!CK41="","",2_Daily_input!CK41)</f>
        <v>Good</v>
      </c>
      <c r="CL50" s="57" t="str">
        <f aca="false">IF(2_Daily_input!CL41="","",2_Daily_input!CL41)</f>
        <v>Good</v>
      </c>
      <c r="CM50" s="57" t="str">
        <f aca="false">IF(2_Daily_input!CM41="","",2_Daily_input!CM41)</f>
        <v>Good</v>
      </c>
      <c r="CN50" s="57" t="str">
        <f aca="false">IF(2_Daily_input!CN41="","",2_Daily_input!CN41)</f>
        <v>Good</v>
      </c>
      <c r="CO50" s="57" t="str">
        <f aca="false">IF(2_Daily_input!CO41="","",2_Daily_input!CO41)</f>
        <v>Good</v>
      </c>
      <c r="CP50" s="57" t="str">
        <f aca="false">IF(2_Daily_input!CP41="","",2_Daily_input!CP41)</f>
        <v>Good</v>
      </c>
      <c r="CQ50" s="57" t="str">
        <f aca="false">IF(2_Daily_input!CQ41="","",2_Daily_input!CQ41)</f>
        <v>Good</v>
      </c>
      <c r="CR50" s="57" t="str">
        <f aca="false">IF(2_Daily_input!CR41="","",2_Daily_input!CR41)</f>
        <v>Good</v>
      </c>
      <c r="CS50" s="57" t="str">
        <f aca="false">IF(2_Daily_input!CS41="","",2_Daily_input!CS41)</f>
        <v>Good</v>
      </c>
      <c r="CT50" s="57" t="str">
        <f aca="false">IF(2_Daily_input!CT41="","",2_Daily_input!CT41)</f>
        <v>Good</v>
      </c>
      <c r="CU50" s="57" t="str">
        <f aca="false">IF(2_Daily_input!CU41="","",2_Daily_input!CU41)</f>
        <v>Good</v>
      </c>
      <c r="CV50" s="57" t="str">
        <f aca="false">IF(2_Daily_input!CV41="","",2_Daily_input!CV41)</f>
        <v>Good</v>
      </c>
      <c r="CW50" s="57" t="str">
        <f aca="false">IF(2_Daily_input!CW41="","",2_Daily_input!CW41)</f>
        <v>Good</v>
      </c>
      <c r="CX50" s="57" t="str">
        <f aca="false">IF(2_Daily_input!CX41="","",2_Daily_input!CX41)</f>
        <v>Good</v>
      </c>
      <c r="CY50" s="57" t="str">
        <f aca="false">IF(2_Daily_input!CY41="","",2_Daily_input!CY41)</f>
        <v>Good</v>
      </c>
      <c r="CZ50" s="57" t="str">
        <f aca="false">IF(2_Daily_input!CZ41="","",2_Daily_input!CZ41)</f>
        <v>Good</v>
      </c>
      <c r="DA50" s="57" t="str">
        <f aca="false">IF(2_Daily_input!DA41="","",2_Daily_input!DA41)</f>
        <v>Good</v>
      </c>
      <c r="DB50" s="57" t="str">
        <f aca="false">IF(2_Daily_input!DB41="","",2_Daily_input!DB41)</f>
        <v>Good</v>
      </c>
      <c r="DC50" s="57" t="str">
        <f aca="false">IF(2_Daily_input!DC41="","",2_Daily_input!DC41)</f>
        <v>Good</v>
      </c>
      <c r="DD50" s="57" t="str">
        <f aca="false">IF(2_Daily_input!DD41="","",2_Daily_input!DD41)</f>
        <v>Good</v>
      </c>
      <c r="DE50" s="57" t="str">
        <f aca="false">IF(2_Daily_input!DE41="","",2_Daily_input!DE41)</f>
        <v>Good</v>
      </c>
      <c r="DF50" s="57" t="str">
        <f aca="false">IF(2_Daily_input!DF41="","",2_Daily_input!DF41)</f>
        <v>Good</v>
      </c>
      <c r="DG50" s="57" t="str">
        <f aca="false">IF(2_Daily_input!DG41="","",2_Daily_input!DG41)</f>
        <v>Good</v>
      </c>
      <c r="DH50" s="57" t="str">
        <f aca="false">IF(2_Daily_input!DH41="","",2_Daily_input!DH41)</f>
        <v>Good</v>
      </c>
      <c r="DI50" s="57" t="str">
        <f aca="false">IF(2_Daily_input!DI41="","",2_Daily_input!DI41)</f>
        <v>Good</v>
      </c>
      <c r="DJ50" s="57" t="str">
        <f aca="false">IF(2_Daily_input!DJ41="","",2_Daily_input!DJ41)</f>
        <v>Good</v>
      </c>
      <c r="DK50" s="57" t="str">
        <f aca="false">IF(2_Daily_input!DK41="","",2_Daily_input!DK41)</f>
        <v>Good</v>
      </c>
      <c r="DL50" s="57" t="str">
        <f aca="false">IF(2_Daily_input!DL41="","",2_Daily_input!DL41)</f>
        <v/>
      </c>
      <c r="DM50" s="57" t="str">
        <f aca="false">IF(2_Daily_input!DM41="","",2_Daily_input!DM41)</f>
        <v>Good</v>
      </c>
      <c r="DN50" s="57" t="str">
        <f aca="false">IF(2_Daily_input!DN41="","",2_Daily_input!DN41)</f>
        <v>Good</v>
      </c>
      <c r="DO50" s="57" t="str">
        <f aca="false">IF(2_Daily_input!DO41="","",2_Daily_input!DO41)</f>
        <v>Good</v>
      </c>
      <c r="DP50" s="57" t="str">
        <f aca="false">IF(2_Daily_input!DP41="","",2_Daily_input!DP41)</f>
        <v>Good</v>
      </c>
      <c r="DQ50" s="57" t="str">
        <f aca="false">IF(2_Daily_input!DQ41="","",2_Daily_input!DQ41)</f>
        <v>Good</v>
      </c>
      <c r="DR50" s="57" t="str">
        <f aca="false">IF(2_Daily_input!DR41="","",2_Daily_input!DR41)</f>
        <v>Good</v>
      </c>
      <c r="DS50" s="57" t="str">
        <f aca="false">IF(2_Daily_input!DS41="","",2_Daily_input!DS41)</f>
        <v>Good</v>
      </c>
      <c r="DT50" s="57" t="str">
        <f aca="false">IF(2_Daily_input!DT41="","",2_Daily_input!DT41)</f>
        <v>Good</v>
      </c>
      <c r="DU50" s="57" t="str">
        <f aca="false">IF(2_Daily_input!DU41="","",2_Daily_input!DU41)</f>
        <v>Good</v>
      </c>
      <c r="DV50" s="57" t="str">
        <f aca="false">IF(2_Daily_input!DV41="","",2_Daily_input!DV41)</f>
        <v>Good</v>
      </c>
      <c r="DW50" s="57" t="str">
        <f aca="false">IF(2_Daily_input!DW41="","",2_Daily_input!DW41)</f>
        <v>Good</v>
      </c>
      <c r="DX50" s="57" t="str">
        <f aca="false">IF(2_Daily_input!DX41="","",2_Daily_input!DX41)</f>
        <v>Good</v>
      </c>
      <c r="DY50" s="57" t="str">
        <f aca="false">IF(2_Daily_input!DY41="","",2_Daily_input!DY41)</f>
        <v>Good</v>
      </c>
      <c r="DZ50" s="57" t="str">
        <f aca="false">IF(2_Daily_input!DZ41="","",2_Daily_input!DZ41)</f>
        <v>Good</v>
      </c>
      <c r="EA50" s="57" t="str">
        <f aca="false">IF(2_Daily_input!EA41="","",2_Daily_input!EA41)</f>
        <v>Good</v>
      </c>
      <c r="EB50" s="57" t="str">
        <f aca="false">IF(2_Daily_input!EB41="","",2_Daily_input!EB41)</f>
        <v>Good</v>
      </c>
      <c r="EC50" s="57" t="str">
        <f aca="false">IF(2_Daily_input!EC41="","",2_Daily_input!EC41)</f>
        <v>Good</v>
      </c>
      <c r="ED50" s="57" t="str">
        <f aca="false">IF(2_Daily_input!ED41="","",2_Daily_input!ED41)</f>
        <v>Good</v>
      </c>
      <c r="EE50" s="57" t="str">
        <f aca="false">IF(2_Daily_input!EE41="","",2_Daily_input!EE41)</f>
        <v>Good</v>
      </c>
      <c r="EF50" s="57" t="str">
        <f aca="false">IF(2_Daily_input!EF41="","",2_Daily_input!EF41)</f>
        <v>Good</v>
      </c>
      <c r="EG50" s="57" t="str">
        <f aca="false">IF(2_Daily_input!EG41="","",2_Daily_input!EG41)</f>
        <v>Good</v>
      </c>
      <c r="EH50" s="57" t="str">
        <f aca="false">IF(2_Daily_input!EH41="","",2_Daily_input!EH41)</f>
        <v>Good</v>
      </c>
      <c r="EI50" s="57" t="str">
        <f aca="false">IF(2_Daily_input!EI41="","",2_Daily_input!EI41)</f>
        <v>Good</v>
      </c>
      <c r="EJ50" s="57" t="str">
        <f aca="false">IF(2_Daily_input!EJ41="","",2_Daily_input!EJ41)</f>
        <v>Good</v>
      </c>
      <c r="EK50" s="57" t="str">
        <f aca="false">IF(2_Daily_input!EK41="","",2_Daily_input!EK41)</f>
        <v>Good</v>
      </c>
      <c r="EL50" s="57" t="str">
        <f aca="false">IF(2_Daily_input!EL41="","",2_Daily_input!EL41)</f>
        <v>Good</v>
      </c>
      <c r="EM50" s="57" t="str">
        <f aca="false">IF(2_Daily_input!EM41="","",2_Daily_input!EM41)</f>
        <v>Good</v>
      </c>
      <c r="EN50" s="57" t="str">
        <f aca="false">IF(2_Daily_input!EN41="","",2_Daily_input!EN41)</f>
        <v>Good</v>
      </c>
      <c r="EO50" s="57" t="str">
        <f aca="false">IF(2_Daily_input!EO41="","",2_Daily_input!EO41)</f>
        <v>Good</v>
      </c>
      <c r="EP50" s="57" t="str">
        <f aca="false">IF(2_Daily_input!EP41="","",2_Daily_input!EP41)</f>
        <v>Good</v>
      </c>
      <c r="EQ50" s="57" t="str">
        <f aca="false">IF(2_Daily_input!EQ41="","",2_Daily_input!EQ41)</f>
        <v>Good</v>
      </c>
      <c r="ER50" s="57" t="str">
        <f aca="false">IF(2_Daily_input!ER41="","",2_Daily_input!ER41)</f>
        <v>Good</v>
      </c>
      <c r="ES50" s="57" t="str">
        <f aca="false">IF(2_Daily_input!ES41="","",2_Daily_input!ES41)</f>
        <v>Good</v>
      </c>
      <c r="ET50" s="57" t="str">
        <f aca="false">IF(2_Daily_input!ET41="","",2_Daily_input!ET41)</f>
        <v>Good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83</v>
      </c>
      <c r="B51" s="20" t="s">
        <v>425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83</v>
      </c>
      <c r="B52" s="20" t="s">
        <v>426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Irrigation</v>
      </c>
      <c r="BF52" s="57" t="str">
        <f aca="false">IF(2_Daily_input!BF43="","",2_Daily_input!BF43)</f>
        <v/>
      </c>
      <c r="BG52" s="57" t="str">
        <f aca="false">IF(2_Daily_input!BG43="","",2_Daily_input!BG43)</f>
        <v>Irrigation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Irrigation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Irrigation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Irrigation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Irrigation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Irrigation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Irrigation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Irrigation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Irrigation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Irrigation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Irrigation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Irrigation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Irrigation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Irrigation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83</v>
      </c>
      <c r="B53" s="20" t="s">
        <v>427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83</v>
      </c>
      <c r="B54" s="20" t="s">
        <v>428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83</v>
      </c>
      <c r="B55" s="20" t="s">
        <v>429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83</v>
      </c>
      <c r="B56" s="62" t="s">
        <v>430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3" t="s">
        <v>83</v>
      </c>
      <c r="B57" s="62" t="s">
        <v>431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1.5</v>
      </c>
      <c r="BF57" s="27" t="n">
        <f aca="false">IF(BF38="","",IF(ISNUMBER(BF45),BF45,BF38))</f>
        <v>1.3</v>
      </c>
      <c r="BG57" s="27" t="n">
        <f aca="false">IF(BG38="","",IF(ISNUMBER(BG45),BG45,BG38))</f>
        <v>3.5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3.4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2.5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2.3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1.5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2.7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1.3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1.5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2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2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4.5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83</v>
      </c>
      <c r="B58" s="62" t="s">
        <v>432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328</v>
      </c>
      <c r="B60" s="17" t="s">
        <v>433</v>
      </c>
    </row>
    <row r="61" customFormat="false" ht="15" hidden="false" customHeight="false" outlineLevel="0" collapsed="false">
      <c r="A61" s="31" t="s">
        <v>328</v>
      </c>
      <c r="B61" s="31" t="s">
        <v>434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328</v>
      </c>
      <c r="B62" s="31" t="s">
        <v>435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328</v>
      </c>
      <c r="B63" s="31" t="s">
        <v>436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328</v>
      </c>
      <c r="B64" s="31" t="s">
        <v>437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328</v>
      </c>
      <c r="B65" s="31" t="s">
        <v>438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328</v>
      </c>
      <c r="B66" s="17" t="s">
        <v>439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83</v>
      </c>
      <c r="B67" s="20" t="s">
        <v>433</v>
      </c>
    </row>
    <row r="68" customFormat="false" ht="15" hidden="false" customHeight="false" outlineLevel="0" collapsed="false">
      <c r="A68" s="33" t="s">
        <v>83</v>
      </c>
      <c r="B68" s="33" t="s">
        <v>434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83</v>
      </c>
      <c r="B69" s="33" t="s">
        <v>435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83</v>
      </c>
      <c r="B70" s="33" t="s">
        <v>436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83</v>
      </c>
      <c r="B71" s="33" t="s">
        <v>437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83</v>
      </c>
      <c r="B72" s="33" t="s">
        <v>438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83</v>
      </c>
      <c r="B73" s="20" t="s">
        <v>439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406</v>
      </c>
      <c r="B74" s="38" t="s">
        <v>440</v>
      </c>
    </row>
    <row r="75" customFormat="false" ht="15" hidden="false" customHeight="false" outlineLevel="0" collapsed="false">
      <c r="A75" s="37" t="s">
        <v>406</v>
      </c>
      <c r="B75" s="38" t="s">
        <v>168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406</v>
      </c>
      <c r="B76" s="38" t="s">
        <v>170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406</v>
      </c>
      <c r="B77" s="38" t="s">
        <v>184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Drain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406</v>
      </c>
      <c r="B78" s="38" t="s">
        <v>441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442</v>
      </c>
    </row>
    <row r="81" customFormat="false" ht="15" hidden="true" customHeight="false" outlineLevel="0" collapsed="false">
      <c r="B81" s="45" t="s">
        <v>443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444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445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446</v>
      </c>
      <c r="B85" s="22" t="s">
        <v>447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448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449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450</v>
      </c>
      <c r="B89" s="65" t="str">
        <f aca="false">Variety</f>
        <v>BRRI dhan29</v>
      </c>
    </row>
    <row r="90" customFormat="false" ht="15" hidden="true" customHeight="false" outlineLevel="0" collapsed="false">
      <c r="A90" s="22" t="s">
        <v>451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452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453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454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455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456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457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458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459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460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461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462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463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464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465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466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467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468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469</v>
      </c>
      <c r="B108" s="65" t="s">
        <v>470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471</v>
      </c>
    </row>
    <row r="3" customFormat="false" ht="15" hidden="false" customHeight="false" outlineLevel="0" collapsed="false">
      <c r="A3" s="15" t="s">
        <v>112</v>
      </c>
      <c r="B3" s="15" t="s">
        <v>472</v>
      </c>
      <c r="C3" s="15" t="s">
        <v>473</v>
      </c>
      <c r="D3" s="15" t="s">
        <v>474</v>
      </c>
      <c r="E3" s="15" t="s">
        <v>113</v>
      </c>
      <c r="F3" s="15" t="s">
        <v>114</v>
      </c>
    </row>
    <row r="4" customFormat="false" ht="15" hidden="false" customHeight="false" outlineLevel="0" collapsed="false">
      <c r="A4" s="54" t="s">
        <v>115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116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117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118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119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120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121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122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123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124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125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126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475</v>
      </c>
      <c r="B17" s="15" t="s">
        <v>476</v>
      </c>
      <c r="C17" s="15" t="s">
        <v>477</v>
      </c>
      <c r="D17" s="15" t="s">
        <v>478</v>
      </c>
      <c r="E17" s="15" t="s">
        <v>479</v>
      </c>
    </row>
    <row r="18" customFormat="false" ht="15" hidden="false" customHeight="false" outlineLevel="0" collapsed="false">
      <c r="A18" s="17" t="s">
        <v>328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83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481</v>
      </c>
    </row>
    <row r="3" customFormat="false" ht="15" hidden="false" customHeight="false" outlineLevel="0" collapsed="false">
      <c r="B3" s="24" t="s">
        <v>482</v>
      </c>
      <c r="C3" s="24" t="s">
        <v>483</v>
      </c>
    </row>
    <row r="4" customFormat="false" ht="15" hidden="false" customHeight="false" outlineLevel="0" collapsed="false">
      <c r="B4" s="21" t="s">
        <v>484</v>
      </c>
      <c r="C4" s="18" t="n">
        <v>50</v>
      </c>
    </row>
    <row r="5" customFormat="false" ht="15" hidden="false" customHeight="false" outlineLevel="0" collapsed="false">
      <c r="B5" s="21" t="s">
        <v>485</v>
      </c>
      <c r="C5" s="18" t="n">
        <v>13</v>
      </c>
    </row>
    <row r="6" customFormat="false" ht="15" hidden="false" customHeight="false" outlineLevel="0" collapsed="false">
      <c r="B6" s="21" t="s">
        <v>486</v>
      </c>
      <c r="C6" s="18" t="n">
        <v>5</v>
      </c>
    </row>
    <row r="7" customFormat="false" ht="15" hidden="false" customHeight="false" outlineLevel="0" collapsed="false">
      <c r="B7" s="21" t="s">
        <v>487</v>
      </c>
      <c r="C7" s="18" t="n">
        <v>29.5</v>
      </c>
    </row>
    <row r="8" customFormat="false" ht="15" hidden="false" customHeight="false" outlineLevel="0" collapsed="false">
      <c r="B8" s="21" t="s">
        <v>488</v>
      </c>
      <c r="C8" s="18" t="n">
        <v>45</v>
      </c>
    </row>
    <row r="9" customFormat="false" ht="15" hidden="false" customHeight="false" outlineLevel="0" collapsed="false">
      <c r="B9" s="54" t="s">
        <v>489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490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491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492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493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494</v>
      </c>
    </row>
    <row r="2" customFormat="false" ht="15" hidden="false" customHeight="false" outlineLevel="0" collapsed="false">
      <c r="A2" s="15" t="s">
        <v>495</v>
      </c>
      <c r="B2" s="15" t="s">
        <v>496</v>
      </c>
      <c r="C2" s="15" t="s">
        <v>497</v>
      </c>
      <c r="D2" s="15" t="s">
        <v>498</v>
      </c>
      <c r="E2" s="15" t="s">
        <v>499</v>
      </c>
      <c r="F2" s="15" t="s">
        <v>500</v>
      </c>
      <c r="G2" s="15" t="s">
        <v>501</v>
      </c>
      <c r="H2" s="15" t="s">
        <v>349</v>
      </c>
      <c r="I2" s="15" t="s">
        <v>502</v>
      </c>
      <c r="J2" s="15" t="s">
        <v>503</v>
      </c>
    </row>
    <row r="3" customFormat="false" ht="15" hidden="false" customHeight="false" outlineLevel="0" collapsed="false">
      <c r="A3" s="18" t="s">
        <v>504</v>
      </c>
      <c r="B3" s="18" t="s">
        <v>505</v>
      </c>
      <c r="C3" s="18" t="s">
        <v>506</v>
      </c>
      <c r="D3" s="18" t="s">
        <v>175</v>
      </c>
      <c r="E3" s="18" t="s">
        <v>179</v>
      </c>
      <c r="F3" s="18" t="s">
        <v>212</v>
      </c>
      <c r="G3" s="18" t="s">
        <v>255</v>
      </c>
      <c r="H3" s="18" t="s">
        <v>328</v>
      </c>
      <c r="I3" s="18" t="s">
        <v>212</v>
      </c>
      <c r="J3" s="18" t="s">
        <v>212</v>
      </c>
    </row>
    <row r="4" customFormat="false" ht="15" hidden="false" customHeight="false" outlineLevel="0" collapsed="false">
      <c r="A4" s="18" t="s">
        <v>507</v>
      </c>
      <c r="B4" s="18" t="s">
        <v>508</v>
      </c>
      <c r="C4" s="18" t="s">
        <v>509</v>
      </c>
      <c r="D4" s="18" t="s">
        <v>510</v>
      </c>
      <c r="E4" s="18" t="s">
        <v>511</v>
      </c>
      <c r="F4" s="18" t="s">
        <v>224</v>
      </c>
      <c r="G4" s="18" t="s">
        <v>256</v>
      </c>
      <c r="H4" s="18" t="s">
        <v>83</v>
      </c>
      <c r="I4" s="18" t="s">
        <v>213</v>
      </c>
      <c r="J4" s="18" t="s">
        <v>213</v>
      </c>
    </row>
    <row r="5" customFormat="false" ht="15" hidden="false" customHeight="false" outlineLevel="0" collapsed="false">
      <c r="A5" s="18" t="s">
        <v>512</v>
      </c>
      <c r="B5" s="18" t="s">
        <v>513</v>
      </c>
      <c r="C5" s="18" t="s">
        <v>514</v>
      </c>
      <c r="D5" s="18" t="s">
        <v>515</v>
      </c>
      <c r="E5" s="18" t="s">
        <v>516</v>
      </c>
      <c r="F5" s="18" t="s">
        <v>517</v>
      </c>
      <c r="G5" s="18" t="s">
        <v>518</v>
      </c>
      <c r="H5" s="18" t="s">
        <v>406</v>
      </c>
      <c r="I5" s="18" t="s">
        <v>362</v>
      </c>
      <c r="J5" s="18" t="s">
        <v>362</v>
      </c>
    </row>
    <row r="6" customFormat="false" ht="15" hidden="false" customHeight="false" outlineLevel="0" collapsed="false">
      <c r="A6" s="18" t="s">
        <v>519</v>
      </c>
      <c r="B6" s="18" t="s">
        <v>520</v>
      </c>
      <c r="C6" s="18" t="s">
        <v>521</v>
      </c>
      <c r="D6" s="18"/>
      <c r="E6" s="18" t="s">
        <v>522</v>
      </c>
      <c r="F6" s="18" t="s">
        <v>523</v>
      </c>
      <c r="G6" s="18" t="s">
        <v>524</v>
      </c>
      <c r="H6" s="18"/>
      <c r="I6" s="18" t="s">
        <v>364</v>
      </c>
      <c r="J6" s="18" t="s">
        <v>364</v>
      </c>
    </row>
    <row r="7" customFormat="false" ht="15" hidden="false" customHeight="false" outlineLevel="0" collapsed="false">
      <c r="A7" s="18" t="s">
        <v>525</v>
      </c>
      <c r="B7" s="18" t="s">
        <v>526</v>
      </c>
      <c r="C7" s="18"/>
      <c r="D7" s="18"/>
      <c r="E7" s="18" t="s">
        <v>527</v>
      </c>
      <c r="F7" s="18" t="s">
        <v>179</v>
      </c>
      <c r="G7" s="18"/>
      <c r="H7" s="18"/>
      <c r="I7" s="18" t="s">
        <v>214</v>
      </c>
      <c r="J7" s="18" t="s">
        <v>214</v>
      </c>
    </row>
    <row r="8" customFormat="false" ht="15" hidden="false" customHeight="false" outlineLevel="0" collapsed="false">
      <c r="A8" s="18" t="s">
        <v>528</v>
      </c>
      <c r="B8" s="18" t="s">
        <v>529</v>
      </c>
      <c r="C8" s="18"/>
      <c r="D8" s="18"/>
      <c r="E8" s="18" t="s">
        <v>530</v>
      </c>
      <c r="F8" s="18" t="s">
        <v>112</v>
      </c>
      <c r="G8" s="18"/>
      <c r="H8" s="18"/>
      <c r="I8" s="18" t="s">
        <v>367</v>
      </c>
      <c r="J8" s="18" t="s">
        <v>367</v>
      </c>
    </row>
    <row r="9" customFormat="false" ht="15" hidden="false" customHeight="false" outlineLevel="0" collapsed="false">
      <c r="A9" s="18" t="s">
        <v>531</v>
      </c>
      <c r="B9" s="18" t="s">
        <v>532</v>
      </c>
      <c r="C9" s="18"/>
      <c r="D9" s="18"/>
      <c r="E9" s="18" t="s">
        <v>533</v>
      </c>
      <c r="F9" s="18" t="s">
        <v>241</v>
      </c>
      <c r="G9" s="18"/>
      <c r="H9" s="18"/>
      <c r="I9" s="18" t="s">
        <v>534</v>
      </c>
      <c r="J9" s="18" t="s">
        <v>534</v>
      </c>
    </row>
    <row r="10" customFormat="false" ht="15" hidden="false" customHeight="false" outlineLevel="0" collapsed="false">
      <c r="A10" s="18" t="s">
        <v>521</v>
      </c>
      <c r="B10" s="18" t="s">
        <v>535</v>
      </c>
      <c r="C10" s="18"/>
      <c r="D10" s="18"/>
      <c r="E10" s="18" t="s">
        <v>362</v>
      </c>
      <c r="F10" s="18" t="s">
        <v>362</v>
      </c>
      <c r="G10" s="18"/>
      <c r="H10" s="18"/>
      <c r="I10" s="18" t="s">
        <v>536</v>
      </c>
      <c r="J10" s="18" t="s">
        <v>536</v>
      </c>
    </row>
    <row r="11" customFormat="false" ht="15" hidden="false" customHeight="false" outlineLevel="0" collapsed="false">
      <c r="A11" s="18"/>
      <c r="B11" s="18" t="s">
        <v>537</v>
      </c>
      <c r="C11" s="18"/>
      <c r="D11" s="18"/>
      <c r="E11" s="18" t="s">
        <v>538</v>
      </c>
      <c r="F11" s="18" t="s">
        <v>364</v>
      </c>
      <c r="G11" s="18"/>
      <c r="H11" s="18"/>
      <c r="I11" s="18" t="s">
        <v>371</v>
      </c>
      <c r="J11" s="18" t="s">
        <v>400</v>
      </c>
    </row>
    <row r="12" customFormat="false" ht="15" hidden="false" customHeight="false" outlineLevel="0" collapsed="false">
      <c r="A12" s="18"/>
      <c r="B12" s="18" t="s">
        <v>539</v>
      </c>
      <c r="C12" s="18"/>
      <c r="D12" s="18"/>
      <c r="E12" s="18" t="s">
        <v>540</v>
      </c>
      <c r="F12" s="18" t="s">
        <v>214</v>
      </c>
      <c r="G12" s="18"/>
      <c r="H12" s="18"/>
      <c r="I12" s="18" t="s">
        <v>541</v>
      </c>
      <c r="J12" s="18" t="s">
        <v>385</v>
      </c>
    </row>
    <row r="13" customFormat="false" ht="15" hidden="false" customHeight="false" outlineLevel="0" collapsed="false">
      <c r="A13" s="18"/>
      <c r="B13" s="18" t="s">
        <v>542</v>
      </c>
      <c r="C13" s="18"/>
      <c r="D13" s="18"/>
      <c r="E13" s="18" t="s">
        <v>543</v>
      </c>
      <c r="F13" s="18" t="s">
        <v>511</v>
      </c>
      <c r="G13" s="18"/>
      <c r="H13" s="18"/>
      <c r="I13" s="18" t="s">
        <v>544</v>
      </c>
      <c r="J13" s="18" t="s">
        <v>394</v>
      </c>
    </row>
    <row r="14" customFormat="false" ht="15" hidden="false" customHeight="false" outlineLevel="0" collapsed="false">
      <c r="A14" s="18"/>
      <c r="B14" s="18" t="s">
        <v>545</v>
      </c>
      <c r="C14" s="18"/>
      <c r="D14" s="18"/>
      <c r="E14" s="18" t="s">
        <v>546</v>
      </c>
      <c r="F14" s="18" t="s">
        <v>521</v>
      </c>
      <c r="G14" s="18"/>
      <c r="H14" s="18"/>
      <c r="I14" s="18" t="s">
        <v>547</v>
      </c>
      <c r="J14" s="18" t="s">
        <v>396</v>
      </c>
    </row>
    <row r="15" customFormat="false" ht="15" hidden="false" customHeight="false" outlineLevel="0" collapsed="false">
      <c r="A15" s="18"/>
      <c r="B15" s="18" t="s">
        <v>548</v>
      </c>
      <c r="C15" s="18"/>
      <c r="D15" s="18"/>
      <c r="E15" s="18" t="s">
        <v>549</v>
      </c>
      <c r="F15" s="18"/>
      <c r="G15" s="18"/>
      <c r="H15" s="18"/>
      <c r="I15" s="18" t="s">
        <v>550</v>
      </c>
      <c r="J15" s="18"/>
    </row>
    <row r="16" customFormat="false" ht="15" hidden="false" customHeight="false" outlineLevel="0" collapsed="false">
      <c r="A16" s="18"/>
      <c r="B16" s="18" t="s">
        <v>521</v>
      </c>
      <c r="C16" s="18"/>
      <c r="D16" s="18"/>
      <c r="E16" s="18" t="s">
        <v>551</v>
      </c>
      <c r="F16" s="18"/>
      <c r="G16" s="18"/>
      <c r="H16" s="18"/>
      <c r="I16" s="18" t="s">
        <v>552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553</v>
      </c>
      <c r="F17" s="18"/>
      <c r="G17" s="18"/>
      <c r="H17" s="18"/>
      <c r="I17" s="18" t="s">
        <v>554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521</v>
      </c>
      <c r="F18" s="18"/>
      <c r="G18" s="18"/>
      <c r="H18" s="18"/>
      <c r="I18" s="18" t="s">
        <v>555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556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557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215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216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217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385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394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396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558</v>
      </c>
      <c r="B1" s="67" t="s">
        <v>559</v>
      </c>
      <c r="C1" s="67" t="s">
        <v>560</v>
      </c>
      <c r="D1" s="67" t="s">
        <v>561</v>
      </c>
      <c r="E1" s="67" t="s">
        <v>562</v>
      </c>
      <c r="F1" s="67" t="s">
        <v>563</v>
      </c>
      <c r="G1" s="67" t="s">
        <v>564</v>
      </c>
      <c r="H1" s="67" t="s">
        <v>565</v>
      </c>
      <c r="I1" s="67" t="s">
        <v>566</v>
      </c>
      <c r="J1" s="67" t="s">
        <v>567</v>
      </c>
      <c r="K1" s="67" t="s">
        <v>568</v>
      </c>
      <c r="L1" s="67" t="s">
        <v>569</v>
      </c>
      <c r="M1" s="67" t="s">
        <v>570</v>
      </c>
      <c r="N1" s="67" t="s">
        <v>571</v>
      </c>
      <c r="O1" s="67" t="s">
        <v>572</v>
      </c>
      <c r="P1" s="67" t="s">
        <v>573</v>
      </c>
      <c r="Q1" s="67" t="s">
        <v>574</v>
      </c>
      <c r="R1" s="67" t="s">
        <v>575</v>
      </c>
      <c r="T1" s="67" t="s">
        <v>576</v>
      </c>
      <c r="U1" s="67" t="s">
        <v>577</v>
      </c>
      <c r="W1" s="68" t="s">
        <v>578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579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580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581</v>
      </c>
      <c r="U4" s="69" t="str">
        <f aca="false">""&amp;Data_Farmer!B89</f>
        <v>BRRI dhan29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582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583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584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585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586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587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588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589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590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591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592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593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594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595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596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597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598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599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600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2026-10-19T02:22:19Z</dcterms:created>
  <dc:creator>openpyxl</dc:creator>
  <dc:description/>
  <dc:language>en-US</dc:language>
  <cp:lastModifiedBy/>
  <dcterms:modified xsi:type="dcterms:W3CDTF">2026-10-19T08:22:54Z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